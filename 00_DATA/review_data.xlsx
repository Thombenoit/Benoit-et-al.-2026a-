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benoit/Documents/DOCTORAT/04-REVIEW/REVIEW_GITHUB/00_DATA/"/>
    </mc:Choice>
  </mc:AlternateContent>
  <xr:revisionPtr revIDLastSave="0" documentId="13_ncr:1_{DBC1F99C-AEAE-504A-AF66-44F002F80000}" xr6:coauthVersionLast="47" xr6:coauthVersionMax="47" xr10:uidLastSave="{00000000-0000-0000-0000-000000000000}"/>
  <bookViews>
    <workbookView xWindow="34560" yWindow="-5960" windowWidth="38400" windowHeight="21100" xr2:uid="{FDE12D0D-D2BF-BD41-A806-05B2CFC22886}"/>
  </bookViews>
  <sheets>
    <sheet name="Feuil1" sheetId="1" r:id="rId1"/>
  </sheets>
  <definedNames>
    <definedName name="_xlnm._FilterDatabase" localSheetId="0" hidden="1">Feuil1!$A$1:$AS$4780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73" i="1" l="1"/>
  <c r="J4769" i="1"/>
  <c r="J4767" i="1"/>
  <c r="J4766" i="1"/>
  <c r="J4768" i="1"/>
  <c r="J4765" i="1"/>
  <c r="J4764" i="1"/>
  <c r="J4728" i="1"/>
  <c r="J4727" i="1"/>
  <c r="J4726" i="1"/>
  <c r="J4725" i="1"/>
  <c r="J4703" i="1"/>
  <c r="J4702" i="1"/>
  <c r="J4701" i="1"/>
  <c r="J4700" i="1"/>
  <c r="J4699" i="1"/>
  <c r="J4698" i="1"/>
  <c r="M4607" i="1"/>
  <c r="L4607" i="1"/>
  <c r="J4607" i="1"/>
  <c r="M4606" i="1"/>
  <c r="L4606" i="1"/>
  <c r="J4606" i="1"/>
  <c r="M4605" i="1"/>
  <c r="L4605" i="1"/>
  <c r="J4605" i="1"/>
  <c r="M4604" i="1"/>
  <c r="L4604" i="1"/>
  <c r="J4604" i="1"/>
  <c r="M4603" i="1"/>
  <c r="L4603" i="1"/>
  <c r="J4603" i="1"/>
  <c r="M4602" i="1"/>
  <c r="L4602" i="1"/>
  <c r="J4602" i="1"/>
  <c r="M4601" i="1"/>
  <c r="L4601" i="1"/>
  <c r="J4601" i="1"/>
  <c r="M4600" i="1"/>
  <c r="L4600" i="1"/>
  <c r="J4600" i="1"/>
  <c r="M4599" i="1"/>
  <c r="L4599" i="1"/>
  <c r="J4599" i="1"/>
  <c r="M4598" i="1"/>
  <c r="L4598" i="1"/>
  <c r="J4598" i="1"/>
  <c r="M4597" i="1"/>
  <c r="L4597" i="1"/>
  <c r="J4597" i="1"/>
  <c r="M4596" i="1"/>
  <c r="L4596" i="1"/>
  <c r="J4596" i="1"/>
  <c r="M4595" i="1"/>
  <c r="L4595" i="1"/>
  <c r="J4595" i="1"/>
  <c r="M4594" i="1"/>
  <c r="L4594" i="1"/>
  <c r="J4594" i="1"/>
  <c r="M4593" i="1"/>
  <c r="L4593" i="1"/>
  <c r="J4593" i="1"/>
  <c r="M4592" i="1"/>
  <c r="L4592" i="1"/>
  <c r="J4592" i="1"/>
  <c r="M4591" i="1"/>
  <c r="L4591" i="1"/>
  <c r="J4591" i="1"/>
  <c r="M4590" i="1"/>
  <c r="L4590" i="1"/>
  <c r="J4590" i="1"/>
  <c r="M4589" i="1"/>
  <c r="L4589" i="1"/>
  <c r="J4589" i="1"/>
  <c r="M4588" i="1"/>
  <c r="L4588" i="1"/>
  <c r="J4588" i="1"/>
  <c r="M4587" i="1"/>
  <c r="L4587" i="1"/>
  <c r="J4587" i="1"/>
  <c r="M4586" i="1"/>
  <c r="L4586" i="1"/>
  <c r="J4586" i="1"/>
  <c r="M4585" i="1"/>
  <c r="L4585" i="1"/>
  <c r="J4585" i="1"/>
  <c r="M4584" i="1"/>
  <c r="L4584" i="1"/>
  <c r="J4584" i="1"/>
  <c r="J4581" i="1"/>
  <c r="L4581" i="1"/>
  <c r="M4581" i="1"/>
  <c r="J4582" i="1"/>
  <c r="L4582" i="1"/>
  <c r="M4582" i="1"/>
  <c r="J4583" i="1"/>
  <c r="L4583" i="1"/>
  <c r="M4583" i="1"/>
  <c r="J4580" i="1"/>
  <c r="L4580" i="1"/>
  <c r="M4580" i="1"/>
  <c r="M4579" i="1"/>
  <c r="L4579" i="1"/>
  <c r="J4579" i="1"/>
  <c r="M4578" i="1"/>
  <c r="L4578" i="1"/>
  <c r="J4578" i="1"/>
  <c r="M4577" i="1"/>
  <c r="L4577" i="1"/>
  <c r="J4577" i="1"/>
  <c r="M4576" i="1"/>
  <c r="L4576" i="1"/>
  <c r="J4576" i="1"/>
  <c r="M4575" i="1"/>
  <c r="L4575" i="1"/>
  <c r="J4575" i="1"/>
  <c r="M4574" i="1"/>
  <c r="L4574" i="1"/>
  <c r="J4574" i="1"/>
  <c r="M4573" i="1"/>
  <c r="L4573" i="1"/>
  <c r="J4573" i="1"/>
  <c r="M4572" i="1"/>
  <c r="L4572" i="1"/>
  <c r="J4572" i="1"/>
  <c r="M4571" i="1"/>
  <c r="L4571" i="1"/>
  <c r="J4571" i="1"/>
  <c r="M4570" i="1"/>
  <c r="L4570" i="1"/>
  <c r="J4570" i="1"/>
  <c r="M4569" i="1"/>
  <c r="L4569" i="1"/>
  <c r="J4569" i="1"/>
  <c r="M4568" i="1"/>
  <c r="L4568" i="1"/>
  <c r="J4568" i="1"/>
  <c r="M4567" i="1"/>
  <c r="L4567" i="1"/>
  <c r="J4567" i="1"/>
  <c r="M4566" i="1"/>
  <c r="L4566" i="1"/>
  <c r="J4566" i="1"/>
  <c r="M4565" i="1"/>
  <c r="L4565" i="1"/>
  <c r="J4565" i="1"/>
  <c r="M4564" i="1"/>
  <c r="L4564" i="1"/>
  <c r="J4564" i="1"/>
  <c r="J4563" i="1"/>
  <c r="L4563" i="1"/>
  <c r="M4563" i="1"/>
  <c r="J4562" i="1"/>
  <c r="L4562" i="1"/>
  <c r="M4562" i="1"/>
  <c r="J4561" i="1"/>
  <c r="L4561" i="1"/>
  <c r="M4561" i="1"/>
  <c r="J4560" i="1"/>
  <c r="L4560" i="1"/>
  <c r="M4560" i="1"/>
  <c r="M920" i="1"/>
  <c r="M375" i="1"/>
  <c r="M376" i="1"/>
  <c r="M472" i="1"/>
  <c r="M478" i="1"/>
  <c r="M484" i="1"/>
  <c r="M490" i="1"/>
  <c r="M496" i="1"/>
  <c r="M502" i="1"/>
  <c r="M509" i="1"/>
  <c r="M516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03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2" i="1"/>
  <c r="M4129" i="1"/>
  <c r="M4128" i="1"/>
  <c r="M4126" i="1"/>
  <c r="M4125" i="1"/>
  <c r="M4127" i="1"/>
  <c r="M4124" i="1"/>
  <c r="M4049" i="1"/>
  <c r="J4049" i="1"/>
  <c r="M4048" i="1"/>
  <c r="J4048" i="1"/>
  <c r="M4047" i="1"/>
  <c r="J4047" i="1"/>
  <c r="M4046" i="1"/>
  <c r="J4046" i="1"/>
  <c r="J4045" i="1"/>
  <c r="J4044" i="1"/>
  <c r="M4045" i="1"/>
  <c r="M4044" i="1"/>
  <c r="J4043" i="1"/>
  <c r="J4042" i="1"/>
  <c r="J4041" i="1"/>
  <c r="J4040" i="1"/>
  <c r="J4039" i="1"/>
  <c r="J4038" i="1"/>
  <c r="M3598" i="1"/>
  <c r="M3597" i="1"/>
  <c r="M3596" i="1"/>
  <c r="M3595" i="1"/>
  <c r="M3594" i="1"/>
  <c r="M3593" i="1"/>
  <c r="M3592" i="1"/>
  <c r="M3591" i="1"/>
  <c r="M3588" i="1"/>
  <c r="M3585" i="1"/>
  <c r="M3586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7" i="1"/>
  <c r="M3118" i="1"/>
  <c r="M3116" i="1"/>
  <c r="J3012" i="1"/>
  <c r="J3011" i="1"/>
  <c r="J3010" i="1"/>
  <c r="J3009" i="1"/>
  <c r="J3008" i="1"/>
  <c r="J3007" i="1"/>
  <c r="J3006" i="1"/>
  <c r="J3005" i="1"/>
  <c r="J3004" i="1"/>
  <c r="J3003" i="1"/>
  <c r="J2807" i="1"/>
  <c r="J2801" i="1"/>
  <c r="J2795" i="1"/>
  <c r="J2789" i="1"/>
  <c r="J2783" i="1"/>
  <c r="J2777" i="1"/>
  <c r="J2771" i="1"/>
  <c r="J2765" i="1"/>
  <c r="J2759" i="1"/>
  <c r="J2753" i="1"/>
  <c r="J2747" i="1"/>
  <c r="J2741" i="1"/>
  <c r="J2810" i="1"/>
  <c r="J2809" i="1"/>
  <c r="J2808" i="1"/>
  <c r="J2806" i="1"/>
  <c r="J2805" i="1"/>
  <c r="J2804" i="1"/>
  <c r="J2803" i="1"/>
  <c r="J2802" i="1"/>
  <c r="J2800" i="1"/>
  <c r="J2799" i="1"/>
  <c r="J2798" i="1"/>
  <c r="J2797" i="1"/>
  <c r="J2796" i="1"/>
  <c r="J2794" i="1"/>
  <c r="J2793" i="1"/>
  <c r="J2792" i="1"/>
  <c r="J2791" i="1"/>
  <c r="J2790" i="1"/>
  <c r="J2788" i="1"/>
  <c r="J2787" i="1"/>
  <c r="J2786" i="1"/>
  <c r="J2785" i="1"/>
  <c r="J2784" i="1"/>
  <c r="J2782" i="1"/>
  <c r="J2781" i="1"/>
  <c r="J2780" i="1"/>
  <c r="J2779" i="1"/>
  <c r="J2778" i="1"/>
  <c r="J2776" i="1"/>
  <c r="J2775" i="1"/>
  <c r="J2823" i="1"/>
  <c r="J2822" i="1"/>
  <c r="J2821" i="1"/>
  <c r="J2820" i="1"/>
  <c r="J2756" i="1"/>
  <c r="J2755" i="1"/>
  <c r="J2754" i="1"/>
  <c r="J2752" i="1"/>
  <c r="J2751" i="1"/>
  <c r="J2774" i="1"/>
  <c r="J2773" i="1"/>
  <c r="J2772" i="1"/>
  <c r="J2770" i="1"/>
  <c r="J2769" i="1"/>
  <c r="J2768" i="1"/>
  <c r="J2767" i="1"/>
  <c r="J2766" i="1"/>
  <c r="J2764" i="1"/>
  <c r="J2763" i="1"/>
  <c r="J2762" i="1"/>
  <c r="J2761" i="1"/>
  <c r="J2760" i="1"/>
  <c r="J2758" i="1"/>
  <c r="J2757" i="1"/>
  <c r="J2750" i="1"/>
  <c r="J2749" i="1"/>
  <c r="J2748" i="1"/>
  <c r="J2746" i="1"/>
  <c r="J2745" i="1"/>
  <c r="J2740" i="1"/>
  <c r="J2819" i="1"/>
  <c r="J2818" i="1"/>
  <c r="J2744" i="1"/>
  <c r="J2743" i="1"/>
  <c r="J2742" i="1"/>
  <c r="J2739" i="1"/>
  <c r="J2675" i="1"/>
  <c r="J2674" i="1"/>
  <c r="J2473" i="1"/>
  <c r="J1305" i="1"/>
  <c r="J1304" i="1"/>
  <c r="J1303" i="1"/>
  <c r="M1145" i="1"/>
  <c r="M1144" i="1"/>
  <c r="M1143" i="1"/>
  <c r="M1147" i="1"/>
  <c r="M1146" i="1"/>
  <c r="M1056" i="1"/>
  <c r="J1056" i="1"/>
  <c r="M1055" i="1"/>
  <c r="J1055" i="1"/>
  <c r="M1054" i="1"/>
  <c r="J1054" i="1"/>
  <c r="M1053" i="1"/>
  <c r="J1053" i="1"/>
  <c r="M1052" i="1"/>
  <c r="J1052" i="1"/>
  <c r="M1051" i="1"/>
  <c r="J1051" i="1"/>
  <c r="J1050" i="1"/>
  <c r="M1050" i="1"/>
  <c r="M1047" i="1"/>
  <c r="J1047" i="1"/>
  <c r="M1046" i="1"/>
  <c r="J1046" i="1"/>
  <c r="M1045" i="1"/>
  <c r="J1045" i="1"/>
  <c r="M1044" i="1"/>
  <c r="J1044" i="1"/>
  <c r="M1043" i="1"/>
  <c r="J1043" i="1"/>
  <c r="M1042" i="1"/>
  <c r="J1042" i="1"/>
  <c r="J1049" i="1"/>
  <c r="M1049" i="1"/>
  <c r="J1048" i="1"/>
  <c r="M1041" i="1"/>
  <c r="J1041" i="1"/>
  <c r="M1040" i="1"/>
  <c r="J1040" i="1"/>
  <c r="M978" i="1"/>
  <c r="M977" i="1"/>
  <c r="M976" i="1"/>
  <c r="M975" i="1"/>
  <c r="M974" i="1"/>
  <c r="J973" i="1"/>
  <c r="J972" i="1"/>
  <c r="J971" i="1"/>
  <c r="J970" i="1"/>
  <c r="J969" i="1"/>
  <c r="J968" i="1"/>
  <c r="J967" i="1"/>
  <c r="J966" i="1"/>
  <c r="J965" i="1"/>
  <c r="J964" i="1"/>
  <c r="J963" i="1"/>
  <c r="M962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2" i="1"/>
  <c r="M290" i="1"/>
  <c r="J290" i="1"/>
  <c r="M289" i="1"/>
  <c r="J289" i="1"/>
  <c r="M288" i="1"/>
  <c r="J288" i="1"/>
  <c r="M287" i="1"/>
  <c r="J287" i="1"/>
  <c r="M286" i="1"/>
  <c r="J286" i="1"/>
  <c r="M285" i="1"/>
  <c r="J285" i="1"/>
  <c r="M284" i="1"/>
  <c r="J284" i="1"/>
  <c r="M283" i="1"/>
  <c r="J283" i="1"/>
  <c r="J298" i="1"/>
  <c r="M297" i="1"/>
  <c r="J297" i="1"/>
  <c r="J296" i="1"/>
  <c r="M295" i="1"/>
  <c r="J295" i="1"/>
  <c r="J310" i="1"/>
  <c r="M309" i="1"/>
  <c r="J309" i="1"/>
  <c r="M308" i="1"/>
  <c r="J308" i="1"/>
  <c r="J307" i="1"/>
  <c r="M306" i="1"/>
  <c r="J306" i="1"/>
  <c r="M305" i="1"/>
  <c r="J305" i="1"/>
  <c r="J300" i="1"/>
  <c r="M300" i="1"/>
  <c r="M301" i="1"/>
  <c r="J301" i="1"/>
  <c r="M303" i="1"/>
  <c r="J303" i="1"/>
  <c r="M299" i="1"/>
  <c r="J299" i="1"/>
  <c r="J292" i="1"/>
  <c r="M292" i="1"/>
  <c r="J291" i="1"/>
  <c r="M291" i="1"/>
  <c r="J304" i="1"/>
  <c r="M302" i="1"/>
  <c r="J302" i="1"/>
  <c r="J294" i="1"/>
  <c r="M293" i="1"/>
  <c r="J293" i="1"/>
  <c r="M282" i="1"/>
  <c r="J282" i="1"/>
  <c r="J281" i="1"/>
  <c r="M281" i="1"/>
  <c r="J280" i="1"/>
  <c r="M280" i="1"/>
  <c r="M279" i="1"/>
  <c r="J279" i="1"/>
  <c r="M3848" i="1"/>
  <c r="M3847" i="1"/>
  <c r="J3053" i="1"/>
  <c r="J3052" i="1"/>
  <c r="J3051" i="1"/>
  <c r="J3050" i="1"/>
  <c r="J3049" i="1"/>
  <c r="J3048" i="1"/>
  <c r="J3047" i="1"/>
  <c r="J3046" i="1"/>
  <c r="J3045" i="1"/>
  <c r="J3044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M2953" i="1"/>
  <c r="M2952" i="1"/>
  <c r="M2950" i="1"/>
  <c r="M2502" i="1" l="1"/>
  <c r="J2502" i="1"/>
  <c r="M2501" i="1"/>
  <c r="J2501" i="1"/>
  <c r="M2500" i="1"/>
  <c r="J2500" i="1"/>
  <c r="M2499" i="1"/>
  <c r="J2499" i="1"/>
  <c r="M2498" i="1"/>
  <c r="J2498" i="1"/>
  <c r="M2497" i="1"/>
  <c r="J2497" i="1"/>
  <c r="M2496" i="1"/>
  <c r="J2496" i="1"/>
  <c r="M2495" i="1"/>
  <c r="J2495" i="1"/>
  <c r="M2459" i="1"/>
  <c r="M2458" i="1"/>
  <c r="M2457" i="1"/>
  <c r="M2456" i="1"/>
  <c r="M2455" i="1"/>
  <c r="M2454" i="1"/>
  <c r="M1738" i="1" l="1"/>
  <c r="M1737" i="1"/>
  <c r="M1736" i="1"/>
  <c r="M1735" i="1"/>
  <c r="M1734" i="1"/>
  <c r="M1733" i="1"/>
  <c r="M1493" i="1"/>
  <c r="J1493" i="1"/>
  <c r="M1492" i="1"/>
  <c r="J1492" i="1"/>
  <c r="M1336" i="1"/>
  <c r="M1335" i="1"/>
  <c r="M1334" i="1"/>
  <c r="M1333" i="1"/>
  <c r="M1332" i="1"/>
  <c r="M1331" i="1"/>
  <c r="J1140" i="1"/>
  <c r="J1139" i="1"/>
  <c r="J1138" i="1"/>
  <c r="J1137" i="1"/>
  <c r="J1136" i="1"/>
  <c r="J1135" i="1"/>
  <c r="J1134" i="1"/>
  <c r="J1133" i="1"/>
  <c r="J1132" i="1"/>
  <c r="J1131" i="1"/>
  <c r="J1130" i="1"/>
  <c r="M1105" i="1"/>
  <c r="M1104" i="1"/>
  <c r="M1038" i="1"/>
  <c r="M1037" i="1"/>
  <c r="M1036" i="1"/>
  <c r="M1035" i="1"/>
  <c r="M1034" i="1"/>
  <c r="M1033" i="1"/>
  <c r="M1032" i="1"/>
  <c r="M931" i="1"/>
  <c r="M930" i="1"/>
  <c r="M929" i="1"/>
  <c r="M928" i="1"/>
  <c r="M4472" i="1" l="1"/>
  <c r="M4471" i="1"/>
  <c r="M4470" i="1"/>
  <c r="M146" i="1" l="1"/>
  <c r="M145" i="1"/>
  <c r="M144" i="1"/>
  <c r="M143" i="1"/>
  <c r="M142" i="1"/>
  <c r="M141" i="1"/>
  <c r="M140" i="1"/>
  <c r="M4101" i="1"/>
  <c r="M4100" i="1"/>
  <c r="M4099" i="1"/>
  <c r="M4097" i="1"/>
  <c r="M4096" i="1"/>
  <c r="M4095" i="1"/>
  <c r="M4098" i="1"/>
  <c r="M4094" i="1"/>
  <c r="M4093" i="1"/>
  <c r="M4091" i="1"/>
  <c r="M4090" i="1"/>
  <c r="M4089" i="1"/>
  <c r="M4092" i="1"/>
  <c r="M4080" i="1"/>
  <c r="M4079" i="1"/>
  <c r="M4078" i="1"/>
  <c r="M4077" i="1"/>
  <c r="M4076" i="1"/>
  <c r="M4075" i="1"/>
  <c r="M4074" i="1"/>
  <c r="M4072" i="1"/>
  <c r="M4071" i="1"/>
  <c r="M4070" i="1"/>
  <c r="M4069" i="1"/>
  <c r="M4068" i="1"/>
  <c r="M4067" i="1"/>
  <c r="M4066" i="1"/>
  <c r="M4065" i="1"/>
  <c r="M4062" i="1"/>
  <c r="M4061" i="1"/>
  <c r="M4030" i="1"/>
  <c r="M4035" i="1"/>
  <c r="M4034" i="1"/>
  <c r="M4033" i="1"/>
  <c r="M4032" i="1"/>
  <c r="M4031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1" i="1"/>
  <c r="M3990" i="1"/>
  <c r="M3989" i="1"/>
  <c r="M3988" i="1"/>
  <c r="M3987" i="1"/>
  <c r="M3986" i="1"/>
  <c r="M3985" i="1"/>
  <c r="M3984" i="1"/>
  <c r="M3983" i="1"/>
  <c r="M3982" i="1"/>
  <c r="M3979" i="1"/>
  <c r="M3978" i="1"/>
  <c r="M3981" i="1"/>
  <c r="M3980" i="1"/>
  <c r="M3977" i="1"/>
  <c r="M3976" i="1"/>
  <c r="M3932" i="1"/>
  <c r="M3931" i="1"/>
  <c r="M3927" i="1"/>
  <c r="M3926" i="1"/>
  <c r="M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77" i="1"/>
  <c r="M3876" i="1"/>
  <c r="M3875" i="1"/>
  <c r="M3874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6" i="1"/>
  <c r="M3845" i="1"/>
  <c r="M3844" i="1"/>
  <c r="M3843" i="1"/>
  <c r="M3842" i="1"/>
  <c r="M3841" i="1"/>
  <c r="M3755" i="1"/>
  <c r="M3754" i="1"/>
  <c r="M3753" i="1"/>
  <c r="M3752" i="1"/>
  <c r="M3751" i="1"/>
  <c r="M3750" i="1"/>
  <c r="M3749" i="1"/>
  <c r="M3748" i="1"/>
  <c r="M3697" i="1"/>
  <c r="M3696" i="1"/>
  <c r="J3620" i="1"/>
  <c r="J3619" i="1"/>
  <c r="M3589" i="1" l="1"/>
  <c r="M3590" i="1"/>
  <c r="M3587" i="1"/>
  <c r="M3584" i="1"/>
  <c r="M3583" i="1"/>
  <c r="M3495" i="1"/>
  <c r="J3494" i="1"/>
  <c r="J3493" i="1"/>
  <c r="J3492" i="1"/>
  <c r="J3491" i="1"/>
  <c r="M3490" i="1"/>
  <c r="M3489" i="1"/>
  <c r="M3488" i="1"/>
  <c r="M3487" i="1"/>
  <c r="M3486" i="1"/>
  <c r="M3484" i="1"/>
  <c r="M3485" i="1"/>
  <c r="M3483" i="1"/>
  <c r="M3473" i="1" l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32" i="1"/>
  <c r="M3429" i="1"/>
  <c r="M3433" i="1"/>
  <c r="M3431" i="1"/>
  <c r="M3449" i="1"/>
  <c r="M3448" i="1"/>
  <c r="M3447" i="1"/>
  <c r="M3446" i="1"/>
  <c r="M3445" i="1"/>
  <c r="M3444" i="1"/>
  <c r="M3443" i="1"/>
  <c r="M3442" i="1"/>
  <c r="M3441" i="1"/>
  <c r="M3440" i="1"/>
  <c r="M3439" i="1"/>
  <c r="M3430" i="1"/>
  <c r="M3428" i="1"/>
  <c r="M3436" i="1"/>
  <c r="M3435" i="1"/>
  <c r="M3438" i="1"/>
  <c r="M3437" i="1"/>
  <c r="M3434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M3372" i="1"/>
  <c r="J3372" i="1"/>
  <c r="M3371" i="1"/>
  <c r="J3371" i="1"/>
  <c r="M3370" i="1"/>
  <c r="J3370" i="1"/>
  <c r="M3369" i="1"/>
  <c r="J3369" i="1"/>
  <c r="M3368" i="1"/>
  <c r="J3368" i="1"/>
  <c r="M3367" i="1"/>
  <c r="J3367" i="1"/>
  <c r="M3366" i="1"/>
  <c r="J3366" i="1"/>
  <c r="M3365" i="1"/>
  <c r="J3365" i="1"/>
  <c r="M3364" i="1"/>
  <c r="J3364" i="1"/>
  <c r="M3363" i="1"/>
  <c r="J3363" i="1"/>
  <c r="M3362" i="1"/>
  <c r="J3362" i="1"/>
  <c r="M3361" i="1"/>
  <c r="J3361" i="1"/>
  <c r="M3360" i="1"/>
  <c r="J3360" i="1"/>
  <c r="M3359" i="1"/>
  <c r="J3359" i="1"/>
  <c r="M3358" i="1"/>
  <c r="J3358" i="1"/>
  <c r="M3357" i="1"/>
  <c r="J3357" i="1"/>
  <c r="M3356" i="1"/>
  <c r="J3356" i="1"/>
  <c r="M3355" i="1"/>
  <c r="J3355" i="1"/>
  <c r="J3354" i="1"/>
  <c r="J3353" i="1"/>
  <c r="J3352" i="1"/>
  <c r="M3354" i="1"/>
  <c r="M3353" i="1"/>
  <c r="M3352" i="1"/>
  <c r="M3351" i="1"/>
  <c r="J3351" i="1"/>
  <c r="M3350" i="1"/>
  <c r="J3350" i="1"/>
  <c r="M3349" i="1"/>
  <c r="J3349" i="1"/>
  <c r="M3348" i="1"/>
  <c r="J3348" i="1"/>
  <c r="M3347" i="1"/>
  <c r="J3347" i="1"/>
  <c r="M3346" i="1"/>
  <c r="J3346" i="1"/>
  <c r="M3345" i="1"/>
  <c r="J3345" i="1"/>
  <c r="M3344" i="1"/>
  <c r="J3344" i="1"/>
  <c r="M3343" i="1"/>
  <c r="J3343" i="1"/>
  <c r="M3342" i="1"/>
  <c r="J3342" i="1"/>
  <c r="M3341" i="1"/>
  <c r="J3341" i="1"/>
  <c r="M3340" i="1"/>
  <c r="J3340" i="1"/>
  <c r="M3339" i="1"/>
  <c r="J3339" i="1"/>
  <c r="M3338" i="1"/>
  <c r="J3338" i="1"/>
  <c r="M3337" i="1"/>
  <c r="J3337" i="1"/>
  <c r="M3336" i="1"/>
  <c r="J3336" i="1"/>
  <c r="M3335" i="1"/>
  <c r="J3335" i="1"/>
  <c r="M3334" i="1"/>
  <c r="J3334" i="1"/>
  <c r="J3333" i="1"/>
  <c r="M3333" i="1"/>
  <c r="J3332" i="1"/>
  <c r="M3332" i="1"/>
  <c r="J3331" i="1"/>
  <c r="M3331" i="1"/>
  <c r="M3311" i="1"/>
  <c r="J3311" i="1"/>
  <c r="J3302" i="1"/>
  <c r="M3302" i="1"/>
  <c r="J3301" i="1"/>
  <c r="M3301" i="1"/>
  <c r="J3300" i="1"/>
  <c r="M3300" i="1"/>
  <c r="J3299" i="1"/>
  <c r="M3299" i="1"/>
  <c r="J3298" i="1"/>
  <c r="M3298" i="1"/>
  <c r="M3297" i="1"/>
  <c r="J3297" i="1"/>
  <c r="M3286" i="1"/>
  <c r="M3285" i="1"/>
  <c r="M3284" i="1"/>
  <c r="M3283" i="1"/>
  <c r="M3282" i="1"/>
  <c r="M3281" i="1"/>
  <c r="M3280" i="1"/>
  <c r="M3276" i="1"/>
  <c r="M3279" i="1"/>
  <c r="M3278" i="1"/>
  <c r="M3277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158" i="1"/>
  <c r="M3157" i="1"/>
  <c r="M3156" i="1"/>
  <c r="M3155" i="1"/>
  <c r="M3154" i="1"/>
  <c r="M3153" i="1"/>
  <c r="M3152" i="1"/>
  <c r="M3151" i="1"/>
  <c r="M3086" i="1"/>
  <c r="M3085" i="1"/>
  <c r="M3084" i="1"/>
  <c r="M3083" i="1"/>
  <c r="M3082" i="1"/>
  <c r="M3081" i="1"/>
  <c r="M3071" i="1"/>
  <c r="J3071" i="1"/>
  <c r="M3070" i="1"/>
  <c r="J3070" i="1"/>
  <c r="J3069" i="1"/>
  <c r="M3069" i="1"/>
  <c r="M3068" i="1"/>
  <c r="J3068" i="1"/>
  <c r="M3067" i="1"/>
  <c r="M3065" i="1"/>
  <c r="J3065" i="1"/>
  <c r="J3043" i="1"/>
  <c r="J3042" i="1"/>
  <c r="J3041" i="1"/>
  <c r="J3040" i="1"/>
  <c r="M3029" i="1"/>
  <c r="M3028" i="1"/>
  <c r="M3027" i="1"/>
  <c r="M3026" i="1"/>
  <c r="M3025" i="1"/>
  <c r="M3021" i="1"/>
  <c r="M3020" i="1"/>
  <c r="M3019" i="1"/>
  <c r="M3018" i="1"/>
  <c r="M3017" i="1"/>
  <c r="M3016" i="1"/>
  <c r="M2951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6" i="1"/>
  <c r="M2907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0" i="1"/>
  <c r="M2889" i="1"/>
  <c r="M2888" i="1"/>
  <c r="M2887" i="1"/>
  <c r="M2886" i="1"/>
  <c r="M2885" i="1"/>
  <c r="M2884" i="1"/>
  <c r="M2883" i="1"/>
  <c r="M2882" i="1"/>
  <c r="M2881" i="1"/>
  <c r="M2880" i="1"/>
  <c r="J2851" i="1"/>
  <c r="J2850" i="1"/>
  <c r="J2849" i="1"/>
  <c r="J2848" i="1"/>
  <c r="J2847" i="1"/>
  <c r="J2846" i="1"/>
  <c r="J2845" i="1"/>
  <c r="M2844" i="1"/>
  <c r="M2843" i="1"/>
  <c r="M2842" i="1"/>
  <c r="M2841" i="1"/>
  <c r="M2838" i="1"/>
  <c r="M2837" i="1"/>
  <c r="M2836" i="1"/>
  <c r="M2831" i="1"/>
  <c r="M2830" i="1"/>
  <c r="M2829" i="1"/>
  <c r="M2828" i="1"/>
  <c r="J2712" i="1"/>
  <c r="J2711" i="1"/>
  <c r="J2710" i="1"/>
  <c r="J2709" i="1"/>
  <c r="J2708" i="1"/>
  <c r="J2707" i="1"/>
  <c r="J2704" i="1"/>
  <c r="J2706" i="1"/>
  <c r="J2705" i="1"/>
  <c r="J2703" i="1"/>
  <c r="J2702" i="1"/>
  <c r="J2701" i="1"/>
  <c r="M2678" i="1"/>
  <c r="M2677" i="1"/>
  <c r="M2679" i="1"/>
  <c r="M2676" i="1"/>
  <c r="J2673" i="1"/>
  <c r="M2673" i="1"/>
  <c r="J2672" i="1"/>
  <c r="M2672" i="1"/>
  <c r="J2671" i="1"/>
  <c r="M2671" i="1"/>
  <c r="M2670" i="1"/>
  <c r="J2670" i="1"/>
  <c r="J2669" i="1"/>
  <c r="M2669" i="1"/>
  <c r="J2668" i="1"/>
  <c r="M2668" i="1"/>
  <c r="M2666" i="1"/>
  <c r="M2665" i="1"/>
  <c r="M2664" i="1"/>
  <c r="M2663" i="1"/>
  <c r="M2662" i="1"/>
  <c r="M2661" i="1"/>
  <c r="M2660" i="1"/>
  <c r="M2659" i="1"/>
  <c r="M2658" i="1"/>
  <c r="M2657" i="1"/>
  <c r="M2656" i="1"/>
  <c r="M2654" i="1"/>
  <c r="M2639" i="1"/>
  <c r="M2638" i="1"/>
  <c r="M2561" i="1" l="1"/>
  <c r="M2560" i="1"/>
  <c r="M2559" i="1"/>
  <c r="M2550" i="1"/>
  <c r="J2550" i="1"/>
  <c r="M2549" i="1"/>
  <c r="J2549" i="1"/>
  <c r="M2548" i="1"/>
  <c r="J2548" i="1"/>
  <c r="M2547" i="1"/>
  <c r="J2547" i="1"/>
  <c r="M2546" i="1"/>
  <c r="J2546" i="1"/>
  <c r="M2545" i="1"/>
  <c r="J2545" i="1"/>
  <c r="M2544" i="1"/>
  <c r="J2544" i="1"/>
  <c r="M2543" i="1"/>
  <c r="J2543" i="1"/>
  <c r="M2542" i="1"/>
  <c r="J2542" i="1"/>
  <c r="M2541" i="1"/>
  <c r="J2541" i="1"/>
  <c r="M2540" i="1"/>
  <c r="J2540" i="1"/>
  <c r="M2539" i="1"/>
  <c r="J2539" i="1"/>
  <c r="M2538" i="1"/>
  <c r="J2538" i="1"/>
  <c r="M2537" i="1"/>
  <c r="J2537" i="1"/>
  <c r="M2536" i="1"/>
  <c r="J2536" i="1"/>
  <c r="M2535" i="1"/>
  <c r="J2535" i="1"/>
  <c r="M2534" i="1"/>
  <c r="J2534" i="1"/>
  <c r="M2533" i="1"/>
  <c r="J2533" i="1"/>
  <c r="M2532" i="1"/>
  <c r="J2532" i="1"/>
  <c r="M2531" i="1"/>
  <c r="J2531" i="1"/>
  <c r="M2530" i="1"/>
  <c r="J2530" i="1"/>
  <c r="M2529" i="1"/>
  <c r="J2529" i="1"/>
  <c r="M2528" i="1"/>
  <c r="J2528" i="1"/>
  <c r="M2527" i="1"/>
  <c r="J2527" i="1"/>
  <c r="M2526" i="1"/>
  <c r="J2526" i="1"/>
  <c r="M2525" i="1"/>
  <c r="J2525" i="1"/>
  <c r="M2524" i="1"/>
  <c r="J2524" i="1"/>
  <c r="M2523" i="1"/>
  <c r="J2523" i="1"/>
  <c r="M2522" i="1"/>
  <c r="J2522" i="1"/>
  <c r="M2521" i="1"/>
  <c r="J2521" i="1"/>
  <c r="M2520" i="1"/>
  <c r="J2520" i="1"/>
  <c r="M2519" i="1"/>
  <c r="J2519" i="1"/>
  <c r="M2518" i="1"/>
  <c r="J2518" i="1"/>
  <c r="M2517" i="1"/>
  <c r="J2517" i="1"/>
  <c r="M2516" i="1"/>
  <c r="J2516" i="1"/>
  <c r="M2515" i="1"/>
  <c r="J2515" i="1"/>
  <c r="M2514" i="1"/>
  <c r="J2514" i="1"/>
  <c r="M2513" i="1"/>
  <c r="J2513" i="1"/>
  <c r="M2512" i="1"/>
  <c r="J2512" i="1"/>
  <c r="M2511" i="1"/>
  <c r="J2511" i="1"/>
  <c r="M2510" i="1"/>
  <c r="J2510" i="1"/>
  <c r="M2509" i="1"/>
  <c r="J2509" i="1"/>
  <c r="M2508" i="1"/>
  <c r="J2508" i="1"/>
  <c r="M2507" i="1"/>
  <c r="J2507" i="1"/>
  <c r="M2506" i="1"/>
  <c r="J2506" i="1"/>
  <c r="M2505" i="1"/>
  <c r="J2505" i="1"/>
  <c r="J2504" i="1"/>
  <c r="M2504" i="1"/>
  <c r="J2503" i="1"/>
  <c r="M2503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M2343" i="1"/>
  <c r="M2342" i="1"/>
  <c r="M2341" i="1"/>
  <c r="M2340" i="1"/>
  <c r="M2330" i="1"/>
  <c r="M2332" i="1"/>
  <c r="M2331" i="1"/>
  <c r="M2329" i="1"/>
  <c r="J2301" i="1"/>
  <c r="J2299" i="1"/>
  <c r="J2297" i="1"/>
  <c r="J2295" i="1"/>
  <c r="J2293" i="1"/>
  <c r="J2291" i="1"/>
  <c r="J2289" i="1"/>
  <c r="J2288" i="1"/>
  <c r="J2287" i="1"/>
  <c r="J2286" i="1"/>
  <c r="J2284" i="1"/>
  <c r="J2281" i="1"/>
  <c r="J2278" i="1"/>
  <c r="J2275" i="1"/>
  <c r="M2234" i="1"/>
  <c r="M2233" i="1"/>
  <c r="M2232" i="1"/>
  <c r="M2231" i="1"/>
  <c r="M2230" i="1"/>
  <c r="M2229" i="1"/>
  <c r="M2228" i="1"/>
  <c r="M2198" i="1" l="1"/>
  <c r="M2197" i="1"/>
  <c r="M2196" i="1"/>
  <c r="M2195" i="1"/>
  <c r="M2194" i="1"/>
  <c r="M2193" i="1"/>
  <c r="M2175" i="1"/>
  <c r="M2174" i="1"/>
  <c r="M2173" i="1"/>
  <c r="M2172" i="1"/>
  <c r="M2171" i="1"/>
  <c r="M2169" i="1"/>
  <c r="M2168" i="1"/>
  <c r="M2167" i="1"/>
  <c r="M2166" i="1"/>
  <c r="M2165" i="1"/>
  <c r="M2164" i="1"/>
  <c r="M2163" i="1"/>
  <c r="M2162" i="1"/>
  <c r="M2161" i="1"/>
  <c r="M2158" i="1"/>
  <c r="M2160" i="1"/>
  <c r="M2159" i="1"/>
  <c r="M2031" i="1"/>
  <c r="M2030" i="1"/>
  <c r="M2029" i="1"/>
  <c r="M2028" i="1"/>
  <c r="M2026" i="1"/>
  <c r="M2025" i="1"/>
  <c r="M2024" i="1"/>
  <c r="M2023" i="1"/>
  <c r="M2022" i="1"/>
  <c r="M2021" i="1"/>
  <c r="M1995" i="1"/>
  <c r="M1994" i="1"/>
  <c r="M1993" i="1"/>
  <c r="M1992" i="1"/>
  <c r="M1991" i="1"/>
  <c r="M1990" i="1"/>
  <c r="M1873" i="1" l="1"/>
  <c r="M1872" i="1"/>
  <c r="M1871" i="1"/>
  <c r="M1870" i="1"/>
  <c r="M1869" i="1"/>
  <c r="M1868" i="1"/>
  <c r="M1866" i="1"/>
  <c r="M1850" i="1"/>
  <c r="M1820" i="1"/>
  <c r="M1817" i="1"/>
  <c r="M1816" i="1"/>
  <c r="M1815" i="1"/>
  <c r="J1757" i="1"/>
  <c r="M1757" i="1"/>
  <c r="J1756" i="1"/>
  <c r="M1756" i="1"/>
  <c r="J1755" i="1"/>
  <c r="M1755" i="1"/>
  <c r="J1754" i="1"/>
  <c r="M1754" i="1"/>
  <c r="M1753" i="1"/>
  <c r="J1753" i="1"/>
  <c r="M1740" i="1"/>
  <c r="M1739" i="1"/>
  <c r="M1732" i="1"/>
  <c r="M1731" i="1"/>
  <c r="M1730" i="1"/>
  <c r="M1729" i="1"/>
  <c r="M1728" i="1"/>
  <c r="M1727" i="1"/>
  <c r="M1726" i="1"/>
  <c r="M1725" i="1"/>
  <c r="M1724" i="1"/>
  <c r="J1723" i="1"/>
  <c r="J1722" i="1"/>
  <c r="J1721" i="1"/>
  <c r="J1720" i="1"/>
  <c r="J1719" i="1"/>
  <c r="J1718" i="1"/>
  <c r="J1717" i="1"/>
  <c r="M1715" i="1"/>
  <c r="M1714" i="1"/>
  <c r="M1713" i="1"/>
  <c r="M1712" i="1"/>
  <c r="M1711" i="1"/>
  <c r="M1710" i="1"/>
  <c r="M1709" i="1"/>
  <c r="M1708" i="1"/>
  <c r="M1707" i="1"/>
  <c r="M1706" i="1"/>
  <c r="M1705" i="1"/>
  <c r="J1705" i="1"/>
  <c r="M1704" i="1"/>
  <c r="J1704" i="1"/>
  <c r="J1703" i="1"/>
  <c r="M1703" i="1"/>
  <c r="J1702" i="1"/>
  <c r="M1702" i="1"/>
  <c r="J1701" i="1"/>
  <c r="M1669" i="1"/>
  <c r="M1668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32" i="1"/>
  <c r="M1631" i="1"/>
  <c r="M1630" i="1"/>
  <c r="M1638" i="1"/>
  <c r="M1637" i="1"/>
  <c r="M1636" i="1"/>
  <c r="M1635" i="1"/>
  <c r="M1629" i="1"/>
  <c r="M1634" i="1"/>
  <c r="M1633" i="1"/>
  <c r="M1628" i="1"/>
  <c r="M1627" i="1"/>
  <c r="M1626" i="1"/>
  <c r="M1625" i="1"/>
  <c r="J1526" i="1"/>
  <c r="J1525" i="1"/>
  <c r="J1524" i="1"/>
  <c r="J1523" i="1"/>
  <c r="J1522" i="1"/>
  <c r="J1521" i="1"/>
  <c r="J1519" i="1"/>
  <c r="J1520" i="1"/>
  <c r="J1518" i="1"/>
  <c r="J1517" i="1"/>
  <c r="J1516" i="1"/>
  <c r="J1515" i="1"/>
  <c r="J1514" i="1"/>
  <c r="J1513" i="1"/>
  <c r="J1512" i="1"/>
  <c r="M1504" i="1"/>
  <c r="M1501" i="1" l="1"/>
  <c r="M1500" i="1"/>
  <c r="J1499" i="1"/>
  <c r="M1491" i="1" l="1"/>
  <c r="J1491" i="1"/>
  <c r="M1490" i="1"/>
  <c r="J1490" i="1"/>
  <c r="M1483" i="1"/>
  <c r="J1483" i="1"/>
  <c r="M1482" i="1"/>
  <c r="J1482" i="1"/>
  <c r="M1487" i="1"/>
  <c r="J1487" i="1"/>
  <c r="M1486" i="1"/>
  <c r="J1486" i="1"/>
  <c r="J1485" i="1"/>
  <c r="M1485" i="1"/>
  <c r="J1489" i="1"/>
  <c r="M1489" i="1"/>
  <c r="J1488" i="1"/>
  <c r="M1488" i="1"/>
  <c r="M1484" i="1"/>
  <c r="J1484" i="1"/>
  <c r="M1330" i="1" l="1"/>
  <c r="M1326" i="1"/>
  <c r="M1322" i="1"/>
  <c r="M1329" i="1"/>
  <c r="M1328" i="1"/>
  <c r="M1327" i="1"/>
  <c r="M1325" i="1"/>
  <c r="M1324" i="1"/>
  <c r="M1323" i="1"/>
  <c r="M1321" i="1"/>
  <c r="M1320" i="1"/>
  <c r="M1319" i="1"/>
  <c r="M1315" i="1"/>
  <c r="M1314" i="1"/>
  <c r="M1313" i="1"/>
  <c r="M1312" i="1"/>
  <c r="M1311" i="1"/>
  <c r="M1310" i="1"/>
  <c r="M1309" i="1"/>
  <c r="M1308" i="1"/>
  <c r="M1307" i="1"/>
  <c r="M1306" i="1"/>
  <c r="L1183" i="1" l="1"/>
  <c r="L1182" i="1"/>
  <c r="L1181" i="1"/>
  <c r="L1180" i="1"/>
  <c r="L1178" i="1"/>
  <c r="L1179" i="1"/>
  <c r="L1177" i="1"/>
  <c r="L1176" i="1"/>
  <c r="L1175" i="1"/>
  <c r="L1174" i="1"/>
  <c r="L1173" i="1"/>
  <c r="L1172" i="1"/>
  <c r="J1165" i="1" l="1"/>
  <c r="J1167" i="1"/>
  <c r="J1166" i="1"/>
  <c r="J1164" i="1"/>
  <c r="J1153" i="1"/>
  <c r="J1152" i="1"/>
  <c r="J1151" i="1"/>
  <c r="J1150" i="1"/>
  <c r="J1149" i="1"/>
  <c r="J1148" i="1"/>
  <c r="M1142" i="1"/>
  <c r="J1112" i="1"/>
  <c r="J1111" i="1"/>
  <c r="J1110" i="1"/>
  <c r="J1109" i="1"/>
  <c r="M1100" i="1"/>
  <c r="M1099" i="1"/>
  <c r="M1031" i="1"/>
  <c r="M1030" i="1"/>
  <c r="M1029" i="1"/>
  <c r="M1028" i="1"/>
  <c r="M1027" i="1"/>
  <c r="M1026" i="1"/>
  <c r="M1025" i="1"/>
  <c r="M960" i="1" l="1"/>
  <c r="M959" i="1"/>
  <c r="M958" i="1"/>
  <c r="M957" i="1"/>
  <c r="M956" i="1"/>
  <c r="M955" i="1"/>
  <c r="M954" i="1"/>
  <c r="M953" i="1"/>
  <c r="M949" i="1"/>
  <c r="M950" i="1"/>
  <c r="M951" i="1"/>
  <c r="M952" i="1"/>
  <c r="M940" i="1"/>
  <c r="M939" i="1"/>
  <c r="M938" i="1"/>
  <c r="M937" i="1"/>
  <c r="M932" i="1"/>
  <c r="M927" i="1"/>
  <c r="M926" i="1"/>
  <c r="M925" i="1"/>
  <c r="M924" i="1"/>
  <c r="M899" i="1"/>
  <c r="J899" i="1"/>
  <c r="M898" i="1"/>
  <c r="J898" i="1"/>
  <c r="M897" i="1"/>
  <c r="J897" i="1"/>
  <c r="M896" i="1"/>
  <c r="J896" i="1"/>
  <c r="M895" i="1"/>
  <c r="J895" i="1"/>
  <c r="M894" i="1"/>
  <c r="J894" i="1"/>
  <c r="M893" i="1"/>
  <c r="J893" i="1"/>
  <c r="M892" i="1"/>
  <c r="J892" i="1"/>
  <c r="J891" i="1"/>
  <c r="J890" i="1"/>
  <c r="M891" i="1"/>
  <c r="M890" i="1"/>
  <c r="M860" i="1"/>
  <c r="M859" i="1"/>
  <c r="M858" i="1"/>
  <c r="M857" i="1"/>
  <c r="M856" i="1"/>
  <c r="M855" i="1"/>
  <c r="M854" i="1"/>
  <c r="M853" i="1"/>
  <c r="M852" i="1"/>
  <c r="M851" i="1"/>
  <c r="M775" i="1" l="1"/>
  <c r="J775" i="1"/>
  <c r="M774" i="1"/>
  <c r="J774" i="1"/>
  <c r="M773" i="1"/>
  <c r="J773" i="1"/>
  <c r="M772" i="1"/>
  <c r="J772" i="1"/>
  <c r="M771" i="1"/>
  <c r="J771" i="1"/>
  <c r="M770" i="1"/>
  <c r="J770" i="1"/>
  <c r="M769" i="1"/>
  <c r="J769" i="1"/>
  <c r="M768" i="1"/>
  <c r="J768" i="1"/>
  <c r="M767" i="1"/>
  <c r="J767" i="1"/>
  <c r="M766" i="1"/>
  <c r="J766" i="1"/>
  <c r="M765" i="1"/>
  <c r="J765" i="1"/>
  <c r="M764" i="1"/>
  <c r="J764" i="1"/>
  <c r="M763" i="1"/>
  <c r="J763" i="1"/>
  <c r="M762" i="1"/>
  <c r="J762" i="1"/>
  <c r="M761" i="1"/>
  <c r="J761" i="1"/>
  <c r="M760" i="1"/>
  <c r="J760" i="1"/>
  <c r="M759" i="1"/>
  <c r="J759" i="1"/>
  <c r="M758" i="1"/>
  <c r="J758" i="1"/>
  <c r="M757" i="1"/>
  <c r="J757" i="1"/>
  <c r="M756" i="1"/>
  <c r="J756" i="1"/>
  <c r="M755" i="1"/>
  <c r="J755" i="1"/>
  <c r="M754" i="1"/>
  <c r="J754" i="1"/>
  <c r="M753" i="1"/>
  <c r="J753" i="1"/>
  <c r="M752" i="1"/>
  <c r="J752" i="1"/>
  <c r="M751" i="1"/>
  <c r="J751" i="1"/>
  <c r="M750" i="1"/>
  <c r="J750" i="1"/>
  <c r="M749" i="1"/>
  <c r="J749" i="1"/>
  <c r="M748" i="1"/>
  <c r="J748" i="1"/>
  <c r="M747" i="1"/>
  <c r="J747" i="1"/>
  <c r="M746" i="1"/>
  <c r="J746" i="1"/>
  <c r="M745" i="1"/>
  <c r="J745" i="1"/>
  <c r="M744" i="1"/>
  <c r="J744" i="1"/>
  <c r="M743" i="1"/>
  <c r="J743" i="1"/>
  <c r="M742" i="1"/>
  <c r="J742" i="1"/>
  <c r="M741" i="1"/>
  <c r="J741" i="1"/>
  <c r="M740" i="1"/>
  <c r="J740" i="1"/>
  <c r="M739" i="1"/>
  <c r="J739" i="1"/>
  <c r="M738" i="1"/>
  <c r="J738" i="1"/>
  <c r="M737" i="1"/>
  <c r="J737" i="1"/>
  <c r="M736" i="1"/>
  <c r="J736" i="1"/>
  <c r="M735" i="1"/>
  <c r="J735" i="1"/>
  <c r="M734" i="1"/>
  <c r="J734" i="1"/>
  <c r="M733" i="1"/>
  <c r="J733" i="1"/>
  <c r="M732" i="1"/>
  <c r="J732" i="1"/>
  <c r="M731" i="1"/>
  <c r="J731" i="1"/>
  <c r="M730" i="1"/>
  <c r="J730" i="1"/>
  <c r="M729" i="1"/>
  <c r="J729" i="1"/>
  <c r="M728" i="1"/>
  <c r="J728" i="1"/>
  <c r="M727" i="1"/>
  <c r="J727" i="1"/>
  <c r="M726" i="1"/>
  <c r="J726" i="1"/>
  <c r="M725" i="1"/>
  <c r="J725" i="1"/>
  <c r="M724" i="1"/>
  <c r="J724" i="1"/>
  <c r="M723" i="1"/>
  <c r="J723" i="1"/>
  <c r="M722" i="1"/>
  <c r="J722" i="1"/>
  <c r="M721" i="1"/>
  <c r="J721" i="1"/>
  <c r="M720" i="1"/>
  <c r="J720" i="1"/>
  <c r="M719" i="1"/>
  <c r="J719" i="1"/>
  <c r="M718" i="1"/>
  <c r="J718" i="1"/>
  <c r="M717" i="1"/>
  <c r="J717" i="1"/>
  <c r="M716" i="1"/>
  <c r="J716" i="1"/>
  <c r="M715" i="1"/>
  <c r="J715" i="1"/>
  <c r="M714" i="1"/>
  <c r="J714" i="1"/>
  <c r="M713" i="1"/>
  <c r="J713" i="1"/>
  <c r="M712" i="1"/>
  <c r="J712" i="1"/>
  <c r="M711" i="1"/>
  <c r="J711" i="1"/>
  <c r="M710" i="1"/>
  <c r="J710" i="1"/>
  <c r="M709" i="1"/>
  <c r="J709" i="1"/>
  <c r="M708" i="1"/>
  <c r="J708" i="1"/>
  <c r="M707" i="1"/>
  <c r="J707" i="1"/>
  <c r="M706" i="1"/>
  <c r="J706" i="1"/>
  <c r="M705" i="1"/>
  <c r="J705" i="1"/>
  <c r="M704" i="1"/>
  <c r="J704" i="1"/>
  <c r="M703" i="1"/>
  <c r="J703" i="1"/>
  <c r="M702" i="1"/>
  <c r="J702" i="1"/>
  <c r="M701" i="1"/>
  <c r="J701" i="1"/>
  <c r="M700" i="1"/>
  <c r="J700" i="1"/>
  <c r="M699" i="1"/>
  <c r="J699" i="1"/>
  <c r="M698" i="1"/>
  <c r="J698" i="1"/>
  <c r="M697" i="1"/>
  <c r="J697" i="1"/>
  <c r="M696" i="1"/>
  <c r="J696" i="1"/>
  <c r="M695" i="1"/>
  <c r="J695" i="1"/>
  <c r="M694" i="1"/>
  <c r="J694" i="1"/>
  <c r="M693" i="1"/>
  <c r="J693" i="1"/>
  <c r="M692" i="1"/>
  <c r="J692" i="1"/>
  <c r="M691" i="1"/>
  <c r="J691" i="1"/>
  <c r="M690" i="1"/>
  <c r="J690" i="1"/>
  <c r="M689" i="1"/>
  <c r="J689" i="1"/>
  <c r="M688" i="1"/>
  <c r="J688" i="1"/>
  <c r="M687" i="1"/>
  <c r="J687" i="1"/>
  <c r="M686" i="1"/>
  <c r="J686" i="1"/>
  <c r="M685" i="1"/>
  <c r="J685" i="1"/>
  <c r="M684" i="1"/>
  <c r="J684" i="1"/>
  <c r="M683" i="1"/>
  <c r="J683" i="1"/>
  <c r="M682" i="1"/>
  <c r="J682" i="1"/>
  <c r="M681" i="1"/>
  <c r="J681" i="1"/>
  <c r="M680" i="1"/>
  <c r="J680" i="1"/>
  <c r="M679" i="1"/>
  <c r="J679" i="1"/>
  <c r="M678" i="1"/>
  <c r="J678" i="1"/>
  <c r="M677" i="1"/>
  <c r="J677" i="1"/>
  <c r="M676" i="1"/>
  <c r="J676" i="1"/>
  <c r="M675" i="1"/>
  <c r="J675" i="1"/>
  <c r="M674" i="1"/>
  <c r="J674" i="1"/>
  <c r="M673" i="1"/>
  <c r="J673" i="1"/>
  <c r="M672" i="1"/>
  <c r="J672" i="1"/>
  <c r="M671" i="1"/>
  <c r="J671" i="1"/>
  <c r="M670" i="1"/>
  <c r="J670" i="1"/>
  <c r="M669" i="1"/>
  <c r="J669" i="1"/>
  <c r="M668" i="1"/>
  <c r="J668" i="1"/>
  <c r="M667" i="1"/>
  <c r="J667" i="1"/>
  <c r="M666" i="1"/>
  <c r="J666" i="1"/>
  <c r="M665" i="1"/>
  <c r="J665" i="1"/>
  <c r="M664" i="1"/>
  <c r="J664" i="1"/>
  <c r="M663" i="1"/>
  <c r="J663" i="1"/>
  <c r="M662" i="1"/>
  <c r="J662" i="1"/>
  <c r="M661" i="1"/>
  <c r="J661" i="1"/>
  <c r="M660" i="1"/>
  <c r="J660" i="1"/>
  <c r="M659" i="1"/>
  <c r="J659" i="1"/>
  <c r="M658" i="1"/>
  <c r="J658" i="1"/>
  <c r="M657" i="1"/>
  <c r="J657" i="1"/>
  <c r="M656" i="1"/>
  <c r="J656" i="1"/>
  <c r="M655" i="1"/>
  <c r="J655" i="1"/>
  <c r="M654" i="1"/>
  <c r="J654" i="1"/>
  <c r="M653" i="1"/>
  <c r="J653" i="1"/>
  <c r="M652" i="1"/>
  <c r="J652" i="1"/>
  <c r="M651" i="1"/>
  <c r="J651" i="1"/>
  <c r="M650" i="1"/>
  <c r="J650" i="1"/>
  <c r="M621" i="1"/>
  <c r="J621" i="1"/>
  <c r="M620" i="1"/>
  <c r="J620" i="1"/>
  <c r="M619" i="1"/>
  <c r="J619" i="1"/>
  <c r="M618" i="1"/>
  <c r="J618" i="1"/>
  <c r="M617" i="1"/>
  <c r="J617" i="1"/>
  <c r="M616" i="1"/>
  <c r="J616" i="1"/>
  <c r="M615" i="1"/>
  <c r="J615" i="1"/>
  <c r="M614" i="1"/>
  <c r="J614" i="1"/>
  <c r="M611" i="1"/>
  <c r="J611" i="1"/>
  <c r="M610" i="1"/>
  <c r="J610" i="1"/>
  <c r="M613" i="1"/>
  <c r="J613" i="1"/>
  <c r="M612" i="1"/>
  <c r="J612" i="1"/>
  <c r="J609" i="1"/>
  <c r="M609" i="1"/>
  <c r="J608" i="1"/>
  <c r="M608" i="1"/>
  <c r="M573" i="1" l="1"/>
  <c r="M571" i="1"/>
  <c r="M570" i="1"/>
  <c r="J537" i="1"/>
  <c r="J536" i="1"/>
  <c r="J535" i="1"/>
  <c r="J534" i="1"/>
  <c r="J533" i="1"/>
  <c r="J532" i="1"/>
  <c r="M514" i="1"/>
  <c r="M507" i="1"/>
  <c r="M519" i="1"/>
  <c r="M518" i="1"/>
  <c r="M517" i="1"/>
  <c r="M515" i="1"/>
  <c r="M513" i="1"/>
  <c r="M512" i="1"/>
  <c r="M511" i="1"/>
  <c r="M510" i="1"/>
  <c r="M508" i="1"/>
  <c r="M506" i="1"/>
  <c r="M505" i="1"/>
  <c r="M504" i="1"/>
  <c r="M503" i="1"/>
  <c r="M501" i="1"/>
  <c r="M500" i="1"/>
  <c r="M499" i="1"/>
  <c r="M498" i="1"/>
  <c r="M497" i="1"/>
  <c r="M495" i="1"/>
  <c r="M494" i="1"/>
  <c r="M493" i="1"/>
  <c r="M492" i="1"/>
  <c r="M491" i="1"/>
  <c r="M489" i="1"/>
  <c r="M488" i="1"/>
  <c r="M487" i="1"/>
  <c r="M486" i="1"/>
  <c r="M485" i="1"/>
  <c r="M483" i="1"/>
  <c r="M482" i="1"/>
  <c r="M481" i="1"/>
  <c r="M480" i="1"/>
  <c r="M479" i="1"/>
  <c r="M477" i="1"/>
  <c r="M475" i="1"/>
  <c r="M474" i="1"/>
  <c r="M473" i="1"/>
  <c r="M471" i="1"/>
  <c r="M476" i="1"/>
  <c r="M470" i="1"/>
  <c r="M464" i="1" l="1"/>
  <c r="L449" i="1" l="1"/>
  <c r="L448" i="1"/>
  <c r="M435" i="1"/>
  <c r="M434" i="1"/>
  <c r="M433" i="1"/>
  <c r="M432" i="1"/>
  <c r="M431" i="1"/>
  <c r="M430" i="1"/>
  <c r="M423" i="1"/>
  <c r="M422" i="1"/>
  <c r="M396" i="1"/>
  <c r="M395" i="1"/>
  <c r="M384" i="1"/>
  <c r="M383" i="1"/>
  <c r="M394" i="1"/>
  <c r="M393" i="1"/>
  <c r="M392" i="1"/>
  <c r="M391" i="1"/>
  <c r="M390" i="1"/>
  <c r="M389" i="1"/>
  <c r="M388" i="1"/>
  <c r="M387" i="1"/>
  <c r="M386" i="1"/>
  <c r="M385" i="1"/>
  <c r="M462" i="1"/>
  <c r="M460" i="1"/>
  <c r="M459" i="1"/>
  <c r="M456" i="1"/>
  <c r="M455" i="1"/>
  <c r="M454" i="1"/>
  <c r="L452" i="1"/>
  <c r="L451" i="1"/>
  <c r="L450" i="1"/>
  <c r="L447" i="1"/>
  <c r="L446" i="1"/>
  <c r="L445" i="1"/>
  <c r="L444" i="1"/>
  <c r="L443" i="1"/>
  <c r="M429" i="1"/>
  <c r="M428" i="1"/>
  <c r="M427" i="1"/>
  <c r="M426" i="1"/>
  <c r="M425" i="1"/>
  <c r="M424" i="1"/>
  <c r="M421" i="1"/>
  <c r="M382" i="1"/>
  <c r="M381" i="1"/>
  <c r="M380" i="1"/>
  <c r="M379" i="1"/>
  <c r="M378" i="1"/>
  <c r="M377" i="1"/>
  <c r="M374" i="1"/>
  <c r="M373" i="1"/>
  <c r="M332" i="1"/>
</calcChain>
</file>

<file path=xl/sharedStrings.xml><?xml version="1.0" encoding="utf-8"?>
<sst xmlns="http://schemas.openxmlformats.org/spreadsheetml/2006/main" count="121975" uniqueCount="2667">
  <si>
    <t>title</t>
  </si>
  <si>
    <t>Temporal consistency of a facilitation cascade on shallow rocky reefs</t>
  </si>
  <si>
    <t>Bi- and three-dimensional fractal analysis of the brown seaweed Gongolaria montagnei and their relationship with gastropod molluscs assemblage</t>
  </si>
  <si>
    <t>‘Ten Years After’—a long-term settlement and bioerosion experiment in an Arctic rhodolith bed (Mosselbukta, Svalbard)</t>
  </si>
  <si>
    <t>Mussels and canopy-forming algae as ecosystem engineers: their contribution to community organization in the rocky sublittoral</t>
  </si>
  <si>
    <t>Ecosystem engineer morphological traits and taxon identity shape biodiversity across the euphotic–mesophotic transition</t>
  </si>
  <si>
    <t>Effects of habitat homogenisation on assemblages associated with mussel clumps</t>
  </si>
  <si>
    <t>A Manipulative Field Experiment to Evaluate the Impact of Discarded Plastic Bags on Shallow Vegetated Benthic Communities</t>
  </si>
  <si>
    <t>Restored oyster reefs match multiple functions of natural reefs within a decade</t>
  </si>
  <si>
    <t>Climate-driven substitution of foundation species causes breakdown of a facilitation cascade with potential implications for higher trophic levels</t>
  </si>
  <si>
    <t>Restored kelp facilitates lobster recruitment but not other mid-trophic macroinvertebrates</t>
  </si>
  <si>
    <t>Enhancing multiple scales of seafloor biodiversity with mussel restoration</t>
  </si>
  <si>
    <t>Biogeography of algae and invertebrates from waveexposed rocky intertidal habitats along the Atlantic coast of Nova Scotia (Canada): Latitudinal and interannual patterns and possible underlying drivers</t>
  </si>
  <si>
    <t>A Review of Coastal Anthropogenic Impacts on Mytilid Mussel Beds: Effects on Mussels and Their Associated Assemblages</t>
  </si>
  <si>
    <t>Impact of a macrofaunal ecosystem engineer on its assemblage and its habitat in mixed sediments as assessed through manipulative experiments</t>
  </si>
  <si>
    <t>Cascading impacts of a climate-driven ecosystem transition intensifies population vulnerabilities and fishery collapse</t>
  </si>
  <si>
    <t>Foundational biodiversity effects propagate through coastal food webs via multiple pathways</t>
  </si>
  <si>
    <t>Coastal ecosystem services in South Africa’s largest natural bay: The role of marine benthic filter feeders in mitigating pollution</t>
  </si>
  <si>
    <t>Variable fish habitat function in two open-coast eelgrass species</t>
  </si>
  <si>
    <t>Amphipod assemblages associated with native habitat-forming seaweeds of the Alboran Sea: influence by environmental protection and biogeographical patterns</t>
  </si>
  <si>
    <t>Interrelationships between soft corals and reef-associated fishes on inshore-reefs of the Great Barrier Reef</t>
  </si>
  <si>
    <t>Sea temperature and habitat effects on juvenile reef fishes along a tropicalizing coastline</t>
  </si>
  <si>
    <t>Temperature-buffering by oyster habitat provides temporal stability for rocky shore communities</t>
  </si>
  <si>
    <t>A Tropical Macroalga (Halimeda incrassata) Enhances Diversity and Abundance of Epifaunal Assemblages in Mediterranean Seagrass Meadows</t>
  </si>
  <si>
    <t>Habitat-forming organisms in the offshore seabed of the western Arabian Gulf</t>
  </si>
  <si>
    <t>Trophic Diversity and Food Web Structure of Vegetated Habitats Along a Coastal Topographic Gradient</t>
  </si>
  <si>
    <t>Who wins or loses matters: Strongly interacting consumers drive seagrass resistance under ocean acidification</t>
  </si>
  <si>
    <t>Eelgrass meadows harbor more macrofaunal species but bare sediments can be as functionally diverse</t>
  </si>
  <si>
    <t>Influence of ocean warming and acidification on habitat-forming coralline algae and their associated molluscan assemblages</t>
  </si>
  <si>
    <t>Functional traits of polychaetes change between different types of Posidonia oceanica habitats</t>
  </si>
  <si>
    <t>Habitat-builders complexity boosts associated fauna functional trait richness (Zostera marina meadows, Baltic Sea)</t>
  </si>
  <si>
    <t>Widespread seagrass die-off has no legacy effect on basal resource use of seagrass food webs in Florida Bay, USA</t>
  </si>
  <si>
    <t>Influence of oyster reefs on infauna and sediment spatial distributions within intertidal mudflats</t>
  </si>
  <si>
    <t>Seascape context matters more than habitat condition for fish assemblages in coastal ecosystems</t>
  </si>
  <si>
    <t>Could the annual Saccorhiza polyschides replace a sympatric perennial kelp (Laminaria ochroleuca) when it comes to supporting the holdfast-associated fauna?</t>
  </si>
  <si>
    <t>Long‑term change in a high‑intertidal rockweed (Pelvetiopsis californica) and community‑level consequences</t>
  </si>
  <si>
    <t>Structural and Functional Analyses of Motile Fauna Associated with Cystoseira brachycarpa along a Gradient of Ocean Acidification in a CO2-Vent System off Panarea (Aeolian Islands, Italy)</t>
  </si>
  <si>
    <t>Filling a Gap: A Population of Eunicella verrucosa (Pallas, 1766) (Anthozoa, Alcyonacea) in the Tavolara-Punta Coda Cavallo Marine Protected Area (NE Sardinia, Italy)</t>
  </si>
  <si>
    <t>Clear-cut wave height thresholds reveal dominance shifts in assemblage patterns on rocky shores</t>
  </si>
  <si>
    <t>Below-ground ecosystem engineers enhance biodiversity and function in a polluted ecosystem</t>
  </si>
  <si>
    <t>Relationship of Sphaeroma quoianum to sediment characteristics and invertebrate community</t>
  </si>
  <si>
    <t>author</t>
  </si>
  <si>
    <t>year</t>
  </si>
  <si>
    <t>study_type</t>
  </si>
  <si>
    <t>observation</t>
  </si>
  <si>
    <t>laboratory experiment</t>
  </si>
  <si>
    <t>modelling</t>
  </si>
  <si>
    <t>systematic review</t>
  </si>
  <si>
    <t>database_access</t>
  </si>
  <si>
    <t>presence</t>
  </si>
  <si>
    <t>request</t>
  </si>
  <si>
    <t>absence</t>
  </si>
  <si>
    <t>location</t>
  </si>
  <si>
    <t>italy</t>
  </si>
  <si>
    <t>finland</t>
  </si>
  <si>
    <t>bresil</t>
  </si>
  <si>
    <t>spain;atlantic</t>
  </si>
  <si>
    <t>south africa</t>
  </si>
  <si>
    <t>baltic sea;north east</t>
  </si>
  <si>
    <t>usa;chesapeake bay;atlantic ocean</t>
  </si>
  <si>
    <t>uk;south west;north west</t>
  </si>
  <si>
    <t>tasmania;east</t>
  </si>
  <si>
    <t>canada;nova scotia</t>
  </si>
  <si>
    <t>argentina;east</t>
  </si>
  <si>
    <t>us;san francisco;west</t>
  </si>
  <si>
    <t>us;zeke island;west</t>
  </si>
  <si>
    <t>south africa;south west</t>
  </si>
  <si>
    <t>us;pacific;east</t>
  </si>
  <si>
    <t>spain;south</t>
  </si>
  <si>
    <t>australia;east</t>
  </si>
  <si>
    <t>australia;west</t>
  </si>
  <si>
    <t>australia;north;west</t>
  </si>
  <si>
    <t>hong kong;south</t>
  </si>
  <si>
    <t>spain;south;east</t>
  </si>
  <si>
    <t>china;east</t>
  </si>
  <si>
    <t>sweden;baltic sea</t>
  </si>
  <si>
    <t>greece;east</t>
  </si>
  <si>
    <t>poland;baltic sea;south</t>
  </si>
  <si>
    <t>us;florida;south</t>
  </si>
  <si>
    <t>us;virginia;east</t>
  </si>
  <si>
    <t>spain</t>
  </si>
  <si>
    <t>us</t>
  </si>
  <si>
    <t>france</t>
  </si>
  <si>
    <t>australia</t>
  </si>
  <si>
    <t>realm</t>
  </si>
  <si>
    <t>Temperate Australasia</t>
  </si>
  <si>
    <t>Temperate Northern Atlantic</t>
  </si>
  <si>
    <t>Central Indo-Pacific</t>
  </si>
  <si>
    <t>Tropical Atlantic</t>
  </si>
  <si>
    <t>Temperate Southern Africa</t>
  </si>
  <si>
    <t>Temperate South America</t>
  </si>
  <si>
    <t>Temperate Northern Pacific</t>
  </si>
  <si>
    <t>depth</t>
  </si>
  <si>
    <t xml:space="preserve">subtidal </t>
  </si>
  <si>
    <t xml:space="preserve">intertidal </t>
  </si>
  <si>
    <t>mixt</t>
  </si>
  <si>
    <t>intertidal</t>
  </si>
  <si>
    <t>temporal_extent</t>
  </si>
  <si>
    <t>temporal_resolution</t>
  </si>
  <si>
    <t>spatial_extent</t>
  </si>
  <si>
    <t>spatial_resolution</t>
  </si>
  <si>
    <t>snapshot</t>
  </si>
  <si>
    <t>season</t>
  </si>
  <si>
    <t>2019_2020</t>
  </si>
  <si>
    <t>month</t>
  </si>
  <si>
    <t>2005_2019</t>
  </si>
  <si>
    <t>2015_2016</t>
  </si>
  <si>
    <t>2014_2017</t>
  </si>
  <si>
    <t>2012_2013</t>
  </si>
  <si>
    <t>other</t>
  </si>
  <si>
    <t>2003_2018</t>
  </si>
  <si>
    <t>week</t>
  </si>
  <si>
    <t>2018_2020</t>
  </si>
  <si>
    <t>2008_2018</t>
  </si>
  <si>
    <t>2017_2018</t>
  </si>
  <si>
    <t>2018_2019</t>
  </si>
  <si>
    <t>2013_2016</t>
  </si>
  <si>
    <t>2016_2019</t>
  </si>
  <si>
    <t>2015_2020</t>
  </si>
  <si>
    <t>habitat</t>
  </si>
  <si>
    <t>canopy forming algae</t>
  </si>
  <si>
    <t>seagrass bed</t>
  </si>
  <si>
    <t>coral reef</t>
  </si>
  <si>
    <t>mussel bed</t>
  </si>
  <si>
    <t>salt marsh</t>
  </si>
  <si>
    <t>rhodolith bed</t>
  </si>
  <si>
    <t>oyster reef</t>
  </si>
  <si>
    <t>other habitat</t>
  </si>
  <si>
    <t>other macroalgae beds</t>
  </si>
  <si>
    <t>turf</t>
  </si>
  <si>
    <t>encrusting coralline algae</t>
  </si>
  <si>
    <t>sponge</t>
  </si>
  <si>
    <t>fucoid</t>
  </si>
  <si>
    <t>habitat_sp</t>
  </si>
  <si>
    <t>habitat_com</t>
  </si>
  <si>
    <t>habitat_alien</t>
  </si>
  <si>
    <t>habitat_trait</t>
  </si>
  <si>
    <t>individual</t>
  </si>
  <si>
    <t>habitat_trait_method</t>
  </si>
  <si>
    <t>fauna_metric</t>
  </si>
  <si>
    <t>fauna_effect</t>
  </si>
  <si>
    <t>importance</t>
  </si>
  <si>
    <t>overall_com</t>
  </si>
  <si>
    <t>Ravaglioli</t>
  </si>
  <si>
    <t>del</t>
  </si>
  <si>
    <t>Mancuso</t>
  </si>
  <si>
    <t>brown seaweed</t>
  </si>
  <si>
    <t>Gongolaria montagnei</t>
  </si>
  <si>
    <t>2D fractal dimension</t>
  </si>
  <si>
    <t>3D fractal dimension</t>
  </si>
  <si>
    <t>size</t>
  </si>
  <si>
    <t>shape</t>
  </si>
  <si>
    <t>quantify</t>
  </si>
  <si>
    <t>gastropods</t>
  </si>
  <si>
    <t>taxo alpha div</t>
  </si>
  <si>
    <t>fun abundance</t>
  </si>
  <si>
    <t>fun alpha div</t>
  </si>
  <si>
    <t>positive</t>
  </si>
  <si>
    <t>mixed</t>
  </si>
  <si>
    <t>Wisshak</t>
  </si>
  <si>
    <t>year_monitoring</t>
  </si>
  <si>
    <t>presence absence</t>
  </si>
  <si>
    <t>qualify</t>
  </si>
  <si>
    <t>habitat complexity</t>
  </si>
  <si>
    <t>morphological phase</t>
  </si>
  <si>
    <t>taxo beta div</t>
  </si>
  <si>
    <t>abundance</t>
  </si>
  <si>
    <t>Westerbom</t>
  </si>
  <si>
    <t>canopy-forming algae</t>
  </si>
  <si>
    <t>Fucus vesiculosus</t>
  </si>
  <si>
    <t>Mytilus trossulus</t>
  </si>
  <si>
    <t>biomass</t>
  </si>
  <si>
    <t>mass</t>
  </si>
  <si>
    <t>negative</t>
  </si>
  <si>
    <t>Voerman</t>
  </si>
  <si>
    <t>surface complexity</t>
  </si>
  <si>
    <t>thallus volume</t>
  </si>
  <si>
    <t>diameter</t>
  </si>
  <si>
    <t>sphericity</t>
  </si>
  <si>
    <t>Cephalopoda;Actinopterygii;Monoplacophora;Sipuncula;Echinoides;Pycnogonida;Maxillopoda;Bivalvia;Polyplacophora;Ophiuroidea;Ostracoda;Malacostraca</t>
  </si>
  <si>
    <t>Melyvonnea erubescens;Harveylithon rupestre;Sporolithon ptychoides;Lithothamnion crispatum;Lithophyllum prototypum;Sporolithon amadoi;Mesophyllum erubescens</t>
  </si>
  <si>
    <t>Veiga</t>
  </si>
  <si>
    <t>Mytilus galloprovincialis</t>
  </si>
  <si>
    <t>size heterogeneity</t>
  </si>
  <si>
    <t>mollusc;arthropod;nematode;annelid</t>
  </si>
  <si>
    <t>Torn</t>
  </si>
  <si>
    <t>Stuckenia pectinata</t>
  </si>
  <si>
    <t>Smith</t>
  </si>
  <si>
    <t>Crassostrea virginica</t>
  </si>
  <si>
    <t>density</t>
  </si>
  <si>
    <t>xanthid mud crab</t>
  </si>
  <si>
    <t>fun beta div</t>
  </si>
  <si>
    <t>macroinvertebrate</t>
  </si>
  <si>
    <t>Smale</t>
  </si>
  <si>
    <t>alien</t>
  </si>
  <si>
    <t>Laminara ochroleuca</t>
  </si>
  <si>
    <t>Laminaria hyperborea</t>
  </si>
  <si>
    <t>mobile invertebrates</t>
  </si>
  <si>
    <t>Shelamoff</t>
  </si>
  <si>
    <t>Sea</t>
  </si>
  <si>
    <t>Perna canaliculus</t>
  </si>
  <si>
    <t>epifauna</t>
  </si>
  <si>
    <t>macrofauna</t>
  </si>
  <si>
    <t>Scrosati</t>
  </si>
  <si>
    <t>Fucus sp.</t>
  </si>
  <si>
    <t>red turf algae</t>
  </si>
  <si>
    <t>barnacles and mussel bed</t>
  </si>
  <si>
    <t>Semibalanus balanoides</t>
  </si>
  <si>
    <t>Semibalanus balanoides;Mytilus spp.</t>
  </si>
  <si>
    <t>Littorina littorea</t>
  </si>
  <si>
    <t>Nucella lapillus</t>
  </si>
  <si>
    <t>cover</t>
  </si>
  <si>
    <t>Sampaio</t>
  </si>
  <si>
    <t>Salas</t>
  </si>
  <si>
    <t>Brachidontes rodriguezii</t>
  </si>
  <si>
    <t>Rogers-Bennett</t>
  </si>
  <si>
    <t>kelp forest</t>
  </si>
  <si>
    <t>Nereocystis luetkeana</t>
  </si>
  <si>
    <t>thermal stress;nutrient limitation</t>
  </si>
  <si>
    <t>abalone</t>
  </si>
  <si>
    <t>Ramus</t>
  </si>
  <si>
    <t>macroalgae</t>
  </si>
  <si>
    <t>Codium fragile;Gymnogongrus griffithsiae;Gracilaria tikvahiae;Gracilaria vermiculophylla</t>
  </si>
  <si>
    <t>diversity</t>
  </si>
  <si>
    <t>Gracilaria vermiculophylla</t>
  </si>
  <si>
    <t>Puccinelli</t>
  </si>
  <si>
    <t>condition index</t>
  </si>
  <si>
    <t>physiological status</t>
  </si>
  <si>
    <t>shell length</t>
  </si>
  <si>
    <t>anthropogenic contaminant</t>
  </si>
  <si>
    <t>Obaza</t>
  </si>
  <si>
    <t>blade length</t>
  </si>
  <si>
    <t>blade width</t>
  </si>
  <si>
    <t>fish</t>
  </si>
  <si>
    <t>bed area</t>
  </si>
  <si>
    <t>bed perimeter</t>
  </si>
  <si>
    <t>perimeter-to-area ratio</t>
  </si>
  <si>
    <t>anthropogenic activities</t>
  </si>
  <si>
    <t>anthropogenic activities;hydrodynamic event</t>
  </si>
  <si>
    <t>Navarro-Barranco</t>
  </si>
  <si>
    <t>environment</t>
  </si>
  <si>
    <t>Intergrading reef communities across discrete seaweed habitats in a temperate–tropical transition zone</t>
  </si>
  <si>
    <t>Mulders</t>
  </si>
  <si>
    <t>sargassum meadow</t>
  </si>
  <si>
    <t>Ecklonia radiata</t>
  </si>
  <si>
    <t>Sargassum sp.</t>
  </si>
  <si>
    <t>Moynihan</t>
  </si>
  <si>
    <t>soft coral</t>
  </si>
  <si>
    <t>hard coral</t>
  </si>
  <si>
    <t>morphology</t>
  </si>
  <si>
    <t>exposure</t>
  </si>
  <si>
    <t>McCosker</t>
  </si>
  <si>
    <t>kelp</t>
  </si>
  <si>
    <t>turf algae</t>
  </si>
  <si>
    <t>seagrass</t>
  </si>
  <si>
    <t>crustose coralline algae</t>
  </si>
  <si>
    <t>coral</t>
  </si>
  <si>
    <t>sessile invertebrates</t>
  </si>
  <si>
    <t>water temperature</t>
  </si>
  <si>
    <t>McAfee</t>
  </si>
  <si>
    <t>Saccostrea cucullata</t>
  </si>
  <si>
    <t>habitat volume</t>
  </si>
  <si>
    <t>invertebrates</t>
  </si>
  <si>
    <t>Mateo-Ramirez</t>
  </si>
  <si>
    <t>seagrass meadow</t>
  </si>
  <si>
    <t>Cymodocea nodosa;Halimeda incrassata</t>
  </si>
  <si>
    <t>Halimeda incrassata</t>
  </si>
  <si>
    <t>shoot density</t>
  </si>
  <si>
    <t>Acari;Anomura;Bivalvia;Brachyura;Caprellidae;Caridea;Copepoda;Cumacea;Echinoidea;Gammaridae;Gastropoda;Isopoda;Mysidacea;Nematoda;Ophiuroidea;Heterobranchia;Ostracoda;Turbellaria;Polychaeta;Pycnogonidae;Sipunculidae;Tanaidacea</t>
  </si>
  <si>
    <t>Cymodocea nodosa</t>
  </si>
  <si>
    <t>Lin</t>
  </si>
  <si>
    <t>Western Indo-Pacific</t>
  </si>
  <si>
    <t>western arabian gulf</t>
  </si>
  <si>
    <t>bryozoan</t>
  </si>
  <si>
    <t>gorgonian coral</t>
  </si>
  <si>
    <t>benthic fish</t>
  </si>
  <si>
    <t>Li</t>
  </si>
  <si>
    <t>Sueda salsa</t>
  </si>
  <si>
    <t>Zostera japonica</t>
  </si>
  <si>
    <t>Spartina alterniflora</t>
  </si>
  <si>
    <t>mudflat</t>
  </si>
  <si>
    <t>benthic fish;macroinvertebrate</t>
  </si>
  <si>
    <t>Lee</t>
  </si>
  <si>
    <t>surfgrass bed</t>
  </si>
  <si>
    <t>Kindeberg</t>
  </si>
  <si>
    <t>eelgrass meadow</t>
  </si>
  <si>
    <t>Zostera marina</t>
  </si>
  <si>
    <t>belowground biomass</t>
  </si>
  <si>
    <t>polychaete;bivalve;gastropod;crustacean</t>
  </si>
  <si>
    <t>Kelaher</t>
  </si>
  <si>
    <t>coralline algae</t>
  </si>
  <si>
    <t>Amphiroa anceps</t>
  </si>
  <si>
    <t>cover of bleached frond</t>
  </si>
  <si>
    <t>length</t>
  </si>
  <si>
    <t>photosynthetic health</t>
  </si>
  <si>
    <t>mollusc</t>
  </si>
  <si>
    <t>ocean acidification;temperature</t>
  </si>
  <si>
    <t>ocean acidification</t>
  </si>
  <si>
    <t>temperature</t>
  </si>
  <si>
    <t>Katsiaras</t>
  </si>
  <si>
    <t>stipe surface area</t>
  </si>
  <si>
    <t>2019_2010</t>
  </si>
  <si>
    <t>Posidonia oceanica</t>
  </si>
  <si>
    <t>leaf length</t>
  </si>
  <si>
    <t>below ground biomass</t>
  </si>
  <si>
    <t>above ground biomass</t>
  </si>
  <si>
    <t>polychaete</t>
  </si>
  <si>
    <t>habitat type (EUNIS)</t>
  </si>
  <si>
    <t>Jankowska</t>
  </si>
  <si>
    <t>macrophyte diveristy</t>
  </si>
  <si>
    <t>macrophyte biomass</t>
  </si>
  <si>
    <t>James</t>
  </si>
  <si>
    <t>Hogan</t>
  </si>
  <si>
    <t>compar</t>
  </si>
  <si>
    <t>reef area</t>
  </si>
  <si>
    <t>deduce</t>
  </si>
  <si>
    <t>distance to the reef</t>
  </si>
  <si>
    <t>crustacean;gastropod;bivalve;worm</t>
  </si>
  <si>
    <t>Goodridge Gaines</t>
  </si>
  <si>
    <t>Fernández</t>
  </si>
  <si>
    <t>Saccorhiza polyschides</t>
  </si>
  <si>
    <t>interstitial volume</t>
  </si>
  <si>
    <t>holdfast volume</t>
  </si>
  <si>
    <t>Echinodermar;Mollusca;Arthropoda;Annelida;Sipuncula;Chordata;Bryozoa;Cnidaria;Porifera</t>
  </si>
  <si>
    <t>Laminaria ochroleuca</t>
  </si>
  <si>
    <t>Fales</t>
  </si>
  <si>
    <t>1990_2017</t>
  </si>
  <si>
    <t>Pelvetiopsis californica</t>
  </si>
  <si>
    <t>anthropogenic activities;climate change;sea level rise;ocean acidification;wind;fog;wave;habitat fragmentation</t>
  </si>
  <si>
    <t>Esposito</t>
  </si>
  <si>
    <t>2016_2018</t>
  </si>
  <si>
    <t>Local adaptation in a marine foundation species: Implications for resilience to future global change.</t>
  </si>
  <si>
    <t>DuBois</t>
  </si>
  <si>
    <t>clonal shoot production</t>
  </si>
  <si>
    <t>production</t>
  </si>
  <si>
    <t>Canessa</t>
  </si>
  <si>
    <t>Eunicella verrucosa</t>
  </si>
  <si>
    <t>gorgonian forest</t>
  </si>
  <si>
    <t>height</t>
  </si>
  <si>
    <t>surface</t>
  </si>
  <si>
    <t>surface of naked skeleton</t>
  </si>
  <si>
    <t>damaged surface</t>
  </si>
  <si>
    <t>epibiont</t>
  </si>
  <si>
    <t>Burel</t>
  </si>
  <si>
    <t>Pelvetia canaliculata;Fucus spiralis;Ascophyllum nodosum;Fucus vesiculosus;Fucus serratus</t>
  </si>
  <si>
    <t>wave;depth</t>
  </si>
  <si>
    <t>Bugnot</t>
  </si>
  <si>
    <t>Brown</t>
  </si>
  <si>
    <t>Warming Effects on Two Autogenic Engineers (Zostera capensis and Gracilaria gracilis): Consequences for Macrofaunal Assemblages and Benthic Heterogeneity in Intertidal Sandflat Ecosystems</t>
  </si>
  <si>
    <t>Beltrand</t>
  </si>
  <si>
    <t>subtidal</t>
  </si>
  <si>
    <t>red macro algae</t>
  </si>
  <si>
    <t>Zostera capensis</t>
  </si>
  <si>
    <t>Gracilaria gracilis</t>
  </si>
  <si>
    <t>Macrofaunal assemblages structure three decades after the first report of the invasive Crassostrea gigas reefs in a soft-intertidal of Argentina</t>
  </si>
  <si>
    <t>Bazterrica</t>
  </si>
  <si>
    <t>Crassostrea gigas</t>
  </si>
  <si>
    <t>argentina</t>
  </si>
  <si>
    <t>size of interstitial space</t>
  </si>
  <si>
    <t>cordgrass</t>
  </si>
  <si>
    <t>Spartina Schreb</t>
  </si>
  <si>
    <t>size frequency</t>
  </si>
  <si>
    <t>Cnidaria;Annelida;Crustacea;Mollusca</t>
  </si>
  <si>
    <t>Habitat formed by the invasive macroalga Caulerpa filiformis (Suhr) Hering (Caulerpales, Chlorophyta) alters benthic macroinvertebrate assemblages in Peru</t>
  </si>
  <si>
    <t>Aguilar</t>
  </si>
  <si>
    <t>Caulerpa filiformis</t>
  </si>
  <si>
    <t>Rhodymenia spp.</t>
  </si>
  <si>
    <t>peru</t>
  </si>
  <si>
    <t>epifauna;infauna</t>
  </si>
  <si>
    <t>A survey of benthic invertebrate communities in native and non-native seagrass beds in St. John, USVI</t>
  </si>
  <si>
    <t>Valdez</t>
  </si>
  <si>
    <t>virgin island</t>
  </si>
  <si>
    <t>Halophila stipulacea</t>
  </si>
  <si>
    <t>native seagrass</t>
  </si>
  <si>
    <t>A Hotspot in the Romanian Black Sea: Eelgrass Beds Drive Local Biodiversity in Surrounding Bare Sediments</t>
  </si>
  <si>
    <t>Surugiu</t>
  </si>
  <si>
    <t>black sea</t>
  </si>
  <si>
    <t>infauna;epifauna</t>
  </si>
  <si>
    <t>Tropicalization and kelp loss shift trophic composition and lead to more winners than losers in fish communities</t>
  </si>
  <si>
    <t>est australia</t>
  </si>
  <si>
    <t>2002_2018</t>
  </si>
  <si>
    <t>Spatial variation in the structure of overwintering, remnant Saccorhiza polyschides sporophytes and their associated assemblages</t>
  </si>
  <si>
    <t>Salland</t>
  </si>
  <si>
    <t>england</t>
  </si>
  <si>
    <t>internal holdfast volume</t>
  </si>
  <si>
    <t>Mollusca;Arthropoda;Echinoderma;Cnidaria;Fish</t>
  </si>
  <si>
    <t>A novel approach to explicitly model the spatiotemporal impacts of structural complexity created by alien ecosystem engineers in a marine benthic environment</t>
  </si>
  <si>
    <t>Sadchatheeswaran</t>
  </si>
  <si>
    <t>1980_2015</t>
  </si>
  <si>
    <t>Mediterranean Red Macro Algae Mats as Habitat for High Abundances of Serpulid Polychaetes</t>
  </si>
  <si>
    <t>Rossbach</t>
  </si>
  <si>
    <t>Phyllophora crispa</t>
  </si>
  <si>
    <t>mat forming fleshy red algae</t>
  </si>
  <si>
    <t>number of leaves per shoot</t>
  </si>
  <si>
    <t>leaf area</t>
  </si>
  <si>
    <t>Serplidae</t>
  </si>
  <si>
    <t>biogenic habitat</t>
  </si>
  <si>
    <t>Zostera pacifica</t>
  </si>
  <si>
    <t>Ericaria selaginoides</t>
  </si>
  <si>
    <t>Halopteris scoparia</t>
  </si>
  <si>
    <t>environment;season</t>
  </si>
  <si>
    <t>corals</t>
  </si>
  <si>
    <t>Benthic macrofauna associated to the invasive bivalve Mytilopsis leucophaeata (Dreissenidae) in a coastal lagoon in Rio de Janeiro, Brazil</t>
  </si>
  <si>
    <t>Rodrigues</t>
  </si>
  <si>
    <t>Mytilopsis leucophaeata</t>
  </si>
  <si>
    <t>barnacles</t>
  </si>
  <si>
    <t>Mytilus spp.</t>
  </si>
  <si>
    <t>crustose algae</t>
  </si>
  <si>
    <t>Hidenbrandia rubra</t>
  </si>
  <si>
    <t>brown filamentous algae</t>
  </si>
  <si>
    <t>Chondrus crispus;Mastocarpus stellatus</t>
  </si>
  <si>
    <t>rang</t>
  </si>
  <si>
    <t>metric_com</t>
  </si>
  <si>
    <t>fish length</t>
  </si>
  <si>
    <t>fish index</t>
  </si>
  <si>
    <t>spatial</t>
  </si>
  <si>
    <t>Littorina obtusata</t>
  </si>
  <si>
    <t>green filamentous algae</t>
  </si>
  <si>
    <t>endofauna</t>
  </si>
  <si>
    <t>fun biomass</t>
  </si>
  <si>
    <t>cyclone impact;exposure</t>
  </si>
  <si>
    <t>bare habitat</t>
  </si>
  <si>
    <t>coefficient of association</t>
  </si>
  <si>
    <t>gastropod;bivalve;worm</t>
  </si>
  <si>
    <t>crustacean</t>
  </si>
  <si>
    <t>holdfast total volume</t>
  </si>
  <si>
    <t>holdfast tissue</t>
  </si>
  <si>
    <t>leaf width</t>
  </si>
  <si>
    <t>senescent mass</t>
  </si>
  <si>
    <t>non senescent mass</t>
  </si>
  <si>
    <t>fouling</t>
  </si>
  <si>
    <t>green macroalgae</t>
  </si>
  <si>
    <t>substrate type;biotic interaction</t>
  </si>
  <si>
    <t>folios macroalgae</t>
  </si>
  <si>
    <t>Isopoda;Amphipoda;Tanaidacea;Decapoda;Cirripedia;Gastropoda;Bivalvia;Polychaeta</t>
  </si>
  <si>
    <t>Macrofauna communities across a seascape of seagrass meadows: environmental drivers, biodiversity patterns and conservation implications</t>
  </si>
  <si>
    <t>Rodil</t>
  </si>
  <si>
    <t>above ground mass</t>
  </si>
  <si>
    <t>maximum vegetative height</t>
  </si>
  <si>
    <t>community-weighted average height</t>
  </si>
  <si>
    <t>total dry mass</t>
  </si>
  <si>
    <t>crustacean;mollusc;polychaete</t>
  </si>
  <si>
    <t>infauna</t>
  </si>
  <si>
    <t>Leaf-litter consumption slows crab growth but transforms mangrove food chains</t>
  </si>
  <si>
    <t>Robertson</t>
  </si>
  <si>
    <t>Seagrass‑driven changes in carbonate chemistry enhance oyster shell growth</t>
  </si>
  <si>
    <t>Ricart</t>
  </si>
  <si>
    <t>california</t>
  </si>
  <si>
    <t>seargass bed</t>
  </si>
  <si>
    <t>growth rate</t>
  </si>
  <si>
    <t>Crassotrea gigas</t>
  </si>
  <si>
    <t>shell organic matrix</t>
  </si>
  <si>
    <t>shell weight</t>
  </si>
  <si>
    <t>somatic tissue weight</t>
  </si>
  <si>
    <t>Trophic ecology of macrofauna inhabiting seagrass litter accumulations is related to the pulses of dead leaves</t>
  </si>
  <si>
    <t>Remy</t>
  </si>
  <si>
    <t>Indirect effects shape macroalgal epifaunal communities</t>
  </si>
  <si>
    <t>Ndhlovu</t>
  </si>
  <si>
    <t>2014_2015</t>
  </si>
  <si>
    <t>rhodophyte</t>
  </si>
  <si>
    <t>Gelidium pristoides</t>
  </si>
  <si>
    <t>fractal dimension</t>
  </si>
  <si>
    <t>season;spatial;grazing</t>
  </si>
  <si>
    <t>Musical Chairs on Temperate Reefs: Species Turnover and Replacement Within Functional Groups Explain Regional Diversity Variation in Assemblages Associated With Honeycomb Worms</t>
  </si>
  <si>
    <t>Muller</t>
  </si>
  <si>
    <t>northern atlantic</t>
  </si>
  <si>
    <t>reef builder worm</t>
  </si>
  <si>
    <t>Sabellaria alveolata</t>
  </si>
  <si>
    <t>honeycom worm</t>
  </si>
  <si>
    <t>Can we use plant performance as indicators to infer plant-crab interactions in coastal saltmarshes?</t>
  </si>
  <si>
    <t>Miao</t>
  </si>
  <si>
    <t>Modelling the biodiversity enhancement value of seagrass beds</t>
  </si>
  <si>
    <t>McHenry</t>
  </si>
  <si>
    <t>Temperate Northern Atlantic;Tropical Atlantic</t>
  </si>
  <si>
    <t>florida</t>
  </si>
  <si>
    <t>Decreasing in patch-size of Cystoseira forests reduces the diversity of their associated molluscan assemblage in Mediterranean rocky reefs</t>
  </si>
  <si>
    <t>sicily</t>
  </si>
  <si>
    <t>Cystoseira montagnei</t>
  </si>
  <si>
    <t>canopy volume</t>
  </si>
  <si>
    <t>algue surface</t>
  </si>
  <si>
    <t>radius</t>
  </si>
  <si>
    <t>axis volume</t>
  </si>
  <si>
    <t>apical radius</t>
  </si>
  <si>
    <t>median radius</t>
  </si>
  <si>
    <t>basal radius</t>
  </si>
  <si>
    <t>perennial axis volume</t>
  </si>
  <si>
    <t>perennial axis surface</t>
  </si>
  <si>
    <t>surface of tophule and branche</t>
  </si>
  <si>
    <t>volume of tophule and branche</t>
  </si>
  <si>
    <t>perceived space</t>
  </si>
  <si>
    <t>patch size</t>
  </si>
  <si>
    <t>season;spatial;density dependant</t>
  </si>
  <si>
    <t>structural complexity</t>
  </si>
  <si>
    <t>Physical drivers of epi- and infauna communities related to dominating macrophytes in shallow bays in the Northern Baltic Sea</t>
  </si>
  <si>
    <t>Eveleens Maarse</t>
  </si>
  <si>
    <t>baltic sea</t>
  </si>
  <si>
    <t>macrophyte</t>
  </si>
  <si>
    <t>Chara tomentosa</t>
  </si>
  <si>
    <t>Ceratophyllum demersum</t>
  </si>
  <si>
    <t>A Resident Fish Guild as a Higher Trophic Level Indicator of Oyster Reef Restoration Success</t>
  </si>
  <si>
    <t>Lewis</t>
  </si>
  <si>
    <t>mean slope</t>
  </si>
  <si>
    <t>area</t>
  </si>
  <si>
    <t>reef thickness</t>
  </si>
  <si>
    <t>Asymmetric effects of changes in the habitat-forming algae Sargassum on different associated mobile faunas along São Paulo coast, Brazil</t>
  </si>
  <si>
    <t>Leite</t>
  </si>
  <si>
    <t>sargassum frond</t>
  </si>
  <si>
    <t>pericarida;mollusca;polychaeta</t>
  </si>
  <si>
    <t>aphipoda;gastropoda</t>
  </si>
  <si>
    <t>Multiscale spatial variability in epibiont assemblage structure associated with stipes of kelp Laminaria hyperborea in the northeast Atlantic</t>
  </si>
  <si>
    <t>King</t>
  </si>
  <si>
    <t>united kingdom</t>
  </si>
  <si>
    <t>sessile assemblage</t>
  </si>
  <si>
    <t>Balance between biological and physical components in the impact of Mytilus edulis on associated organisms</t>
  </si>
  <si>
    <t>Khalaman</t>
  </si>
  <si>
    <t>kruglaya bay</t>
  </si>
  <si>
    <t>Arctic</t>
  </si>
  <si>
    <t>mussel patch</t>
  </si>
  <si>
    <t>Mytilus edulis</t>
  </si>
  <si>
    <t>patch length</t>
  </si>
  <si>
    <t>vagile fauna</t>
  </si>
  <si>
    <t>sedentary and sessile fauna</t>
  </si>
  <si>
    <t>Seagrass Structural Traits Drive Fish Assemblages in Small-Scale Fisheries</t>
  </si>
  <si>
    <t>Jones</t>
  </si>
  <si>
    <t>tanzania</t>
  </si>
  <si>
    <t>Halodule uninervis;Halophila ovalis;Cymodocea rotundata;Thalassia hemprichii;Syringodium isoetifolium;Cymodocea serrulata;Thalassodendron ciliatum;Enhalus acoroides</t>
  </si>
  <si>
    <t>leaves per shoot</t>
  </si>
  <si>
    <t>canopy height</t>
  </si>
  <si>
    <t>composition</t>
  </si>
  <si>
    <t>richness</t>
  </si>
  <si>
    <t>functionnal richness</t>
  </si>
  <si>
    <t>functionnal dispersion</t>
  </si>
  <si>
    <t>Intertidal ecosystem engineer species promote benthic−pelagic coupling and diversify trophic pathways</t>
  </si>
  <si>
    <t>Polychaeta;Malacostraca;Bivalvia;Gastropoda;Anthozoa;Actinopterygii;Ophiuroidea;Pycnogonia;Sipunculidea;Ascidiacea</t>
  </si>
  <si>
    <t>Short-term temporal dynamics of morphological and feeder functional groups and species richness in relation to seasonal changes</t>
  </si>
  <si>
    <t>Gauna</t>
  </si>
  <si>
    <t>2013_2018</t>
  </si>
  <si>
    <t>Octocoral colonies as spawning ground for the cuttlefish Sepiella inermis (Cephalopoda: Sepiidae)</t>
  </si>
  <si>
    <t>Gaikwad</t>
  </si>
  <si>
    <t>india</t>
  </si>
  <si>
    <t>octocoral</t>
  </si>
  <si>
    <t>Pseudopterogorgia sp.</t>
  </si>
  <si>
    <t>Menella sp.</t>
  </si>
  <si>
    <t>cuttlefish egg</t>
  </si>
  <si>
    <t>wave</t>
  </si>
  <si>
    <t>Small invertebrate consumers produce consistent size spectra across reef habitats and climatic zones</t>
  </si>
  <si>
    <t>Fraser</t>
  </si>
  <si>
    <t>Temperate Australasia;Central Indo-Pacific</t>
  </si>
  <si>
    <t>2015_2018</t>
  </si>
  <si>
    <t>fucoid algae</t>
  </si>
  <si>
    <t>large brown laminarian kelp</t>
  </si>
  <si>
    <t>small to medium foliose brown algae</t>
  </si>
  <si>
    <t>caulerpa</t>
  </si>
  <si>
    <t>foliose green algae</t>
  </si>
  <si>
    <t>foliose red algae</t>
  </si>
  <si>
    <t>geniculate coralline algae</t>
  </si>
  <si>
    <t>green calcified algae</t>
  </si>
  <si>
    <t>turfing algae</t>
  </si>
  <si>
    <t>sponges, encrusting</t>
  </si>
  <si>
    <t>sponges, erect</t>
  </si>
  <si>
    <t>hydrocoral</t>
  </si>
  <si>
    <t>massive coral</t>
  </si>
  <si>
    <t>pocillopora</t>
  </si>
  <si>
    <t>branching acropora</t>
  </si>
  <si>
    <t>tabular acropora</t>
  </si>
  <si>
    <t>other branching/erect coral</t>
  </si>
  <si>
    <t>mean density size spectra</t>
  </si>
  <si>
    <t>maximum height</t>
  </si>
  <si>
    <t>degree of branching</t>
  </si>
  <si>
    <t>flexibility</t>
  </si>
  <si>
    <t>climat</t>
  </si>
  <si>
    <t>On the diversity and distribution of a data deficient habitat in a poorly mapped region: The case of Sabellaria alveolata L. in Ireland</t>
  </si>
  <si>
    <t>Firth</t>
  </si>
  <si>
    <t>sabellaria alveolata</t>
  </si>
  <si>
    <t>molluscan grazer</t>
  </si>
  <si>
    <t>reef phase</t>
  </si>
  <si>
    <t>Biogeography of acoustic biodiversity of NW Mediterranean coralligenous reefs</t>
  </si>
  <si>
    <t>Di lorio</t>
  </si>
  <si>
    <t>coralligenous reef</t>
  </si>
  <si>
    <t>Variation in disturbance to a foundation species structures the dynamics of a benthic reef community</t>
  </si>
  <si>
    <t>Detmer</t>
  </si>
  <si>
    <t>Macrocystis pyrifera</t>
  </si>
  <si>
    <t>2008_2019</t>
  </si>
  <si>
    <t>Recruitment enhancement varies by taxonomic group and oyster reef habitat characteristics</t>
  </si>
  <si>
    <t>Davenport</t>
  </si>
  <si>
    <t>meta analysis</t>
  </si>
  <si>
    <t>Increased energy expenditure is an indirect effect of habitat structural complexity loss</t>
  </si>
  <si>
    <t>Castejón- Silvo</t>
  </si>
  <si>
    <t>sweden</t>
  </si>
  <si>
    <t>pipefish</t>
  </si>
  <si>
    <t>ventilation frequency</t>
  </si>
  <si>
    <t>oxygene consumption</t>
  </si>
  <si>
    <t>Warming intensifies the interaction between the temperate seagrass Posidonia oceanica and its dominant fish herbivore Sarpa salpa</t>
  </si>
  <si>
    <t>Buñuel</t>
  </si>
  <si>
    <t>Seagrass Patch Complexity Affects Macroinfaunal Community Structure in Intertidal Areas: An In Situ Experiment Using Seagrass Mimics</t>
  </si>
  <si>
    <t>Brun</t>
  </si>
  <si>
    <t>Responses of Southern Ocean Seafloor Habitats and Communities to Global and Local Drivers of Change</t>
  </si>
  <si>
    <t>Brasier</t>
  </si>
  <si>
    <t>Settlement dynamics and recruitment responses of Mediterranean gorgonians larvae to different crustose coralline algae species</t>
  </si>
  <si>
    <t>Zelli</t>
  </si>
  <si>
    <t>Litophyllum stictaeforme</t>
  </si>
  <si>
    <t>Litophyllum incrustans</t>
  </si>
  <si>
    <t>recruit density</t>
  </si>
  <si>
    <t>Eunicella singularis</t>
  </si>
  <si>
    <t>Paramuricea clavata</t>
  </si>
  <si>
    <t>Corallium rubrum</t>
  </si>
  <si>
    <t>An integrative perspective to understand the impact of co-occurring ecosystem engineers on macroinvertebrates</t>
  </si>
  <si>
    <t>Yan</t>
  </si>
  <si>
    <t>china</t>
  </si>
  <si>
    <t>mollusca</t>
  </si>
  <si>
    <t>polychaete;mollusca</t>
  </si>
  <si>
    <t>Habitat variability in an underwater forest: Using a trait-based approach to predict associated communities</t>
  </si>
  <si>
    <t>Stelling-Wood</t>
  </si>
  <si>
    <t>Dictyopteris acrostichoides;Dilophus marginatus;Lobophora variegata;Padina crassa;Sargassum linearifolium;Sargassum vestitum</t>
  </si>
  <si>
    <t>2016_2017</t>
  </si>
  <si>
    <t>volume</t>
  </si>
  <si>
    <t>total height</t>
  </si>
  <si>
    <t>frond length</t>
  </si>
  <si>
    <t>frond surface area</t>
  </si>
  <si>
    <t>frond perimeter</t>
  </si>
  <si>
    <t>frond shape complexity</t>
  </si>
  <si>
    <t>thallus surface area</t>
  </si>
  <si>
    <t>biovolume</t>
  </si>
  <si>
    <t>Kelp patch size and density influence secondary productivity and diversity of epifauna</t>
  </si>
  <si>
    <t>High kelp density attracts fishes except for recruiting cryptobenthic species</t>
  </si>
  <si>
    <t>Drivers of change in the epifaunal assemblages associated with intertidal macroalgae at the Mangrove site south Safaga, Egypt, Red Sea</t>
  </si>
  <si>
    <t>Shaban</t>
  </si>
  <si>
    <t>dataset</t>
  </si>
  <si>
    <t>canada</t>
  </si>
  <si>
    <t>Seasonal and Temporal Changes in the Kumamoto Oyster Crassostrea sikamea Population and Associated Benthic Macrofaunal Communities at an Intertidal Oyster Reef in China</t>
  </si>
  <si>
    <t>Quan</t>
  </si>
  <si>
    <t>Crassostrea sikamea</t>
  </si>
  <si>
    <t>mollusc;crustacean;annelid;sipunculid</t>
  </si>
  <si>
    <t>health status</t>
  </si>
  <si>
    <t>3D Fine-scale Terrain Variables from Underwater Photogrammetry: A New Approach to Benthic Microhabitat Modeling in a Circalittoral Rocky Shelf</t>
  </si>
  <si>
    <t>Prado</t>
  </si>
  <si>
    <t>Decline of a non-native ecosystem engineer and its replacement with a native on rocky shores: effects on the diversity and structure of benthic communities</t>
  </si>
  <si>
    <t>Pacheco</t>
  </si>
  <si>
    <t>chile</t>
  </si>
  <si>
    <t>ascidian bed</t>
  </si>
  <si>
    <t>Pyura praeputialis</t>
  </si>
  <si>
    <t>Perumytilus purpuratus</t>
  </si>
  <si>
    <t>weight</t>
  </si>
  <si>
    <t>Ecosystem-level effects of large-scale disturbance in kelp forests</t>
  </si>
  <si>
    <t>Norderhaug</t>
  </si>
  <si>
    <t>norway</t>
  </si>
  <si>
    <t>canopy cover</t>
  </si>
  <si>
    <t>age</t>
  </si>
  <si>
    <t>stipe length</t>
  </si>
  <si>
    <t>trawling</t>
  </si>
  <si>
    <t>The effect of environmental gradient on biodiversity and similarity of invertebrate communities in eelgrass (Zostera marina) beds</t>
  </si>
  <si>
    <t>Namba</t>
  </si>
  <si>
    <t>japan</t>
  </si>
  <si>
    <t>Long‑term surveys reveal abrupt canopy loss with immediate changes in diversity and functional traits</t>
  </si>
  <si>
    <t>Muguerza</t>
  </si>
  <si>
    <t>1996_2017</t>
  </si>
  <si>
    <t>Influence of complexity and habitat heterogeneity on macrofaunal assemblages provided by an invasive ecosystem engineer in Mar Chiquita coastal lagoon</t>
  </si>
  <si>
    <t>Martinez</t>
  </si>
  <si>
    <t>Ficopomatus enigmaticus</t>
  </si>
  <si>
    <t>Ficopomatus enigmaticus reef</t>
  </si>
  <si>
    <t>Community disruption in small biogenic habitats: Acoastal invader overcomes habitat complexity to alter community structure</t>
  </si>
  <si>
    <t>Malyshev</t>
  </si>
  <si>
    <t>mussel clump</t>
  </si>
  <si>
    <t>bivalve</t>
  </si>
  <si>
    <t>polychaetes</t>
  </si>
  <si>
    <t>Unusual but consistent latitudinal patterns in macroalgal habitats and their invertebrate communities across two countries</t>
  </si>
  <si>
    <t>Lloyd</t>
  </si>
  <si>
    <t>Hormosira banksii</t>
  </si>
  <si>
    <t>Cystophora</t>
  </si>
  <si>
    <t>brown algae</t>
  </si>
  <si>
    <t>red turfing algae</t>
  </si>
  <si>
    <t>Corallinaceae</t>
  </si>
  <si>
    <t>Sargassum spp.</t>
  </si>
  <si>
    <t>patch area</t>
  </si>
  <si>
    <t>temperaure;inorganic pollution;human pressure;DOM</t>
  </si>
  <si>
    <t>source_variation</t>
  </si>
  <si>
    <t>inorganic pollution;temperature;DOM;chlorophyll a</t>
  </si>
  <si>
    <t>The overlooked role of taphonomy in ecology: post-mortem processes can outweigh recruitment effects on community functions</t>
  </si>
  <si>
    <t>Liversage</t>
  </si>
  <si>
    <t>Facilitation cascades create a predation refuge for biodiversity in a novel connected habitat</t>
  </si>
  <si>
    <t>Lanham</t>
  </si>
  <si>
    <t>Foundation species promote community stability by increasing diversity in a giant kelp forest</t>
  </si>
  <si>
    <t>Lamy</t>
  </si>
  <si>
    <t>usa</t>
  </si>
  <si>
    <t>2001_2018</t>
  </si>
  <si>
    <t>Associations between Nekton Assemblages and Ribbed Mussel (Geukensia demissa) Patches in a South Carolina Salt Marsh</t>
  </si>
  <si>
    <t>Julien</t>
  </si>
  <si>
    <t>Geukensia demissa</t>
  </si>
  <si>
    <t>nekton</t>
  </si>
  <si>
    <t>Habitat provided by native species facilitates higher abundances of an invader in its introduced compared to native range</t>
  </si>
  <si>
    <t>Gribben</t>
  </si>
  <si>
    <t>Galeolaria caespitosa</t>
  </si>
  <si>
    <t xml:space="preserve">del </t>
  </si>
  <si>
    <t>Macrofauna Inhabiting Massive Demosponges From Shallow and Mesophotic Habitats Along the Israeli Mediterranean Coast</t>
  </si>
  <si>
    <t>Goren</t>
  </si>
  <si>
    <t>sponges</t>
  </si>
  <si>
    <t>israel</t>
  </si>
  <si>
    <t>Ircinia oros</t>
  </si>
  <si>
    <t>Agelas oroides</t>
  </si>
  <si>
    <t>Stryphnus mucronatus</t>
  </si>
  <si>
    <t>Thymosiopsis conglomerans</t>
  </si>
  <si>
    <t>Fasciospongia cavernosa</t>
  </si>
  <si>
    <t>Spongia nitens</t>
  </si>
  <si>
    <t>Spongia lamella</t>
  </si>
  <si>
    <t>Sarcotragus foetidus</t>
  </si>
  <si>
    <t>Ircinia variabilis</t>
  </si>
  <si>
    <t>Polychaeta;Sipuncula;Crustacea;Insecta;Ophiuroidea;Mollusca</t>
  </si>
  <si>
    <t>Ircinia oros;Stryphnus mucronatus;Ircinia variabilis</t>
  </si>
  <si>
    <t>Habitat modification by Ascophyllum canopy negatively impacts macrofaunal communities on soft-sediment shores</t>
  </si>
  <si>
    <t>Gilson</t>
  </si>
  <si>
    <t>uk</t>
  </si>
  <si>
    <t>Ascophyllum nodosum</t>
  </si>
  <si>
    <t>circumference</t>
  </si>
  <si>
    <t>Spatial patterns of abundance and shell morphology of two gastropod species associated with different morphologies of an intertidal seaweed</t>
  </si>
  <si>
    <t>Gemelli</t>
  </si>
  <si>
    <t>tasmania</t>
  </si>
  <si>
    <t>thallus length</t>
  </si>
  <si>
    <t>branching order</t>
  </si>
  <si>
    <t>branching structure</t>
  </si>
  <si>
    <t>total number of vesicule</t>
  </si>
  <si>
    <t>vesicule length</t>
  </si>
  <si>
    <t>vesicule width</t>
  </si>
  <si>
    <t>mean number of branches</t>
  </si>
  <si>
    <t>gastropod</t>
  </si>
  <si>
    <t>spatial;season</t>
  </si>
  <si>
    <t>The positive effect of coexisting ecosystem engineers: a unique seaweedmussel association provides refuge for native mud crabs against a non-indigenous predator</t>
  </si>
  <si>
    <t>Tummon Flynn</t>
  </si>
  <si>
    <t>Ecosystem functioning of canopy- and turfforming algae: contrasting supply of invertebrate prey to pelagic consumers</t>
  </si>
  <si>
    <t>Figueiredo</t>
  </si>
  <si>
    <t>Sabella spallanzanii and Seafloor Biodiversity Enhancement in a Marine Soft-Sediment System</t>
  </si>
  <si>
    <t>Douglas</t>
  </si>
  <si>
    <t>sabella clump</t>
  </si>
  <si>
    <t>Sabella spallanzanii</t>
  </si>
  <si>
    <t>largest diameter</t>
  </si>
  <si>
    <t>Coral loss alters guarding and farming behavior of a Caribbean damselfish</t>
  </si>
  <si>
    <t>Di Santo</t>
  </si>
  <si>
    <t>Orbicella faveolata;Orbicella annularis;Montastraea cavernosa;Siderastrea siderea;Diploria labyrinthiformis;Pseudodiploria strigosa;Pseudodiploria clivosa;Porites astreoides</t>
  </si>
  <si>
    <t>damselfish</t>
  </si>
  <si>
    <t>Sea-level rise and the emergence of a keystone grazer alter the geomorphic evolution and ecology of southeast US salt marshes</t>
  </si>
  <si>
    <t>Crotty</t>
  </si>
  <si>
    <t>Changes in fish communities due to benthic habitat shifts under ocean acidification conditions</t>
  </si>
  <si>
    <t>Cattano</t>
  </si>
  <si>
    <t>Effects of Ficopomatus enigmaticus ecosystem-engineered habitat structure on population parameters of the amphipod Melita palmata: A NIS-NIS interaction study</t>
  </si>
  <si>
    <t>Melita palmata</t>
  </si>
  <si>
    <t>Do different sympatric seagrasses support macrobenthic faunas of differing composition, abundance, biodiversity or patchiness?</t>
  </si>
  <si>
    <t>Barnes</t>
  </si>
  <si>
    <t>Halodule uninervis</t>
  </si>
  <si>
    <t>Halophila ovalis</t>
  </si>
  <si>
    <t>Zostera muelleri</t>
  </si>
  <si>
    <t>Wave stress and biotic facilitation drive community composition in a marginal hard-bottom ecosystem</t>
  </si>
  <si>
    <t>exposure;spatial</t>
  </si>
  <si>
    <t>red algae</t>
  </si>
  <si>
    <t>A novel three-dimensional analysis of functional architecture that describes the properties of macroalgae as a refuge</t>
  </si>
  <si>
    <t>Ware</t>
  </si>
  <si>
    <t>Codium fragile</t>
  </si>
  <si>
    <t>green algae</t>
  </si>
  <si>
    <t>Saccharina latissima</t>
  </si>
  <si>
    <t>Dasysiphonia japonica</t>
  </si>
  <si>
    <t>Effects of Changing Vegetation Composition on Community Structure, Ecosystem Functioning, and Predator–Prey Interactions at the Saltmarsh-Mangrove Ecotone</t>
  </si>
  <si>
    <t>Walker</t>
  </si>
  <si>
    <t>mangrove</t>
  </si>
  <si>
    <t>Avicennia germinans</t>
  </si>
  <si>
    <t>2017_2019</t>
  </si>
  <si>
    <t>predator</t>
  </si>
  <si>
    <t>season;predator</t>
  </si>
  <si>
    <t>inter-stem space</t>
  </si>
  <si>
    <t>flexure</t>
  </si>
  <si>
    <t>A future 1.2 °C increase in ocean temperature alters the quality of mangrove habitats for marine plants and animals</t>
  </si>
  <si>
    <t>Walden</t>
  </si>
  <si>
    <t>Testing the relative importance of intertidal seaweeds as ecosystem engineers across tidal heights</t>
  </si>
  <si>
    <t>Umanzor</t>
  </si>
  <si>
    <t>Sharks in the forest: relationships between kelp physical-complexity attributes and egg deposition sites of the red-spotted catshark</t>
  </si>
  <si>
    <t>Trujillo</t>
  </si>
  <si>
    <t>number of stipes</t>
  </si>
  <si>
    <t>holdfast diameter</t>
  </si>
  <si>
    <t>percentage cover</t>
  </si>
  <si>
    <t>aggregation</t>
  </si>
  <si>
    <t>Lessonia trabeculata</t>
  </si>
  <si>
    <t>red-spotted catshark egg</t>
  </si>
  <si>
    <t>maximum frond length</t>
  </si>
  <si>
    <t>Are biodiversity offsetting targets of ecological equivalence feasible for biogenic reef habitats?</t>
  </si>
  <si>
    <t>Stone</t>
  </si>
  <si>
    <t>formation type cover</t>
  </si>
  <si>
    <t>tube aperture condition cover</t>
  </si>
  <si>
    <t>formation categories</t>
  </si>
  <si>
    <t>tube aperture condition categories</t>
  </si>
  <si>
    <t>season;spatial</t>
  </si>
  <si>
    <t>A Facilitation Cascade Enhances Local Biodiversity in Seagrass Beds</t>
  </si>
  <si>
    <t>Zhang</t>
  </si>
  <si>
    <t>pen clam</t>
  </si>
  <si>
    <t>survivorship</t>
  </si>
  <si>
    <t>Spatiotemporal variability in the structure of seagrass meadows and associated macrofaunal assemblages in southwest England (UK): Using citizen science to benchmark ecological pattern</t>
  </si>
  <si>
    <t>sponges;ascidians;cnidarians;bryozoans;crustaceans;echinoderms;worms;molluscs;fish</t>
  </si>
  <si>
    <t>Sun coral invasion of shallow rocky reefs: effects on mobile invertebrate assemblages in Southeastern Brazil</t>
  </si>
  <si>
    <t>Silva</t>
  </si>
  <si>
    <t>Tubastraea coccinea;Tubastraea tagusensis</t>
  </si>
  <si>
    <t>Amphipods;Polychaetes;Tanaids;Copepods;Ostracods;Isopods;Gastropods;Bivalves;Brachyuran crabs;Ophiuroids;Nemerteans;Nematods;Hermit crabs;Caridean shrimps;Sea urchins</t>
  </si>
  <si>
    <t>Patch size and density of the canopy-forming kelp modify influences of ecosystem engineering on understory algal and sessile invertebrate assemblages</t>
  </si>
  <si>
    <t>solitary ascidians;colonial ascidians;bryozoans;sponges;hydroids;barnacles;mussels;oysters</t>
  </si>
  <si>
    <t>Ecosystem engineering by a canopy-forming kelp facilitates the recruitment of native oysters</t>
  </si>
  <si>
    <t>Ostrea angasi</t>
  </si>
  <si>
    <t>Ostrea angasi larvae</t>
  </si>
  <si>
    <t>Macrobenthic fauna associated with Diopatra cuprea (Onuphidae: Polychaeta) tubes on a macrotidal sandy beach of the Brazilian Amazon Coast</t>
  </si>
  <si>
    <t>Santos</t>
  </si>
  <si>
    <t>tube building worm</t>
  </si>
  <si>
    <t>Diopatra cuprea</t>
  </si>
  <si>
    <t>nemerta;mollusca;arthropoda;annelida</t>
  </si>
  <si>
    <t>Habitat structure influences the seasonality of nekton in seagrass</t>
  </si>
  <si>
    <t>Ruesink</t>
  </si>
  <si>
    <t>The Influence of Canopy Cover on the Ecological Function of A Key Autogenic Ecosystem Engineer</t>
  </si>
  <si>
    <t>Pocklington</t>
  </si>
  <si>
    <t>field experiment</t>
  </si>
  <si>
    <t>mobile and sedentary macroinvertebrates</t>
  </si>
  <si>
    <t>From habitat geometry to ecosystem functions in marine mussel beds</t>
  </si>
  <si>
    <t>Paquette</t>
  </si>
  <si>
    <t>Food web response to foundation species change in a coastal ecosystem</t>
  </si>
  <si>
    <t>Can invasive habitat-forming species play the same role as native ones? The case of the exotic marine macroalga Rugulopteryx okamurae in the Strait of Gibraltar</t>
  </si>
  <si>
    <t>Rugulopteryx okamurae</t>
  </si>
  <si>
    <t>Dictyota dichotoma</t>
  </si>
  <si>
    <t>perimeter</t>
  </si>
  <si>
    <t>area fractal indice</t>
  </si>
  <si>
    <t>perimeter fractal indice</t>
  </si>
  <si>
    <t>Assessment of Elkhorn Coral Populations and Associated Herbivores in Akumal, Mexico</t>
  </si>
  <si>
    <t>Mudge</t>
  </si>
  <si>
    <t>mexico</t>
  </si>
  <si>
    <t>Acropora palmata</t>
  </si>
  <si>
    <t>width</t>
  </si>
  <si>
    <t>Biogenic habitat shifts under long-term ocean acidification show nonlinear community responses and unbalanced functions of associated invertebrates</t>
  </si>
  <si>
    <t>Milazzo</t>
  </si>
  <si>
    <t>reef building snail</t>
  </si>
  <si>
    <t>Dendropoma cristatum</t>
  </si>
  <si>
    <t>2010_2011</t>
  </si>
  <si>
    <t>Cystoseira compressa</t>
  </si>
  <si>
    <t>pH</t>
  </si>
  <si>
    <t>Molluscs;Crustaceans;Polychaetes;Bryozoans;Nematodes;Anthozoans;Echinoderms;Acari;Pycnogonida;Sponges;Sipunculids</t>
  </si>
  <si>
    <t>herbivore</t>
  </si>
  <si>
    <t>carnivore</t>
  </si>
  <si>
    <t>suspension feeder</t>
  </si>
  <si>
    <t>omnivore</t>
  </si>
  <si>
    <t>Context-dependent community facilitation in seagrass meadows along a hydrodynamic stress gradient</t>
  </si>
  <si>
    <t>Meysick</t>
  </si>
  <si>
    <t>belowground mass</t>
  </si>
  <si>
    <t>aboveground mass</t>
  </si>
  <si>
    <t>shoot position within patch</t>
  </si>
  <si>
    <t>The mechanisms by which oysters facilitate invertebrates vary across environmental gradients</t>
  </si>
  <si>
    <t>Effects of macroalgal host identity and predation on an amphipod assemblage from a subtropical rocky shore</t>
  </si>
  <si>
    <t>Machado</t>
  </si>
  <si>
    <t>Sargassum filipendula</t>
  </si>
  <si>
    <t>Dichotomaria marginata</t>
  </si>
  <si>
    <t>Padina gymnospora</t>
  </si>
  <si>
    <t>TV/IV ratio</t>
  </si>
  <si>
    <t>time</t>
  </si>
  <si>
    <t>Ability of Eelgrass to Alter Oyster Growth and Physiology Is Spatially Limited and Offset by Increasing Predation Risk</t>
  </si>
  <si>
    <t>Lowe</t>
  </si>
  <si>
    <t>Ostrea lurida;Crassostrea gigas</t>
  </si>
  <si>
    <t>survival</t>
  </si>
  <si>
    <t>shell growth</t>
  </si>
  <si>
    <t>mass growth</t>
  </si>
  <si>
    <t>Ostrea lurida</t>
  </si>
  <si>
    <t>shell strength</t>
  </si>
  <si>
    <t>delta 15N</t>
  </si>
  <si>
    <t>delta 13C</t>
  </si>
  <si>
    <t>A Double-Edged Sword: Infaunal Responses to Agarophyton vermiculophyllum in the Mid-Atlantic United States</t>
  </si>
  <si>
    <t>Keller</t>
  </si>
  <si>
    <t>Gastropod communities associated with different morphologies of the intertidal seaweed Hormosira banksii</t>
  </si>
  <si>
    <t>number of vesicles</t>
  </si>
  <si>
    <t>vesicle length</t>
  </si>
  <si>
    <t>vesicle width</t>
  </si>
  <si>
    <t>sptaial;time</t>
  </si>
  <si>
    <t>Gastropod</t>
  </si>
  <si>
    <t>Long-term records of hard-bottom communities in the southwestern Baltic Sea reveal the decline of a foundation species</t>
  </si>
  <si>
    <t>Temperature, phenology, and turf macroalgae drive seascape change: Connections to mid-trophic level species</t>
  </si>
  <si>
    <t>Dijkstra</t>
  </si>
  <si>
    <t>After the Fall: Legacy Effects of Biogenic Structure on Wind-Generated Ecosystem Processes Following Mussel Bed Collapse</t>
  </si>
  <si>
    <t>Syntopic Cystoseira taxa support different molluscan assemblages in the Gulf of Naples (southern Tyrrhenian Sea)</t>
  </si>
  <si>
    <t>Franz</t>
  </si>
  <si>
    <t>Commito</t>
  </si>
  <si>
    <t>Chiarore</t>
  </si>
  <si>
    <t>Cystoseira amentacea</t>
  </si>
  <si>
    <t>Cystoseira crinita</t>
  </si>
  <si>
    <t>Plant Part Age and Size Affect Sessile Macrobenthic Assemblages Associated with a Foliose Red Algae Phycodrys rubens in the White Sea</t>
  </si>
  <si>
    <t>Chava</t>
  </si>
  <si>
    <t>Phycodrys rubens</t>
  </si>
  <si>
    <t>red macroalgae</t>
  </si>
  <si>
    <t>part age</t>
  </si>
  <si>
    <t>epibenthos</t>
  </si>
  <si>
    <t>surface area</t>
  </si>
  <si>
    <t>young surface area</t>
  </si>
  <si>
    <t xml:space="preserve">old surface area </t>
  </si>
  <si>
    <t>Role of Reef-Building, Ecosystem Engineering Polychaetes in Shallow Water Ecosystems</t>
  </si>
  <si>
    <t>Bruschetti</t>
  </si>
  <si>
    <t>Context is more important than habitat type in determining use by juvenile fish</t>
  </si>
  <si>
    <t>Bradley</t>
  </si>
  <si>
    <t>russia</t>
  </si>
  <si>
    <t>2012_2015</t>
  </si>
  <si>
    <t>Ochrophyta;Chlorophyta</t>
  </si>
  <si>
    <t>Cymodocea;Halophila;Halodule;Thalassia;Zostera</t>
  </si>
  <si>
    <t>Rhizophora</t>
  </si>
  <si>
    <t>juvenile fish</t>
  </si>
  <si>
    <t>Trait‐based approach to monitoring marine benthic data along 500 km of coastline</t>
  </si>
  <si>
    <t>Boye</t>
  </si>
  <si>
    <t>2007_2013</t>
  </si>
  <si>
    <t>Lithothamnion corallioides;Phymatolithon calcareum</t>
  </si>
  <si>
    <t>polychatea</t>
  </si>
  <si>
    <t>Macrofaunal biodiversity associated with different developmental phases of a threatened Mediterranean Sabellaria alveolata (Linnaeus, 1767) reef</t>
  </si>
  <si>
    <t>Bonifazi</t>
  </si>
  <si>
    <t>Can secondary species maintain a primary role? Consistent inter-regional effects of understory algae on diversity</t>
  </si>
  <si>
    <t>Bertolini</t>
  </si>
  <si>
    <t>A nonnative habitat-former mitigates native habitat loss for endemic reef fishes</t>
  </si>
  <si>
    <t>Barett</t>
  </si>
  <si>
    <t>Undaria pinnatifida</t>
  </si>
  <si>
    <t>Sargassum linearifolium</t>
  </si>
  <si>
    <t>weedfisf;weed whiting fish</t>
  </si>
  <si>
    <t>benthic fish;cryptic fish</t>
  </si>
  <si>
    <t>N. balteatus</t>
  </si>
  <si>
    <t>Heteroclinus spp.</t>
  </si>
  <si>
    <t>Krel</t>
  </si>
  <si>
    <t>Hepatosomatic index</t>
  </si>
  <si>
    <t>Stomach index</t>
  </si>
  <si>
    <t>Gonadosomatic index</t>
  </si>
  <si>
    <t>Mature eggs</t>
  </si>
  <si>
    <t>Eggs</t>
  </si>
  <si>
    <t>Mature eggs per gutted mass</t>
  </si>
  <si>
    <t>Eggs per gutted mass</t>
  </si>
  <si>
    <t>Egg maturity</t>
  </si>
  <si>
    <t>Embryos</t>
  </si>
  <si>
    <t>Embryos per gutted mass</t>
  </si>
  <si>
    <t>Egg fertilization</t>
  </si>
  <si>
    <t>gutted mass</t>
  </si>
  <si>
    <t>Sabellaria wilsoni (Polychaeta: Sabellariidae): an ecosystem engineer and promoter of zoobenthos diversity in the Brazilian Amazon coast</t>
  </si>
  <si>
    <t>Aviz</t>
  </si>
  <si>
    <t>brazil</t>
  </si>
  <si>
    <t>Sabellaria wilsoni</t>
  </si>
  <si>
    <t>Seasonal changes in taxon richness and abundance of mobile invertebrates inhabiting holdfast of annual kelp Ecklonia radicosa (Phaeophyceae, Lessoniaceae) at the central Pacific coast of Japan</t>
  </si>
  <si>
    <t>Akita</t>
  </si>
  <si>
    <t>Ecklonia radicosa</t>
  </si>
  <si>
    <t>holdfast height</t>
  </si>
  <si>
    <t>holdfast weight</t>
  </si>
  <si>
    <t>Limited impact of an invasive oyster on intertidal assemblage structure and biodiversity: the importance of environmental context and functional equivalency with native species</t>
  </si>
  <si>
    <t>Zwerschke</t>
  </si>
  <si>
    <t>north europe</t>
  </si>
  <si>
    <t>Ostrea edulis</t>
  </si>
  <si>
    <t>Stronger positive association between an invasive crab and a native intertidal ecosystem engineer with increasing wave exposure</t>
  </si>
  <si>
    <t>Wright</t>
  </si>
  <si>
    <t>serpulid tube worm</t>
  </si>
  <si>
    <t>surface area of the top side</t>
  </si>
  <si>
    <t>surface area of the bottom side</t>
  </si>
  <si>
    <t>site</t>
  </si>
  <si>
    <t>site;wave exposure</t>
  </si>
  <si>
    <t>Petrolisthes elongatus</t>
  </si>
  <si>
    <t>Epifaunal diversity patterns within and among seagrass meadows suggest landscape-scale biodiversity processes</t>
  </si>
  <si>
    <t>Whippo</t>
  </si>
  <si>
    <t>vancouver island</t>
  </si>
  <si>
    <t>Modified kelp seasonality and invertebrate diversity where an invasive kelp co‑occurs with native mussels</t>
  </si>
  <si>
    <t>Thomsen</t>
  </si>
  <si>
    <t>new zealand</t>
  </si>
  <si>
    <t>new zealand;north</t>
  </si>
  <si>
    <t>australia;new zealand</t>
  </si>
  <si>
    <t>new zealande</t>
  </si>
  <si>
    <t>Perna canaliculus;Mytilus galloprovincialis</t>
  </si>
  <si>
    <t>2015_2017</t>
  </si>
  <si>
    <t>biotic interaction</t>
  </si>
  <si>
    <t>holdfast mass</t>
  </si>
  <si>
    <t>mobile invertebrate;epifauna</t>
  </si>
  <si>
    <t>Teagle</t>
  </si>
  <si>
    <t>1980_2014</t>
  </si>
  <si>
    <t>Laminaria ochroleuca;Laminaria hyperborea</t>
  </si>
  <si>
    <t>haptera volume</t>
  </si>
  <si>
    <t>stipe mass</t>
  </si>
  <si>
    <t>sporophytes age</t>
  </si>
  <si>
    <t>sessile invertebrate</t>
  </si>
  <si>
    <t>holdfast habitable space</t>
  </si>
  <si>
    <t>Climate-­driven­ substitution ­of ­habitat-­forming ­species ­leads ­to­ reduced ­biodiversity ­within ­a ­temperate ­marine ­community</t>
  </si>
  <si>
    <t>Spatial variability in the diversity and structure of faunal assemblages associated with kelp holdfasts (Laminaria hyperborea) in the northeast Atlantic</t>
  </si>
  <si>
    <t>Structure of gorgonian epifaunal communities in Ecuador (eastern Pacific)</t>
  </si>
  <si>
    <t>Soler-Hurtado</t>
  </si>
  <si>
    <t>ecuador</t>
  </si>
  <si>
    <t>Tropical Eastern Pacific</t>
  </si>
  <si>
    <t>Leptogorgia manabiensis;Leptogorgia obscura</t>
  </si>
  <si>
    <t>2012_2014</t>
  </si>
  <si>
    <t>gorgonian</t>
  </si>
  <si>
    <t>available living space</t>
  </si>
  <si>
    <t>total surface area</t>
  </si>
  <si>
    <t>colony thickness</t>
  </si>
  <si>
    <t>colony density</t>
  </si>
  <si>
    <t>Leptogorgia manabiensis</t>
  </si>
  <si>
    <t>Leptogorgia obscura</t>
  </si>
  <si>
    <t>The importance of sponges and mangroves in supporting fish communities on degraded coral reefs in Caribbean Panama</t>
  </si>
  <si>
    <t>Seemann</t>
  </si>
  <si>
    <t>caribbean</t>
  </si>
  <si>
    <t>anemone</t>
  </si>
  <si>
    <t>tube worm</t>
  </si>
  <si>
    <t>zoanthid</t>
  </si>
  <si>
    <t>calcifying algae</t>
  </si>
  <si>
    <t>non-calcifuing coral</t>
  </si>
  <si>
    <t>Distribution and abundance of the invasive seagrass Halophila stipulacea and associated benthic macrofauna in Carriacou, Grenadines, Eastern Caribbean</t>
  </si>
  <si>
    <t>Scheibling</t>
  </si>
  <si>
    <t>grenade</t>
  </si>
  <si>
    <t>leaf biomass</t>
  </si>
  <si>
    <t>rhizome biomass</t>
  </si>
  <si>
    <t>seagrass turf</t>
  </si>
  <si>
    <t>Thalassia testudinum;Syringodium filiforme;Halodule wrightii</t>
  </si>
  <si>
    <t>Seaweed structure shapes trophic interactions: A case study using a midtrophic level fish species</t>
  </si>
  <si>
    <t>O'Brien</t>
  </si>
  <si>
    <t>cunner fish</t>
  </si>
  <si>
    <t>refuge activity</t>
  </si>
  <si>
    <t>foraging activity</t>
  </si>
  <si>
    <t>Chondrus crispus</t>
  </si>
  <si>
    <t>Dumontia contorta</t>
  </si>
  <si>
    <t>Ulva lactuca</t>
  </si>
  <si>
    <t>complexity</t>
  </si>
  <si>
    <t>seeking refuge</t>
  </si>
  <si>
    <t>time spend close to macroalgae</t>
  </si>
  <si>
    <t>prey consumed</t>
  </si>
  <si>
    <t>Impoverished mobile epifaunal assemblages associated with the invasive macroalga Asparagopsis taxiformis in the Mediterranean Sea</t>
  </si>
  <si>
    <t>Asparagopsis taxiformis</t>
  </si>
  <si>
    <t>macoalgae</t>
  </si>
  <si>
    <t>whole branche area fractal dimension</t>
  </si>
  <si>
    <t>whole branche perimeter fractal dimension</t>
  </si>
  <si>
    <t>tip of the branche area fractal dimension</t>
  </si>
  <si>
    <t>tip of the branche perimeter fractal dimension</t>
  </si>
  <si>
    <t>peracarid</t>
  </si>
  <si>
    <t>Giant kelp, Macrocystis pyrifera, increases faunal diversity through physical engineering</t>
  </si>
  <si>
    <t>Miller</t>
  </si>
  <si>
    <t>2001_2016</t>
  </si>
  <si>
    <t>mobile grazer</t>
  </si>
  <si>
    <t>mobile predators</t>
  </si>
  <si>
    <t>giant kelp-associated mobile grazer</t>
  </si>
  <si>
    <t>giant kelp-associated sessile invertebrate</t>
  </si>
  <si>
    <t>giant kelp-associated mobile predators</t>
  </si>
  <si>
    <t>Epibiont communities on stranded kelp rafts of Durvillaea antarctica (Fucales, Phaeophyceae)—Do positive interactions facilitate range extensions?</t>
  </si>
  <si>
    <t>Lopez</t>
  </si>
  <si>
    <t>2014_2016</t>
  </si>
  <si>
    <t>Changes of Benthic Macrofaunal Composition on a Tidal Flat of Río Gallegos Estuary, Argentina</t>
  </si>
  <si>
    <t>Lizarralde</t>
  </si>
  <si>
    <t>Influence of two non-indigenous plants on intertidal macrobenthic communities in Ximen Island Special Marine Protected Area, China</t>
  </si>
  <si>
    <t>Liao</t>
  </si>
  <si>
    <t>Kandelia candel</t>
  </si>
  <si>
    <t>macrobenthos</t>
  </si>
  <si>
    <t>Spartina alterniflora;Kandelia candel</t>
  </si>
  <si>
    <t>Miniature baited remote underwater video (mini-BRUV) reveals the response of cryptic fishes to seagrass cover</t>
  </si>
  <si>
    <t>Kiggins</t>
  </si>
  <si>
    <t>Posidonia australis</t>
  </si>
  <si>
    <t>cryptic fish</t>
  </si>
  <si>
    <t>non-cryptic fish</t>
  </si>
  <si>
    <t>Physical effects of habitat-forming species override latitudinal trends in temperature</t>
  </si>
  <si>
    <t>Jurgens</t>
  </si>
  <si>
    <t>Interplay between abiotic factors and species assemblages mediated by the ecosystem engineer Sabellaria alveolata (Annelida: Polychaeta)</t>
  </si>
  <si>
    <t>Anthropogenic disturbance homogenizes seagrass fish communities</t>
  </si>
  <si>
    <t>Iacarella</t>
  </si>
  <si>
    <t>meadow form</t>
  </si>
  <si>
    <t>The world is their oyster: Differences in epibiota on sympatric populations of native Ostrea edulis and non-native Crassostrea gigas (Magallana gigas) oysters</t>
  </si>
  <si>
    <t>Guy</t>
  </si>
  <si>
    <t>northern irland</t>
  </si>
  <si>
    <t>shell surface area</t>
  </si>
  <si>
    <t>Assessing mesophotic coral ecosystems inside and outside a Caribbean marine protected area</t>
  </si>
  <si>
    <t>Gress</t>
  </si>
  <si>
    <t>black coral</t>
  </si>
  <si>
    <t>fleshy macroalgae</t>
  </si>
  <si>
    <t>depth;spatial</t>
  </si>
  <si>
    <t>Sabellaria spinulosa (Polychaeta, Annelida) reefs in the Mediterranean Sea: Habitat mapping, dynamics and associated fauna for conservation management</t>
  </si>
  <si>
    <t>Gravina</t>
  </si>
  <si>
    <t>Sabellaria spinulosa</t>
  </si>
  <si>
    <t>tube diameter</t>
  </si>
  <si>
    <t>Marine community effects of two colonial zoanthids in intertidal habitats of the Canary Islands</t>
  </si>
  <si>
    <t>González-Delgado</t>
  </si>
  <si>
    <t>canary islands</t>
  </si>
  <si>
    <t>Palythoa canariensis;Zoanthus sp.</t>
  </si>
  <si>
    <t>Palythoa canariensis</t>
  </si>
  <si>
    <t>Zoanthus sp.</t>
  </si>
  <si>
    <t>Effects of Estuarine Acidification on an OysterAssociated Community in New South Wales, Australia</t>
  </si>
  <si>
    <t>Glaspie</t>
  </si>
  <si>
    <t>Rhodolith structural loss decreases abundance, diversity, and stability of benthic communities at Santa Catalina Island, CA</t>
  </si>
  <si>
    <t>Gabara</t>
  </si>
  <si>
    <t>Lithothamnion australe</t>
  </si>
  <si>
    <t>Protection alone may not promote natural recovery of biogenic habitats of high biodiversity damaged by mobile fishing gears</t>
  </si>
  <si>
    <t>Fariñas-Franco</t>
  </si>
  <si>
    <t>northem irland</t>
  </si>
  <si>
    <t>Modiolus modiolus</t>
  </si>
  <si>
    <t>2003_2010</t>
  </si>
  <si>
    <t>Assessment of Structural and Functional Diversity of Mollusc Assemblages within Vermetid Bioconstructions</t>
  </si>
  <si>
    <t>Donnarumma</t>
  </si>
  <si>
    <t>vermitid reef</t>
  </si>
  <si>
    <t>Dendropoma lebeche</t>
  </si>
  <si>
    <t>mullusc</t>
  </si>
  <si>
    <t>Biotic consequences of a shift in invertebrate ecosystem engineers: Invasion of New Zealand rocky shores by a zoneforming ascidian</t>
  </si>
  <si>
    <t>Davis</t>
  </si>
  <si>
    <t>Pyura doppelgangera</t>
  </si>
  <si>
    <t>clumps of mussels</t>
  </si>
  <si>
    <t>clumps of ascidians</t>
  </si>
  <si>
    <t>motile fauna</t>
  </si>
  <si>
    <t>epibiota</t>
  </si>
  <si>
    <t>What happens after mussels die? Biogenic legacy effects on community structure and ecosystem processes</t>
  </si>
  <si>
    <t>2011_2012</t>
  </si>
  <si>
    <t>Capitella capitata</t>
  </si>
  <si>
    <t>Oligochaetes</t>
  </si>
  <si>
    <t>non-Oligochaetes</t>
  </si>
  <si>
    <t>day</t>
  </si>
  <si>
    <t>Impact of multiple disturbances and stress on the temporal trajectories and resilience of benthic intertidal communities</t>
  </si>
  <si>
    <t>Cimon</t>
  </si>
  <si>
    <t>Loss of foundation species: disturbance frequency outweighs severity in structuring kelp forest communities</t>
  </si>
  <si>
    <t>Castorani</t>
  </si>
  <si>
    <t>giant kelp forest</t>
  </si>
  <si>
    <t>2008_2016</t>
  </si>
  <si>
    <t>disturbance</t>
  </si>
  <si>
    <t>holdfast cover</t>
  </si>
  <si>
    <t>epilithic sessile invertebrate</t>
  </si>
  <si>
    <t>endolithic sessile invertebrate</t>
  </si>
  <si>
    <t>herbivorous mobile invertebrate</t>
  </si>
  <si>
    <t>carnivorous mobile invertebrate</t>
  </si>
  <si>
    <t>disturbed bed</t>
  </si>
  <si>
    <t>Relationships between the spread of Caulerpa filiformis and fish communities on temperate rocky reefs</t>
  </si>
  <si>
    <t>no access</t>
  </si>
  <si>
    <t>The introduction of Sargassum muticum modifies epifaunal patterns in a Moroccan seagrass meadow</t>
  </si>
  <si>
    <t>Belattmania</t>
  </si>
  <si>
    <t>morocco</t>
  </si>
  <si>
    <t>Sargassum muticum</t>
  </si>
  <si>
    <t>The role of habitat selection on the diversity of macrobenthic communities in three gulfs of the Cuban Archipelago</t>
  </si>
  <si>
    <t>Armenteros</t>
  </si>
  <si>
    <t>cuba</t>
  </si>
  <si>
    <t>2013_2014</t>
  </si>
  <si>
    <t>Rhizophora mangle</t>
  </si>
  <si>
    <t>Thalassia testudinum;Halophila;Halodule wrightii</t>
  </si>
  <si>
    <t>stony coral;sponges;gorgonaina</t>
  </si>
  <si>
    <t>Disturbance-mediated facilitation by an intertidal ecosystem engineer</t>
  </si>
  <si>
    <t>Seasonal variation in epifaunal communities associated with giant kelp (Macrocystis pyrifera) at an upwelling-dominated site</t>
  </si>
  <si>
    <t>Winkler</t>
  </si>
  <si>
    <t>Assessment of quality of three marine benthic habitat types in northern Baltic Sea</t>
  </si>
  <si>
    <t>Effects of dead oyster shells as a habitat for the benthic faunal community along rocky shore regions</t>
  </si>
  <si>
    <t>Tomatsuri</t>
  </si>
  <si>
    <t>oyster</t>
  </si>
  <si>
    <t>Saccostrea kegaki</t>
  </si>
  <si>
    <t>The role of kelp species as biogenic habitat formers in coastal marine ecosystems</t>
  </si>
  <si>
    <t>Sunday</t>
  </si>
  <si>
    <t>Mytilus sp.</t>
  </si>
  <si>
    <t>fauna</t>
  </si>
  <si>
    <t>Long-term declines in an intertidal foundation species parallel shifts in community composition.</t>
  </si>
  <si>
    <t>Sorte</t>
  </si>
  <si>
    <t>gonadosomatic index</t>
  </si>
  <si>
    <t>total tissue weight</t>
  </si>
  <si>
    <t>shell lenght</t>
  </si>
  <si>
    <t>shell height</t>
  </si>
  <si>
    <t>shell thickness</t>
  </si>
  <si>
    <t>gonad weight</t>
  </si>
  <si>
    <t>temporal variability</t>
  </si>
  <si>
    <t>sessile fauna</t>
  </si>
  <si>
    <t>Mangrove expansion into salt marshes alters associated faunal communities</t>
  </si>
  <si>
    <t>Smee</t>
  </si>
  <si>
    <t>grass shrimp</t>
  </si>
  <si>
    <t>crab</t>
  </si>
  <si>
    <t>Community-level facilitation by macroalgal foundation species peaks at an intermediate level of environmental stress</t>
  </si>
  <si>
    <t>Ascophyllum nodosum;Fucus spp.</t>
  </si>
  <si>
    <t>benthic macrofauna</t>
  </si>
  <si>
    <t>Variation in a simple trait of mangrove roots governs predator access to, and assemblage composition of, epibiotic sponges</t>
  </si>
  <si>
    <t>Schutte</t>
  </si>
  <si>
    <t>suspended</t>
  </si>
  <si>
    <t>cover on root</t>
  </si>
  <si>
    <t>survived to predation</t>
  </si>
  <si>
    <t>Coral reef habitats strongly influence the diversity of macroand meiobenthos in the Caribbean</t>
  </si>
  <si>
    <t>Ruiz-Abierno</t>
  </si>
  <si>
    <t>algal turf</t>
  </si>
  <si>
    <t>Galaxaura sp.;Jania sp.;Lobophora sp.;Padina sp.;Sargassum sp.;Stypopodium sp.</t>
  </si>
  <si>
    <t>Long-term changes in a Ligurian infralittoral community (Mediterranean Sea): A warning signal?</t>
  </si>
  <si>
    <t>Longobardi</t>
  </si>
  <si>
    <t>Biogeographic Variability in the Value of Mussel Beds as Ecosystem Engineers on South African Rocky Shores</t>
  </si>
  <si>
    <t>Lathlean</t>
  </si>
  <si>
    <t>Perna perna;Mytilus galloprovincialis</t>
  </si>
  <si>
    <t>motile mollusc</t>
  </si>
  <si>
    <t>season;location</t>
  </si>
  <si>
    <t>Mangrove expansion into temperate marshes alters habitat quality for recruiting Callinectes spp.</t>
  </si>
  <si>
    <t>Johnston</t>
  </si>
  <si>
    <t>black mangrove</t>
  </si>
  <si>
    <t>red mangrove</t>
  </si>
  <si>
    <t>salt marsh cordgrass</t>
  </si>
  <si>
    <t>presence of branching</t>
  </si>
  <si>
    <t>root density</t>
  </si>
  <si>
    <t>angles of articulation</t>
  </si>
  <si>
    <t>Changes in ecosystem engineers: the effects of kelp forest type on currents and benthic assemblages in Kachemak Bay, Alaska</t>
  </si>
  <si>
    <t>Hondolero</t>
  </si>
  <si>
    <t>Nereocystis luetkeana;Eualaria fistulosa</t>
  </si>
  <si>
    <t>canopy area</t>
  </si>
  <si>
    <t>Eualaria fistulosa</t>
  </si>
  <si>
    <t>The effects of intertidal oyster reef habitat characteristics on faunal utilization</t>
  </si>
  <si>
    <t>Hanke</t>
  </si>
  <si>
    <t>reef type</t>
  </si>
  <si>
    <t>reef size</t>
  </si>
  <si>
    <t>mobile nekton</t>
  </si>
  <si>
    <t>Seaweed beds support more juvenile reef fish than seagrass beds in a south-western Atlantic tropical seascape</t>
  </si>
  <si>
    <t>Eggertsen</t>
  </si>
  <si>
    <t>invertebrate</t>
  </si>
  <si>
    <t>seaweed bed</t>
  </si>
  <si>
    <t>Halodule wrightii</t>
  </si>
  <si>
    <t>fish juveniles</t>
  </si>
  <si>
    <t>fish adults</t>
  </si>
  <si>
    <t>fish subadults</t>
  </si>
  <si>
    <t>coral;calcareaous turf algae;zoanthid;siphonous turf algae</t>
  </si>
  <si>
    <t>rugosity</t>
  </si>
  <si>
    <t>fish juvenils</t>
  </si>
  <si>
    <t>Coral identity and structural complexity drive habitat associations and demographic processes for an increasingly important Caribbean herbivore</t>
  </si>
  <si>
    <t>Dunn</t>
  </si>
  <si>
    <t>panama</t>
  </si>
  <si>
    <t>finger coral</t>
  </si>
  <si>
    <t>branching fire hydrocoral</t>
  </si>
  <si>
    <t>thin leaf letuce coral</t>
  </si>
  <si>
    <t>Porites spp.</t>
  </si>
  <si>
    <t>Millepora alcicornis</t>
  </si>
  <si>
    <t>crevice size opening</t>
  </si>
  <si>
    <t>Agaricia tenuifolia</t>
  </si>
  <si>
    <t>colony rugosity</t>
  </si>
  <si>
    <t>urchin</t>
  </si>
  <si>
    <t>sheltering behavior</t>
  </si>
  <si>
    <t>habitat preference over predation</t>
  </si>
  <si>
    <t>Invasive seaweeds transform habitat structure and increase biodiversity of associated species</t>
  </si>
  <si>
    <t>1977_2015</t>
  </si>
  <si>
    <t>seaweed assemblage</t>
  </si>
  <si>
    <t>temporal</t>
  </si>
  <si>
    <t>Codium fragile;Bonnemaisonia hamifera;Dasysiphonia japonica</t>
  </si>
  <si>
    <t>Saccharina latissima;Ulva spp.;Chondrus crispus;Desmarestia aculeata;Cystoclonium purpureum;Codium fragile;Bonnemaisonia hamifera;Dasysiphonia japonica</t>
  </si>
  <si>
    <t>Ulva spp.</t>
  </si>
  <si>
    <t>Desmarestia aculeata</t>
  </si>
  <si>
    <t>Cystoclonium purpureum</t>
  </si>
  <si>
    <t>Bonnemaisonia hamifera</t>
  </si>
  <si>
    <t>blade forming</t>
  </si>
  <si>
    <t>branching bush</t>
  </si>
  <si>
    <t>arborescent thalli</t>
  </si>
  <si>
    <t>Saccharina latissima;Ulva spp.;Chondrus crispus;Desmarestia aculeata;Cystoclonium purpureum</t>
  </si>
  <si>
    <t>Multiple effects of a Gracilaria vermiculophylla invasion on estuarine mudflat functioning and diversity</t>
  </si>
  <si>
    <t>Davoult</t>
  </si>
  <si>
    <t>Forgotten underwater forests: The key role of fucoids on Australian temperate reefs</t>
  </si>
  <si>
    <t>Coleman</t>
  </si>
  <si>
    <t>Predicting biodiversity changes due to loss of bioengineers from an intertidal landscape, a case study from Sydney Harbour</t>
  </si>
  <si>
    <t>Cole</t>
  </si>
  <si>
    <t>oyster bed</t>
  </si>
  <si>
    <t>Saccostrea glomerata</t>
  </si>
  <si>
    <t>Corallina officinalis</t>
  </si>
  <si>
    <t>serpulid worm</t>
  </si>
  <si>
    <t>trufing coraline algae</t>
  </si>
  <si>
    <t>Macrobenthic fauna associated with the invasive alien species Brachidontes pharaonis (Mollusca: Bivalvia) in the Levantine Sea (Turkey)</t>
  </si>
  <si>
    <t>Cinar</t>
  </si>
  <si>
    <t>turkey</t>
  </si>
  <si>
    <t>Brachidontes pharaonis</t>
  </si>
  <si>
    <t>Christianen</t>
  </si>
  <si>
    <t>Biodiversity and food web indicators of community recovery in intertidal shellfish reefs</t>
  </si>
  <si>
    <t>dutch</t>
  </si>
  <si>
    <t>flesh shell ration</t>
  </si>
  <si>
    <t>bird;macrobenthos;fish</t>
  </si>
  <si>
    <t>Functional roles of an engineer species for coastal benthic invertebrates and demersal fish</t>
  </si>
  <si>
    <t>Chaalali</t>
  </si>
  <si>
    <t>tubiculous amphipod</t>
  </si>
  <si>
    <t>Haploops nirae</t>
  </si>
  <si>
    <t>The potential role of habitat-forming seaweeds in modeling benthic ecosystem properties</t>
  </si>
  <si>
    <t>Bustamante</t>
  </si>
  <si>
    <t>2008_2013</t>
  </si>
  <si>
    <t>Gelidium corneum;Cystoseira baccata</t>
  </si>
  <si>
    <t>Compounded perturbations in coastal areas: contrasting responses to nutrient enrichment and the regime of storm-related disturbance depend on life-history traits</t>
  </si>
  <si>
    <t>Bertocci</t>
  </si>
  <si>
    <t>Reducing the data-deficiency of threatened European habitats: Spatial variation of sabellariid worm reefs and associated fauna in the Sicily Channel, Mediterranean Sea</t>
  </si>
  <si>
    <t>Sabellaria alveolata;Sabellaria spinulosa</t>
  </si>
  <si>
    <t>opercular length</t>
  </si>
  <si>
    <t>The environmental context and traits of habitat-forming bivalves influence the magnitude of their ecosystem engineering</t>
  </si>
  <si>
    <t>Bateman</t>
  </si>
  <si>
    <t>Temperate Northern Atlantic;Temperate Australasia;Temperate Northern Pacific;Temperate South America;Temperate Southern Africa</t>
  </si>
  <si>
    <t>pinnid</t>
  </si>
  <si>
    <t>mussel</t>
  </si>
  <si>
    <t>world</t>
  </si>
  <si>
    <t>1984_2017</t>
  </si>
  <si>
    <t>Nursery function of coastal temperate benthic habitats: New insight from the bivalve recruitment perspective</t>
  </si>
  <si>
    <t>Barbier</t>
  </si>
  <si>
    <t>crepidula fornicata banks</t>
  </si>
  <si>
    <t>Crepidula fornicata</t>
  </si>
  <si>
    <t>tube builder worm</t>
  </si>
  <si>
    <t>maerl bed</t>
  </si>
  <si>
    <t>Corallinophycidae;Rhodophyta</t>
  </si>
  <si>
    <t>bivalve larvae</t>
  </si>
  <si>
    <t>thickness</t>
  </si>
  <si>
    <t>soft tissue mass</t>
  </si>
  <si>
    <t>dry shell mass</t>
  </si>
  <si>
    <t>shell width</t>
  </si>
  <si>
    <t>Ostrea edulis juveniles</t>
  </si>
  <si>
    <t>fatty acids</t>
  </si>
  <si>
    <t>nitrogen contents of tissues</t>
  </si>
  <si>
    <t>carbon contents of tissues</t>
  </si>
  <si>
    <t>Benthic assemblages associated with native and non-native oysters are similar</t>
  </si>
  <si>
    <t>orientation</t>
  </si>
  <si>
    <t>benthic invertebrate</t>
  </si>
  <si>
    <t>Native ecosystem engineer facilitates recruitment of invasive crab and native invertebrates</t>
  </si>
  <si>
    <t>crab Petrolisthes elongatus recruit</t>
  </si>
  <si>
    <t>carapace width</t>
  </si>
  <si>
    <t>gastropods;chitons;echinoderms;arthropods</t>
  </si>
  <si>
    <t>How habitat-modifying organisms structure the food web of two coastal ecosystems</t>
  </si>
  <si>
    <t>van der Zee</t>
  </si>
  <si>
    <t>Temporal variability of sedimentation rates and mobile fauna inside and outside a gorgonian garden</t>
  </si>
  <si>
    <t>Valisano</t>
  </si>
  <si>
    <t>mollusk beds</t>
  </si>
  <si>
    <t>sex ratio</t>
  </si>
  <si>
    <t>gorgonian garden</t>
  </si>
  <si>
    <t>amount of animal detritus</t>
  </si>
  <si>
    <t>Living carbonate habitats in temperate California (USA) waters: distribution, growth, and disturbance of Santa Catalina Island rhodoliths</t>
  </si>
  <si>
    <t>Tompkins</t>
  </si>
  <si>
    <t>dry weight</t>
  </si>
  <si>
    <t>anthropic</t>
  </si>
  <si>
    <t>2008_2011</t>
  </si>
  <si>
    <t>A host-specific habitat former controls biodiversity across ecological transitions in a rocky intertidal facilitation cascade</t>
  </si>
  <si>
    <t>Hormosira bed</t>
  </si>
  <si>
    <t>A sixth-level habitat cascade increases biodiversity in an intertidal estuary</t>
  </si>
  <si>
    <t>Diversity of faunal assemblages associated with ribbed mussel beds along the South American coast: relative roles of biogeography and bioengineering</t>
  </si>
  <si>
    <t>Sepulveda</t>
  </si>
  <si>
    <t>south america</t>
  </si>
  <si>
    <t>2007_2008</t>
  </si>
  <si>
    <t>Aulacomya atra</t>
  </si>
  <si>
    <t>The clonal seaweed Chondrus crispus as a foundation species</t>
  </si>
  <si>
    <t>Macrofauna associated with temporary Sabellaria alveolata reefs on the west coast of Cotentin (France)</t>
  </si>
  <si>
    <t>Schlund</t>
  </si>
  <si>
    <t>reef structure</t>
  </si>
  <si>
    <t>Producer diversity enhances consumer stability in a benthic marine community</t>
  </si>
  <si>
    <t>Application of computer-aided tomography techniques to visualize kelp holdfast structure reveals the importance of habitat complexity for supporting marine biodiversity</t>
  </si>
  <si>
    <t>Orland</t>
  </si>
  <si>
    <t>kelp bed</t>
  </si>
  <si>
    <t>spatial autocorrelation</t>
  </si>
  <si>
    <t>number of separate haptera branching</t>
  </si>
  <si>
    <t>heptera per cm3</t>
  </si>
  <si>
    <t>holdfast communities</t>
  </si>
  <si>
    <t>The resilience of reef invertebrate biodiversity to coral mortality</t>
  </si>
  <si>
    <t>Nelson</t>
  </si>
  <si>
    <t>Agaricia coral</t>
  </si>
  <si>
    <t>reef status</t>
  </si>
  <si>
    <t>Foundation species identity and trophic complexity affect Foundation species identity and trophic complexity affect experimental seagrass communities experimental seagrass communities</t>
  </si>
  <si>
    <t>Moore</t>
  </si>
  <si>
    <t>Ruppia maritima</t>
  </si>
  <si>
    <t>widgeongrass</t>
  </si>
  <si>
    <t>above-ground biomass</t>
  </si>
  <si>
    <t>below-ground biomass</t>
  </si>
  <si>
    <t>crustacean mesograzer</t>
  </si>
  <si>
    <t>density dependance</t>
  </si>
  <si>
    <t>Erichsonella attenuata</t>
  </si>
  <si>
    <t>Gammarus mucronatus</t>
  </si>
  <si>
    <t>AxIOM: Amphipod crustaceans from insular Posidonia oceanica seagrass meadows</t>
  </si>
  <si>
    <t>Michel</t>
  </si>
  <si>
    <t>Does restoration of a habitat-forming seaweed restore associated faunal diversity?</t>
  </si>
  <si>
    <t>Marzinelli</t>
  </si>
  <si>
    <t>fucale</t>
  </si>
  <si>
    <t>Phyllospora comosa</t>
  </si>
  <si>
    <t>Sargassum vestitum</t>
  </si>
  <si>
    <t>taxo alpha div per g of alga</t>
  </si>
  <si>
    <t>abundance per g of alga</t>
  </si>
  <si>
    <t>2011_2013</t>
  </si>
  <si>
    <t>bed status</t>
  </si>
  <si>
    <t>gammaridae</t>
  </si>
  <si>
    <t>gastropoda</t>
  </si>
  <si>
    <t>Contrasting temporal variation in habitat complexity and species abundance distributions in four kelp forest strata</t>
  </si>
  <si>
    <t>Leclerc</t>
  </si>
  <si>
    <t>holdfast interstitial volume</t>
  </si>
  <si>
    <t>mobile fauna</t>
  </si>
  <si>
    <t>Mussels of a marginal population affect the patterns of ambient macrofauna: A case study from the Baltic Sea</t>
  </si>
  <si>
    <t>Lauringson</t>
  </si>
  <si>
    <t>grazer</t>
  </si>
  <si>
    <t>Regional differences and linkage between canopy structure and community composition of rockweed habitats in Atlantic Canada</t>
  </si>
  <si>
    <t>Kay</t>
  </si>
  <si>
    <t>north-eastern baltic sea</t>
  </si>
  <si>
    <t>nitrogen content</t>
  </si>
  <si>
    <t>carbon content</t>
  </si>
  <si>
    <t>freefloating maximum diameter</t>
  </si>
  <si>
    <t>plant volume</t>
  </si>
  <si>
    <t>total volume</t>
  </si>
  <si>
    <t>Submerged vegetation complexity modifies benthic infauna communities: the hidden role of the belowground system</t>
  </si>
  <si>
    <t>Gonzalez-Ortiz</t>
  </si>
  <si>
    <t>Sponges as “living hotels” in Mediterranean marine caves (Erratum)</t>
  </si>
  <si>
    <t>Gerovasileiou</t>
  </si>
  <si>
    <t>greece</t>
  </si>
  <si>
    <t>Agelas oroides;Aplysina aerophoba</t>
  </si>
  <si>
    <t>Aplysina aerophoba</t>
  </si>
  <si>
    <t>Does habitat complexity influence fish recruitment?</t>
  </si>
  <si>
    <t>Cheminée</t>
  </si>
  <si>
    <t>Caulerpa taxifolia</t>
  </si>
  <si>
    <t>Deeply hidden inside introduced biogenic structures – Pacificoysterreefs reduce detrimental barnacle overgrowth on native blue mussels</t>
  </si>
  <si>
    <t>Buschbaum</t>
  </si>
  <si>
    <t>wadden sea</t>
  </si>
  <si>
    <t>Linking disturbance and resistance to invasion via changes in biodiversity: a conceptual model and an experimental test on rocky reefs</t>
  </si>
  <si>
    <t>Bulleri</t>
  </si>
  <si>
    <t>Habitat preference and seasonal variability of epifaunal assemblages associated with macroalgal beds on the Central Red Sea coast, Saudi Arabia</t>
  </si>
  <si>
    <t>saudi arabia</t>
  </si>
  <si>
    <t>Sargassum sp.;Gracilaria sp.;Padina sp.;Acanthopora sp.;Ulva sp.</t>
  </si>
  <si>
    <t>Gracilaria sp.</t>
  </si>
  <si>
    <t>Padina sp.</t>
  </si>
  <si>
    <t>Acanthopora sp.</t>
  </si>
  <si>
    <t>Ulva sp.</t>
  </si>
  <si>
    <t>The structure of biogenic habitat and epibiotic assemblages associated with the global invasive kelp Undaria pinnatifida in comparison to native macroalgae</t>
  </si>
  <si>
    <t>Arnold</t>
  </si>
  <si>
    <t>Ba-Akdah</t>
  </si>
  <si>
    <t>Undaria pinnatifida;Laminaria ochroleuca;Saccharina latissima;Saccorhiza polyschides</t>
  </si>
  <si>
    <t>total length</t>
  </si>
  <si>
    <t>wet weight</t>
  </si>
  <si>
    <t>total holdfast voume</t>
  </si>
  <si>
    <t>hodlfast volume</t>
  </si>
  <si>
    <t>sessile invertebrates on stipe</t>
  </si>
  <si>
    <t>sessile invertebrates on holdfast</t>
  </si>
  <si>
    <t>Epiphytic macroalgae mediate the impact of a non-native alga on associated fauna</t>
  </si>
  <si>
    <t>Armitage</t>
  </si>
  <si>
    <t>Inhabiting fauna in holdfasts of Lessonia nigrescens complex. Is it an indicator of ecological integrity in exploited kelp beds in northern Chile?</t>
  </si>
  <si>
    <t>Vega</t>
  </si>
  <si>
    <t>Colony geometry and structural complexity of the endangered species Acropora cervicornis partly explains the structure of their associated fish assemblage</t>
  </si>
  <si>
    <t>Agudo-Adriani</t>
  </si>
  <si>
    <t>venezuela</t>
  </si>
  <si>
    <t>Acropora cervicornis</t>
  </si>
  <si>
    <t>area of the convex hull</t>
  </si>
  <si>
    <t>volume of the convex hull</t>
  </si>
  <si>
    <t>colony area</t>
  </si>
  <si>
    <t>number of branch tips</t>
  </si>
  <si>
    <t>number of peripheral braches per area</t>
  </si>
  <si>
    <t>percentage of live coral tissue</t>
  </si>
  <si>
    <t>number of branches</t>
  </si>
  <si>
    <t>complex index</t>
  </si>
  <si>
    <t>Indirect effects of invasive species affecting the population structure of an ecosystem engineer</t>
  </si>
  <si>
    <t>Waser</t>
  </si>
  <si>
    <t>Predictable Habitat Associations of Four Crab Species Across the Low Intertidal Landscape of a Tropical Estuary over Time</t>
  </si>
  <si>
    <t>Vermeiren</t>
  </si>
  <si>
    <t>The role of habitat complexity in shaping the size structure of a temperate reef fish community</t>
  </si>
  <si>
    <t>Trebilco</t>
  </si>
  <si>
    <t>2009_2012</t>
  </si>
  <si>
    <t>body size</t>
  </si>
  <si>
    <t>individual biomass</t>
  </si>
  <si>
    <t>Responses of seagrass to anthropogenic and natural disturbances do not equally translate to its consumers</t>
  </si>
  <si>
    <t>Tomas</t>
  </si>
  <si>
    <t>Facilitation effects of invasive and farmed bivalves on native populations of the sea slug Pleurobranchaea maculata</t>
  </si>
  <si>
    <t>Taylor</t>
  </si>
  <si>
    <t>Ascidian-associated polychaetes: ecological implications of aggregation size and tube-building chaetopterids on assemblage structure in the Southeastern Pacific Ocean</t>
  </si>
  <si>
    <t>Sepúlveda</t>
  </si>
  <si>
    <t>Pyura chilensis</t>
  </si>
  <si>
    <t>aggregation type</t>
  </si>
  <si>
    <t>Changes in habitat complexity resulting from sequential invasions of a rocky shore: implications for community structure</t>
  </si>
  <si>
    <t>Habitat associations and behavioural patterns of Symphodus spp. (Pisces: Labridae)</t>
  </si>
  <si>
    <t>Sessile macro-epibiotic community of solitary ascidians, ecosystem engineers in soft substrates of Potter Cove, Antarctica</t>
  </si>
  <si>
    <t>Rimondino</t>
  </si>
  <si>
    <t>antarctica</t>
  </si>
  <si>
    <t>Southern Ocean</t>
  </si>
  <si>
    <t>2004_2013</t>
  </si>
  <si>
    <t>sessile macro-epibiotic taxa</t>
  </si>
  <si>
    <t>Corella antarctica</t>
  </si>
  <si>
    <t>Cnemidocarpa verrucosa</t>
  </si>
  <si>
    <t>Molgula pedunculata</t>
  </si>
  <si>
    <t>available area for colonization</t>
  </si>
  <si>
    <t>Engineering effect of Pinna nobilis shells on benthic communities</t>
  </si>
  <si>
    <t>Rabaoui</t>
  </si>
  <si>
    <t>Facilitation in the low intertidal: effects of an invasive species on the structure of an estuarine macrozoobenthic assemblage</t>
  </si>
  <si>
    <t>Novais</t>
  </si>
  <si>
    <t>portugal</t>
  </si>
  <si>
    <t>Corbicula fluminea</t>
  </si>
  <si>
    <t>asian clam bed</t>
  </si>
  <si>
    <t>presence asbence</t>
  </si>
  <si>
    <t>macrozoobenthos</t>
  </si>
  <si>
    <t>annelida</t>
  </si>
  <si>
    <t>crustacea</t>
  </si>
  <si>
    <t>Effects of live and post-mortem shell structures of invasive Pacific oysters and native blue mussels on macrofauna and fish</t>
  </si>
  <si>
    <t>Norling</t>
  </si>
  <si>
    <t>epibenthic fauna</t>
  </si>
  <si>
    <t>Pholis gunnellus</t>
  </si>
  <si>
    <t>Myoxocephalus scorpius</t>
  </si>
  <si>
    <t>Gobiusculus flavescens</t>
  </si>
  <si>
    <t>Trophic versus structural effects of a marine foundation species, giant kelp (Macrocystis pyrifera)</t>
  </si>
  <si>
    <t>canopye forming algae</t>
  </si>
  <si>
    <t>Parapholas californica</t>
  </si>
  <si>
    <t>Phragmatopoma californica</t>
  </si>
  <si>
    <t>Chaceia ovoidea</t>
  </si>
  <si>
    <t>Styela montereyensis</t>
  </si>
  <si>
    <t>Muricea californica</t>
  </si>
  <si>
    <t>Aglaophenia sp.</t>
  </si>
  <si>
    <t>Pachythyone rubra</t>
  </si>
  <si>
    <t>Ecological impacts of the austral-most population of Crassostreagigas in South America: a matter of time?</t>
  </si>
  <si>
    <t>Mendez</t>
  </si>
  <si>
    <t>2009_2011</t>
  </si>
  <si>
    <t>maximum length</t>
  </si>
  <si>
    <t>maximum width</t>
  </si>
  <si>
    <t>Differential benthic community response to increased habitat complexity mediated by an invasive barnacle</t>
  </si>
  <si>
    <t>Balanus glandula</t>
  </si>
  <si>
    <t>Context-dependent effects of the loss of Spartina alterniflora on salt marsh invertebrate communities</t>
  </si>
  <si>
    <t>McFarlin</t>
  </si>
  <si>
    <t>2006_2008</t>
  </si>
  <si>
    <t>Overgrowth of eelgrass by the invasive colonial tunicate Didemnum vexillum: Consequences for tunicate and eelgrass growth and epifauna abundance</t>
  </si>
  <si>
    <t>Long</t>
  </si>
  <si>
    <t>The role of Argopecten purpuratus shells structuring the soft bottom community in shallow waters of southern Peru</t>
  </si>
  <si>
    <t>Lomovasky</t>
  </si>
  <si>
    <t>2006_2007</t>
  </si>
  <si>
    <t>Beyond the border: Effects of an expanding algal habitat on the fauna of neighbouring habitats</t>
  </si>
  <si>
    <t>coraline turf</t>
  </si>
  <si>
    <t>amphipod</t>
  </si>
  <si>
    <t>A comparison of epifaunal invertebrate communities in native eelgrass Zostera marina and non-native Zostera japonica at Tsawwassen, BC</t>
  </si>
  <si>
    <t>Knight</t>
  </si>
  <si>
    <t>number of reproductive shoot</t>
  </si>
  <si>
    <t>leaf sheath length</t>
  </si>
  <si>
    <t>leaf sheath width</t>
  </si>
  <si>
    <t>blade surface area</t>
  </si>
  <si>
    <t>shoot surface area per plot</t>
  </si>
  <si>
    <t>Effect of the invader Boccardia proboscidea (Polychaeta: Spionidae) on richness, diversity and structure of SW Atlantic epilithic intertidal community</t>
  </si>
  <si>
    <t>Elías</t>
  </si>
  <si>
    <t>Boccardia proboscidea</t>
  </si>
  <si>
    <t>2008_2009</t>
  </si>
  <si>
    <t>Boccardia spp.</t>
  </si>
  <si>
    <t>Alitta succinea</t>
  </si>
  <si>
    <t>Capitella sp.</t>
  </si>
  <si>
    <t>Brachidontes rodriguezzi</t>
  </si>
  <si>
    <t>Syllis gracillis</t>
  </si>
  <si>
    <t>Effects of antagonistic ecosystem engineers on macrofauna communities in a patchy, intertidal mudflat landscape</t>
  </si>
  <si>
    <t>Eklöf</t>
  </si>
  <si>
    <t>netherlands</t>
  </si>
  <si>
    <t>Zostera noltei</t>
  </si>
  <si>
    <t>shoot mass</t>
  </si>
  <si>
    <t>seagrass removal</t>
  </si>
  <si>
    <t>Effects of alga Fucus serratus decline on benthic assemblages and trophic linkages at its retreating southern range edge</t>
  </si>
  <si>
    <t>Duarte</t>
  </si>
  <si>
    <t>Fucus serratus</t>
  </si>
  <si>
    <t>Depth-related spatial patterns of sublittoral blue mussel beds and their associated macrofaunal diversity revealed by geostatistical analyses</t>
  </si>
  <si>
    <t>Díaz</t>
  </si>
  <si>
    <t>Biogenic reefs affect multiple components of intertidal soft-bottom benthic assemblages: the Lanice conchilega case study</t>
  </si>
  <si>
    <t>De Smet</t>
  </si>
  <si>
    <t>Lanice conchilega</t>
  </si>
  <si>
    <t>hyperbenthos</t>
  </si>
  <si>
    <t>Reefs, sand and reef-like sand: A comparison of the benthic biodiversity of habitats in the Dutch Borkum Reef Grounds</t>
  </si>
  <si>
    <t>Coolen</t>
  </si>
  <si>
    <t>A complex interaction between a sponge (Halichondria melanadocia)and aseagrass(Thalassia testudinum) in a subtropical coastal ecosystem</t>
  </si>
  <si>
    <t>Archer</t>
  </si>
  <si>
    <t>bahamas</t>
  </si>
  <si>
    <t>Thalassia testudinum</t>
  </si>
  <si>
    <t>blades per shoot</t>
  </si>
  <si>
    <t>%C</t>
  </si>
  <si>
    <t>%N</t>
  </si>
  <si>
    <t>%P</t>
  </si>
  <si>
    <t>C:N</t>
  </si>
  <si>
    <t>C:P</t>
  </si>
  <si>
    <t>leaf surface area</t>
  </si>
  <si>
    <t>Halichondria melanadocia</t>
  </si>
  <si>
    <t>Beyond food: a foundation species facilitates its own predator</t>
  </si>
  <si>
    <t>Agüera</t>
  </si>
  <si>
    <t>Effect of Spartina alterniflora Loisel, 1807 on growth of the stout razor clam Tagelus plebeius (Lightfoot, 1786) in a SW Atlantic estuary</t>
  </si>
  <si>
    <t>Addino</t>
  </si>
  <si>
    <t>saltmarsh</t>
  </si>
  <si>
    <t>2009_2010</t>
  </si>
  <si>
    <t>Tagelus plebeius</t>
  </si>
  <si>
    <t>size frequency distribution</t>
  </si>
  <si>
    <t>slope of height length relation ship</t>
  </si>
  <si>
    <t>intercept of height length relation ship</t>
  </si>
  <si>
    <t>Engineering or food? mechanisms of facilitation by a habitatforming invasive seaweed</t>
  </si>
  <si>
    <t>seaweed</t>
  </si>
  <si>
    <t>Evidence of Season-Dependency in Vegetation Effects on Macrofauna in Temperate Seagrass Meadows (Baltic Sea)</t>
  </si>
  <si>
    <t>Włodarska-Kowalczuk</t>
  </si>
  <si>
    <t>Hollow rhodoliths increase Svalbard’s shelf biodiversity</t>
  </si>
  <si>
    <t>Teichert</t>
  </si>
  <si>
    <t>svalbard</t>
  </si>
  <si>
    <t>Lithothamnion glaciale</t>
  </si>
  <si>
    <t>rodolith</t>
  </si>
  <si>
    <t>Does thalli complexity and biomass affect the associated flora and fauna of two co-occurring Fucus species in the Baltic Sea?</t>
  </si>
  <si>
    <t>Schagerstrom</t>
  </si>
  <si>
    <t>bothnian sea</t>
  </si>
  <si>
    <t>Fucus vesiculosus;Fucus radicans</t>
  </si>
  <si>
    <t>brown macroalgae</t>
  </si>
  <si>
    <t>peremeter area ratio</t>
  </si>
  <si>
    <t>Fucus radicans</t>
  </si>
  <si>
    <t>Does mollusc shell debris determine patterns of macrofaunal recolonisation on a tidal flat? Experimental evidence from reciprocal transplantations</t>
  </si>
  <si>
    <t>Sandrini-Neto</t>
  </si>
  <si>
    <t>Benthic control freaks: Effects of the tubiculous amphipod Haploops nirae on the specific diversity and functional structure of benthic communities</t>
  </si>
  <si>
    <t>Rigolet</t>
  </si>
  <si>
    <t xml:space="preserve">bare habitat </t>
  </si>
  <si>
    <t>Organisms as cooperative ecosystem engineers in intertidal flats</t>
  </si>
  <si>
    <t>Passarelli</t>
  </si>
  <si>
    <t>Alien reef-building polychaete drives long-term changes in invertebrate biomass and diversity in a small, urban estuary</t>
  </si>
  <si>
    <t>McQuaid</t>
  </si>
  <si>
    <t>Restoring seaweeds: does the declining fucoid Phyllospora comosa support different biodiversity than other habitats?</t>
  </si>
  <si>
    <t>turf forming algae</t>
  </si>
  <si>
    <t>Effects of Habitat-Forming Species Richness, Evenness, Identity, and Abundance on Benthic Intertidal Community Establishment and Productivity</t>
  </si>
  <si>
    <t>Lemieux</t>
  </si>
  <si>
    <t>Habitat-former effects on prey behaviour increase predation and non-predation mortality</t>
  </si>
  <si>
    <t>clam</t>
  </si>
  <si>
    <t>proportion of clams unburied</t>
  </si>
  <si>
    <t>mean proportion of clam</t>
  </si>
  <si>
    <t>mortality</t>
  </si>
  <si>
    <t>dry tissu biomass</t>
  </si>
  <si>
    <t>shell biomass</t>
  </si>
  <si>
    <t>bird;crab;welk</t>
  </si>
  <si>
    <t>Context- and density-dependent effects of introduced oysters on biodiversity</t>
  </si>
  <si>
    <t>Green</t>
  </si>
  <si>
    <t>ireland</t>
  </si>
  <si>
    <t>Effects of two antagonistic ecosystem engineers on infaunal diversity</t>
  </si>
  <si>
    <t>González-Ortiz</t>
  </si>
  <si>
    <t>Habitat characteristics can influence fish assemblages in high latitude kelp forests</t>
  </si>
  <si>
    <t>Efird</t>
  </si>
  <si>
    <t>alaska</t>
  </si>
  <si>
    <t>forest area</t>
  </si>
  <si>
    <t>distance to the interior</t>
  </si>
  <si>
    <t>Benthic community responses to macroalgae invasions in seagrass beds: Diversity, isotopic niche and food web structure at community level</t>
  </si>
  <si>
    <t>Deudero</t>
  </si>
  <si>
    <t>mallorca</t>
  </si>
  <si>
    <t>2003_2005</t>
  </si>
  <si>
    <t>Caulerpa racemosa</t>
  </si>
  <si>
    <t>Caulerpa prolifera</t>
  </si>
  <si>
    <t>Caulerpa racemosa;Caulerpa taxifolia;Caulerpa prolifera</t>
  </si>
  <si>
    <t>infauna;epifauna;ichthyofauna</t>
  </si>
  <si>
    <t>Effects of macroalgae on the recruitment, growth, and body condition of an invasive reef forming polychaete in a south-western Atlantic coastal lagoon</t>
  </si>
  <si>
    <t>argentine</t>
  </si>
  <si>
    <t>Biodiversity differentials between the numerically-dominant macrobenthos of seagrass and adjacent unvegetated sediment in the absence of sandflat bioturbation</t>
  </si>
  <si>
    <t>Intertidal mussels as ecosystem engineers: their associated invertebrate biodiversity under contrasting wave exposures</t>
  </si>
  <si>
    <t>Arribas</t>
  </si>
  <si>
    <t>Mytilus edulis;Mytilus trossulus</t>
  </si>
  <si>
    <t>Long‑term trends in invertebrate–habitat relationships under protected and fished conditions</t>
  </si>
  <si>
    <t>Alexander</t>
  </si>
  <si>
    <t>An extreme climatic event alters marine ecosystem structure in a global biodiversity hotspot</t>
  </si>
  <si>
    <t>Wernberg</t>
  </si>
  <si>
    <t>Bioengineer effects on understory species richness, diversity, and composition change along an environmental stress gradient: Experimental and mensurative evidence</t>
  </si>
  <si>
    <t>Watt</t>
  </si>
  <si>
    <t>fucoid canopy</t>
  </si>
  <si>
    <t>Ascophyllum nodosum;Fucus vesiculosus</t>
  </si>
  <si>
    <t>Large-scale facilitation of a sessile community by an invasive habitat-forming snail</t>
  </si>
  <si>
    <t>Thyrring</t>
  </si>
  <si>
    <t>Batillaria australis</t>
  </si>
  <si>
    <t>mollusk bed</t>
  </si>
  <si>
    <t>Bedeva paiva</t>
  </si>
  <si>
    <t>Nassarius pauperatus</t>
  </si>
  <si>
    <t>shell lenth</t>
  </si>
  <si>
    <t>Effects of the invasive macroalgae Gracilaria vermiculophylla on two co-occurring foundation species and associated invertebrates</t>
  </si>
  <si>
    <t>Habitat-Associations of Turban Snails on Intertidal and Subtidal Rocky Reefs</t>
  </si>
  <si>
    <t>Smoothey</t>
  </si>
  <si>
    <t>2004_2006</t>
  </si>
  <si>
    <t>solitary ascidian</t>
  </si>
  <si>
    <t>turfing red algae</t>
  </si>
  <si>
    <t>Turbo undulatus</t>
  </si>
  <si>
    <t>2004_2005</t>
  </si>
  <si>
    <t>Turbo torquatus</t>
  </si>
  <si>
    <t>class size</t>
  </si>
  <si>
    <t>Sea Otters Homogenize Mussel Beds and Reduce Habitat Provisioning in a Rocky Intertidal Ecosystem</t>
  </si>
  <si>
    <t>Singh</t>
  </si>
  <si>
    <t>The role of structuring benthos for juvenile flatfish</t>
  </si>
  <si>
    <t>Rabaut</t>
  </si>
  <si>
    <t>Pleuronectes platessa</t>
  </si>
  <si>
    <t>fullness index</t>
  </si>
  <si>
    <t>gravimetrical stomachs food contained</t>
  </si>
  <si>
    <t>prey assemblage</t>
  </si>
  <si>
    <t>Biogenic habitat transitions influence facilitation in a marine soft-sediment ecosystem</t>
  </si>
  <si>
    <t>Lohrer</t>
  </si>
  <si>
    <t>Life in an unstable house: community dynamics in changing mussel beds</t>
  </si>
  <si>
    <t>Khaitov</t>
  </si>
  <si>
    <t>1997_2011</t>
  </si>
  <si>
    <t>year;spatial</t>
  </si>
  <si>
    <t>Positive versus negative effects of an invasive ecosystem engineer on different components of a marine ecosystem</t>
  </si>
  <si>
    <t>Anadara trapezia;Batillaria austrais</t>
  </si>
  <si>
    <t>Batillaria austrais</t>
  </si>
  <si>
    <t>Anadara trapezia</t>
  </si>
  <si>
    <t>tissue weight</t>
  </si>
  <si>
    <t>Effects of Non-indigenous Oysters on Ecosystem Processes Vary with Abundance and Context</t>
  </si>
  <si>
    <t>Shifts from native to non-indigenous mussels: Enhanced habitat complexity and its effects on faunal assemblages</t>
  </si>
  <si>
    <t>Gestoso</t>
  </si>
  <si>
    <t>Limnoperna securis</t>
  </si>
  <si>
    <t>Limnoperna securis;Mytilus galloprovincialis</t>
  </si>
  <si>
    <t>bidimentional rugosity index</t>
  </si>
  <si>
    <t>Cross-habitat interactions among bivalve species control community structure on intertidal flats</t>
  </si>
  <si>
    <t>Donadi</t>
  </si>
  <si>
    <t>Cerastoderma edule</t>
  </si>
  <si>
    <t>distance from bed</t>
  </si>
  <si>
    <t>growth</t>
  </si>
  <si>
    <t>Limited Consequences of Seagrass Decline on Benthic Macrofauna and Associated Biotic Indicators</t>
  </si>
  <si>
    <t>Do</t>
  </si>
  <si>
    <t>2002_2010</t>
  </si>
  <si>
    <t>Zostera noltii</t>
  </si>
  <si>
    <t>Epiphytic seaweeds and invertebrates associated with South African populations of the rocky shore seagrass Thalassodendron leptocaule a hidden wealth of biodiversity</t>
  </si>
  <si>
    <t>Browne</t>
  </si>
  <si>
    <t>Thalassodendron leptocaule</t>
  </si>
  <si>
    <t>Reciprocal facilitation and non-linearity maintain habitat engineering on coral reefs</t>
  </si>
  <si>
    <t>Bozec</t>
  </si>
  <si>
    <t>belize</t>
  </si>
  <si>
    <t>parrotfish</t>
  </si>
  <si>
    <t>grazing intensity</t>
  </si>
  <si>
    <t>Morphological traits and density of foundation species modulate a facilitation cascade in Australian mangroves</t>
  </si>
  <si>
    <t>Bishop</t>
  </si>
  <si>
    <t>Are native Saccostrea glomerata and invasive Crassostrea gigas oysters' habitat equivalents for epibenthic communities in south-eastern Australia?</t>
  </si>
  <si>
    <t>Wilkie</t>
  </si>
  <si>
    <t>Patterns of landscape and assemblage structure along a latitudinal gradient in ocean climate</t>
  </si>
  <si>
    <t>Tuya</t>
  </si>
  <si>
    <t>Harmful algae are not harmful to everyone</t>
  </si>
  <si>
    <t>Gracilaria comosa</t>
  </si>
  <si>
    <t>Halophila ovalis;Gracilaria comosa</t>
  </si>
  <si>
    <t>Fish response to expanding tropical Sargassum beds on the temperate coasts of Japan</t>
  </si>
  <si>
    <t>Terazono</t>
  </si>
  <si>
    <t>Sargassum yamamotoi</t>
  </si>
  <si>
    <t>Sargassum assimile</t>
  </si>
  <si>
    <t>temperate brown algae</t>
  </si>
  <si>
    <t>tropical brown algae</t>
  </si>
  <si>
    <t>The role of the physical structure of Spartina densiflora Brong. in structuring macroinvertebrate assemblages</t>
  </si>
  <si>
    <t>Sueiro</t>
  </si>
  <si>
    <t>rhizome thickness</t>
  </si>
  <si>
    <t>Spartina densiflora</t>
  </si>
  <si>
    <t>mobile invertebrate;mobile invertebrate</t>
  </si>
  <si>
    <t>deposit-detritus feeder;predator</t>
  </si>
  <si>
    <t>grazer;suspension feeder</t>
  </si>
  <si>
    <t>deposit-detritus feeder;predator;grazer;suspension feeder</t>
  </si>
  <si>
    <t>How strong is the effect of invasive ecosystem engineers on the distribution patterns of local species, the local and regional biodiversity and ecosystem functions?</t>
  </si>
  <si>
    <t>Rilov</t>
  </si>
  <si>
    <t>aurait du être viré</t>
  </si>
  <si>
    <t>Positive and Negative Effects of Habitat-Forming Algae on Survival, Growth and Intra-Specific Competition of Limpets</t>
  </si>
  <si>
    <t>scotland</t>
  </si>
  <si>
    <t>limpet</t>
  </si>
  <si>
    <t>small limpet</t>
  </si>
  <si>
    <t>large limpet</t>
  </si>
  <si>
    <t>change in size</t>
  </si>
  <si>
    <t>change in shell weight</t>
  </si>
  <si>
    <t>change in body weight</t>
  </si>
  <si>
    <t>Exotic macroalga Gracilaria vermiculophylla provides superior nursery habitat for native blue crab in Chesapeake Bay</t>
  </si>
  <si>
    <t>blue crab</t>
  </si>
  <si>
    <t>Epifaunal and algal assemblages associated with the native Chondrus crispus (Stackhouse) and the non-native Grateloupia turuturu (Yamada) in eastern Long Island Sound</t>
  </si>
  <si>
    <t>Janiak</t>
  </si>
  <si>
    <t>Grateloupia turuturu</t>
  </si>
  <si>
    <t>Post-mortem ecosystem engineering by oysters creates habitat for a rare marsh plant</t>
  </si>
  <si>
    <t>Guo</t>
  </si>
  <si>
    <t>Effects of macroalgal identity on epifaunal assemblages: native species versus the invasive species Sargassum muticum</t>
  </si>
  <si>
    <t>Bifurcaria bifurcata</t>
  </si>
  <si>
    <t>Cryptobenthic reef fishes: depth distribution and correlations with habitat complexity and sea urchins</t>
  </si>
  <si>
    <t>Dalben</t>
  </si>
  <si>
    <t>Macrobenthic assemblages of newly introduced Caulerpa taxifolia from the Eastern Mediterranean coast of Turkey</t>
  </si>
  <si>
    <t>Cevik</t>
  </si>
  <si>
    <t>Invertebrate response to nutrient-driven epiphytic load increase in Posidonia oceanica meadows</t>
  </si>
  <si>
    <t>majorca</t>
  </si>
  <si>
    <t>Castejón-Silvo</t>
  </si>
  <si>
    <t>Seasonal variation in utilization of biogenic microhabitats by littorinid snails on tropical rocky shores</t>
  </si>
  <si>
    <t>Cartwright</t>
  </si>
  <si>
    <t>hong kong</t>
  </si>
  <si>
    <t>Tetraclita japonica</t>
  </si>
  <si>
    <t>barnacle</t>
  </si>
  <si>
    <t>littorinid</t>
  </si>
  <si>
    <t>aggregation behaviour</t>
  </si>
  <si>
    <t>Impacts of an abundant introduced ecosystem engineer within mudflats of the southeastern US coast</t>
  </si>
  <si>
    <t>Byers</t>
  </si>
  <si>
    <t>aboveground tube height</t>
  </si>
  <si>
    <t>density of Diopatra tubes;average tube height</t>
  </si>
  <si>
    <t>Density-dependent facilitation cascades determine epifaunal community structure in temperate Australian mangroves</t>
  </si>
  <si>
    <t>Avicennia marina</t>
  </si>
  <si>
    <t>density of pneumatophore</t>
  </si>
  <si>
    <t>Rhodolith beds in Brazil: a new potential habitat for marine bioprospection</t>
  </si>
  <si>
    <t>Amado-Filho</t>
  </si>
  <si>
    <t>Can giant kelp (Macrocystis pyrifera) forests enhance invertebrate recruitment in southern Chile?</t>
  </si>
  <si>
    <t>Almanza</t>
  </si>
  <si>
    <t>Tegula spp.</t>
  </si>
  <si>
    <t>Fissurella spp.</t>
  </si>
  <si>
    <t>Ciona intestinalis</t>
  </si>
  <si>
    <t>Mytilidae</t>
  </si>
  <si>
    <t>Pilumnoides perlatus</t>
  </si>
  <si>
    <t>Polychaete larvae</t>
  </si>
  <si>
    <t>Taliepus spp.</t>
  </si>
  <si>
    <t>Loxechinus albus</t>
  </si>
  <si>
    <t>Patterns of abundance and assemblage structure of epifauna inhabiting two morphologically different kelp holdfasts</t>
  </si>
  <si>
    <t>holdfast complexity</t>
  </si>
  <si>
    <t>holdfast surface area</t>
  </si>
  <si>
    <t>Community composition and diversity of two Limaria hians (Mollusca: Limacea) beds on the west coast of Scotland</t>
  </si>
  <si>
    <t>Trigg</t>
  </si>
  <si>
    <t>Limaria hians</t>
  </si>
  <si>
    <t>Limaria hians bed</t>
  </si>
  <si>
    <t>benthos</t>
  </si>
  <si>
    <t>Tube-forming polychaetes enhance invertebrate diversity and abundance in sandy sediments of Mozambique, Africa</t>
  </si>
  <si>
    <t>mozambique</t>
  </si>
  <si>
    <t>Onuphidae</t>
  </si>
  <si>
    <t>tube density</t>
  </si>
  <si>
    <t>cap width</t>
  </si>
  <si>
    <t>cap length</t>
  </si>
  <si>
    <t>Habitat complexity and community composition: relationships between different ecosystem engineers and the associated macroinvertebrate assemblages</t>
  </si>
  <si>
    <t>Ecosystem structure and services in eelgrass Zostera marina and rockweed Ascophyllum nodosum habitats</t>
  </si>
  <si>
    <t>Schmidt</t>
  </si>
  <si>
    <t>Whole-Community Facilitation Regulates Biodiversity on Patagonian Rocky Shores</t>
  </si>
  <si>
    <t>Silliman</t>
  </si>
  <si>
    <t>holdfast density</t>
  </si>
  <si>
    <t>aboveground biomass</t>
  </si>
  <si>
    <t>tissue carbon content</t>
  </si>
  <si>
    <t>tissue nitrogen content</t>
  </si>
  <si>
    <t>carbon retention</t>
  </si>
  <si>
    <t>nitrogen retention</t>
  </si>
  <si>
    <t>location within bed</t>
  </si>
  <si>
    <t>Impacts and negative feedbacks in community recovery over eight years following removal of habitat-forming macroalgae</t>
  </si>
  <si>
    <t>Schiel</t>
  </si>
  <si>
    <t>Understorey benthic microalgae and their consumers depend on habitat complexity and light in a microtidal coastal ecosystem</t>
  </si>
  <si>
    <t>Rubach</t>
  </si>
  <si>
    <t>Status and habitat associations of the threatened northern abalone: importance of kelp and coralline algae</t>
  </si>
  <si>
    <t>Lithothamnion spp.;Pseudolithothamnium spp.;Hildenbrandia spp.</t>
  </si>
  <si>
    <t>Amphissa spp.</t>
  </si>
  <si>
    <t>small snail</t>
  </si>
  <si>
    <t>Effects of Caulerpa racemosa invasion on soft-bottom assemblages in the Western Mediterranean Sea</t>
  </si>
  <si>
    <t>Pacciardi</t>
  </si>
  <si>
    <t>mediterranean sea</t>
  </si>
  <si>
    <t>Congeneric variation in surfgrasses and ocean conditions influence macroinvertebrate community structure</t>
  </si>
  <si>
    <t>Moulton</t>
  </si>
  <si>
    <t>Phyllospadix scouleri</t>
  </si>
  <si>
    <t>Phyllospadix serrulatus</t>
  </si>
  <si>
    <t>surfgrass</t>
  </si>
  <si>
    <t>Phyllospadix scouleri;Phyllospadix serrulatus</t>
  </si>
  <si>
    <t>Phyllospadix scouleri;Phyllospadix serrulatus;Phyllospadix torreyi</t>
  </si>
  <si>
    <t>Idotea wosnesenskii</t>
  </si>
  <si>
    <t>Naineris dendritica</t>
  </si>
  <si>
    <t>amphipods</t>
  </si>
  <si>
    <t>Habitat biodiversity as a determinant of fish community structure on coral reefs</t>
  </si>
  <si>
    <t>Messmer</t>
  </si>
  <si>
    <t>indo-pacific</t>
  </si>
  <si>
    <t>Acropora nasuta;Acropora loripes;Porites cylindrica;Pocillopora damicornis;Seriatopora hystrix;Acropora muricata</t>
  </si>
  <si>
    <t>Acropora nasuta</t>
  </si>
  <si>
    <t>Acropora loripes</t>
  </si>
  <si>
    <t>Porites cylindrica</t>
  </si>
  <si>
    <t>Pocillopora damicornis</t>
  </si>
  <si>
    <t>Seriatopora hystrix</t>
  </si>
  <si>
    <t>Acropora muricata</t>
  </si>
  <si>
    <t>Algae as hosts for epifaunal bryozoans: Role of functional groups and taxonomic relatedness</t>
  </si>
  <si>
    <t>Liuzzi</t>
  </si>
  <si>
    <t>filamentous algae</t>
  </si>
  <si>
    <t>Picconiella spp.;Bostrychia spp.;Falklandiella spp.;Medeiothamnion spp.;Griffithsia spp.;Heterosiphonia spp.;Ceramium spp.;Callithamnion spp.;Camontagnea spp.;Ballia spp.;Stypocaulon spp.;Cladostephus spp.;Sphacelaria spp.</t>
  </si>
  <si>
    <t>Differential response of benthic macrofauna to the formation of novel oyster reefs (Crassostrea gigas, Thunberg) on soft and rocky substrate in the intertidal of the Bay of Brest, France</t>
  </si>
  <si>
    <t>Lejart</t>
  </si>
  <si>
    <t>Succession-driven facilitation of macrofaunal communities in sublittoral blue mussel habitat</t>
  </si>
  <si>
    <t>Koivisto</t>
  </si>
  <si>
    <t>successional stage</t>
  </si>
  <si>
    <t>Quality or quantity: small-scale patch structure affects patterns of biodiversity in a sublittoral blue mussel community</t>
  </si>
  <si>
    <t>mean shape index</t>
  </si>
  <si>
    <t>patch shape</t>
  </si>
  <si>
    <t>Epiphytes and associated fauna on the brown alga Fucus vesiculosus in the Baltic and the North Seas in relation to different abiotic and biotic variables</t>
  </si>
  <si>
    <t>Kersen</t>
  </si>
  <si>
    <t>north and baltic sea</t>
  </si>
  <si>
    <t>Effects of the alien algae Undaria pinnatifida (Phaeophyceae, Laminariales) on the diversity and abundance of benthic macrofauna in Golfo Nuevo (Patagonia, Argentina): potential implications for local food webs</t>
  </si>
  <si>
    <t>Irigoyen</t>
  </si>
  <si>
    <t>golfo nuevo</t>
  </si>
  <si>
    <t>holdfast area</t>
  </si>
  <si>
    <t>number of sporophyte</t>
  </si>
  <si>
    <t>Habitat structure is more important than nutrient supply in modifying mussel bed assemblage in an upwelling area of the Peruvian coast</t>
  </si>
  <si>
    <t>Firstater</t>
  </si>
  <si>
    <t>chl-a content</t>
  </si>
  <si>
    <t>interstitial space</t>
  </si>
  <si>
    <t>shell area</t>
  </si>
  <si>
    <t>shell size</t>
  </si>
  <si>
    <t>grazer;predator;mobile invertebrate</t>
  </si>
  <si>
    <t>suspension-feeders;sessile invertebrates</t>
  </si>
  <si>
    <t>Habitat-Mediated Facilitation and Counteracting Ecosystem Engineering Interactively Influence Ecosystem Responses to Disturbance</t>
  </si>
  <si>
    <t>Eklof</t>
  </si>
  <si>
    <t>Habitat modification affects recruitment of abalone in central New Zealand</t>
  </si>
  <si>
    <t>Aguirre</t>
  </si>
  <si>
    <t>Carpophyllum maschalocarpum;Ecklonia radiata;Lessonia variegata;Macrocystis pyrifera</t>
  </si>
  <si>
    <t>Haliotis iris recruit</t>
  </si>
  <si>
    <t>Community-level effects of co-occurring native and exotic ecosystem engineers</t>
  </si>
  <si>
    <t>Ward</t>
  </si>
  <si>
    <t>Dreissena polymorpha;Dreissena bugensis</t>
  </si>
  <si>
    <t>Interactions between two introduced species: Zostera japonica (dwarf eelgrass) facilitates itself and reduces condition of Ruditapes philippinarum (Manila clam) on intertidal Xats</t>
  </si>
  <si>
    <t>Tsai</t>
  </si>
  <si>
    <t>Manila clam</t>
  </si>
  <si>
    <t>Manila clam recruit</t>
  </si>
  <si>
    <t>Causes and effects of a highly successful marine invasion: Case-study of the introduced Pacific oyster Crassostrea gigas in continental NW European estuaries</t>
  </si>
  <si>
    <t>Troost</t>
  </si>
  <si>
    <t>Experimental evidence for positive effects of invasive seaweed on native invertebrates via habitat-formation in a seagrass bed</t>
  </si>
  <si>
    <t>The European oyster (Ostrea edulis) and its epibiotic succession</t>
  </si>
  <si>
    <t>Smyth</t>
  </si>
  <si>
    <t>Temperature and community consequences of the loss of foundation species: Surfgrass (Phyllospadix spp., Hooker) in tidepools</t>
  </si>
  <si>
    <t>Shelton</t>
  </si>
  <si>
    <t>Phyllospadix serrulatus;Phyllospadix scouleri</t>
  </si>
  <si>
    <t>2007_2009</t>
  </si>
  <si>
    <t>rhizome cover</t>
  </si>
  <si>
    <t>leaves cover</t>
  </si>
  <si>
    <t>Effects of a nonnative habitat-forming species on mobile and sessile epifaunal communities</t>
  </si>
  <si>
    <t>Sellheim</t>
  </si>
  <si>
    <t>Ascidia ceratodes</t>
  </si>
  <si>
    <t>Watersipora subtorquata</t>
  </si>
  <si>
    <t>bryozoan colony</t>
  </si>
  <si>
    <t>mobile epifauna</t>
  </si>
  <si>
    <t>sessile epifauna</t>
  </si>
  <si>
    <t>Biogenic reefs as structuring factor in Pleuronectes platessa (Plaice) nursery</t>
  </si>
  <si>
    <t>belgian coast</t>
  </si>
  <si>
    <t>Recently established Crassostrea-reefs versus native Mytilus-beds: differences in ecosystem engineering affects the macrofaunal communities (Wadden Sea of Lower Saxony, southern German Bight)</t>
  </si>
  <si>
    <t>Markert</t>
  </si>
  <si>
    <t>germany</t>
  </si>
  <si>
    <t>A window to the past: documenting the status of one of the last remaining ‘megapopulations’ of the threatened staghorn coral Acropora cervicornis in the Dominican Republic</t>
  </si>
  <si>
    <t>Lirman</t>
  </si>
  <si>
    <t>dominican republic</t>
  </si>
  <si>
    <t>linear length of live tissue</t>
  </si>
  <si>
    <t>number of branch tips showing signs of recent mortality</t>
  </si>
  <si>
    <t>maximum branch diameter</t>
  </si>
  <si>
    <t>colony height</t>
  </si>
  <si>
    <t>percentage recent partial mortality</t>
  </si>
  <si>
    <t>predatory snail</t>
  </si>
  <si>
    <t>reef fish</t>
  </si>
  <si>
    <t>Effects of the physical structure of mangrove vegetation on a benthic faunal community</t>
  </si>
  <si>
    <t>Kon</t>
  </si>
  <si>
    <t>thailand</t>
  </si>
  <si>
    <t>Rhizophora apiculata</t>
  </si>
  <si>
    <t>Uca annulipes</t>
  </si>
  <si>
    <t>Cerithidea cingulata</t>
  </si>
  <si>
    <t>Uca bengali</t>
  </si>
  <si>
    <t>Perisesarma indiarum</t>
  </si>
  <si>
    <t>carapac width</t>
  </si>
  <si>
    <t>Ovassiminea brevicula</t>
  </si>
  <si>
    <t>Diogenes sp.</t>
  </si>
  <si>
    <t>Habitat structure and complexity as determinants of biodiversity in blue mussel beds on sublittoral rocky shores</t>
  </si>
  <si>
    <t>blue mussel and Fucus</t>
  </si>
  <si>
    <t>Mytilus edulis;Fucus vesiculosus</t>
  </si>
  <si>
    <t>Variable effects of a kelp foundation species on rocky intertidal diversity and species interactions in central California</t>
  </si>
  <si>
    <t>Hughes</t>
  </si>
  <si>
    <t>Egregia menziesii</t>
  </si>
  <si>
    <t>frond per plant</t>
  </si>
  <si>
    <t>frond density</t>
  </si>
  <si>
    <t>sporophyte density</t>
  </si>
  <si>
    <t>mytilus californianus</t>
  </si>
  <si>
    <t>sesseile invertebrates</t>
  </si>
  <si>
    <t>Non-native Ecosystem Engineer Alters Estuarine Communities</t>
  </si>
  <si>
    <t>Heiman</t>
  </si>
  <si>
    <t>Alteration of the configuration of bioengineers affects associated taxa</t>
  </si>
  <si>
    <t>Trichomya hirsuta</t>
  </si>
  <si>
    <t>length of the edges</t>
  </si>
  <si>
    <t>patch aggregation pattern</t>
  </si>
  <si>
    <t>generalist taxa</t>
  </si>
  <si>
    <t>Gold coral (Savalia savaglia) and gorgonian forests enhance benthic biodiversity and ecosystem functioning in the mesophotic zone</t>
  </si>
  <si>
    <t>Cerrano</t>
  </si>
  <si>
    <t>gold coral</t>
  </si>
  <si>
    <t>Savalia savaglia</t>
  </si>
  <si>
    <t>Variable direct and indirect effects of a habitat-modifying invasive species Variable direct and indirect effects of a habitat-modifying invasive species on mortality of native fauna on mortality of native fauna</t>
  </si>
  <si>
    <t>Cross-habitat impacts of species decline: response of estuarine sediment communities to changing detrital resources</t>
  </si>
  <si>
    <t>Differences in soft-sediment macrobenthic assemblages invaded by Caulerpa taxifolia compared to uninvaded habitats</t>
  </si>
  <si>
    <t>McKinnon</t>
  </si>
  <si>
    <t>Zostera capricorni</t>
  </si>
  <si>
    <t>Nassarius burchardi</t>
  </si>
  <si>
    <t>Cirratulid spp.</t>
  </si>
  <si>
    <t>Capitellid spp.</t>
  </si>
  <si>
    <t>Maldanid spp.</t>
  </si>
  <si>
    <t>Tellina deltoidalis</t>
  </si>
  <si>
    <t>surface detritus feeders</t>
  </si>
  <si>
    <t>suspension feeders</t>
  </si>
  <si>
    <t>substrate deposit feeders</t>
  </si>
  <si>
    <t>predators;omnivores</t>
  </si>
  <si>
    <t>Effects of changes in number, identity and abundance of habitat-forming species on assemblages of rocky seashores</t>
  </si>
  <si>
    <t>Maggi</t>
  </si>
  <si>
    <t>Associations of concern: declining seagrasses and threatened dependent species</t>
  </si>
  <si>
    <t>Hugues</t>
  </si>
  <si>
    <t>High seagrass diversity and canopy-height increase associated Wsh diversity and abundance</t>
  </si>
  <si>
    <t>Hori</t>
  </si>
  <si>
    <t>position in the bed</t>
  </si>
  <si>
    <t>species richness</t>
  </si>
  <si>
    <t>canopy height index</t>
  </si>
  <si>
    <t>shoot length</t>
  </si>
  <si>
    <t>leaf morphology</t>
  </si>
  <si>
    <t>shoot rank</t>
  </si>
  <si>
    <t>Halophila ovalis;Halophila beccarii;Cymodocea serrulata;Cymodocea rotundata;Halodule uninervis;Halodule pinifolia;Thalassia hemprichii;Syringodium isoetifolium;Enhalus acoroides</t>
  </si>
  <si>
    <t>pelagic fish</t>
  </si>
  <si>
    <t>semi-benthic herbivorous fish</t>
  </si>
  <si>
    <t>semi-benthic carnivorous fish</t>
  </si>
  <si>
    <t>Behavioural interactions between ecosystem engineers control community species richness</t>
  </si>
  <si>
    <t>Macrophytes as habitat for fauna</t>
  </si>
  <si>
    <t>Christie</t>
  </si>
  <si>
    <t>1993_2008</t>
  </si>
  <si>
    <t>mimicry</t>
  </si>
  <si>
    <t>Mytilid mussels: global habitat engineers in coastal sediments</t>
  </si>
  <si>
    <t>north sea</t>
  </si>
  <si>
    <t>south korea</t>
  </si>
  <si>
    <t>Mytilus chilensis;Perumytilus purpuratus</t>
  </si>
  <si>
    <t>Musculista senhousia</t>
  </si>
  <si>
    <t>Xenostrobus inconstans</t>
  </si>
  <si>
    <t>Temperate Northern Atlantic;Temperate Australasia;Temperate Northern Pacific;Temperate South America</t>
  </si>
  <si>
    <t>Mytilus edulis;Xenostrobus inconstans;Musculista senhousia;Mytilus chilensis;Perumytilus purpuratus</t>
  </si>
  <si>
    <t>2002_2007</t>
  </si>
  <si>
    <t>epibionth;epibenthos;endobenthos</t>
  </si>
  <si>
    <t>endobenthos</t>
  </si>
  <si>
    <t>Comparing biodiversity effects among ecosystem engineers of contrasting strength: macrofauna diversity in Zostera noltii and Spartina anglica vegetations</t>
  </si>
  <si>
    <t>Bouma</t>
  </si>
  <si>
    <t>Spartina anglica</t>
  </si>
  <si>
    <t>Facilitation of molluscan assemblages in mangroves by the fucalean alga Hormosira banksii</t>
  </si>
  <si>
    <t>Direct and indirect effects of giant kelp determine benthic community structure and dynamics</t>
  </si>
  <si>
    <t>Arkema</t>
  </si>
  <si>
    <t>epibionth</t>
  </si>
  <si>
    <t>2000_2007</t>
  </si>
  <si>
    <t>densty of fronds</t>
  </si>
  <si>
    <t>percentage of the bottom occupied by holdfast</t>
  </si>
  <si>
    <t>Assemblage of benthic macrofauna in the aggregates of the tubiculous worm Phyllochaetopterus socialis in the Mar del Plata harbour, Argentina</t>
  </si>
  <si>
    <t>Albano</t>
  </si>
  <si>
    <t>Phyllochaetopterus socialis</t>
  </si>
  <si>
    <t>Multiple foundation species shape benthic habitat islands</t>
  </si>
  <si>
    <t>Yakovis</t>
  </si>
  <si>
    <t>white sea</t>
  </si>
  <si>
    <t>2001_2005</t>
  </si>
  <si>
    <t>barnacle bed</t>
  </si>
  <si>
    <t>Balanus crenatus</t>
  </si>
  <si>
    <t>Exotic Spartina alterniflora provides compatible habitats for native estuarine crab Sesarma dehaani in the Yangtze River estuary</t>
  </si>
  <si>
    <t>Wang</t>
  </si>
  <si>
    <t>chine</t>
  </si>
  <si>
    <t>Phragmites australis</t>
  </si>
  <si>
    <t>tissue water content</t>
  </si>
  <si>
    <t>Sesarma dehaani</t>
  </si>
  <si>
    <t>body weight</t>
  </si>
  <si>
    <t>Ecological implications of the presence of the tube-building polychaete Lanice conchilega on soft-bottom benthic ecosystems</t>
  </si>
  <si>
    <t>Van Hoey</t>
  </si>
  <si>
    <t>2000_2001</t>
  </si>
  <si>
    <t>Experimental beam-trawling in Lanice conchilega reefs: Impact on the associated fauna</t>
  </si>
  <si>
    <t>hour</t>
  </si>
  <si>
    <t>Eumida sanguinea</t>
  </si>
  <si>
    <t>Urothoe poseidonis</t>
  </si>
  <si>
    <t>Native pipefish Entelurus aequoreus are promoted by the introduced seaweed Sargassum muticum in the northern Wadden Sea, North Sea</t>
  </si>
  <si>
    <t>Polte</t>
  </si>
  <si>
    <t>Habitat change in an estuarine embayment: anthropogenic influences and a regime shift in biotic interactions</t>
  </si>
  <si>
    <t>Pillay</t>
  </si>
  <si>
    <t>Patches of the mussel Mytilus sp. are islands of high biodiversity in subtidal sediment habitats in the Baltic Sea</t>
  </si>
  <si>
    <t>asko archipelago</t>
  </si>
  <si>
    <t>patch diameter</t>
  </si>
  <si>
    <t>Shift from native mussels to alien oysters: Differential effects of ecosystem engineers</t>
  </si>
  <si>
    <t>Kochmann</t>
  </si>
  <si>
    <t>oyster and mussel bed</t>
  </si>
  <si>
    <t>Tubificoides benedeni</t>
  </si>
  <si>
    <t>Malacoceros fuliginosus</t>
  </si>
  <si>
    <t>Elminius modestus recruits</t>
  </si>
  <si>
    <t>Crassostrea gigas recruits</t>
  </si>
  <si>
    <t>Mytilus edulis recruits</t>
  </si>
  <si>
    <t>juvenile Carcinus maenas</t>
  </si>
  <si>
    <t>small Littorina littorea</t>
  </si>
  <si>
    <t>large Littorina littorea</t>
  </si>
  <si>
    <t>Intertidal community structure differs significantly between substrates dominated by native eelgrass (Zostera marina L.) and adjacent to the introduced oyster Crassostrea gigas (Thunberg) in British Columbia, Canada</t>
  </si>
  <si>
    <t>Kelly</t>
  </si>
  <si>
    <t>Non-native habitat as home for non-native species: comparison of communities associated with invasive tubeworm and native oyster reefs</t>
  </si>
  <si>
    <t>Ostrea conchaphila</t>
  </si>
  <si>
    <t>habitat size</t>
  </si>
  <si>
    <t>Species diversity in the soft-bottom intertidal zone: Biogenic structure, sediment, and macrofauna across mussel bed spatial scales</t>
  </si>
  <si>
    <t>position sur l'estran</t>
  </si>
  <si>
    <t>sum mussel lengths</t>
  </si>
  <si>
    <t>infauna with free-swimming larvae</t>
  </si>
  <si>
    <t>infauna without free-swimming larvae</t>
  </si>
  <si>
    <t>Structure and diversity of invertebrate communities in the presence and absence of canopy-forming Fucus vesiculosus in the Baltic Sea</t>
  </si>
  <si>
    <t>Wikstrom</t>
  </si>
  <si>
    <t>Corbicula fluminea (Corbiculidae, Bivalvia) alters the taxonomic and functional structure of benthic assemblages in neotropical hydropower reservoirs</t>
  </si>
  <si>
    <t>Linares</t>
  </si>
  <si>
    <t>The habitat engineering tunicate Microcosmus sabatieri Roule, 1885 and its associated peracarid epifauna</t>
  </si>
  <si>
    <t>Voultsiadou</t>
  </si>
  <si>
    <t>aegean sea</t>
  </si>
  <si>
    <t>Microcosmus sabatieri</t>
  </si>
  <si>
    <t>Patterns in biogeochemical properties of sediments and benthic animals among different habitats in mangrove forests</t>
  </si>
  <si>
    <t>Tolhurst</t>
  </si>
  <si>
    <t>subhabitat complexity</t>
  </si>
  <si>
    <t>bivalves</t>
  </si>
  <si>
    <t>spionids</t>
  </si>
  <si>
    <t>nereidids</t>
  </si>
  <si>
    <t>capitellids</t>
  </si>
  <si>
    <t>oligochaetes</t>
  </si>
  <si>
    <t>nematodes</t>
  </si>
  <si>
    <t>insect larvae</t>
  </si>
  <si>
    <t>sabellids</t>
  </si>
  <si>
    <t>Effects of native and invasive macroalgal canopies on composition and abundance of mobile benthic macrofauna and turf-forming algae</t>
  </si>
  <si>
    <t>Laminaria longicruris;Laminaria digitata</t>
  </si>
  <si>
    <t>2003_2004</t>
  </si>
  <si>
    <t>mobile macrofauna</t>
  </si>
  <si>
    <t>Gradients of disturbance to an algal canopy and the modification of an intertidal community</t>
  </si>
  <si>
    <t>Benthic richness in the Argentine continental shelf: the role of Z ygochlamys patagonica (Mollusca: Bivalvia: Pectinidae) as settlement substrate</t>
  </si>
  <si>
    <t>Schejter</t>
  </si>
  <si>
    <t>scallop bed</t>
  </si>
  <si>
    <t>1995_2004</t>
  </si>
  <si>
    <t>Zygochlamys patagonica</t>
  </si>
  <si>
    <t>Community structure of temperate reef fishes in kelp-dominated subtidal habitats of northern Chile</t>
  </si>
  <si>
    <t>Pérez-Matus</t>
  </si>
  <si>
    <t>Influence of invasive Spartina growth stages on associated macrofaunal communities</t>
  </si>
  <si>
    <t>Neira</t>
  </si>
  <si>
    <t>open space</t>
  </si>
  <si>
    <t>Eteone californica</t>
  </si>
  <si>
    <t>tubificidae</t>
  </si>
  <si>
    <t>enchytraeidae</t>
  </si>
  <si>
    <t>polychaeta</t>
  </si>
  <si>
    <t>bivalvia</t>
  </si>
  <si>
    <t>insecta</t>
  </si>
  <si>
    <t>anthozoa;turbellaria</t>
  </si>
  <si>
    <t>Streblospio benedicti;Eteone dilatae;Nereis succinea;Grandidierella japonica</t>
  </si>
  <si>
    <t>invasion stage</t>
  </si>
  <si>
    <t>oligochaeta</t>
  </si>
  <si>
    <t>surface feeder</t>
  </si>
  <si>
    <t>surface deposit feeder</t>
  </si>
  <si>
    <t>Effect of native and invasive cordgrass on Macoma petalum density, growth, and isotopic signatures</t>
  </si>
  <si>
    <t>Brusati</t>
  </si>
  <si>
    <t>Spartina foliosa</t>
  </si>
  <si>
    <t>Macoma petalum</t>
  </si>
  <si>
    <t>Species diversity and foundation species: Potential indicators of fisheries yields and marine ecosystem functioning</t>
  </si>
  <si>
    <t>Bracken</t>
  </si>
  <si>
    <t>sablefish</t>
  </si>
  <si>
    <t>Mussels as ecosystem engineers: Their contribution to species richness in a rocky littoral community</t>
  </si>
  <si>
    <t>Borthagaray</t>
  </si>
  <si>
    <t>uruguay</t>
  </si>
  <si>
    <t>2005_2006</t>
  </si>
  <si>
    <t>Brachidontes rodriguezii;Mytilus edulis;Perna perna</t>
  </si>
  <si>
    <t>Cymadusa sp.</t>
  </si>
  <si>
    <t>Hyale sp.</t>
  </si>
  <si>
    <t>Jassa sp.</t>
  </si>
  <si>
    <t>Caprella pennantis</t>
  </si>
  <si>
    <t>Ampithoe sp.</t>
  </si>
  <si>
    <t>Ostreola equestris</t>
  </si>
  <si>
    <t>Modiolus carvalhoi</t>
  </si>
  <si>
    <t>Sphenia fragilis</t>
  </si>
  <si>
    <t>Entodesma patagonicum</t>
  </si>
  <si>
    <t>Actinia bermudensis</t>
  </si>
  <si>
    <t>Actiniaria spp.</t>
  </si>
  <si>
    <t>Bunodosoma cangicum</t>
  </si>
  <si>
    <t>Balanus improvisus</t>
  </si>
  <si>
    <t>Chtamalus bisinuatus</t>
  </si>
  <si>
    <t>Pachycheles haigae</t>
  </si>
  <si>
    <t>Cyrtograpsus altimanus</t>
  </si>
  <si>
    <t>Pilumnus reticulatus</t>
  </si>
  <si>
    <t>Cyrtograpsus angulatus</t>
  </si>
  <si>
    <t>Amphipholis squamata</t>
  </si>
  <si>
    <t>Siphonaria lesonii</t>
  </si>
  <si>
    <t>Lottia subrugosa</t>
  </si>
  <si>
    <t>Costaoanachis sertulariarum</t>
  </si>
  <si>
    <t>Stramonita haemastoma</t>
  </si>
  <si>
    <t>Echinolittorina lineolata</t>
  </si>
  <si>
    <t>Idothea baltica</t>
  </si>
  <si>
    <t>Synidothea marplatensis</t>
  </si>
  <si>
    <t>Lineus rubens</t>
  </si>
  <si>
    <t>Alita succinea</t>
  </si>
  <si>
    <t>Halodsynella sp.</t>
  </si>
  <si>
    <t>Syllidae sp.</t>
  </si>
  <si>
    <t>Pycnogonum pamphorum</t>
  </si>
  <si>
    <t>Phragmatopoma sp.</t>
  </si>
  <si>
    <t>Anoplodactylus petiolatus</t>
  </si>
  <si>
    <t>sessile macrofauna</t>
  </si>
  <si>
    <t>Interactions between seagrasses and burrowing ghost shrimps and their influence on infaunal assemblages</t>
  </si>
  <si>
    <t>Berkenbusch</t>
  </si>
  <si>
    <t>An examination of the spatial and temporal generality of the influence of ecosystem engineers on the composition of associated assemblages</t>
  </si>
  <si>
    <t>Do changes in seaweed biodiversity influence associated invertebrate epifauna?</t>
  </si>
  <si>
    <t>Bates</t>
  </si>
  <si>
    <t>Hierarchical organization via a facilitation cascade in intertidal cordgrass bed communities</t>
  </si>
  <si>
    <t>Altieri</t>
  </si>
  <si>
    <t>Shift in fish assemblage structure due to loss of seagrass Zostera marina habitats in Sweden</t>
  </si>
  <si>
    <t>Phil</t>
  </si>
  <si>
    <t>Influence of biogenic habitat on the recruitment and distribution of a subtidal xanthid crab</t>
  </si>
  <si>
    <t>Lindsey</t>
  </si>
  <si>
    <t>2001_2002</t>
  </si>
  <si>
    <t>Dyspanopeus sayi</t>
  </si>
  <si>
    <t>Crepidula spp.</t>
  </si>
  <si>
    <t>crepidula bed</t>
  </si>
  <si>
    <t>Dyspanopeus sayi recruit</t>
  </si>
  <si>
    <t>Dyspanopeus sayi adult</t>
  </si>
  <si>
    <t>Community effects following the deletion of a habitat-forming alga from rocky marine shores</t>
  </si>
  <si>
    <t>Lilley</t>
  </si>
  <si>
    <t>Scleractinian corals as facilitators for other invertebrates on a Caribbean reef</t>
  </si>
  <si>
    <t>Idjadi</t>
  </si>
  <si>
    <t>1999_2000</t>
  </si>
  <si>
    <t>density of colony</t>
  </si>
  <si>
    <t>Effects of avian grazing on the algal community and small invertebrates in the rocky intertidal zone</t>
  </si>
  <si>
    <t>Impact of fish farms on maerl beds in strongly tidal areas</t>
  </si>
  <si>
    <t>Hall-Spencer</t>
  </si>
  <si>
    <t>Effects of epibionts on Sabellaria alveolata (L.) biogenic reefs and their associated fauna in the Bay of Mont Saint-Michel</t>
  </si>
  <si>
    <t>Dubois</t>
  </si>
  <si>
    <t>Epibionts of the scallop Adamussium colbecki (Smith, 1902) in the Ross Sea, Antarctica</t>
  </si>
  <si>
    <t>terra nova</t>
  </si>
  <si>
    <t>Adamussium colbecki</t>
  </si>
  <si>
    <t>1998_2003</t>
  </si>
  <si>
    <t>Positive effects of the introduced green alga, Codiumfragile ssp. tomentosoides, on recruitment and survival of mussels</t>
  </si>
  <si>
    <t>Mytilus galloprovincialis recruit</t>
  </si>
  <si>
    <t>distribution of frequency of size</t>
  </si>
  <si>
    <t>Native and introduced ecosystem engineers produce contrasting effects on estuarine infaunal communities</t>
  </si>
  <si>
    <t>2001_2003</t>
  </si>
  <si>
    <t>stem height</t>
  </si>
  <si>
    <t>Patches of barnacles and ascidians in soft bottoms: Associated motile fauna in relation to the surrounding assemblage</t>
  </si>
  <si>
    <t>Immediate and delayed effects of a mass mortality event on gorgonian population dynamics and benthic community structure in the NW Mediterranean Sea</t>
  </si>
  <si>
    <t>1999_2003</t>
  </si>
  <si>
    <t>An analysis of fish-habitat associations on disturbed coral reefs: chaetodontid fishes in New Caledonia</t>
  </si>
  <si>
    <t>new caledonia</t>
  </si>
  <si>
    <t>Halimedaceae;Caulerpaceae</t>
  </si>
  <si>
    <t>Sargassaceae</t>
  </si>
  <si>
    <t>Alcyonarians</t>
  </si>
  <si>
    <t>branching coral</t>
  </si>
  <si>
    <t>Acropora spp.</t>
  </si>
  <si>
    <t>massive and encrusting corals</t>
  </si>
  <si>
    <t>fire coral</t>
  </si>
  <si>
    <t>Milleporidae</t>
  </si>
  <si>
    <t>other sessile organisms</t>
  </si>
  <si>
    <t>butterflyfish</t>
  </si>
  <si>
    <t>obligate corallivore butterflyfish</t>
  </si>
  <si>
    <t>facultative corallivore butterflyfish</t>
  </si>
  <si>
    <t>omnivore butterflyfish</t>
  </si>
  <si>
    <t>Invasion of a habitat-forming seaweed: effects on associated biota</t>
  </si>
  <si>
    <t>Fucus evanescens;Fucus vesiculosus</t>
  </si>
  <si>
    <t>Fucus evanescens</t>
  </si>
  <si>
    <t>isopods</t>
  </si>
  <si>
    <t>Recovery in Antarctic benthos after iceberg disturbance: trends in benthic composition, abundance and growth forms</t>
  </si>
  <si>
    <t>Teixidó</t>
  </si>
  <si>
    <t>Effects of Local Deforestation on the Diversity and Structure of Southern California Giant Kelp Forest Food Webs</t>
  </si>
  <si>
    <t>Graham</t>
  </si>
  <si>
    <t>1982_2000</t>
  </si>
  <si>
    <t>Macrofaunal assemblages of benthic habitat of different complexity and the proposition of a model of biogenic reef habitat regeneration in Foveaux Strait, New Zealand</t>
  </si>
  <si>
    <t>Cranfield</t>
  </si>
  <si>
    <t>biogenic reef</t>
  </si>
  <si>
    <t>Marine ecosystem engineering by the alien ascidian Pyura praeputialis on a mid-intertidal rocky shore</t>
  </si>
  <si>
    <t>Castilla</t>
  </si>
  <si>
    <t>ascidian belt</t>
  </si>
  <si>
    <t>Macroalgal canopies: distribution and diversity of associated invertebrates and effects on the recruitment and growth of mussels</t>
  </si>
  <si>
    <t>Bégin</t>
  </si>
  <si>
    <t>Alaria esculenta</t>
  </si>
  <si>
    <t>Agarum cribrosum</t>
  </si>
  <si>
    <t>Desmarestia viridis</t>
  </si>
  <si>
    <t>Ptilota serrata</t>
  </si>
  <si>
    <t>invertebrates on the bottom</t>
  </si>
  <si>
    <t>invertebrates on the algae</t>
  </si>
  <si>
    <t>Asterias vulgaris</t>
  </si>
  <si>
    <t>Buccinum undatum</t>
  </si>
  <si>
    <t>Chiridota laevis</t>
  </si>
  <si>
    <t>Hiatella arctica</t>
  </si>
  <si>
    <t>Margarites helicinus</t>
  </si>
  <si>
    <t>Musculus corrugatus</t>
  </si>
  <si>
    <t>Musculus discors laevigatus</t>
  </si>
  <si>
    <t>Ophiura robusta</t>
  </si>
  <si>
    <t>Ophiopholis aculeata</t>
  </si>
  <si>
    <t>Pectinaria gouldii</t>
  </si>
  <si>
    <t>Polynoidae</t>
  </si>
  <si>
    <t>Sabellidae</t>
  </si>
  <si>
    <t>Strongylocentrotus droebachiensis</t>
  </si>
  <si>
    <t>Terebellidae</t>
  </si>
  <si>
    <t>Tonicella marmorea</t>
  </si>
  <si>
    <t>Lacuna vincta</t>
  </si>
  <si>
    <t>length growth</t>
  </si>
  <si>
    <t>weight growth</t>
  </si>
  <si>
    <t>Mytilus edulis recruit</t>
  </si>
  <si>
    <t>What constitutes essential nursery habitat for a marine species? A case study of habitat form and function for queen conch</t>
  </si>
  <si>
    <t>Stoner</t>
  </si>
  <si>
    <t>Influence of habitat on diet and distribution of striped bass Influence of habitat on diet and distribution of striped bass (Morone saxatilis) in a temperate estuary</t>
  </si>
  <si>
    <t>Harding</t>
  </si>
  <si>
    <t>Morone saxatilis</t>
  </si>
  <si>
    <t>Mollusks as ecosystem engineers: the role of shell production in aquatic habitats</t>
  </si>
  <si>
    <t>Gutiérrez</t>
  </si>
  <si>
    <t>Influence of physical characteristics of coralline turf on associated macrofaunal assemblages</t>
  </si>
  <si>
    <t>The inf luence of canopy algae on vertical patterns of distribution of low-shore assemblages on rocky coasts in the northwest Mediterranean</t>
  </si>
  <si>
    <t>1996_1998</t>
  </si>
  <si>
    <t>Cystoseira spp.</t>
  </si>
  <si>
    <t>assemblage</t>
  </si>
  <si>
    <t>Vermetus sp.</t>
  </si>
  <si>
    <t>Polychaete tubes create ephemeral community patterns: Lanice conchilega (Pallas, 1766) associations studied over six years</t>
  </si>
  <si>
    <t>Zühlke</t>
  </si>
  <si>
    <t>1995_2000</t>
  </si>
  <si>
    <t>tube builder wom</t>
  </si>
  <si>
    <t>Mya arenaria</t>
  </si>
  <si>
    <t>Hediste diversicolor</t>
  </si>
  <si>
    <t>Aphelochaeta marioni</t>
  </si>
  <si>
    <t>Eteone longa</t>
  </si>
  <si>
    <t>Heteromastus liformis</t>
  </si>
  <si>
    <t>Soft corals exert no direct effects on coral reef fish assemblages</t>
  </si>
  <si>
    <t>Syms</t>
  </si>
  <si>
    <t>1993_1994</t>
  </si>
  <si>
    <t>1993_1995</t>
  </si>
  <si>
    <t>fish recruit</t>
  </si>
  <si>
    <t>Role of Holocene beds of stout razor clam Tagelusplebeius in structuring present benthic communities</t>
  </si>
  <si>
    <t>Architectural vs. biological effects of a habitat-altering, exotic mussel, Musculista senhousia</t>
  </si>
  <si>
    <t>Crooks</t>
  </si>
  <si>
    <t>Effects of the Tube-Building Polychaete Lanice conchilega (PALLAS) on Benthic Macrofauna and Nematodes in an Intertidal Sandflat</t>
  </si>
  <si>
    <t>surface feeders</t>
  </si>
  <si>
    <t>subsurface feeders</t>
  </si>
  <si>
    <t>predators</t>
  </si>
  <si>
    <t>filter feeders</t>
  </si>
  <si>
    <t>Malmgreniella lunulata</t>
  </si>
  <si>
    <t>Eteone Ionga</t>
  </si>
  <si>
    <t>Nereis diversicolor</t>
  </si>
  <si>
    <t>Pygospio elegans</t>
  </si>
  <si>
    <t>Polydora comuta</t>
  </si>
  <si>
    <t>Habitat alteration and community-level effects of an exotic Musculista senhousia</t>
  </si>
  <si>
    <t>1993_1996</t>
  </si>
  <si>
    <t>Leptochelia dubia</t>
  </si>
  <si>
    <t>The structure of subtidal algal and invertebrate assemblagesat the Chatham Islands, New Zealand</t>
  </si>
  <si>
    <t>Effects of Macroalgal Dynamics on Recruitment of a Temperate Reef Fish</t>
  </si>
  <si>
    <t>Carr</t>
  </si>
  <si>
    <t>1985_1989</t>
  </si>
  <si>
    <t>number of stipe</t>
  </si>
  <si>
    <t>Paralabrax clathratus recruits</t>
  </si>
  <si>
    <t>1986_1987</t>
  </si>
  <si>
    <t>Paralabrax clathratus adults</t>
  </si>
  <si>
    <t>blade mass</t>
  </si>
  <si>
    <t>Syringodium filiforme;Thalassia testudinum;Anadyomene sp.;Caulerpa sp.;Dasycladus sp.;Dictyosphaeria sp.;Halimeda sp.;Lobophora sp.;Padina sp.;Penicillus sp.;Udotea sp.</t>
  </si>
  <si>
    <t>Mytilus galloprovincialis;Aulacomya atra;Choromytilus meridionalis;Perna perna</t>
  </si>
  <si>
    <t>Cymodocea serrulata</t>
  </si>
  <si>
    <t xml:space="preserve">Lanice conchilega </t>
  </si>
  <si>
    <t>patch leaf biomass</t>
  </si>
  <si>
    <t>patch surface</t>
  </si>
  <si>
    <t>patch volume</t>
  </si>
  <si>
    <t>trait_scale_measure</t>
  </si>
  <si>
    <t>trait_large_typo</t>
  </si>
  <si>
    <t>trait_medium_typo</t>
  </si>
  <si>
    <t>trait_small_typo</t>
  </si>
  <si>
    <t>trait_finest_typo</t>
  </si>
  <si>
    <t>habitat_large_typo</t>
  </si>
  <si>
    <t>habitat_medium_typo</t>
  </si>
  <si>
    <t>habitat_small_typo</t>
  </si>
  <si>
    <t>NA</t>
  </si>
  <si>
    <t>species trait</t>
  </si>
  <si>
    <t>body form</t>
  </si>
  <si>
    <t>body fractal dimension</t>
  </si>
  <si>
    <t>macroalgae bed</t>
  </si>
  <si>
    <t>body status</t>
  </si>
  <si>
    <t>patch</t>
  </si>
  <si>
    <t>patch or community features</t>
  </si>
  <si>
    <t>spatial arrangement</t>
  </si>
  <si>
    <t>invertebrate structure</t>
  </si>
  <si>
    <t>mollusc bed</t>
  </si>
  <si>
    <t>body shape miscellaneous</t>
  </si>
  <si>
    <t>other macroalgae bed</t>
  </si>
  <si>
    <t>body volume</t>
  </si>
  <si>
    <t>habitat form</t>
  </si>
  <si>
    <t>habitat shape miscellaneous</t>
  </si>
  <si>
    <t>body-part</t>
  </si>
  <si>
    <t>body area</t>
  </si>
  <si>
    <t>habitat cover</t>
  </si>
  <si>
    <t>other invertebrate bed</t>
  </si>
  <si>
    <t>saltwater plant</t>
  </si>
  <si>
    <t>soft coral reef</t>
  </si>
  <si>
    <t>hard coral reef</t>
  </si>
  <si>
    <t>sponge bed</t>
  </si>
  <si>
    <t>habitat status</t>
  </si>
  <si>
    <t>other saltwater plant</t>
  </si>
  <si>
    <t>body interstitial space</t>
  </si>
  <si>
    <t>habitat interstitial space</t>
  </si>
  <si>
    <t>body branching</t>
  </si>
  <si>
    <t>structure-forming worm</t>
  </si>
  <si>
    <t>reef-building worm</t>
  </si>
  <si>
    <t>tube-building worm</t>
  </si>
  <si>
    <t>other mollusc bed</t>
  </si>
  <si>
    <t>habitat rugosity</t>
  </si>
  <si>
    <t>elemental composition</t>
  </si>
  <si>
    <t>fauna_com</t>
  </si>
  <si>
    <t>epifauna_pa</t>
  </si>
  <si>
    <t>infauna_pa</t>
  </si>
  <si>
    <t>fish_pa</t>
  </si>
  <si>
    <t>functional_group_pa</t>
  </si>
  <si>
    <t>taxo_group_pa</t>
  </si>
  <si>
    <t>species_scale_pa</t>
  </si>
  <si>
    <t>all_pa</t>
  </si>
  <si>
    <t>invertebrate larvae</t>
  </si>
  <si>
    <t>no</t>
  </si>
  <si>
    <t>1997_2017</t>
  </si>
  <si>
    <t>meadow structure</t>
  </si>
  <si>
    <t>Gemma gemma</t>
  </si>
  <si>
    <t>Glycera dibranchiata</t>
  </si>
  <si>
    <t>Heteromastus filiformis</t>
  </si>
  <si>
    <t>Lunella undulata</t>
  </si>
  <si>
    <t>Chlorodiloma odontis</t>
  </si>
  <si>
    <t>territories size</t>
  </si>
  <si>
    <t>tree crabs</t>
  </si>
  <si>
    <t>crab burrow</t>
  </si>
  <si>
    <t>snail</t>
  </si>
  <si>
    <t>habitat branching</t>
  </si>
  <si>
    <t>Abudefduf saxatilis</t>
  </si>
  <si>
    <t>small fish</t>
  </si>
  <si>
    <t>trophic level</t>
  </si>
  <si>
    <t>mollusc and crab</t>
  </si>
  <si>
    <t>Ocean acidification can mediate biodiversity shifts by changing biogenic habitat</t>
  </si>
  <si>
    <t>compar_info</t>
  </si>
  <si>
    <t>mangrove;seagrass meadow</t>
  </si>
  <si>
    <t>hard coral reef;hard coral reef</t>
  </si>
  <si>
    <t>soft coral reef;hard coral reef</t>
  </si>
  <si>
    <t>mussel bed;other mollusc bed</t>
  </si>
  <si>
    <t>oyster reef;other mollusc bed</t>
  </si>
  <si>
    <t>mussel bed;oyster reef</t>
  </si>
  <si>
    <t>other mollusc bed;other mollusc bed</t>
  </si>
  <si>
    <t>hard coral reef;hard coral reef;hard coral reef;hard coral reef;hard coral reef</t>
  </si>
  <si>
    <t>other invertebrate bed;other invertebrate bed</t>
  </si>
  <si>
    <t>mussel bed;other invertebrate bed</t>
  </si>
  <si>
    <t>coralline algae bed</t>
  </si>
  <si>
    <t>turfing red algae bed</t>
  </si>
  <si>
    <t>mixed invertebrate bed</t>
  </si>
  <si>
    <t>other brown algae bed</t>
  </si>
  <si>
    <t>opportunistic green algae</t>
  </si>
  <si>
    <t>mixed macroalgae bed</t>
  </si>
  <si>
    <t>mixed biogenic habitat</t>
  </si>
  <si>
    <t>complexe green algae</t>
  </si>
  <si>
    <t>foliose red algae bed</t>
  </si>
  <si>
    <t>mixed red algae bed</t>
  </si>
  <si>
    <t>mixed mollusc bed</t>
  </si>
  <si>
    <t>physiology</t>
  </si>
  <si>
    <t>body physiology</t>
  </si>
  <si>
    <t>habitat extent</t>
  </si>
  <si>
    <t>body extent</t>
  </si>
  <si>
    <t xml:space="preserve">diversity </t>
  </si>
  <si>
    <t>status</t>
  </si>
  <si>
    <t xml:space="preserve">habitat status </t>
  </si>
  <si>
    <t>seagrass meadow;canopy-forming algae</t>
  </si>
  <si>
    <t>canopy-forming algae;canopy-forming algae</t>
  </si>
  <si>
    <t>canopy-forming algae;mussel bed</t>
  </si>
  <si>
    <t>canopy-forming algae;canopy-forming algae;canopy-forming algae</t>
  </si>
  <si>
    <t>other invertebrate bed;mussel bed;coralline algae bed;other brown algae bed;turfing red algae bed;opportunistic green algae</t>
  </si>
  <si>
    <t>canopy-forming algae;mussel bed;coralline algae bed;other brown algae bed;turfing red algae bed;opportunistic green algae</t>
  </si>
  <si>
    <t>canopy-forming algae;other invertebrate bed;coralline algae bed;other brown algae bed;turfing red algae bed;opportunistic green algae</t>
  </si>
  <si>
    <t>canopy-forming algae;other invertebrate bed;mussel bed;other brown algae bed;turfing red algae bed;opportunistic green algae</t>
  </si>
  <si>
    <t>canopy-forming algae;other invertebrate bed;mussel bed;coralline algae bed;turfing red algae bed;opportunistic green algae</t>
  </si>
  <si>
    <t>canopy-forming algae;other invertebrate bed;mussel bed;coralline algae bed;other brown algae bed;opportunistic green algae</t>
  </si>
  <si>
    <t>canopy-forming algae;other invertebrate bed;mussel bed;coralline algae bed;other brown algae bed;turfing red algae bed</t>
  </si>
  <si>
    <t>canopy-forming algae;mixed macroalgae bed</t>
  </si>
  <si>
    <t>hard coral reef;hard coral reef;hard coral reef;hard coral reef;hard coral reef;soft coral reef;sponge bed;sponge bed;soft coral reef;mixed macroalgae bed;complexe green algae;coralline algae;foliose red algae bed;complexe green algae;complexe green algae;other brown algae bed;canopy-forming algae</t>
  </si>
  <si>
    <t>hard coral reef;hard coral reef;hard coral reef;hard coral reef;hard coral reef;soft coral reef;sponge bed;sponge bed;soft coral reef;mixed macroalgae bed;complexe green algae;coralline algae;foliose red algae bed;complexe green algae;complexe green algae;canopy-forming algae;canopy-forming algae</t>
  </si>
  <si>
    <t>hard coral reef;hard coral reef;hard coral reef;hard coral reef;hard coral reef;soft coral reef;sponge bed;sponge bed;soft coral reef;mixed macroalgae bed;complexe green algae;coralline algae;foliose red algae bed;complexe green algae;other brown algae bed;canopy-forming algae;canopy-forming algae</t>
  </si>
  <si>
    <t>hard coral reef;hard coral reef;hard coral reef;hard coral reef;hard coral reef;soft coral reef;sponge bed;sponge bed;soft coral reef;mixed macroalgae bed;complexe green algae;coralline algae;complexe green algae;complexe green algae;other brown algae bed;canopy-forming algae;canopy-forming algae</t>
  </si>
  <si>
    <t>hard coral reef;hard coral reef;hard coral reef;hard coral reef;hard coral reef;soft coral reef;sponge bed;sponge bed;soft coral reef;mixed macroalgae bed;complexe green algae;foliose red algae bed;complexe green algae;complexe green algae;other brown algae bed;canopy-forming algae;canopy-forming algae</t>
  </si>
  <si>
    <t>hard coral reef;hard coral reef;hard coral reef;hard coral reef;hard coral reef;soft coral reef;sponge bed;sponge bed;soft coral reef;mixed macroalgae bed;coralline algae;foliose red algae bed;complexe green algae;complexe green algae;other brown algae bed;canopy-forming algae;canopy-forming algae</t>
  </si>
  <si>
    <t>hard coral reef;hard coral reef;hard coral reef;hard coral reef;hard coral reef;soft coral reef;sponge bed;sponge bed;soft coral reef;complexe green algae;coralline algae;foliose red algae bed;complexe green algae;complexe green algae;other brown algae bed;canopy-forming algae;canopy-forming algae</t>
  </si>
  <si>
    <t>hard coral reef;hard coral reef;hard coral reef;hard coral reef;hard coral reef;soft coral reef;sponge bed;soft coral reef;mixed macroalgae bed;complexe green algae;coralline algae;foliose red algae bed;complexe green algae;complexe green algae;other brown algae bed;canopy-forming algae;canopy-forming algae</t>
  </si>
  <si>
    <t>hard coral reef;hard coral reef;hard coral reef;hard coral reef;hard coral reef;soft coral reef;sponge bed;sponge bed;mixed macroalgae bed;complexe green algae;coralline algae;foliose red algae bed;complexe green algae;complexe green algae;other brown algae bed;canopy-forming algae;canopy-forming algae</t>
  </si>
  <si>
    <t>hard coral reef;hard coral reef;hard coral reef;hard coral reef;hard coral reef;sponge bed;sponge bed;soft coral reef;mixed macroalgae bed;complexe green algae;coralline algae;foliose red algae bed;complexe green algae;complexe green algae;other brown algae bed;canopy-forming algae;canopy-forming algae</t>
  </si>
  <si>
    <t>hard coral reef;hard coral reef;hard coral reef;hard coral reef;soft coral reef;sponge bed;sponge bed;soft coral reef;mixed macroalgae bed;complexe green algae;coralline algae;foliose red algae bed;complexe green algae;complexe green algae;other brown algae bed;canopy-forming algae;canopy-forming algae</t>
  </si>
  <si>
    <t>sponge bed;sponge bed;sponge bed;sponge bed</t>
  </si>
  <si>
    <t>seagrass meadow;seagrass meadow;seagrass meadow</t>
  </si>
  <si>
    <t>red algae;other macroalgae bed</t>
  </si>
  <si>
    <t>brown algae;other macroalgae bed</t>
  </si>
  <si>
    <t>brown algae;red algae</t>
  </si>
  <si>
    <t>mangrove;other brown algae bed</t>
  </si>
  <si>
    <t>seagrass meadow;other brown algae bed</t>
  </si>
  <si>
    <t>oyster reef;oyster reef</t>
  </si>
  <si>
    <t>turfing red algae bed;mixed macroalgae bed</t>
  </si>
  <si>
    <t>turfing red algae bed;turfing red algae bed</t>
  </si>
  <si>
    <t>seagrass meadow;other invertebrate bed</t>
  </si>
  <si>
    <t>mangrove;other invertebrate bed</t>
  </si>
  <si>
    <t>seagrass meadow;mixed biogenic habitat</t>
  </si>
  <si>
    <t>canopy-forming algae;mixed biogenic habitat</t>
  </si>
  <si>
    <t>tube-building worm;coralline algae bed</t>
  </si>
  <si>
    <t>oyster reef;coralline algae bed</t>
  </si>
  <si>
    <t>oyster reef;tube-building worm</t>
  </si>
  <si>
    <t>seagrass meadow;tube-building worm;coralline algae bed</t>
  </si>
  <si>
    <t>other mollusc bed;tube-building worm;coralline algae bed</t>
  </si>
  <si>
    <t>seagrass meadow;other mollusc bed;coralline algae bed</t>
  </si>
  <si>
    <t>seagrass meadow;tube-building worm;other mollusc bed</t>
  </si>
  <si>
    <t>canopy-forming algae;turfing red algae bed</t>
  </si>
  <si>
    <t>canopy-forming algae;turfing red algae bed;other brown algae bed;turfing red algae bed</t>
  </si>
  <si>
    <t>turfing red algae bed;other brown algae bed;turfing red algae bed;mixed macroalgae bed</t>
  </si>
  <si>
    <t>canopy-forming algae;other brown algae bed;turfing red algae bed;mixed macroalgae bed</t>
  </si>
  <si>
    <t>canopy-forming algae;turfing red algae bed;turfing red algae bed;mixed macroalgae bed</t>
  </si>
  <si>
    <t>canopy-forming algae;turfing red algae bed;other brown algae bed;mixed macroalgae bed</t>
  </si>
  <si>
    <t>complexe green algae;turfing red algae bed</t>
  </si>
  <si>
    <t>canopy-forming algae;complexe green algae</t>
  </si>
  <si>
    <t>complexe green algae;complexe green algae;complexe green algae</t>
  </si>
  <si>
    <t>seagrass meadow;complexe green algae;complexe green algae</t>
  </si>
  <si>
    <t>mussel bed;mixed biogenic habitat</t>
  </si>
  <si>
    <t>mussel bed;canopy-forming algae</t>
  </si>
  <si>
    <t>complexe green algae;seagrass meadow</t>
  </si>
  <si>
    <t>seagrass meadow;seagrass meadow</t>
  </si>
  <si>
    <t>mussel bed;mixed mollusc bed</t>
  </si>
  <si>
    <t>oyster reef;mixed mollusc bed</t>
  </si>
  <si>
    <t>canopy-forming algae;turfing red algae bed;canopy-forming algae</t>
  </si>
  <si>
    <t>hard coral reef;soft coral reef</t>
  </si>
  <si>
    <t>Scarus iserti</t>
  </si>
  <si>
    <t>Sparisoma aurofrenatum</t>
  </si>
  <si>
    <t>Sparisoma viride</t>
  </si>
  <si>
    <t>Scarus spp.</t>
  </si>
  <si>
    <t>Sparisoma spp.</t>
  </si>
  <si>
    <t>Bembicium auratum</t>
  </si>
  <si>
    <t>Patelloida mimula</t>
  </si>
  <si>
    <t>Irus crenatus</t>
  </si>
  <si>
    <t>juvenile oysters</t>
  </si>
  <si>
    <t>crustaceans</t>
  </si>
  <si>
    <t>other organism</t>
  </si>
  <si>
    <t>isopod</t>
  </si>
  <si>
    <t>batillaria adults</t>
  </si>
  <si>
    <t>batillaria recruits</t>
  </si>
  <si>
    <t>Nassarius adults</t>
  </si>
  <si>
    <t>bedeva adults</t>
  </si>
  <si>
    <t>Nassarius recruits</t>
  </si>
  <si>
    <t>bedeva recruits</t>
  </si>
  <si>
    <t>Soletellina adults</t>
  </si>
  <si>
    <t>Soletellina recruits</t>
  </si>
  <si>
    <t>Ampithoe spp.</t>
  </si>
  <si>
    <t>Caprella penantis</t>
  </si>
  <si>
    <t>Corophium spp.</t>
  </si>
  <si>
    <t>Jassa marmorata</t>
  </si>
  <si>
    <t>Coenophthalmus tridentatus;Nauticaris magellanica;Arbacia dufresnii</t>
  </si>
  <si>
    <t>Leucippa pentagona;Aulacomya atra atra;Fissurella radiosa tixierae;Tegula patagonica;Ophioplocus janarii</t>
  </si>
  <si>
    <t>Nemertina;polychaete</t>
  </si>
  <si>
    <t>chitons</t>
  </si>
  <si>
    <t>macroinvertebrates</t>
  </si>
  <si>
    <t>0.0314</t>
  </si>
  <si>
    <t>Barleeia subtenuis</t>
  </si>
  <si>
    <t>planktonic development mode</t>
  </si>
  <si>
    <t>direct development mode</t>
  </si>
  <si>
    <t>nth</t>
  </si>
  <si>
    <t>habitat area</t>
  </si>
  <si>
    <t>trop du à scorer</t>
  </si>
  <si>
    <t>Gymnogongrus griffithsiae</t>
  </si>
  <si>
    <t>Gracilaria tikvahiae</t>
  </si>
  <si>
    <t>turfing red algae bed;turfing red algae bed;turfing red algae bed</t>
  </si>
  <si>
    <t>complexe green algae;turfing red algae bed;turfing red algae bed</t>
  </si>
  <si>
    <t>Chaetodon guentheri</t>
  </si>
  <si>
    <t>Prionurus microlepidotus</t>
  </si>
  <si>
    <t>Parupeneus spilurus</t>
  </si>
  <si>
    <t>Ophthalmolepis lineolatus</t>
  </si>
  <si>
    <t>tree diversity</t>
  </si>
  <si>
    <t>habitat composition</t>
  </si>
  <si>
    <t>pneumatophore density</t>
  </si>
  <si>
    <t>seagrass diversity</t>
  </si>
  <si>
    <t>saltmarsh diversity</t>
  </si>
  <si>
    <t>inscorable</t>
  </si>
  <si>
    <t>vertical relief</t>
  </si>
  <si>
    <t>reef age</t>
  </si>
  <si>
    <t>toadfish</t>
  </si>
  <si>
    <t>goby</t>
  </si>
  <si>
    <t>grunt</t>
  </si>
  <si>
    <t>snapper</t>
  </si>
  <si>
    <t>swimming crab</t>
  </si>
  <si>
    <t>drum</t>
  </si>
  <si>
    <t>porgy</t>
  </si>
  <si>
    <t>blennie</t>
  </si>
  <si>
    <t>Sirophysalis trinodis</t>
  </si>
  <si>
    <t>stipe lengths</t>
  </si>
  <si>
    <t>branch length</t>
  </si>
  <si>
    <t>number of ramuli</t>
  </si>
  <si>
    <t>habitat type</t>
  </si>
  <si>
    <t>stability</t>
  </si>
  <si>
    <t>community stability</t>
  </si>
  <si>
    <t>mixed turf</t>
  </si>
  <si>
    <t>average size</t>
  </si>
  <si>
    <t>Silvetia compressa</t>
  </si>
  <si>
    <t>Stephanocystis dioica</t>
  </si>
  <si>
    <t>p/a ratio</t>
  </si>
  <si>
    <t>2008_2014</t>
  </si>
  <si>
    <t>red turf</t>
  </si>
  <si>
    <t>Agarophyton vermiculophyllum</t>
  </si>
  <si>
    <t>benthic invertebrates;fishes</t>
  </si>
  <si>
    <t>juveniles</t>
  </si>
  <si>
    <t>size spectrum</t>
  </si>
  <si>
    <t>mobile groups</t>
  </si>
  <si>
    <t>Austrovenus stutchburyi</t>
  </si>
  <si>
    <t>Micrelenchus tenebrosus;Diloma subrostrata</t>
  </si>
  <si>
    <t>Conopeum seurati</t>
  </si>
  <si>
    <t>Gigartina atropurpurea</t>
  </si>
  <si>
    <t>1980_2012</t>
  </si>
  <si>
    <t>Porphyra spp.</t>
  </si>
  <si>
    <t>Gigartina spp.;Sarcothalia spp.</t>
  </si>
  <si>
    <t>algae and mussel</t>
  </si>
  <si>
    <t>burrowing crab</t>
  </si>
  <si>
    <t>littoraria irrorata</t>
  </si>
  <si>
    <t>mussel and fucus</t>
  </si>
  <si>
    <t>Fucus distichus</t>
  </si>
  <si>
    <t>evennes</t>
  </si>
  <si>
    <t>canopy-forming algae;mussel bed;mixed biogenic habitat</t>
  </si>
  <si>
    <t>canopy-forming algae;canopy-forming algae;mixed biogenic habitat</t>
  </si>
  <si>
    <t>canopy-forming algae;mussel bed;canopy-forming algae</t>
  </si>
  <si>
    <t>thalli length</t>
  </si>
  <si>
    <t>salt marsh and mussel</t>
  </si>
  <si>
    <t>Perumytilus purpuratus;Brachidontes rodriguezii</t>
  </si>
  <si>
    <t>Spartina densiflora;Perumytilus purpuratus;Brachidontes rodriguezii</t>
  </si>
  <si>
    <t>mixed biogenic habitat;mussel bed</t>
  </si>
  <si>
    <t>mixed biogenic habitat;other invertebrate bed</t>
  </si>
  <si>
    <t>other invertebrate bed;mussel bed</t>
  </si>
  <si>
    <t>Tanais dulongii</t>
  </si>
  <si>
    <t>Pseudosphaeroma sp.</t>
  </si>
  <si>
    <t>Siphonaria lessoni</t>
  </si>
  <si>
    <t>Orchestia gammarella</t>
  </si>
  <si>
    <t>Anasterias minuta</t>
  </si>
  <si>
    <t>Plaxiphora aurata</t>
  </si>
  <si>
    <t>Pareuthria plumbea</t>
  </si>
  <si>
    <t>Trophon geversianus</t>
  </si>
  <si>
    <t>Exosphaeroma lanceolata</t>
  </si>
  <si>
    <t>Halosyndna Patagonica;Mapphysa aenea;Platynereis magalhaensis</t>
  </si>
  <si>
    <t>amphipod sp.</t>
  </si>
  <si>
    <t>Nacella magellanica</t>
  </si>
  <si>
    <t>ExosphaeCyrtograpsus altimanus;Halicarcinus platinusroma lanceolata</t>
  </si>
  <si>
    <t>epibionth;fish</t>
  </si>
  <si>
    <t>adult fishes</t>
  </si>
  <si>
    <t>juvenile fishes</t>
  </si>
  <si>
    <t>Mytilus galloprovincialis;Cystoseira compressa</t>
  </si>
  <si>
    <t>canopy-forming and mussel</t>
  </si>
  <si>
    <t>Patella ulyssiponensis/caerula</t>
  </si>
  <si>
    <t>Vermetus triqueter</t>
  </si>
  <si>
    <t>mixed algae</t>
  </si>
  <si>
    <t>Ahnfeltiopsis leptophyllum;Analipus japonicus;Callithamnion pikeanum;Ceramium pacificum;Ceramium sp.;Chondracanthus exasperatus;Fucus gardneri;Gastroclonium subarticulatum;Halosaccion glandiforme;Mastocarpus jardinii;Mastocarpus papillatus;Mazzaella affinis;Mazzaella splendens;Microcladia borealis;Microcladia coulteri;Neorhodomela larix;Odonthalia flocossa;Osmundea spectabilis;Porphyra sp.;Prionitis lanceolata;Sargassum muticum;Ulva fenestrata;Ulva intestinalis;Ulva linza;Ulva stenophylla</t>
  </si>
  <si>
    <t>functional richness</t>
  </si>
  <si>
    <t>2000_2004</t>
  </si>
  <si>
    <t>Styela rustica;Styela coriacea;Dendrodoa grossularia;Bolthenia echinata;Mogula spp.</t>
  </si>
  <si>
    <t>ascidian belt and barnacles</t>
  </si>
  <si>
    <t>Styela rustica;Styela coriacea;Dendrodoa grossularia;Bolthenia echinata;Mogula spp.;Balanus crenatus</t>
  </si>
  <si>
    <t>motile taxa</t>
  </si>
  <si>
    <t>Pholoe minuta</t>
  </si>
  <si>
    <t>Sphaerosyllis erinaceus</t>
  </si>
  <si>
    <t>Micronephthys minuta</t>
  </si>
  <si>
    <t>Polycirrus medusa</t>
  </si>
  <si>
    <t>Apistobranchus tullbergi</t>
  </si>
  <si>
    <t>Scoloplos armiger</t>
  </si>
  <si>
    <t>Aricidea nolani</t>
  </si>
  <si>
    <t>Chaetozone setosa</t>
  </si>
  <si>
    <t>Cirratulus cirratus</t>
  </si>
  <si>
    <t>Praxillella praetermissa</t>
  </si>
  <si>
    <t>Rhodine loveni</t>
  </si>
  <si>
    <t>Scalibregma inflatum</t>
  </si>
  <si>
    <t>Isopoda</t>
  </si>
  <si>
    <t>Gammaroidea</t>
  </si>
  <si>
    <t>Crenella decussata</t>
  </si>
  <si>
    <t>Musculus cf. discors</t>
  </si>
  <si>
    <t>Magallana gigas</t>
  </si>
  <si>
    <t>Magallana gigas;Ostrea edulis</t>
  </si>
  <si>
    <t>Saccostrea glomerata;Magallana gigas</t>
  </si>
  <si>
    <t>Mytilus edulis;Magallana gigas</t>
  </si>
  <si>
    <t>Saccharina latissima;Chondrus crispus;Codium fragile;Neosiphonia spp.;Bonnemaisonia hamifera;Dasysiphonia japonica;Alaria esculenta;Saccharina latissima;Chondrus crispus;Agarum clathratum;Porphyra spp.;Desmarestia aculeata;Ulva spp.;Neosiphonia spp.;Bonnemaisonia hamifera;Dasysiphonia japonica;Filamentous red seaweed</t>
  </si>
  <si>
    <t>Sarcotragus spinosulus</t>
  </si>
  <si>
    <t>Fasciospongia cavernosa;Ircinia variabilis;Sarcotragus spinosulus</t>
  </si>
  <si>
    <t>Ceratophyllum demersum;Myriophyllum spicatum;Potamogeton perfoliatus;Ruppia maritima;Stuckenia pectinata;Zannichellia spp.;Zostera marina</t>
  </si>
  <si>
    <t>Pylaiella littoralis;Ceramium sp.;Polysiphonia sp.;Zostera marina;Ruppia maritima;Zanichella palustris;Chara sp.;Potamogeton perfoliatus;Myriophyllum sp.</t>
  </si>
  <si>
    <t>habitat biomass</t>
  </si>
  <si>
    <t>habitat taxonomic diversity</t>
  </si>
  <si>
    <t>habitat functional diversity</t>
  </si>
  <si>
    <t>should have been removed during the title and abstract screening process</t>
  </si>
  <si>
    <t>not about primary foundation species</t>
  </si>
  <si>
    <t>no effect on associated fauna</t>
  </si>
  <si>
    <t>artificial substrate</t>
  </si>
  <si>
    <t>unscorable</t>
  </si>
  <si>
    <t>non-living foundation species</t>
  </si>
  <si>
    <t>habitat_alien_sp</t>
  </si>
  <si>
    <t>tube-building worm</t>
  </si>
  <si>
    <t>Gratwicke</t>
  </si>
  <si>
    <t>other brown algae</t>
  </si>
  <si>
    <t>variety of growth form</t>
  </si>
  <si>
    <t>refuge size categories</t>
  </si>
  <si>
    <t>habitat score</t>
  </si>
  <si>
    <t>The role of annual macroalgal morphology in driving its epifaunal assemblages</t>
  </si>
  <si>
    <t>Torres</t>
  </si>
  <si>
    <t>Chondracanthus teedii</t>
  </si>
  <si>
    <t>Codium tomentosum</t>
  </si>
  <si>
    <t>Dictyota dichotoma</t>
  </si>
  <si>
    <t>Mastocarpus stellatus</t>
  </si>
  <si>
    <t>Osmundea pinnatifida</t>
  </si>
  <si>
    <t>Stypocaulon scoparium</t>
  </si>
  <si>
    <t>Portugal</t>
  </si>
  <si>
    <t>body mass</t>
  </si>
  <si>
    <t>fractal area</t>
  </si>
  <si>
    <t>fractal perimeter</t>
  </si>
  <si>
    <t>complexe green algae;other brown algae bed;turfing red algae bed;turfing red algae bed;other brown algae bed</t>
  </si>
  <si>
    <t>foliose red algae;other brown algae bed;turfing red algae bed;turfing red algae bed;other brown algae bed</t>
  </si>
  <si>
    <t>complexe green algae;foliose red algae;turfing red algae bed;turfing red algae bed;other brown algae bed</t>
  </si>
  <si>
    <t>complexe green algae;other brown algae bedfoliose red algae;turfing red algae bed;other brown algae bed</t>
  </si>
  <si>
    <t>complexe green algae;other brown algae bed;turfing red algae bed;turfing red algae bed;foliose red algae</t>
  </si>
  <si>
    <t>Structure of cryptic reef fish assemblages: relationships with habitat characteristics and predator density</t>
  </si>
  <si>
    <t>Willis</t>
  </si>
  <si>
    <t>Eklonia radiata</t>
  </si>
  <si>
    <t>Are macroinvertebrate communities influenced by seagrass structural complexity?</t>
  </si>
  <si>
    <t>Attrill</t>
  </si>
  <si>
    <t>stem length</t>
  </si>
  <si>
    <t>complexity index</t>
  </si>
  <si>
    <t>factal dimension</t>
  </si>
  <si>
    <t>Heck</t>
  </si>
  <si>
    <t>mobile taxa</t>
  </si>
  <si>
    <t>Thalassia testudinum;Penicillus pyriformis;Syringodium filiforme;Cladophora fascicularia;Halimeda incrassata;Udotea flabellum</t>
  </si>
  <si>
    <t>mixed species</t>
  </si>
  <si>
    <t>The influence of quantitative and qualitative aspects of habitat complexity in tropical sea-grass meadows</t>
  </si>
  <si>
    <t>Halimeda opunita</t>
  </si>
  <si>
    <t>Thalassia testudinum;Halimeda opunita</t>
  </si>
  <si>
    <t>seagrass meadow;complexe green algae</t>
  </si>
  <si>
    <t>mixed species;complexe green algae</t>
  </si>
  <si>
    <t>seagrass meadow;mixed species</t>
  </si>
  <si>
    <t>Relationship of Sponge Macrofauna with the Morphology of their Hosts in the North Aegean Sea</t>
  </si>
  <si>
    <t>Koukouras</t>
  </si>
  <si>
    <t>body exent</t>
  </si>
  <si>
    <t>Angelas oroides;Petrosia ficiformis;Aplysina aerophoba;Ircinia variabilis</t>
  </si>
  <si>
    <t>faune within sponge</t>
  </si>
  <si>
    <t>Disturbance influences oyster community richness and evenness, but not diversity</t>
  </si>
  <si>
    <t>Kimbro</t>
  </si>
  <si>
    <t>Ostreola conchaphila</t>
  </si>
  <si>
    <t>sessile species</t>
  </si>
  <si>
    <t>mobile species</t>
  </si>
  <si>
    <t>Differences among fish assemblages associated with a nearshore vermetid reef and two other rocky habitats along the shores of Cape Milazzo (northern Sicily, central Mediterranean Sea)</t>
  </si>
  <si>
    <t>Consoli</t>
  </si>
  <si>
    <t>Distribution and diversity of species associated with deep-sea gorgonian corals off Atlantic Canada</t>
  </si>
  <si>
    <t>book chapter</t>
  </si>
  <si>
    <t>symposium chapter</t>
  </si>
  <si>
    <t>Species diversity and spatial distribution of invertebrates on deep-water Lophelia reefs in Norway</t>
  </si>
  <si>
    <t>Digital Reef Rugosity Estimates Coral Reef Habitat Complexity</t>
  </si>
  <si>
    <t>Dustan</t>
  </si>
  <si>
    <t>Bali</t>
  </si>
  <si>
    <t>digital reef rugosity</t>
  </si>
  <si>
    <t>Ecological effects of ocean acidification and habitat complexity on reef-associated macroinvertebrate communities</t>
  </si>
  <si>
    <t>Fabricius</t>
  </si>
  <si>
    <t>Papouasie Nouvelle Guinée</t>
  </si>
  <si>
    <t>Dynamic fragility of oceanic coral reef ecosystems</t>
  </si>
  <si>
    <t>Seychelles</t>
  </si>
  <si>
    <t>1994_2005</t>
  </si>
  <si>
    <t>dead cover</t>
  </si>
  <si>
    <t>living cover</t>
  </si>
  <si>
    <t>topographic structural complexity</t>
  </si>
  <si>
    <t>change in complexity</t>
  </si>
  <si>
    <t>The relationship between fish species richness, abundance and habitat complexity in a range of shallow tropical marine habitats</t>
  </si>
  <si>
    <t>added from Sunday et al. 2017 database</t>
  </si>
  <si>
    <t>Coral decline threatens fish biodiversity in marine reserves</t>
  </si>
  <si>
    <t>1996_2003</t>
  </si>
  <si>
    <t>we go back to raw data</t>
  </si>
  <si>
    <t>trop compliqué à scorer les effets en mode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</si>
</sst>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9E03-7AF3-A147-BBF0-D1250A89FBD9}">
  <dimension ref="A1:AS4780"/>
  <sheetViews>
    <sheetView tabSelected="1" zoomScale="89" zoomScaleNormal="100" workbookViewId="0">
      <pane xSplit="2200" ySplit="680" topLeftCell="U1038" activePane="bottomRight"/>
      <selection pane="topRight" activeCell="R140" sqref="R1:R1048576"/>
      <selection pane="bottomLeft" activeCell="A4780" sqref="A4780"/>
      <selection pane="bottomRight" activeCell="AA1060" sqref="AA1060"/>
    </sheetView>
  </sheetViews>
  <sheetFormatPr baseColWidth="10" defaultRowHeight="16" x14ac:dyDescent="0.2"/>
  <cols>
    <col min="1" max="1" width="14.1640625" customWidth="1"/>
    <col min="2" max="2" width="14" bestFit="1" customWidth="1"/>
    <col min="3" max="3" width="16.83203125" customWidth="1"/>
    <col min="4" max="4" width="22.5" bestFit="1" customWidth="1"/>
    <col min="5" max="5" width="15" bestFit="1" customWidth="1"/>
    <col min="6" max="6" width="45" bestFit="1" customWidth="1"/>
    <col min="7" max="7" width="45" customWidth="1"/>
    <col min="8" max="8" width="9.33203125" customWidth="1"/>
    <col min="9" max="9" width="14.6640625" bestFit="1" customWidth="1"/>
    <col min="10" max="10" width="14.83203125" bestFit="1" customWidth="1"/>
    <col min="11" max="11" width="18" bestFit="1" customWidth="1"/>
    <col min="12" max="12" width="12.83203125" bestFit="1" customWidth="1"/>
    <col min="13" max="13" width="15.83203125" bestFit="1" customWidth="1"/>
    <col min="14" max="14" width="22.5" bestFit="1" customWidth="1"/>
    <col min="15" max="15" width="22.6640625" bestFit="1" customWidth="1"/>
    <col min="16" max="16" width="19.6640625" bestFit="1" customWidth="1"/>
    <col min="17" max="19" width="24.1640625" customWidth="1"/>
    <col min="20" max="20" width="14.1640625" bestFit="1" customWidth="1"/>
    <col min="21" max="21" width="38.5" bestFit="1" customWidth="1"/>
    <col min="22" max="22" width="12" bestFit="1" customWidth="1"/>
    <col min="23" max="23" width="18.33203125" bestFit="1" customWidth="1"/>
    <col min="24" max="24" width="20.5" bestFit="1" customWidth="1"/>
    <col min="25" max="25" width="25.1640625" bestFit="1" customWidth="1"/>
    <col min="26" max="26" width="18" bestFit="1" customWidth="1"/>
    <col min="27" max="27" width="14.6640625" bestFit="1" customWidth="1"/>
    <col min="28" max="28" width="24.83203125" bestFit="1" customWidth="1"/>
    <col min="29" max="29" width="19" bestFit="1" customWidth="1"/>
    <col min="30" max="30" width="18.1640625" bestFit="1" customWidth="1"/>
    <col min="31" max="31" width="17.5" bestFit="1" customWidth="1"/>
    <col min="32" max="33" width="17.5" customWidth="1"/>
    <col min="34" max="34" width="17.5" style="4" customWidth="1"/>
    <col min="35" max="35" width="17.5" customWidth="1"/>
    <col min="36" max="36" width="18.6640625" bestFit="1" customWidth="1"/>
    <col min="37" max="38" width="17.5" customWidth="1"/>
    <col min="39" max="39" width="24" customWidth="1"/>
    <col min="40" max="40" width="14" bestFit="1" customWidth="1"/>
    <col min="41" max="41" width="14" customWidth="1"/>
    <col min="42" max="42" width="11.6640625" bestFit="1" customWidth="1"/>
    <col min="43" max="43" width="11.6640625" style="5" customWidth="1"/>
    <col min="45" max="45" width="74.1640625" bestFit="1" customWidth="1"/>
  </cols>
  <sheetData>
    <row r="1" spans="1:45" x14ac:dyDescent="0.2">
      <c r="A1" s="1" t="s">
        <v>0</v>
      </c>
      <c r="B1" s="1" t="s">
        <v>41</v>
      </c>
      <c r="C1" s="1" t="s">
        <v>42</v>
      </c>
      <c r="D1" s="1" t="s">
        <v>43</v>
      </c>
      <c r="E1" s="1" t="s">
        <v>48</v>
      </c>
      <c r="F1" s="1" t="s">
        <v>52</v>
      </c>
      <c r="G1" s="1" t="s">
        <v>84</v>
      </c>
      <c r="H1" s="1" t="s">
        <v>92</v>
      </c>
      <c r="I1" s="1" t="s">
        <v>160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119</v>
      </c>
      <c r="O1" s="1" t="s">
        <v>134</v>
      </c>
      <c r="P1" s="1" t="s">
        <v>133</v>
      </c>
      <c r="Q1" s="1" t="s">
        <v>2269</v>
      </c>
      <c r="R1" s="1" t="s">
        <v>2270</v>
      </c>
      <c r="S1" s="1" t="s">
        <v>2271</v>
      </c>
      <c r="T1" s="1" t="s">
        <v>313</v>
      </c>
      <c r="U1" s="1" t="s">
        <v>2334</v>
      </c>
      <c r="V1" s="1" t="s">
        <v>135</v>
      </c>
      <c r="W1" s="1" t="s">
        <v>2589</v>
      </c>
      <c r="X1" s="1" t="s">
        <v>136</v>
      </c>
      <c r="Y1" t="s">
        <v>2265</v>
      </c>
      <c r="Z1" t="s">
        <v>2266</v>
      </c>
      <c r="AA1" t="s">
        <v>2267</v>
      </c>
      <c r="AB1" t="s">
        <v>2268</v>
      </c>
      <c r="AC1" s="1" t="s">
        <v>138</v>
      </c>
      <c r="AD1" t="s">
        <v>2264</v>
      </c>
      <c r="AE1" s="1" t="s">
        <v>675</v>
      </c>
      <c r="AF1" s="1" t="s">
        <v>2308</v>
      </c>
      <c r="AG1" s="1" t="s">
        <v>2309</v>
      </c>
      <c r="AH1" s="2" t="s">
        <v>2310</v>
      </c>
      <c r="AI1" s="1" t="s">
        <v>2314</v>
      </c>
      <c r="AJ1" s="1" t="s">
        <v>2311</v>
      </c>
      <c r="AK1" s="1" t="s">
        <v>2312</v>
      </c>
      <c r="AL1" s="1" t="s">
        <v>2313</v>
      </c>
      <c r="AM1" s="1" t="s">
        <v>2307</v>
      </c>
      <c r="AN1" s="1" t="s">
        <v>139</v>
      </c>
      <c r="AO1" s="1" t="s">
        <v>412</v>
      </c>
      <c r="AP1" s="1" t="s">
        <v>140</v>
      </c>
      <c r="AQ1" s="3" t="s">
        <v>411</v>
      </c>
      <c r="AR1" s="1" t="s">
        <v>141</v>
      </c>
      <c r="AS1" s="1" t="s">
        <v>142</v>
      </c>
    </row>
    <row r="2" spans="1:45" x14ac:dyDescent="0.2">
      <c r="A2" t="s">
        <v>1</v>
      </c>
      <c r="B2" t="s">
        <v>143</v>
      </c>
      <c r="C2">
        <v>2023</v>
      </c>
      <c r="D2" t="s">
        <v>811</v>
      </c>
      <c r="E2" t="s">
        <v>49</v>
      </c>
      <c r="F2" t="s">
        <v>53</v>
      </c>
      <c r="G2" t="s">
        <v>86</v>
      </c>
      <c r="H2" t="s">
        <v>93</v>
      </c>
      <c r="J2">
        <v>1</v>
      </c>
      <c r="K2" t="s">
        <v>102</v>
      </c>
      <c r="L2">
        <v>0</v>
      </c>
      <c r="M2">
        <v>0</v>
      </c>
      <c r="Q2" s="1" t="s">
        <v>2272</v>
      </c>
      <c r="R2" s="1" t="s">
        <v>2272</v>
      </c>
      <c r="S2" s="1" t="s">
        <v>2272</v>
      </c>
      <c r="Y2" t="s">
        <v>2272</v>
      </c>
      <c r="Z2" t="s">
        <v>2272</v>
      </c>
      <c r="AA2" t="s">
        <v>2272</v>
      </c>
      <c r="AB2" t="s">
        <v>2272</v>
      </c>
      <c r="AD2" t="s">
        <v>2272</v>
      </c>
      <c r="AR2" t="s">
        <v>144</v>
      </c>
      <c r="AS2" t="s">
        <v>2584</v>
      </c>
    </row>
    <row r="3" spans="1:45" x14ac:dyDescent="0.2">
      <c r="A3" t="s">
        <v>2</v>
      </c>
      <c r="B3" t="s">
        <v>145</v>
      </c>
      <c r="C3">
        <v>2023</v>
      </c>
      <c r="D3" t="s">
        <v>44</v>
      </c>
      <c r="E3" t="s">
        <v>49</v>
      </c>
      <c r="F3" t="s">
        <v>53</v>
      </c>
      <c r="G3" t="s">
        <v>86</v>
      </c>
      <c r="H3" t="s">
        <v>93</v>
      </c>
      <c r="I3">
        <v>2011</v>
      </c>
      <c r="J3">
        <v>0.42</v>
      </c>
      <c r="K3" t="s">
        <v>102</v>
      </c>
      <c r="L3">
        <v>0.6</v>
      </c>
      <c r="M3">
        <v>0</v>
      </c>
      <c r="N3" t="s">
        <v>132</v>
      </c>
      <c r="O3" t="s">
        <v>146</v>
      </c>
      <c r="P3" t="s">
        <v>147</v>
      </c>
      <c r="Q3" s="1" t="s">
        <v>2276</v>
      </c>
      <c r="R3" s="1" t="s">
        <v>669</v>
      </c>
      <c r="S3" s="1" t="s">
        <v>168</v>
      </c>
      <c r="T3" t="s">
        <v>51</v>
      </c>
      <c r="X3" t="s">
        <v>148</v>
      </c>
      <c r="Y3" t="s">
        <v>2273</v>
      </c>
      <c r="Z3" t="s">
        <v>249</v>
      </c>
      <c r="AA3" t="s">
        <v>2274</v>
      </c>
      <c r="AB3" t="s">
        <v>2275</v>
      </c>
      <c r="AC3" t="s">
        <v>152</v>
      </c>
      <c r="AD3" t="s">
        <v>137</v>
      </c>
      <c r="AE3" t="s">
        <v>102</v>
      </c>
      <c r="AF3" t="s">
        <v>49</v>
      </c>
      <c r="AK3" t="s">
        <v>49</v>
      </c>
      <c r="AM3" t="s">
        <v>153</v>
      </c>
      <c r="AN3" t="s">
        <v>166</v>
      </c>
      <c r="AP3" t="s">
        <v>51</v>
      </c>
      <c r="AR3">
        <v>1</v>
      </c>
    </row>
    <row r="4" spans="1:45" x14ac:dyDescent="0.2">
      <c r="A4" t="s">
        <v>2</v>
      </c>
      <c r="B4" t="s">
        <v>145</v>
      </c>
      <c r="C4">
        <v>2023</v>
      </c>
      <c r="D4" t="s">
        <v>44</v>
      </c>
      <c r="E4" t="s">
        <v>49</v>
      </c>
      <c r="F4" t="s">
        <v>53</v>
      </c>
      <c r="G4" t="s">
        <v>86</v>
      </c>
      <c r="H4" t="s">
        <v>93</v>
      </c>
      <c r="I4">
        <v>2011</v>
      </c>
      <c r="J4">
        <v>0.42</v>
      </c>
      <c r="K4" t="s">
        <v>102</v>
      </c>
      <c r="L4">
        <v>0.6</v>
      </c>
      <c r="M4">
        <v>0</v>
      </c>
      <c r="N4" t="s">
        <v>132</v>
      </c>
      <c r="O4" t="s">
        <v>146</v>
      </c>
      <c r="P4" t="s">
        <v>147</v>
      </c>
      <c r="Q4" s="1" t="s">
        <v>2276</v>
      </c>
      <c r="R4" s="1" t="s">
        <v>669</v>
      </c>
      <c r="S4" s="1" t="s">
        <v>168</v>
      </c>
      <c r="T4" t="s">
        <v>51</v>
      </c>
      <c r="X4" t="s">
        <v>148</v>
      </c>
      <c r="Y4" t="s">
        <v>2273</v>
      </c>
      <c r="Z4" t="s">
        <v>249</v>
      </c>
      <c r="AA4" t="s">
        <v>2274</v>
      </c>
      <c r="AB4" t="s">
        <v>2275</v>
      </c>
      <c r="AC4" t="s">
        <v>152</v>
      </c>
      <c r="AD4" t="s">
        <v>137</v>
      </c>
      <c r="AE4" t="s">
        <v>102</v>
      </c>
      <c r="AF4" t="s">
        <v>49</v>
      </c>
      <c r="AK4" t="s">
        <v>49</v>
      </c>
      <c r="AM4" t="s">
        <v>153</v>
      </c>
      <c r="AN4" t="s">
        <v>155</v>
      </c>
      <c r="AP4" t="s">
        <v>157</v>
      </c>
      <c r="AR4">
        <v>1</v>
      </c>
    </row>
    <row r="5" spans="1:45" x14ac:dyDescent="0.2">
      <c r="A5" t="s">
        <v>2</v>
      </c>
      <c r="B5" t="s">
        <v>145</v>
      </c>
      <c r="C5">
        <v>2023</v>
      </c>
      <c r="D5" t="s">
        <v>44</v>
      </c>
      <c r="E5" t="s">
        <v>49</v>
      </c>
      <c r="F5" t="s">
        <v>53</v>
      </c>
      <c r="G5" t="s">
        <v>86</v>
      </c>
      <c r="H5" t="s">
        <v>93</v>
      </c>
      <c r="I5">
        <v>2011</v>
      </c>
      <c r="J5">
        <v>0.42</v>
      </c>
      <c r="K5" t="s">
        <v>102</v>
      </c>
      <c r="L5">
        <v>0.6</v>
      </c>
      <c r="M5">
        <v>0</v>
      </c>
      <c r="N5" t="s">
        <v>132</v>
      </c>
      <c r="O5" t="s">
        <v>146</v>
      </c>
      <c r="P5" t="s">
        <v>147</v>
      </c>
      <c r="Q5" s="1" t="s">
        <v>2276</v>
      </c>
      <c r="R5" s="1" t="s">
        <v>669</v>
      </c>
      <c r="S5" s="1" t="s">
        <v>168</v>
      </c>
      <c r="T5" t="s">
        <v>51</v>
      </c>
      <c r="X5" t="s">
        <v>148</v>
      </c>
      <c r="Y5" t="s">
        <v>2273</v>
      </c>
      <c r="Z5" t="s">
        <v>249</v>
      </c>
      <c r="AA5" t="s">
        <v>2274</v>
      </c>
      <c r="AB5" t="s">
        <v>2275</v>
      </c>
      <c r="AC5" t="s">
        <v>152</v>
      </c>
      <c r="AD5" t="s">
        <v>137</v>
      </c>
      <c r="AE5" t="s">
        <v>102</v>
      </c>
      <c r="AF5" t="s">
        <v>49</v>
      </c>
      <c r="AK5" t="s">
        <v>49</v>
      </c>
      <c r="AM5" t="s">
        <v>153</v>
      </c>
      <c r="AN5" t="s">
        <v>156</v>
      </c>
      <c r="AP5" t="s">
        <v>51</v>
      </c>
      <c r="AR5">
        <v>1</v>
      </c>
    </row>
    <row r="6" spans="1:45" x14ac:dyDescent="0.2">
      <c r="A6" t="s">
        <v>2</v>
      </c>
      <c r="B6" t="s">
        <v>145</v>
      </c>
      <c r="C6">
        <v>2023</v>
      </c>
      <c r="D6" t="s">
        <v>44</v>
      </c>
      <c r="E6" t="s">
        <v>49</v>
      </c>
      <c r="F6" t="s">
        <v>53</v>
      </c>
      <c r="G6" t="s">
        <v>86</v>
      </c>
      <c r="H6" t="s">
        <v>93</v>
      </c>
      <c r="I6">
        <v>2011</v>
      </c>
      <c r="J6">
        <v>0.42</v>
      </c>
      <c r="K6" t="s">
        <v>102</v>
      </c>
      <c r="L6">
        <v>0.6</v>
      </c>
      <c r="M6">
        <v>0</v>
      </c>
      <c r="N6" t="s">
        <v>132</v>
      </c>
      <c r="O6" t="s">
        <v>146</v>
      </c>
      <c r="P6" t="s">
        <v>147</v>
      </c>
      <c r="Q6" s="1" t="s">
        <v>2276</v>
      </c>
      <c r="R6" s="1" t="s">
        <v>669</v>
      </c>
      <c r="S6" s="1" t="s">
        <v>168</v>
      </c>
      <c r="T6" t="s">
        <v>51</v>
      </c>
      <c r="X6" t="s">
        <v>149</v>
      </c>
      <c r="Y6" t="s">
        <v>2273</v>
      </c>
      <c r="Z6" t="s">
        <v>249</v>
      </c>
      <c r="AA6" t="s">
        <v>2274</v>
      </c>
      <c r="AB6" t="s">
        <v>2275</v>
      </c>
      <c r="AC6" t="s">
        <v>152</v>
      </c>
      <c r="AD6" t="s">
        <v>137</v>
      </c>
      <c r="AE6" t="s">
        <v>102</v>
      </c>
      <c r="AF6" t="s">
        <v>49</v>
      </c>
      <c r="AK6" t="s">
        <v>49</v>
      </c>
      <c r="AM6" t="s">
        <v>153</v>
      </c>
      <c r="AN6" t="s">
        <v>166</v>
      </c>
      <c r="AP6" t="s">
        <v>157</v>
      </c>
      <c r="AR6">
        <v>1</v>
      </c>
    </row>
    <row r="7" spans="1:45" x14ac:dyDescent="0.2">
      <c r="A7" t="s">
        <v>2</v>
      </c>
      <c r="B7" t="s">
        <v>145</v>
      </c>
      <c r="C7">
        <v>2023</v>
      </c>
      <c r="D7" t="s">
        <v>44</v>
      </c>
      <c r="E7" t="s">
        <v>49</v>
      </c>
      <c r="F7" t="s">
        <v>53</v>
      </c>
      <c r="G7" t="s">
        <v>86</v>
      </c>
      <c r="H7" t="s">
        <v>93</v>
      </c>
      <c r="I7">
        <v>2011</v>
      </c>
      <c r="J7">
        <v>0.42</v>
      </c>
      <c r="K7" t="s">
        <v>102</v>
      </c>
      <c r="L7">
        <v>0.6</v>
      </c>
      <c r="M7">
        <v>0</v>
      </c>
      <c r="N7" t="s">
        <v>132</v>
      </c>
      <c r="O7" t="s">
        <v>146</v>
      </c>
      <c r="P7" t="s">
        <v>147</v>
      </c>
      <c r="Q7" s="1" t="s">
        <v>2276</v>
      </c>
      <c r="R7" s="1" t="s">
        <v>669</v>
      </c>
      <c r="S7" s="1" t="s">
        <v>168</v>
      </c>
      <c r="T7" t="s">
        <v>51</v>
      </c>
      <c r="X7" t="s">
        <v>149</v>
      </c>
      <c r="Y7" t="s">
        <v>2273</v>
      </c>
      <c r="Z7" t="s">
        <v>249</v>
      </c>
      <c r="AA7" t="s">
        <v>2274</v>
      </c>
      <c r="AB7" t="s">
        <v>2275</v>
      </c>
      <c r="AC7" t="s">
        <v>152</v>
      </c>
      <c r="AD7" t="s">
        <v>137</v>
      </c>
      <c r="AE7" t="s">
        <v>102</v>
      </c>
      <c r="AF7" t="s">
        <v>49</v>
      </c>
      <c r="AK7" t="s">
        <v>49</v>
      </c>
      <c r="AM7" t="s">
        <v>153</v>
      </c>
      <c r="AN7" t="s">
        <v>155</v>
      </c>
      <c r="AP7" t="s">
        <v>157</v>
      </c>
      <c r="AR7">
        <v>1</v>
      </c>
    </row>
    <row r="8" spans="1:45" x14ac:dyDescent="0.2">
      <c r="A8" t="s">
        <v>2</v>
      </c>
      <c r="B8" t="s">
        <v>145</v>
      </c>
      <c r="C8">
        <v>2023</v>
      </c>
      <c r="D8" t="s">
        <v>44</v>
      </c>
      <c r="E8" t="s">
        <v>49</v>
      </c>
      <c r="F8" t="s">
        <v>53</v>
      </c>
      <c r="G8" t="s">
        <v>86</v>
      </c>
      <c r="H8" t="s">
        <v>93</v>
      </c>
      <c r="I8">
        <v>2011</v>
      </c>
      <c r="J8">
        <v>0.42</v>
      </c>
      <c r="K8" t="s">
        <v>102</v>
      </c>
      <c r="L8">
        <v>0.6</v>
      </c>
      <c r="M8">
        <v>0</v>
      </c>
      <c r="N8" t="s">
        <v>132</v>
      </c>
      <c r="O8" t="s">
        <v>146</v>
      </c>
      <c r="P8" t="s">
        <v>147</v>
      </c>
      <c r="Q8" s="1" t="s">
        <v>2276</v>
      </c>
      <c r="R8" s="1" t="s">
        <v>669</v>
      </c>
      <c r="S8" s="1" t="s">
        <v>168</v>
      </c>
      <c r="T8" t="s">
        <v>51</v>
      </c>
      <c r="X8" t="s">
        <v>149</v>
      </c>
      <c r="Y8" t="s">
        <v>2273</v>
      </c>
      <c r="Z8" t="s">
        <v>249</v>
      </c>
      <c r="AA8" t="s">
        <v>2274</v>
      </c>
      <c r="AB8" t="s">
        <v>2275</v>
      </c>
      <c r="AC8" t="s">
        <v>152</v>
      </c>
      <c r="AD8" t="s">
        <v>137</v>
      </c>
      <c r="AE8" t="s">
        <v>102</v>
      </c>
      <c r="AF8" t="s">
        <v>49</v>
      </c>
      <c r="AK8" t="s">
        <v>49</v>
      </c>
      <c r="AM8" t="s">
        <v>153</v>
      </c>
      <c r="AN8" t="s">
        <v>156</v>
      </c>
      <c r="AP8" t="s">
        <v>157</v>
      </c>
      <c r="AR8">
        <v>1</v>
      </c>
    </row>
    <row r="9" spans="1:45" x14ac:dyDescent="0.2">
      <c r="A9" t="s">
        <v>2</v>
      </c>
      <c r="B9" t="s">
        <v>145</v>
      </c>
      <c r="C9">
        <v>2023</v>
      </c>
      <c r="D9" t="s">
        <v>44</v>
      </c>
      <c r="E9" t="s">
        <v>49</v>
      </c>
      <c r="F9" t="s">
        <v>53</v>
      </c>
      <c r="G9" t="s">
        <v>86</v>
      </c>
      <c r="H9" t="s">
        <v>93</v>
      </c>
      <c r="I9">
        <v>2011</v>
      </c>
      <c r="J9">
        <v>0.42</v>
      </c>
      <c r="K9" t="s">
        <v>102</v>
      </c>
      <c r="L9">
        <v>0.6</v>
      </c>
      <c r="M9">
        <v>0</v>
      </c>
      <c r="N9" t="s">
        <v>132</v>
      </c>
      <c r="O9" t="s">
        <v>146</v>
      </c>
      <c r="P9" t="s">
        <v>147</v>
      </c>
      <c r="Q9" s="1" t="s">
        <v>2276</v>
      </c>
      <c r="R9" s="1" t="s">
        <v>669</v>
      </c>
      <c r="S9" s="1" t="s">
        <v>168</v>
      </c>
      <c r="T9" t="s">
        <v>51</v>
      </c>
      <c r="X9" t="s">
        <v>164</v>
      </c>
      <c r="Y9" t="s">
        <v>2273</v>
      </c>
      <c r="Z9" t="s">
        <v>2356</v>
      </c>
      <c r="AA9" t="s">
        <v>2357</v>
      </c>
      <c r="AB9" t="s">
        <v>2277</v>
      </c>
      <c r="AC9" t="s">
        <v>162</v>
      </c>
      <c r="AD9" t="s">
        <v>137</v>
      </c>
      <c r="AE9" t="s">
        <v>102</v>
      </c>
      <c r="AF9" t="s">
        <v>49</v>
      </c>
      <c r="AK9" t="s">
        <v>49</v>
      </c>
      <c r="AM9" t="s">
        <v>153</v>
      </c>
      <c r="AN9" t="s">
        <v>166</v>
      </c>
      <c r="AP9" t="s">
        <v>51</v>
      </c>
      <c r="AR9">
        <v>1</v>
      </c>
    </row>
    <row r="10" spans="1:45" x14ac:dyDescent="0.2">
      <c r="A10" t="s">
        <v>2</v>
      </c>
      <c r="B10" t="s">
        <v>145</v>
      </c>
      <c r="C10">
        <v>2023</v>
      </c>
      <c r="D10" t="s">
        <v>44</v>
      </c>
      <c r="E10" t="s">
        <v>49</v>
      </c>
      <c r="F10" t="s">
        <v>53</v>
      </c>
      <c r="G10" t="s">
        <v>86</v>
      </c>
      <c r="H10" t="s">
        <v>93</v>
      </c>
      <c r="I10">
        <v>2011</v>
      </c>
      <c r="J10">
        <v>0.42</v>
      </c>
      <c r="K10" t="s">
        <v>102</v>
      </c>
      <c r="L10">
        <v>0.6</v>
      </c>
      <c r="M10">
        <v>0</v>
      </c>
      <c r="N10" t="s">
        <v>132</v>
      </c>
      <c r="O10" t="s">
        <v>146</v>
      </c>
      <c r="P10" t="s">
        <v>147</v>
      </c>
      <c r="Q10" s="1" t="s">
        <v>2276</v>
      </c>
      <c r="R10" s="1" t="s">
        <v>669</v>
      </c>
      <c r="S10" s="1" t="s">
        <v>168</v>
      </c>
      <c r="T10" t="s">
        <v>51</v>
      </c>
      <c r="X10" t="s">
        <v>164</v>
      </c>
      <c r="Y10" t="s">
        <v>2273</v>
      </c>
      <c r="Z10" t="s">
        <v>2356</v>
      </c>
      <c r="AA10" t="s">
        <v>2357</v>
      </c>
      <c r="AB10" t="s">
        <v>2277</v>
      </c>
      <c r="AC10" t="s">
        <v>162</v>
      </c>
      <c r="AD10" t="s">
        <v>137</v>
      </c>
      <c r="AE10" t="s">
        <v>102</v>
      </c>
      <c r="AF10" t="s">
        <v>49</v>
      </c>
      <c r="AK10" t="s">
        <v>49</v>
      </c>
      <c r="AM10" t="s">
        <v>153</v>
      </c>
      <c r="AN10" t="s">
        <v>154</v>
      </c>
      <c r="AP10" t="s">
        <v>51</v>
      </c>
      <c r="AR10">
        <v>1</v>
      </c>
    </row>
    <row r="11" spans="1:45" x14ac:dyDescent="0.2">
      <c r="A11" t="s">
        <v>2</v>
      </c>
      <c r="B11" t="s">
        <v>145</v>
      </c>
      <c r="C11">
        <v>2023</v>
      </c>
      <c r="D11" t="s">
        <v>44</v>
      </c>
      <c r="E11" t="s">
        <v>49</v>
      </c>
      <c r="F11" t="s">
        <v>53</v>
      </c>
      <c r="G11" t="s">
        <v>86</v>
      </c>
      <c r="H11" t="s">
        <v>93</v>
      </c>
      <c r="I11">
        <v>2011</v>
      </c>
      <c r="J11">
        <v>0.42</v>
      </c>
      <c r="K11" t="s">
        <v>102</v>
      </c>
      <c r="L11">
        <v>0.6</v>
      </c>
      <c r="M11">
        <v>0</v>
      </c>
      <c r="N11" t="s">
        <v>132</v>
      </c>
      <c r="O11" t="s">
        <v>146</v>
      </c>
      <c r="P11" t="s">
        <v>147</v>
      </c>
      <c r="Q11" s="1" t="s">
        <v>2276</v>
      </c>
      <c r="R11" s="1" t="s">
        <v>669</v>
      </c>
      <c r="S11" s="1" t="s">
        <v>168</v>
      </c>
      <c r="T11" t="s">
        <v>51</v>
      </c>
      <c r="X11" t="s">
        <v>164</v>
      </c>
      <c r="Y11" t="s">
        <v>2273</v>
      </c>
      <c r="Z11" t="s">
        <v>2356</v>
      </c>
      <c r="AA11" t="s">
        <v>2357</v>
      </c>
      <c r="AB11" t="s">
        <v>2277</v>
      </c>
      <c r="AC11" t="s">
        <v>162</v>
      </c>
      <c r="AD11" t="s">
        <v>137</v>
      </c>
      <c r="AE11" t="s">
        <v>102</v>
      </c>
      <c r="AF11" t="s">
        <v>49</v>
      </c>
      <c r="AK11" t="s">
        <v>49</v>
      </c>
      <c r="AM11" t="s">
        <v>153</v>
      </c>
      <c r="AN11" t="s">
        <v>155</v>
      </c>
      <c r="AP11" t="s">
        <v>51</v>
      </c>
      <c r="AR11">
        <v>1</v>
      </c>
    </row>
    <row r="12" spans="1:45" x14ac:dyDescent="0.2">
      <c r="A12" t="s">
        <v>3</v>
      </c>
      <c r="B12" t="s">
        <v>159</v>
      </c>
      <c r="C12">
        <v>2022</v>
      </c>
      <c r="Q12" s="1" t="s">
        <v>2272</v>
      </c>
      <c r="R12" s="1" t="s">
        <v>2272</v>
      </c>
      <c r="S12" s="1" t="s">
        <v>2272</v>
      </c>
      <c r="Y12" t="s">
        <v>2272</v>
      </c>
      <c r="Z12" t="s">
        <v>2272</v>
      </c>
      <c r="AA12" t="s">
        <v>2272</v>
      </c>
      <c r="AB12" t="s">
        <v>2272</v>
      </c>
      <c r="AD12" t="s">
        <v>2272</v>
      </c>
      <c r="AR12" t="s">
        <v>144</v>
      </c>
      <c r="AS12" t="s">
        <v>2584</v>
      </c>
    </row>
    <row r="13" spans="1:45" x14ac:dyDescent="0.2">
      <c r="A13" t="s">
        <v>4</v>
      </c>
      <c r="B13" t="s">
        <v>167</v>
      </c>
      <c r="C13">
        <v>2022</v>
      </c>
      <c r="D13" t="s">
        <v>44</v>
      </c>
      <c r="E13" t="s">
        <v>50</v>
      </c>
      <c r="F13" t="s">
        <v>54</v>
      </c>
      <c r="G13" t="s">
        <v>86</v>
      </c>
      <c r="H13" t="s">
        <v>93</v>
      </c>
      <c r="I13">
        <v>2009</v>
      </c>
      <c r="J13">
        <v>0</v>
      </c>
      <c r="K13" t="s">
        <v>101</v>
      </c>
      <c r="L13">
        <v>30</v>
      </c>
      <c r="M13">
        <v>0.04</v>
      </c>
      <c r="N13" t="s">
        <v>132</v>
      </c>
      <c r="O13" t="s">
        <v>168</v>
      </c>
      <c r="P13" t="s">
        <v>169</v>
      </c>
      <c r="Q13" s="1" t="s">
        <v>2276</v>
      </c>
      <c r="R13" s="1" t="s">
        <v>669</v>
      </c>
      <c r="S13" s="1" t="s">
        <v>168</v>
      </c>
      <c r="T13" t="s">
        <v>51</v>
      </c>
      <c r="X13" t="s">
        <v>171</v>
      </c>
      <c r="Y13" t="s">
        <v>2279</v>
      </c>
      <c r="Z13" t="s">
        <v>2280</v>
      </c>
      <c r="AA13" t="s">
        <v>2358</v>
      </c>
      <c r="AB13" t="s">
        <v>2580</v>
      </c>
      <c r="AC13" t="s">
        <v>152</v>
      </c>
      <c r="AD13" t="s">
        <v>2278</v>
      </c>
      <c r="AE13" t="s">
        <v>415</v>
      </c>
      <c r="AF13" t="s">
        <v>49</v>
      </c>
      <c r="AI13" t="s">
        <v>49</v>
      </c>
      <c r="AM13" t="s">
        <v>192</v>
      </c>
      <c r="AN13" t="s">
        <v>166</v>
      </c>
      <c r="AP13" t="s">
        <v>51</v>
      </c>
      <c r="AR13">
        <v>1</v>
      </c>
    </row>
    <row r="14" spans="1:45" x14ac:dyDescent="0.2">
      <c r="A14" t="s">
        <v>4</v>
      </c>
      <c r="B14" t="s">
        <v>167</v>
      </c>
      <c r="C14">
        <v>2022</v>
      </c>
      <c r="D14" t="s">
        <v>44</v>
      </c>
      <c r="E14" t="s">
        <v>50</v>
      </c>
      <c r="F14" t="s">
        <v>54</v>
      </c>
      <c r="G14" t="s">
        <v>86</v>
      </c>
      <c r="H14" t="s">
        <v>93</v>
      </c>
      <c r="I14">
        <v>2009</v>
      </c>
      <c r="J14">
        <v>0</v>
      </c>
      <c r="K14" t="s">
        <v>101</v>
      </c>
      <c r="L14">
        <v>30</v>
      </c>
      <c r="M14">
        <v>0.04</v>
      </c>
      <c r="N14" t="s">
        <v>123</v>
      </c>
      <c r="O14" t="s">
        <v>123</v>
      </c>
      <c r="P14" t="s">
        <v>170</v>
      </c>
      <c r="Q14" s="1" t="s">
        <v>2281</v>
      </c>
      <c r="R14" s="1" t="s">
        <v>2282</v>
      </c>
      <c r="S14" s="1" t="s">
        <v>123</v>
      </c>
      <c r="T14" t="s">
        <v>51</v>
      </c>
      <c r="X14" t="s">
        <v>171</v>
      </c>
      <c r="Y14" t="s">
        <v>2279</v>
      </c>
      <c r="Z14" t="s">
        <v>2280</v>
      </c>
      <c r="AA14" t="s">
        <v>2358</v>
      </c>
      <c r="AB14" t="s">
        <v>2580</v>
      </c>
      <c r="AC14" t="s">
        <v>152</v>
      </c>
      <c r="AD14" t="s">
        <v>2278</v>
      </c>
      <c r="AE14" t="s">
        <v>415</v>
      </c>
      <c r="AF14" t="s">
        <v>49</v>
      </c>
      <c r="AI14" t="s">
        <v>49</v>
      </c>
      <c r="AM14" t="s">
        <v>192</v>
      </c>
      <c r="AN14" t="s">
        <v>166</v>
      </c>
      <c r="AP14" t="s">
        <v>157</v>
      </c>
      <c r="AR14">
        <v>1</v>
      </c>
    </row>
    <row r="15" spans="1:45" x14ac:dyDescent="0.2">
      <c r="A15" t="s">
        <v>4</v>
      </c>
      <c r="B15" t="s">
        <v>167</v>
      </c>
      <c r="C15">
        <v>2022</v>
      </c>
      <c r="D15" t="s">
        <v>44</v>
      </c>
      <c r="E15" t="s">
        <v>50</v>
      </c>
      <c r="F15" t="s">
        <v>54</v>
      </c>
      <c r="G15" t="s">
        <v>86</v>
      </c>
      <c r="H15" t="s">
        <v>93</v>
      </c>
      <c r="I15">
        <v>2009</v>
      </c>
      <c r="J15">
        <v>0</v>
      </c>
      <c r="K15" t="s">
        <v>101</v>
      </c>
      <c r="L15">
        <v>30</v>
      </c>
      <c r="M15">
        <v>0.04</v>
      </c>
      <c r="N15" t="s">
        <v>132</v>
      </c>
      <c r="O15" t="s">
        <v>168</v>
      </c>
      <c r="P15" t="s">
        <v>169</v>
      </c>
      <c r="Q15" s="1" t="s">
        <v>2276</v>
      </c>
      <c r="R15" s="1" t="s">
        <v>669</v>
      </c>
      <c r="S15" s="1" t="s">
        <v>168</v>
      </c>
      <c r="T15" t="s">
        <v>51</v>
      </c>
      <c r="X15" t="s">
        <v>171</v>
      </c>
      <c r="Y15" t="s">
        <v>2279</v>
      </c>
      <c r="Z15" t="s">
        <v>2280</v>
      </c>
      <c r="AA15" t="s">
        <v>2358</v>
      </c>
      <c r="AB15" t="s">
        <v>2580</v>
      </c>
      <c r="AC15" t="s">
        <v>152</v>
      </c>
      <c r="AD15" t="s">
        <v>2278</v>
      </c>
      <c r="AE15" t="s">
        <v>415</v>
      </c>
      <c r="AF15" t="s">
        <v>49</v>
      </c>
      <c r="AI15" t="s">
        <v>49</v>
      </c>
      <c r="AM15" t="s">
        <v>192</v>
      </c>
      <c r="AN15" t="s">
        <v>171</v>
      </c>
      <c r="AP15" t="s">
        <v>51</v>
      </c>
      <c r="AR15">
        <v>1</v>
      </c>
    </row>
    <row r="16" spans="1:45" x14ac:dyDescent="0.2">
      <c r="A16" t="s">
        <v>4</v>
      </c>
      <c r="B16" t="s">
        <v>167</v>
      </c>
      <c r="C16">
        <v>2022</v>
      </c>
      <c r="D16" t="s">
        <v>44</v>
      </c>
      <c r="E16" t="s">
        <v>50</v>
      </c>
      <c r="F16" t="s">
        <v>54</v>
      </c>
      <c r="G16" t="s">
        <v>86</v>
      </c>
      <c r="H16" t="s">
        <v>93</v>
      </c>
      <c r="I16">
        <v>2009</v>
      </c>
      <c r="J16">
        <v>0</v>
      </c>
      <c r="K16" t="s">
        <v>101</v>
      </c>
      <c r="L16">
        <v>30</v>
      </c>
      <c r="M16">
        <v>0.04</v>
      </c>
      <c r="N16" t="s">
        <v>123</v>
      </c>
      <c r="O16" t="s">
        <v>123</v>
      </c>
      <c r="P16" t="s">
        <v>170</v>
      </c>
      <c r="Q16" s="1" t="s">
        <v>2281</v>
      </c>
      <c r="R16" s="1" t="s">
        <v>2282</v>
      </c>
      <c r="S16" s="1" t="s">
        <v>123</v>
      </c>
      <c r="T16" t="s">
        <v>51</v>
      </c>
      <c r="X16" t="s">
        <v>171</v>
      </c>
      <c r="Y16" t="s">
        <v>2279</v>
      </c>
      <c r="Z16" t="s">
        <v>2280</v>
      </c>
      <c r="AA16" t="s">
        <v>2358</v>
      </c>
      <c r="AB16" t="s">
        <v>2580</v>
      </c>
      <c r="AC16" t="s">
        <v>152</v>
      </c>
      <c r="AD16" t="s">
        <v>2278</v>
      </c>
      <c r="AE16" t="s">
        <v>415</v>
      </c>
      <c r="AF16" t="s">
        <v>49</v>
      </c>
      <c r="AI16" t="s">
        <v>49</v>
      </c>
      <c r="AM16" t="s">
        <v>192</v>
      </c>
      <c r="AN16" t="s">
        <v>171</v>
      </c>
      <c r="AP16" t="s">
        <v>157</v>
      </c>
      <c r="AR16">
        <v>1</v>
      </c>
    </row>
    <row r="17" spans="1:44" x14ac:dyDescent="0.2">
      <c r="A17" t="s">
        <v>4</v>
      </c>
      <c r="B17" t="s">
        <v>167</v>
      </c>
      <c r="C17">
        <v>2022</v>
      </c>
      <c r="D17" t="s">
        <v>44</v>
      </c>
      <c r="E17" t="s">
        <v>50</v>
      </c>
      <c r="F17" t="s">
        <v>54</v>
      </c>
      <c r="G17" t="s">
        <v>86</v>
      </c>
      <c r="H17" t="s">
        <v>93</v>
      </c>
      <c r="I17">
        <v>2009</v>
      </c>
      <c r="J17">
        <v>0</v>
      </c>
      <c r="K17" t="s">
        <v>101</v>
      </c>
      <c r="L17">
        <v>30</v>
      </c>
      <c r="M17">
        <v>0.04</v>
      </c>
      <c r="N17" t="s">
        <v>132</v>
      </c>
      <c r="O17" t="s">
        <v>168</v>
      </c>
      <c r="P17" t="s">
        <v>169</v>
      </c>
      <c r="Q17" s="1" t="s">
        <v>2276</v>
      </c>
      <c r="R17" s="1" t="s">
        <v>669</v>
      </c>
      <c r="S17" s="1" t="s">
        <v>168</v>
      </c>
      <c r="T17" t="s">
        <v>51</v>
      </c>
      <c r="X17" t="s">
        <v>171</v>
      </c>
      <c r="Y17" t="s">
        <v>2279</v>
      </c>
      <c r="Z17" t="s">
        <v>2280</v>
      </c>
      <c r="AA17" t="s">
        <v>2358</v>
      </c>
      <c r="AB17" t="s">
        <v>2580</v>
      </c>
      <c r="AC17" t="s">
        <v>152</v>
      </c>
      <c r="AD17" t="s">
        <v>2278</v>
      </c>
      <c r="AE17" t="s">
        <v>415</v>
      </c>
      <c r="AF17" t="s">
        <v>49</v>
      </c>
      <c r="AI17" t="s">
        <v>49</v>
      </c>
      <c r="AM17" t="s">
        <v>192</v>
      </c>
      <c r="AN17" t="s">
        <v>154</v>
      </c>
      <c r="AP17" t="s">
        <v>173</v>
      </c>
      <c r="AR17">
        <v>1</v>
      </c>
    </row>
    <row r="18" spans="1:44" x14ac:dyDescent="0.2">
      <c r="A18" t="s">
        <v>4</v>
      </c>
      <c r="B18" t="s">
        <v>167</v>
      </c>
      <c r="C18">
        <v>2022</v>
      </c>
      <c r="D18" t="s">
        <v>44</v>
      </c>
      <c r="E18" t="s">
        <v>50</v>
      </c>
      <c r="F18" t="s">
        <v>54</v>
      </c>
      <c r="G18" t="s">
        <v>86</v>
      </c>
      <c r="H18" t="s">
        <v>93</v>
      </c>
      <c r="I18">
        <v>2009</v>
      </c>
      <c r="J18">
        <v>0</v>
      </c>
      <c r="K18" t="s">
        <v>101</v>
      </c>
      <c r="L18">
        <v>30</v>
      </c>
      <c r="M18">
        <v>0.04</v>
      </c>
      <c r="N18" t="s">
        <v>123</v>
      </c>
      <c r="O18" t="s">
        <v>123</v>
      </c>
      <c r="P18" t="s">
        <v>170</v>
      </c>
      <c r="Q18" s="1" t="s">
        <v>2281</v>
      </c>
      <c r="R18" s="1" t="s">
        <v>2282</v>
      </c>
      <c r="S18" s="1" t="s">
        <v>123</v>
      </c>
      <c r="T18" t="s">
        <v>51</v>
      </c>
      <c r="X18" t="s">
        <v>171</v>
      </c>
      <c r="Y18" t="s">
        <v>2279</v>
      </c>
      <c r="Z18" t="s">
        <v>2280</v>
      </c>
      <c r="AA18" t="s">
        <v>2358</v>
      </c>
      <c r="AB18" t="s">
        <v>2580</v>
      </c>
      <c r="AC18" t="s">
        <v>152</v>
      </c>
      <c r="AD18" t="s">
        <v>2278</v>
      </c>
      <c r="AE18" t="s">
        <v>415</v>
      </c>
      <c r="AF18" t="s">
        <v>49</v>
      </c>
      <c r="AI18" t="s">
        <v>49</v>
      </c>
      <c r="AM18" t="s">
        <v>192</v>
      </c>
      <c r="AN18" t="s">
        <v>154</v>
      </c>
      <c r="AP18" t="s">
        <v>157</v>
      </c>
      <c r="AR18">
        <v>1</v>
      </c>
    </row>
    <row r="19" spans="1:44" x14ac:dyDescent="0.2">
      <c r="A19" t="s">
        <v>4</v>
      </c>
      <c r="B19" t="s">
        <v>167</v>
      </c>
      <c r="C19">
        <v>2022</v>
      </c>
      <c r="D19" t="s">
        <v>44</v>
      </c>
      <c r="E19" t="s">
        <v>50</v>
      </c>
      <c r="F19" t="s">
        <v>54</v>
      </c>
      <c r="G19" t="s">
        <v>86</v>
      </c>
      <c r="H19" t="s">
        <v>93</v>
      </c>
      <c r="I19">
        <v>2009</v>
      </c>
      <c r="J19">
        <v>0</v>
      </c>
      <c r="K19" t="s">
        <v>101</v>
      </c>
      <c r="L19">
        <v>30</v>
      </c>
      <c r="M19">
        <v>0.04</v>
      </c>
      <c r="N19" t="s">
        <v>132</v>
      </c>
      <c r="O19" t="s">
        <v>168</v>
      </c>
      <c r="P19" t="s">
        <v>169</v>
      </c>
      <c r="Q19" s="1" t="s">
        <v>2276</v>
      </c>
      <c r="R19" s="1" t="s">
        <v>669</v>
      </c>
      <c r="S19" s="1" t="s">
        <v>168</v>
      </c>
      <c r="T19" t="s">
        <v>396</v>
      </c>
      <c r="U19" s="1" t="s">
        <v>123</v>
      </c>
      <c r="X19" t="s">
        <v>171</v>
      </c>
      <c r="Y19" t="s">
        <v>2279</v>
      </c>
      <c r="Z19" t="s">
        <v>2280</v>
      </c>
      <c r="AA19" t="s">
        <v>2358</v>
      </c>
      <c r="AB19" t="s">
        <v>2580</v>
      </c>
      <c r="AC19" t="s">
        <v>152</v>
      </c>
      <c r="AD19" t="s">
        <v>2278</v>
      </c>
      <c r="AE19" t="s">
        <v>415</v>
      </c>
      <c r="AF19" t="s">
        <v>49</v>
      </c>
      <c r="AI19" t="s">
        <v>49</v>
      </c>
      <c r="AM19" t="s">
        <v>192</v>
      </c>
      <c r="AN19" t="s">
        <v>165</v>
      </c>
      <c r="AP19" t="s">
        <v>49</v>
      </c>
      <c r="AR19">
        <v>1</v>
      </c>
    </row>
    <row r="20" spans="1:44" x14ac:dyDescent="0.2">
      <c r="A20" t="s">
        <v>4</v>
      </c>
      <c r="B20" t="s">
        <v>167</v>
      </c>
      <c r="C20">
        <v>2022</v>
      </c>
      <c r="D20" t="s">
        <v>44</v>
      </c>
      <c r="E20" t="s">
        <v>50</v>
      </c>
      <c r="F20" t="s">
        <v>54</v>
      </c>
      <c r="G20" t="s">
        <v>86</v>
      </c>
      <c r="H20" t="s">
        <v>93</v>
      </c>
      <c r="I20">
        <v>2009</v>
      </c>
      <c r="J20">
        <v>0</v>
      </c>
      <c r="K20" t="s">
        <v>101</v>
      </c>
      <c r="L20">
        <v>30</v>
      </c>
      <c r="M20">
        <v>0.04</v>
      </c>
      <c r="N20" t="s">
        <v>123</v>
      </c>
      <c r="O20" t="s">
        <v>123</v>
      </c>
      <c r="P20" t="s">
        <v>170</v>
      </c>
      <c r="Q20" s="1" t="s">
        <v>2281</v>
      </c>
      <c r="R20" s="1" t="s">
        <v>2282</v>
      </c>
      <c r="S20" s="1" t="s">
        <v>123</v>
      </c>
      <c r="T20" t="s">
        <v>396</v>
      </c>
      <c r="U20" s="1" t="s">
        <v>168</v>
      </c>
      <c r="X20" t="s">
        <v>171</v>
      </c>
      <c r="Y20" t="s">
        <v>2279</v>
      </c>
      <c r="Z20" t="s">
        <v>2280</v>
      </c>
      <c r="AA20" t="s">
        <v>2358</v>
      </c>
      <c r="AB20" t="s">
        <v>2580</v>
      </c>
      <c r="AC20" t="s">
        <v>152</v>
      </c>
      <c r="AD20" t="s">
        <v>2278</v>
      </c>
      <c r="AE20" t="s">
        <v>415</v>
      </c>
      <c r="AF20" t="s">
        <v>49</v>
      </c>
      <c r="AI20" t="s">
        <v>49</v>
      </c>
      <c r="AM20" t="s">
        <v>192</v>
      </c>
      <c r="AN20" t="s">
        <v>165</v>
      </c>
      <c r="AP20" t="s">
        <v>49</v>
      </c>
      <c r="AR20">
        <v>1</v>
      </c>
    </row>
    <row r="21" spans="1:44" x14ac:dyDescent="0.2">
      <c r="A21" t="s">
        <v>4</v>
      </c>
      <c r="B21" t="s">
        <v>167</v>
      </c>
      <c r="C21">
        <v>2022</v>
      </c>
      <c r="D21" t="s">
        <v>44</v>
      </c>
      <c r="E21" t="s">
        <v>50</v>
      </c>
      <c r="F21" t="s">
        <v>54</v>
      </c>
      <c r="G21" t="s">
        <v>86</v>
      </c>
      <c r="H21" t="s">
        <v>93</v>
      </c>
      <c r="I21">
        <v>2009</v>
      </c>
      <c r="J21">
        <v>0</v>
      </c>
      <c r="K21" t="s">
        <v>101</v>
      </c>
      <c r="L21">
        <v>30</v>
      </c>
      <c r="M21">
        <v>0.04</v>
      </c>
      <c r="N21" t="s">
        <v>132</v>
      </c>
      <c r="O21" t="s">
        <v>168</v>
      </c>
      <c r="P21" t="s">
        <v>169</v>
      </c>
      <c r="Q21" s="1" t="s">
        <v>2276</v>
      </c>
      <c r="R21" s="1" t="s">
        <v>669</v>
      </c>
      <c r="S21" s="1" t="s">
        <v>168</v>
      </c>
      <c r="T21" t="s">
        <v>396</v>
      </c>
      <c r="U21" t="s">
        <v>123</v>
      </c>
      <c r="X21" t="s">
        <v>161</v>
      </c>
      <c r="Y21" t="s">
        <v>2272</v>
      </c>
      <c r="Z21" t="s">
        <v>2272</v>
      </c>
      <c r="AA21" t="s">
        <v>2272</v>
      </c>
      <c r="AB21" t="s">
        <v>2272</v>
      </c>
      <c r="AC21" t="s">
        <v>162</v>
      </c>
      <c r="AD21" t="s">
        <v>2272</v>
      </c>
      <c r="AE21" t="s">
        <v>415</v>
      </c>
      <c r="AF21" t="s">
        <v>49</v>
      </c>
      <c r="AI21" t="s">
        <v>49</v>
      </c>
      <c r="AM21" t="s">
        <v>192</v>
      </c>
      <c r="AN21" t="s">
        <v>154</v>
      </c>
      <c r="AQ21" s="5">
        <v>2</v>
      </c>
      <c r="AR21">
        <v>1</v>
      </c>
    </row>
    <row r="22" spans="1:44" x14ac:dyDescent="0.2">
      <c r="A22" t="s">
        <v>4</v>
      </c>
      <c r="B22" t="s">
        <v>167</v>
      </c>
      <c r="C22">
        <v>2022</v>
      </c>
      <c r="D22" t="s">
        <v>44</v>
      </c>
      <c r="E22" t="s">
        <v>50</v>
      </c>
      <c r="F22" t="s">
        <v>54</v>
      </c>
      <c r="G22" t="s">
        <v>86</v>
      </c>
      <c r="H22" t="s">
        <v>93</v>
      </c>
      <c r="I22">
        <v>2009</v>
      </c>
      <c r="J22">
        <v>0</v>
      </c>
      <c r="K22" t="s">
        <v>101</v>
      </c>
      <c r="L22">
        <v>30</v>
      </c>
      <c r="M22">
        <v>0.04</v>
      </c>
      <c r="N22" t="s">
        <v>123</v>
      </c>
      <c r="O22" t="s">
        <v>123</v>
      </c>
      <c r="P22" t="s">
        <v>170</v>
      </c>
      <c r="Q22" s="1" t="s">
        <v>2281</v>
      </c>
      <c r="R22" s="1" t="s">
        <v>2282</v>
      </c>
      <c r="S22" s="1" t="s">
        <v>123</v>
      </c>
      <c r="T22" t="s">
        <v>396</v>
      </c>
      <c r="U22" t="s">
        <v>168</v>
      </c>
      <c r="X22" t="s">
        <v>161</v>
      </c>
      <c r="Y22" t="s">
        <v>2272</v>
      </c>
      <c r="Z22" t="s">
        <v>2272</v>
      </c>
      <c r="AA22" t="s">
        <v>2272</v>
      </c>
      <c r="AB22" t="s">
        <v>2272</v>
      </c>
      <c r="AC22" t="s">
        <v>162</v>
      </c>
      <c r="AD22" t="s">
        <v>2272</v>
      </c>
      <c r="AE22" t="s">
        <v>415</v>
      </c>
      <c r="AF22" t="s">
        <v>49</v>
      </c>
      <c r="AI22" t="s">
        <v>49</v>
      </c>
      <c r="AM22" t="s">
        <v>192</v>
      </c>
      <c r="AN22" t="s">
        <v>154</v>
      </c>
      <c r="AQ22" s="5">
        <v>1</v>
      </c>
      <c r="AR22">
        <v>1</v>
      </c>
    </row>
    <row r="23" spans="1:44" x14ac:dyDescent="0.2">
      <c r="A23" t="s">
        <v>4</v>
      </c>
      <c r="B23" t="s">
        <v>167</v>
      </c>
      <c r="C23">
        <v>2022</v>
      </c>
      <c r="D23" t="s">
        <v>44</v>
      </c>
      <c r="E23" t="s">
        <v>50</v>
      </c>
      <c r="F23" t="s">
        <v>54</v>
      </c>
      <c r="G23" t="s">
        <v>86</v>
      </c>
      <c r="H23" t="s">
        <v>93</v>
      </c>
      <c r="I23">
        <v>2009</v>
      </c>
      <c r="J23">
        <v>0</v>
      </c>
      <c r="K23" t="s">
        <v>101</v>
      </c>
      <c r="L23">
        <v>30</v>
      </c>
      <c r="M23">
        <v>0.04</v>
      </c>
      <c r="N23" t="s">
        <v>132</v>
      </c>
      <c r="O23" t="s">
        <v>168</v>
      </c>
      <c r="P23" t="s">
        <v>169</v>
      </c>
      <c r="Q23" s="1" t="s">
        <v>2276</v>
      </c>
      <c r="R23" s="1" t="s">
        <v>669</v>
      </c>
      <c r="S23" s="1" t="s">
        <v>168</v>
      </c>
      <c r="T23" t="s">
        <v>396</v>
      </c>
      <c r="U23" t="s">
        <v>123</v>
      </c>
      <c r="X23" t="s">
        <v>161</v>
      </c>
      <c r="Y23" t="s">
        <v>2272</v>
      </c>
      <c r="Z23" t="s">
        <v>2272</v>
      </c>
      <c r="AA23" t="s">
        <v>2272</v>
      </c>
      <c r="AB23" t="s">
        <v>2272</v>
      </c>
      <c r="AC23" t="s">
        <v>162</v>
      </c>
      <c r="AD23" t="s">
        <v>2272</v>
      </c>
      <c r="AE23" t="s">
        <v>415</v>
      </c>
      <c r="AF23" t="s">
        <v>49</v>
      </c>
      <c r="AI23" t="s">
        <v>49</v>
      </c>
      <c r="AM23" t="s">
        <v>192</v>
      </c>
      <c r="AN23" t="s">
        <v>166</v>
      </c>
      <c r="AQ23" s="5">
        <v>2</v>
      </c>
      <c r="AR23">
        <v>1</v>
      </c>
    </row>
    <row r="24" spans="1:44" x14ac:dyDescent="0.2">
      <c r="A24" t="s">
        <v>4</v>
      </c>
      <c r="B24" t="s">
        <v>167</v>
      </c>
      <c r="C24">
        <v>2022</v>
      </c>
      <c r="D24" t="s">
        <v>44</v>
      </c>
      <c r="E24" t="s">
        <v>50</v>
      </c>
      <c r="F24" t="s">
        <v>54</v>
      </c>
      <c r="G24" t="s">
        <v>86</v>
      </c>
      <c r="H24" t="s">
        <v>93</v>
      </c>
      <c r="I24">
        <v>2009</v>
      </c>
      <c r="J24">
        <v>0</v>
      </c>
      <c r="K24" t="s">
        <v>101</v>
      </c>
      <c r="L24">
        <v>30</v>
      </c>
      <c r="M24">
        <v>0.04</v>
      </c>
      <c r="N24" t="s">
        <v>123</v>
      </c>
      <c r="O24" t="s">
        <v>123</v>
      </c>
      <c r="P24" t="s">
        <v>170</v>
      </c>
      <c r="Q24" s="1" t="s">
        <v>2281</v>
      </c>
      <c r="R24" s="1" t="s">
        <v>2282</v>
      </c>
      <c r="S24" s="1" t="s">
        <v>123</v>
      </c>
      <c r="T24" t="s">
        <v>396</v>
      </c>
      <c r="U24" t="s">
        <v>168</v>
      </c>
      <c r="X24" t="s">
        <v>161</v>
      </c>
      <c r="Y24" t="s">
        <v>2272</v>
      </c>
      <c r="Z24" t="s">
        <v>2272</v>
      </c>
      <c r="AA24" t="s">
        <v>2272</v>
      </c>
      <c r="AB24" t="s">
        <v>2272</v>
      </c>
      <c r="AC24" t="s">
        <v>162</v>
      </c>
      <c r="AD24" t="s">
        <v>2272</v>
      </c>
      <c r="AE24" t="s">
        <v>415</v>
      </c>
      <c r="AF24" t="s">
        <v>49</v>
      </c>
      <c r="AI24" t="s">
        <v>49</v>
      </c>
      <c r="AM24" t="s">
        <v>192</v>
      </c>
      <c r="AN24" t="s">
        <v>166</v>
      </c>
      <c r="AQ24" s="5">
        <v>1</v>
      </c>
      <c r="AR24">
        <v>1</v>
      </c>
    </row>
    <row r="25" spans="1:44" x14ac:dyDescent="0.2">
      <c r="A25" t="s">
        <v>4</v>
      </c>
      <c r="B25" t="s">
        <v>167</v>
      </c>
      <c r="C25">
        <v>2022</v>
      </c>
      <c r="D25" t="s">
        <v>44</v>
      </c>
      <c r="E25" t="s">
        <v>50</v>
      </c>
      <c r="F25" t="s">
        <v>54</v>
      </c>
      <c r="G25" t="s">
        <v>86</v>
      </c>
      <c r="H25" t="s">
        <v>93</v>
      </c>
      <c r="I25">
        <v>2009</v>
      </c>
      <c r="J25">
        <v>0</v>
      </c>
      <c r="K25" t="s">
        <v>101</v>
      </c>
      <c r="L25">
        <v>30</v>
      </c>
      <c r="M25">
        <v>0.04</v>
      </c>
      <c r="N25" t="s">
        <v>132</v>
      </c>
      <c r="O25" t="s">
        <v>168</v>
      </c>
      <c r="P25" t="s">
        <v>169</v>
      </c>
      <c r="Q25" s="1" t="s">
        <v>2276</v>
      </c>
      <c r="R25" s="1" t="s">
        <v>669</v>
      </c>
      <c r="S25" s="1" t="s">
        <v>168</v>
      </c>
      <c r="T25" t="s">
        <v>396</v>
      </c>
      <c r="U25" t="s">
        <v>123</v>
      </c>
      <c r="X25" t="s">
        <v>161</v>
      </c>
      <c r="Y25" t="s">
        <v>2272</v>
      </c>
      <c r="Z25" t="s">
        <v>2272</v>
      </c>
      <c r="AA25" t="s">
        <v>2272</v>
      </c>
      <c r="AB25" t="s">
        <v>2272</v>
      </c>
      <c r="AC25" t="s">
        <v>162</v>
      </c>
      <c r="AD25" t="s">
        <v>2272</v>
      </c>
      <c r="AE25" t="s">
        <v>415</v>
      </c>
      <c r="AF25" t="s">
        <v>49</v>
      </c>
      <c r="AI25" t="s">
        <v>49</v>
      </c>
      <c r="AM25" t="s">
        <v>192</v>
      </c>
      <c r="AN25" t="s">
        <v>171</v>
      </c>
      <c r="AQ25" s="5">
        <v>2</v>
      </c>
      <c r="AR25">
        <v>1</v>
      </c>
    </row>
    <row r="26" spans="1:44" x14ac:dyDescent="0.2">
      <c r="A26" t="s">
        <v>4</v>
      </c>
      <c r="B26" t="s">
        <v>167</v>
      </c>
      <c r="C26">
        <v>2022</v>
      </c>
      <c r="D26" t="s">
        <v>44</v>
      </c>
      <c r="E26" t="s">
        <v>50</v>
      </c>
      <c r="F26" t="s">
        <v>54</v>
      </c>
      <c r="G26" t="s">
        <v>86</v>
      </c>
      <c r="H26" t="s">
        <v>93</v>
      </c>
      <c r="I26">
        <v>2009</v>
      </c>
      <c r="J26">
        <v>0</v>
      </c>
      <c r="K26" t="s">
        <v>101</v>
      </c>
      <c r="L26">
        <v>30</v>
      </c>
      <c r="M26">
        <v>0.04</v>
      </c>
      <c r="N26" t="s">
        <v>123</v>
      </c>
      <c r="O26" t="s">
        <v>123</v>
      </c>
      <c r="P26" t="s">
        <v>170</v>
      </c>
      <c r="Q26" s="1" t="s">
        <v>2281</v>
      </c>
      <c r="R26" s="1" t="s">
        <v>2282</v>
      </c>
      <c r="S26" s="1" t="s">
        <v>123</v>
      </c>
      <c r="T26" t="s">
        <v>396</v>
      </c>
      <c r="U26" t="s">
        <v>168</v>
      </c>
      <c r="X26" t="s">
        <v>161</v>
      </c>
      <c r="Y26" t="s">
        <v>2272</v>
      </c>
      <c r="Z26" t="s">
        <v>2272</v>
      </c>
      <c r="AA26" t="s">
        <v>2272</v>
      </c>
      <c r="AB26" t="s">
        <v>2272</v>
      </c>
      <c r="AC26" t="s">
        <v>162</v>
      </c>
      <c r="AD26" t="s">
        <v>2272</v>
      </c>
      <c r="AE26" t="s">
        <v>415</v>
      </c>
      <c r="AF26" t="s">
        <v>49</v>
      </c>
      <c r="AI26" t="s">
        <v>49</v>
      </c>
      <c r="AM26" t="s">
        <v>192</v>
      </c>
      <c r="AN26" t="s">
        <v>171</v>
      </c>
      <c r="AQ26" s="5">
        <v>1</v>
      </c>
      <c r="AR26">
        <v>1</v>
      </c>
    </row>
    <row r="27" spans="1:44" x14ac:dyDescent="0.2">
      <c r="A27" t="s">
        <v>5</v>
      </c>
      <c r="B27" t="s">
        <v>174</v>
      </c>
      <c r="C27">
        <v>2022</v>
      </c>
      <c r="D27" t="s">
        <v>44</v>
      </c>
      <c r="E27" t="s">
        <v>49</v>
      </c>
      <c r="F27" t="s">
        <v>55</v>
      </c>
      <c r="G27" t="s">
        <v>88</v>
      </c>
      <c r="H27" t="s">
        <v>93</v>
      </c>
      <c r="I27">
        <v>2018</v>
      </c>
      <c r="J27">
        <v>0</v>
      </c>
      <c r="K27" t="s">
        <v>101</v>
      </c>
      <c r="L27">
        <v>18</v>
      </c>
      <c r="M27">
        <v>4</v>
      </c>
      <c r="N27" t="s">
        <v>125</v>
      </c>
      <c r="O27" t="s">
        <v>125</v>
      </c>
      <c r="P27" t="s">
        <v>180</v>
      </c>
      <c r="Q27" s="1" t="s">
        <v>2276</v>
      </c>
      <c r="R27" s="1" t="s">
        <v>751</v>
      </c>
      <c r="S27" s="1" t="s">
        <v>2345</v>
      </c>
      <c r="T27" t="s">
        <v>51</v>
      </c>
      <c r="X27" t="s">
        <v>175</v>
      </c>
      <c r="Y27" t="s">
        <v>2273</v>
      </c>
      <c r="Z27" t="s">
        <v>249</v>
      </c>
      <c r="AA27" t="s">
        <v>2274</v>
      </c>
      <c r="AB27" t="s">
        <v>2283</v>
      </c>
      <c r="AC27" t="s">
        <v>152</v>
      </c>
      <c r="AD27" t="s">
        <v>137</v>
      </c>
      <c r="AE27" t="s">
        <v>92</v>
      </c>
      <c r="AF27" t="s">
        <v>49</v>
      </c>
      <c r="AI27" t="s">
        <v>49</v>
      </c>
      <c r="AM27" t="s">
        <v>179</v>
      </c>
      <c r="AN27" t="s">
        <v>166</v>
      </c>
      <c r="AP27" t="s">
        <v>51</v>
      </c>
    </row>
    <row r="28" spans="1:44" x14ac:dyDescent="0.2">
      <c r="A28" t="s">
        <v>5</v>
      </c>
      <c r="B28" t="s">
        <v>174</v>
      </c>
      <c r="C28">
        <v>2022</v>
      </c>
      <c r="D28" t="s">
        <v>44</v>
      </c>
      <c r="E28" t="s">
        <v>49</v>
      </c>
      <c r="F28" t="s">
        <v>55</v>
      </c>
      <c r="G28" t="s">
        <v>88</v>
      </c>
      <c r="H28" t="s">
        <v>93</v>
      </c>
      <c r="I28">
        <v>2018</v>
      </c>
      <c r="J28">
        <v>0</v>
      </c>
      <c r="K28" t="s">
        <v>101</v>
      </c>
      <c r="L28">
        <v>18</v>
      </c>
      <c r="M28">
        <v>4</v>
      </c>
      <c r="N28" t="s">
        <v>125</v>
      </c>
      <c r="O28" t="s">
        <v>125</v>
      </c>
      <c r="P28" t="s">
        <v>180</v>
      </c>
      <c r="Q28" s="1" t="s">
        <v>2276</v>
      </c>
      <c r="R28" s="1" t="s">
        <v>751</v>
      </c>
      <c r="S28" s="1" t="s">
        <v>2345</v>
      </c>
      <c r="T28" t="s">
        <v>51</v>
      </c>
      <c r="X28" t="s">
        <v>176</v>
      </c>
      <c r="Y28" t="s">
        <v>2273</v>
      </c>
      <c r="Z28" t="s">
        <v>249</v>
      </c>
      <c r="AA28" t="s">
        <v>2359</v>
      </c>
      <c r="AB28" t="s">
        <v>2285</v>
      </c>
      <c r="AC28" t="s">
        <v>152</v>
      </c>
      <c r="AD28" t="s">
        <v>137</v>
      </c>
      <c r="AE28" t="s">
        <v>92</v>
      </c>
      <c r="AF28" t="s">
        <v>49</v>
      </c>
      <c r="AI28" t="s">
        <v>49</v>
      </c>
      <c r="AM28" t="s">
        <v>179</v>
      </c>
      <c r="AN28" t="s">
        <v>166</v>
      </c>
      <c r="AP28" t="s">
        <v>51</v>
      </c>
    </row>
    <row r="29" spans="1:44" x14ac:dyDescent="0.2">
      <c r="A29" t="s">
        <v>5</v>
      </c>
      <c r="B29" t="s">
        <v>174</v>
      </c>
      <c r="C29">
        <v>2022</v>
      </c>
      <c r="D29" t="s">
        <v>44</v>
      </c>
      <c r="E29" t="s">
        <v>49</v>
      </c>
      <c r="F29" t="s">
        <v>55</v>
      </c>
      <c r="G29" t="s">
        <v>88</v>
      </c>
      <c r="H29" t="s">
        <v>93</v>
      </c>
      <c r="I29">
        <v>2018</v>
      </c>
      <c r="J29">
        <v>0</v>
      </c>
      <c r="K29" t="s">
        <v>101</v>
      </c>
      <c r="L29">
        <v>18</v>
      </c>
      <c r="M29">
        <v>4</v>
      </c>
      <c r="N29" t="s">
        <v>125</v>
      </c>
      <c r="O29" t="s">
        <v>125</v>
      </c>
      <c r="P29" t="s">
        <v>180</v>
      </c>
      <c r="Q29" s="1" t="s">
        <v>2276</v>
      </c>
      <c r="R29" s="1" t="s">
        <v>751</v>
      </c>
      <c r="S29" s="1" t="s">
        <v>2345</v>
      </c>
      <c r="T29" t="s">
        <v>51</v>
      </c>
      <c r="X29" t="s">
        <v>177</v>
      </c>
      <c r="Y29" t="s">
        <v>2273</v>
      </c>
      <c r="Z29" t="s">
        <v>249</v>
      </c>
      <c r="AA29" t="s">
        <v>2359</v>
      </c>
      <c r="AB29" t="s">
        <v>1419</v>
      </c>
      <c r="AC29" t="s">
        <v>152</v>
      </c>
      <c r="AD29" t="s">
        <v>137</v>
      </c>
      <c r="AE29" t="s">
        <v>92</v>
      </c>
      <c r="AF29" t="s">
        <v>49</v>
      </c>
      <c r="AI29" t="s">
        <v>49</v>
      </c>
      <c r="AM29" t="s">
        <v>179</v>
      </c>
      <c r="AN29" t="s">
        <v>166</v>
      </c>
      <c r="AP29" t="s">
        <v>157</v>
      </c>
    </row>
    <row r="30" spans="1:44" x14ac:dyDescent="0.2">
      <c r="A30" t="s">
        <v>5</v>
      </c>
      <c r="B30" t="s">
        <v>174</v>
      </c>
      <c r="C30">
        <v>2022</v>
      </c>
      <c r="D30" t="s">
        <v>44</v>
      </c>
      <c r="E30" t="s">
        <v>49</v>
      </c>
      <c r="F30" t="s">
        <v>55</v>
      </c>
      <c r="G30" t="s">
        <v>88</v>
      </c>
      <c r="H30" t="s">
        <v>93</v>
      </c>
      <c r="I30">
        <v>2018</v>
      </c>
      <c r="J30">
        <v>0</v>
      </c>
      <c r="K30" t="s">
        <v>101</v>
      </c>
      <c r="L30">
        <v>18</v>
      </c>
      <c r="M30">
        <v>4</v>
      </c>
      <c r="N30" t="s">
        <v>125</v>
      </c>
      <c r="O30" t="s">
        <v>125</v>
      </c>
      <c r="P30" t="s">
        <v>180</v>
      </c>
      <c r="Q30" s="1" t="s">
        <v>2276</v>
      </c>
      <c r="R30" s="1" t="s">
        <v>751</v>
      </c>
      <c r="S30" s="1" t="s">
        <v>2345</v>
      </c>
      <c r="T30" t="s">
        <v>51</v>
      </c>
      <c r="X30" t="s">
        <v>178</v>
      </c>
      <c r="Y30" t="s">
        <v>2273</v>
      </c>
      <c r="Z30" t="s">
        <v>249</v>
      </c>
      <c r="AA30" t="s">
        <v>2274</v>
      </c>
      <c r="AB30" t="s">
        <v>2283</v>
      </c>
      <c r="AC30" t="s">
        <v>315</v>
      </c>
      <c r="AD30" t="s">
        <v>137</v>
      </c>
      <c r="AE30" t="s">
        <v>92</v>
      </c>
      <c r="AF30" t="s">
        <v>49</v>
      </c>
      <c r="AI30" t="s">
        <v>49</v>
      </c>
      <c r="AM30" t="s">
        <v>179</v>
      </c>
      <c r="AN30" t="s">
        <v>166</v>
      </c>
      <c r="AP30" t="s">
        <v>51</v>
      </c>
    </row>
    <row r="31" spans="1:44" x14ac:dyDescent="0.2">
      <c r="A31" t="s">
        <v>5</v>
      </c>
      <c r="B31" t="s">
        <v>174</v>
      </c>
      <c r="C31">
        <v>2022</v>
      </c>
      <c r="D31" t="s">
        <v>44</v>
      </c>
      <c r="E31" t="s">
        <v>49</v>
      </c>
      <c r="F31" t="s">
        <v>55</v>
      </c>
      <c r="G31" t="s">
        <v>88</v>
      </c>
      <c r="H31" t="s">
        <v>93</v>
      </c>
      <c r="I31">
        <v>2018</v>
      </c>
      <c r="J31">
        <v>0</v>
      </c>
      <c r="K31" t="s">
        <v>101</v>
      </c>
      <c r="L31">
        <v>18</v>
      </c>
      <c r="M31">
        <v>4</v>
      </c>
      <c r="N31" t="s">
        <v>125</v>
      </c>
      <c r="O31" t="s">
        <v>125</v>
      </c>
      <c r="P31" t="s">
        <v>180</v>
      </c>
      <c r="Q31" s="1" t="s">
        <v>2276</v>
      </c>
      <c r="R31" s="1" t="s">
        <v>751</v>
      </c>
      <c r="S31" s="1" t="s">
        <v>2345</v>
      </c>
      <c r="T31" t="s">
        <v>51</v>
      </c>
      <c r="X31" t="s">
        <v>175</v>
      </c>
      <c r="Y31" t="s">
        <v>2273</v>
      </c>
      <c r="Z31" t="s">
        <v>249</v>
      </c>
      <c r="AA31" t="s">
        <v>2274</v>
      </c>
      <c r="AB31" t="s">
        <v>2283</v>
      </c>
      <c r="AC31" t="s">
        <v>152</v>
      </c>
      <c r="AD31" t="s">
        <v>137</v>
      </c>
      <c r="AE31" t="s">
        <v>92</v>
      </c>
      <c r="AF31" t="s">
        <v>49</v>
      </c>
      <c r="AI31" t="s">
        <v>49</v>
      </c>
      <c r="AM31" t="s">
        <v>179</v>
      </c>
      <c r="AN31" t="s">
        <v>154</v>
      </c>
    </row>
    <row r="32" spans="1:44" x14ac:dyDescent="0.2">
      <c r="A32" t="s">
        <v>5</v>
      </c>
      <c r="B32" t="s">
        <v>174</v>
      </c>
      <c r="C32">
        <v>2022</v>
      </c>
      <c r="D32" t="s">
        <v>44</v>
      </c>
      <c r="E32" t="s">
        <v>49</v>
      </c>
      <c r="F32" t="s">
        <v>55</v>
      </c>
      <c r="G32" t="s">
        <v>88</v>
      </c>
      <c r="H32" t="s">
        <v>93</v>
      </c>
      <c r="I32">
        <v>2018</v>
      </c>
      <c r="J32">
        <v>0</v>
      </c>
      <c r="K32" t="s">
        <v>101</v>
      </c>
      <c r="L32">
        <v>18</v>
      </c>
      <c r="M32">
        <v>4</v>
      </c>
      <c r="N32" t="s">
        <v>125</v>
      </c>
      <c r="O32" t="s">
        <v>125</v>
      </c>
      <c r="P32" t="s">
        <v>180</v>
      </c>
      <c r="Q32" s="1" t="s">
        <v>2276</v>
      </c>
      <c r="R32" s="1" t="s">
        <v>751</v>
      </c>
      <c r="S32" s="1" t="s">
        <v>2345</v>
      </c>
      <c r="T32" t="s">
        <v>51</v>
      </c>
      <c r="X32" t="s">
        <v>176</v>
      </c>
      <c r="Y32" t="s">
        <v>2273</v>
      </c>
      <c r="Z32" t="s">
        <v>249</v>
      </c>
      <c r="AA32" t="s">
        <v>2359</v>
      </c>
      <c r="AB32" t="s">
        <v>2285</v>
      </c>
      <c r="AC32" t="s">
        <v>152</v>
      </c>
      <c r="AD32" t="s">
        <v>137</v>
      </c>
      <c r="AE32" t="s">
        <v>92</v>
      </c>
      <c r="AF32" t="s">
        <v>49</v>
      </c>
      <c r="AI32" t="s">
        <v>49</v>
      </c>
      <c r="AM32" t="s">
        <v>179</v>
      </c>
      <c r="AN32" t="s">
        <v>154</v>
      </c>
    </row>
    <row r="33" spans="1:45" x14ac:dyDescent="0.2">
      <c r="A33" t="s">
        <v>5</v>
      </c>
      <c r="B33" t="s">
        <v>174</v>
      </c>
      <c r="C33">
        <v>2022</v>
      </c>
      <c r="D33" t="s">
        <v>44</v>
      </c>
      <c r="E33" t="s">
        <v>49</v>
      </c>
      <c r="F33" t="s">
        <v>55</v>
      </c>
      <c r="G33" t="s">
        <v>88</v>
      </c>
      <c r="H33" t="s">
        <v>93</v>
      </c>
      <c r="I33">
        <v>2018</v>
      </c>
      <c r="J33">
        <v>0</v>
      </c>
      <c r="K33" t="s">
        <v>101</v>
      </c>
      <c r="L33">
        <v>18</v>
      </c>
      <c r="M33">
        <v>4</v>
      </c>
      <c r="N33" t="s">
        <v>125</v>
      </c>
      <c r="O33" t="s">
        <v>125</v>
      </c>
      <c r="P33" t="s">
        <v>180</v>
      </c>
      <c r="Q33" s="1" t="s">
        <v>2276</v>
      </c>
      <c r="R33" s="1" t="s">
        <v>751</v>
      </c>
      <c r="S33" s="1" t="s">
        <v>2345</v>
      </c>
      <c r="T33" t="s">
        <v>51</v>
      </c>
      <c r="X33" t="s">
        <v>177</v>
      </c>
      <c r="Y33" t="s">
        <v>2273</v>
      </c>
      <c r="Z33" t="s">
        <v>249</v>
      </c>
      <c r="AA33" t="s">
        <v>2359</v>
      </c>
      <c r="AB33" t="s">
        <v>1419</v>
      </c>
      <c r="AC33" t="s">
        <v>152</v>
      </c>
      <c r="AD33" t="s">
        <v>137</v>
      </c>
      <c r="AE33" t="s">
        <v>92</v>
      </c>
      <c r="AF33" t="s">
        <v>49</v>
      </c>
      <c r="AI33" t="s">
        <v>49</v>
      </c>
      <c r="AM33" t="s">
        <v>179</v>
      </c>
      <c r="AN33" t="s">
        <v>154</v>
      </c>
    </row>
    <row r="34" spans="1:45" x14ac:dyDescent="0.2">
      <c r="A34" t="s">
        <v>5</v>
      </c>
      <c r="B34" t="s">
        <v>174</v>
      </c>
      <c r="C34">
        <v>2022</v>
      </c>
      <c r="D34" t="s">
        <v>44</v>
      </c>
      <c r="E34" t="s">
        <v>49</v>
      </c>
      <c r="F34" t="s">
        <v>55</v>
      </c>
      <c r="G34" t="s">
        <v>88</v>
      </c>
      <c r="H34" t="s">
        <v>93</v>
      </c>
      <c r="I34">
        <v>2018</v>
      </c>
      <c r="J34">
        <v>0</v>
      </c>
      <c r="K34" t="s">
        <v>101</v>
      </c>
      <c r="L34">
        <v>18</v>
      </c>
      <c r="M34">
        <v>4</v>
      </c>
      <c r="N34" t="s">
        <v>125</v>
      </c>
      <c r="O34" t="s">
        <v>125</v>
      </c>
      <c r="P34" t="s">
        <v>180</v>
      </c>
      <c r="Q34" s="1" t="s">
        <v>2276</v>
      </c>
      <c r="R34" s="1" t="s">
        <v>751</v>
      </c>
      <c r="S34" s="1" t="s">
        <v>2345</v>
      </c>
      <c r="T34" t="s">
        <v>51</v>
      </c>
      <c r="X34" t="s">
        <v>178</v>
      </c>
      <c r="Y34" t="s">
        <v>2273</v>
      </c>
      <c r="Z34" t="s">
        <v>249</v>
      </c>
      <c r="AA34" t="s">
        <v>2274</v>
      </c>
      <c r="AB34" t="s">
        <v>2283</v>
      </c>
      <c r="AC34" t="s">
        <v>315</v>
      </c>
      <c r="AD34" t="s">
        <v>137</v>
      </c>
      <c r="AE34" t="s">
        <v>92</v>
      </c>
      <c r="AF34" t="s">
        <v>49</v>
      </c>
      <c r="AI34" t="s">
        <v>49</v>
      </c>
      <c r="AM34" t="s">
        <v>179</v>
      </c>
      <c r="AN34" t="s">
        <v>154</v>
      </c>
    </row>
    <row r="35" spans="1:45" x14ac:dyDescent="0.2">
      <c r="A35" t="s">
        <v>5</v>
      </c>
      <c r="B35" t="s">
        <v>174</v>
      </c>
      <c r="C35">
        <v>2022</v>
      </c>
      <c r="D35" t="s">
        <v>44</v>
      </c>
      <c r="E35" t="s">
        <v>49</v>
      </c>
      <c r="F35" t="s">
        <v>55</v>
      </c>
      <c r="G35" t="s">
        <v>88</v>
      </c>
      <c r="H35" t="s">
        <v>93</v>
      </c>
      <c r="I35">
        <v>2018</v>
      </c>
      <c r="J35">
        <v>0</v>
      </c>
      <c r="K35" t="s">
        <v>101</v>
      </c>
      <c r="L35">
        <v>18</v>
      </c>
      <c r="M35">
        <v>4</v>
      </c>
      <c r="N35" t="s">
        <v>125</v>
      </c>
      <c r="O35" t="s">
        <v>125</v>
      </c>
      <c r="P35" t="s">
        <v>180</v>
      </c>
      <c r="Q35" s="1" t="s">
        <v>2276</v>
      </c>
      <c r="R35" s="1" t="s">
        <v>751</v>
      </c>
      <c r="S35" s="1" t="s">
        <v>2345</v>
      </c>
      <c r="T35" t="s">
        <v>51</v>
      </c>
      <c r="X35" t="s">
        <v>175</v>
      </c>
      <c r="Y35" t="s">
        <v>2273</v>
      </c>
      <c r="Z35" t="s">
        <v>249</v>
      </c>
      <c r="AA35" t="s">
        <v>2274</v>
      </c>
      <c r="AB35" t="s">
        <v>2283</v>
      </c>
      <c r="AC35" t="s">
        <v>152</v>
      </c>
      <c r="AD35" t="s">
        <v>137</v>
      </c>
      <c r="AE35" t="s">
        <v>92</v>
      </c>
      <c r="AF35" t="s">
        <v>49</v>
      </c>
      <c r="AI35" t="s">
        <v>49</v>
      </c>
      <c r="AM35" t="s">
        <v>179</v>
      </c>
      <c r="AN35" t="s">
        <v>165</v>
      </c>
    </row>
    <row r="36" spans="1:45" x14ac:dyDescent="0.2">
      <c r="A36" t="s">
        <v>5</v>
      </c>
      <c r="B36" t="s">
        <v>174</v>
      </c>
      <c r="C36">
        <v>2022</v>
      </c>
      <c r="D36" t="s">
        <v>44</v>
      </c>
      <c r="E36" t="s">
        <v>49</v>
      </c>
      <c r="F36" t="s">
        <v>55</v>
      </c>
      <c r="G36" t="s">
        <v>88</v>
      </c>
      <c r="H36" t="s">
        <v>93</v>
      </c>
      <c r="I36">
        <v>2018</v>
      </c>
      <c r="J36">
        <v>0</v>
      </c>
      <c r="K36" t="s">
        <v>101</v>
      </c>
      <c r="L36">
        <v>18</v>
      </c>
      <c r="M36">
        <v>4</v>
      </c>
      <c r="N36" t="s">
        <v>125</v>
      </c>
      <c r="O36" t="s">
        <v>125</v>
      </c>
      <c r="P36" t="s">
        <v>180</v>
      </c>
      <c r="Q36" s="1" t="s">
        <v>2276</v>
      </c>
      <c r="R36" s="1" t="s">
        <v>751</v>
      </c>
      <c r="S36" s="1" t="s">
        <v>2345</v>
      </c>
      <c r="T36" t="s">
        <v>51</v>
      </c>
      <c r="X36" t="s">
        <v>176</v>
      </c>
      <c r="Y36" t="s">
        <v>2273</v>
      </c>
      <c r="Z36" t="s">
        <v>249</v>
      </c>
      <c r="AA36" t="s">
        <v>2359</v>
      </c>
      <c r="AB36" t="s">
        <v>2285</v>
      </c>
      <c r="AC36" t="s">
        <v>152</v>
      </c>
      <c r="AD36" t="s">
        <v>137</v>
      </c>
      <c r="AE36" t="s">
        <v>92</v>
      </c>
      <c r="AF36" t="s">
        <v>49</v>
      </c>
      <c r="AI36" t="s">
        <v>49</v>
      </c>
      <c r="AM36" t="s">
        <v>179</v>
      </c>
      <c r="AN36" t="s">
        <v>165</v>
      </c>
    </row>
    <row r="37" spans="1:45" x14ac:dyDescent="0.2">
      <c r="A37" t="s">
        <v>5</v>
      </c>
      <c r="B37" t="s">
        <v>174</v>
      </c>
      <c r="C37">
        <v>2022</v>
      </c>
      <c r="D37" t="s">
        <v>44</v>
      </c>
      <c r="E37" t="s">
        <v>49</v>
      </c>
      <c r="F37" t="s">
        <v>55</v>
      </c>
      <c r="G37" t="s">
        <v>88</v>
      </c>
      <c r="H37" t="s">
        <v>93</v>
      </c>
      <c r="I37">
        <v>2018</v>
      </c>
      <c r="J37">
        <v>0</v>
      </c>
      <c r="K37" t="s">
        <v>101</v>
      </c>
      <c r="L37">
        <v>18</v>
      </c>
      <c r="M37">
        <v>4</v>
      </c>
      <c r="N37" t="s">
        <v>125</v>
      </c>
      <c r="O37" t="s">
        <v>125</v>
      </c>
      <c r="P37" t="s">
        <v>180</v>
      </c>
      <c r="Q37" s="1" t="s">
        <v>2276</v>
      </c>
      <c r="R37" s="1" t="s">
        <v>751</v>
      </c>
      <c r="S37" s="1" t="s">
        <v>2345</v>
      </c>
      <c r="T37" t="s">
        <v>51</v>
      </c>
      <c r="X37" t="s">
        <v>177</v>
      </c>
      <c r="Y37" t="s">
        <v>2273</v>
      </c>
      <c r="Z37" t="s">
        <v>249</v>
      </c>
      <c r="AA37" t="s">
        <v>2359</v>
      </c>
      <c r="AB37" t="s">
        <v>1419</v>
      </c>
      <c r="AC37" t="s">
        <v>152</v>
      </c>
      <c r="AD37" t="s">
        <v>137</v>
      </c>
      <c r="AE37" t="s">
        <v>92</v>
      </c>
      <c r="AF37" t="s">
        <v>49</v>
      </c>
      <c r="AI37" t="s">
        <v>49</v>
      </c>
      <c r="AM37" t="s">
        <v>179</v>
      </c>
      <c r="AN37" t="s">
        <v>165</v>
      </c>
    </row>
    <row r="38" spans="1:45" x14ac:dyDescent="0.2">
      <c r="A38" t="s">
        <v>5</v>
      </c>
      <c r="B38" t="s">
        <v>174</v>
      </c>
      <c r="C38">
        <v>2022</v>
      </c>
      <c r="D38" t="s">
        <v>44</v>
      </c>
      <c r="E38" t="s">
        <v>49</v>
      </c>
      <c r="F38" t="s">
        <v>55</v>
      </c>
      <c r="G38" t="s">
        <v>88</v>
      </c>
      <c r="H38" t="s">
        <v>93</v>
      </c>
      <c r="I38">
        <v>2018</v>
      </c>
      <c r="J38">
        <v>0</v>
      </c>
      <c r="K38" t="s">
        <v>101</v>
      </c>
      <c r="L38">
        <v>18</v>
      </c>
      <c r="M38">
        <v>4</v>
      </c>
      <c r="N38" t="s">
        <v>125</v>
      </c>
      <c r="O38" t="s">
        <v>125</v>
      </c>
      <c r="P38" t="s">
        <v>180</v>
      </c>
      <c r="Q38" s="1" t="s">
        <v>2276</v>
      </c>
      <c r="R38" s="1" t="s">
        <v>751</v>
      </c>
      <c r="S38" s="1" t="s">
        <v>2345</v>
      </c>
      <c r="T38" t="s">
        <v>51</v>
      </c>
      <c r="X38" t="s">
        <v>178</v>
      </c>
      <c r="Y38" t="s">
        <v>2273</v>
      </c>
      <c r="Z38" t="s">
        <v>249</v>
      </c>
      <c r="AA38" t="s">
        <v>2274</v>
      </c>
      <c r="AB38" t="s">
        <v>2283</v>
      </c>
      <c r="AC38" t="s">
        <v>315</v>
      </c>
      <c r="AD38" t="s">
        <v>137</v>
      </c>
      <c r="AE38" t="s">
        <v>92</v>
      </c>
      <c r="AF38" t="s">
        <v>49</v>
      </c>
      <c r="AI38" t="s">
        <v>49</v>
      </c>
      <c r="AM38" t="s">
        <v>179</v>
      </c>
      <c r="AN38" t="s">
        <v>165</v>
      </c>
    </row>
    <row r="39" spans="1:45" x14ac:dyDescent="0.2">
      <c r="A39" t="s">
        <v>6</v>
      </c>
      <c r="B39" t="s">
        <v>181</v>
      </c>
      <c r="C39">
        <v>2022</v>
      </c>
      <c r="D39" t="s">
        <v>44</v>
      </c>
      <c r="E39" t="s">
        <v>49</v>
      </c>
      <c r="F39" t="s">
        <v>56</v>
      </c>
      <c r="G39" t="s">
        <v>86</v>
      </c>
      <c r="H39" t="s">
        <v>94</v>
      </c>
      <c r="I39">
        <v>2018</v>
      </c>
      <c r="J39">
        <v>0</v>
      </c>
      <c r="K39" t="s">
        <v>101</v>
      </c>
      <c r="L39">
        <v>80</v>
      </c>
      <c r="M39">
        <v>0.01</v>
      </c>
      <c r="N39" t="s">
        <v>123</v>
      </c>
      <c r="O39" t="s">
        <v>123</v>
      </c>
      <c r="P39" t="s">
        <v>182</v>
      </c>
      <c r="Q39" s="1" t="s">
        <v>2281</v>
      </c>
      <c r="R39" s="1" t="s">
        <v>2282</v>
      </c>
      <c r="S39" s="1" t="s">
        <v>123</v>
      </c>
      <c r="T39" t="s">
        <v>51</v>
      </c>
      <c r="X39" t="s">
        <v>183</v>
      </c>
      <c r="Y39" t="s">
        <v>2279</v>
      </c>
      <c r="Z39" t="s">
        <v>2280</v>
      </c>
      <c r="AA39" t="s">
        <v>2286</v>
      </c>
      <c r="AB39" t="s">
        <v>2287</v>
      </c>
      <c r="AC39" t="s">
        <v>162</v>
      </c>
      <c r="AD39" t="s">
        <v>2278</v>
      </c>
      <c r="AE39" t="s">
        <v>415</v>
      </c>
      <c r="AF39" t="s">
        <v>49</v>
      </c>
      <c r="AI39" t="s">
        <v>49</v>
      </c>
      <c r="AM39" t="s">
        <v>184</v>
      </c>
      <c r="AN39" t="s">
        <v>166</v>
      </c>
      <c r="AP39" t="s">
        <v>173</v>
      </c>
    </row>
    <row r="40" spans="1:45" x14ac:dyDescent="0.2">
      <c r="A40" t="s">
        <v>6</v>
      </c>
      <c r="B40" t="s">
        <v>181</v>
      </c>
      <c r="C40">
        <v>2022</v>
      </c>
      <c r="D40" t="s">
        <v>44</v>
      </c>
      <c r="E40" t="s">
        <v>49</v>
      </c>
      <c r="F40" t="s">
        <v>56</v>
      </c>
      <c r="G40" t="s">
        <v>86</v>
      </c>
      <c r="H40" t="s">
        <v>94</v>
      </c>
      <c r="I40">
        <v>2018</v>
      </c>
      <c r="J40">
        <v>0</v>
      </c>
      <c r="K40" t="s">
        <v>101</v>
      </c>
      <c r="L40">
        <v>80</v>
      </c>
      <c r="M40">
        <v>0.01</v>
      </c>
      <c r="N40" t="s">
        <v>123</v>
      </c>
      <c r="O40" t="s">
        <v>123</v>
      </c>
      <c r="P40" t="s">
        <v>182</v>
      </c>
      <c r="Q40" s="1" t="s">
        <v>2281</v>
      </c>
      <c r="R40" s="1" t="s">
        <v>2282</v>
      </c>
      <c r="S40" s="1" t="s">
        <v>123</v>
      </c>
      <c r="T40" t="s">
        <v>51</v>
      </c>
      <c r="X40" t="s">
        <v>183</v>
      </c>
      <c r="Y40" t="s">
        <v>2279</v>
      </c>
      <c r="Z40" t="s">
        <v>2280</v>
      </c>
      <c r="AA40" t="s">
        <v>2286</v>
      </c>
      <c r="AB40" t="s">
        <v>2287</v>
      </c>
      <c r="AC40" t="s">
        <v>162</v>
      </c>
      <c r="AD40" t="s">
        <v>2278</v>
      </c>
      <c r="AE40" t="s">
        <v>415</v>
      </c>
      <c r="AF40" t="s">
        <v>49</v>
      </c>
      <c r="AI40" t="s">
        <v>49</v>
      </c>
      <c r="AM40" t="s">
        <v>184</v>
      </c>
      <c r="AN40" t="s">
        <v>154</v>
      </c>
      <c r="AP40" t="s">
        <v>173</v>
      </c>
    </row>
    <row r="41" spans="1:45" x14ac:dyDescent="0.2">
      <c r="A41" t="s">
        <v>6</v>
      </c>
      <c r="B41" t="s">
        <v>181</v>
      </c>
      <c r="C41">
        <v>2022</v>
      </c>
      <c r="D41" t="s">
        <v>44</v>
      </c>
      <c r="E41" t="s">
        <v>49</v>
      </c>
      <c r="F41" t="s">
        <v>56</v>
      </c>
      <c r="G41" t="s">
        <v>86</v>
      </c>
      <c r="H41" t="s">
        <v>94</v>
      </c>
      <c r="I41">
        <v>2018</v>
      </c>
      <c r="J41">
        <v>0</v>
      </c>
      <c r="K41" t="s">
        <v>101</v>
      </c>
      <c r="L41">
        <v>80</v>
      </c>
      <c r="M41">
        <v>0.01</v>
      </c>
      <c r="N41" t="s">
        <v>123</v>
      </c>
      <c r="O41" t="s">
        <v>123</v>
      </c>
      <c r="P41" t="s">
        <v>182</v>
      </c>
      <c r="Q41" s="1" t="s">
        <v>2281</v>
      </c>
      <c r="R41" s="1" t="s">
        <v>2282</v>
      </c>
      <c r="S41" s="1" t="s">
        <v>123</v>
      </c>
      <c r="T41" t="s">
        <v>51</v>
      </c>
      <c r="X41" t="s">
        <v>183</v>
      </c>
      <c r="Y41" t="s">
        <v>2279</v>
      </c>
      <c r="Z41" t="s">
        <v>2280</v>
      </c>
      <c r="AA41" t="s">
        <v>2286</v>
      </c>
      <c r="AB41" t="s">
        <v>2287</v>
      </c>
      <c r="AC41" t="s">
        <v>162</v>
      </c>
      <c r="AD41" t="s">
        <v>2278</v>
      </c>
      <c r="AE41" t="s">
        <v>415</v>
      </c>
      <c r="AF41" t="s">
        <v>49</v>
      </c>
      <c r="AI41" t="s">
        <v>49</v>
      </c>
      <c r="AM41" t="s">
        <v>184</v>
      </c>
      <c r="AN41" t="s">
        <v>165</v>
      </c>
      <c r="AP41" t="s">
        <v>49</v>
      </c>
    </row>
    <row r="42" spans="1:45" x14ac:dyDescent="0.2">
      <c r="A42" t="s">
        <v>7</v>
      </c>
      <c r="B42" t="s">
        <v>185</v>
      </c>
      <c r="C42">
        <v>2022</v>
      </c>
      <c r="D42" t="s">
        <v>811</v>
      </c>
      <c r="E42" t="s">
        <v>50</v>
      </c>
      <c r="F42" t="s">
        <v>58</v>
      </c>
      <c r="G42" t="s">
        <v>86</v>
      </c>
      <c r="H42" t="s">
        <v>93</v>
      </c>
      <c r="I42">
        <v>2018</v>
      </c>
      <c r="J42">
        <v>0.33</v>
      </c>
      <c r="K42" t="s">
        <v>104</v>
      </c>
      <c r="L42">
        <v>1.5</v>
      </c>
      <c r="M42">
        <v>0.36</v>
      </c>
      <c r="N42" t="s">
        <v>121</v>
      </c>
      <c r="P42" t="s">
        <v>186</v>
      </c>
      <c r="Q42" s="1" t="s">
        <v>2272</v>
      </c>
      <c r="R42" s="1" t="s">
        <v>2272</v>
      </c>
      <c r="S42" s="1" t="s">
        <v>2272</v>
      </c>
      <c r="Y42" t="s">
        <v>2272</v>
      </c>
      <c r="Z42" t="s">
        <v>2272</v>
      </c>
      <c r="AA42" t="s">
        <v>2272</v>
      </c>
      <c r="AB42" t="s">
        <v>2272</v>
      </c>
      <c r="AD42" t="s">
        <v>2272</v>
      </c>
      <c r="AR42" t="s">
        <v>144</v>
      </c>
      <c r="AS42" t="s">
        <v>2585</v>
      </c>
    </row>
    <row r="43" spans="1:45" x14ac:dyDescent="0.2">
      <c r="A43" t="s">
        <v>8</v>
      </c>
      <c r="B43" t="s">
        <v>187</v>
      </c>
      <c r="C43">
        <v>2022</v>
      </c>
      <c r="D43" t="s">
        <v>44</v>
      </c>
      <c r="F43" t="s">
        <v>59</v>
      </c>
      <c r="G43" t="s">
        <v>86</v>
      </c>
      <c r="H43" t="s">
        <v>94</v>
      </c>
      <c r="I43" t="s">
        <v>105</v>
      </c>
      <c r="J43">
        <v>15</v>
      </c>
      <c r="K43" t="s">
        <v>42</v>
      </c>
      <c r="L43">
        <v>100</v>
      </c>
      <c r="M43">
        <v>6.25E-2</v>
      </c>
      <c r="N43" t="s">
        <v>126</v>
      </c>
      <c r="O43" t="s">
        <v>126</v>
      </c>
      <c r="P43" t="s">
        <v>188</v>
      </c>
      <c r="Q43" s="1" t="s">
        <v>2281</v>
      </c>
      <c r="R43" s="1" t="s">
        <v>2282</v>
      </c>
      <c r="S43" s="1" t="s">
        <v>126</v>
      </c>
      <c r="T43" t="s">
        <v>51</v>
      </c>
      <c r="X43" t="s">
        <v>189</v>
      </c>
      <c r="Y43" t="s">
        <v>2279</v>
      </c>
      <c r="Z43" t="s">
        <v>2280</v>
      </c>
      <c r="AA43" t="s">
        <v>2358</v>
      </c>
      <c r="AB43" t="s">
        <v>189</v>
      </c>
      <c r="AC43" t="s">
        <v>152</v>
      </c>
      <c r="AD43" t="s">
        <v>2278</v>
      </c>
      <c r="AE43" t="s">
        <v>415</v>
      </c>
      <c r="AF43" t="s">
        <v>49</v>
      </c>
      <c r="AL43" t="s">
        <v>49</v>
      </c>
      <c r="AM43" t="s">
        <v>190</v>
      </c>
      <c r="AN43" t="s">
        <v>166</v>
      </c>
      <c r="AP43" t="s">
        <v>157</v>
      </c>
    </row>
    <row r="44" spans="1:45" x14ac:dyDescent="0.2">
      <c r="A44" t="s">
        <v>9</v>
      </c>
      <c r="B44" t="s">
        <v>193</v>
      </c>
      <c r="C44">
        <v>2022</v>
      </c>
      <c r="D44" t="s">
        <v>44</v>
      </c>
      <c r="E44" t="s">
        <v>49</v>
      </c>
      <c r="F44" t="s">
        <v>60</v>
      </c>
      <c r="G44" t="s">
        <v>86</v>
      </c>
      <c r="H44" t="s">
        <v>93</v>
      </c>
      <c r="I44">
        <v>2015</v>
      </c>
      <c r="J44">
        <v>0</v>
      </c>
      <c r="K44" t="s">
        <v>101</v>
      </c>
      <c r="L44">
        <v>500</v>
      </c>
      <c r="M44">
        <v>1</v>
      </c>
      <c r="N44" t="s">
        <v>120</v>
      </c>
      <c r="O44" t="s">
        <v>168</v>
      </c>
      <c r="P44" t="s">
        <v>196</v>
      </c>
      <c r="Q44" s="1" t="s">
        <v>2276</v>
      </c>
      <c r="R44" s="1" t="s">
        <v>669</v>
      </c>
      <c r="S44" s="1" t="s">
        <v>168</v>
      </c>
      <c r="T44" t="s">
        <v>396</v>
      </c>
      <c r="U44" t="s">
        <v>168</v>
      </c>
      <c r="X44" t="s">
        <v>161</v>
      </c>
      <c r="Y44" t="s">
        <v>2272</v>
      </c>
      <c r="Z44" t="s">
        <v>2272</v>
      </c>
      <c r="AA44" t="s">
        <v>2272</v>
      </c>
      <c r="AB44" t="s">
        <v>2272</v>
      </c>
      <c r="AC44" t="s">
        <v>162</v>
      </c>
      <c r="AD44" t="s">
        <v>2272</v>
      </c>
      <c r="AE44" t="s">
        <v>415</v>
      </c>
      <c r="AF44" t="s">
        <v>49</v>
      </c>
      <c r="AJ44" t="s">
        <v>49</v>
      </c>
      <c r="AM44" t="s">
        <v>197</v>
      </c>
      <c r="AN44" t="s">
        <v>154</v>
      </c>
      <c r="AQ44" s="5">
        <v>1</v>
      </c>
    </row>
    <row r="45" spans="1:45" x14ac:dyDescent="0.2">
      <c r="A45" t="s">
        <v>9</v>
      </c>
      <c r="B45" t="s">
        <v>193</v>
      </c>
      <c r="C45">
        <v>2022</v>
      </c>
      <c r="D45" t="s">
        <v>44</v>
      </c>
      <c r="E45" t="s">
        <v>49</v>
      </c>
      <c r="F45" t="s">
        <v>60</v>
      </c>
      <c r="G45" t="s">
        <v>86</v>
      </c>
      <c r="H45" t="s">
        <v>93</v>
      </c>
      <c r="I45">
        <v>2015</v>
      </c>
      <c r="J45">
        <v>0</v>
      </c>
      <c r="K45" t="s">
        <v>101</v>
      </c>
      <c r="L45">
        <v>500</v>
      </c>
      <c r="M45">
        <v>1</v>
      </c>
      <c r="N45" t="s">
        <v>120</v>
      </c>
      <c r="O45" t="s">
        <v>168</v>
      </c>
      <c r="P45" t="s">
        <v>324</v>
      </c>
      <c r="Q45" s="1" t="s">
        <v>2276</v>
      </c>
      <c r="R45" s="1" t="s">
        <v>669</v>
      </c>
      <c r="S45" s="1" t="s">
        <v>168</v>
      </c>
      <c r="T45" t="s">
        <v>396</v>
      </c>
      <c r="U45" t="s">
        <v>168</v>
      </c>
      <c r="V45" t="s">
        <v>194</v>
      </c>
      <c r="W45" t="s">
        <v>195</v>
      </c>
      <c r="X45" t="s">
        <v>161</v>
      </c>
      <c r="Y45" t="s">
        <v>2272</v>
      </c>
      <c r="Z45" t="s">
        <v>2272</v>
      </c>
      <c r="AA45" t="s">
        <v>2272</v>
      </c>
      <c r="AB45" t="s">
        <v>2272</v>
      </c>
      <c r="AC45" t="s">
        <v>162</v>
      </c>
      <c r="AD45" t="s">
        <v>2272</v>
      </c>
      <c r="AE45" t="s">
        <v>415</v>
      </c>
      <c r="AF45" t="s">
        <v>49</v>
      </c>
      <c r="AJ45" t="s">
        <v>49</v>
      </c>
      <c r="AM45" t="s">
        <v>197</v>
      </c>
      <c r="AN45" t="s">
        <v>154</v>
      </c>
      <c r="AQ45" s="5">
        <v>2</v>
      </c>
    </row>
    <row r="46" spans="1:45" x14ac:dyDescent="0.2">
      <c r="A46" t="s">
        <v>9</v>
      </c>
      <c r="B46" t="s">
        <v>193</v>
      </c>
      <c r="C46">
        <v>2022</v>
      </c>
      <c r="D46" t="s">
        <v>44</v>
      </c>
      <c r="E46" t="s">
        <v>49</v>
      </c>
      <c r="F46" t="s">
        <v>60</v>
      </c>
      <c r="G46" t="s">
        <v>86</v>
      </c>
      <c r="H46" t="s">
        <v>93</v>
      </c>
      <c r="I46">
        <v>2015</v>
      </c>
      <c r="J46">
        <v>0</v>
      </c>
      <c r="K46" t="s">
        <v>101</v>
      </c>
      <c r="L46">
        <v>500</v>
      </c>
      <c r="M46">
        <v>1</v>
      </c>
      <c r="N46" t="s">
        <v>120</v>
      </c>
      <c r="O46" t="s">
        <v>168</v>
      </c>
      <c r="P46" t="s">
        <v>196</v>
      </c>
      <c r="Q46" s="1" t="s">
        <v>2276</v>
      </c>
      <c r="R46" s="1" t="s">
        <v>669</v>
      </c>
      <c r="S46" s="1" t="s">
        <v>168</v>
      </c>
      <c r="T46" t="s">
        <v>396</v>
      </c>
      <c r="U46" t="s">
        <v>168</v>
      </c>
      <c r="X46" t="s">
        <v>161</v>
      </c>
      <c r="Y46" t="s">
        <v>2272</v>
      </c>
      <c r="Z46" t="s">
        <v>2272</v>
      </c>
      <c r="AA46" t="s">
        <v>2272</v>
      </c>
      <c r="AB46" t="s">
        <v>2272</v>
      </c>
      <c r="AC46" t="s">
        <v>162</v>
      </c>
      <c r="AD46" t="s">
        <v>2272</v>
      </c>
      <c r="AE46" t="s">
        <v>415</v>
      </c>
      <c r="AF46" t="s">
        <v>49</v>
      </c>
      <c r="AJ46" t="s">
        <v>49</v>
      </c>
      <c r="AM46" t="s">
        <v>197</v>
      </c>
      <c r="AN46" t="s">
        <v>165</v>
      </c>
      <c r="AP46" t="s">
        <v>49</v>
      </c>
    </row>
    <row r="47" spans="1:45" x14ac:dyDescent="0.2">
      <c r="A47" t="s">
        <v>9</v>
      </c>
      <c r="B47" t="s">
        <v>193</v>
      </c>
      <c r="C47">
        <v>2022</v>
      </c>
      <c r="D47" t="s">
        <v>44</v>
      </c>
      <c r="E47" t="s">
        <v>49</v>
      </c>
      <c r="F47" t="s">
        <v>60</v>
      </c>
      <c r="G47" t="s">
        <v>86</v>
      </c>
      <c r="H47" t="s">
        <v>93</v>
      </c>
      <c r="I47">
        <v>2015</v>
      </c>
      <c r="J47">
        <v>0</v>
      </c>
      <c r="K47" t="s">
        <v>101</v>
      </c>
      <c r="L47">
        <v>500</v>
      </c>
      <c r="M47">
        <v>1</v>
      </c>
      <c r="N47" t="s">
        <v>120</v>
      </c>
      <c r="O47" t="s">
        <v>168</v>
      </c>
      <c r="P47" t="s">
        <v>324</v>
      </c>
      <c r="Q47" s="1" t="s">
        <v>2276</v>
      </c>
      <c r="R47" s="1" t="s">
        <v>669</v>
      </c>
      <c r="S47" s="1" t="s">
        <v>168</v>
      </c>
      <c r="T47" t="s">
        <v>396</v>
      </c>
      <c r="U47" t="s">
        <v>168</v>
      </c>
      <c r="V47" t="s">
        <v>194</v>
      </c>
      <c r="W47" t="s">
        <v>195</v>
      </c>
      <c r="X47" t="s">
        <v>161</v>
      </c>
      <c r="Y47" t="s">
        <v>2272</v>
      </c>
      <c r="Z47" t="s">
        <v>2272</v>
      </c>
      <c r="AA47" t="s">
        <v>2272</v>
      </c>
      <c r="AB47" t="s">
        <v>2272</v>
      </c>
      <c r="AC47" t="s">
        <v>162</v>
      </c>
      <c r="AD47" t="s">
        <v>2272</v>
      </c>
      <c r="AE47" t="s">
        <v>415</v>
      </c>
      <c r="AF47" t="s">
        <v>49</v>
      </c>
      <c r="AJ47" t="s">
        <v>49</v>
      </c>
      <c r="AM47" t="s">
        <v>197</v>
      </c>
      <c r="AN47" t="s">
        <v>165</v>
      </c>
      <c r="AP47" t="s">
        <v>49</v>
      </c>
    </row>
    <row r="48" spans="1:45" x14ac:dyDescent="0.2">
      <c r="A48" t="s">
        <v>9</v>
      </c>
      <c r="B48" t="s">
        <v>193</v>
      </c>
      <c r="C48">
        <v>2022</v>
      </c>
      <c r="D48" t="s">
        <v>44</v>
      </c>
      <c r="E48" t="s">
        <v>49</v>
      </c>
      <c r="F48" t="s">
        <v>60</v>
      </c>
      <c r="G48" t="s">
        <v>86</v>
      </c>
      <c r="H48" t="s">
        <v>93</v>
      </c>
      <c r="I48">
        <v>2015</v>
      </c>
      <c r="J48">
        <v>0</v>
      </c>
      <c r="K48" t="s">
        <v>101</v>
      </c>
      <c r="L48">
        <v>500</v>
      </c>
      <c r="M48">
        <v>1</v>
      </c>
      <c r="N48" t="s">
        <v>120</v>
      </c>
      <c r="O48" t="s">
        <v>168</v>
      </c>
      <c r="P48" t="s">
        <v>196</v>
      </c>
      <c r="Q48" s="1" t="s">
        <v>2276</v>
      </c>
      <c r="R48" s="1" t="s">
        <v>669</v>
      </c>
      <c r="S48" s="1" t="s">
        <v>168</v>
      </c>
      <c r="T48" t="s">
        <v>396</v>
      </c>
      <c r="U48" t="s">
        <v>168</v>
      </c>
      <c r="X48" t="s">
        <v>189</v>
      </c>
      <c r="Y48" t="s">
        <v>2279</v>
      </c>
      <c r="Z48" t="s">
        <v>2280</v>
      </c>
      <c r="AA48" t="s">
        <v>2358</v>
      </c>
      <c r="AB48" t="s">
        <v>189</v>
      </c>
      <c r="AC48" t="s">
        <v>152</v>
      </c>
      <c r="AD48" t="s">
        <v>2278</v>
      </c>
      <c r="AE48" t="s">
        <v>415</v>
      </c>
    </row>
    <row r="49" spans="1:45" x14ac:dyDescent="0.2">
      <c r="A49" t="s">
        <v>9</v>
      </c>
      <c r="B49" t="s">
        <v>193</v>
      </c>
      <c r="C49">
        <v>2022</v>
      </c>
      <c r="D49" t="s">
        <v>44</v>
      </c>
      <c r="E49" t="s">
        <v>49</v>
      </c>
      <c r="F49" t="s">
        <v>60</v>
      </c>
      <c r="G49" t="s">
        <v>86</v>
      </c>
      <c r="H49" t="s">
        <v>93</v>
      </c>
      <c r="I49">
        <v>2015</v>
      </c>
      <c r="J49">
        <v>0</v>
      </c>
      <c r="K49" t="s">
        <v>101</v>
      </c>
      <c r="L49">
        <v>500</v>
      </c>
      <c r="M49">
        <v>1</v>
      </c>
      <c r="N49" t="s">
        <v>120</v>
      </c>
      <c r="O49" t="s">
        <v>168</v>
      </c>
      <c r="P49" t="s">
        <v>324</v>
      </c>
      <c r="Q49" s="1" t="s">
        <v>2276</v>
      </c>
      <c r="R49" s="1" t="s">
        <v>669</v>
      </c>
      <c r="S49" s="1" t="s">
        <v>168</v>
      </c>
      <c r="T49" t="s">
        <v>396</v>
      </c>
      <c r="U49" t="s">
        <v>168</v>
      </c>
      <c r="V49" t="s">
        <v>194</v>
      </c>
      <c r="W49" t="s">
        <v>195</v>
      </c>
      <c r="X49" t="s">
        <v>189</v>
      </c>
      <c r="Y49" t="s">
        <v>2279</v>
      </c>
      <c r="Z49" t="s">
        <v>2280</v>
      </c>
      <c r="AA49" t="s">
        <v>2358</v>
      </c>
      <c r="AB49" t="s">
        <v>189</v>
      </c>
      <c r="AC49" t="s">
        <v>152</v>
      </c>
      <c r="AD49" t="s">
        <v>2278</v>
      </c>
      <c r="AE49" t="s">
        <v>415</v>
      </c>
    </row>
    <row r="50" spans="1:45" x14ac:dyDescent="0.2">
      <c r="A50" t="s">
        <v>9</v>
      </c>
      <c r="B50" t="s">
        <v>193</v>
      </c>
      <c r="C50">
        <v>2022</v>
      </c>
      <c r="D50" t="s">
        <v>44</v>
      </c>
      <c r="E50" t="s">
        <v>49</v>
      </c>
      <c r="F50" t="s">
        <v>60</v>
      </c>
      <c r="G50" t="s">
        <v>86</v>
      </c>
      <c r="H50" t="s">
        <v>93</v>
      </c>
      <c r="I50">
        <v>2015</v>
      </c>
      <c r="J50">
        <v>0</v>
      </c>
      <c r="K50" t="s">
        <v>101</v>
      </c>
      <c r="L50">
        <v>500</v>
      </c>
      <c r="M50">
        <v>1</v>
      </c>
      <c r="N50" t="s">
        <v>120</v>
      </c>
      <c r="O50" t="s">
        <v>168</v>
      </c>
      <c r="P50" t="s">
        <v>196</v>
      </c>
      <c r="Q50" s="1" t="s">
        <v>2276</v>
      </c>
      <c r="R50" s="1" t="s">
        <v>669</v>
      </c>
      <c r="S50" s="1" t="s">
        <v>168</v>
      </c>
      <c r="T50" t="s">
        <v>396</v>
      </c>
      <c r="U50" t="s">
        <v>168</v>
      </c>
      <c r="X50" t="s">
        <v>300</v>
      </c>
      <c r="Y50" t="s">
        <v>2273</v>
      </c>
      <c r="Z50" t="s">
        <v>249</v>
      </c>
      <c r="AA50" t="s">
        <v>2359</v>
      </c>
      <c r="AB50" t="s">
        <v>2289</v>
      </c>
      <c r="AC50" t="s">
        <v>152</v>
      </c>
      <c r="AD50" t="s">
        <v>2288</v>
      </c>
      <c r="AE50" t="s">
        <v>415</v>
      </c>
    </row>
    <row r="51" spans="1:45" x14ac:dyDescent="0.2">
      <c r="A51" t="s">
        <v>9</v>
      </c>
      <c r="B51" t="s">
        <v>193</v>
      </c>
      <c r="C51">
        <v>2022</v>
      </c>
      <c r="D51" t="s">
        <v>44</v>
      </c>
      <c r="E51" t="s">
        <v>49</v>
      </c>
      <c r="F51" t="s">
        <v>60</v>
      </c>
      <c r="G51" t="s">
        <v>86</v>
      </c>
      <c r="H51" t="s">
        <v>93</v>
      </c>
      <c r="I51">
        <v>2015</v>
      </c>
      <c r="J51">
        <v>0</v>
      </c>
      <c r="K51" t="s">
        <v>101</v>
      </c>
      <c r="L51">
        <v>500</v>
      </c>
      <c r="M51">
        <v>1</v>
      </c>
      <c r="N51" t="s">
        <v>120</v>
      </c>
      <c r="O51" t="s">
        <v>168</v>
      </c>
      <c r="P51" t="s">
        <v>324</v>
      </c>
      <c r="Q51" s="1" t="s">
        <v>2276</v>
      </c>
      <c r="R51" s="1" t="s">
        <v>669</v>
      </c>
      <c r="S51" s="1" t="s">
        <v>168</v>
      </c>
      <c r="T51" t="s">
        <v>396</v>
      </c>
      <c r="U51" t="s">
        <v>168</v>
      </c>
      <c r="V51" t="s">
        <v>194</v>
      </c>
      <c r="W51" t="s">
        <v>195</v>
      </c>
      <c r="X51" t="s">
        <v>300</v>
      </c>
      <c r="Y51" t="s">
        <v>2273</v>
      </c>
      <c r="Z51" t="s">
        <v>249</v>
      </c>
      <c r="AA51" t="s">
        <v>2359</v>
      </c>
      <c r="AB51" t="s">
        <v>2289</v>
      </c>
      <c r="AC51" t="s">
        <v>152</v>
      </c>
      <c r="AD51" t="s">
        <v>2288</v>
      </c>
      <c r="AE51" t="s">
        <v>415</v>
      </c>
    </row>
    <row r="52" spans="1:45" x14ac:dyDescent="0.2">
      <c r="A52" t="s">
        <v>10</v>
      </c>
      <c r="B52" t="s">
        <v>198</v>
      </c>
      <c r="C52">
        <v>2022</v>
      </c>
      <c r="D52" t="s">
        <v>44</v>
      </c>
      <c r="E52" t="s">
        <v>49</v>
      </c>
      <c r="F52" t="s">
        <v>61</v>
      </c>
      <c r="G52" t="s">
        <v>85</v>
      </c>
      <c r="H52" t="s">
        <v>93</v>
      </c>
      <c r="I52" t="s">
        <v>106</v>
      </c>
      <c r="J52">
        <v>2</v>
      </c>
      <c r="K52" t="s">
        <v>104</v>
      </c>
      <c r="M52">
        <v>7.68</v>
      </c>
      <c r="Q52" s="1" t="s">
        <v>2272</v>
      </c>
      <c r="R52" s="1" t="s">
        <v>2272</v>
      </c>
      <c r="S52" s="1" t="s">
        <v>2272</v>
      </c>
      <c r="Y52" t="s">
        <v>2272</v>
      </c>
      <c r="Z52" t="s">
        <v>2272</v>
      </c>
      <c r="AA52" t="s">
        <v>2272</v>
      </c>
      <c r="AB52" t="s">
        <v>2272</v>
      </c>
      <c r="AD52" t="s">
        <v>2272</v>
      </c>
      <c r="AR52" t="s">
        <v>144</v>
      </c>
      <c r="AS52" t="s">
        <v>2586</v>
      </c>
    </row>
    <row r="53" spans="1:45" x14ac:dyDescent="0.2">
      <c r="A53" t="s">
        <v>11</v>
      </c>
      <c r="B53" t="s">
        <v>199</v>
      </c>
      <c r="C53">
        <v>2022</v>
      </c>
      <c r="D53" t="s">
        <v>44</v>
      </c>
      <c r="E53" t="s">
        <v>50</v>
      </c>
      <c r="F53" t="s">
        <v>956</v>
      </c>
      <c r="G53" t="s">
        <v>85</v>
      </c>
      <c r="H53" t="s">
        <v>93</v>
      </c>
      <c r="I53" t="s">
        <v>103</v>
      </c>
      <c r="J53">
        <v>0.25</v>
      </c>
      <c r="K53" t="s">
        <v>101</v>
      </c>
      <c r="L53">
        <v>3</v>
      </c>
      <c r="M53">
        <v>7.9000000000000008E-3</v>
      </c>
      <c r="N53" t="s">
        <v>123</v>
      </c>
      <c r="O53" t="s">
        <v>123</v>
      </c>
      <c r="P53" t="s">
        <v>200</v>
      </c>
      <c r="Q53" s="1" t="s">
        <v>2281</v>
      </c>
      <c r="R53" s="1" t="s">
        <v>2282</v>
      </c>
      <c r="S53" s="1" t="s">
        <v>123</v>
      </c>
      <c r="T53" t="s">
        <v>421</v>
      </c>
      <c r="U53" t="s">
        <v>421</v>
      </c>
      <c r="X53" t="s">
        <v>161</v>
      </c>
      <c r="Y53" t="s">
        <v>2272</v>
      </c>
      <c r="Z53" t="s">
        <v>2272</v>
      </c>
      <c r="AA53" t="s">
        <v>2272</v>
      </c>
      <c r="AB53" t="s">
        <v>2272</v>
      </c>
      <c r="AC53" t="s">
        <v>162</v>
      </c>
      <c r="AD53" t="s">
        <v>2272</v>
      </c>
      <c r="AH53" s="4" t="s">
        <v>49</v>
      </c>
      <c r="AI53" t="s">
        <v>49</v>
      </c>
      <c r="AM53" t="s">
        <v>197</v>
      </c>
      <c r="AN53" t="s">
        <v>154</v>
      </c>
      <c r="AQ53" s="5">
        <v>1</v>
      </c>
    </row>
    <row r="54" spans="1:45" x14ac:dyDescent="0.2">
      <c r="A54" t="s">
        <v>11</v>
      </c>
      <c r="B54" t="s">
        <v>199</v>
      </c>
      <c r="C54">
        <v>2022</v>
      </c>
      <c r="D54" t="s">
        <v>44</v>
      </c>
      <c r="E54" t="s">
        <v>50</v>
      </c>
      <c r="F54" t="s">
        <v>956</v>
      </c>
      <c r="G54" t="s">
        <v>85</v>
      </c>
      <c r="H54" t="s">
        <v>93</v>
      </c>
      <c r="I54" t="s">
        <v>103</v>
      </c>
      <c r="J54">
        <v>0.25</v>
      </c>
      <c r="K54" t="s">
        <v>101</v>
      </c>
      <c r="L54">
        <v>3</v>
      </c>
      <c r="M54">
        <v>7.9000000000000008E-3</v>
      </c>
      <c r="N54" t="s">
        <v>123</v>
      </c>
      <c r="O54" t="s">
        <v>123</v>
      </c>
      <c r="P54" t="s">
        <v>200</v>
      </c>
      <c r="Q54" s="1" t="s">
        <v>2281</v>
      </c>
      <c r="R54" s="1" t="s">
        <v>2282</v>
      </c>
      <c r="S54" s="1" t="s">
        <v>123</v>
      </c>
      <c r="T54" t="s">
        <v>421</v>
      </c>
      <c r="U54" t="s">
        <v>421</v>
      </c>
      <c r="X54" t="s">
        <v>161</v>
      </c>
      <c r="Y54" t="s">
        <v>2272</v>
      </c>
      <c r="Z54" t="s">
        <v>2272</v>
      </c>
      <c r="AA54" t="s">
        <v>2272</v>
      </c>
      <c r="AB54" t="s">
        <v>2272</v>
      </c>
      <c r="AC54" t="s">
        <v>162</v>
      </c>
      <c r="AD54" t="s">
        <v>2272</v>
      </c>
      <c r="AH54" s="4" t="s">
        <v>49</v>
      </c>
      <c r="AI54" t="s">
        <v>49</v>
      </c>
      <c r="AM54" t="s">
        <v>197</v>
      </c>
      <c r="AN54" t="s">
        <v>166</v>
      </c>
      <c r="AQ54" s="5">
        <v>1</v>
      </c>
    </row>
    <row r="55" spans="1:45" x14ac:dyDescent="0.2">
      <c r="A55" t="s">
        <v>11</v>
      </c>
      <c r="B55" t="s">
        <v>199</v>
      </c>
      <c r="C55">
        <v>2022</v>
      </c>
      <c r="D55" t="s">
        <v>44</v>
      </c>
      <c r="E55" t="s">
        <v>50</v>
      </c>
      <c r="F55" t="s">
        <v>956</v>
      </c>
      <c r="G55" t="s">
        <v>85</v>
      </c>
      <c r="H55" t="s">
        <v>93</v>
      </c>
      <c r="I55" t="s">
        <v>103</v>
      </c>
      <c r="J55">
        <v>0.25</v>
      </c>
      <c r="K55" t="s">
        <v>101</v>
      </c>
      <c r="L55">
        <v>3</v>
      </c>
      <c r="M55">
        <v>7.9000000000000008E-3</v>
      </c>
      <c r="N55" t="s">
        <v>123</v>
      </c>
      <c r="O55" t="s">
        <v>123</v>
      </c>
      <c r="P55" t="s">
        <v>200</v>
      </c>
      <c r="Q55" s="1" t="s">
        <v>2281</v>
      </c>
      <c r="R55" s="1" t="s">
        <v>2282</v>
      </c>
      <c r="S55" s="1" t="s">
        <v>123</v>
      </c>
      <c r="T55" t="s">
        <v>421</v>
      </c>
      <c r="U55" t="s">
        <v>421</v>
      </c>
      <c r="X55" t="s">
        <v>161</v>
      </c>
      <c r="Y55" t="s">
        <v>2272</v>
      </c>
      <c r="Z55" t="s">
        <v>2272</v>
      </c>
      <c r="AA55" t="s">
        <v>2272</v>
      </c>
      <c r="AB55" t="s">
        <v>2272</v>
      </c>
      <c r="AC55" t="s">
        <v>162</v>
      </c>
      <c r="AD55" t="s">
        <v>2272</v>
      </c>
      <c r="AH55" s="4" t="s">
        <v>49</v>
      </c>
      <c r="AI55" t="s">
        <v>49</v>
      </c>
      <c r="AM55" t="s">
        <v>197</v>
      </c>
      <c r="AN55" t="s">
        <v>165</v>
      </c>
      <c r="AP55" t="s">
        <v>49</v>
      </c>
    </row>
    <row r="56" spans="1:45" x14ac:dyDescent="0.2">
      <c r="A56" t="s">
        <v>11</v>
      </c>
      <c r="B56" t="s">
        <v>199</v>
      </c>
      <c r="C56">
        <v>2022</v>
      </c>
      <c r="D56" t="s">
        <v>44</v>
      </c>
      <c r="E56" t="s">
        <v>50</v>
      </c>
      <c r="F56" t="s">
        <v>956</v>
      </c>
      <c r="G56" t="s">
        <v>85</v>
      </c>
      <c r="H56" t="s">
        <v>93</v>
      </c>
      <c r="I56" t="s">
        <v>103</v>
      </c>
      <c r="J56">
        <v>0.25</v>
      </c>
      <c r="K56" t="s">
        <v>101</v>
      </c>
      <c r="L56">
        <v>3</v>
      </c>
      <c r="M56">
        <v>7.9000000000000008E-3</v>
      </c>
      <c r="N56" t="s">
        <v>123</v>
      </c>
      <c r="O56" t="s">
        <v>123</v>
      </c>
      <c r="P56" t="s">
        <v>200</v>
      </c>
      <c r="Q56" s="1" t="s">
        <v>2281</v>
      </c>
      <c r="R56" s="1" t="s">
        <v>2282</v>
      </c>
      <c r="S56" s="1" t="s">
        <v>123</v>
      </c>
      <c r="T56" t="s">
        <v>421</v>
      </c>
      <c r="U56" t="s">
        <v>421</v>
      </c>
      <c r="X56" t="s">
        <v>161</v>
      </c>
      <c r="Y56" t="s">
        <v>2272</v>
      </c>
      <c r="Z56" t="s">
        <v>2272</v>
      </c>
      <c r="AA56" t="s">
        <v>2272</v>
      </c>
      <c r="AB56" t="s">
        <v>2272</v>
      </c>
      <c r="AC56" t="s">
        <v>162</v>
      </c>
      <c r="AD56" t="s">
        <v>2272</v>
      </c>
      <c r="AF56" t="s">
        <v>49</v>
      </c>
      <c r="AI56" t="s">
        <v>49</v>
      </c>
      <c r="AM56" t="s">
        <v>201</v>
      </c>
      <c r="AN56" t="s">
        <v>154</v>
      </c>
      <c r="AQ56" s="5">
        <v>1</v>
      </c>
    </row>
    <row r="57" spans="1:45" x14ac:dyDescent="0.2">
      <c r="A57" t="s">
        <v>11</v>
      </c>
      <c r="B57" t="s">
        <v>199</v>
      </c>
      <c r="C57">
        <v>2022</v>
      </c>
      <c r="D57" t="s">
        <v>44</v>
      </c>
      <c r="E57" t="s">
        <v>50</v>
      </c>
      <c r="F57" t="s">
        <v>956</v>
      </c>
      <c r="G57" t="s">
        <v>85</v>
      </c>
      <c r="H57" t="s">
        <v>93</v>
      </c>
      <c r="I57" t="s">
        <v>103</v>
      </c>
      <c r="J57">
        <v>0.25</v>
      </c>
      <c r="K57" t="s">
        <v>101</v>
      </c>
      <c r="L57">
        <v>3</v>
      </c>
      <c r="M57">
        <v>7.9000000000000008E-3</v>
      </c>
      <c r="N57" t="s">
        <v>123</v>
      </c>
      <c r="O57" t="s">
        <v>123</v>
      </c>
      <c r="P57" t="s">
        <v>200</v>
      </c>
      <c r="Q57" s="1" t="s">
        <v>2281</v>
      </c>
      <c r="R57" s="1" t="s">
        <v>2282</v>
      </c>
      <c r="S57" s="1" t="s">
        <v>123</v>
      </c>
      <c r="T57" t="s">
        <v>421</v>
      </c>
      <c r="U57" t="s">
        <v>421</v>
      </c>
      <c r="X57" t="s">
        <v>161</v>
      </c>
      <c r="Y57" t="s">
        <v>2272</v>
      </c>
      <c r="Z57" t="s">
        <v>2272</v>
      </c>
      <c r="AA57" t="s">
        <v>2272</v>
      </c>
      <c r="AB57" t="s">
        <v>2272</v>
      </c>
      <c r="AC57" t="s">
        <v>162</v>
      </c>
      <c r="AD57" t="s">
        <v>2272</v>
      </c>
      <c r="AF57" t="s">
        <v>49</v>
      </c>
      <c r="AI57" t="s">
        <v>49</v>
      </c>
      <c r="AM57" t="s">
        <v>201</v>
      </c>
      <c r="AN57" t="s">
        <v>166</v>
      </c>
      <c r="AQ57" s="5">
        <v>1</v>
      </c>
    </row>
    <row r="58" spans="1:45" x14ac:dyDescent="0.2">
      <c r="A58" t="s">
        <v>11</v>
      </c>
      <c r="B58" t="s">
        <v>199</v>
      </c>
      <c r="C58">
        <v>2022</v>
      </c>
      <c r="D58" t="s">
        <v>44</v>
      </c>
      <c r="E58" t="s">
        <v>50</v>
      </c>
      <c r="F58" t="s">
        <v>956</v>
      </c>
      <c r="G58" t="s">
        <v>85</v>
      </c>
      <c r="H58" t="s">
        <v>93</v>
      </c>
      <c r="I58" t="s">
        <v>103</v>
      </c>
      <c r="J58">
        <v>0.25</v>
      </c>
      <c r="K58" t="s">
        <v>101</v>
      </c>
      <c r="L58">
        <v>3</v>
      </c>
      <c r="M58">
        <v>7.9000000000000008E-3</v>
      </c>
      <c r="N58" t="s">
        <v>123</v>
      </c>
      <c r="O58" t="s">
        <v>123</v>
      </c>
      <c r="P58" t="s">
        <v>200</v>
      </c>
      <c r="Q58" s="1" t="s">
        <v>2281</v>
      </c>
      <c r="R58" s="1" t="s">
        <v>2282</v>
      </c>
      <c r="S58" s="1" t="s">
        <v>123</v>
      </c>
      <c r="T58" t="s">
        <v>421</v>
      </c>
      <c r="U58" t="s">
        <v>421</v>
      </c>
      <c r="X58" t="s">
        <v>161</v>
      </c>
      <c r="Y58" t="s">
        <v>2272</v>
      </c>
      <c r="Z58" t="s">
        <v>2272</v>
      </c>
      <c r="AA58" t="s">
        <v>2272</v>
      </c>
      <c r="AB58" t="s">
        <v>2272</v>
      </c>
      <c r="AC58" t="s">
        <v>162</v>
      </c>
      <c r="AD58" t="s">
        <v>2272</v>
      </c>
      <c r="AF58" t="s">
        <v>49</v>
      </c>
      <c r="AI58" t="s">
        <v>49</v>
      </c>
      <c r="AM58" t="s">
        <v>201</v>
      </c>
      <c r="AN58" t="s">
        <v>165</v>
      </c>
      <c r="AP58" t="s">
        <v>49</v>
      </c>
    </row>
    <row r="59" spans="1:45" x14ac:dyDescent="0.2">
      <c r="A59" t="s">
        <v>11</v>
      </c>
      <c r="B59" t="s">
        <v>199</v>
      </c>
      <c r="C59">
        <v>2022</v>
      </c>
      <c r="D59" t="s">
        <v>44</v>
      </c>
      <c r="E59" t="s">
        <v>50</v>
      </c>
      <c r="F59" t="s">
        <v>956</v>
      </c>
      <c r="G59" t="s">
        <v>85</v>
      </c>
      <c r="H59" t="s">
        <v>93</v>
      </c>
      <c r="I59" t="s">
        <v>103</v>
      </c>
      <c r="J59">
        <v>0.25</v>
      </c>
      <c r="K59" t="s">
        <v>101</v>
      </c>
      <c r="L59">
        <v>3</v>
      </c>
      <c r="M59">
        <v>7.9000000000000008E-3</v>
      </c>
      <c r="N59" t="s">
        <v>123</v>
      </c>
      <c r="O59" t="s">
        <v>123</v>
      </c>
      <c r="P59" t="s">
        <v>200</v>
      </c>
      <c r="Q59" s="1" t="s">
        <v>2281</v>
      </c>
      <c r="R59" s="1" t="s">
        <v>2282</v>
      </c>
      <c r="S59" s="1" t="s">
        <v>123</v>
      </c>
      <c r="T59" t="s">
        <v>421</v>
      </c>
      <c r="U59" t="s">
        <v>421</v>
      </c>
      <c r="X59" t="s">
        <v>161</v>
      </c>
      <c r="Y59" t="s">
        <v>2272</v>
      </c>
      <c r="Z59" t="s">
        <v>2272</v>
      </c>
      <c r="AA59" t="s">
        <v>2272</v>
      </c>
      <c r="AB59" t="s">
        <v>2272</v>
      </c>
      <c r="AC59" t="s">
        <v>162</v>
      </c>
      <c r="AD59" t="s">
        <v>2272</v>
      </c>
      <c r="AG59" t="s">
        <v>49</v>
      </c>
      <c r="AI59" t="s">
        <v>49</v>
      </c>
      <c r="AM59" t="s">
        <v>418</v>
      </c>
      <c r="AN59" t="s">
        <v>154</v>
      </c>
      <c r="AQ59" s="5">
        <v>0</v>
      </c>
    </row>
    <row r="60" spans="1:45" x14ac:dyDescent="0.2">
      <c r="A60" t="s">
        <v>11</v>
      </c>
      <c r="B60" t="s">
        <v>199</v>
      </c>
      <c r="C60">
        <v>2022</v>
      </c>
      <c r="D60" t="s">
        <v>44</v>
      </c>
      <c r="E60" t="s">
        <v>50</v>
      </c>
      <c r="F60" t="s">
        <v>956</v>
      </c>
      <c r="G60" t="s">
        <v>85</v>
      </c>
      <c r="H60" t="s">
        <v>93</v>
      </c>
      <c r="I60" t="s">
        <v>103</v>
      </c>
      <c r="J60">
        <v>0.25</v>
      </c>
      <c r="K60" t="s">
        <v>101</v>
      </c>
      <c r="L60">
        <v>3</v>
      </c>
      <c r="M60">
        <v>7.9000000000000008E-3</v>
      </c>
      <c r="N60" t="s">
        <v>123</v>
      </c>
      <c r="O60" t="s">
        <v>123</v>
      </c>
      <c r="P60" t="s">
        <v>200</v>
      </c>
      <c r="Q60" s="1" t="s">
        <v>2281</v>
      </c>
      <c r="R60" s="1" t="s">
        <v>2282</v>
      </c>
      <c r="S60" s="1" t="s">
        <v>123</v>
      </c>
      <c r="T60" t="s">
        <v>421</v>
      </c>
      <c r="U60" t="s">
        <v>421</v>
      </c>
      <c r="X60" t="s">
        <v>161</v>
      </c>
      <c r="Y60" t="s">
        <v>2272</v>
      </c>
      <c r="Z60" t="s">
        <v>2272</v>
      </c>
      <c r="AA60" t="s">
        <v>2272</v>
      </c>
      <c r="AB60" t="s">
        <v>2272</v>
      </c>
      <c r="AC60" t="s">
        <v>162</v>
      </c>
      <c r="AD60" t="s">
        <v>2272</v>
      </c>
      <c r="AG60" t="s">
        <v>49</v>
      </c>
      <c r="AI60" t="s">
        <v>49</v>
      </c>
      <c r="AM60" t="s">
        <v>418</v>
      </c>
      <c r="AN60" t="s">
        <v>166</v>
      </c>
      <c r="AQ60" s="5">
        <v>0</v>
      </c>
    </row>
    <row r="61" spans="1:45" x14ac:dyDescent="0.2">
      <c r="A61" t="s">
        <v>11</v>
      </c>
      <c r="B61" t="s">
        <v>199</v>
      </c>
      <c r="C61">
        <v>2022</v>
      </c>
      <c r="D61" t="s">
        <v>44</v>
      </c>
      <c r="E61" t="s">
        <v>50</v>
      </c>
      <c r="F61" t="s">
        <v>956</v>
      </c>
      <c r="G61" t="s">
        <v>85</v>
      </c>
      <c r="H61" t="s">
        <v>93</v>
      </c>
      <c r="I61" t="s">
        <v>103</v>
      </c>
      <c r="J61">
        <v>0.25</v>
      </c>
      <c r="K61" t="s">
        <v>101</v>
      </c>
      <c r="L61">
        <v>3</v>
      </c>
      <c r="M61">
        <v>7.9000000000000008E-3</v>
      </c>
      <c r="N61" t="s">
        <v>123</v>
      </c>
      <c r="O61" t="s">
        <v>123</v>
      </c>
      <c r="P61" t="s">
        <v>200</v>
      </c>
      <c r="Q61" s="1" t="s">
        <v>2281</v>
      </c>
      <c r="R61" s="1" t="s">
        <v>2282</v>
      </c>
      <c r="S61" s="1" t="s">
        <v>123</v>
      </c>
      <c r="T61" t="s">
        <v>421</v>
      </c>
      <c r="U61" t="s">
        <v>421</v>
      </c>
      <c r="X61" t="s">
        <v>161</v>
      </c>
      <c r="Y61" t="s">
        <v>2272</v>
      </c>
      <c r="Z61" t="s">
        <v>2272</v>
      </c>
      <c r="AA61" t="s">
        <v>2272</v>
      </c>
      <c r="AB61" t="s">
        <v>2272</v>
      </c>
      <c r="AC61" t="s">
        <v>162</v>
      </c>
      <c r="AD61" t="s">
        <v>2272</v>
      </c>
      <c r="AG61" t="s">
        <v>49</v>
      </c>
      <c r="AI61" t="s">
        <v>49</v>
      </c>
      <c r="AM61" t="s">
        <v>418</v>
      </c>
      <c r="AN61" t="s">
        <v>165</v>
      </c>
      <c r="AP61" t="s">
        <v>49</v>
      </c>
    </row>
    <row r="62" spans="1:45" x14ac:dyDescent="0.2">
      <c r="A62" t="s">
        <v>12</v>
      </c>
      <c r="B62" t="s">
        <v>203</v>
      </c>
      <c r="C62">
        <v>2022</v>
      </c>
      <c r="D62" t="s">
        <v>44</v>
      </c>
      <c r="E62" t="s">
        <v>49</v>
      </c>
      <c r="F62" t="s">
        <v>62</v>
      </c>
      <c r="G62" t="s">
        <v>86</v>
      </c>
      <c r="H62" t="s">
        <v>94</v>
      </c>
      <c r="I62" t="s">
        <v>107</v>
      </c>
      <c r="J62">
        <v>4</v>
      </c>
      <c r="K62" t="s">
        <v>42</v>
      </c>
      <c r="L62">
        <v>415</v>
      </c>
      <c r="M62">
        <v>0.04</v>
      </c>
      <c r="N62" t="s">
        <v>132</v>
      </c>
      <c r="O62" t="s">
        <v>168</v>
      </c>
      <c r="P62" t="s">
        <v>204</v>
      </c>
      <c r="Q62" s="1" t="s">
        <v>2276</v>
      </c>
      <c r="R62" s="1" t="s">
        <v>669</v>
      </c>
      <c r="S62" s="1" t="s">
        <v>168</v>
      </c>
      <c r="T62" t="s">
        <v>51</v>
      </c>
      <c r="X62" t="s">
        <v>211</v>
      </c>
      <c r="Y62" t="s">
        <v>2279</v>
      </c>
      <c r="Z62" t="s">
        <v>2280</v>
      </c>
      <c r="AA62" t="s">
        <v>2358</v>
      </c>
      <c r="AB62" t="s">
        <v>2290</v>
      </c>
      <c r="AC62" t="s">
        <v>152</v>
      </c>
      <c r="AD62" t="s">
        <v>2278</v>
      </c>
      <c r="AF62" t="s">
        <v>49</v>
      </c>
      <c r="AI62" t="s">
        <v>49</v>
      </c>
      <c r="AM62" t="s">
        <v>202</v>
      </c>
      <c r="AN62" t="s">
        <v>154</v>
      </c>
      <c r="AP62" t="s">
        <v>157</v>
      </c>
    </row>
    <row r="63" spans="1:45" x14ac:dyDescent="0.2">
      <c r="A63" t="s">
        <v>12</v>
      </c>
      <c r="B63" t="s">
        <v>203</v>
      </c>
      <c r="C63">
        <v>2022</v>
      </c>
      <c r="D63" t="s">
        <v>44</v>
      </c>
      <c r="E63" t="s">
        <v>49</v>
      </c>
      <c r="F63" t="s">
        <v>62</v>
      </c>
      <c r="G63" t="s">
        <v>86</v>
      </c>
      <c r="H63" t="s">
        <v>94</v>
      </c>
      <c r="I63" t="s">
        <v>107</v>
      </c>
      <c r="J63">
        <v>4</v>
      </c>
      <c r="K63" t="s">
        <v>42</v>
      </c>
      <c r="L63">
        <v>415</v>
      </c>
      <c r="M63">
        <v>0.04</v>
      </c>
      <c r="N63" t="s">
        <v>129</v>
      </c>
      <c r="O63" t="s">
        <v>205</v>
      </c>
      <c r="Q63" s="1" t="s">
        <v>2276</v>
      </c>
      <c r="R63" s="1" t="s">
        <v>751</v>
      </c>
      <c r="S63" s="1" t="s">
        <v>2346</v>
      </c>
      <c r="T63" t="s">
        <v>51</v>
      </c>
      <c r="X63" t="s">
        <v>211</v>
      </c>
      <c r="Y63" t="s">
        <v>2279</v>
      </c>
      <c r="Z63" t="s">
        <v>2280</v>
      </c>
      <c r="AA63" t="s">
        <v>2358</v>
      </c>
      <c r="AB63" t="s">
        <v>2290</v>
      </c>
      <c r="AC63" t="s">
        <v>152</v>
      </c>
      <c r="AD63" t="s">
        <v>2278</v>
      </c>
      <c r="AF63" t="s">
        <v>49</v>
      </c>
      <c r="AI63" t="s">
        <v>49</v>
      </c>
      <c r="AM63" t="s">
        <v>202</v>
      </c>
      <c r="AN63" t="s">
        <v>154</v>
      </c>
      <c r="AP63" t="s">
        <v>157</v>
      </c>
    </row>
    <row r="64" spans="1:45" x14ac:dyDescent="0.2">
      <c r="A64" t="s">
        <v>12</v>
      </c>
      <c r="B64" t="s">
        <v>203</v>
      </c>
      <c r="C64">
        <v>2022</v>
      </c>
      <c r="D64" t="s">
        <v>44</v>
      </c>
      <c r="E64" t="s">
        <v>49</v>
      </c>
      <c r="F64" t="s">
        <v>62</v>
      </c>
      <c r="G64" t="s">
        <v>86</v>
      </c>
      <c r="H64" t="s">
        <v>94</v>
      </c>
      <c r="I64" t="s">
        <v>107</v>
      </c>
      <c r="J64">
        <v>4</v>
      </c>
      <c r="K64" t="s">
        <v>42</v>
      </c>
      <c r="L64">
        <v>415</v>
      </c>
      <c r="M64">
        <v>0.04</v>
      </c>
      <c r="N64" t="s">
        <v>127</v>
      </c>
      <c r="O64" t="s">
        <v>206</v>
      </c>
      <c r="P64" t="s">
        <v>208</v>
      </c>
      <c r="Q64" s="1" t="s">
        <v>2281</v>
      </c>
      <c r="R64" s="1" t="s">
        <v>2347</v>
      </c>
      <c r="S64" s="1" t="s">
        <v>2347</v>
      </c>
      <c r="T64" t="s">
        <v>51</v>
      </c>
      <c r="X64" t="s">
        <v>211</v>
      </c>
      <c r="Y64" t="s">
        <v>2279</v>
      </c>
      <c r="Z64" t="s">
        <v>2280</v>
      </c>
      <c r="AA64" t="s">
        <v>2358</v>
      </c>
      <c r="AB64" t="s">
        <v>2290</v>
      </c>
      <c r="AC64" t="s">
        <v>152</v>
      </c>
      <c r="AD64" t="s">
        <v>2278</v>
      </c>
      <c r="AF64" t="s">
        <v>49</v>
      </c>
      <c r="AL64" t="s">
        <v>49</v>
      </c>
      <c r="AM64" t="s">
        <v>210</v>
      </c>
      <c r="AN64" t="s">
        <v>166</v>
      </c>
      <c r="AP64" t="s">
        <v>157</v>
      </c>
    </row>
    <row r="65" spans="1:45" x14ac:dyDescent="0.2">
      <c r="A65" t="s">
        <v>12</v>
      </c>
      <c r="B65" t="s">
        <v>203</v>
      </c>
      <c r="C65">
        <v>2022</v>
      </c>
      <c r="D65" t="s">
        <v>44</v>
      </c>
      <c r="E65" t="s">
        <v>49</v>
      </c>
      <c r="F65" t="s">
        <v>62</v>
      </c>
      <c r="G65" t="s">
        <v>86</v>
      </c>
      <c r="H65" t="s">
        <v>94</v>
      </c>
      <c r="I65" t="s">
        <v>107</v>
      </c>
      <c r="J65">
        <v>4</v>
      </c>
      <c r="K65" t="s">
        <v>42</v>
      </c>
      <c r="L65">
        <v>415</v>
      </c>
      <c r="M65">
        <v>0.04</v>
      </c>
      <c r="N65" t="s">
        <v>132</v>
      </c>
      <c r="O65" t="s">
        <v>168</v>
      </c>
      <c r="P65" t="s">
        <v>204</v>
      </c>
      <c r="Q65" s="1" t="s">
        <v>2276</v>
      </c>
      <c r="R65" s="1" t="s">
        <v>669</v>
      </c>
      <c r="S65" s="1" t="s">
        <v>168</v>
      </c>
      <c r="T65" t="s">
        <v>51</v>
      </c>
      <c r="X65" t="s">
        <v>211</v>
      </c>
      <c r="Y65" t="s">
        <v>2279</v>
      </c>
      <c r="Z65" t="s">
        <v>2280</v>
      </c>
      <c r="AA65" t="s">
        <v>2358</v>
      </c>
      <c r="AB65" t="s">
        <v>2290</v>
      </c>
      <c r="AC65" t="s">
        <v>152</v>
      </c>
      <c r="AD65" t="s">
        <v>2278</v>
      </c>
      <c r="AF65" t="s">
        <v>49</v>
      </c>
      <c r="AL65" t="s">
        <v>49</v>
      </c>
      <c r="AM65" t="s">
        <v>209</v>
      </c>
      <c r="AN65" t="s">
        <v>166</v>
      </c>
      <c r="AP65" t="s">
        <v>173</v>
      </c>
    </row>
    <row r="66" spans="1:45" x14ac:dyDescent="0.2">
      <c r="A66" t="s">
        <v>12</v>
      </c>
      <c r="B66" t="s">
        <v>203</v>
      </c>
      <c r="C66">
        <v>2022</v>
      </c>
      <c r="D66" t="s">
        <v>44</v>
      </c>
      <c r="E66" t="s">
        <v>49</v>
      </c>
      <c r="F66" t="s">
        <v>62</v>
      </c>
      <c r="G66" t="s">
        <v>86</v>
      </c>
      <c r="H66" t="s">
        <v>94</v>
      </c>
      <c r="I66" t="s">
        <v>107</v>
      </c>
      <c r="J66">
        <v>4</v>
      </c>
      <c r="K66" t="s">
        <v>42</v>
      </c>
      <c r="L66">
        <v>415</v>
      </c>
      <c r="M66">
        <v>0.04</v>
      </c>
      <c r="N66" t="s">
        <v>132</v>
      </c>
      <c r="O66" t="s">
        <v>168</v>
      </c>
      <c r="P66" t="s">
        <v>204</v>
      </c>
      <c r="Q66" s="1" t="s">
        <v>2276</v>
      </c>
      <c r="R66" s="1" t="s">
        <v>669</v>
      </c>
      <c r="S66" s="1" t="s">
        <v>168</v>
      </c>
      <c r="T66" t="s">
        <v>51</v>
      </c>
      <c r="X66" t="s">
        <v>211</v>
      </c>
      <c r="Y66" t="s">
        <v>2279</v>
      </c>
      <c r="Z66" t="s">
        <v>2280</v>
      </c>
      <c r="AA66" t="s">
        <v>2358</v>
      </c>
      <c r="AB66" t="s">
        <v>2290</v>
      </c>
      <c r="AC66" t="s">
        <v>152</v>
      </c>
      <c r="AD66" t="s">
        <v>2278</v>
      </c>
      <c r="AF66" t="s">
        <v>49</v>
      </c>
      <c r="AL66" t="s">
        <v>49</v>
      </c>
      <c r="AM66" t="s">
        <v>416</v>
      </c>
      <c r="AN66" t="s">
        <v>166</v>
      </c>
      <c r="AP66" t="s">
        <v>51</v>
      </c>
    </row>
    <row r="67" spans="1:45" x14ac:dyDescent="0.2">
      <c r="A67" t="s">
        <v>12</v>
      </c>
      <c r="B67" t="s">
        <v>203</v>
      </c>
      <c r="C67">
        <v>2022</v>
      </c>
      <c r="D67" t="s">
        <v>44</v>
      </c>
      <c r="E67" t="s">
        <v>49</v>
      </c>
      <c r="F67" t="s">
        <v>62</v>
      </c>
      <c r="G67" t="s">
        <v>86</v>
      </c>
      <c r="H67" t="s">
        <v>94</v>
      </c>
      <c r="I67" t="s">
        <v>107</v>
      </c>
      <c r="J67">
        <v>4</v>
      </c>
      <c r="K67" t="s">
        <v>42</v>
      </c>
      <c r="L67">
        <v>415</v>
      </c>
      <c r="M67">
        <v>0.04</v>
      </c>
      <c r="N67" t="s">
        <v>132</v>
      </c>
      <c r="O67" t="s">
        <v>168</v>
      </c>
      <c r="P67" t="s">
        <v>204</v>
      </c>
      <c r="Q67" s="1" t="s">
        <v>2276</v>
      </c>
      <c r="R67" s="1" t="s">
        <v>669</v>
      </c>
      <c r="S67" s="1" t="s">
        <v>168</v>
      </c>
      <c r="T67" t="s">
        <v>396</v>
      </c>
      <c r="U67" s="1" t="s">
        <v>2367</v>
      </c>
      <c r="X67" t="s">
        <v>161</v>
      </c>
      <c r="Y67" t="s">
        <v>2272</v>
      </c>
      <c r="Z67" t="s">
        <v>2272</v>
      </c>
      <c r="AA67" t="s">
        <v>2272</v>
      </c>
      <c r="AB67" t="s">
        <v>2272</v>
      </c>
      <c r="AC67" t="s">
        <v>162</v>
      </c>
      <c r="AD67" t="s">
        <v>2272</v>
      </c>
      <c r="AE67" t="s">
        <v>415</v>
      </c>
      <c r="AF67" t="s">
        <v>49</v>
      </c>
      <c r="AI67" t="s">
        <v>49</v>
      </c>
      <c r="AM67" t="s">
        <v>202</v>
      </c>
      <c r="AN67" t="s">
        <v>165</v>
      </c>
      <c r="AP67" t="s">
        <v>49</v>
      </c>
    </row>
    <row r="68" spans="1:45" x14ac:dyDescent="0.2">
      <c r="A68" t="s">
        <v>12</v>
      </c>
      <c r="B68" t="s">
        <v>203</v>
      </c>
      <c r="C68">
        <v>2022</v>
      </c>
      <c r="D68" t="s">
        <v>44</v>
      </c>
      <c r="E68" t="s">
        <v>49</v>
      </c>
      <c r="F68" t="s">
        <v>62</v>
      </c>
      <c r="G68" t="s">
        <v>86</v>
      </c>
      <c r="H68" t="s">
        <v>94</v>
      </c>
      <c r="I68" t="s">
        <v>107</v>
      </c>
      <c r="J68">
        <v>4</v>
      </c>
      <c r="K68" t="s">
        <v>42</v>
      </c>
      <c r="L68">
        <v>415</v>
      </c>
      <c r="M68">
        <v>0.04</v>
      </c>
      <c r="N68" t="s">
        <v>127</v>
      </c>
      <c r="O68" t="s">
        <v>405</v>
      </c>
      <c r="P68" t="s">
        <v>207</v>
      </c>
      <c r="Q68" s="1" t="s">
        <v>2281</v>
      </c>
      <c r="R68" s="1" t="s">
        <v>2291</v>
      </c>
      <c r="S68" s="1" t="s">
        <v>2291</v>
      </c>
      <c r="T68" t="s">
        <v>396</v>
      </c>
      <c r="U68" s="1" t="s">
        <v>2368</v>
      </c>
      <c r="X68" t="s">
        <v>161</v>
      </c>
      <c r="Y68" t="s">
        <v>2272</v>
      </c>
      <c r="Z68" t="s">
        <v>2272</v>
      </c>
      <c r="AA68" t="s">
        <v>2272</v>
      </c>
      <c r="AB68" t="s">
        <v>2272</v>
      </c>
      <c r="AC68" t="s">
        <v>162</v>
      </c>
      <c r="AD68" t="s">
        <v>2272</v>
      </c>
      <c r="AE68" t="s">
        <v>415</v>
      </c>
      <c r="AF68" t="s">
        <v>49</v>
      </c>
      <c r="AI68" t="s">
        <v>49</v>
      </c>
      <c r="AM68" t="s">
        <v>202</v>
      </c>
      <c r="AN68" t="s">
        <v>165</v>
      </c>
      <c r="AP68" t="s">
        <v>49</v>
      </c>
    </row>
    <row r="69" spans="1:45" x14ac:dyDescent="0.2">
      <c r="A69" t="s">
        <v>12</v>
      </c>
      <c r="B69" t="s">
        <v>203</v>
      </c>
      <c r="C69">
        <v>2022</v>
      </c>
      <c r="D69" t="s">
        <v>44</v>
      </c>
      <c r="E69" t="s">
        <v>49</v>
      </c>
      <c r="F69" t="s">
        <v>62</v>
      </c>
      <c r="G69" t="s">
        <v>86</v>
      </c>
      <c r="H69" t="s">
        <v>94</v>
      </c>
      <c r="I69" t="s">
        <v>107</v>
      </c>
      <c r="J69">
        <v>4</v>
      </c>
      <c r="K69" t="s">
        <v>42</v>
      </c>
      <c r="L69">
        <v>415</v>
      </c>
      <c r="M69">
        <v>0.04</v>
      </c>
      <c r="N69" t="s">
        <v>123</v>
      </c>
      <c r="O69" t="s">
        <v>123</v>
      </c>
      <c r="P69" t="s">
        <v>406</v>
      </c>
      <c r="Q69" s="1" t="s">
        <v>2281</v>
      </c>
      <c r="R69" s="1" t="s">
        <v>2282</v>
      </c>
      <c r="S69" s="1" t="s">
        <v>123</v>
      </c>
      <c r="T69" t="s">
        <v>396</v>
      </c>
      <c r="U69" s="1" t="s">
        <v>2369</v>
      </c>
      <c r="X69" t="s">
        <v>161</v>
      </c>
      <c r="Y69" t="s">
        <v>2272</v>
      </c>
      <c r="Z69" t="s">
        <v>2272</v>
      </c>
      <c r="AA69" t="s">
        <v>2272</v>
      </c>
      <c r="AB69" t="s">
        <v>2272</v>
      </c>
      <c r="AC69" t="s">
        <v>162</v>
      </c>
      <c r="AD69" t="s">
        <v>2272</v>
      </c>
      <c r="AE69" t="s">
        <v>415</v>
      </c>
      <c r="AF69" t="s">
        <v>49</v>
      </c>
      <c r="AI69" t="s">
        <v>49</v>
      </c>
      <c r="AM69" t="s">
        <v>202</v>
      </c>
      <c r="AN69" t="s">
        <v>165</v>
      </c>
      <c r="AP69" t="s">
        <v>49</v>
      </c>
    </row>
    <row r="70" spans="1:45" x14ac:dyDescent="0.2">
      <c r="A70" t="s">
        <v>12</v>
      </c>
      <c r="B70" t="s">
        <v>203</v>
      </c>
      <c r="C70">
        <v>2022</v>
      </c>
      <c r="D70" t="s">
        <v>44</v>
      </c>
      <c r="E70" t="s">
        <v>49</v>
      </c>
      <c r="F70" t="s">
        <v>62</v>
      </c>
      <c r="G70" t="s">
        <v>86</v>
      </c>
      <c r="H70" t="s">
        <v>94</v>
      </c>
      <c r="I70" t="s">
        <v>107</v>
      </c>
      <c r="J70">
        <v>4</v>
      </c>
      <c r="K70" t="s">
        <v>42</v>
      </c>
      <c r="L70">
        <v>415</v>
      </c>
      <c r="M70">
        <v>0.04</v>
      </c>
      <c r="N70" t="s">
        <v>130</v>
      </c>
      <c r="O70" t="s">
        <v>407</v>
      </c>
      <c r="P70" t="s">
        <v>408</v>
      </c>
      <c r="Q70" s="1" t="s">
        <v>2276</v>
      </c>
      <c r="R70" s="1" t="s">
        <v>751</v>
      </c>
      <c r="S70" s="1" t="s">
        <v>2345</v>
      </c>
      <c r="T70" t="s">
        <v>396</v>
      </c>
      <c r="U70" s="1" t="s">
        <v>2370</v>
      </c>
      <c r="X70" t="s">
        <v>161</v>
      </c>
      <c r="Y70" t="s">
        <v>2272</v>
      </c>
      <c r="Z70" t="s">
        <v>2272</v>
      </c>
      <c r="AA70" t="s">
        <v>2272</v>
      </c>
      <c r="AB70" t="s">
        <v>2272</v>
      </c>
      <c r="AC70" t="s">
        <v>162</v>
      </c>
      <c r="AD70" t="s">
        <v>2272</v>
      </c>
      <c r="AE70" t="s">
        <v>415</v>
      </c>
      <c r="AF70" t="s">
        <v>49</v>
      </c>
      <c r="AI70" t="s">
        <v>49</v>
      </c>
      <c r="AM70" t="s">
        <v>202</v>
      </c>
      <c r="AN70" t="s">
        <v>165</v>
      </c>
      <c r="AP70" t="s">
        <v>49</v>
      </c>
    </row>
    <row r="71" spans="1:45" x14ac:dyDescent="0.2">
      <c r="A71" t="s">
        <v>12</v>
      </c>
      <c r="B71" t="s">
        <v>203</v>
      </c>
      <c r="C71">
        <v>2022</v>
      </c>
      <c r="D71" t="s">
        <v>44</v>
      </c>
      <c r="E71" t="s">
        <v>49</v>
      </c>
      <c r="F71" t="s">
        <v>62</v>
      </c>
      <c r="G71" t="s">
        <v>86</v>
      </c>
      <c r="H71" t="s">
        <v>94</v>
      </c>
      <c r="I71" t="s">
        <v>107</v>
      </c>
      <c r="J71">
        <v>4</v>
      </c>
      <c r="K71" t="s">
        <v>42</v>
      </c>
      <c r="L71">
        <v>415</v>
      </c>
      <c r="M71">
        <v>0.04</v>
      </c>
      <c r="N71" t="s">
        <v>128</v>
      </c>
      <c r="O71" t="s">
        <v>409</v>
      </c>
      <c r="Q71" s="1" t="s">
        <v>2276</v>
      </c>
      <c r="R71" s="1" t="s">
        <v>2284</v>
      </c>
      <c r="S71" s="1" t="s">
        <v>2348</v>
      </c>
      <c r="T71" t="s">
        <v>396</v>
      </c>
      <c r="U71" s="1" t="s">
        <v>2371</v>
      </c>
      <c r="X71" t="s">
        <v>161</v>
      </c>
      <c r="Y71" t="s">
        <v>2272</v>
      </c>
      <c r="Z71" t="s">
        <v>2272</v>
      </c>
      <c r="AA71" t="s">
        <v>2272</v>
      </c>
      <c r="AB71" t="s">
        <v>2272</v>
      </c>
      <c r="AC71" t="s">
        <v>162</v>
      </c>
      <c r="AD71" t="s">
        <v>2272</v>
      </c>
      <c r="AE71" t="s">
        <v>415</v>
      </c>
      <c r="AF71" t="s">
        <v>49</v>
      </c>
      <c r="AI71" t="s">
        <v>49</v>
      </c>
      <c r="AM71" t="s">
        <v>202</v>
      </c>
      <c r="AN71" t="s">
        <v>165</v>
      </c>
      <c r="AP71" t="s">
        <v>49</v>
      </c>
    </row>
    <row r="72" spans="1:45" x14ac:dyDescent="0.2">
      <c r="A72" t="s">
        <v>12</v>
      </c>
      <c r="B72" t="s">
        <v>203</v>
      </c>
      <c r="C72">
        <v>2022</v>
      </c>
      <c r="D72" t="s">
        <v>44</v>
      </c>
      <c r="E72" t="s">
        <v>49</v>
      </c>
      <c r="F72" t="s">
        <v>62</v>
      </c>
      <c r="G72" t="s">
        <v>86</v>
      </c>
      <c r="H72" t="s">
        <v>94</v>
      </c>
      <c r="I72" t="s">
        <v>107</v>
      </c>
      <c r="J72">
        <v>4</v>
      </c>
      <c r="K72" t="s">
        <v>42</v>
      </c>
      <c r="L72">
        <v>415</v>
      </c>
      <c r="M72">
        <v>0.04</v>
      </c>
      <c r="N72" t="s">
        <v>129</v>
      </c>
      <c r="O72" t="s">
        <v>205</v>
      </c>
      <c r="P72" t="s">
        <v>410</v>
      </c>
      <c r="Q72" s="1" t="s">
        <v>2276</v>
      </c>
      <c r="R72" s="1" t="s">
        <v>751</v>
      </c>
      <c r="S72" s="1" t="s">
        <v>2346</v>
      </c>
      <c r="T72" t="s">
        <v>396</v>
      </c>
      <c r="U72" s="1" t="s">
        <v>2372</v>
      </c>
      <c r="X72" t="s">
        <v>161</v>
      </c>
      <c r="Y72" t="s">
        <v>2272</v>
      </c>
      <c r="Z72" t="s">
        <v>2272</v>
      </c>
      <c r="AA72" t="s">
        <v>2272</v>
      </c>
      <c r="AB72" t="s">
        <v>2272</v>
      </c>
      <c r="AC72" t="s">
        <v>162</v>
      </c>
      <c r="AD72" t="s">
        <v>2272</v>
      </c>
      <c r="AE72" t="s">
        <v>415</v>
      </c>
      <c r="AF72" t="s">
        <v>49</v>
      </c>
      <c r="AI72" t="s">
        <v>49</v>
      </c>
      <c r="AM72" t="s">
        <v>202</v>
      </c>
      <c r="AN72" t="s">
        <v>165</v>
      </c>
      <c r="AP72" t="s">
        <v>49</v>
      </c>
    </row>
    <row r="73" spans="1:45" x14ac:dyDescent="0.2">
      <c r="A73" t="s">
        <v>12</v>
      </c>
      <c r="B73" t="s">
        <v>203</v>
      </c>
      <c r="C73">
        <v>2022</v>
      </c>
      <c r="D73" t="s">
        <v>44</v>
      </c>
      <c r="E73" t="s">
        <v>49</v>
      </c>
      <c r="F73" t="s">
        <v>62</v>
      </c>
      <c r="G73" t="s">
        <v>86</v>
      </c>
      <c r="H73" t="s">
        <v>94</v>
      </c>
      <c r="I73" t="s">
        <v>107</v>
      </c>
      <c r="J73">
        <v>4</v>
      </c>
      <c r="K73" t="s">
        <v>42</v>
      </c>
      <c r="L73">
        <v>415</v>
      </c>
      <c r="M73">
        <v>0.04</v>
      </c>
      <c r="N73" t="s">
        <v>128</v>
      </c>
      <c r="O73" t="s">
        <v>417</v>
      </c>
      <c r="Q73" s="1" t="s">
        <v>2276</v>
      </c>
      <c r="R73" s="1" t="s">
        <v>755</v>
      </c>
      <c r="S73" s="1" t="s">
        <v>2349</v>
      </c>
      <c r="T73" t="s">
        <v>396</v>
      </c>
      <c r="U73" s="1" t="s">
        <v>2373</v>
      </c>
      <c r="X73" t="s">
        <v>161</v>
      </c>
      <c r="Y73" t="s">
        <v>2272</v>
      </c>
      <c r="Z73" t="s">
        <v>2272</v>
      </c>
      <c r="AA73" t="s">
        <v>2272</v>
      </c>
      <c r="AB73" t="s">
        <v>2272</v>
      </c>
      <c r="AC73" t="s">
        <v>162</v>
      </c>
      <c r="AD73" t="s">
        <v>2272</v>
      </c>
      <c r="AE73" t="s">
        <v>415</v>
      </c>
      <c r="AF73" t="s">
        <v>49</v>
      </c>
      <c r="AI73" t="s">
        <v>49</v>
      </c>
      <c r="AM73" t="s">
        <v>202</v>
      </c>
      <c r="AN73" t="s">
        <v>165</v>
      </c>
      <c r="AP73" t="s">
        <v>49</v>
      </c>
    </row>
    <row r="74" spans="1:45" x14ac:dyDescent="0.2">
      <c r="A74" t="s">
        <v>13</v>
      </c>
      <c r="B74" t="s">
        <v>212</v>
      </c>
      <c r="C74">
        <v>2022</v>
      </c>
      <c r="D74" t="s">
        <v>47</v>
      </c>
      <c r="H74" t="s">
        <v>95</v>
      </c>
      <c r="N74" t="s">
        <v>123</v>
      </c>
      <c r="O74" t="s">
        <v>123</v>
      </c>
      <c r="Q74" s="1" t="s">
        <v>2272</v>
      </c>
      <c r="R74" s="1" t="s">
        <v>2272</v>
      </c>
      <c r="S74" s="1" t="s">
        <v>2272</v>
      </c>
      <c r="Y74" t="s">
        <v>2272</v>
      </c>
      <c r="Z74" t="s">
        <v>2272</v>
      </c>
      <c r="AA74" t="s">
        <v>2272</v>
      </c>
      <c r="AB74" t="s">
        <v>2272</v>
      </c>
      <c r="AD74" t="s">
        <v>2272</v>
      </c>
      <c r="AR74" t="s">
        <v>144</v>
      </c>
      <c r="AS74" t="s">
        <v>2587</v>
      </c>
    </row>
    <row r="75" spans="1:45" x14ac:dyDescent="0.2">
      <c r="A75" t="s">
        <v>14</v>
      </c>
      <c r="B75" t="s">
        <v>213</v>
      </c>
      <c r="C75">
        <v>2022</v>
      </c>
      <c r="D75" t="s">
        <v>811</v>
      </c>
      <c r="F75" t="s">
        <v>63</v>
      </c>
      <c r="G75" t="s">
        <v>90</v>
      </c>
      <c r="H75" t="s">
        <v>94</v>
      </c>
      <c r="I75" t="s">
        <v>108</v>
      </c>
      <c r="J75">
        <v>1</v>
      </c>
      <c r="K75" t="s">
        <v>102</v>
      </c>
      <c r="L75">
        <v>2.2999999999999998</v>
      </c>
      <c r="M75">
        <v>7.2900000000000006E-2</v>
      </c>
      <c r="N75" t="s">
        <v>123</v>
      </c>
      <c r="O75" t="s">
        <v>123</v>
      </c>
      <c r="P75" t="s">
        <v>214</v>
      </c>
      <c r="Q75" s="1" t="s">
        <v>2281</v>
      </c>
      <c r="R75" s="1" t="s">
        <v>2282</v>
      </c>
      <c r="S75" s="1" t="s">
        <v>123</v>
      </c>
      <c r="T75" t="s">
        <v>51</v>
      </c>
      <c r="X75" t="s">
        <v>189</v>
      </c>
      <c r="Y75" t="s">
        <v>2279</v>
      </c>
      <c r="Z75" t="s">
        <v>2280</v>
      </c>
      <c r="AA75" t="s">
        <v>2358</v>
      </c>
      <c r="AB75" t="s">
        <v>189</v>
      </c>
      <c r="AC75" t="s">
        <v>162</v>
      </c>
      <c r="AD75" t="s">
        <v>2278</v>
      </c>
      <c r="AF75" t="s">
        <v>49</v>
      </c>
      <c r="AI75" t="s">
        <v>49</v>
      </c>
      <c r="AM75" t="s">
        <v>202</v>
      </c>
      <c r="AN75" t="s">
        <v>166</v>
      </c>
      <c r="AP75" t="s">
        <v>157</v>
      </c>
    </row>
    <row r="76" spans="1:45" x14ac:dyDescent="0.2">
      <c r="A76" t="s">
        <v>14</v>
      </c>
      <c r="B76" t="s">
        <v>213</v>
      </c>
      <c r="C76">
        <v>2022</v>
      </c>
      <c r="D76" t="s">
        <v>811</v>
      </c>
      <c r="F76" t="s">
        <v>63</v>
      </c>
      <c r="G76" t="s">
        <v>90</v>
      </c>
      <c r="H76" t="s">
        <v>94</v>
      </c>
      <c r="I76" t="s">
        <v>108</v>
      </c>
      <c r="J76">
        <v>1</v>
      </c>
      <c r="K76" t="s">
        <v>102</v>
      </c>
      <c r="L76">
        <v>2.2999999999999998</v>
      </c>
      <c r="M76">
        <v>7.2900000000000006E-2</v>
      </c>
      <c r="N76" t="s">
        <v>123</v>
      </c>
      <c r="O76" t="s">
        <v>123</v>
      </c>
      <c r="P76" t="s">
        <v>214</v>
      </c>
      <c r="Q76" s="1" t="s">
        <v>2281</v>
      </c>
      <c r="R76" s="1" t="s">
        <v>2282</v>
      </c>
      <c r="S76" s="1" t="s">
        <v>123</v>
      </c>
      <c r="T76" t="s">
        <v>51</v>
      </c>
      <c r="X76" t="s">
        <v>189</v>
      </c>
      <c r="Y76" t="s">
        <v>2279</v>
      </c>
      <c r="Z76" t="s">
        <v>2280</v>
      </c>
      <c r="AA76" t="s">
        <v>2358</v>
      </c>
      <c r="AB76" t="s">
        <v>189</v>
      </c>
      <c r="AC76" t="s">
        <v>162</v>
      </c>
      <c r="AD76" t="s">
        <v>2278</v>
      </c>
      <c r="AF76" t="s">
        <v>49</v>
      </c>
      <c r="AI76" t="s">
        <v>49</v>
      </c>
      <c r="AM76" t="s">
        <v>202</v>
      </c>
      <c r="AN76" t="s">
        <v>154</v>
      </c>
      <c r="AP76" t="s">
        <v>49</v>
      </c>
    </row>
    <row r="77" spans="1:45" x14ac:dyDescent="0.2">
      <c r="A77" t="s">
        <v>14</v>
      </c>
      <c r="B77" t="s">
        <v>213</v>
      </c>
      <c r="C77">
        <v>2022</v>
      </c>
      <c r="D77" t="s">
        <v>811</v>
      </c>
      <c r="F77" t="s">
        <v>63</v>
      </c>
      <c r="G77" t="s">
        <v>90</v>
      </c>
      <c r="H77" t="s">
        <v>94</v>
      </c>
      <c r="I77" t="s">
        <v>108</v>
      </c>
      <c r="J77">
        <v>1</v>
      </c>
      <c r="K77" t="s">
        <v>102</v>
      </c>
      <c r="L77">
        <v>2.2999999999999998</v>
      </c>
      <c r="M77">
        <v>7.2900000000000006E-2</v>
      </c>
      <c r="N77" t="s">
        <v>123</v>
      </c>
      <c r="O77" t="s">
        <v>123</v>
      </c>
      <c r="P77" t="s">
        <v>214</v>
      </c>
      <c r="Q77" s="1" t="s">
        <v>2281</v>
      </c>
      <c r="R77" s="1" t="s">
        <v>2282</v>
      </c>
      <c r="S77" s="1" t="s">
        <v>123</v>
      </c>
      <c r="T77" t="s">
        <v>51</v>
      </c>
      <c r="X77" t="s">
        <v>189</v>
      </c>
      <c r="Y77" t="s">
        <v>2279</v>
      </c>
      <c r="Z77" t="s">
        <v>2280</v>
      </c>
      <c r="AA77" t="s">
        <v>2358</v>
      </c>
      <c r="AB77" t="s">
        <v>189</v>
      </c>
      <c r="AC77" t="s">
        <v>162</v>
      </c>
      <c r="AD77" t="s">
        <v>2278</v>
      </c>
      <c r="AF77" t="s">
        <v>49</v>
      </c>
      <c r="AI77" t="s">
        <v>49</v>
      </c>
      <c r="AM77" t="s">
        <v>202</v>
      </c>
      <c r="AN77" t="s">
        <v>165</v>
      </c>
    </row>
    <row r="78" spans="1:45" x14ac:dyDescent="0.2">
      <c r="A78" t="s">
        <v>15</v>
      </c>
      <c r="B78" t="s">
        <v>215</v>
      </c>
      <c r="C78">
        <v>2022</v>
      </c>
      <c r="D78" t="s">
        <v>44</v>
      </c>
      <c r="E78" t="s">
        <v>50</v>
      </c>
      <c r="F78" t="s">
        <v>64</v>
      </c>
      <c r="G78" t="s">
        <v>91</v>
      </c>
      <c r="H78" t="s">
        <v>93</v>
      </c>
      <c r="I78" t="s">
        <v>110</v>
      </c>
      <c r="J78">
        <v>16</v>
      </c>
      <c r="K78" t="s">
        <v>109</v>
      </c>
      <c r="L78">
        <v>120</v>
      </c>
      <c r="N78" t="s">
        <v>120</v>
      </c>
      <c r="O78" t="s">
        <v>216</v>
      </c>
      <c r="P78" t="s">
        <v>217</v>
      </c>
      <c r="Q78" s="1" t="s">
        <v>2276</v>
      </c>
      <c r="R78" s="1" t="s">
        <v>669</v>
      </c>
      <c r="S78" s="1" t="s">
        <v>168</v>
      </c>
      <c r="T78" t="s">
        <v>51</v>
      </c>
      <c r="X78" t="s">
        <v>189</v>
      </c>
      <c r="Y78" t="s">
        <v>2279</v>
      </c>
      <c r="Z78" t="s">
        <v>2280</v>
      </c>
      <c r="AA78" t="s">
        <v>2358</v>
      </c>
      <c r="AB78" t="s">
        <v>189</v>
      </c>
      <c r="AC78" t="s">
        <v>162</v>
      </c>
      <c r="AD78" t="s">
        <v>2278</v>
      </c>
      <c r="AE78" t="s">
        <v>218</v>
      </c>
      <c r="AF78" t="s">
        <v>49</v>
      </c>
      <c r="AL78" t="s">
        <v>49</v>
      </c>
      <c r="AM78" t="s">
        <v>219</v>
      </c>
      <c r="AN78" t="s">
        <v>109</v>
      </c>
      <c r="AP78" t="s">
        <v>157</v>
      </c>
      <c r="AR78" t="s">
        <v>144</v>
      </c>
      <c r="AS78" t="s">
        <v>2583</v>
      </c>
    </row>
    <row r="79" spans="1:45" x14ac:dyDescent="0.2">
      <c r="A79" t="s">
        <v>16</v>
      </c>
      <c r="B79" t="s">
        <v>220</v>
      </c>
      <c r="C79">
        <v>2022</v>
      </c>
      <c r="D79" t="s">
        <v>811</v>
      </c>
      <c r="E79" t="s">
        <v>49</v>
      </c>
      <c r="F79" t="s">
        <v>65</v>
      </c>
      <c r="G79" t="s">
        <v>85</v>
      </c>
      <c r="H79" t="s">
        <v>93</v>
      </c>
      <c r="I79">
        <v>2012</v>
      </c>
      <c r="J79">
        <v>0.15</v>
      </c>
      <c r="K79" t="s">
        <v>111</v>
      </c>
      <c r="M79">
        <v>0</v>
      </c>
      <c r="N79" t="s">
        <v>128</v>
      </c>
      <c r="O79" t="s">
        <v>221</v>
      </c>
      <c r="P79" t="s">
        <v>222</v>
      </c>
      <c r="Q79" s="1" t="s">
        <v>2276</v>
      </c>
      <c r="R79" s="1" t="s">
        <v>2350</v>
      </c>
      <c r="S79" s="1" t="s">
        <v>2350</v>
      </c>
      <c r="V79" t="s">
        <v>194</v>
      </c>
      <c r="W79" t="s">
        <v>224</v>
      </c>
      <c r="X79" t="s">
        <v>223</v>
      </c>
      <c r="Y79" t="s">
        <v>2279</v>
      </c>
      <c r="Z79" t="s">
        <v>528</v>
      </c>
      <c r="AA79" t="s">
        <v>2360</v>
      </c>
      <c r="AB79" t="s">
        <v>2581</v>
      </c>
      <c r="AC79" t="s">
        <v>152</v>
      </c>
      <c r="AD79" t="s">
        <v>2278</v>
      </c>
      <c r="AF79" t="s">
        <v>49</v>
      </c>
      <c r="AI79" t="s">
        <v>49</v>
      </c>
      <c r="AM79" t="s">
        <v>192</v>
      </c>
      <c r="AN79" t="s">
        <v>154</v>
      </c>
      <c r="AP79" t="s">
        <v>157</v>
      </c>
      <c r="AR79">
        <v>1</v>
      </c>
    </row>
    <row r="80" spans="1:45" x14ac:dyDescent="0.2">
      <c r="A80" t="s">
        <v>16</v>
      </c>
      <c r="B80" t="s">
        <v>220</v>
      </c>
      <c r="C80">
        <v>2022</v>
      </c>
      <c r="D80" t="s">
        <v>811</v>
      </c>
      <c r="E80" t="s">
        <v>49</v>
      </c>
      <c r="F80" t="s">
        <v>65</v>
      </c>
      <c r="G80" t="s">
        <v>85</v>
      </c>
      <c r="H80" t="s">
        <v>93</v>
      </c>
      <c r="I80">
        <v>2012</v>
      </c>
      <c r="J80">
        <v>0.15</v>
      </c>
      <c r="K80" t="s">
        <v>111</v>
      </c>
      <c r="M80">
        <v>0</v>
      </c>
      <c r="N80" t="s">
        <v>128</v>
      </c>
      <c r="O80" t="s">
        <v>221</v>
      </c>
      <c r="P80" t="s">
        <v>222</v>
      </c>
      <c r="Q80" s="1" t="s">
        <v>2276</v>
      </c>
      <c r="R80" s="1" t="s">
        <v>2350</v>
      </c>
      <c r="S80" s="1" t="s">
        <v>2350</v>
      </c>
      <c r="V80" t="s">
        <v>194</v>
      </c>
      <c r="W80" t="s">
        <v>224</v>
      </c>
      <c r="X80" t="s">
        <v>171</v>
      </c>
      <c r="Y80" t="s">
        <v>2279</v>
      </c>
      <c r="Z80" t="s">
        <v>2280</v>
      </c>
      <c r="AA80" t="s">
        <v>2358</v>
      </c>
      <c r="AB80" t="s">
        <v>2580</v>
      </c>
      <c r="AC80" t="s">
        <v>152</v>
      </c>
      <c r="AD80" t="s">
        <v>2278</v>
      </c>
      <c r="AF80" t="s">
        <v>49</v>
      </c>
      <c r="AI80" t="s">
        <v>49</v>
      </c>
      <c r="AM80" t="s">
        <v>192</v>
      </c>
      <c r="AN80" t="s">
        <v>154</v>
      </c>
      <c r="AP80" t="s">
        <v>157</v>
      </c>
      <c r="AR80">
        <v>1</v>
      </c>
    </row>
    <row r="81" spans="1:44" x14ac:dyDescent="0.2">
      <c r="A81" t="s">
        <v>16</v>
      </c>
      <c r="B81" t="s">
        <v>220</v>
      </c>
      <c r="C81">
        <v>2022</v>
      </c>
      <c r="D81" t="s">
        <v>811</v>
      </c>
      <c r="E81" t="s">
        <v>49</v>
      </c>
      <c r="F81" t="s">
        <v>65</v>
      </c>
      <c r="G81" t="s">
        <v>85</v>
      </c>
      <c r="H81" t="s">
        <v>93</v>
      </c>
      <c r="I81">
        <v>2012</v>
      </c>
      <c r="J81">
        <v>0.15</v>
      </c>
      <c r="K81" t="s">
        <v>111</v>
      </c>
      <c r="M81">
        <v>0</v>
      </c>
      <c r="N81" t="s">
        <v>128</v>
      </c>
      <c r="O81" t="s">
        <v>221</v>
      </c>
      <c r="P81" t="s">
        <v>222</v>
      </c>
      <c r="Q81" s="1" t="s">
        <v>2276</v>
      </c>
      <c r="R81" s="1" t="s">
        <v>2350</v>
      </c>
      <c r="S81" s="1" t="s">
        <v>2350</v>
      </c>
      <c r="V81" t="s">
        <v>194</v>
      </c>
      <c r="W81" t="s">
        <v>224</v>
      </c>
      <c r="X81" t="s">
        <v>223</v>
      </c>
      <c r="Y81" t="s">
        <v>2279</v>
      </c>
      <c r="Z81" t="s">
        <v>528</v>
      </c>
      <c r="AA81" t="s">
        <v>2360</v>
      </c>
      <c r="AB81" t="s">
        <v>2581</v>
      </c>
      <c r="AC81" t="s">
        <v>152</v>
      </c>
      <c r="AD81" t="s">
        <v>2278</v>
      </c>
      <c r="AF81" t="s">
        <v>49</v>
      </c>
      <c r="AI81" t="s">
        <v>49</v>
      </c>
      <c r="AM81" t="s">
        <v>192</v>
      </c>
      <c r="AN81" t="s">
        <v>171</v>
      </c>
      <c r="AP81" t="s">
        <v>51</v>
      </c>
      <c r="AR81">
        <v>1</v>
      </c>
    </row>
    <row r="82" spans="1:44" x14ac:dyDescent="0.2">
      <c r="A82" t="s">
        <v>16</v>
      </c>
      <c r="B82" t="s">
        <v>220</v>
      </c>
      <c r="C82">
        <v>2022</v>
      </c>
      <c r="D82" t="s">
        <v>811</v>
      </c>
      <c r="E82" t="s">
        <v>49</v>
      </c>
      <c r="F82" t="s">
        <v>65</v>
      </c>
      <c r="G82" t="s">
        <v>85</v>
      </c>
      <c r="H82" t="s">
        <v>93</v>
      </c>
      <c r="I82">
        <v>2012</v>
      </c>
      <c r="J82">
        <v>0.15</v>
      </c>
      <c r="K82" t="s">
        <v>111</v>
      </c>
      <c r="M82">
        <v>0</v>
      </c>
      <c r="N82" t="s">
        <v>128</v>
      </c>
      <c r="O82" t="s">
        <v>221</v>
      </c>
      <c r="P82" t="s">
        <v>222</v>
      </c>
      <c r="Q82" s="1" t="s">
        <v>2276</v>
      </c>
      <c r="R82" s="1" t="s">
        <v>2350</v>
      </c>
      <c r="S82" s="1" t="s">
        <v>2350</v>
      </c>
      <c r="V82" t="s">
        <v>194</v>
      </c>
      <c r="W82" t="s">
        <v>224</v>
      </c>
      <c r="X82" t="s">
        <v>171</v>
      </c>
      <c r="Y82" t="s">
        <v>2279</v>
      </c>
      <c r="Z82" t="s">
        <v>2280</v>
      </c>
      <c r="AA82" t="s">
        <v>2358</v>
      </c>
      <c r="AB82" t="s">
        <v>2580</v>
      </c>
      <c r="AC82" t="s">
        <v>152</v>
      </c>
      <c r="AD82" t="s">
        <v>2278</v>
      </c>
      <c r="AF82" t="s">
        <v>49</v>
      </c>
      <c r="AI82" t="s">
        <v>49</v>
      </c>
      <c r="AM82" t="s">
        <v>192</v>
      </c>
      <c r="AN82" t="s">
        <v>171</v>
      </c>
      <c r="AP82" t="s">
        <v>157</v>
      </c>
      <c r="AR82">
        <v>1</v>
      </c>
    </row>
    <row r="83" spans="1:44" x14ac:dyDescent="0.2">
      <c r="A83" t="s">
        <v>16</v>
      </c>
      <c r="B83" t="s">
        <v>220</v>
      </c>
      <c r="C83">
        <v>2022</v>
      </c>
      <c r="D83" t="s">
        <v>811</v>
      </c>
      <c r="E83" t="s">
        <v>49</v>
      </c>
      <c r="F83" t="s">
        <v>65</v>
      </c>
      <c r="G83" t="s">
        <v>85</v>
      </c>
      <c r="H83" t="s">
        <v>93</v>
      </c>
      <c r="I83">
        <v>2012</v>
      </c>
      <c r="J83">
        <v>0.15</v>
      </c>
      <c r="K83" t="s">
        <v>111</v>
      </c>
      <c r="M83">
        <v>0</v>
      </c>
      <c r="N83" t="s">
        <v>128</v>
      </c>
      <c r="O83" t="s">
        <v>221</v>
      </c>
      <c r="P83" t="s">
        <v>222</v>
      </c>
      <c r="Q83" s="1" t="s">
        <v>2276</v>
      </c>
      <c r="R83" s="1" t="s">
        <v>2350</v>
      </c>
      <c r="S83" s="1" t="s">
        <v>2350</v>
      </c>
      <c r="V83" t="s">
        <v>194</v>
      </c>
      <c r="W83" t="s">
        <v>224</v>
      </c>
      <c r="X83" t="s">
        <v>223</v>
      </c>
      <c r="Y83" t="s">
        <v>2279</v>
      </c>
      <c r="Z83" t="s">
        <v>528</v>
      </c>
      <c r="AA83" t="s">
        <v>2360</v>
      </c>
      <c r="AB83" t="s">
        <v>2581</v>
      </c>
      <c r="AC83" t="s">
        <v>152</v>
      </c>
      <c r="AD83" t="s">
        <v>2278</v>
      </c>
      <c r="AF83" t="s">
        <v>49</v>
      </c>
      <c r="AI83" t="s">
        <v>49</v>
      </c>
      <c r="AM83" t="s">
        <v>192</v>
      </c>
      <c r="AN83" t="s">
        <v>166</v>
      </c>
      <c r="AP83" t="s">
        <v>51</v>
      </c>
      <c r="AR83">
        <v>1</v>
      </c>
    </row>
    <row r="84" spans="1:44" x14ac:dyDescent="0.2">
      <c r="A84" t="s">
        <v>16</v>
      </c>
      <c r="B84" t="s">
        <v>220</v>
      </c>
      <c r="C84">
        <v>2022</v>
      </c>
      <c r="D84" t="s">
        <v>811</v>
      </c>
      <c r="E84" t="s">
        <v>49</v>
      </c>
      <c r="F84" t="s">
        <v>65</v>
      </c>
      <c r="G84" t="s">
        <v>85</v>
      </c>
      <c r="H84" t="s">
        <v>93</v>
      </c>
      <c r="I84">
        <v>2012</v>
      </c>
      <c r="J84">
        <v>0.15</v>
      </c>
      <c r="K84" t="s">
        <v>111</v>
      </c>
      <c r="M84">
        <v>0</v>
      </c>
      <c r="N84" t="s">
        <v>128</v>
      </c>
      <c r="O84" t="s">
        <v>221</v>
      </c>
      <c r="P84" t="s">
        <v>222</v>
      </c>
      <c r="Q84" s="1" t="s">
        <v>2276</v>
      </c>
      <c r="R84" s="1" t="s">
        <v>2350</v>
      </c>
      <c r="S84" s="1" t="s">
        <v>2350</v>
      </c>
      <c r="V84" t="s">
        <v>194</v>
      </c>
      <c r="W84" t="s">
        <v>224</v>
      </c>
      <c r="X84" t="s">
        <v>171</v>
      </c>
      <c r="Y84" t="s">
        <v>2279</v>
      </c>
      <c r="Z84" t="s">
        <v>2280</v>
      </c>
      <c r="AA84" t="s">
        <v>2358</v>
      </c>
      <c r="AB84" t="s">
        <v>2580</v>
      </c>
      <c r="AC84" t="s">
        <v>152</v>
      </c>
      <c r="AD84" t="s">
        <v>2278</v>
      </c>
      <c r="AF84" t="s">
        <v>49</v>
      </c>
      <c r="AI84" t="s">
        <v>49</v>
      </c>
      <c r="AM84" t="s">
        <v>192</v>
      </c>
      <c r="AN84" t="s">
        <v>166</v>
      </c>
      <c r="AP84" t="s">
        <v>157</v>
      </c>
      <c r="AR84">
        <v>1</v>
      </c>
    </row>
    <row r="85" spans="1:44" x14ac:dyDescent="0.2">
      <c r="A85" t="s">
        <v>16</v>
      </c>
      <c r="B85" t="s">
        <v>220</v>
      </c>
      <c r="C85">
        <v>2022</v>
      </c>
      <c r="D85" t="s">
        <v>811</v>
      </c>
      <c r="E85" t="s">
        <v>49</v>
      </c>
      <c r="F85" t="s">
        <v>65</v>
      </c>
      <c r="G85" t="s">
        <v>85</v>
      </c>
      <c r="H85" t="s">
        <v>93</v>
      </c>
      <c r="I85">
        <v>2012</v>
      </c>
      <c r="J85">
        <v>0.15</v>
      </c>
      <c r="K85" t="s">
        <v>111</v>
      </c>
      <c r="M85">
        <v>0</v>
      </c>
      <c r="N85" t="s">
        <v>128</v>
      </c>
      <c r="O85" t="s">
        <v>221</v>
      </c>
      <c r="P85" t="s">
        <v>222</v>
      </c>
      <c r="Q85" s="1" t="s">
        <v>2276</v>
      </c>
      <c r="R85" s="1" t="s">
        <v>2350</v>
      </c>
      <c r="S85" s="1" t="s">
        <v>2350</v>
      </c>
      <c r="V85" t="s">
        <v>194</v>
      </c>
      <c r="W85" t="s">
        <v>224</v>
      </c>
      <c r="X85" t="s">
        <v>223</v>
      </c>
      <c r="Y85" t="s">
        <v>2279</v>
      </c>
      <c r="Z85" t="s">
        <v>528</v>
      </c>
      <c r="AA85" t="s">
        <v>2360</v>
      </c>
      <c r="AB85" t="s">
        <v>2581</v>
      </c>
      <c r="AC85" t="s">
        <v>152</v>
      </c>
      <c r="AD85" t="s">
        <v>2278</v>
      </c>
      <c r="AF85" t="s">
        <v>49</v>
      </c>
      <c r="AI85" t="s">
        <v>49</v>
      </c>
      <c r="AM85" t="s">
        <v>192</v>
      </c>
      <c r="AN85" t="s">
        <v>165</v>
      </c>
      <c r="AP85" t="s">
        <v>49</v>
      </c>
      <c r="AR85">
        <v>1</v>
      </c>
    </row>
    <row r="86" spans="1:44" x14ac:dyDescent="0.2">
      <c r="A86" t="s">
        <v>16</v>
      </c>
      <c r="B86" t="s">
        <v>220</v>
      </c>
      <c r="C86">
        <v>2022</v>
      </c>
      <c r="D86" t="s">
        <v>811</v>
      </c>
      <c r="E86" t="s">
        <v>49</v>
      </c>
      <c r="F86" t="s">
        <v>65</v>
      </c>
      <c r="G86" t="s">
        <v>85</v>
      </c>
      <c r="H86" t="s">
        <v>93</v>
      </c>
      <c r="I86">
        <v>2012</v>
      </c>
      <c r="J86">
        <v>0.15</v>
      </c>
      <c r="K86" t="s">
        <v>111</v>
      </c>
      <c r="M86">
        <v>0</v>
      </c>
      <c r="N86" t="s">
        <v>128</v>
      </c>
      <c r="O86" t="s">
        <v>221</v>
      </c>
      <c r="P86" t="s">
        <v>754</v>
      </c>
      <c r="Q86" s="1" t="s">
        <v>2276</v>
      </c>
      <c r="R86" t="s">
        <v>755</v>
      </c>
      <c r="S86" s="1" t="s">
        <v>2352</v>
      </c>
      <c r="T86" s="1" t="s">
        <v>396</v>
      </c>
      <c r="U86" s="1" t="s">
        <v>2463</v>
      </c>
      <c r="V86" t="s">
        <v>194</v>
      </c>
      <c r="W86" t="s">
        <v>224</v>
      </c>
      <c r="X86" t="s">
        <v>161</v>
      </c>
      <c r="Y86" t="s">
        <v>2272</v>
      </c>
      <c r="Z86" t="s">
        <v>2272</v>
      </c>
      <c r="AA86" t="s">
        <v>2272</v>
      </c>
      <c r="AB86" t="s">
        <v>2272</v>
      </c>
      <c r="AC86" t="s">
        <v>162</v>
      </c>
      <c r="AD86" t="s">
        <v>2272</v>
      </c>
      <c r="AF86" t="s">
        <v>49</v>
      </c>
      <c r="AI86" t="s">
        <v>49</v>
      </c>
      <c r="AM86" t="s">
        <v>192</v>
      </c>
      <c r="AN86" t="s">
        <v>154</v>
      </c>
      <c r="AR86">
        <v>1</v>
      </c>
    </row>
    <row r="87" spans="1:44" x14ac:dyDescent="0.2">
      <c r="A87" t="s">
        <v>16</v>
      </c>
      <c r="B87" t="s">
        <v>220</v>
      </c>
      <c r="C87">
        <v>2022</v>
      </c>
      <c r="D87" t="s">
        <v>811</v>
      </c>
      <c r="E87" t="s">
        <v>49</v>
      </c>
      <c r="F87" t="s">
        <v>65</v>
      </c>
      <c r="G87" t="s">
        <v>85</v>
      </c>
      <c r="H87" t="s">
        <v>93</v>
      </c>
      <c r="I87">
        <v>2012</v>
      </c>
      <c r="J87">
        <v>0.15</v>
      </c>
      <c r="K87" t="s">
        <v>111</v>
      </c>
      <c r="M87">
        <v>0</v>
      </c>
      <c r="N87" t="s">
        <v>128</v>
      </c>
      <c r="O87" t="s">
        <v>221</v>
      </c>
      <c r="P87" t="s">
        <v>2461</v>
      </c>
      <c r="Q87" s="1" t="s">
        <v>2276</v>
      </c>
      <c r="R87" s="1" t="s">
        <v>751</v>
      </c>
      <c r="S87" s="1" t="s">
        <v>2346</v>
      </c>
      <c r="T87" s="1" t="s">
        <v>396</v>
      </c>
      <c r="U87" s="1" t="s">
        <v>2464</v>
      </c>
      <c r="V87" t="s">
        <v>194</v>
      </c>
      <c r="W87" t="s">
        <v>224</v>
      </c>
      <c r="X87" t="s">
        <v>161</v>
      </c>
      <c r="Y87" t="s">
        <v>2272</v>
      </c>
      <c r="Z87" t="s">
        <v>2272</v>
      </c>
      <c r="AA87" t="s">
        <v>2272</v>
      </c>
      <c r="AB87" t="s">
        <v>2272</v>
      </c>
      <c r="AC87" t="s">
        <v>162</v>
      </c>
      <c r="AD87" t="s">
        <v>2272</v>
      </c>
      <c r="AF87" t="s">
        <v>49</v>
      </c>
      <c r="AI87" t="s">
        <v>49</v>
      </c>
      <c r="AM87" t="s">
        <v>192</v>
      </c>
      <c r="AN87" t="s">
        <v>154</v>
      </c>
      <c r="AR87">
        <v>1</v>
      </c>
    </row>
    <row r="88" spans="1:44" x14ac:dyDescent="0.2">
      <c r="A88" t="s">
        <v>16</v>
      </c>
      <c r="B88" t="s">
        <v>220</v>
      </c>
      <c r="C88">
        <v>2022</v>
      </c>
      <c r="D88" t="s">
        <v>811</v>
      </c>
      <c r="E88" t="s">
        <v>49</v>
      </c>
      <c r="F88" t="s">
        <v>65</v>
      </c>
      <c r="G88" t="s">
        <v>85</v>
      </c>
      <c r="H88" t="s">
        <v>93</v>
      </c>
      <c r="I88">
        <v>2012</v>
      </c>
      <c r="J88">
        <v>0.15</v>
      </c>
      <c r="K88" t="s">
        <v>111</v>
      </c>
      <c r="M88">
        <v>0</v>
      </c>
      <c r="N88" t="s">
        <v>128</v>
      </c>
      <c r="O88" t="s">
        <v>221</v>
      </c>
      <c r="P88" t="s">
        <v>2462</v>
      </c>
      <c r="Q88" s="1" t="s">
        <v>2276</v>
      </c>
      <c r="R88" s="1" t="s">
        <v>751</v>
      </c>
      <c r="S88" s="1" t="s">
        <v>2346</v>
      </c>
      <c r="T88" s="1" t="s">
        <v>396</v>
      </c>
      <c r="U88" s="1" t="s">
        <v>2464</v>
      </c>
      <c r="V88" t="s">
        <v>194</v>
      </c>
      <c r="W88" t="s">
        <v>224</v>
      </c>
      <c r="X88" t="s">
        <v>161</v>
      </c>
      <c r="Y88" t="s">
        <v>2272</v>
      </c>
      <c r="Z88" t="s">
        <v>2272</v>
      </c>
      <c r="AA88" t="s">
        <v>2272</v>
      </c>
      <c r="AB88" t="s">
        <v>2272</v>
      </c>
      <c r="AC88" t="s">
        <v>162</v>
      </c>
      <c r="AD88" t="s">
        <v>2272</v>
      </c>
      <c r="AF88" t="s">
        <v>49</v>
      </c>
      <c r="AI88" t="s">
        <v>49</v>
      </c>
      <c r="AM88" t="s">
        <v>192</v>
      </c>
      <c r="AN88" t="s">
        <v>154</v>
      </c>
      <c r="AR88">
        <v>1</v>
      </c>
    </row>
    <row r="89" spans="1:44" x14ac:dyDescent="0.2">
      <c r="A89" t="s">
        <v>16</v>
      </c>
      <c r="B89" t="s">
        <v>220</v>
      </c>
      <c r="C89">
        <v>2022</v>
      </c>
      <c r="D89" t="s">
        <v>811</v>
      </c>
      <c r="E89" t="s">
        <v>49</v>
      </c>
      <c r="F89" t="s">
        <v>65</v>
      </c>
      <c r="G89" t="s">
        <v>85</v>
      </c>
      <c r="H89" t="s">
        <v>93</v>
      </c>
      <c r="I89">
        <v>2012</v>
      </c>
      <c r="J89">
        <v>0.15</v>
      </c>
      <c r="K89" t="s">
        <v>111</v>
      </c>
      <c r="M89">
        <v>0</v>
      </c>
      <c r="N89" t="s">
        <v>128</v>
      </c>
      <c r="O89" t="s">
        <v>221</v>
      </c>
      <c r="P89" t="s">
        <v>224</v>
      </c>
      <c r="Q89" s="1" t="s">
        <v>2276</v>
      </c>
      <c r="R89" s="1" t="s">
        <v>751</v>
      </c>
      <c r="S89" s="1" t="s">
        <v>2346</v>
      </c>
      <c r="T89" s="1" t="s">
        <v>396</v>
      </c>
      <c r="U89" s="1" t="s">
        <v>2464</v>
      </c>
      <c r="V89" t="s">
        <v>194</v>
      </c>
      <c r="W89" t="s">
        <v>224</v>
      </c>
      <c r="X89" t="s">
        <v>161</v>
      </c>
      <c r="Y89" t="s">
        <v>2272</v>
      </c>
      <c r="Z89" t="s">
        <v>2272</v>
      </c>
      <c r="AA89" t="s">
        <v>2272</v>
      </c>
      <c r="AB89" t="s">
        <v>2272</v>
      </c>
      <c r="AC89" t="s">
        <v>162</v>
      </c>
      <c r="AD89" t="s">
        <v>2272</v>
      </c>
      <c r="AF89" t="s">
        <v>49</v>
      </c>
      <c r="AI89" t="s">
        <v>49</v>
      </c>
      <c r="AM89" t="s">
        <v>192</v>
      </c>
      <c r="AN89" t="s">
        <v>154</v>
      </c>
      <c r="AR89">
        <v>1</v>
      </c>
    </row>
    <row r="90" spans="1:44" x14ac:dyDescent="0.2">
      <c r="A90" t="s">
        <v>17</v>
      </c>
      <c r="B90" t="s">
        <v>225</v>
      </c>
      <c r="C90">
        <v>2022</v>
      </c>
      <c r="D90" t="s">
        <v>44</v>
      </c>
      <c r="F90" t="s">
        <v>66</v>
      </c>
      <c r="G90" t="s">
        <v>89</v>
      </c>
      <c r="H90" t="s">
        <v>93</v>
      </c>
      <c r="I90">
        <v>2018</v>
      </c>
      <c r="J90">
        <v>0</v>
      </c>
      <c r="K90" t="s">
        <v>101</v>
      </c>
      <c r="N90" t="s">
        <v>123</v>
      </c>
      <c r="O90" t="s">
        <v>123</v>
      </c>
      <c r="P90" t="s">
        <v>2258</v>
      </c>
      <c r="Q90" s="1" t="s">
        <v>2281</v>
      </c>
      <c r="R90" s="1" t="s">
        <v>2282</v>
      </c>
      <c r="S90" s="1" t="s">
        <v>123</v>
      </c>
      <c r="T90" t="s">
        <v>51</v>
      </c>
      <c r="X90" t="s">
        <v>226</v>
      </c>
      <c r="Y90" t="s">
        <v>2273</v>
      </c>
      <c r="Z90" t="s">
        <v>2356</v>
      </c>
      <c r="AA90" t="s">
        <v>2357</v>
      </c>
      <c r="AB90" t="s">
        <v>2277</v>
      </c>
      <c r="AC90" t="s">
        <v>152</v>
      </c>
      <c r="AD90" t="s">
        <v>137</v>
      </c>
      <c r="AE90" t="s">
        <v>229</v>
      </c>
      <c r="AI90" t="s">
        <v>49</v>
      </c>
      <c r="AM90" t="s">
        <v>2315</v>
      </c>
      <c r="AN90" t="s">
        <v>154</v>
      </c>
    </row>
    <row r="91" spans="1:44" x14ac:dyDescent="0.2">
      <c r="A91" t="s">
        <v>17</v>
      </c>
      <c r="B91" t="s">
        <v>225</v>
      </c>
      <c r="C91">
        <v>2022</v>
      </c>
      <c r="D91" t="s">
        <v>44</v>
      </c>
      <c r="F91" t="s">
        <v>66</v>
      </c>
      <c r="G91" t="s">
        <v>89</v>
      </c>
      <c r="H91" t="s">
        <v>93</v>
      </c>
      <c r="I91">
        <v>2018</v>
      </c>
      <c r="J91">
        <v>0</v>
      </c>
      <c r="K91" t="s">
        <v>101</v>
      </c>
      <c r="N91" t="s">
        <v>123</v>
      </c>
      <c r="O91" t="s">
        <v>123</v>
      </c>
      <c r="P91" t="s">
        <v>2258</v>
      </c>
      <c r="Q91" s="1" t="s">
        <v>2281</v>
      </c>
      <c r="R91" s="1" t="s">
        <v>2282</v>
      </c>
      <c r="S91" s="1" t="s">
        <v>123</v>
      </c>
      <c r="T91" t="s">
        <v>51</v>
      </c>
      <c r="X91" t="s">
        <v>228</v>
      </c>
      <c r="Y91" t="s">
        <v>2273</v>
      </c>
      <c r="Z91" t="s">
        <v>249</v>
      </c>
      <c r="AA91" t="s">
        <v>2359</v>
      </c>
      <c r="AB91" t="s">
        <v>1419</v>
      </c>
      <c r="AC91" t="s">
        <v>152</v>
      </c>
      <c r="AD91" t="s">
        <v>137</v>
      </c>
      <c r="AE91" t="s">
        <v>229</v>
      </c>
      <c r="AI91" t="s">
        <v>49</v>
      </c>
      <c r="AM91" t="s">
        <v>2315</v>
      </c>
      <c r="AN91" t="s">
        <v>154</v>
      </c>
    </row>
    <row r="92" spans="1:44" x14ac:dyDescent="0.2">
      <c r="A92" t="s">
        <v>17</v>
      </c>
      <c r="B92" t="s">
        <v>225</v>
      </c>
      <c r="C92">
        <v>2022</v>
      </c>
      <c r="D92" t="s">
        <v>44</v>
      </c>
      <c r="F92" t="s">
        <v>66</v>
      </c>
      <c r="G92" t="s">
        <v>89</v>
      </c>
      <c r="H92" t="s">
        <v>93</v>
      </c>
      <c r="I92">
        <v>2018</v>
      </c>
      <c r="J92">
        <v>0</v>
      </c>
      <c r="K92" t="s">
        <v>101</v>
      </c>
      <c r="N92" t="s">
        <v>123</v>
      </c>
      <c r="O92" t="s">
        <v>123</v>
      </c>
      <c r="P92" t="s">
        <v>2258</v>
      </c>
      <c r="Q92" s="1" t="s">
        <v>2281</v>
      </c>
      <c r="R92" s="1" t="s">
        <v>2282</v>
      </c>
      <c r="S92" s="1" t="s">
        <v>123</v>
      </c>
      <c r="T92" t="s">
        <v>51</v>
      </c>
      <c r="X92" t="s">
        <v>189</v>
      </c>
      <c r="Y92" t="s">
        <v>2279</v>
      </c>
      <c r="Z92" t="s">
        <v>2280</v>
      </c>
      <c r="AA92" t="s">
        <v>2358</v>
      </c>
      <c r="AB92" t="s">
        <v>189</v>
      </c>
      <c r="AC92" t="s">
        <v>152</v>
      </c>
      <c r="AD92" t="s">
        <v>2278</v>
      </c>
      <c r="AE92" t="s">
        <v>229</v>
      </c>
      <c r="AI92" t="s">
        <v>49</v>
      </c>
      <c r="AM92" t="s">
        <v>2315</v>
      </c>
      <c r="AN92" t="s">
        <v>154</v>
      </c>
    </row>
    <row r="93" spans="1:44" x14ac:dyDescent="0.2">
      <c r="A93" t="s">
        <v>17</v>
      </c>
      <c r="B93" t="s">
        <v>225</v>
      </c>
      <c r="C93">
        <v>2022</v>
      </c>
      <c r="D93" t="s">
        <v>44</v>
      </c>
      <c r="F93" t="s">
        <v>66</v>
      </c>
      <c r="G93" t="s">
        <v>89</v>
      </c>
      <c r="H93" t="s">
        <v>93</v>
      </c>
      <c r="I93">
        <v>2018</v>
      </c>
      <c r="J93">
        <v>0</v>
      </c>
      <c r="K93" t="s">
        <v>101</v>
      </c>
      <c r="N93" t="s">
        <v>123</v>
      </c>
      <c r="O93" t="s">
        <v>123</v>
      </c>
      <c r="P93" t="s">
        <v>2258</v>
      </c>
      <c r="Q93" s="1" t="s">
        <v>2281</v>
      </c>
      <c r="R93" s="1" t="s">
        <v>2282</v>
      </c>
      <c r="S93" s="1" t="s">
        <v>123</v>
      </c>
      <c r="T93" t="s">
        <v>51</v>
      </c>
      <c r="X93" t="s">
        <v>161</v>
      </c>
      <c r="Y93" t="s">
        <v>2272</v>
      </c>
      <c r="Z93" t="s">
        <v>2272</v>
      </c>
      <c r="AA93" t="s">
        <v>2272</v>
      </c>
      <c r="AB93" t="s">
        <v>2272</v>
      </c>
      <c r="AC93" t="s">
        <v>162</v>
      </c>
      <c r="AD93" t="s">
        <v>2272</v>
      </c>
      <c r="AE93" t="s">
        <v>229</v>
      </c>
      <c r="AI93" t="s">
        <v>49</v>
      </c>
      <c r="AM93" t="s">
        <v>2315</v>
      </c>
      <c r="AN93" t="s">
        <v>154</v>
      </c>
      <c r="AP93" t="s">
        <v>49</v>
      </c>
    </row>
    <row r="94" spans="1:44" x14ac:dyDescent="0.2">
      <c r="A94" t="s">
        <v>18</v>
      </c>
      <c r="B94" t="s">
        <v>230</v>
      </c>
      <c r="C94">
        <v>2022</v>
      </c>
      <c r="D94" t="s">
        <v>44</v>
      </c>
      <c r="F94" t="s">
        <v>67</v>
      </c>
      <c r="G94" t="s">
        <v>91</v>
      </c>
      <c r="H94" t="s">
        <v>93</v>
      </c>
      <c r="I94" t="s">
        <v>112</v>
      </c>
      <c r="J94">
        <v>0</v>
      </c>
      <c r="K94" t="s">
        <v>101</v>
      </c>
      <c r="L94">
        <v>10</v>
      </c>
      <c r="M94">
        <v>7.0000000000000007E-2</v>
      </c>
      <c r="N94" t="s">
        <v>121</v>
      </c>
      <c r="O94" t="s">
        <v>121</v>
      </c>
      <c r="P94" t="s">
        <v>286</v>
      </c>
      <c r="Q94" s="1" t="s">
        <v>2292</v>
      </c>
      <c r="R94" s="1" t="s">
        <v>264</v>
      </c>
      <c r="S94" s="1" t="s">
        <v>264</v>
      </c>
      <c r="T94" t="s">
        <v>51</v>
      </c>
      <c r="X94" t="s">
        <v>189</v>
      </c>
      <c r="Y94" t="s">
        <v>2279</v>
      </c>
      <c r="Z94" t="s">
        <v>2280</v>
      </c>
      <c r="AA94" t="s">
        <v>2358</v>
      </c>
      <c r="AB94" t="s">
        <v>189</v>
      </c>
      <c r="AC94" t="s">
        <v>152</v>
      </c>
      <c r="AD94" t="s">
        <v>2278</v>
      </c>
      <c r="AE94" t="s">
        <v>238</v>
      </c>
      <c r="AH94" s="4" t="s">
        <v>49</v>
      </c>
      <c r="AI94" t="s">
        <v>49</v>
      </c>
      <c r="AM94" t="s">
        <v>233</v>
      </c>
      <c r="AN94" t="s">
        <v>109</v>
      </c>
      <c r="AO94" t="s">
        <v>414</v>
      </c>
      <c r="AP94" t="s">
        <v>51</v>
      </c>
    </row>
    <row r="95" spans="1:44" x14ac:dyDescent="0.2">
      <c r="A95" t="s">
        <v>18</v>
      </c>
      <c r="B95" t="s">
        <v>230</v>
      </c>
      <c r="C95">
        <v>2022</v>
      </c>
      <c r="D95" t="s">
        <v>44</v>
      </c>
      <c r="F95" t="s">
        <v>67</v>
      </c>
      <c r="G95" t="s">
        <v>91</v>
      </c>
      <c r="H95" t="s">
        <v>93</v>
      </c>
      <c r="I95" t="s">
        <v>112</v>
      </c>
      <c r="J95">
        <v>0</v>
      </c>
      <c r="K95" t="s">
        <v>101</v>
      </c>
      <c r="L95">
        <v>10</v>
      </c>
      <c r="M95">
        <v>7.0000000000000007E-2</v>
      </c>
      <c r="N95" t="s">
        <v>121</v>
      </c>
      <c r="O95" t="s">
        <v>121</v>
      </c>
      <c r="P95" t="s">
        <v>286</v>
      </c>
      <c r="Q95" s="1" t="s">
        <v>2292</v>
      </c>
      <c r="R95" s="1" t="s">
        <v>264</v>
      </c>
      <c r="S95" s="1" t="s">
        <v>264</v>
      </c>
      <c r="T95" t="s">
        <v>51</v>
      </c>
      <c r="X95" t="s">
        <v>231</v>
      </c>
      <c r="Y95" t="s">
        <v>2273</v>
      </c>
      <c r="Z95" t="s">
        <v>249</v>
      </c>
      <c r="AA95" t="s">
        <v>2359</v>
      </c>
      <c r="AB95" t="s">
        <v>1419</v>
      </c>
      <c r="AC95" t="s">
        <v>152</v>
      </c>
      <c r="AD95" t="s">
        <v>2288</v>
      </c>
      <c r="AE95" t="s">
        <v>237</v>
      </c>
      <c r="AH95" s="4" t="s">
        <v>49</v>
      </c>
      <c r="AI95" t="s">
        <v>49</v>
      </c>
      <c r="AM95" t="s">
        <v>233</v>
      </c>
      <c r="AN95" t="s">
        <v>109</v>
      </c>
      <c r="AO95" t="s">
        <v>414</v>
      </c>
      <c r="AP95" t="s">
        <v>51</v>
      </c>
    </row>
    <row r="96" spans="1:44" x14ac:dyDescent="0.2">
      <c r="A96" t="s">
        <v>18</v>
      </c>
      <c r="B96" t="s">
        <v>230</v>
      </c>
      <c r="C96">
        <v>2022</v>
      </c>
      <c r="D96" t="s">
        <v>44</v>
      </c>
      <c r="F96" t="s">
        <v>67</v>
      </c>
      <c r="G96" t="s">
        <v>91</v>
      </c>
      <c r="H96" t="s">
        <v>93</v>
      </c>
      <c r="I96" t="s">
        <v>112</v>
      </c>
      <c r="J96">
        <v>0</v>
      </c>
      <c r="K96" t="s">
        <v>101</v>
      </c>
      <c r="L96">
        <v>10</v>
      </c>
      <c r="M96">
        <v>7.0000000000000007E-2</v>
      </c>
      <c r="N96" t="s">
        <v>121</v>
      </c>
      <c r="O96" t="s">
        <v>121</v>
      </c>
      <c r="P96" t="s">
        <v>286</v>
      </c>
      <c r="Q96" s="1" t="s">
        <v>2292</v>
      </c>
      <c r="R96" s="1" t="s">
        <v>264</v>
      </c>
      <c r="S96" s="1" t="s">
        <v>264</v>
      </c>
      <c r="T96" t="s">
        <v>51</v>
      </c>
      <c r="X96" t="s">
        <v>232</v>
      </c>
      <c r="Y96" t="s">
        <v>2273</v>
      </c>
      <c r="Z96" t="s">
        <v>249</v>
      </c>
      <c r="AA96" t="s">
        <v>2359</v>
      </c>
      <c r="AB96" t="s">
        <v>1419</v>
      </c>
      <c r="AC96" t="s">
        <v>152</v>
      </c>
      <c r="AD96" t="s">
        <v>2288</v>
      </c>
      <c r="AE96" t="s">
        <v>237</v>
      </c>
      <c r="AH96" s="4" t="s">
        <v>49</v>
      </c>
      <c r="AI96" t="s">
        <v>49</v>
      </c>
      <c r="AM96" t="s">
        <v>233</v>
      </c>
      <c r="AN96" t="s">
        <v>109</v>
      </c>
      <c r="AO96" t="s">
        <v>414</v>
      </c>
      <c r="AP96" t="s">
        <v>51</v>
      </c>
    </row>
    <row r="97" spans="1:43" x14ac:dyDescent="0.2">
      <c r="A97" t="s">
        <v>18</v>
      </c>
      <c r="B97" t="s">
        <v>230</v>
      </c>
      <c r="C97">
        <v>2022</v>
      </c>
      <c r="D97" t="s">
        <v>44</v>
      </c>
      <c r="F97" t="s">
        <v>67</v>
      </c>
      <c r="G97" t="s">
        <v>91</v>
      </c>
      <c r="H97" t="s">
        <v>93</v>
      </c>
      <c r="I97" t="s">
        <v>112</v>
      </c>
      <c r="J97">
        <v>0</v>
      </c>
      <c r="K97" t="s">
        <v>101</v>
      </c>
      <c r="L97">
        <v>10</v>
      </c>
      <c r="N97" t="s">
        <v>121</v>
      </c>
      <c r="O97" t="s">
        <v>121</v>
      </c>
      <c r="P97" t="s">
        <v>286</v>
      </c>
      <c r="Q97" s="1" t="s">
        <v>2292</v>
      </c>
      <c r="R97" s="1" t="s">
        <v>264</v>
      </c>
      <c r="S97" s="1" t="s">
        <v>264</v>
      </c>
      <c r="T97" t="s">
        <v>51</v>
      </c>
      <c r="X97" t="s">
        <v>211</v>
      </c>
      <c r="Y97" t="s">
        <v>2279</v>
      </c>
      <c r="Z97" t="s">
        <v>2280</v>
      </c>
      <c r="AA97" t="s">
        <v>2358</v>
      </c>
      <c r="AB97" t="s">
        <v>2290</v>
      </c>
      <c r="AC97" t="s">
        <v>152</v>
      </c>
      <c r="AD97" t="s">
        <v>2278</v>
      </c>
      <c r="AE97" t="s">
        <v>237</v>
      </c>
      <c r="AH97" s="4" t="s">
        <v>49</v>
      </c>
      <c r="AI97" t="s">
        <v>49</v>
      </c>
      <c r="AM97" t="s">
        <v>233</v>
      </c>
      <c r="AN97" t="s">
        <v>109</v>
      </c>
      <c r="AO97" t="s">
        <v>414</v>
      </c>
      <c r="AP97" t="s">
        <v>51</v>
      </c>
    </row>
    <row r="98" spans="1:43" x14ac:dyDescent="0.2">
      <c r="A98" t="s">
        <v>18</v>
      </c>
      <c r="B98" t="s">
        <v>230</v>
      </c>
      <c r="C98">
        <v>2022</v>
      </c>
      <c r="D98" t="s">
        <v>44</v>
      </c>
      <c r="F98" t="s">
        <v>67</v>
      </c>
      <c r="G98" t="s">
        <v>91</v>
      </c>
      <c r="H98" t="s">
        <v>93</v>
      </c>
      <c r="I98" t="s">
        <v>112</v>
      </c>
      <c r="J98">
        <v>0</v>
      </c>
      <c r="K98" t="s">
        <v>101</v>
      </c>
      <c r="L98">
        <v>10</v>
      </c>
      <c r="N98" t="s">
        <v>121</v>
      </c>
      <c r="O98" t="s">
        <v>121</v>
      </c>
      <c r="P98" t="s">
        <v>286</v>
      </c>
      <c r="Q98" s="1" t="s">
        <v>2292</v>
      </c>
      <c r="R98" s="1" t="s">
        <v>264</v>
      </c>
      <c r="S98" s="1" t="s">
        <v>264</v>
      </c>
      <c r="T98" t="s">
        <v>396</v>
      </c>
      <c r="X98" t="s">
        <v>161</v>
      </c>
      <c r="Y98" t="s">
        <v>2272</v>
      </c>
      <c r="Z98" t="s">
        <v>2272</v>
      </c>
      <c r="AA98" t="s">
        <v>2272</v>
      </c>
      <c r="AB98" t="s">
        <v>2272</v>
      </c>
      <c r="AC98" t="s">
        <v>162</v>
      </c>
      <c r="AD98" t="s">
        <v>2272</v>
      </c>
      <c r="AE98" t="s">
        <v>237</v>
      </c>
      <c r="AH98" s="4" t="s">
        <v>49</v>
      </c>
      <c r="AI98" t="s">
        <v>49</v>
      </c>
      <c r="AM98" t="s">
        <v>233</v>
      </c>
      <c r="AN98" t="s">
        <v>165</v>
      </c>
      <c r="AP98" t="s">
        <v>49</v>
      </c>
    </row>
    <row r="99" spans="1:43" x14ac:dyDescent="0.2">
      <c r="A99" t="s">
        <v>18</v>
      </c>
      <c r="B99" t="s">
        <v>230</v>
      </c>
      <c r="C99">
        <v>2022</v>
      </c>
      <c r="D99" t="s">
        <v>44</v>
      </c>
      <c r="F99" t="s">
        <v>67</v>
      </c>
      <c r="G99" t="s">
        <v>91</v>
      </c>
      <c r="H99" t="s">
        <v>93</v>
      </c>
      <c r="I99" t="s">
        <v>112</v>
      </c>
      <c r="J99">
        <v>0</v>
      </c>
      <c r="K99" t="s">
        <v>101</v>
      </c>
      <c r="L99">
        <v>10</v>
      </c>
      <c r="N99" t="s">
        <v>121</v>
      </c>
      <c r="O99" t="s">
        <v>121</v>
      </c>
      <c r="P99" t="s">
        <v>286</v>
      </c>
      <c r="Q99" s="1" t="s">
        <v>2292</v>
      </c>
      <c r="R99" s="1" t="s">
        <v>264</v>
      </c>
      <c r="S99" s="1" t="s">
        <v>264</v>
      </c>
      <c r="T99" t="s">
        <v>51</v>
      </c>
      <c r="X99" t="s">
        <v>234</v>
      </c>
      <c r="Y99" t="s">
        <v>2279</v>
      </c>
      <c r="Z99" t="s">
        <v>2280</v>
      </c>
      <c r="AA99" t="s">
        <v>2358</v>
      </c>
      <c r="AB99" t="s">
        <v>2459</v>
      </c>
      <c r="AC99" t="s">
        <v>152</v>
      </c>
      <c r="AD99" t="s">
        <v>2278</v>
      </c>
      <c r="AE99" t="s">
        <v>237</v>
      </c>
      <c r="AH99" s="4" t="s">
        <v>49</v>
      </c>
      <c r="AI99" t="s">
        <v>49</v>
      </c>
      <c r="AM99" t="s">
        <v>233</v>
      </c>
      <c r="AN99" t="s">
        <v>109</v>
      </c>
      <c r="AO99" t="s">
        <v>414</v>
      </c>
      <c r="AP99" t="s">
        <v>51</v>
      </c>
    </row>
    <row r="100" spans="1:43" x14ac:dyDescent="0.2">
      <c r="A100" t="s">
        <v>18</v>
      </c>
      <c r="B100" t="s">
        <v>230</v>
      </c>
      <c r="C100">
        <v>2022</v>
      </c>
      <c r="D100" t="s">
        <v>44</v>
      </c>
      <c r="F100" t="s">
        <v>67</v>
      </c>
      <c r="G100" t="s">
        <v>91</v>
      </c>
      <c r="H100" t="s">
        <v>93</v>
      </c>
      <c r="I100" t="s">
        <v>112</v>
      </c>
      <c r="J100">
        <v>0</v>
      </c>
      <c r="K100" t="s">
        <v>101</v>
      </c>
      <c r="L100">
        <v>10</v>
      </c>
      <c r="N100" t="s">
        <v>121</v>
      </c>
      <c r="O100" t="s">
        <v>121</v>
      </c>
      <c r="P100" t="s">
        <v>286</v>
      </c>
      <c r="Q100" s="1" t="s">
        <v>2292</v>
      </c>
      <c r="R100" s="1" t="s">
        <v>264</v>
      </c>
      <c r="S100" s="1" t="s">
        <v>264</v>
      </c>
      <c r="T100" t="s">
        <v>51</v>
      </c>
      <c r="X100" t="s">
        <v>235</v>
      </c>
      <c r="Y100" t="s">
        <v>2279</v>
      </c>
      <c r="Z100" t="s">
        <v>2280</v>
      </c>
      <c r="AA100" t="s">
        <v>2358</v>
      </c>
      <c r="AB100" t="s">
        <v>2009</v>
      </c>
      <c r="AC100" t="s">
        <v>152</v>
      </c>
      <c r="AD100" t="s">
        <v>2278</v>
      </c>
      <c r="AE100" t="s">
        <v>237</v>
      </c>
      <c r="AH100" s="4" t="s">
        <v>49</v>
      </c>
      <c r="AI100" t="s">
        <v>49</v>
      </c>
      <c r="AM100" t="s">
        <v>233</v>
      </c>
      <c r="AN100" t="s">
        <v>109</v>
      </c>
      <c r="AO100" t="s">
        <v>414</v>
      </c>
      <c r="AP100" t="s">
        <v>51</v>
      </c>
    </row>
    <row r="101" spans="1:43" x14ac:dyDescent="0.2">
      <c r="A101" t="s">
        <v>18</v>
      </c>
      <c r="B101" t="s">
        <v>230</v>
      </c>
      <c r="C101">
        <v>2022</v>
      </c>
      <c r="D101" t="s">
        <v>44</v>
      </c>
      <c r="F101" t="s">
        <v>67</v>
      </c>
      <c r="G101" t="s">
        <v>91</v>
      </c>
      <c r="H101" t="s">
        <v>93</v>
      </c>
      <c r="I101" t="s">
        <v>112</v>
      </c>
      <c r="J101">
        <v>0</v>
      </c>
      <c r="K101" t="s">
        <v>101</v>
      </c>
      <c r="L101">
        <v>10</v>
      </c>
      <c r="N101" t="s">
        <v>121</v>
      </c>
      <c r="O101" t="s">
        <v>121</v>
      </c>
      <c r="P101" t="s">
        <v>286</v>
      </c>
      <c r="Q101" s="1" t="s">
        <v>2292</v>
      </c>
      <c r="R101" s="1" t="s">
        <v>264</v>
      </c>
      <c r="S101" s="1" t="s">
        <v>264</v>
      </c>
      <c r="T101" t="s">
        <v>51</v>
      </c>
      <c r="X101" t="s">
        <v>236</v>
      </c>
      <c r="Y101" t="s">
        <v>2279</v>
      </c>
      <c r="Z101" t="s">
        <v>2280</v>
      </c>
      <c r="AA101" t="s">
        <v>2286</v>
      </c>
      <c r="AB101" t="s">
        <v>2287</v>
      </c>
      <c r="AC101" t="s">
        <v>315</v>
      </c>
      <c r="AD101" t="s">
        <v>2278</v>
      </c>
      <c r="AE101" t="s">
        <v>237</v>
      </c>
      <c r="AH101" s="4" t="s">
        <v>49</v>
      </c>
      <c r="AI101" t="s">
        <v>49</v>
      </c>
      <c r="AM101" t="s">
        <v>233</v>
      </c>
      <c r="AN101" t="s">
        <v>109</v>
      </c>
      <c r="AO101" t="s">
        <v>414</v>
      </c>
    </row>
    <row r="102" spans="1:43" x14ac:dyDescent="0.2">
      <c r="A102" t="s">
        <v>18</v>
      </c>
      <c r="B102" t="s">
        <v>230</v>
      </c>
      <c r="C102">
        <v>2022</v>
      </c>
      <c r="D102" t="s">
        <v>44</v>
      </c>
      <c r="F102" t="s">
        <v>67</v>
      </c>
      <c r="G102" t="s">
        <v>91</v>
      </c>
      <c r="H102" t="s">
        <v>93</v>
      </c>
      <c r="I102" t="s">
        <v>112</v>
      </c>
      <c r="J102">
        <v>0</v>
      </c>
      <c r="K102" t="s">
        <v>101</v>
      </c>
      <c r="L102">
        <v>10</v>
      </c>
      <c r="M102">
        <v>7.0000000000000007E-2</v>
      </c>
      <c r="N102" t="s">
        <v>121</v>
      </c>
      <c r="O102" t="s">
        <v>121</v>
      </c>
      <c r="P102" t="s">
        <v>397</v>
      </c>
      <c r="Q102" s="1" t="s">
        <v>2292</v>
      </c>
      <c r="R102" s="1" t="s">
        <v>264</v>
      </c>
      <c r="S102" s="1" t="s">
        <v>264</v>
      </c>
      <c r="T102" t="s">
        <v>51</v>
      </c>
      <c r="X102" t="s">
        <v>189</v>
      </c>
      <c r="Y102" t="s">
        <v>2279</v>
      </c>
      <c r="Z102" t="s">
        <v>2280</v>
      </c>
      <c r="AA102" t="s">
        <v>2358</v>
      </c>
      <c r="AB102" t="s">
        <v>189</v>
      </c>
      <c r="AC102" t="s">
        <v>152</v>
      </c>
      <c r="AD102" t="s">
        <v>2278</v>
      </c>
      <c r="AE102" t="s">
        <v>238</v>
      </c>
      <c r="AH102" s="4" t="s">
        <v>49</v>
      </c>
      <c r="AI102" t="s">
        <v>49</v>
      </c>
      <c r="AM102" t="s">
        <v>233</v>
      </c>
    </row>
    <row r="103" spans="1:43" x14ac:dyDescent="0.2">
      <c r="A103" t="s">
        <v>18</v>
      </c>
      <c r="B103" t="s">
        <v>230</v>
      </c>
      <c r="C103">
        <v>2022</v>
      </c>
      <c r="D103" t="s">
        <v>44</v>
      </c>
      <c r="F103" t="s">
        <v>67</v>
      </c>
      <c r="G103" t="s">
        <v>91</v>
      </c>
      <c r="H103" t="s">
        <v>93</v>
      </c>
      <c r="I103" t="s">
        <v>112</v>
      </c>
      <c r="J103">
        <v>0</v>
      </c>
      <c r="K103" t="s">
        <v>101</v>
      </c>
      <c r="L103">
        <v>10</v>
      </c>
      <c r="M103">
        <v>7.0000000000000007E-2</v>
      </c>
      <c r="N103" t="s">
        <v>121</v>
      </c>
      <c r="O103" t="s">
        <v>121</v>
      </c>
      <c r="P103" t="s">
        <v>397</v>
      </c>
      <c r="Q103" s="1" t="s">
        <v>2292</v>
      </c>
      <c r="R103" s="1" t="s">
        <v>264</v>
      </c>
      <c r="S103" s="1" t="s">
        <v>264</v>
      </c>
      <c r="T103" t="s">
        <v>51</v>
      </c>
      <c r="X103" t="s">
        <v>231</v>
      </c>
      <c r="Y103" t="s">
        <v>2273</v>
      </c>
      <c r="Z103" t="s">
        <v>249</v>
      </c>
      <c r="AA103" t="s">
        <v>2359</v>
      </c>
      <c r="AB103" t="s">
        <v>1419</v>
      </c>
      <c r="AC103" t="s">
        <v>152</v>
      </c>
      <c r="AD103" t="s">
        <v>2288</v>
      </c>
      <c r="AE103" t="s">
        <v>237</v>
      </c>
      <c r="AH103" s="4" t="s">
        <v>49</v>
      </c>
      <c r="AI103" t="s">
        <v>49</v>
      </c>
      <c r="AM103" t="s">
        <v>233</v>
      </c>
    </row>
    <row r="104" spans="1:43" x14ac:dyDescent="0.2">
      <c r="A104" t="s">
        <v>18</v>
      </c>
      <c r="B104" t="s">
        <v>230</v>
      </c>
      <c r="C104">
        <v>2022</v>
      </c>
      <c r="D104" t="s">
        <v>44</v>
      </c>
      <c r="F104" t="s">
        <v>67</v>
      </c>
      <c r="G104" t="s">
        <v>91</v>
      </c>
      <c r="H104" t="s">
        <v>93</v>
      </c>
      <c r="I104" t="s">
        <v>112</v>
      </c>
      <c r="J104">
        <v>0</v>
      </c>
      <c r="K104" t="s">
        <v>101</v>
      </c>
      <c r="L104">
        <v>10</v>
      </c>
      <c r="M104">
        <v>7.0000000000000007E-2</v>
      </c>
      <c r="N104" t="s">
        <v>121</v>
      </c>
      <c r="O104" t="s">
        <v>121</v>
      </c>
      <c r="P104" t="s">
        <v>397</v>
      </c>
      <c r="Q104" s="1" t="s">
        <v>2292</v>
      </c>
      <c r="R104" s="1" t="s">
        <v>264</v>
      </c>
      <c r="S104" s="1" t="s">
        <v>264</v>
      </c>
      <c r="T104" t="s">
        <v>51</v>
      </c>
      <c r="X104" t="s">
        <v>232</v>
      </c>
      <c r="Y104" t="s">
        <v>2273</v>
      </c>
      <c r="Z104" t="s">
        <v>249</v>
      </c>
      <c r="AA104" t="s">
        <v>2359</v>
      </c>
      <c r="AB104" t="s">
        <v>1419</v>
      </c>
      <c r="AC104" t="s">
        <v>152</v>
      </c>
      <c r="AD104" t="s">
        <v>2288</v>
      </c>
      <c r="AE104" t="s">
        <v>237</v>
      </c>
      <c r="AH104" s="4" t="s">
        <v>49</v>
      </c>
      <c r="AI104" t="s">
        <v>49</v>
      </c>
      <c r="AM104" t="s">
        <v>233</v>
      </c>
    </row>
    <row r="105" spans="1:43" x14ac:dyDescent="0.2">
      <c r="A105" t="s">
        <v>18</v>
      </c>
      <c r="B105" t="s">
        <v>230</v>
      </c>
      <c r="C105">
        <v>2022</v>
      </c>
      <c r="D105" t="s">
        <v>44</v>
      </c>
      <c r="F105" t="s">
        <v>67</v>
      </c>
      <c r="G105" t="s">
        <v>91</v>
      </c>
      <c r="H105" t="s">
        <v>93</v>
      </c>
      <c r="I105" t="s">
        <v>112</v>
      </c>
      <c r="J105">
        <v>0</v>
      </c>
      <c r="K105" t="s">
        <v>101</v>
      </c>
      <c r="L105">
        <v>10</v>
      </c>
      <c r="N105" t="s">
        <v>121</v>
      </c>
      <c r="O105" t="s">
        <v>121</v>
      </c>
      <c r="P105" t="s">
        <v>397</v>
      </c>
      <c r="Q105" s="1" t="s">
        <v>2292</v>
      </c>
      <c r="R105" s="1" t="s">
        <v>264</v>
      </c>
      <c r="S105" s="1" t="s">
        <v>264</v>
      </c>
      <c r="T105" t="s">
        <v>51</v>
      </c>
      <c r="X105" t="s">
        <v>211</v>
      </c>
      <c r="Y105" t="s">
        <v>2279</v>
      </c>
      <c r="Z105" t="s">
        <v>2280</v>
      </c>
      <c r="AA105" t="s">
        <v>2358</v>
      </c>
      <c r="AB105" t="s">
        <v>2290</v>
      </c>
      <c r="AC105" t="s">
        <v>152</v>
      </c>
      <c r="AD105" t="s">
        <v>2278</v>
      </c>
      <c r="AE105" t="s">
        <v>237</v>
      </c>
      <c r="AH105" s="4" t="s">
        <v>49</v>
      </c>
      <c r="AI105" t="s">
        <v>49</v>
      </c>
      <c r="AM105" t="s">
        <v>233</v>
      </c>
    </row>
    <row r="106" spans="1:43" x14ac:dyDescent="0.2">
      <c r="A106" t="s">
        <v>18</v>
      </c>
      <c r="B106" t="s">
        <v>230</v>
      </c>
      <c r="C106">
        <v>2022</v>
      </c>
      <c r="D106" t="s">
        <v>44</v>
      </c>
      <c r="F106" t="s">
        <v>67</v>
      </c>
      <c r="G106" t="s">
        <v>91</v>
      </c>
      <c r="H106" t="s">
        <v>93</v>
      </c>
      <c r="I106" t="s">
        <v>112</v>
      </c>
      <c r="J106">
        <v>0</v>
      </c>
      <c r="K106" t="s">
        <v>101</v>
      </c>
      <c r="L106">
        <v>10</v>
      </c>
      <c r="N106" t="s">
        <v>121</v>
      </c>
      <c r="O106" t="s">
        <v>121</v>
      </c>
      <c r="P106" t="s">
        <v>397</v>
      </c>
      <c r="Q106" s="1" t="s">
        <v>2292</v>
      </c>
      <c r="R106" s="1" t="s">
        <v>264</v>
      </c>
      <c r="S106" s="1" t="s">
        <v>264</v>
      </c>
      <c r="T106" t="s">
        <v>396</v>
      </c>
      <c r="X106" t="s">
        <v>161</v>
      </c>
      <c r="Y106" t="s">
        <v>2272</v>
      </c>
      <c r="Z106" t="s">
        <v>2272</v>
      </c>
      <c r="AA106" t="s">
        <v>2272</v>
      </c>
      <c r="AB106" t="s">
        <v>2272</v>
      </c>
      <c r="AC106" t="s">
        <v>162</v>
      </c>
      <c r="AD106" t="s">
        <v>2272</v>
      </c>
      <c r="AE106" t="s">
        <v>237</v>
      </c>
      <c r="AH106" s="4" t="s">
        <v>49</v>
      </c>
      <c r="AI106" t="s">
        <v>49</v>
      </c>
      <c r="AM106" t="s">
        <v>233</v>
      </c>
      <c r="AN106" t="s">
        <v>165</v>
      </c>
      <c r="AP106" t="s">
        <v>49</v>
      </c>
    </row>
    <row r="107" spans="1:43" x14ac:dyDescent="0.2">
      <c r="A107" t="s">
        <v>18</v>
      </c>
      <c r="B107" t="s">
        <v>230</v>
      </c>
      <c r="C107">
        <v>2022</v>
      </c>
      <c r="D107" t="s">
        <v>44</v>
      </c>
      <c r="F107" t="s">
        <v>67</v>
      </c>
      <c r="G107" t="s">
        <v>91</v>
      </c>
      <c r="H107" t="s">
        <v>93</v>
      </c>
      <c r="I107" t="s">
        <v>112</v>
      </c>
      <c r="J107">
        <v>0</v>
      </c>
      <c r="K107" t="s">
        <v>101</v>
      </c>
      <c r="L107">
        <v>10</v>
      </c>
      <c r="N107" t="s">
        <v>121</v>
      </c>
      <c r="O107" t="s">
        <v>121</v>
      </c>
      <c r="P107" t="s">
        <v>397</v>
      </c>
      <c r="Q107" s="1" t="s">
        <v>2292</v>
      </c>
      <c r="R107" s="1" t="s">
        <v>264</v>
      </c>
      <c r="S107" s="1" t="s">
        <v>264</v>
      </c>
      <c r="T107" t="s">
        <v>51</v>
      </c>
      <c r="X107" t="s">
        <v>234</v>
      </c>
      <c r="Y107" t="s">
        <v>2279</v>
      </c>
      <c r="Z107" t="s">
        <v>2280</v>
      </c>
      <c r="AA107" t="s">
        <v>2358</v>
      </c>
      <c r="AB107" t="s">
        <v>2459</v>
      </c>
      <c r="AC107" t="s">
        <v>152</v>
      </c>
      <c r="AD107" t="s">
        <v>2278</v>
      </c>
      <c r="AE107" t="s">
        <v>237</v>
      </c>
      <c r="AH107" s="4" t="s">
        <v>49</v>
      </c>
      <c r="AI107" t="s">
        <v>49</v>
      </c>
      <c r="AM107" t="s">
        <v>233</v>
      </c>
    </row>
    <row r="108" spans="1:43" x14ac:dyDescent="0.2">
      <c r="A108" t="s">
        <v>18</v>
      </c>
      <c r="B108" t="s">
        <v>230</v>
      </c>
      <c r="C108">
        <v>2022</v>
      </c>
      <c r="D108" t="s">
        <v>44</v>
      </c>
      <c r="F108" t="s">
        <v>67</v>
      </c>
      <c r="G108" t="s">
        <v>91</v>
      </c>
      <c r="H108" t="s">
        <v>93</v>
      </c>
      <c r="I108" t="s">
        <v>112</v>
      </c>
      <c r="J108">
        <v>0</v>
      </c>
      <c r="K108" t="s">
        <v>101</v>
      </c>
      <c r="L108">
        <v>10</v>
      </c>
      <c r="N108" t="s">
        <v>121</v>
      </c>
      <c r="O108" t="s">
        <v>121</v>
      </c>
      <c r="P108" t="s">
        <v>397</v>
      </c>
      <c r="Q108" s="1" t="s">
        <v>2292</v>
      </c>
      <c r="R108" s="1" t="s">
        <v>264</v>
      </c>
      <c r="S108" s="1" t="s">
        <v>264</v>
      </c>
      <c r="T108" t="s">
        <v>51</v>
      </c>
      <c r="X108" t="s">
        <v>235</v>
      </c>
      <c r="Y108" t="s">
        <v>2279</v>
      </c>
      <c r="Z108" t="s">
        <v>2280</v>
      </c>
      <c r="AA108" t="s">
        <v>2358</v>
      </c>
      <c r="AB108" t="s">
        <v>2009</v>
      </c>
      <c r="AC108" t="s">
        <v>152</v>
      </c>
      <c r="AD108" t="s">
        <v>2278</v>
      </c>
      <c r="AE108" t="s">
        <v>237</v>
      </c>
      <c r="AH108" s="4" t="s">
        <v>49</v>
      </c>
      <c r="AI108" t="s">
        <v>49</v>
      </c>
      <c r="AM108" t="s">
        <v>233</v>
      </c>
    </row>
    <row r="109" spans="1:43" x14ac:dyDescent="0.2">
      <c r="A109" t="s">
        <v>18</v>
      </c>
      <c r="B109" t="s">
        <v>230</v>
      </c>
      <c r="C109">
        <v>2022</v>
      </c>
      <c r="D109" t="s">
        <v>44</v>
      </c>
      <c r="F109" t="s">
        <v>67</v>
      </c>
      <c r="G109" t="s">
        <v>91</v>
      </c>
      <c r="H109" t="s">
        <v>93</v>
      </c>
      <c r="I109" t="s">
        <v>112</v>
      </c>
      <c r="J109">
        <v>0</v>
      </c>
      <c r="K109" t="s">
        <v>101</v>
      </c>
      <c r="L109">
        <v>10</v>
      </c>
      <c r="N109" t="s">
        <v>121</v>
      </c>
      <c r="O109" t="s">
        <v>121</v>
      </c>
      <c r="P109" t="s">
        <v>397</v>
      </c>
      <c r="Q109" s="1" t="s">
        <v>2292</v>
      </c>
      <c r="R109" s="1" t="s">
        <v>264</v>
      </c>
      <c r="S109" s="1" t="s">
        <v>264</v>
      </c>
      <c r="T109" t="s">
        <v>51</v>
      </c>
      <c r="X109" t="s">
        <v>236</v>
      </c>
      <c r="Y109" t="s">
        <v>2279</v>
      </c>
      <c r="Z109" t="s">
        <v>2280</v>
      </c>
      <c r="AA109" t="s">
        <v>2286</v>
      </c>
      <c r="AB109" t="s">
        <v>2287</v>
      </c>
      <c r="AC109" t="s">
        <v>315</v>
      </c>
      <c r="AD109" t="s">
        <v>2278</v>
      </c>
      <c r="AE109" t="s">
        <v>237</v>
      </c>
      <c r="AH109" s="4" t="s">
        <v>49</v>
      </c>
      <c r="AI109" t="s">
        <v>49</v>
      </c>
      <c r="AM109" t="s">
        <v>233</v>
      </c>
    </row>
    <row r="110" spans="1:43" x14ac:dyDescent="0.2">
      <c r="A110" t="s">
        <v>18</v>
      </c>
      <c r="B110" t="s">
        <v>230</v>
      </c>
      <c r="C110">
        <v>2022</v>
      </c>
      <c r="D110" t="s">
        <v>44</v>
      </c>
      <c r="F110" t="s">
        <v>67</v>
      </c>
      <c r="G110" t="s">
        <v>91</v>
      </c>
      <c r="H110" t="s">
        <v>93</v>
      </c>
      <c r="I110" t="s">
        <v>112</v>
      </c>
      <c r="J110">
        <v>0</v>
      </c>
      <c r="K110" t="s">
        <v>101</v>
      </c>
      <c r="L110">
        <v>10</v>
      </c>
      <c r="N110" t="s">
        <v>121</v>
      </c>
      <c r="O110" t="s">
        <v>121</v>
      </c>
      <c r="P110" t="s">
        <v>286</v>
      </c>
      <c r="Q110" s="1" t="s">
        <v>2292</v>
      </c>
      <c r="R110" s="1" t="s">
        <v>264</v>
      </c>
      <c r="S110" s="1" t="s">
        <v>264</v>
      </c>
      <c r="T110" t="s">
        <v>51</v>
      </c>
      <c r="X110" t="s">
        <v>161</v>
      </c>
      <c r="Y110" t="s">
        <v>2272</v>
      </c>
      <c r="Z110" t="s">
        <v>2272</v>
      </c>
      <c r="AA110" t="s">
        <v>2272</v>
      </c>
      <c r="AB110" t="s">
        <v>2272</v>
      </c>
      <c r="AC110" t="s">
        <v>162</v>
      </c>
      <c r="AD110" t="s">
        <v>2272</v>
      </c>
      <c r="AE110" t="s">
        <v>237</v>
      </c>
      <c r="AH110" s="4" t="s">
        <v>49</v>
      </c>
      <c r="AI110" t="s">
        <v>49</v>
      </c>
      <c r="AM110" t="s">
        <v>233</v>
      </c>
      <c r="AN110" t="s">
        <v>109</v>
      </c>
      <c r="AO110" t="s">
        <v>413</v>
      </c>
      <c r="AP110" t="s">
        <v>49</v>
      </c>
    </row>
    <row r="111" spans="1:43" x14ac:dyDescent="0.2">
      <c r="A111" t="s">
        <v>18</v>
      </c>
      <c r="B111" t="s">
        <v>230</v>
      </c>
      <c r="C111">
        <v>2022</v>
      </c>
      <c r="D111" t="s">
        <v>44</v>
      </c>
      <c r="F111" t="s">
        <v>67</v>
      </c>
      <c r="G111" t="s">
        <v>91</v>
      </c>
      <c r="H111" t="s">
        <v>93</v>
      </c>
      <c r="I111" t="s">
        <v>112</v>
      </c>
      <c r="J111">
        <v>0</v>
      </c>
      <c r="K111" t="s">
        <v>101</v>
      </c>
      <c r="L111">
        <v>10</v>
      </c>
      <c r="N111" t="s">
        <v>121</v>
      </c>
      <c r="O111" t="s">
        <v>121</v>
      </c>
      <c r="P111" t="s">
        <v>397</v>
      </c>
      <c r="Q111" s="1" t="s">
        <v>2292</v>
      </c>
      <c r="R111" s="1" t="s">
        <v>264</v>
      </c>
      <c r="S111" s="1" t="s">
        <v>264</v>
      </c>
      <c r="T111" t="s">
        <v>51</v>
      </c>
      <c r="X111" t="s">
        <v>161</v>
      </c>
      <c r="Y111" t="s">
        <v>2272</v>
      </c>
      <c r="Z111" t="s">
        <v>2272</v>
      </c>
      <c r="AA111" t="s">
        <v>2272</v>
      </c>
      <c r="AB111" t="s">
        <v>2272</v>
      </c>
      <c r="AC111" t="s">
        <v>162</v>
      </c>
      <c r="AD111" t="s">
        <v>2272</v>
      </c>
      <c r="AE111" t="s">
        <v>237</v>
      </c>
      <c r="AH111" s="4" t="s">
        <v>49</v>
      </c>
      <c r="AI111" t="s">
        <v>49</v>
      </c>
      <c r="AM111" t="s">
        <v>233</v>
      </c>
      <c r="AN111" t="s">
        <v>109</v>
      </c>
      <c r="AO111" t="s">
        <v>413</v>
      </c>
      <c r="AP111" t="s">
        <v>49</v>
      </c>
    </row>
    <row r="112" spans="1:43" x14ac:dyDescent="0.2">
      <c r="A112" t="s">
        <v>19</v>
      </c>
      <c r="B112" t="s">
        <v>239</v>
      </c>
      <c r="C112">
        <v>2022</v>
      </c>
      <c r="D112" t="s">
        <v>44</v>
      </c>
      <c r="E112" t="s">
        <v>49</v>
      </c>
      <c r="F112" t="s">
        <v>68</v>
      </c>
      <c r="G112" t="s">
        <v>86</v>
      </c>
      <c r="H112" t="s">
        <v>93</v>
      </c>
      <c r="I112">
        <v>2018</v>
      </c>
      <c r="J112">
        <v>1.2999999999999999E-2</v>
      </c>
      <c r="K112" t="s">
        <v>101</v>
      </c>
      <c r="L112">
        <v>40</v>
      </c>
      <c r="M112">
        <v>0</v>
      </c>
      <c r="N112" t="s">
        <v>120</v>
      </c>
      <c r="O112" t="s">
        <v>120</v>
      </c>
      <c r="P112" t="s">
        <v>398</v>
      </c>
      <c r="Q112" s="1" t="s">
        <v>2276</v>
      </c>
      <c r="R112" s="1" t="s">
        <v>669</v>
      </c>
      <c r="S112" s="1" t="s">
        <v>168</v>
      </c>
      <c r="T112" t="s">
        <v>396</v>
      </c>
      <c r="U112" s="1" t="s">
        <v>168</v>
      </c>
      <c r="X112" t="s">
        <v>161</v>
      </c>
      <c r="Y112" t="s">
        <v>2272</v>
      </c>
      <c r="Z112" t="s">
        <v>2272</v>
      </c>
      <c r="AA112" t="s">
        <v>2272</v>
      </c>
      <c r="AB112" t="s">
        <v>2272</v>
      </c>
      <c r="AC112" t="s">
        <v>162</v>
      </c>
      <c r="AD112" t="s">
        <v>2272</v>
      </c>
      <c r="AE112" t="s">
        <v>92</v>
      </c>
      <c r="AF112" t="s">
        <v>49</v>
      </c>
      <c r="AK112" t="s">
        <v>49</v>
      </c>
      <c r="AM112" t="s">
        <v>1484</v>
      </c>
      <c r="AN112" t="s">
        <v>154</v>
      </c>
      <c r="AQ112" s="5">
        <v>2</v>
      </c>
    </row>
    <row r="113" spans="1:44" x14ac:dyDescent="0.2">
      <c r="A113" t="s">
        <v>19</v>
      </c>
      <c r="B113" t="s">
        <v>239</v>
      </c>
      <c r="C113">
        <v>2022</v>
      </c>
      <c r="D113" t="s">
        <v>44</v>
      </c>
      <c r="E113" t="s">
        <v>49</v>
      </c>
      <c r="F113" t="s">
        <v>68</v>
      </c>
      <c r="G113" t="s">
        <v>86</v>
      </c>
      <c r="H113" t="s">
        <v>93</v>
      </c>
      <c r="I113">
        <v>2018</v>
      </c>
      <c r="J113">
        <v>1.2999999999999999E-2</v>
      </c>
      <c r="K113" t="s">
        <v>101</v>
      </c>
      <c r="L113">
        <v>40</v>
      </c>
      <c r="M113">
        <v>0</v>
      </c>
      <c r="N113" t="s">
        <v>120</v>
      </c>
      <c r="O113" t="s">
        <v>120</v>
      </c>
      <c r="P113" t="s">
        <v>398</v>
      </c>
      <c r="Q113" s="1" t="s">
        <v>2276</v>
      </c>
      <c r="R113" s="1" t="s">
        <v>669</v>
      </c>
      <c r="S113" s="1" t="s">
        <v>168</v>
      </c>
      <c r="T113" t="s">
        <v>396</v>
      </c>
      <c r="U113" s="1" t="s">
        <v>168</v>
      </c>
      <c r="X113" t="s">
        <v>161</v>
      </c>
      <c r="Y113" t="s">
        <v>2272</v>
      </c>
      <c r="Z113" t="s">
        <v>2272</v>
      </c>
      <c r="AA113" t="s">
        <v>2272</v>
      </c>
      <c r="AB113" t="s">
        <v>2272</v>
      </c>
      <c r="AC113" t="s">
        <v>162</v>
      </c>
      <c r="AD113" t="s">
        <v>2272</v>
      </c>
      <c r="AE113" t="s">
        <v>92</v>
      </c>
      <c r="AF113" t="s">
        <v>49</v>
      </c>
      <c r="AK113" t="s">
        <v>49</v>
      </c>
      <c r="AM113" t="s">
        <v>1484</v>
      </c>
      <c r="AN113" t="s">
        <v>166</v>
      </c>
      <c r="AQ113" s="5">
        <v>0</v>
      </c>
    </row>
    <row r="114" spans="1:44" x14ac:dyDescent="0.2">
      <c r="A114" t="s">
        <v>19</v>
      </c>
      <c r="B114" t="s">
        <v>239</v>
      </c>
      <c r="C114">
        <v>2022</v>
      </c>
      <c r="D114" t="s">
        <v>44</v>
      </c>
      <c r="E114" t="s">
        <v>49</v>
      </c>
      <c r="F114" t="s">
        <v>68</v>
      </c>
      <c r="G114" t="s">
        <v>86</v>
      </c>
      <c r="H114" t="s">
        <v>93</v>
      </c>
      <c r="I114">
        <v>2018</v>
      </c>
      <c r="J114">
        <v>1.2999999999999999E-2</v>
      </c>
      <c r="K114" t="s">
        <v>101</v>
      </c>
      <c r="L114">
        <v>40</v>
      </c>
      <c r="M114">
        <v>0</v>
      </c>
      <c r="N114" t="s">
        <v>120</v>
      </c>
      <c r="O114" t="s">
        <v>120</v>
      </c>
      <c r="P114" t="s">
        <v>398</v>
      </c>
      <c r="Q114" s="1" t="s">
        <v>2276</v>
      </c>
      <c r="R114" s="1" t="s">
        <v>669</v>
      </c>
      <c r="S114" s="1" t="s">
        <v>168</v>
      </c>
      <c r="T114" t="s">
        <v>396</v>
      </c>
      <c r="U114" s="1" t="s">
        <v>168</v>
      </c>
      <c r="X114" t="s">
        <v>161</v>
      </c>
      <c r="Y114" t="s">
        <v>2272</v>
      </c>
      <c r="Z114" t="s">
        <v>2272</v>
      </c>
      <c r="AA114" t="s">
        <v>2272</v>
      </c>
      <c r="AB114" t="s">
        <v>2272</v>
      </c>
      <c r="AC114" t="s">
        <v>162</v>
      </c>
      <c r="AD114" t="s">
        <v>2272</v>
      </c>
      <c r="AE114" t="s">
        <v>92</v>
      </c>
      <c r="AF114" t="s">
        <v>49</v>
      </c>
      <c r="AK114" t="s">
        <v>49</v>
      </c>
      <c r="AM114" t="s">
        <v>1484</v>
      </c>
      <c r="AN114" t="s">
        <v>165</v>
      </c>
      <c r="AP114" t="s">
        <v>49</v>
      </c>
    </row>
    <row r="115" spans="1:44" x14ac:dyDescent="0.2">
      <c r="A115" t="s">
        <v>19</v>
      </c>
      <c r="B115" t="s">
        <v>239</v>
      </c>
      <c r="C115">
        <v>2022</v>
      </c>
      <c r="D115" t="s">
        <v>44</v>
      </c>
      <c r="E115" t="s">
        <v>49</v>
      </c>
      <c r="F115" t="s">
        <v>68</v>
      </c>
      <c r="G115" t="s">
        <v>86</v>
      </c>
      <c r="H115" t="s">
        <v>93</v>
      </c>
      <c r="I115">
        <v>2018</v>
      </c>
      <c r="J115">
        <v>1.2999999999999999E-2</v>
      </c>
      <c r="K115" t="s">
        <v>101</v>
      </c>
      <c r="L115">
        <v>40</v>
      </c>
      <c r="M115">
        <v>0</v>
      </c>
      <c r="N115" t="s">
        <v>120</v>
      </c>
      <c r="O115" t="s">
        <v>120</v>
      </c>
      <c r="P115" t="s">
        <v>399</v>
      </c>
      <c r="Q115" s="1" t="s">
        <v>2276</v>
      </c>
      <c r="R115" s="1" t="s">
        <v>669</v>
      </c>
      <c r="S115" s="1" t="s">
        <v>2348</v>
      </c>
      <c r="T115" t="s">
        <v>396</v>
      </c>
      <c r="U115" s="1" t="s">
        <v>168</v>
      </c>
      <c r="X115" t="s">
        <v>161</v>
      </c>
      <c r="Y115" t="s">
        <v>2272</v>
      </c>
      <c r="Z115" t="s">
        <v>2272</v>
      </c>
      <c r="AA115" t="s">
        <v>2272</v>
      </c>
      <c r="AB115" t="s">
        <v>2272</v>
      </c>
      <c r="AC115" t="s">
        <v>162</v>
      </c>
      <c r="AD115" t="s">
        <v>2272</v>
      </c>
      <c r="AE115" t="s">
        <v>92</v>
      </c>
      <c r="AF115" t="s">
        <v>49</v>
      </c>
      <c r="AK115" t="s">
        <v>49</v>
      </c>
      <c r="AM115" t="s">
        <v>1484</v>
      </c>
      <c r="AN115" t="s">
        <v>154</v>
      </c>
      <c r="AQ115" s="5">
        <v>1</v>
      </c>
    </row>
    <row r="116" spans="1:44" x14ac:dyDescent="0.2">
      <c r="A116" t="s">
        <v>19</v>
      </c>
      <c r="B116" t="s">
        <v>239</v>
      </c>
      <c r="C116">
        <v>2022</v>
      </c>
      <c r="D116" t="s">
        <v>44</v>
      </c>
      <c r="E116" t="s">
        <v>49</v>
      </c>
      <c r="F116" t="s">
        <v>68</v>
      </c>
      <c r="G116" t="s">
        <v>86</v>
      </c>
      <c r="H116" t="s">
        <v>93</v>
      </c>
      <c r="I116">
        <v>2018</v>
      </c>
      <c r="J116">
        <v>1.2999999999999999E-2</v>
      </c>
      <c r="K116" t="s">
        <v>101</v>
      </c>
      <c r="L116">
        <v>40</v>
      </c>
      <c r="M116">
        <v>0</v>
      </c>
      <c r="N116" t="s">
        <v>120</v>
      </c>
      <c r="O116" t="s">
        <v>120</v>
      </c>
      <c r="P116" t="s">
        <v>399</v>
      </c>
      <c r="Q116" s="1" t="s">
        <v>2276</v>
      </c>
      <c r="R116" s="1" t="s">
        <v>669</v>
      </c>
      <c r="S116" s="1" t="s">
        <v>2348</v>
      </c>
      <c r="T116" t="s">
        <v>396</v>
      </c>
      <c r="U116" s="1" t="s">
        <v>168</v>
      </c>
      <c r="X116" t="s">
        <v>161</v>
      </c>
      <c r="Y116" t="s">
        <v>2272</v>
      </c>
      <c r="Z116" t="s">
        <v>2272</v>
      </c>
      <c r="AA116" t="s">
        <v>2272</v>
      </c>
      <c r="AB116" t="s">
        <v>2272</v>
      </c>
      <c r="AC116" t="s">
        <v>162</v>
      </c>
      <c r="AD116" t="s">
        <v>2272</v>
      </c>
      <c r="AE116" t="s">
        <v>92</v>
      </c>
      <c r="AF116" t="s">
        <v>49</v>
      </c>
      <c r="AK116" t="s">
        <v>49</v>
      </c>
      <c r="AM116" t="s">
        <v>1484</v>
      </c>
      <c r="AN116" t="s">
        <v>166</v>
      </c>
      <c r="AQ116" s="5">
        <v>0</v>
      </c>
    </row>
    <row r="117" spans="1:44" x14ac:dyDescent="0.2">
      <c r="A117" t="s">
        <v>19</v>
      </c>
      <c r="B117" t="s">
        <v>239</v>
      </c>
      <c r="C117">
        <v>2022</v>
      </c>
      <c r="D117" t="s">
        <v>44</v>
      </c>
      <c r="E117" t="s">
        <v>49</v>
      </c>
      <c r="F117" t="s">
        <v>68</v>
      </c>
      <c r="G117" t="s">
        <v>86</v>
      </c>
      <c r="H117" t="s">
        <v>93</v>
      </c>
      <c r="I117">
        <v>2018</v>
      </c>
      <c r="J117">
        <v>1.2999999999999999E-2</v>
      </c>
      <c r="K117" t="s">
        <v>101</v>
      </c>
      <c r="L117">
        <v>40</v>
      </c>
      <c r="M117">
        <v>0</v>
      </c>
      <c r="N117" t="s">
        <v>120</v>
      </c>
      <c r="O117" t="s">
        <v>120</v>
      </c>
      <c r="P117" t="s">
        <v>399</v>
      </c>
      <c r="Q117" s="1" t="s">
        <v>2276</v>
      </c>
      <c r="R117" s="1" t="s">
        <v>669</v>
      </c>
      <c r="S117" s="1" t="s">
        <v>2348</v>
      </c>
      <c r="T117" t="s">
        <v>396</v>
      </c>
      <c r="U117" s="1" t="s">
        <v>168</v>
      </c>
      <c r="X117" t="s">
        <v>161</v>
      </c>
      <c r="Y117" t="s">
        <v>2272</v>
      </c>
      <c r="Z117" t="s">
        <v>2272</v>
      </c>
      <c r="AA117" t="s">
        <v>2272</v>
      </c>
      <c r="AB117" t="s">
        <v>2272</v>
      </c>
      <c r="AC117" t="s">
        <v>162</v>
      </c>
      <c r="AD117" t="s">
        <v>2272</v>
      </c>
      <c r="AE117" t="s">
        <v>92</v>
      </c>
      <c r="AF117" t="s">
        <v>49</v>
      </c>
      <c r="AK117" t="s">
        <v>49</v>
      </c>
      <c r="AM117" t="s">
        <v>1484</v>
      </c>
      <c r="AN117" t="s">
        <v>165</v>
      </c>
      <c r="AP117" t="s">
        <v>49</v>
      </c>
    </row>
    <row r="118" spans="1:44" x14ac:dyDescent="0.2">
      <c r="A118" t="s">
        <v>241</v>
      </c>
      <c r="B118" t="s">
        <v>242</v>
      </c>
      <c r="C118">
        <v>2022</v>
      </c>
      <c r="D118" t="s">
        <v>44</v>
      </c>
      <c r="E118" t="s">
        <v>49</v>
      </c>
      <c r="F118" t="s">
        <v>70</v>
      </c>
      <c r="G118" t="s">
        <v>85</v>
      </c>
      <c r="H118" t="s">
        <v>93</v>
      </c>
      <c r="I118">
        <v>2019</v>
      </c>
      <c r="J118">
        <v>0</v>
      </c>
      <c r="K118" t="s">
        <v>101</v>
      </c>
      <c r="L118">
        <v>8</v>
      </c>
      <c r="M118">
        <v>0.25</v>
      </c>
      <c r="N118" t="s">
        <v>120</v>
      </c>
      <c r="O118" t="s">
        <v>216</v>
      </c>
      <c r="P118" t="s">
        <v>244</v>
      </c>
      <c r="Q118" s="1" t="s">
        <v>2276</v>
      </c>
      <c r="R118" s="1" t="s">
        <v>669</v>
      </c>
      <c r="S118" s="1" t="s">
        <v>168</v>
      </c>
      <c r="T118" t="s">
        <v>396</v>
      </c>
      <c r="U118" s="1" t="s">
        <v>168</v>
      </c>
      <c r="X118" t="s">
        <v>161</v>
      </c>
      <c r="Y118" t="s">
        <v>2272</v>
      </c>
      <c r="Z118" t="s">
        <v>2272</v>
      </c>
      <c r="AA118" t="s">
        <v>2272</v>
      </c>
      <c r="AB118" t="s">
        <v>2272</v>
      </c>
      <c r="AC118" t="s">
        <v>162</v>
      </c>
      <c r="AD118" t="s">
        <v>2272</v>
      </c>
      <c r="AE118" t="s">
        <v>240</v>
      </c>
      <c r="AF118" t="s">
        <v>49</v>
      </c>
      <c r="AK118" t="s">
        <v>49</v>
      </c>
      <c r="AM118" t="s">
        <v>401</v>
      </c>
      <c r="AN118" t="s">
        <v>154</v>
      </c>
      <c r="AQ118" s="5">
        <v>2</v>
      </c>
      <c r="AR118">
        <v>1</v>
      </c>
    </row>
    <row r="119" spans="1:44" x14ac:dyDescent="0.2">
      <c r="A119" t="s">
        <v>241</v>
      </c>
      <c r="B119" t="s">
        <v>242</v>
      </c>
      <c r="C119">
        <v>2022</v>
      </c>
      <c r="D119" t="s">
        <v>44</v>
      </c>
      <c r="E119" t="s">
        <v>49</v>
      </c>
      <c r="F119" t="s">
        <v>70</v>
      </c>
      <c r="G119" t="s">
        <v>85</v>
      </c>
      <c r="H119" t="s">
        <v>93</v>
      </c>
      <c r="I119">
        <v>2019</v>
      </c>
      <c r="J119">
        <v>0</v>
      </c>
      <c r="K119" t="s">
        <v>101</v>
      </c>
      <c r="L119">
        <v>10</v>
      </c>
      <c r="M119">
        <v>0.25</v>
      </c>
      <c r="N119" t="s">
        <v>120</v>
      </c>
      <c r="O119" t="s">
        <v>243</v>
      </c>
      <c r="P119" t="s">
        <v>245</v>
      </c>
      <c r="Q119" s="1" t="s">
        <v>2276</v>
      </c>
      <c r="R119" s="1" t="s">
        <v>669</v>
      </c>
      <c r="S119" s="1" t="s">
        <v>168</v>
      </c>
      <c r="T119" t="s">
        <v>396</v>
      </c>
      <c r="U119" s="1" t="s">
        <v>168</v>
      </c>
      <c r="X119" t="s">
        <v>161</v>
      </c>
      <c r="Y119" t="s">
        <v>2272</v>
      </c>
      <c r="Z119" t="s">
        <v>2272</v>
      </c>
      <c r="AA119" t="s">
        <v>2272</v>
      </c>
      <c r="AB119" t="s">
        <v>2272</v>
      </c>
      <c r="AC119" t="s">
        <v>162</v>
      </c>
      <c r="AD119" t="s">
        <v>2272</v>
      </c>
      <c r="AE119" t="s">
        <v>240</v>
      </c>
      <c r="AF119" t="s">
        <v>49</v>
      </c>
      <c r="AK119" t="s">
        <v>49</v>
      </c>
      <c r="AM119" t="s">
        <v>401</v>
      </c>
      <c r="AN119" t="s">
        <v>154</v>
      </c>
      <c r="AQ119" s="5">
        <v>1</v>
      </c>
      <c r="AR119">
        <v>1</v>
      </c>
    </row>
    <row r="120" spans="1:44" x14ac:dyDescent="0.2">
      <c r="A120" t="s">
        <v>241</v>
      </c>
      <c r="B120" t="s">
        <v>242</v>
      </c>
      <c r="C120">
        <v>2022</v>
      </c>
      <c r="D120" t="s">
        <v>44</v>
      </c>
      <c r="E120" t="s">
        <v>49</v>
      </c>
      <c r="F120" t="s">
        <v>70</v>
      </c>
      <c r="G120" t="s">
        <v>85</v>
      </c>
      <c r="H120" t="s">
        <v>93</v>
      </c>
      <c r="I120">
        <v>2019</v>
      </c>
      <c r="J120">
        <v>0</v>
      </c>
      <c r="K120" t="s">
        <v>101</v>
      </c>
      <c r="L120">
        <v>8</v>
      </c>
      <c r="M120">
        <v>0.25</v>
      </c>
      <c r="N120" t="s">
        <v>120</v>
      </c>
      <c r="O120" t="s">
        <v>216</v>
      </c>
      <c r="P120" t="s">
        <v>244</v>
      </c>
      <c r="Q120" s="1" t="s">
        <v>2276</v>
      </c>
      <c r="R120" s="1" t="s">
        <v>669</v>
      </c>
      <c r="S120" s="1" t="s">
        <v>168</v>
      </c>
      <c r="T120" t="s">
        <v>396</v>
      </c>
      <c r="U120" s="1" t="s">
        <v>168</v>
      </c>
      <c r="X120" t="s">
        <v>161</v>
      </c>
      <c r="Y120" t="s">
        <v>2272</v>
      </c>
      <c r="Z120" t="s">
        <v>2272</v>
      </c>
      <c r="AA120" t="s">
        <v>2272</v>
      </c>
      <c r="AB120" t="s">
        <v>2272</v>
      </c>
      <c r="AC120" t="s">
        <v>162</v>
      </c>
      <c r="AD120" t="s">
        <v>2272</v>
      </c>
      <c r="AE120" t="s">
        <v>240</v>
      </c>
      <c r="AH120" s="4" t="s">
        <v>49</v>
      </c>
      <c r="AI120" t="s">
        <v>49</v>
      </c>
      <c r="AM120" t="s">
        <v>233</v>
      </c>
      <c r="AN120" t="s">
        <v>154</v>
      </c>
      <c r="AQ120" s="5">
        <v>2</v>
      </c>
      <c r="AR120">
        <v>1</v>
      </c>
    </row>
    <row r="121" spans="1:44" x14ac:dyDescent="0.2">
      <c r="A121" t="s">
        <v>241</v>
      </c>
      <c r="B121" t="s">
        <v>242</v>
      </c>
      <c r="C121">
        <v>2022</v>
      </c>
      <c r="D121" t="s">
        <v>44</v>
      </c>
      <c r="E121" t="s">
        <v>49</v>
      </c>
      <c r="F121" t="s">
        <v>70</v>
      </c>
      <c r="G121" t="s">
        <v>85</v>
      </c>
      <c r="H121" t="s">
        <v>93</v>
      </c>
      <c r="I121">
        <v>2019</v>
      </c>
      <c r="J121">
        <v>0</v>
      </c>
      <c r="K121" t="s">
        <v>101</v>
      </c>
      <c r="L121">
        <v>10</v>
      </c>
      <c r="M121">
        <v>0.25</v>
      </c>
      <c r="N121" t="s">
        <v>120</v>
      </c>
      <c r="O121" t="s">
        <v>243</v>
      </c>
      <c r="P121" t="s">
        <v>245</v>
      </c>
      <c r="Q121" s="1" t="s">
        <v>2276</v>
      </c>
      <c r="R121" s="1" t="s">
        <v>669</v>
      </c>
      <c r="S121" s="1" t="s">
        <v>168</v>
      </c>
      <c r="T121" t="s">
        <v>396</v>
      </c>
      <c r="U121" s="1" t="s">
        <v>168</v>
      </c>
      <c r="X121" t="s">
        <v>161</v>
      </c>
      <c r="Y121" t="s">
        <v>2272</v>
      </c>
      <c r="Z121" t="s">
        <v>2272</v>
      </c>
      <c r="AA121" t="s">
        <v>2272</v>
      </c>
      <c r="AB121" t="s">
        <v>2272</v>
      </c>
      <c r="AC121" t="s">
        <v>162</v>
      </c>
      <c r="AD121" t="s">
        <v>2272</v>
      </c>
      <c r="AE121" t="s">
        <v>240</v>
      </c>
      <c r="AH121" s="4" t="s">
        <v>49</v>
      </c>
      <c r="AI121" t="s">
        <v>49</v>
      </c>
      <c r="AM121" t="s">
        <v>233</v>
      </c>
      <c r="AN121" t="s">
        <v>154</v>
      </c>
      <c r="AQ121" s="5">
        <v>1</v>
      </c>
      <c r="AR121">
        <v>1</v>
      </c>
    </row>
    <row r="122" spans="1:44" x14ac:dyDescent="0.2">
      <c r="A122" t="s">
        <v>241</v>
      </c>
      <c r="B122" t="s">
        <v>242</v>
      </c>
      <c r="C122">
        <v>2022</v>
      </c>
      <c r="D122" t="s">
        <v>44</v>
      </c>
      <c r="E122" t="s">
        <v>49</v>
      </c>
      <c r="F122" t="s">
        <v>70</v>
      </c>
      <c r="G122" t="s">
        <v>85</v>
      </c>
      <c r="H122" t="s">
        <v>93</v>
      </c>
      <c r="I122">
        <v>2019</v>
      </c>
      <c r="J122">
        <v>0</v>
      </c>
      <c r="K122" t="s">
        <v>101</v>
      </c>
      <c r="L122">
        <v>8</v>
      </c>
      <c r="M122">
        <v>0.25</v>
      </c>
      <c r="N122" t="s">
        <v>120</v>
      </c>
      <c r="O122" t="s">
        <v>216</v>
      </c>
      <c r="P122" t="s">
        <v>244</v>
      </c>
      <c r="Q122" s="1" t="s">
        <v>2276</v>
      </c>
      <c r="R122" s="1" t="s">
        <v>669</v>
      </c>
      <c r="S122" s="1" t="s">
        <v>168</v>
      </c>
      <c r="T122" t="s">
        <v>396</v>
      </c>
      <c r="U122" s="1" t="s">
        <v>168</v>
      </c>
      <c r="X122" t="s">
        <v>161</v>
      </c>
      <c r="Y122" t="s">
        <v>2272</v>
      </c>
      <c r="Z122" t="s">
        <v>2272</v>
      </c>
      <c r="AA122" t="s">
        <v>2272</v>
      </c>
      <c r="AB122" t="s">
        <v>2272</v>
      </c>
      <c r="AC122" t="s">
        <v>162</v>
      </c>
      <c r="AD122" t="s">
        <v>2272</v>
      </c>
      <c r="AE122" t="s">
        <v>240</v>
      </c>
      <c r="AF122" t="s">
        <v>49</v>
      </c>
      <c r="AJ122" t="s">
        <v>49</v>
      </c>
      <c r="AM122" t="s">
        <v>192</v>
      </c>
      <c r="AN122" t="s">
        <v>154</v>
      </c>
      <c r="AQ122" s="5">
        <v>0</v>
      </c>
      <c r="AR122">
        <v>1</v>
      </c>
    </row>
    <row r="123" spans="1:44" x14ac:dyDescent="0.2">
      <c r="A123" t="s">
        <v>241</v>
      </c>
      <c r="B123" t="s">
        <v>242</v>
      </c>
      <c r="C123">
        <v>2022</v>
      </c>
      <c r="D123" t="s">
        <v>44</v>
      </c>
      <c r="E123" t="s">
        <v>49</v>
      </c>
      <c r="F123" t="s">
        <v>70</v>
      </c>
      <c r="G123" t="s">
        <v>85</v>
      </c>
      <c r="H123" t="s">
        <v>93</v>
      </c>
      <c r="I123">
        <v>2019</v>
      </c>
      <c r="J123">
        <v>0</v>
      </c>
      <c r="K123" t="s">
        <v>101</v>
      </c>
      <c r="L123">
        <v>10</v>
      </c>
      <c r="M123">
        <v>0.25</v>
      </c>
      <c r="N123" t="s">
        <v>120</v>
      </c>
      <c r="O123" t="s">
        <v>243</v>
      </c>
      <c r="P123" t="s">
        <v>245</v>
      </c>
      <c r="Q123" s="1" t="s">
        <v>2276</v>
      </c>
      <c r="R123" s="1" t="s">
        <v>669</v>
      </c>
      <c r="S123" s="1" t="s">
        <v>168</v>
      </c>
      <c r="T123" t="s">
        <v>396</v>
      </c>
      <c r="U123" s="1" t="s">
        <v>168</v>
      </c>
      <c r="X123" t="s">
        <v>161</v>
      </c>
      <c r="Y123" t="s">
        <v>2272</v>
      </c>
      <c r="Z123" t="s">
        <v>2272</v>
      </c>
      <c r="AA123" t="s">
        <v>2272</v>
      </c>
      <c r="AB123" t="s">
        <v>2272</v>
      </c>
      <c r="AC123" t="s">
        <v>162</v>
      </c>
      <c r="AD123" t="s">
        <v>2272</v>
      </c>
      <c r="AE123" t="s">
        <v>240</v>
      </c>
      <c r="AF123" t="s">
        <v>49</v>
      </c>
      <c r="AJ123" t="s">
        <v>49</v>
      </c>
      <c r="AM123" t="s">
        <v>192</v>
      </c>
      <c r="AN123" t="s">
        <v>154</v>
      </c>
      <c r="AQ123" s="5">
        <v>0</v>
      </c>
      <c r="AR123">
        <v>1</v>
      </c>
    </row>
    <row r="124" spans="1:44" x14ac:dyDescent="0.2">
      <c r="A124" t="s">
        <v>241</v>
      </c>
      <c r="B124" t="s">
        <v>242</v>
      </c>
      <c r="C124">
        <v>2022</v>
      </c>
      <c r="D124" t="s">
        <v>44</v>
      </c>
      <c r="E124" t="s">
        <v>49</v>
      </c>
      <c r="F124" t="s">
        <v>70</v>
      </c>
      <c r="G124" t="s">
        <v>85</v>
      </c>
      <c r="H124" t="s">
        <v>93</v>
      </c>
      <c r="I124">
        <v>2019</v>
      </c>
      <c r="J124">
        <v>0</v>
      </c>
      <c r="K124" t="s">
        <v>101</v>
      </c>
      <c r="L124">
        <v>8</v>
      </c>
      <c r="M124">
        <v>0.25</v>
      </c>
      <c r="N124" t="s">
        <v>120</v>
      </c>
      <c r="O124" t="s">
        <v>216</v>
      </c>
      <c r="P124" t="s">
        <v>244</v>
      </c>
      <c r="Q124" s="1" t="s">
        <v>2276</v>
      </c>
      <c r="R124" s="1" t="s">
        <v>669</v>
      </c>
      <c r="S124" s="1" t="s">
        <v>168</v>
      </c>
      <c r="T124" t="s">
        <v>396</v>
      </c>
      <c r="U124" s="1" t="s">
        <v>168</v>
      </c>
      <c r="X124" t="s">
        <v>161</v>
      </c>
      <c r="Y124" t="s">
        <v>2272</v>
      </c>
      <c r="Z124" t="s">
        <v>2272</v>
      </c>
      <c r="AA124" t="s">
        <v>2272</v>
      </c>
      <c r="AB124" t="s">
        <v>2272</v>
      </c>
      <c r="AC124" t="s">
        <v>162</v>
      </c>
      <c r="AD124" t="s">
        <v>2272</v>
      </c>
      <c r="AE124" t="s">
        <v>240</v>
      </c>
      <c r="AH124" s="4" t="s">
        <v>49</v>
      </c>
      <c r="AI124" t="s">
        <v>49</v>
      </c>
      <c r="AM124" t="s">
        <v>233</v>
      </c>
      <c r="AN124" t="s">
        <v>419</v>
      </c>
      <c r="AQ124" s="5">
        <v>2</v>
      </c>
      <c r="AR124">
        <v>1</v>
      </c>
    </row>
    <row r="125" spans="1:44" x14ac:dyDescent="0.2">
      <c r="A125" t="s">
        <v>241</v>
      </c>
      <c r="B125" t="s">
        <v>242</v>
      </c>
      <c r="C125">
        <v>2022</v>
      </c>
      <c r="D125" t="s">
        <v>44</v>
      </c>
      <c r="E125" t="s">
        <v>49</v>
      </c>
      <c r="F125" t="s">
        <v>70</v>
      </c>
      <c r="G125" t="s">
        <v>85</v>
      </c>
      <c r="H125" t="s">
        <v>93</v>
      </c>
      <c r="I125">
        <v>2019</v>
      </c>
      <c r="J125">
        <v>0</v>
      </c>
      <c r="K125" t="s">
        <v>101</v>
      </c>
      <c r="L125">
        <v>10</v>
      </c>
      <c r="M125">
        <v>0.25</v>
      </c>
      <c r="N125" t="s">
        <v>120</v>
      </c>
      <c r="O125" t="s">
        <v>243</v>
      </c>
      <c r="P125" t="s">
        <v>245</v>
      </c>
      <c r="Q125" s="1" t="s">
        <v>2276</v>
      </c>
      <c r="R125" s="1" t="s">
        <v>669</v>
      </c>
      <c r="S125" s="1" t="s">
        <v>168</v>
      </c>
      <c r="T125" t="s">
        <v>396</v>
      </c>
      <c r="U125" s="1" t="s">
        <v>168</v>
      </c>
      <c r="X125" t="s">
        <v>161</v>
      </c>
      <c r="Y125" t="s">
        <v>2272</v>
      </c>
      <c r="Z125" t="s">
        <v>2272</v>
      </c>
      <c r="AA125" t="s">
        <v>2272</v>
      </c>
      <c r="AB125" t="s">
        <v>2272</v>
      </c>
      <c r="AC125" t="s">
        <v>162</v>
      </c>
      <c r="AD125" t="s">
        <v>2272</v>
      </c>
      <c r="AE125" t="s">
        <v>240</v>
      </c>
      <c r="AH125" s="4" t="s">
        <v>49</v>
      </c>
      <c r="AI125" t="s">
        <v>49</v>
      </c>
      <c r="AM125" t="s">
        <v>233</v>
      </c>
      <c r="AN125" t="s">
        <v>419</v>
      </c>
      <c r="AQ125" s="5">
        <v>1</v>
      </c>
      <c r="AR125">
        <v>1</v>
      </c>
    </row>
    <row r="126" spans="1:44" x14ac:dyDescent="0.2">
      <c r="A126" t="s">
        <v>241</v>
      </c>
      <c r="B126" t="s">
        <v>242</v>
      </c>
      <c r="C126">
        <v>2022</v>
      </c>
      <c r="D126" t="s">
        <v>44</v>
      </c>
      <c r="E126" t="s">
        <v>49</v>
      </c>
      <c r="F126" t="s">
        <v>70</v>
      </c>
      <c r="G126" t="s">
        <v>85</v>
      </c>
      <c r="H126" t="s">
        <v>93</v>
      </c>
      <c r="I126">
        <v>2019</v>
      </c>
      <c r="J126">
        <v>0</v>
      </c>
      <c r="K126" t="s">
        <v>101</v>
      </c>
      <c r="L126">
        <v>8</v>
      </c>
      <c r="M126">
        <v>0.25</v>
      </c>
      <c r="N126" t="s">
        <v>120</v>
      </c>
      <c r="O126" t="s">
        <v>216</v>
      </c>
      <c r="P126" t="s">
        <v>244</v>
      </c>
      <c r="Q126" s="1" t="s">
        <v>2276</v>
      </c>
      <c r="R126" s="1" t="s">
        <v>669</v>
      </c>
      <c r="S126" s="1" t="s">
        <v>168</v>
      </c>
      <c r="T126" t="s">
        <v>396</v>
      </c>
      <c r="U126" s="1" t="s">
        <v>168</v>
      </c>
      <c r="X126" t="s">
        <v>161</v>
      </c>
      <c r="Y126" t="s">
        <v>2272</v>
      </c>
      <c r="Z126" t="s">
        <v>2272</v>
      </c>
      <c r="AA126" t="s">
        <v>2272</v>
      </c>
      <c r="AB126" t="s">
        <v>2272</v>
      </c>
      <c r="AC126" t="s">
        <v>162</v>
      </c>
      <c r="AD126" t="s">
        <v>2272</v>
      </c>
      <c r="AE126" t="s">
        <v>240</v>
      </c>
      <c r="AF126" t="s">
        <v>49</v>
      </c>
      <c r="AJ126" t="s">
        <v>49</v>
      </c>
      <c r="AM126" t="s">
        <v>192</v>
      </c>
      <c r="AN126" t="s">
        <v>165</v>
      </c>
      <c r="AP126" t="s">
        <v>49</v>
      </c>
      <c r="AR126">
        <v>1</v>
      </c>
    </row>
    <row r="127" spans="1:44" x14ac:dyDescent="0.2">
      <c r="A127" t="s">
        <v>241</v>
      </c>
      <c r="B127" t="s">
        <v>242</v>
      </c>
      <c r="C127">
        <v>2022</v>
      </c>
      <c r="D127" t="s">
        <v>44</v>
      </c>
      <c r="E127" t="s">
        <v>49</v>
      </c>
      <c r="F127" t="s">
        <v>70</v>
      </c>
      <c r="G127" t="s">
        <v>85</v>
      </c>
      <c r="H127" t="s">
        <v>93</v>
      </c>
      <c r="I127">
        <v>2019</v>
      </c>
      <c r="J127">
        <v>0</v>
      </c>
      <c r="K127" t="s">
        <v>101</v>
      </c>
      <c r="L127">
        <v>10</v>
      </c>
      <c r="M127">
        <v>0.25</v>
      </c>
      <c r="N127" t="s">
        <v>120</v>
      </c>
      <c r="O127" t="s">
        <v>243</v>
      </c>
      <c r="P127" t="s">
        <v>245</v>
      </c>
      <c r="Q127" s="1" t="s">
        <v>2276</v>
      </c>
      <c r="R127" s="1" t="s">
        <v>669</v>
      </c>
      <c r="S127" s="1" t="s">
        <v>168</v>
      </c>
      <c r="T127" t="s">
        <v>396</v>
      </c>
      <c r="U127" s="1" t="s">
        <v>168</v>
      </c>
      <c r="X127" t="s">
        <v>161</v>
      </c>
      <c r="Y127" t="s">
        <v>2272</v>
      </c>
      <c r="Z127" t="s">
        <v>2272</v>
      </c>
      <c r="AA127" t="s">
        <v>2272</v>
      </c>
      <c r="AB127" t="s">
        <v>2272</v>
      </c>
      <c r="AC127" t="s">
        <v>162</v>
      </c>
      <c r="AD127" t="s">
        <v>2272</v>
      </c>
      <c r="AE127" t="s">
        <v>240</v>
      </c>
      <c r="AF127" t="s">
        <v>49</v>
      </c>
      <c r="AJ127" t="s">
        <v>49</v>
      </c>
      <c r="AM127" t="s">
        <v>192</v>
      </c>
      <c r="AN127" t="s">
        <v>165</v>
      </c>
      <c r="AP127" t="s">
        <v>49</v>
      </c>
      <c r="AR127">
        <v>1</v>
      </c>
    </row>
    <row r="128" spans="1:44" x14ac:dyDescent="0.2">
      <c r="A128" t="s">
        <v>241</v>
      </c>
      <c r="B128" t="s">
        <v>242</v>
      </c>
      <c r="C128">
        <v>2022</v>
      </c>
      <c r="D128" t="s">
        <v>44</v>
      </c>
      <c r="E128" t="s">
        <v>49</v>
      </c>
      <c r="F128" t="s">
        <v>70</v>
      </c>
      <c r="G128" t="s">
        <v>85</v>
      </c>
      <c r="H128" t="s">
        <v>93</v>
      </c>
      <c r="I128">
        <v>2019</v>
      </c>
      <c r="J128">
        <v>0</v>
      </c>
      <c r="K128" t="s">
        <v>101</v>
      </c>
      <c r="L128">
        <v>8</v>
      </c>
      <c r="M128">
        <v>0.25</v>
      </c>
      <c r="N128" t="s">
        <v>120</v>
      </c>
      <c r="O128" t="s">
        <v>216</v>
      </c>
      <c r="P128" t="s">
        <v>244</v>
      </c>
      <c r="Q128" s="1" t="s">
        <v>2276</v>
      </c>
      <c r="R128" s="1" t="s">
        <v>669</v>
      </c>
      <c r="S128" s="1" t="s">
        <v>168</v>
      </c>
      <c r="T128" t="s">
        <v>396</v>
      </c>
      <c r="U128" s="1" t="s">
        <v>168</v>
      </c>
      <c r="X128" t="s">
        <v>161</v>
      </c>
      <c r="Y128" t="s">
        <v>2272</v>
      </c>
      <c r="Z128" t="s">
        <v>2272</v>
      </c>
      <c r="AA128" t="s">
        <v>2272</v>
      </c>
      <c r="AB128" t="s">
        <v>2272</v>
      </c>
      <c r="AC128" t="s">
        <v>162</v>
      </c>
      <c r="AD128" t="s">
        <v>2272</v>
      </c>
      <c r="AE128" t="s">
        <v>240</v>
      </c>
      <c r="AH128" s="4" t="s">
        <v>49</v>
      </c>
      <c r="AI128" t="s">
        <v>49</v>
      </c>
      <c r="AM128" t="s">
        <v>233</v>
      </c>
      <c r="AN128" t="s">
        <v>165</v>
      </c>
      <c r="AP128" t="s">
        <v>49</v>
      </c>
      <c r="AR128">
        <v>1</v>
      </c>
    </row>
    <row r="129" spans="1:44" x14ac:dyDescent="0.2">
      <c r="A129" t="s">
        <v>241</v>
      </c>
      <c r="B129" t="s">
        <v>242</v>
      </c>
      <c r="C129">
        <v>2022</v>
      </c>
      <c r="D129" t="s">
        <v>44</v>
      </c>
      <c r="E129" t="s">
        <v>49</v>
      </c>
      <c r="F129" t="s">
        <v>70</v>
      </c>
      <c r="G129" t="s">
        <v>85</v>
      </c>
      <c r="H129" t="s">
        <v>93</v>
      </c>
      <c r="I129">
        <v>2019</v>
      </c>
      <c r="J129">
        <v>0</v>
      </c>
      <c r="K129" t="s">
        <v>101</v>
      </c>
      <c r="L129">
        <v>10</v>
      </c>
      <c r="M129">
        <v>0.25</v>
      </c>
      <c r="N129" t="s">
        <v>120</v>
      </c>
      <c r="O129" t="s">
        <v>243</v>
      </c>
      <c r="P129" t="s">
        <v>245</v>
      </c>
      <c r="Q129" s="1" t="s">
        <v>2276</v>
      </c>
      <c r="R129" s="1" t="s">
        <v>669</v>
      </c>
      <c r="S129" s="1" t="s">
        <v>168</v>
      </c>
      <c r="T129" t="s">
        <v>396</v>
      </c>
      <c r="U129" s="1" t="s">
        <v>168</v>
      </c>
      <c r="X129" t="s">
        <v>161</v>
      </c>
      <c r="Y129" t="s">
        <v>2272</v>
      </c>
      <c r="Z129" t="s">
        <v>2272</v>
      </c>
      <c r="AA129" t="s">
        <v>2272</v>
      </c>
      <c r="AB129" t="s">
        <v>2272</v>
      </c>
      <c r="AC129" t="s">
        <v>162</v>
      </c>
      <c r="AD129" t="s">
        <v>2272</v>
      </c>
      <c r="AE129" t="s">
        <v>240</v>
      </c>
      <c r="AH129" s="4" t="s">
        <v>49</v>
      </c>
      <c r="AI129" t="s">
        <v>49</v>
      </c>
      <c r="AM129" t="s">
        <v>233</v>
      </c>
      <c r="AN129" t="s">
        <v>165</v>
      </c>
      <c r="AP129" t="s">
        <v>49</v>
      </c>
      <c r="AR129">
        <v>1</v>
      </c>
    </row>
    <row r="130" spans="1:44" x14ac:dyDescent="0.2">
      <c r="A130" t="s">
        <v>241</v>
      </c>
      <c r="B130" t="s">
        <v>242</v>
      </c>
      <c r="C130">
        <v>2022</v>
      </c>
      <c r="D130" t="s">
        <v>44</v>
      </c>
      <c r="E130" t="s">
        <v>49</v>
      </c>
      <c r="F130" t="s">
        <v>70</v>
      </c>
      <c r="G130" t="s">
        <v>85</v>
      </c>
      <c r="H130" t="s">
        <v>93</v>
      </c>
      <c r="I130">
        <v>2019</v>
      </c>
      <c r="J130">
        <v>0</v>
      </c>
      <c r="K130" t="s">
        <v>101</v>
      </c>
      <c r="L130">
        <v>8</v>
      </c>
      <c r="M130">
        <v>0.25</v>
      </c>
      <c r="N130" t="s">
        <v>120</v>
      </c>
      <c r="O130" t="s">
        <v>216</v>
      </c>
      <c r="P130" t="s">
        <v>244</v>
      </c>
      <c r="Q130" s="1" t="s">
        <v>2276</v>
      </c>
      <c r="R130" s="1" t="s">
        <v>669</v>
      </c>
      <c r="S130" s="1" t="s">
        <v>168</v>
      </c>
      <c r="T130" t="s">
        <v>396</v>
      </c>
      <c r="U130" s="1" t="s">
        <v>168</v>
      </c>
      <c r="X130" t="s">
        <v>161</v>
      </c>
      <c r="Y130" t="s">
        <v>2272</v>
      </c>
      <c r="Z130" t="s">
        <v>2272</v>
      </c>
      <c r="AA130" t="s">
        <v>2272</v>
      </c>
      <c r="AB130" t="s">
        <v>2272</v>
      </c>
      <c r="AC130" t="s">
        <v>162</v>
      </c>
      <c r="AD130" t="s">
        <v>2272</v>
      </c>
      <c r="AE130" t="s">
        <v>240</v>
      </c>
      <c r="AF130" t="s">
        <v>49</v>
      </c>
      <c r="AK130" t="s">
        <v>49</v>
      </c>
      <c r="AM130" t="s">
        <v>401</v>
      </c>
      <c r="AN130" t="s">
        <v>165</v>
      </c>
      <c r="AP130" t="s">
        <v>49</v>
      </c>
      <c r="AR130">
        <v>1</v>
      </c>
    </row>
    <row r="131" spans="1:44" x14ac:dyDescent="0.2">
      <c r="A131" t="s">
        <v>241</v>
      </c>
      <c r="B131" t="s">
        <v>242</v>
      </c>
      <c r="C131">
        <v>2022</v>
      </c>
      <c r="D131" t="s">
        <v>44</v>
      </c>
      <c r="E131" t="s">
        <v>49</v>
      </c>
      <c r="F131" t="s">
        <v>70</v>
      </c>
      <c r="G131" t="s">
        <v>85</v>
      </c>
      <c r="H131" t="s">
        <v>93</v>
      </c>
      <c r="I131">
        <v>2019</v>
      </c>
      <c r="J131">
        <v>0</v>
      </c>
      <c r="K131" t="s">
        <v>101</v>
      </c>
      <c r="L131">
        <v>10</v>
      </c>
      <c r="M131">
        <v>0.25</v>
      </c>
      <c r="N131" t="s">
        <v>120</v>
      </c>
      <c r="O131" t="s">
        <v>243</v>
      </c>
      <c r="P131" t="s">
        <v>245</v>
      </c>
      <c r="Q131" s="1" t="s">
        <v>2276</v>
      </c>
      <c r="R131" s="1" t="s">
        <v>669</v>
      </c>
      <c r="S131" s="1" t="s">
        <v>168</v>
      </c>
      <c r="T131" t="s">
        <v>396</v>
      </c>
      <c r="U131" s="1" t="s">
        <v>168</v>
      </c>
      <c r="X131" t="s">
        <v>161</v>
      </c>
      <c r="Y131" t="s">
        <v>2272</v>
      </c>
      <c r="Z131" t="s">
        <v>2272</v>
      </c>
      <c r="AA131" t="s">
        <v>2272</v>
      </c>
      <c r="AB131" t="s">
        <v>2272</v>
      </c>
      <c r="AC131" t="s">
        <v>162</v>
      </c>
      <c r="AD131" t="s">
        <v>2272</v>
      </c>
      <c r="AE131" t="s">
        <v>240</v>
      </c>
      <c r="AF131" t="s">
        <v>49</v>
      </c>
      <c r="AK131" t="s">
        <v>49</v>
      </c>
      <c r="AM131" t="s">
        <v>401</v>
      </c>
      <c r="AN131" t="s">
        <v>165</v>
      </c>
      <c r="AP131" t="s">
        <v>49</v>
      </c>
      <c r="AR131">
        <v>1</v>
      </c>
    </row>
    <row r="132" spans="1:44" x14ac:dyDescent="0.2">
      <c r="A132" t="s">
        <v>241</v>
      </c>
      <c r="B132" t="s">
        <v>242</v>
      </c>
      <c r="C132">
        <v>2022</v>
      </c>
      <c r="D132" t="s">
        <v>44</v>
      </c>
      <c r="E132" t="s">
        <v>49</v>
      </c>
      <c r="F132" t="s">
        <v>70</v>
      </c>
      <c r="G132" t="s">
        <v>85</v>
      </c>
      <c r="H132" t="s">
        <v>93</v>
      </c>
      <c r="I132">
        <v>2019</v>
      </c>
      <c r="J132">
        <v>0</v>
      </c>
      <c r="K132" t="s">
        <v>101</v>
      </c>
      <c r="L132">
        <v>8</v>
      </c>
      <c r="M132">
        <v>0.25</v>
      </c>
      <c r="N132" t="s">
        <v>120</v>
      </c>
      <c r="O132" t="s">
        <v>216</v>
      </c>
      <c r="P132" t="s">
        <v>244</v>
      </c>
      <c r="Q132" s="1" t="s">
        <v>2276</v>
      </c>
      <c r="R132" s="1" t="s">
        <v>669</v>
      </c>
      <c r="S132" s="1" t="s">
        <v>168</v>
      </c>
      <c r="T132" t="s">
        <v>396</v>
      </c>
      <c r="U132" s="1" t="s">
        <v>168</v>
      </c>
      <c r="X132" t="s">
        <v>161</v>
      </c>
      <c r="Y132" t="s">
        <v>2272</v>
      </c>
      <c r="Z132" t="s">
        <v>2272</v>
      </c>
      <c r="AA132" t="s">
        <v>2272</v>
      </c>
      <c r="AB132" t="s">
        <v>2272</v>
      </c>
      <c r="AC132" t="s">
        <v>162</v>
      </c>
      <c r="AD132" t="s">
        <v>2272</v>
      </c>
      <c r="AE132" t="s">
        <v>240</v>
      </c>
      <c r="AH132" s="4" t="s">
        <v>49</v>
      </c>
      <c r="AI132" t="s">
        <v>49</v>
      </c>
      <c r="AM132" t="s">
        <v>233</v>
      </c>
      <c r="AN132" t="s">
        <v>155</v>
      </c>
      <c r="AQ132" s="5">
        <v>2</v>
      </c>
      <c r="AR132">
        <v>1</v>
      </c>
    </row>
    <row r="133" spans="1:44" x14ac:dyDescent="0.2">
      <c r="A133" t="s">
        <v>241</v>
      </c>
      <c r="B133" t="s">
        <v>242</v>
      </c>
      <c r="C133">
        <v>2022</v>
      </c>
      <c r="D133" t="s">
        <v>44</v>
      </c>
      <c r="E133" t="s">
        <v>49</v>
      </c>
      <c r="F133" t="s">
        <v>70</v>
      </c>
      <c r="G133" t="s">
        <v>85</v>
      </c>
      <c r="H133" t="s">
        <v>93</v>
      </c>
      <c r="I133">
        <v>2019</v>
      </c>
      <c r="J133">
        <v>0</v>
      </c>
      <c r="K133" t="s">
        <v>101</v>
      </c>
      <c r="L133">
        <v>10</v>
      </c>
      <c r="M133">
        <v>0.25</v>
      </c>
      <c r="N133" t="s">
        <v>120</v>
      </c>
      <c r="O133" t="s">
        <v>243</v>
      </c>
      <c r="P133" t="s">
        <v>245</v>
      </c>
      <c r="Q133" s="1" t="s">
        <v>2276</v>
      </c>
      <c r="R133" s="1" t="s">
        <v>669</v>
      </c>
      <c r="S133" s="1" t="s">
        <v>168</v>
      </c>
      <c r="T133" t="s">
        <v>396</v>
      </c>
      <c r="U133" s="1" t="s">
        <v>168</v>
      </c>
      <c r="X133" t="s">
        <v>161</v>
      </c>
      <c r="Y133" t="s">
        <v>2272</v>
      </c>
      <c r="Z133" t="s">
        <v>2272</v>
      </c>
      <c r="AA133" t="s">
        <v>2272</v>
      </c>
      <c r="AB133" t="s">
        <v>2272</v>
      </c>
      <c r="AC133" t="s">
        <v>162</v>
      </c>
      <c r="AD133" t="s">
        <v>2272</v>
      </c>
      <c r="AE133" t="s">
        <v>240</v>
      </c>
      <c r="AH133" s="4" t="s">
        <v>49</v>
      </c>
      <c r="AI133" t="s">
        <v>49</v>
      </c>
      <c r="AM133" t="s">
        <v>233</v>
      </c>
      <c r="AN133" t="s">
        <v>155</v>
      </c>
      <c r="AQ133" s="5">
        <v>1</v>
      </c>
      <c r="AR133">
        <v>1</v>
      </c>
    </row>
    <row r="134" spans="1:44" x14ac:dyDescent="0.2">
      <c r="A134" t="s">
        <v>241</v>
      </c>
      <c r="B134" t="s">
        <v>242</v>
      </c>
      <c r="C134">
        <v>2022</v>
      </c>
      <c r="D134" t="s">
        <v>44</v>
      </c>
      <c r="E134" t="s">
        <v>49</v>
      </c>
      <c r="F134" t="s">
        <v>70</v>
      </c>
      <c r="G134" t="s">
        <v>85</v>
      </c>
      <c r="H134" t="s">
        <v>93</v>
      </c>
      <c r="I134">
        <v>2019</v>
      </c>
      <c r="J134">
        <v>0</v>
      </c>
      <c r="K134" t="s">
        <v>101</v>
      </c>
      <c r="L134">
        <v>8</v>
      </c>
      <c r="M134">
        <v>0.25</v>
      </c>
      <c r="N134" t="s">
        <v>120</v>
      </c>
      <c r="O134" t="s">
        <v>216</v>
      </c>
      <c r="P134" t="s">
        <v>244</v>
      </c>
      <c r="Q134" s="1" t="s">
        <v>2276</v>
      </c>
      <c r="R134" s="1" t="s">
        <v>669</v>
      </c>
      <c r="S134" s="1" t="s">
        <v>168</v>
      </c>
      <c r="T134" t="s">
        <v>396</v>
      </c>
      <c r="U134" s="1" t="s">
        <v>168</v>
      </c>
      <c r="X134" t="s">
        <v>161</v>
      </c>
      <c r="Y134" t="s">
        <v>2272</v>
      </c>
      <c r="Z134" t="s">
        <v>2272</v>
      </c>
      <c r="AA134" t="s">
        <v>2272</v>
      </c>
      <c r="AB134" t="s">
        <v>2272</v>
      </c>
      <c r="AC134" t="s">
        <v>162</v>
      </c>
      <c r="AD134" t="s">
        <v>2272</v>
      </c>
      <c r="AE134" t="s">
        <v>240</v>
      </c>
      <c r="AF134" t="s">
        <v>49</v>
      </c>
      <c r="AK134" t="s">
        <v>49</v>
      </c>
      <c r="AM134" t="s">
        <v>401</v>
      </c>
      <c r="AN134" t="s">
        <v>166</v>
      </c>
      <c r="AQ134" s="5">
        <v>2</v>
      </c>
      <c r="AR134">
        <v>1</v>
      </c>
    </row>
    <row r="135" spans="1:44" x14ac:dyDescent="0.2">
      <c r="A135" t="s">
        <v>241</v>
      </c>
      <c r="B135" t="s">
        <v>242</v>
      </c>
      <c r="C135">
        <v>2022</v>
      </c>
      <c r="D135" t="s">
        <v>44</v>
      </c>
      <c r="E135" t="s">
        <v>49</v>
      </c>
      <c r="F135" t="s">
        <v>70</v>
      </c>
      <c r="G135" t="s">
        <v>85</v>
      </c>
      <c r="H135" t="s">
        <v>93</v>
      </c>
      <c r="I135">
        <v>2019</v>
      </c>
      <c r="J135">
        <v>0</v>
      </c>
      <c r="K135" t="s">
        <v>101</v>
      </c>
      <c r="L135">
        <v>10</v>
      </c>
      <c r="M135">
        <v>0.25</v>
      </c>
      <c r="N135" t="s">
        <v>120</v>
      </c>
      <c r="O135" t="s">
        <v>243</v>
      </c>
      <c r="P135" t="s">
        <v>245</v>
      </c>
      <c r="Q135" s="1" t="s">
        <v>2276</v>
      </c>
      <c r="R135" s="1" t="s">
        <v>669</v>
      </c>
      <c r="S135" s="1" t="s">
        <v>168</v>
      </c>
      <c r="T135" t="s">
        <v>396</v>
      </c>
      <c r="U135" s="1" t="s">
        <v>168</v>
      </c>
      <c r="X135" t="s">
        <v>161</v>
      </c>
      <c r="Y135" t="s">
        <v>2272</v>
      </c>
      <c r="Z135" t="s">
        <v>2272</v>
      </c>
      <c r="AA135" t="s">
        <v>2272</v>
      </c>
      <c r="AB135" t="s">
        <v>2272</v>
      </c>
      <c r="AC135" t="s">
        <v>162</v>
      </c>
      <c r="AD135" t="s">
        <v>2272</v>
      </c>
      <c r="AE135" t="s">
        <v>240</v>
      </c>
      <c r="AF135" t="s">
        <v>49</v>
      </c>
      <c r="AK135" t="s">
        <v>49</v>
      </c>
      <c r="AM135" t="s">
        <v>401</v>
      </c>
      <c r="AN135" t="s">
        <v>166</v>
      </c>
      <c r="AQ135" s="5">
        <v>1</v>
      </c>
      <c r="AR135">
        <v>1</v>
      </c>
    </row>
    <row r="136" spans="1:44" x14ac:dyDescent="0.2">
      <c r="A136" t="s">
        <v>241</v>
      </c>
      <c r="B136" t="s">
        <v>242</v>
      </c>
      <c r="C136">
        <v>2022</v>
      </c>
      <c r="D136" t="s">
        <v>44</v>
      </c>
      <c r="E136" t="s">
        <v>49</v>
      </c>
      <c r="F136" t="s">
        <v>70</v>
      </c>
      <c r="G136" t="s">
        <v>85</v>
      </c>
      <c r="H136" t="s">
        <v>93</v>
      </c>
      <c r="I136">
        <v>2019</v>
      </c>
      <c r="J136">
        <v>0</v>
      </c>
      <c r="K136" t="s">
        <v>101</v>
      </c>
      <c r="L136">
        <v>8</v>
      </c>
      <c r="M136">
        <v>0.25</v>
      </c>
      <c r="N136" t="s">
        <v>120</v>
      </c>
      <c r="O136" t="s">
        <v>216</v>
      </c>
      <c r="P136" t="s">
        <v>244</v>
      </c>
      <c r="Q136" s="1" t="s">
        <v>2276</v>
      </c>
      <c r="R136" s="1" t="s">
        <v>669</v>
      </c>
      <c r="S136" s="1" t="s">
        <v>168</v>
      </c>
      <c r="T136" t="s">
        <v>396</v>
      </c>
      <c r="U136" s="1" t="s">
        <v>168</v>
      </c>
      <c r="X136" t="s">
        <v>161</v>
      </c>
      <c r="Y136" t="s">
        <v>2272</v>
      </c>
      <c r="Z136" t="s">
        <v>2272</v>
      </c>
      <c r="AA136" t="s">
        <v>2272</v>
      </c>
      <c r="AB136" t="s">
        <v>2272</v>
      </c>
      <c r="AC136" t="s">
        <v>162</v>
      </c>
      <c r="AD136" t="s">
        <v>2272</v>
      </c>
      <c r="AE136" t="s">
        <v>240</v>
      </c>
      <c r="AF136" t="s">
        <v>49</v>
      </c>
      <c r="AJ136" t="s">
        <v>49</v>
      </c>
      <c r="AM136" t="s">
        <v>192</v>
      </c>
      <c r="AN136" t="s">
        <v>166</v>
      </c>
      <c r="AQ136" s="5">
        <v>0</v>
      </c>
      <c r="AR136">
        <v>1</v>
      </c>
    </row>
    <row r="137" spans="1:44" x14ac:dyDescent="0.2">
      <c r="A137" t="s">
        <v>241</v>
      </c>
      <c r="B137" t="s">
        <v>242</v>
      </c>
      <c r="C137">
        <v>2022</v>
      </c>
      <c r="D137" t="s">
        <v>44</v>
      </c>
      <c r="E137" t="s">
        <v>49</v>
      </c>
      <c r="F137" t="s">
        <v>70</v>
      </c>
      <c r="G137" t="s">
        <v>85</v>
      </c>
      <c r="H137" t="s">
        <v>93</v>
      </c>
      <c r="I137">
        <v>2019</v>
      </c>
      <c r="J137">
        <v>0</v>
      </c>
      <c r="K137" t="s">
        <v>101</v>
      </c>
      <c r="L137">
        <v>10</v>
      </c>
      <c r="M137">
        <v>0.25</v>
      </c>
      <c r="N137" t="s">
        <v>120</v>
      </c>
      <c r="O137" t="s">
        <v>243</v>
      </c>
      <c r="P137" t="s">
        <v>245</v>
      </c>
      <c r="Q137" s="1" t="s">
        <v>2276</v>
      </c>
      <c r="R137" s="1" t="s">
        <v>669</v>
      </c>
      <c r="S137" s="1" t="s">
        <v>168</v>
      </c>
      <c r="T137" t="s">
        <v>396</v>
      </c>
      <c r="U137" s="1" t="s">
        <v>168</v>
      </c>
      <c r="X137" t="s">
        <v>161</v>
      </c>
      <c r="Y137" t="s">
        <v>2272</v>
      </c>
      <c r="Z137" t="s">
        <v>2272</v>
      </c>
      <c r="AA137" t="s">
        <v>2272</v>
      </c>
      <c r="AB137" t="s">
        <v>2272</v>
      </c>
      <c r="AC137" t="s">
        <v>162</v>
      </c>
      <c r="AD137" t="s">
        <v>2272</v>
      </c>
      <c r="AE137" t="s">
        <v>240</v>
      </c>
      <c r="AF137" t="s">
        <v>49</v>
      </c>
      <c r="AJ137" t="s">
        <v>49</v>
      </c>
      <c r="AM137" t="s">
        <v>192</v>
      </c>
      <c r="AN137" t="s">
        <v>166</v>
      </c>
      <c r="AQ137" s="5">
        <v>0</v>
      </c>
      <c r="AR137">
        <v>1</v>
      </c>
    </row>
    <row r="138" spans="1:44" x14ac:dyDescent="0.2">
      <c r="A138" t="s">
        <v>241</v>
      </c>
      <c r="B138" t="s">
        <v>242</v>
      </c>
      <c r="C138">
        <v>2022</v>
      </c>
      <c r="D138" t="s">
        <v>44</v>
      </c>
      <c r="E138" t="s">
        <v>49</v>
      </c>
      <c r="F138" t="s">
        <v>70</v>
      </c>
      <c r="G138" t="s">
        <v>85</v>
      </c>
      <c r="H138" t="s">
        <v>93</v>
      </c>
      <c r="I138">
        <v>2019</v>
      </c>
      <c r="J138">
        <v>0</v>
      </c>
      <c r="K138" t="s">
        <v>101</v>
      </c>
      <c r="L138">
        <v>8</v>
      </c>
      <c r="M138">
        <v>0.25</v>
      </c>
      <c r="N138" t="s">
        <v>120</v>
      </c>
      <c r="O138" t="s">
        <v>216</v>
      </c>
      <c r="P138" t="s">
        <v>244</v>
      </c>
      <c r="Q138" s="1" t="s">
        <v>2276</v>
      </c>
      <c r="R138" s="1" t="s">
        <v>669</v>
      </c>
      <c r="S138" s="1" t="s">
        <v>168</v>
      </c>
      <c r="T138" t="s">
        <v>396</v>
      </c>
      <c r="U138" s="1" t="s">
        <v>168</v>
      </c>
      <c r="X138" t="s">
        <v>161</v>
      </c>
      <c r="Y138" t="s">
        <v>2272</v>
      </c>
      <c r="Z138" t="s">
        <v>2272</v>
      </c>
      <c r="AA138" t="s">
        <v>2272</v>
      </c>
      <c r="AB138" t="s">
        <v>2272</v>
      </c>
      <c r="AC138" t="s">
        <v>162</v>
      </c>
      <c r="AD138" t="s">
        <v>2272</v>
      </c>
      <c r="AE138" t="s">
        <v>240</v>
      </c>
      <c r="AH138" s="4" t="s">
        <v>49</v>
      </c>
      <c r="AK138" t="s">
        <v>49</v>
      </c>
      <c r="AM138" t="s">
        <v>233</v>
      </c>
      <c r="AN138" t="s">
        <v>166</v>
      </c>
      <c r="AQ138" s="5">
        <v>0</v>
      </c>
      <c r="AR138">
        <v>1</v>
      </c>
    </row>
    <row r="139" spans="1:44" x14ac:dyDescent="0.2">
      <c r="A139" t="s">
        <v>241</v>
      </c>
      <c r="B139" t="s">
        <v>242</v>
      </c>
      <c r="C139">
        <v>2022</v>
      </c>
      <c r="D139" t="s">
        <v>44</v>
      </c>
      <c r="E139" t="s">
        <v>49</v>
      </c>
      <c r="F139" t="s">
        <v>70</v>
      </c>
      <c r="G139" t="s">
        <v>85</v>
      </c>
      <c r="H139" t="s">
        <v>93</v>
      </c>
      <c r="I139">
        <v>2019</v>
      </c>
      <c r="J139">
        <v>0</v>
      </c>
      <c r="K139" t="s">
        <v>101</v>
      </c>
      <c r="L139">
        <v>10</v>
      </c>
      <c r="M139">
        <v>0.25</v>
      </c>
      <c r="N139" t="s">
        <v>120</v>
      </c>
      <c r="O139" t="s">
        <v>243</v>
      </c>
      <c r="P139" t="s">
        <v>245</v>
      </c>
      <c r="Q139" s="1" t="s">
        <v>2276</v>
      </c>
      <c r="R139" s="1" t="s">
        <v>669</v>
      </c>
      <c r="S139" s="1" t="s">
        <v>168</v>
      </c>
      <c r="T139" t="s">
        <v>396</v>
      </c>
      <c r="U139" s="1" t="s">
        <v>168</v>
      </c>
      <c r="X139" t="s">
        <v>161</v>
      </c>
      <c r="Y139" t="s">
        <v>2272</v>
      </c>
      <c r="Z139" t="s">
        <v>2272</v>
      </c>
      <c r="AA139" t="s">
        <v>2272</v>
      </c>
      <c r="AB139" t="s">
        <v>2272</v>
      </c>
      <c r="AC139" t="s">
        <v>162</v>
      </c>
      <c r="AD139" t="s">
        <v>2272</v>
      </c>
      <c r="AE139" t="s">
        <v>240</v>
      </c>
      <c r="AH139" s="4" t="s">
        <v>49</v>
      </c>
      <c r="AK139" t="s">
        <v>49</v>
      </c>
      <c r="AM139" t="s">
        <v>233</v>
      </c>
      <c r="AN139" t="s">
        <v>166</v>
      </c>
      <c r="AQ139" s="5">
        <v>0</v>
      </c>
      <c r="AR139">
        <v>1</v>
      </c>
    </row>
    <row r="140" spans="1:44" x14ac:dyDescent="0.2">
      <c r="A140" t="s">
        <v>20</v>
      </c>
      <c r="B140" t="s">
        <v>246</v>
      </c>
      <c r="C140">
        <v>2022</v>
      </c>
      <c r="D140" t="s">
        <v>44</v>
      </c>
      <c r="F140" t="s">
        <v>71</v>
      </c>
      <c r="G140" t="s">
        <v>87</v>
      </c>
      <c r="H140" t="s">
        <v>93</v>
      </c>
      <c r="I140">
        <v>2020</v>
      </c>
      <c r="J140">
        <v>4.2999999999999997E-2</v>
      </c>
      <c r="K140" t="s">
        <v>101</v>
      </c>
      <c r="L140">
        <v>20</v>
      </c>
      <c r="M140">
        <f t="shared" ref="M140:M146" si="0">50*2</f>
        <v>100</v>
      </c>
      <c r="N140" t="s">
        <v>122</v>
      </c>
      <c r="O140" t="s">
        <v>247</v>
      </c>
      <c r="Q140" s="1" t="s">
        <v>2281</v>
      </c>
      <c r="R140" s="1" t="s">
        <v>122</v>
      </c>
      <c r="S140" s="1" t="s">
        <v>2293</v>
      </c>
      <c r="T140" t="s">
        <v>51</v>
      </c>
      <c r="X140" t="s">
        <v>211</v>
      </c>
      <c r="Y140" t="s">
        <v>2279</v>
      </c>
      <c r="Z140" t="s">
        <v>2280</v>
      </c>
      <c r="AA140" t="s">
        <v>2358</v>
      </c>
      <c r="AB140" t="s">
        <v>2290</v>
      </c>
      <c r="AC140" t="s">
        <v>152</v>
      </c>
      <c r="AD140" t="s">
        <v>2278</v>
      </c>
      <c r="AE140" t="s">
        <v>420</v>
      </c>
      <c r="AH140" s="4" t="s">
        <v>49</v>
      </c>
      <c r="AK140" t="s">
        <v>49</v>
      </c>
      <c r="AM140" t="s">
        <v>233</v>
      </c>
      <c r="AN140" t="s">
        <v>166</v>
      </c>
      <c r="AP140" t="s">
        <v>157</v>
      </c>
      <c r="AR140">
        <v>1</v>
      </c>
    </row>
    <row r="141" spans="1:44" x14ac:dyDescent="0.2">
      <c r="A141" t="s">
        <v>20</v>
      </c>
      <c r="B141" t="s">
        <v>246</v>
      </c>
      <c r="C141">
        <v>2022</v>
      </c>
      <c r="D141" t="s">
        <v>44</v>
      </c>
      <c r="F141" t="s">
        <v>71</v>
      </c>
      <c r="G141" t="s">
        <v>87</v>
      </c>
      <c r="H141" t="s">
        <v>93</v>
      </c>
      <c r="I141">
        <v>2020</v>
      </c>
      <c r="J141">
        <v>4.2999999999999997E-2</v>
      </c>
      <c r="K141" t="s">
        <v>101</v>
      </c>
      <c r="L141">
        <v>20</v>
      </c>
      <c r="M141">
        <f t="shared" si="0"/>
        <v>100</v>
      </c>
      <c r="N141" t="s">
        <v>122</v>
      </c>
      <c r="O141" t="s">
        <v>248</v>
      </c>
      <c r="Q141" s="1" t="s">
        <v>2281</v>
      </c>
      <c r="R141" s="1" t="s">
        <v>122</v>
      </c>
      <c r="S141" s="1" t="s">
        <v>2294</v>
      </c>
      <c r="T141" t="s">
        <v>51</v>
      </c>
      <c r="X141" t="s">
        <v>211</v>
      </c>
      <c r="Y141" t="s">
        <v>2279</v>
      </c>
      <c r="Z141" t="s">
        <v>2280</v>
      </c>
      <c r="AA141" t="s">
        <v>2358</v>
      </c>
      <c r="AB141" t="s">
        <v>2290</v>
      </c>
      <c r="AC141" t="s">
        <v>152</v>
      </c>
      <c r="AD141" t="s">
        <v>2278</v>
      </c>
      <c r="AE141" t="s">
        <v>420</v>
      </c>
      <c r="AH141" s="4" t="s">
        <v>49</v>
      </c>
      <c r="AK141" t="s">
        <v>49</v>
      </c>
      <c r="AM141" t="s">
        <v>233</v>
      </c>
      <c r="AN141" t="s">
        <v>166</v>
      </c>
      <c r="AP141" t="s">
        <v>157</v>
      </c>
      <c r="AR141">
        <v>1</v>
      </c>
    </row>
    <row r="142" spans="1:44" x14ac:dyDescent="0.2">
      <c r="A142" t="s">
        <v>20</v>
      </c>
      <c r="B142" t="s">
        <v>246</v>
      </c>
      <c r="C142">
        <v>2022</v>
      </c>
      <c r="D142" t="s">
        <v>44</v>
      </c>
      <c r="F142" t="s">
        <v>71</v>
      </c>
      <c r="G142" t="s">
        <v>87</v>
      </c>
      <c r="H142" t="s">
        <v>93</v>
      </c>
      <c r="I142">
        <v>2020</v>
      </c>
      <c r="J142">
        <v>4.2999999999999997E-2</v>
      </c>
      <c r="K142" t="s">
        <v>101</v>
      </c>
      <c r="L142">
        <v>20</v>
      </c>
      <c r="M142">
        <f t="shared" si="0"/>
        <v>100</v>
      </c>
      <c r="N142" t="s">
        <v>122</v>
      </c>
      <c r="O142" t="s">
        <v>247</v>
      </c>
      <c r="Q142" s="1" t="s">
        <v>2281</v>
      </c>
      <c r="R142" s="1" t="s">
        <v>122</v>
      </c>
      <c r="S142" s="1" t="s">
        <v>2293</v>
      </c>
      <c r="T142" t="s">
        <v>51</v>
      </c>
      <c r="X142" t="s">
        <v>249</v>
      </c>
      <c r="Y142" t="s">
        <v>2273</v>
      </c>
      <c r="Z142" t="s">
        <v>249</v>
      </c>
      <c r="AA142" t="s">
        <v>2274</v>
      </c>
      <c r="AB142" t="s">
        <v>2283</v>
      </c>
      <c r="AC142" t="s">
        <v>162</v>
      </c>
      <c r="AD142" t="s">
        <v>137</v>
      </c>
      <c r="AE142" t="s">
        <v>250</v>
      </c>
      <c r="AH142" s="4" t="s">
        <v>49</v>
      </c>
      <c r="AK142" t="s">
        <v>49</v>
      </c>
      <c r="AM142" t="s">
        <v>233</v>
      </c>
      <c r="AN142" t="s">
        <v>165</v>
      </c>
      <c r="AP142" t="s">
        <v>49</v>
      </c>
      <c r="AR142">
        <v>1</v>
      </c>
    </row>
    <row r="143" spans="1:44" x14ac:dyDescent="0.2">
      <c r="A143" t="s">
        <v>20</v>
      </c>
      <c r="B143" t="s">
        <v>246</v>
      </c>
      <c r="C143">
        <v>2022</v>
      </c>
      <c r="D143" t="s">
        <v>44</v>
      </c>
      <c r="F143" t="s">
        <v>71</v>
      </c>
      <c r="G143" t="s">
        <v>87</v>
      </c>
      <c r="H143" t="s">
        <v>93</v>
      </c>
      <c r="I143">
        <v>2020</v>
      </c>
      <c r="J143">
        <v>4.2999999999999997E-2</v>
      </c>
      <c r="K143" t="s">
        <v>101</v>
      </c>
      <c r="L143">
        <v>20</v>
      </c>
      <c r="M143">
        <f t="shared" si="0"/>
        <v>100</v>
      </c>
      <c r="N143" t="s">
        <v>122</v>
      </c>
      <c r="O143" t="s">
        <v>248</v>
      </c>
      <c r="Q143" s="1" t="s">
        <v>2281</v>
      </c>
      <c r="R143" s="1" t="s">
        <v>122</v>
      </c>
      <c r="S143" s="1" t="s">
        <v>2294</v>
      </c>
      <c r="T143" t="s">
        <v>51</v>
      </c>
      <c r="X143" t="s">
        <v>249</v>
      </c>
      <c r="Y143" t="s">
        <v>2273</v>
      </c>
      <c r="Z143" t="s">
        <v>249</v>
      </c>
      <c r="AA143" t="s">
        <v>2274</v>
      </c>
      <c r="AB143" t="s">
        <v>2283</v>
      </c>
      <c r="AC143" t="s">
        <v>162</v>
      </c>
      <c r="AD143" t="s">
        <v>137</v>
      </c>
      <c r="AE143" t="s">
        <v>250</v>
      </c>
      <c r="AH143" s="4" t="s">
        <v>49</v>
      </c>
      <c r="AK143" t="s">
        <v>49</v>
      </c>
      <c r="AM143" t="s">
        <v>233</v>
      </c>
      <c r="AN143" t="s">
        <v>165</v>
      </c>
      <c r="AP143" t="s">
        <v>49</v>
      </c>
      <c r="AR143">
        <v>1</v>
      </c>
    </row>
    <row r="144" spans="1:44" x14ac:dyDescent="0.2">
      <c r="A144" t="s">
        <v>20</v>
      </c>
      <c r="B144" t="s">
        <v>246</v>
      </c>
      <c r="C144">
        <v>2022</v>
      </c>
      <c r="D144" t="s">
        <v>44</v>
      </c>
      <c r="F144" t="s">
        <v>71</v>
      </c>
      <c r="G144" t="s">
        <v>87</v>
      </c>
      <c r="H144" t="s">
        <v>93</v>
      </c>
      <c r="I144">
        <v>2020</v>
      </c>
      <c r="J144">
        <v>4.2999999999999997E-2</v>
      </c>
      <c r="K144" t="s">
        <v>101</v>
      </c>
      <c r="L144">
        <v>20</v>
      </c>
      <c r="M144">
        <f t="shared" si="0"/>
        <v>100</v>
      </c>
      <c r="N144" t="s">
        <v>122</v>
      </c>
      <c r="O144" t="s">
        <v>247</v>
      </c>
      <c r="Q144" s="1" t="s">
        <v>2281</v>
      </c>
      <c r="R144" s="1" t="s">
        <v>122</v>
      </c>
      <c r="S144" s="1" t="s">
        <v>2293</v>
      </c>
      <c r="T144" t="s">
        <v>51</v>
      </c>
      <c r="X144" t="s">
        <v>211</v>
      </c>
      <c r="Y144" t="s">
        <v>2279</v>
      </c>
      <c r="Z144" t="s">
        <v>2280</v>
      </c>
      <c r="AA144" t="s">
        <v>2358</v>
      </c>
      <c r="AB144" t="s">
        <v>2290</v>
      </c>
      <c r="AC144" t="s">
        <v>152</v>
      </c>
      <c r="AD144" t="s">
        <v>2278</v>
      </c>
      <c r="AE144" t="s">
        <v>420</v>
      </c>
      <c r="AH144" s="4" t="s">
        <v>49</v>
      </c>
      <c r="AK144" t="s">
        <v>49</v>
      </c>
      <c r="AM144" t="s">
        <v>233</v>
      </c>
      <c r="AN144" t="s">
        <v>165</v>
      </c>
      <c r="AP144" t="s">
        <v>49</v>
      </c>
      <c r="AR144">
        <v>1</v>
      </c>
    </row>
    <row r="145" spans="1:44" x14ac:dyDescent="0.2">
      <c r="A145" t="s">
        <v>20</v>
      </c>
      <c r="B145" t="s">
        <v>246</v>
      </c>
      <c r="C145">
        <v>2022</v>
      </c>
      <c r="D145" t="s">
        <v>44</v>
      </c>
      <c r="F145" t="s">
        <v>71</v>
      </c>
      <c r="G145" t="s">
        <v>87</v>
      </c>
      <c r="H145" t="s">
        <v>93</v>
      </c>
      <c r="I145">
        <v>2020</v>
      </c>
      <c r="J145">
        <v>4.2999999999999997E-2</v>
      </c>
      <c r="K145" t="s">
        <v>101</v>
      </c>
      <c r="L145">
        <v>20</v>
      </c>
      <c r="M145">
        <f t="shared" si="0"/>
        <v>100</v>
      </c>
      <c r="N145" t="s">
        <v>122</v>
      </c>
      <c r="O145" t="s">
        <v>248</v>
      </c>
      <c r="Q145" s="1" t="s">
        <v>2281</v>
      </c>
      <c r="R145" s="1" t="s">
        <v>122</v>
      </c>
      <c r="S145" s="1" t="s">
        <v>2294</v>
      </c>
      <c r="T145" t="s">
        <v>51</v>
      </c>
      <c r="X145" t="s">
        <v>211</v>
      </c>
      <c r="Y145" t="s">
        <v>2279</v>
      </c>
      <c r="Z145" t="s">
        <v>2280</v>
      </c>
      <c r="AA145" t="s">
        <v>2358</v>
      </c>
      <c r="AB145" t="s">
        <v>2290</v>
      </c>
      <c r="AC145" t="s">
        <v>152</v>
      </c>
      <c r="AD145" t="s">
        <v>2278</v>
      </c>
      <c r="AE145" t="s">
        <v>420</v>
      </c>
      <c r="AH145" s="4" t="s">
        <v>49</v>
      </c>
      <c r="AK145" t="s">
        <v>49</v>
      </c>
      <c r="AM145" t="s">
        <v>233</v>
      </c>
      <c r="AN145" t="s">
        <v>165</v>
      </c>
      <c r="AP145" t="s">
        <v>49</v>
      </c>
      <c r="AR145">
        <v>1</v>
      </c>
    </row>
    <row r="146" spans="1:44" x14ac:dyDescent="0.2">
      <c r="A146" t="s">
        <v>20</v>
      </c>
      <c r="B146" t="s">
        <v>246</v>
      </c>
      <c r="C146">
        <v>2022</v>
      </c>
      <c r="D146" t="s">
        <v>44</v>
      </c>
      <c r="F146" t="s">
        <v>71</v>
      </c>
      <c r="G146" t="s">
        <v>87</v>
      </c>
      <c r="H146" t="s">
        <v>93</v>
      </c>
      <c r="I146">
        <v>2020</v>
      </c>
      <c r="J146">
        <v>4.2999999999999997E-2</v>
      </c>
      <c r="K146" t="s">
        <v>101</v>
      </c>
      <c r="L146">
        <v>20</v>
      </c>
      <c r="M146">
        <f t="shared" si="0"/>
        <v>100</v>
      </c>
      <c r="N146" t="s">
        <v>122</v>
      </c>
      <c r="O146" t="s">
        <v>247</v>
      </c>
      <c r="Q146" s="1" t="s">
        <v>2281</v>
      </c>
      <c r="R146" s="1" t="s">
        <v>122</v>
      </c>
      <c r="S146" s="1" t="s">
        <v>2293</v>
      </c>
      <c r="T146" t="s">
        <v>51</v>
      </c>
      <c r="X146" t="s">
        <v>249</v>
      </c>
      <c r="Y146" t="s">
        <v>2273</v>
      </c>
      <c r="Z146" t="s">
        <v>249</v>
      </c>
      <c r="AA146" t="s">
        <v>2274</v>
      </c>
      <c r="AB146" t="s">
        <v>2283</v>
      </c>
      <c r="AC146" t="s">
        <v>162</v>
      </c>
      <c r="AD146" t="s">
        <v>137</v>
      </c>
      <c r="AE146" t="s">
        <v>250</v>
      </c>
      <c r="AH146" s="4" t="s">
        <v>49</v>
      </c>
      <c r="AK146" t="s">
        <v>49</v>
      </c>
      <c r="AM146" t="s">
        <v>233</v>
      </c>
      <c r="AN146" t="s">
        <v>166</v>
      </c>
      <c r="AP146" t="s">
        <v>49</v>
      </c>
      <c r="AR146">
        <v>1</v>
      </c>
    </row>
    <row r="147" spans="1:44" x14ac:dyDescent="0.2">
      <c r="A147" t="s">
        <v>21</v>
      </c>
      <c r="B147" t="s">
        <v>251</v>
      </c>
      <c r="C147">
        <v>2022</v>
      </c>
      <c r="D147" t="s">
        <v>44</v>
      </c>
      <c r="E147" t="s">
        <v>49</v>
      </c>
      <c r="F147" t="s">
        <v>69</v>
      </c>
      <c r="G147" t="s">
        <v>85</v>
      </c>
      <c r="H147" t="s">
        <v>93</v>
      </c>
      <c r="I147" t="s">
        <v>113</v>
      </c>
      <c r="J147">
        <v>20</v>
      </c>
      <c r="L147">
        <v>1000</v>
      </c>
      <c r="M147">
        <v>0.25</v>
      </c>
      <c r="N147" t="s">
        <v>120</v>
      </c>
      <c r="O147" t="s">
        <v>252</v>
      </c>
      <c r="Q147" s="1" t="s">
        <v>2276</v>
      </c>
      <c r="R147" s="1" t="s">
        <v>669</v>
      </c>
      <c r="S147" s="1" t="s">
        <v>168</v>
      </c>
      <c r="T147" t="s">
        <v>396</v>
      </c>
      <c r="U147" s="1"/>
      <c r="X147" t="s">
        <v>211</v>
      </c>
      <c r="Y147" t="s">
        <v>2279</v>
      </c>
      <c r="Z147" t="s">
        <v>2280</v>
      </c>
      <c r="AA147" t="s">
        <v>2358</v>
      </c>
      <c r="AB147" t="s">
        <v>2290</v>
      </c>
      <c r="AC147" t="s">
        <v>152</v>
      </c>
      <c r="AD147" t="s">
        <v>2278</v>
      </c>
      <c r="AE147" t="s">
        <v>258</v>
      </c>
      <c r="AH147" s="4" t="s">
        <v>49</v>
      </c>
      <c r="AL147" t="s">
        <v>49</v>
      </c>
      <c r="AM147" t="s">
        <v>2465</v>
      </c>
      <c r="AN147" t="s">
        <v>166</v>
      </c>
      <c r="AP147" t="s">
        <v>51</v>
      </c>
      <c r="AR147">
        <v>1</v>
      </c>
    </row>
    <row r="148" spans="1:44" x14ac:dyDescent="0.2">
      <c r="A148" t="s">
        <v>21</v>
      </c>
      <c r="B148" t="s">
        <v>251</v>
      </c>
      <c r="C148">
        <v>2022</v>
      </c>
      <c r="D148" t="s">
        <v>44</v>
      </c>
      <c r="E148" t="s">
        <v>49</v>
      </c>
      <c r="F148" t="s">
        <v>69</v>
      </c>
      <c r="G148" t="s">
        <v>85</v>
      </c>
      <c r="H148" t="s">
        <v>93</v>
      </c>
      <c r="I148" t="s">
        <v>113</v>
      </c>
      <c r="J148">
        <v>20</v>
      </c>
      <c r="L148">
        <v>1000</v>
      </c>
      <c r="M148">
        <v>0.25</v>
      </c>
      <c r="N148" t="s">
        <v>128</v>
      </c>
      <c r="O148" t="s">
        <v>221</v>
      </c>
      <c r="Q148" s="1" t="s">
        <v>2276</v>
      </c>
      <c r="R148" s="1" t="s">
        <v>2350</v>
      </c>
      <c r="S148" s="1" t="s">
        <v>2350</v>
      </c>
      <c r="T148" t="s">
        <v>396</v>
      </c>
      <c r="X148" t="s">
        <v>211</v>
      </c>
      <c r="Y148" t="s">
        <v>2279</v>
      </c>
      <c r="Z148" t="s">
        <v>2280</v>
      </c>
      <c r="AA148" t="s">
        <v>2358</v>
      </c>
      <c r="AB148" t="s">
        <v>2290</v>
      </c>
      <c r="AC148" t="s">
        <v>152</v>
      </c>
      <c r="AD148" t="s">
        <v>2278</v>
      </c>
      <c r="AE148" t="s">
        <v>258</v>
      </c>
      <c r="AH148" s="4" t="s">
        <v>49</v>
      </c>
      <c r="AL148" t="s">
        <v>49</v>
      </c>
      <c r="AM148" t="s">
        <v>2465</v>
      </c>
      <c r="AN148" t="s">
        <v>166</v>
      </c>
      <c r="AP148" t="s">
        <v>51</v>
      </c>
      <c r="AR148">
        <v>1</v>
      </c>
    </row>
    <row r="149" spans="1:44" x14ac:dyDescent="0.2">
      <c r="A149" t="s">
        <v>21</v>
      </c>
      <c r="B149" t="s">
        <v>251</v>
      </c>
      <c r="C149">
        <v>2022</v>
      </c>
      <c r="D149" t="s">
        <v>44</v>
      </c>
      <c r="E149" t="s">
        <v>49</v>
      </c>
      <c r="F149" t="s">
        <v>69</v>
      </c>
      <c r="G149" t="s">
        <v>85</v>
      </c>
      <c r="H149" t="s">
        <v>93</v>
      </c>
      <c r="I149" t="s">
        <v>113</v>
      </c>
      <c r="J149">
        <v>20</v>
      </c>
      <c r="L149">
        <v>1000</v>
      </c>
      <c r="M149">
        <v>0.25</v>
      </c>
      <c r="N149" t="s">
        <v>129</v>
      </c>
      <c r="O149" t="s">
        <v>253</v>
      </c>
      <c r="Q149" s="1" t="s">
        <v>2276</v>
      </c>
      <c r="R149" s="1" t="s">
        <v>755</v>
      </c>
      <c r="S149" s="1" t="s">
        <v>2349</v>
      </c>
      <c r="T149" t="s">
        <v>396</v>
      </c>
      <c r="X149" t="s">
        <v>211</v>
      </c>
      <c r="Y149" t="s">
        <v>2279</v>
      </c>
      <c r="Z149" t="s">
        <v>2280</v>
      </c>
      <c r="AA149" t="s">
        <v>2358</v>
      </c>
      <c r="AB149" t="s">
        <v>2290</v>
      </c>
      <c r="AC149" t="s">
        <v>152</v>
      </c>
      <c r="AD149" t="s">
        <v>2278</v>
      </c>
      <c r="AE149" t="s">
        <v>258</v>
      </c>
      <c r="AH149" s="4" t="s">
        <v>49</v>
      </c>
      <c r="AL149" t="s">
        <v>49</v>
      </c>
      <c r="AM149" t="s">
        <v>2465</v>
      </c>
      <c r="AN149" t="s">
        <v>166</v>
      </c>
      <c r="AP149" t="s">
        <v>51</v>
      </c>
      <c r="AR149">
        <v>1</v>
      </c>
    </row>
    <row r="150" spans="1:44" x14ac:dyDescent="0.2">
      <c r="A150" t="s">
        <v>21</v>
      </c>
      <c r="B150" t="s">
        <v>251</v>
      </c>
      <c r="C150">
        <v>2022</v>
      </c>
      <c r="D150" t="s">
        <v>44</v>
      </c>
      <c r="E150" t="s">
        <v>49</v>
      </c>
      <c r="F150" t="s">
        <v>69</v>
      </c>
      <c r="G150" t="s">
        <v>85</v>
      </c>
      <c r="H150" t="s">
        <v>93</v>
      </c>
      <c r="I150" t="s">
        <v>113</v>
      </c>
      <c r="J150">
        <v>20</v>
      </c>
      <c r="L150">
        <v>1000</v>
      </c>
      <c r="M150">
        <v>0.25</v>
      </c>
      <c r="N150" t="s">
        <v>121</v>
      </c>
      <c r="O150" t="s">
        <v>254</v>
      </c>
      <c r="Q150" s="1" t="s">
        <v>2292</v>
      </c>
      <c r="R150" s="1" t="s">
        <v>264</v>
      </c>
      <c r="S150" s="1" t="s">
        <v>264</v>
      </c>
      <c r="T150" t="s">
        <v>396</v>
      </c>
      <c r="X150" t="s">
        <v>211</v>
      </c>
      <c r="Y150" t="s">
        <v>2279</v>
      </c>
      <c r="Z150" t="s">
        <v>2280</v>
      </c>
      <c r="AA150" t="s">
        <v>2358</v>
      </c>
      <c r="AB150" t="s">
        <v>2290</v>
      </c>
      <c r="AC150" t="s">
        <v>152</v>
      </c>
      <c r="AD150" t="s">
        <v>2278</v>
      </c>
      <c r="AE150" t="s">
        <v>258</v>
      </c>
      <c r="AH150" s="4" t="s">
        <v>49</v>
      </c>
      <c r="AL150" t="s">
        <v>49</v>
      </c>
      <c r="AM150" t="s">
        <v>2465</v>
      </c>
      <c r="AN150" t="s">
        <v>166</v>
      </c>
      <c r="AP150" t="s">
        <v>51</v>
      </c>
      <c r="AR150">
        <v>1</v>
      </c>
    </row>
    <row r="151" spans="1:44" x14ac:dyDescent="0.2">
      <c r="A151" t="s">
        <v>21</v>
      </c>
      <c r="B151" t="s">
        <v>251</v>
      </c>
      <c r="C151">
        <v>2022</v>
      </c>
      <c r="D151" t="s">
        <v>44</v>
      </c>
      <c r="E151" t="s">
        <v>49</v>
      </c>
      <c r="F151" t="s">
        <v>69</v>
      </c>
      <c r="G151" t="s">
        <v>85</v>
      </c>
      <c r="H151" t="s">
        <v>93</v>
      </c>
      <c r="I151" t="s">
        <v>113</v>
      </c>
      <c r="J151">
        <v>20</v>
      </c>
      <c r="L151">
        <v>1000</v>
      </c>
      <c r="M151">
        <v>0.25</v>
      </c>
      <c r="N151" t="s">
        <v>130</v>
      </c>
      <c r="O151" t="s">
        <v>255</v>
      </c>
      <c r="Q151" s="1" t="s">
        <v>2276</v>
      </c>
      <c r="R151" s="1" t="s">
        <v>751</v>
      </c>
      <c r="S151" s="1" t="s">
        <v>2345</v>
      </c>
      <c r="T151" t="s">
        <v>396</v>
      </c>
      <c r="X151" t="s">
        <v>211</v>
      </c>
      <c r="Y151" t="s">
        <v>2279</v>
      </c>
      <c r="Z151" t="s">
        <v>2280</v>
      </c>
      <c r="AA151" t="s">
        <v>2358</v>
      </c>
      <c r="AB151" t="s">
        <v>2290</v>
      </c>
      <c r="AC151" t="s">
        <v>152</v>
      </c>
      <c r="AD151" t="s">
        <v>2278</v>
      </c>
      <c r="AE151" t="s">
        <v>258</v>
      </c>
      <c r="AH151" s="4" t="s">
        <v>49</v>
      </c>
      <c r="AL151" t="s">
        <v>49</v>
      </c>
      <c r="AM151" t="s">
        <v>2465</v>
      </c>
      <c r="AN151" t="s">
        <v>166</v>
      </c>
      <c r="AP151" t="s">
        <v>51</v>
      </c>
      <c r="AR151">
        <v>1</v>
      </c>
    </row>
    <row r="152" spans="1:44" x14ac:dyDescent="0.2">
      <c r="A152" t="s">
        <v>21</v>
      </c>
      <c r="B152" t="s">
        <v>251</v>
      </c>
      <c r="C152">
        <v>2022</v>
      </c>
      <c r="D152" t="s">
        <v>44</v>
      </c>
      <c r="E152" t="s">
        <v>49</v>
      </c>
      <c r="F152" t="s">
        <v>69</v>
      </c>
      <c r="G152" t="s">
        <v>85</v>
      </c>
      <c r="H152" t="s">
        <v>93</v>
      </c>
      <c r="I152" t="s">
        <v>113</v>
      </c>
      <c r="J152">
        <v>20</v>
      </c>
      <c r="L152">
        <v>1000</v>
      </c>
      <c r="M152">
        <v>0.25</v>
      </c>
      <c r="N152" t="s">
        <v>122</v>
      </c>
      <c r="O152" t="s">
        <v>256</v>
      </c>
      <c r="Q152" s="1" t="s">
        <v>2281</v>
      </c>
      <c r="R152" s="1" t="s">
        <v>122</v>
      </c>
      <c r="S152" s="1" t="s">
        <v>2294</v>
      </c>
      <c r="T152" t="s">
        <v>396</v>
      </c>
      <c r="X152" t="s">
        <v>211</v>
      </c>
      <c r="Y152" t="s">
        <v>2279</v>
      </c>
      <c r="Z152" t="s">
        <v>2280</v>
      </c>
      <c r="AA152" t="s">
        <v>2358</v>
      </c>
      <c r="AB152" t="s">
        <v>2290</v>
      </c>
      <c r="AC152" t="s">
        <v>152</v>
      </c>
      <c r="AD152" t="s">
        <v>2278</v>
      </c>
      <c r="AE152" t="s">
        <v>258</v>
      </c>
      <c r="AH152" s="4" t="s">
        <v>49</v>
      </c>
      <c r="AL152" t="s">
        <v>49</v>
      </c>
      <c r="AM152" t="s">
        <v>2465</v>
      </c>
      <c r="AN152" t="s">
        <v>166</v>
      </c>
      <c r="AP152" t="s">
        <v>51</v>
      </c>
      <c r="AR152">
        <v>1</v>
      </c>
    </row>
    <row r="153" spans="1:44" x14ac:dyDescent="0.2">
      <c r="A153" t="s">
        <v>21</v>
      </c>
      <c r="B153" t="s">
        <v>251</v>
      </c>
      <c r="C153">
        <v>2022</v>
      </c>
      <c r="D153" t="s">
        <v>44</v>
      </c>
      <c r="E153" t="s">
        <v>49</v>
      </c>
      <c r="F153" t="s">
        <v>69</v>
      </c>
      <c r="G153" t="s">
        <v>85</v>
      </c>
      <c r="H153" t="s">
        <v>93</v>
      </c>
      <c r="I153" t="s">
        <v>113</v>
      </c>
      <c r="J153">
        <v>20</v>
      </c>
      <c r="L153">
        <v>1000</v>
      </c>
      <c r="M153">
        <v>0.25</v>
      </c>
      <c r="N153" t="s">
        <v>127</v>
      </c>
      <c r="O153" t="s">
        <v>257</v>
      </c>
      <c r="Q153" s="1" t="s">
        <v>2281</v>
      </c>
      <c r="R153" s="1" t="s">
        <v>2291</v>
      </c>
      <c r="S153" s="1" t="s">
        <v>2291</v>
      </c>
      <c r="T153" t="s">
        <v>396</v>
      </c>
      <c r="X153" t="s">
        <v>211</v>
      </c>
      <c r="Y153" t="s">
        <v>2279</v>
      </c>
      <c r="Z153" t="s">
        <v>2280</v>
      </c>
      <c r="AA153" t="s">
        <v>2358</v>
      </c>
      <c r="AB153" t="s">
        <v>2290</v>
      </c>
      <c r="AC153" t="s">
        <v>152</v>
      </c>
      <c r="AD153" t="s">
        <v>2278</v>
      </c>
      <c r="AE153" t="s">
        <v>258</v>
      </c>
      <c r="AH153" s="4" t="s">
        <v>49</v>
      </c>
      <c r="AL153" t="s">
        <v>49</v>
      </c>
      <c r="AM153" t="s">
        <v>2465</v>
      </c>
      <c r="AN153" t="s">
        <v>166</v>
      </c>
      <c r="AP153" t="s">
        <v>51</v>
      </c>
      <c r="AR153">
        <v>1</v>
      </c>
    </row>
    <row r="154" spans="1:44" x14ac:dyDescent="0.2">
      <c r="A154" t="s">
        <v>21</v>
      </c>
      <c r="B154" t="s">
        <v>251</v>
      </c>
      <c r="C154">
        <v>2022</v>
      </c>
      <c r="D154" t="s">
        <v>44</v>
      </c>
      <c r="E154" t="s">
        <v>49</v>
      </c>
      <c r="F154" t="s">
        <v>69</v>
      </c>
      <c r="G154" t="s">
        <v>85</v>
      </c>
      <c r="H154" t="s">
        <v>93</v>
      </c>
      <c r="I154" t="s">
        <v>113</v>
      </c>
      <c r="J154">
        <v>20</v>
      </c>
      <c r="L154">
        <v>1000</v>
      </c>
      <c r="M154">
        <v>0.25</v>
      </c>
      <c r="N154" t="s">
        <v>120</v>
      </c>
      <c r="O154" t="s">
        <v>252</v>
      </c>
      <c r="Q154" s="1" t="s">
        <v>2276</v>
      </c>
      <c r="R154" s="1" t="s">
        <v>669</v>
      </c>
      <c r="S154" s="1" t="s">
        <v>168</v>
      </c>
      <c r="T154" t="s">
        <v>396</v>
      </c>
      <c r="U154" s="1"/>
      <c r="X154" t="s">
        <v>211</v>
      </c>
      <c r="Y154" t="s">
        <v>2279</v>
      </c>
      <c r="Z154" t="s">
        <v>2280</v>
      </c>
      <c r="AA154" t="s">
        <v>2358</v>
      </c>
      <c r="AB154" t="s">
        <v>2290</v>
      </c>
      <c r="AC154" t="s">
        <v>152</v>
      </c>
      <c r="AD154" t="s">
        <v>2278</v>
      </c>
      <c r="AE154" t="s">
        <v>258</v>
      </c>
      <c r="AH154" s="4" t="s">
        <v>49</v>
      </c>
      <c r="AL154" t="s">
        <v>49</v>
      </c>
      <c r="AM154" t="s">
        <v>2466</v>
      </c>
      <c r="AN154" t="s">
        <v>166</v>
      </c>
      <c r="AP154" t="s">
        <v>173</v>
      </c>
      <c r="AR154">
        <v>1</v>
      </c>
    </row>
    <row r="155" spans="1:44" x14ac:dyDescent="0.2">
      <c r="A155" t="s">
        <v>21</v>
      </c>
      <c r="B155" t="s">
        <v>251</v>
      </c>
      <c r="C155">
        <v>2022</v>
      </c>
      <c r="D155" t="s">
        <v>44</v>
      </c>
      <c r="E155" t="s">
        <v>49</v>
      </c>
      <c r="F155" t="s">
        <v>69</v>
      </c>
      <c r="G155" t="s">
        <v>85</v>
      </c>
      <c r="H155" t="s">
        <v>93</v>
      </c>
      <c r="I155" t="s">
        <v>113</v>
      </c>
      <c r="J155">
        <v>20</v>
      </c>
      <c r="L155">
        <v>1000</v>
      </c>
      <c r="M155">
        <v>0.25</v>
      </c>
      <c r="N155" t="s">
        <v>128</v>
      </c>
      <c r="O155" t="s">
        <v>221</v>
      </c>
      <c r="Q155" s="1" t="s">
        <v>2276</v>
      </c>
      <c r="R155" s="1" t="s">
        <v>2350</v>
      </c>
      <c r="S155" s="1" t="s">
        <v>2350</v>
      </c>
      <c r="T155" t="s">
        <v>396</v>
      </c>
      <c r="X155" t="s">
        <v>211</v>
      </c>
      <c r="Y155" t="s">
        <v>2279</v>
      </c>
      <c r="Z155" t="s">
        <v>2280</v>
      </c>
      <c r="AA155" t="s">
        <v>2358</v>
      </c>
      <c r="AB155" t="s">
        <v>2290</v>
      </c>
      <c r="AC155" t="s">
        <v>152</v>
      </c>
      <c r="AD155" t="s">
        <v>2278</v>
      </c>
      <c r="AE155" t="s">
        <v>258</v>
      </c>
      <c r="AH155" s="4" t="s">
        <v>49</v>
      </c>
      <c r="AL155" t="s">
        <v>49</v>
      </c>
      <c r="AM155" t="s">
        <v>2466</v>
      </c>
      <c r="AN155" t="s">
        <v>166</v>
      </c>
      <c r="AP155" t="s">
        <v>51</v>
      </c>
      <c r="AR155">
        <v>1</v>
      </c>
    </row>
    <row r="156" spans="1:44" x14ac:dyDescent="0.2">
      <c r="A156" t="s">
        <v>21</v>
      </c>
      <c r="B156" t="s">
        <v>251</v>
      </c>
      <c r="C156">
        <v>2022</v>
      </c>
      <c r="D156" t="s">
        <v>44</v>
      </c>
      <c r="E156" t="s">
        <v>49</v>
      </c>
      <c r="F156" t="s">
        <v>69</v>
      </c>
      <c r="G156" t="s">
        <v>85</v>
      </c>
      <c r="H156" t="s">
        <v>93</v>
      </c>
      <c r="I156" t="s">
        <v>113</v>
      </c>
      <c r="J156">
        <v>20</v>
      </c>
      <c r="L156">
        <v>1000</v>
      </c>
      <c r="M156">
        <v>0.25</v>
      </c>
      <c r="N156" t="s">
        <v>129</v>
      </c>
      <c r="O156" t="s">
        <v>253</v>
      </c>
      <c r="Q156" s="1" t="s">
        <v>2276</v>
      </c>
      <c r="R156" s="1" t="s">
        <v>755</v>
      </c>
      <c r="S156" s="1" t="s">
        <v>2349</v>
      </c>
      <c r="T156" t="s">
        <v>396</v>
      </c>
      <c r="X156" t="s">
        <v>211</v>
      </c>
      <c r="Y156" t="s">
        <v>2279</v>
      </c>
      <c r="Z156" t="s">
        <v>2280</v>
      </c>
      <c r="AA156" t="s">
        <v>2358</v>
      </c>
      <c r="AB156" t="s">
        <v>2290</v>
      </c>
      <c r="AC156" t="s">
        <v>152</v>
      </c>
      <c r="AD156" t="s">
        <v>2278</v>
      </c>
      <c r="AE156" t="s">
        <v>258</v>
      </c>
      <c r="AH156" s="4" t="s">
        <v>49</v>
      </c>
      <c r="AL156" t="s">
        <v>49</v>
      </c>
      <c r="AM156" t="s">
        <v>2466</v>
      </c>
      <c r="AN156" t="s">
        <v>166</v>
      </c>
      <c r="AP156" t="s">
        <v>51</v>
      </c>
      <c r="AR156">
        <v>1</v>
      </c>
    </row>
    <row r="157" spans="1:44" x14ac:dyDescent="0.2">
      <c r="A157" t="s">
        <v>21</v>
      </c>
      <c r="B157" t="s">
        <v>251</v>
      </c>
      <c r="C157">
        <v>2022</v>
      </c>
      <c r="D157" t="s">
        <v>44</v>
      </c>
      <c r="E157" t="s">
        <v>49</v>
      </c>
      <c r="F157" t="s">
        <v>69</v>
      </c>
      <c r="G157" t="s">
        <v>85</v>
      </c>
      <c r="H157" t="s">
        <v>93</v>
      </c>
      <c r="I157" t="s">
        <v>113</v>
      </c>
      <c r="J157">
        <v>20</v>
      </c>
      <c r="L157">
        <v>1000</v>
      </c>
      <c r="M157">
        <v>0.25</v>
      </c>
      <c r="N157" t="s">
        <v>121</v>
      </c>
      <c r="O157" t="s">
        <v>254</v>
      </c>
      <c r="Q157" s="1" t="s">
        <v>2292</v>
      </c>
      <c r="R157" s="1" t="s">
        <v>264</v>
      </c>
      <c r="S157" s="1" t="s">
        <v>264</v>
      </c>
      <c r="T157" t="s">
        <v>396</v>
      </c>
      <c r="X157" t="s">
        <v>211</v>
      </c>
      <c r="Y157" t="s">
        <v>2279</v>
      </c>
      <c r="Z157" t="s">
        <v>2280</v>
      </c>
      <c r="AA157" t="s">
        <v>2358</v>
      </c>
      <c r="AB157" t="s">
        <v>2290</v>
      </c>
      <c r="AC157" t="s">
        <v>152</v>
      </c>
      <c r="AD157" t="s">
        <v>2278</v>
      </c>
      <c r="AE157" t="s">
        <v>258</v>
      </c>
      <c r="AH157" s="4" t="s">
        <v>49</v>
      </c>
      <c r="AL157" t="s">
        <v>49</v>
      </c>
      <c r="AM157" t="s">
        <v>2466</v>
      </c>
      <c r="AN157" t="s">
        <v>166</v>
      </c>
      <c r="AP157" t="s">
        <v>51</v>
      </c>
      <c r="AR157">
        <v>1</v>
      </c>
    </row>
    <row r="158" spans="1:44" x14ac:dyDescent="0.2">
      <c r="A158" t="s">
        <v>21</v>
      </c>
      <c r="B158" t="s">
        <v>251</v>
      </c>
      <c r="C158">
        <v>2022</v>
      </c>
      <c r="D158" t="s">
        <v>44</v>
      </c>
      <c r="E158" t="s">
        <v>49</v>
      </c>
      <c r="F158" t="s">
        <v>69</v>
      </c>
      <c r="G158" t="s">
        <v>85</v>
      </c>
      <c r="H158" t="s">
        <v>93</v>
      </c>
      <c r="I158" t="s">
        <v>113</v>
      </c>
      <c r="J158">
        <v>20</v>
      </c>
      <c r="L158">
        <v>1000</v>
      </c>
      <c r="M158">
        <v>0.25</v>
      </c>
      <c r="N158" t="s">
        <v>130</v>
      </c>
      <c r="O158" t="s">
        <v>255</v>
      </c>
      <c r="Q158" s="1" t="s">
        <v>2276</v>
      </c>
      <c r="R158" s="1" t="s">
        <v>751</v>
      </c>
      <c r="S158" s="1" t="s">
        <v>2345</v>
      </c>
      <c r="T158" t="s">
        <v>396</v>
      </c>
      <c r="X158" t="s">
        <v>211</v>
      </c>
      <c r="Y158" t="s">
        <v>2279</v>
      </c>
      <c r="Z158" t="s">
        <v>2280</v>
      </c>
      <c r="AA158" t="s">
        <v>2358</v>
      </c>
      <c r="AB158" t="s">
        <v>2290</v>
      </c>
      <c r="AC158" t="s">
        <v>152</v>
      </c>
      <c r="AD158" t="s">
        <v>2278</v>
      </c>
      <c r="AE158" t="s">
        <v>258</v>
      </c>
      <c r="AH158" s="4" t="s">
        <v>49</v>
      </c>
      <c r="AL158" t="s">
        <v>49</v>
      </c>
      <c r="AM158" t="s">
        <v>2466</v>
      </c>
      <c r="AN158" t="s">
        <v>166</v>
      </c>
      <c r="AP158" t="s">
        <v>51</v>
      </c>
      <c r="AR158">
        <v>1</v>
      </c>
    </row>
    <row r="159" spans="1:44" x14ac:dyDescent="0.2">
      <c r="A159" t="s">
        <v>21</v>
      </c>
      <c r="B159" t="s">
        <v>251</v>
      </c>
      <c r="C159">
        <v>2022</v>
      </c>
      <c r="D159" t="s">
        <v>44</v>
      </c>
      <c r="E159" t="s">
        <v>49</v>
      </c>
      <c r="F159" t="s">
        <v>69</v>
      </c>
      <c r="G159" t="s">
        <v>85</v>
      </c>
      <c r="H159" t="s">
        <v>93</v>
      </c>
      <c r="I159" t="s">
        <v>113</v>
      </c>
      <c r="J159">
        <v>20</v>
      </c>
      <c r="L159">
        <v>1000</v>
      </c>
      <c r="M159">
        <v>0.25</v>
      </c>
      <c r="N159" t="s">
        <v>122</v>
      </c>
      <c r="O159" t="s">
        <v>256</v>
      </c>
      <c r="Q159" s="1" t="s">
        <v>2281</v>
      </c>
      <c r="R159" s="1" t="s">
        <v>122</v>
      </c>
      <c r="S159" s="1" t="s">
        <v>2294</v>
      </c>
      <c r="T159" t="s">
        <v>396</v>
      </c>
      <c r="X159" t="s">
        <v>211</v>
      </c>
      <c r="Y159" t="s">
        <v>2279</v>
      </c>
      <c r="Z159" t="s">
        <v>2280</v>
      </c>
      <c r="AA159" t="s">
        <v>2358</v>
      </c>
      <c r="AB159" t="s">
        <v>2290</v>
      </c>
      <c r="AC159" t="s">
        <v>152</v>
      </c>
      <c r="AD159" t="s">
        <v>2278</v>
      </c>
      <c r="AE159" t="s">
        <v>258</v>
      </c>
      <c r="AH159" s="4" t="s">
        <v>49</v>
      </c>
      <c r="AL159" t="s">
        <v>49</v>
      </c>
      <c r="AM159" t="s">
        <v>2466</v>
      </c>
      <c r="AN159" t="s">
        <v>166</v>
      </c>
      <c r="AP159" t="s">
        <v>51</v>
      </c>
      <c r="AR159">
        <v>1</v>
      </c>
    </row>
    <row r="160" spans="1:44" x14ac:dyDescent="0.2">
      <c r="A160" t="s">
        <v>21</v>
      </c>
      <c r="B160" t="s">
        <v>251</v>
      </c>
      <c r="C160">
        <v>2022</v>
      </c>
      <c r="D160" t="s">
        <v>44</v>
      </c>
      <c r="E160" t="s">
        <v>49</v>
      </c>
      <c r="F160" t="s">
        <v>69</v>
      </c>
      <c r="G160" t="s">
        <v>85</v>
      </c>
      <c r="H160" t="s">
        <v>93</v>
      </c>
      <c r="I160" t="s">
        <v>113</v>
      </c>
      <c r="J160">
        <v>20</v>
      </c>
      <c r="L160">
        <v>1000</v>
      </c>
      <c r="M160">
        <v>0.25</v>
      </c>
      <c r="N160" t="s">
        <v>127</v>
      </c>
      <c r="O160" t="s">
        <v>257</v>
      </c>
      <c r="Q160" s="1" t="s">
        <v>2281</v>
      </c>
      <c r="R160" s="1" t="s">
        <v>2291</v>
      </c>
      <c r="S160" s="1" t="s">
        <v>2291</v>
      </c>
      <c r="T160" t="s">
        <v>396</v>
      </c>
      <c r="X160" t="s">
        <v>211</v>
      </c>
      <c r="Y160" t="s">
        <v>2279</v>
      </c>
      <c r="Z160" t="s">
        <v>2280</v>
      </c>
      <c r="AA160" t="s">
        <v>2358</v>
      </c>
      <c r="AB160" t="s">
        <v>2290</v>
      </c>
      <c r="AC160" t="s">
        <v>152</v>
      </c>
      <c r="AD160" t="s">
        <v>2278</v>
      </c>
      <c r="AE160" t="s">
        <v>258</v>
      </c>
      <c r="AH160" s="4" t="s">
        <v>49</v>
      </c>
      <c r="AL160" t="s">
        <v>49</v>
      </c>
      <c r="AM160" t="s">
        <v>2466</v>
      </c>
      <c r="AN160" t="s">
        <v>166</v>
      </c>
      <c r="AP160" t="s">
        <v>51</v>
      </c>
      <c r="AR160">
        <v>1</v>
      </c>
    </row>
    <row r="161" spans="1:44" x14ac:dyDescent="0.2">
      <c r="A161" t="s">
        <v>21</v>
      </c>
      <c r="B161" t="s">
        <v>251</v>
      </c>
      <c r="C161">
        <v>2022</v>
      </c>
      <c r="D161" t="s">
        <v>44</v>
      </c>
      <c r="E161" t="s">
        <v>49</v>
      </c>
      <c r="F161" t="s">
        <v>69</v>
      </c>
      <c r="G161" t="s">
        <v>85</v>
      </c>
      <c r="H161" t="s">
        <v>93</v>
      </c>
      <c r="I161" t="s">
        <v>113</v>
      </c>
      <c r="J161">
        <v>20</v>
      </c>
      <c r="L161">
        <v>1000</v>
      </c>
      <c r="M161">
        <v>0.25</v>
      </c>
      <c r="N161" t="s">
        <v>120</v>
      </c>
      <c r="O161" t="s">
        <v>252</v>
      </c>
      <c r="Q161" s="1" t="s">
        <v>2276</v>
      </c>
      <c r="R161" s="1" t="s">
        <v>669</v>
      </c>
      <c r="S161" s="1" t="s">
        <v>168</v>
      </c>
      <c r="T161" t="s">
        <v>396</v>
      </c>
      <c r="U161" s="1"/>
      <c r="X161" t="s">
        <v>211</v>
      </c>
      <c r="Y161" t="s">
        <v>2279</v>
      </c>
      <c r="Z161" t="s">
        <v>2280</v>
      </c>
      <c r="AA161" t="s">
        <v>2358</v>
      </c>
      <c r="AB161" t="s">
        <v>2290</v>
      </c>
      <c r="AC161" t="s">
        <v>152</v>
      </c>
      <c r="AD161" t="s">
        <v>2278</v>
      </c>
      <c r="AE161" t="s">
        <v>258</v>
      </c>
      <c r="AH161" s="4" t="s">
        <v>49</v>
      </c>
      <c r="AL161" t="s">
        <v>49</v>
      </c>
      <c r="AM161" t="s">
        <v>2467</v>
      </c>
      <c r="AN161" t="s">
        <v>166</v>
      </c>
      <c r="AP161" t="s">
        <v>51</v>
      </c>
      <c r="AR161">
        <v>1</v>
      </c>
    </row>
    <row r="162" spans="1:44" x14ac:dyDescent="0.2">
      <c r="A162" t="s">
        <v>21</v>
      </c>
      <c r="B162" t="s">
        <v>251</v>
      </c>
      <c r="C162">
        <v>2022</v>
      </c>
      <c r="D162" t="s">
        <v>44</v>
      </c>
      <c r="E162" t="s">
        <v>49</v>
      </c>
      <c r="F162" t="s">
        <v>69</v>
      </c>
      <c r="G162" t="s">
        <v>85</v>
      </c>
      <c r="H162" t="s">
        <v>93</v>
      </c>
      <c r="I162" t="s">
        <v>113</v>
      </c>
      <c r="J162">
        <v>20</v>
      </c>
      <c r="L162">
        <v>1000</v>
      </c>
      <c r="M162">
        <v>0.25</v>
      </c>
      <c r="N162" t="s">
        <v>128</v>
      </c>
      <c r="O162" t="s">
        <v>221</v>
      </c>
      <c r="Q162" s="1" t="s">
        <v>2276</v>
      </c>
      <c r="R162" s="1" t="s">
        <v>2350</v>
      </c>
      <c r="S162" s="1" t="s">
        <v>2350</v>
      </c>
      <c r="T162" t="s">
        <v>396</v>
      </c>
      <c r="X162" t="s">
        <v>211</v>
      </c>
      <c r="Y162" t="s">
        <v>2279</v>
      </c>
      <c r="Z162" t="s">
        <v>2280</v>
      </c>
      <c r="AA162" t="s">
        <v>2358</v>
      </c>
      <c r="AB162" t="s">
        <v>2290</v>
      </c>
      <c r="AC162" t="s">
        <v>152</v>
      </c>
      <c r="AD162" t="s">
        <v>2278</v>
      </c>
      <c r="AE162" t="s">
        <v>258</v>
      </c>
      <c r="AH162" s="4" t="s">
        <v>49</v>
      </c>
      <c r="AL162" t="s">
        <v>49</v>
      </c>
      <c r="AM162" t="s">
        <v>2467</v>
      </c>
      <c r="AN162" t="s">
        <v>166</v>
      </c>
      <c r="AP162" t="s">
        <v>51</v>
      </c>
      <c r="AR162">
        <v>1</v>
      </c>
    </row>
    <row r="163" spans="1:44" x14ac:dyDescent="0.2">
      <c r="A163" t="s">
        <v>21</v>
      </c>
      <c r="B163" t="s">
        <v>251</v>
      </c>
      <c r="C163">
        <v>2022</v>
      </c>
      <c r="D163" t="s">
        <v>44</v>
      </c>
      <c r="E163" t="s">
        <v>49</v>
      </c>
      <c r="F163" t="s">
        <v>69</v>
      </c>
      <c r="G163" t="s">
        <v>85</v>
      </c>
      <c r="H163" t="s">
        <v>93</v>
      </c>
      <c r="I163" t="s">
        <v>113</v>
      </c>
      <c r="J163">
        <v>20</v>
      </c>
      <c r="L163">
        <v>1000</v>
      </c>
      <c r="M163">
        <v>0.25</v>
      </c>
      <c r="N163" t="s">
        <v>129</v>
      </c>
      <c r="O163" t="s">
        <v>253</v>
      </c>
      <c r="Q163" s="1" t="s">
        <v>2276</v>
      </c>
      <c r="R163" s="1" t="s">
        <v>755</v>
      </c>
      <c r="S163" s="1" t="s">
        <v>2349</v>
      </c>
      <c r="T163" t="s">
        <v>396</v>
      </c>
      <c r="X163" t="s">
        <v>211</v>
      </c>
      <c r="Y163" t="s">
        <v>2279</v>
      </c>
      <c r="Z163" t="s">
        <v>2280</v>
      </c>
      <c r="AA163" t="s">
        <v>2358</v>
      </c>
      <c r="AB163" t="s">
        <v>2290</v>
      </c>
      <c r="AC163" t="s">
        <v>152</v>
      </c>
      <c r="AD163" t="s">
        <v>2278</v>
      </c>
      <c r="AE163" t="s">
        <v>258</v>
      </c>
      <c r="AH163" s="4" t="s">
        <v>49</v>
      </c>
      <c r="AL163" t="s">
        <v>49</v>
      </c>
      <c r="AM163" t="s">
        <v>2467</v>
      </c>
      <c r="AN163" t="s">
        <v>166</v>
      </c>
      <c r="AP163" t="s">
        <v>51</v>
      </c>
      <c r="AR163">
        <v>1</v>
      </c>
    </row>
    <row r="164" spans="1:44" x14ac:dyDescent="0.2">
      <c r="A164" t="s">
        <v>21</v>
      </c>
      <c r="B164" t="s">
        <v>251</v>
      </c>
      <c r="C164">
        <v>2022</v>
      </c>
      <c r="D164" t="s">
        <v>44</v>
      </c>
      <c r="E164" t="s">
        <v>49</v>
      </c>
      <c r="F164" t="s">
        <v>69</v>
      </c>
      <c r="G164" t="s">
        <v>85</v>
      </c>
      <c r="H164" t="s">
        <v>93</v>
      </c>
      <c r="I164" t="s">
        <v>113</v>
      </c>
      <c r="J164">
        <v>20</v>
      </c>
      <c r="L164">
        <v>1000</v>
      </c>
      <c r="M164">
        <v>0.25</v>
      </c>
      <c r="N164" t="s">
        <v>121</v>
      </c>
      <c r="O164" t="s">
        <v>254</v>
      </c>
      <c r="Q164" s="1" t="s">
        <v>2292</v>
      </c>
      <c r="R164" s="1" t="s">
        <v>264</v>
      </c>
      <c r="S164" s="1" t="s">
        <v>264</v>
      </c>
      <c r="T164" t="s">
        <v>396</v>
      </c>
      <c r="X164" t="s">
        <v>211</v>
      </c>
      <c r="Y164" t="s">
        <v>2279</v>
      </c>
      <c r="Z164" t="s">
        <v>2280</v>
      </c>
      <c r="AA164" t="s">
        <v>2358</v>
      </c>
      <c r="AB164" t="s">
        <v>2290</v>
      </c>
      <c r="AC164" t="s">
        <v>152</v>
      </c>
      <c r="AD164" t="s">
        <v>2278</v>
      </c>
      <c r="AE164" t="s">
        <v>258</v>
      </c>
      <c r="AH164" s="4" t="s">
        <v>49</v>
      </c>
      <c r="AL164" t="s">
        <v>49</v>
      </c>
      <c r="AM164" t="s">
        <v>2467</v>
      </c>
      <c r="AN164" t="s">
        <v>166</v>
      </c>
      <c r="AP164" t="s">
        <v>51</v>
      </c>
      <c r="AR164">
        <v>1</v>
      </c>
    </row>
    <row r="165" spans="1:44" x14ac:dyDescent="0.2">
      <c r="A165" t="s">
        <v>21</v>
      </c>
      <c r="B165" t="s">
        <v>251</v>
      </c>
      <c r="C165">
        <v>2022</v>
      </c>
      <c r="D165" t="s">
        <v>44</v>
      </c>
      <c r="E165" t="s">
        <v>49</v>
      </c>
      <c r="F165" t="s">
        <v>69</v>
      </c>
      <c r="G165" t="s">
        <v>85</v>
      </c>
      <c r="H165" t="s">
        <v>93</v>
      </c>
      <c r="I165" t="s">
        <v>113</v>
      </c>
      <c r="J165">
        <v>20</v>
      </c>
      <c r="L165">
        <v>1000</v>
      </c>
      <c r="M165">
        <v>0.25</v>
      </c>
      <c r="N165" t="s">
        <v>130</v>
      </c>
      <c r="O165" t="s">
        <v>255</v>
      </c>
      <c r="Q165" s="1" t="s">
        <v>2276</v>
      </c>
      <c r="R165" s="1" t="s">
        <v>751</v>
      </c>
      <c r="S165" s="1" t="s">
        <v>2345</v>
      </c>
      <c r="T165" t="s">
        <v>396</v>
      </c>
      <c r="X165" t="s">
        <v>211</v>
      </c>
      <c r="Y165" t="s">
        <v>2279</v>
      </c>
      <c r="Z165" t="s">
        <v>2280</v>
      </c>
      <c r="AA165" t="s">
        <v>2358</v>
      </c>
      <c r="AB165" t="s">
        <v>2290</v>
      </c>
      <c r="AC165" t="s">
        <v>152</v>
      </c>
      <c r="AD165" t="s">
        <v>2278</v>
      </c>
      <c r="AE165" t="s">
        <v>258</v>
      </c>
      <c r="AH165" s="4" t="s">
        <v>49</v>
      </c>
      <c r="AL165" t="s">
        <v>49</v>
      </c>
      <c r="AM165" t="s">
        <v>2467</v>
      </c>
      <c r="AN165" t="s">
        <v>166</v>
      </c>
      <c r="AP165" t="s">
        <v>51</v>
      </c>
      <c r="AR165">
        <v>1</v>
      </c>
    </row>
    <row r="166" spans="1:44" x14ac:dyDescent="0.2">
      <c r="A166" t="s">
        <v>21</v>
      </c>
      <c r="B166" t="s">
        <v>251</v>
      </c>
      <c r="C166">
        <v>2022</v>
      </c>
      <c r="D166" t="s">
        <v>44</v>
      </c>
      <c r="E166" t="s">
        <v>49</v>
      </c>
      <c r="F166" t="s">
        <v>69</v>
      </c>
      <c r="G166" t="s">
        <v>85</v>
      </c>
      <c r="H166" t="s">
        <v>93</v>
      </c>
      <c r="I166" t="s">
        <v>113</v>
      </c>
      <c r="J166">
        <v>20</v>
      </c>
      <c r="L166">
        <v>1000</v>
      </c>
      <c r="M166">
        <v>0.25</v>
      </c>
      <c r="N166" t="s">
        <v>122</v>
      </c>
      <c r="O166" t="s">
        <v>256</v>
      </c>
      <c r="Q166" s="1" t="s">
        <v>2281</v>
      </c>
      <c r="R166" s="1" t="s">
        <v>122</v>
      </c>
      <c r="S166" s="1" t="s">
        <v>2294</v>
      </c>
      <c r="T166" t="s">
        <v>396</v>
      </c>
      <c r="X166" t="s">
        <v>211</v>
      </c>
      <c r="Y166" t="s">
        <v>2279</v>
      </c>
      <c r="Z166" t="s">
        <v>2280</v>
      </c>
      <c r="AA166" t="s">
        <v>2358</v>
      </c>
      <c r="AB166" t="s">
        <v>2290</v>
      </c>
      <c r="AC166" t="s">
        <v>152</v>
      </c>
      <c r="AD166" t="s">
        <v>2278</v>
      </c>
      <c r="AE166" t="s">
        <v>258</v>
      </c>
      <c r="AH166" s="4" t="s">
        <v>49</v>
      </c>
      <c r="AL166" t="s">
        <v>49</v>
      </c>
      <c r="AM166" t="s">
        <v>2467</v>
      </c>
      <c r="AN166" t="s">
        <v>166</v>
      </c>
      <c r="AP166" t="s">
        <v>51</v>
      </c>
      <c r="AR166">
        <v>1</v>
      </c>
    </row>
    <row r="167" spans="1:44" x14ac:dyDescent="0.2">
      <c r="A167" t="s">
        <v>21</v>
      </c>
      <c r="B167" t="s">
        <v>251</v>
      </c>
      <c r="C167">
        <v>2022</v>
      </c>
      <c r="D167" t="s">
        <v>44</v>
      </c>
      <c r="E167" t="s">
        <v>49</v>
      </c>
      <c r="F167" t="s">
        <v>69</v>
      </c>
      <c r="G167" t="s">
        <v>85</v>
      </c>
      <c r="H167" t="s">
        <v>93</v>
      </c>
      <c r="I167" t="s">
        <v>113</v>
      </c>
      <c r="J167">
        <v>20</v>
      </c>
      <c r="L167">
        <v>1000</v>
      </c>
      <c r="M167">
        <v>0.25</v>
      </c>
      <c r="N167" t="s">
        <v>127</v>
      </c>
      <c r="O167" t="s">
        <v>257</v>
      </c>
      <c r="Q167" s="1" t="s">
        <v>2281</v>
      </c>
      <c r="R167" s="1" t="s">
        <v>2291</v>
      </c>
      <c r="S167" s="1" t="s">
        <v>2291</v>
      </c>
      <c r="T167" t="s">
        <v>396</v>
      </c>
      <c r="X167" t="s">
        <v>211</v>
      </c>
      <c r="Y167" t="s">
        <v>2279</v>
      </c>
      <c r="Z167" t="s">
        <v>2280</v>
      </c>
      <c r="AA167" t="s">
        <v>2358</v>
      </c>
      <c r="AB167" t="s">
        <v>2290</v>
      </c>
      <c r="AC167" t="s">
        <v>152</v>
      </c>
      <c r="AD167" t="s">
        <v>2278</v>
      </c>
      <c r="AE167" t="s">
        <v>258</v>
      </c>
      <c r="AH167" s="4" t="s">
        <v>49</v>
      </c>
      <c r="AL167" t="s">
        <v>49</v>
      </c>
      <c r="AM167" t="s">
        <v>2467</v>
      </c>
      <c r="AN167" t="s">
        <v>166</v>
      </c>
      <c r="AP167" t="s">
        <v>51</v>
      </c>
      <c r="AR167">
        <v>1</v>
      </c>
    </row>
    <row r="168" spans="1:44" x14ac:dyDescent="0.2">
      <c r="A168" t="s">
        <v>21</v>
      </c>
      <c r="B168" t="s">
        <v>251</v>
      </c>
      <c r="C168">
        <v>2022</v>
      </c>
      <c r="D168" t="s">
        <v>44</v>
      </c>
      <c r="E168" t="s">
        <v>49</v>
      </c>
      <c r="F168" t="s">
        <v>69</v>
      </c>
      <c r="G168" t="s">
        <v>85</v>
      </c>
      <c r="H168" t="s">
        <v>93</v>
      </c>
      <c r="I168" t="s">
        <v>113</v>
      </c>
      <c r="J168">
        <v>20</v>
      </c>
      <c r="L168">
        <v>1000</v>
      </c>
      <c r="M168">
        <v>0.25</v>
      </c>
      <c r="N168" t="s">
        <v>120</v>
      </c>
      <c r="O168" t="s">
        <v>252</v>
      </c>
      <c r="Q168" s="1" t="s">
        <v>2276</v>
      </c>
      <c r="R168" s="1" t="s">
        <v>669</v>
      </c>
      <c r="S168" s="1" t="s">
        <v>168</v>
      </c>
      <c r="T168" t="s">
        <v>396</v>
      </c>
      <c r="U168" s="1"/>
      <c r="X168" t="s">
        <v>211</v>
      </c>
      <c r="Y168" t="s">
        <v>2279</v>
      </c>
      <c r="Z168" t="s">
        <v>2280</v>
      </c>
      <c r="AA168" t="s">
        <v>2358</v>
      </c>
      <c r="AB168" t="s">
        <v>2290</v>
      </c>
      <c r="AC168" t="s">
        <v>152</v>
      </c>
      <c r="AD168" t="s">
        <v>2278</v>
      </c>
      <c r="AE168" t="s">
        <v>258</v>
      </c>
      <c r="AH168" s="4" t="s">
        <v>49</v>
      </c>
      <c r="AL168" t="s">
        <v>49</v>
      </c>
      <c r="AM168" t="s">
        <v>2468</v>
      </c>
      <c r="AN168" t="s">
        <v>166</v>
      </c>
      <c r="AP168" t="s">
        <v>51</v>
      </c>
      <c r="AR168">
        <v>1</v>
      </c>
    </row>
    <row r="169" spans="1:44" x14ac:dyDescent="0.2">
      <c r="A169" t="s">
        <v>21</v>
      </c>
      <c r="B169" t="s">
        <v>251</v>
      </c>
      <c r="C169">
        <v>2022</v>
      </c>
      <c r="D169" t="s">
        <v>44</v>
      </c>
      <c r="E169" t="s">
        <v>49</v>
      </c>
      <c r="F169" t="s">
        <v>69</v>
      </c>
      <c r="G169" t="s">
        <v>85</v>
      </c>
      <c r="H169" t="s">
        <v>93</v>
      </c>
      <c r="I169" t="s">
        <v>113</v>
      </c>
      <c r="J169">
        <v>20</v>
      </c>
      <c r="L169">
        <v>1000</v>
      </c>
      <c r="M169">
        <v>0.25</v>
      </c>
      <c r="N169" t="s">
        <v>128</v>
      </c>
      <c r="O169" t="s">
        <v>221</v>
      </c>
      <c r="Q169" s="1" t="s">
        <v>2276</v>
      </c>
      <c r="R169" s="1" t="s">
        <v>2350</v>
      </c>
      <c r="S169" s="1" t="s">
        <v>2350</v>
      </c>
      <c r="T169" t="s">
        <v>396</v>
      </c>
      <c r="X169" t="s">
        <v>211</v>
      </c>
      <c r="Y169" t="s">
        <v>2279</v>
      </c>
      <c r="Z169" t="s">
        <v>2280</v>
      </c>
      <c r="AA169" t="s">
        <v>2358</v>
      </c>
      <c r="AB169" t="s">
        <v>2290</v>
      </c>
      <c r="AC169" t="s">
        <v>152</v>
      </c>
      <c r="AD169" t="s">
        <v>2278</v>
      </c>
      <c r="AE169" t="s">
        <v>258</v>
      </c>
      <c r="AH169" s="4" t="s">
        <v>49</v>
      </c>
      <c r="AL169" t="s">
        <v>49</v>
      </c>
      <c r="AM169" t="s">
        <v>2468</v>
      </c>
      <c r="AN169" t="s">
        <v>166</v>
      </c>
      <c r="AP169" t="s">
        <v>157</v>
      </c>
      <c r="AR169">
        <v>1</v>
      </c>
    </row>
    <row r="170" spans="1:44" x14ac:dyDescent="0.2">
      <c r="A170" t="s">
        <v>21</v>
      </c>
      <c r="B170" t="s">
        <v>251</v>
      </c>
      <c r="C170">
        <v>2022</v>
      </c>
      <c r="D170" t="s">
        <v>44</v>
      </c>
      <c r="E170" t="s">
        <v>49</v>
      </c>
      <c r="F170" t="s">
        <v>69</v>
      </c>
      <c r="G170" t="s">
        <v>85</v>
      </c>
      <c r="H170" t="s">
        <v>93</v>
      </c>
      <c r="I170" t="s">
        <v>113</v>
      </c>
      <c r="J170">
        <v>20</v>
      </c>
      <c r="L170">
        <v>1000</v>
      </c>
      <c r="M170">
        <v>0.25</v>
      </c>
      <c r="N170" t="s">
        <v>129</v>
      </c>
      <c r="O170" t="s">
        <v>253</v>
      </c>
      <c r="Q170" s="1" t="s">
        <v>2276</v>
      </c>
      <c r="R170" s="1" t="s">
        <v>755</v>
      </c>
      <c r="S170" s="1" t="s">
        <v>2349</v>
      </c>
      <c r="T170" t="s">
        <v>396</v>
      </c>
      <c r="X170" t="s">
        <v>211</v>
      </c>
      <c r="Y170" t="s">
        <v>2279</v>
      </c>
      <c r="Z170" t="s">
        <v>2280</v>
      </c>
      <c r="AA170" t="s">
        <v>2358</v>
      </c>
      <c r="AB170" t="s">
        <v>2290</v>
      </c>
      <c r="AC170" t="s">
        <v>152</v>
      </c>
      <c r="AD170" t="s">
        <v>2278</v>
      </c>
      <c r="AE170" t="s">
        <v>258</v>
      </c>
      <c r="AH170" s="4" t="s">
        <v>49</v>
      </c>
      <c r="AL170" t="s">
        <v>49</v>
      </c>
      <c r="AM170" t="s">
        <v>2468</v>
      </c>
      <c r="AN170" t="s">
        <v>166</v>
      </c>
      <c r="AP170" t="s">
        <v>51</v>
      </c>
      <c r="AR170">
        <v>1</v>
      </c>
    </row>
    <row r="171" spans="1:44" x14ac:dyDescent="0.2">
      <c r="A171" t="s">
        <v>21</v>
      </c>
      <c r="B171" t="s">
        <v>251</v>
      </c>
      <c r="C171">
        <v>2022</v>
      </c>
      <c r="D171" t="s">
        <v>44</v>
      </c>
      <c r="E171" t="s">
        <v>49</v>
      </c>
      <c r="F171" t="s">
        <v>69</v>
      </c>
      <c r="G171" t="s">
        <v>85</v>
      </c>
      <c r="H171" t="s">
        <v>93</v>
      </c>
      <c r="I171" t="s">
        <v>113</v>
      </c>
      <c r="J171">
        <v>20</v>
      </c>
      <c r="L171">
        <v>1000</v>
      </c>
      <c r="M171">
        <v>0.25</v>
      </c>
      <c r="N171" t="s">
        <v>121</v>
      </c>
      <c r="O171" t="s">
        <v>254</v>
      </c>
      <c r="Q171" s="1" t="s">
        <v>2292</v>
      </c>
      <c r="R171" s="1" t="s">
        <v>264</v>
      </c>
      <c r="S171" s="1" t="s">
        <v>264</v>
      </c>
      <c r="T171" t="s">
        <v>396</v>
      </c>
      <c r="X171" t="s">
        <v>211</v>
      </c>
      <c r="Y171" t="s">
        <v>2279</v>
      </c>
      <c r="Z171" t="s">
        <v>2280</v>
      </c>
      <c r="AA171" t="s">
        <v>2358</v>
      </c>
      <c r="AB171" t="s">
        <v>2290</v>
      </c>
      <c r="AC171" t="s">
        <v>152</v>
      </c>
      <c r="AD171" t="s">
        <v>2278</v>
      </c>
      <c r="AE171" t="s">
        <v>258</v>
      </c>
      <c r="AH171" s="4" t="s">
        <v>49</v>
      </c>
      <c r="AL171" t="s">
        <v>49</v>
      </c>
      <c r="AM171" t="s">
        <v>2468</v>
      </c>
      <c r="AN171" t="s">
        <v>166</v>
      </c>
      <c r="AP171" t="s">
        <v>51</v>
      </c>
      <c r="AR171">
        <v>1</v>
      </c>
    </row>
    <row r="172" spans="1:44" x14ac:dyDescent="0.2">
      <c r="A172" t="s">
        <v>21</v>
      </c>
      <c r="B172" t="s">
        <v>251</v>
      </c>
      <c r="C172">
        <v>2022</v>
      </c>
      <c r="D172" t="s">
        <v>44</v>
      </c>
      <c r="E172" t="s">
        <v>49</v>
      </c>
      <c r="F172" t="s">
        <v>69</v>
      </c>
      <c r="G172" t="s">
        <v>85</v>
      </c>
      <c r="H172" t="s">
        <v>93</v>
      </c>
      <c r="I172" t="s">
        <v>113</v>
      </c>
      <c r="J172">
        <v>20</v>
      </c>
      <c r="L172">
        <v>1000</v>
      </c>
      <c r="M172">
        <v>0.25</v>
      </c>
      <c r="N172" t="s">
        <v>130</v>
      </c>
      <c r="O172" t="s">
        <v>255</v>
      </c>
      <c r="Q172" s="1" t="s">
        <v>2276</v>
      </c>
      <c r="R172" s="1" t="s">
        <v>751</v>
      </c>
      <c r="S172" s="1" t="s">
        <v>2345</v>
      </c>
      <c r="T172" t="s">
        <v>396</v>
      </c>
      <c r="X172" t="s">
        <v>211</v>
      </c>
      <c r="Y172" t="s">
        <v>2279</v>
      </c>
      <c r="Z172" t="s">
        <v>2280</v>
      </c>
      <c r="AA172" t="s">
        <v>2358</v>
      </c>
      <c r="AB172" t="s">
        <v>2290</v>
      </c>
      <c r="AC172" t="s">
        <v>152</v>
      </c>
      <c r="AD172" t="s">
        <v>2278</v>
      </c>
      <c r="AE172" t="s">
        <v>258</v>
      </c>
      <c r="AH172" s="4" t="s">
        <v>49</v>
      </c>
      <c r="AL172" t="s">
        <v>49</v>
      </c>
      <c r="AM172" t="s">
        <v>2468</v>
      </c>
      <c r="AN172" t="s">
        <v>166</v>
      </c>
      <c r="AP172" t="s">
        <v>51</v>
      </c>
      <c r="AR172">
        <v>1</v>
      </c>
    </row>
    <row r="173" spans="1:44" x14ac:dyDescent="0.2">
      <c r="A173" t="s">
        <v>21</v>
      </c>
      <c r="B173" t="s">
        <v>251</v>
      </c>
      <c r="C173">
        <v>2022</v>
      </c>
      <c r="D173" t="s">
        <v>44</v>
      </c>
      <c r="E173" t="s">
        <v>49</v>
      </c>
      <c r="F173" t="s">
        <v>69</v>
      </c>
      <c r="G173" t="s">
        <v>85</v>
      </c>
      <c r="H173" t="s">
        <v>93</v>
      </c>
      <c r="I173" t="s">
        <v>113</v>
      </c>
      <c r="J173">
        <v>20</v>
      </c>
      <c r="L173">
        <v>1000</v>
      </c>
      <c r="M173">
        <v>0.25</v>
      </c>
      <c r="N173" t="s">
        <v>122</v>
      </c>
      <c r="O173" t="s">
        <v>256</v>
      </c>
      <c r="Q173" s="1" t="s">
        <v>2281</v>
      </c>
      <c r="R173" s="1" t="s">
        <v>122</v>
      </c>
      <c r="S173" s="1" t="s">
        <v>2294</v>
      </c>
      <c r="T173" t="s">
        <v>396</v>
      </c>
      <c r="X173" t="s">
        <v>211</v>
      </c>
      <c r="Y173" t="s">
        <v>2279</v>
      </c>
      <c r="Z173" t="s">
        <v>2280</v>
      </c>
      <c r="AA173" t="s">
        <v>2358</v>
      </c>
      <c r="AB173" t="s">
        <v>2290</v>
      </c>
      <c r="AC173" t="s">
        <v>152</v>
      </c>
      <c r="AD173" t="s">
        <v>2278</v>
      </c>
      <c r="AE173" t="s">
        <v>258</v>
      </c>
      <c r="AH173" s="4" t="s">
        <v>49</v>
      </c>
      <c r="AL173" t="s">
        <v>49</v>
      </c>
      <c r="AM173" t="s">
        <v>2468</v>
      </c>
      <c r="AN173" t="s">
        <v>166</v>
      </c>
      <c r="AP173" t="s">
        <v>51</v>
      </c>
      <c r="AR173">
        <v>1</v>
      </c>
    </row>
    <row r="174" spans="1:44" x14ac:dyDescent="0.2">
      <c r="A174" t="s">
        <v>21</v>
      </c>
      <c r="B174" t="s">
        <v>251</v>
      </c>
      <c r="C174">
        <v>2022</v>
      </c>
      <c r="D174" t="s">
        <v>44</v>
      </c>
      <c r="E174" t="s">
        <v>49</v>
      </c>
      <c r="F174" t="s">
        <v>69</v>
      </c>
      <c r="G174" t="s">
        <v>85</v>
      </c>
      <c r="H174" t="s">
        <v>93</v>
      </c>
      <c r="I174" t="s">
        <v>113</v>
      </c>
      <c r="J174">
        <v>20</v>
      </c>
      <c r="L174">
        <v>1000</v>
      </c>
      <c r="M174">
        <v>0.25</v>
      </c>
      <c r="N174" t="s">
        <v>127</v>
      </c>
      <c r="O174" t="s">
        <v>257</v>
      </c>
      <c r="Q174" s="1" t="s">
        <v>2281</v>
      </c>
      <c r="R174" s="1" t="s">
        <v>2291</v>
      </c>
      <c r="S174" s="1" t="s">
        <v>2291</v>
      </c>
      <c r="T174" t="s">
        <v>396</v>
      </c>
      <c r="X174" t="s">
        <v>211</v>
      </c>
      <c r="Y174" t="s">
        <v>2279</v>
      </c>
      <c r="Z174" t="s">
        <v>2280</v>
      </c>
      <c r="AA174" t="s">
        <v>2358</v>
      </c>
      <c r="AB174" t="s">
        <v>2290</v>
      </c>
      <c r="AC174" t="s">
        <v>152</v>
      </c>
      <c r="AD174" t="s">
        <v>2278</v>
      </c>
      <c r="AE174" t="s">
        <v>258</v>
      </c>
      <c r="AH174" s="4" t="s">
        <v>49</v>
      </c>
      <c r="AL174" t="s">
        <v>49</v>
      </c>
      <c r="AM174" t="s">
        <v>2468</v>
      </c>
      <c r="AN174" t="s">
        <v>166</v>
      </c>
      <c r="AP174" t="s">
        <v>51</v>
      </c>
      <c r="AR174">
        <v>1</v>
      </c>
    </row>
    <row r="175" spans="1:44" x14ac:dyDescent="0.2">
      <c r="A175" t="s">
        <v>21</v>
      </c>
      <c r="B175" t="s">
        <v>251</v>
      </c>
      <c r="C175">
        <v>2022</v>
      </c>
      <c r="D175" t="s">
        <v>44</v>
      </c>
      <c r="E175" t="s">
        <v>49</v>
      </c>
      <c r="F175" t="s">
        <v>69</v>
      </c>
      <c r="G175" t="s">
        <v>85</v>
      </c>
      <c r="H175" t="s">
        <v>93</v>
      </c>
      <c r="I175" t="s">
        <v>113</v>
      </c>
      <c r="J175">
        <v>20</v>
      </c>
      <c r="L175">
        <v>1000</v>
      </c>
      <c r="M175">
        <v>0.25</v>
      </c>
      <c r="N175" t="s">
        <v>120</v>
      </c>
      <c r="O175" t="s">
        <v>252</v>
      </c>
      <c r="Q175" s="1" t="s">
        <v>2276</v>
      </c>
      <c r="R175" s="1" t="s">
        <v>669</v>
      </c>
      <c r="S175" s="1" t="s">
        <v>168</v>
      </c>
      <c r="T175" t="s">
        <v>396</v>
      </c>
      <c r="X175" t="s">
        <v>211</v>
      </c>
      <c r="Y175" t="s">
        <v>2279</v>
      </c>
      <c r="Z175" t="s">
        <v>2280</v>
      </c>
      <c r="AA175" t="s">
        <v>2358</v>
      </c>
      <c r="AB175" t="s">
        <v>2290</v>
      </c>
      <c r="AC175" t="s">
        <v>152</v>
      </c>
      <c r="AD175" t="s">
        <v>2278</v>
      </c>
      <c r="AE175" t="s">
        <v>258</v>
      </c>
      <c r="AH175" s="4" t="s">
        <v>49</v>
      </c>
      <c r="AJ175" t="s">
        <v>49</v>
      </c>
      <c r="AM175" t="s">
        <v>233</v>
      </c>
      <c r="AN175" t="s">
        <v>165</v>
      </c>
      <c r="AR175">
        <v>1</v>
      </c>
    </row>
    <row r="176" spans="1:44" x14ac:dyDescent="0.2">
      <c r="A176" t="s">
        <v>21</v>
      </c>
      <c r="B176" t="s">
        <v>251</v>
      </c>
      <c r="C176">
        <v>2022</v>
      </c>
      <c r="D176" t="s">
        <v>44</v>
      </c>
      <c r="E176" t="s">
        <v>49</v>
      </c>
      <c r="F176" t="s">
        <v>69</v>
      </c>
      <c r="G176" t="s">
        <v>85</v>
      </c>
      <c r="H176" t="s">
        <v>93</v>
      </c>
      <c r="I176" t="s">
        <v>113</v>
      </c>
      <c r="J176">
        <v>20</v>
      </c>
      <c r="L176">
        <v>1000</v>
      </c>
      <c r="M176">
        <v>0.25</v>
      </c>
      <c r="N176" t="s">
        <v>128</v>
      </c>
      <c r="O176" t="s">
        <v>221</v>
      </c>
      <c r="Q176" s="1" t="s">
        <v>2276</v>
      </c>
      <c r="R176" s="1" t="s">
        <v>2350</v>
      </c>
      <c r="S176" s="1" t="s">
        <v>2350</v>
      </c>
      <c r="T176" t="s">
        <v>396</v>
      </c>
      <c r="X176" t="s">
        <v>211</v>
      </c>
      <c r="Y176" t="s">
        <v>2279</v>
      </c>
      <c r="Z176" t="s">
        <v>2280</v>
      </c>
      <c r="AA176" t="s">
        <v>2358</v>
      </c>
      <c r="AB176" t="s">
        <v>2290</v>
      </c>
      <c r="AC176" t="s">
        <v>152</v>
      </c>
      <c r="AD176" t="s">
        <v>2278</v>
      </c>
      <c r="AE176" t="s">
        <v>258</v>
      </c>
      <c r="AH176" s="4" t="s">
        <v>49</v>
      </c>
      <c r="AJ176" t="s">
        <v>49</v>
      </c>
      <c r="AM176" t="s">
        <v>233</v>
      </c>
      <c r="AN176" t="s">
        <v>165</v>
      </c>
      <c r="AP176" t="s">
        <v>49</v>
      </c>
      <c r="AR176">
        <v>1</v>
      </c>
    </row>
    <row r="177" spans="1:44" x14ac:dyDescent="0.2">
      <c r="A177" t="s">
        <v>21</v>
      </c>
      <c r="B177" t="s">
        <v>251</v>
      </c>
      <c r="C177">
        <v>2022</v>
      </c>
      <c r="D177" t="s">
        <v>44</v>
      </c>
      <c r="E177" t="s">
        <v>49</v>
      </c>
      <c r="F177" t="s">
        <v>69</v>
      </c>
      <c r="G177" t="s">
        <v>85</v>
      </c>
      <c r="H177" t="s">
        <v>93</v>
      </c>
      <c r="I177" t="s">
        <v>113</v>
      </c>
      <c r="J177">
        <v>20</v>
      </c>
      <c r="L177">
        <v>1000</v>
      </c>
      <c r="M177">
        <v>0.25</v>
      </c>
      <c r="N177" t="s">
        <v>129</v>
      </c>
      <c r="O177" t="s">
        <v>253</v>
      </c>
      <c r="Q177" s="1" t="s">
        <v>2276</v>
      </c>
      <c r="R177" s="1" t="s">
        <v>755</v>
      </c>
      <c r="S177" s="1" t="s">
        <v>2349</v>
      </c>
      <c r="T177" t="s">
        <v>396</v>
      </c>
      <c r="X177" t="s">
        <v>211</v>
      </c>
      <c r="Y177" t="s">
        <v>2279</v>
      </c>
      <c r="Z177" t="s">
        <v>2280</v>
      </c>
      <c r="AA177" t="s">
        <v>2358</v>
      </c>
      <c r="AB177" t="s">
        <v>2290</v>
      </c>
      <c r="AC177" t="s">
        <v>152</v>
      </c>
      <c r="AD177" t="s">
        <v>2278</v>
      </c>
      <c r="AE177" t="s">
        <v>258</v>
      </c>
      <c r="AH177" s="4" t="s">
        <v>49</v>
      </c>
      <c r="AJ177" t="s">
        <v>49</v>
      </c>
      <c r="AM177" t="s">
        <v>233</v>
      </c>
      <c r="AN177" t="s">
        <v>165</v>
      </c>
      <c r="AP177" t="s">
        <v>49</v>
      </c>
      <c r="AR177">
        <v>1</v>
      </c>
    </row>
    <row r="178" spans="1:44" x14ac:dyDescent="0.2">
      <c r="A178" t="s">
        <v>21</v>
      </c>
      <c r="B178" t="s">
        <v>251</v>
      </c>
      <c r="C178">
        <v>2022</v>
      </c>
      <c r="D178" t="s">
        <v>44</v>
      </c>
      <c r="E178" t="s">
        <v>49</v>
      </c>
      <c r="F178" t="s">
        <v>69</v>
      </c>
      <c r="G178" t="s">
        <v>85</v>
      </c>
      <c r="H178" t="s">
        <v>93</v>
      </c>
      <c r="I178" t="s">
        <v>113</v>
      </c>
      <c r="J178">
        <v>20</v>
      </c>
      <c r="L178">
        <v>1000</v>
      </c>
      <c r="M178">
        <v>0.25</v>
      </c>
      <c r="N178" t="s">
        <v>121</v>
      </c>
      <c r="O178" t="s">
        <v>254</v>
      </c>
      <c r="Q178" s="1" t="s">
        <v>2292</v>
      </c>
      <c r="R178" s="1" t="s">
        <v>264</v>
      </c>
      <c r="S178" s="1" t="s">
        <v>264</v>
      </c>
      <c r="T178" t="s">
        <v>396</v>
      </c>
      <c r="X178" t="s">
        <v>211</v>
      </c>
      <c r="Y178" t="s">
        <v>2279</v>
      </c>
      <c r="Z178" t="s">
        <v>2280</v>
      </c>
      <c r="AA178" t="s">
        <v>2358</v>
      </c>
      <c r="AB178" t="s">
        <v>2290</v>
      </c>
      <c r="AC178" t="s">
        <v>152</v>
      </c>
      <c r="AD178" t="s">
        <v>2278</v>
      </c>
      <c r="AE178" t="s">
        <v>258</v>
      </c>
      <c r="AH178" s="4" t="s">
        <v>49</v>
      </c>
      <c r="AJ178" t="s">
        <v>49</v>
      </c>
      <c r="AM178" t="s">
        <v>233</v>
      </c>
      <c r="AN178" t="s">
        <v>165</v>
      </c>
      <c r="AR178">
        <v>1</v>
      </c>
    </row>
    <row r="179" spans="1:44" x14ac:dyDescent="0.2">
      <c r="A179" t="s">
        <v>21</v>
      </c>
      <c r="B179" t="s">
        <v>251</v>
      </c>
      <c r="C179">
        <v>2022</v>
      </c>
      <c r="D179" t="s">
        <v>44</v>
      </c>
      <c r="E179" t="s">
        <v>49</v>
      </c>
      <c r="F179" t="s">
        <v>69</v>
      </c>
      <c r="G179" t="s">
        <v>85</v>
      </c>
      <c r="H179" t="s">
        <v>93</v>
      </c>
      <c r="I179" t="s">
        <v>113</v>
      </c>
      <c r="J179">
        <v>20</v>
      </c>
      <c r="L179">
        <v>1000</v>
      </c>
      <c r="M179">
        <v>0.25</v>
      </c>
      <c r="N179" t="s">
        <v>130</v>
      </c>
      <c r="O179" t="s">
        <v>255</v>
      </c>
      <c r="Q179" s="1" t="s">
        <v>2276</v>
      </c>
      <c r="R179" s="1" t="s">
        <v>751</v>
      </c>
      <c r="S179" s="1" t="s">
        <v>2345</v>
      </c>
      <c r="T179" t="s">
        <v>396</v>
      </c>
      <c r="X179" t="s">
        <v>211</v>
      </c>
      <c r="Y179" t="s">
        <v>2279</v>
      </c>
      <c r="Z179" t="s">
        <v>2280</v>
      </c>
      <c r="AA179" t="s">
        <v>2358</v>
      </c>
      <c r="AB179" t="s">
        <v>2290</v>
      </c>
      <c r="AC179" t="s">
        <v>152</v>
      </c>
      <c r="AD179" t="s">
        <v>2278</v>
      </c>
      <c r="AE179" t="s">
        <v>258</v>
      </c>
      <c r="AH179" s="4" t="s">
        <v>49</v>
      </c>
      <c r="AJ179" t="s">
        <v>49</v>
      </c>
      <c r="AM179" t="s">
        <v>233</v>
      </c>
      <c r="AN179" t="s">
        <v>165</v>
      </c>
      <c r="AR179">
        <v>1</v>
      </c>
    </row>
    <row r="180" spans="1:44" x14ac:dyDescent="0.2">
      <c r="A180" t="s">
        <v>21</v>
      </c>
      <c r="B180" t="s">
        <v>251</v>
      </c>
      <c r="C180">
        <v>2022</v>
      </c>
      <c r="D180" t="s">
        <v>44</v>
      </c>
      <c r="E180" t="s">
        <v>49</v>
      </c>
      <c r="F180" t="s">
        <v>69</v>
      </c>
      <c r="G180" t="s">
        <v>85</v>
      </c>
      <c r="H180" t="s">
        <v>93</v>
      </c>
      <c r="I180" t="s">
        <v>113</v>
      </c>
      <c r="J180">
        <v>20</v>
      </c>
      <c r="L180">
        <v>1000</v>
      </c>
      <c r="M180">
        <v>0.25</v>
      </c>
      <c r="N180" t="s">
        <v>122</v>
      </c>
      <c r="O180" t="s">
        <v>256</v>
      </c>
      <c r="Q180" s="1" t="s">
        <v>2281</v>
      </c>
      <c r="R180" s="1" t="s">
        <v>122</v>
      </c>
      <c r="S180" s="1" t="s">
        <v>2294</v>
      </c>
      <c r="T180" t="s">
        <v>396</v>
      </c>
      <c r="X180" t="s">
        <v>211</v>
      </c>
      <c r="Y180" t="s">
        <v>2279</v>
      </c>
      <c r="Z180" t="s">
        <v>2280</v>
      </c>
      <c r="AA180" t="s">
        <v>2358</v>
      </c>
      <c r="AB180" t="s">
        <v>2290</v>
      </c>
      <c r="AC180" t="s">
        <v>152</v>
      </c>
      <c r="AD180" t="s">
        <v>2278</v>
      </c>
      <c r="AE180" t="s">
        <v>258</v>
      </c>
      <c r="AH180" s="4" t="s">
        <v>49</v>
      </c>
      <c r="AJ180" t="s">
        <v>49</v>
      </c>
      <c r="AM180" t="s">
        <v>233</v>
      </c>
      <c r="AN180" t="s">
        <v>165</v>
      </c>
      <c r="AP180" t="s">
        <v>49</v>
      </c>
      <c r="AR180">
        <v>1</v>
      </c>
    </row>
    <row r="181" spans="1:44" x14ac:dyDescent="0.2">
      <c r="A181" t="s">
        <v>21</v>
      </c>
      <c r="B181" t="s">
        <v>251</v>
      </c>
      <c r="C181">
        <v>2022</v>
      </c>
      <c r="D181" t="s">
        <v>44</v>
      </c>
      <c r="E181" t="s">
        <v>49</v>
      </c>
      <c r="F181" t="s">
        <v>69</v>
      </c>
      <c r="G181" t="s">
        <v>85</v>
      </c>
      <c r="H181" t="s">
        <v>93</v>
      </c>
      <c r="I181" t="s">
        <v>113</v>
      </c>
      <c r="J181">
        <v>20</v>
      </c>
      <c r="L181">
        <v>1000</v>
      </c>
      <c r="M181">
        <v>0.25</v>
      </c>
      <c r="N181" t="s">
        <v>127</v>
      </c>
      <c r="O181" t="s">
        <v>257</v>
      </c>
      <c r="Q181" s="1" t="s">
        <v>2281</v>
      </c>
      <c r="R181" s="1" t="s">
        <v>2291</v>
      </c>
      <c r="S181" s="1" t="s">
        <v>2291</v>
      </c>
      <c r="T181" t="s">
        <v>396</v>
      </c>
      <c r="X181" t="s">
        <v>211</v>
      </c>
      <c r="Y181" t="s">
        <v>2279</v>
      </c>
      <c r="Z181" t="s">
        <v>2280</v>
      </c>
      <c r="AA181" t="s">
        <v>2358</v>
      </c>
      <c r="AB181" t="s">
        <v>2290</v>
      </c>
      <c r="AC181" t="s">
        <v>152</v>
      </c>
      <c r="AD181" t="s">
        <v>2278</v>
      </c>
      <c r="AE181" t="s">
        <v>258</v>
      </c>
      <c r="AH181" s="4" t="s">
        <v>49</v>
      </c>
      <c r="AJ181" t="s">
        <v>49</v>
      </c>
      <c r="AM181" t="s">
        <v>233</v>
      </c>
      <c r="AN181" t="s">
        <v>165</v>
      </c>
      <c r="AR181">
        <v>1</v>
      </c>
    </row>
    <row r="182" spans="1:44" x14ac:dyDescent="0.2">
      <c r="A182" t="s">
        <v>22</v>
      </c>
      <c r="B182" t="s">
        <v>259</v>
      </c>
      <c r="C182">
        <v>2022</v>
      </c>
      <c r="D182" t="s">
        <v>44</v>
      </c>
      <c r="E182" t="s">
        <v>49</v>
      </c>
      <c r="F182" t="s">
        <v>72</v>
      </c>
      <c r="G182" t="s">
        <v>87</v>
      </c>
      <c r="H182" t="s">
        <v>94</v>
      </c>
      <c r="I182">
        <v>2016</v>
      </c>
      <c r="J182">
        <v>1</v>
      </c>
      <c r="K182" t="s">
        <v>102</v>
      </c>
      <c r="L182">
        <v>3</v>
      </c>
      <c r="M182">
        <v>6.25E-2</v>
      </c>
      <c r="N182" t="s">
        <v>126</v>
      </c>
      <c r="O182" t="s">
        <v>126</v>
      </c>
      <c r="P182" t="s">
        <v>260</v>
      </c>
      <c r="Q182" s="1" t="s">
        <v>2281</v>
      </c>
      <c r="R182" s="1" t="s">
        <v>2282</v>
      </c>
      <c r="S182" s="1" t="s">
        <v>126</v>
      </c>
      <c r="T182" t="s">
        <v>421</v>
      </c>
      <c r="U182" t="s">
        <v>421</v>
      </c>
      <c r="X182" t="s">
        <v>161</v>
      </c>
      <c r="Y182" t="s">
        <v>2272</v>
      </c>
      <c r="Z182" t="s">
        <v>2272</v>
      </c>
      <c r="AA182" t="s">
        <v>2272</v>
      </c>
      <c r="AB182" t="s">
        <v>2272</v>
      </c>
      <c r="AC182" t="s">
        <v>162</v>
      </c>
      <c r="AD182" t="s">
        <v>2272</v>
      </c>
      <c r="AF182" t="s">
        <v>49</v>
      </c>
      <c r="AI182" t="s">
        <v>49</v>
      </c>
      <c r="AM182" t="s">
        <v>262</v>
      </c>
      <c r="AN182" t="s">
        <v>165</v>
      </c>
      <c r="AP182" t="s">
        <v>49</v>
      </c>
      <c r="AR182">
        <v>1</v>
      </c>
    </row>
    <row r="183" spans="1:44" x14ac:dyDescent="0.2">
      <c r="A183" t="s">
        <v>22</v>
      </c>
      <c r="B183" t="s">
        <v>259</v>
      </c>
      <c r="C183">
        <v>2022</v>
      </c>
      <c r="D183" t="s">
        <v>44</v>
      </c>
      <c r="E183" t="s">
        <v>49</v>
      </c>
      <c r="F183" t="s">
        <v>72</v>
      </c>
      <c r="G183" t="s">
        <v>87</v>
      </c>
      <c r="H183" t="s">
        <v>94</v>
      </c>
      <c r="I183">
        <v>2016</v>
      </c>
      <c r="J183">
        <v>1</v>
      </c>
      <c r="K183" t="s">
        <v>102</v>
      </c>
      <c r="L183">
        <v>3</v>
      </c>
      <c r="M183">
        <v>6.25E-2</v>
      </c>
      <c r="N183" t="s">
        <v>126</v>
      </c>
      <c r="O183" t="s">
        <v>126</v>
      </c>
      <c r="P183" t="s">
        <v>260</v>
      </c>
      <c r="Q183" s="1" t="s">
        <v>2281</v>
      </c>
      <c r="R183" s="1" t="s">
        <v>2282</v>
      </c>
      <c r="S183" s="1" t="s">
        <v>126</v>
      </c>
      <c r="T183" t="s">
        <v>51</v>
      </c>
      <c r="X183" t="s">
        <v>261</v>
      </c>
      <c r="Y183" t="s">
        <v>2279</v>
      </c>
      <c r="Z183" t="s">
        <v>2280</v>
      </c>
      <c r="AA183" t="s">
        <v>2358</v>
      </c>
      <c r="AB183" t="s">
        <v>261</v>
      </c>
      <c r="AC183" t="s">
        <v>152</v>
      </c>
      <c r="AD183" t="s">
        <v>2278</v>
      </c>
      <c r="AF183" t="s">
        <v>49</v>
      </c>
      <c r="AI183" t="s">
        <v>49</v>
      </c>
      <c r="AM183" t="s">
        <v>262</v>
      </c>
      <c r="AN183" t="s">
        <v>166</v>
      </c>
      <c r="AP183" t="s">
        <v>157</v>
      </c>
      <c r="AR183">
        <v>1</v>
      </c>
    </row>
    <row r="184" spans="1:44" x14ac:dyDescent="0.2">
      <c r="A184" t="s">
        <v>22</v>
      </c>
      <c r="B184" t="s">
        <v>259</v>
      </c>
      <c r="C184">
        <v>2022</v>
      </c>
      <c r="D184" t="s">
        <v>44</v>
      </c>
      <c r="E184" t="s">
        <v>49</v>
      </c>
      <c r="F184" t="s">
        <v>72</v>
      </c>
      <c r="G184" t="s">
        <v>87</v>
      </c>
      <c r="H184" t="s">
        <v>94</v>
      </c>
      <c r="I184">
        <v>2016</v>
      </c>
      <c r="J184">
        <v>1</v>
      </c>
      <c r="K184" t="s">
        <v>102</v>
      </c>
      <c r="L184">
        <v>3</v>
      </c>
      <c r="M184">
        <v>6.25E-2</v>
      </c>
      <c r="N184" t="s">
        <v>126</v>
      </c>
      <c r="O184" t="s">
        <v>126</v>
      </c>
      <c r="P184" t="s">
        <v>260</v>
      </c>
      <c r="Q184" s="1" t="s">
        <v>2281</v>
      </c>
      <c r="R184" s="1" t="s">
        <v>2282</v>
      </c>
      <c r="S184" s="1" t="s">
        <v>126</v>
      </c>
      <c r="T184" t="s">
        <v>51</v>
      </c>
      <c r="X184" t="s">
        <v>261</v>
      </c>
      <c r="Y184" t="s">
        <v>2279</v>
      </c>
      <c r="Z184" t="s">
        <v>2280</v>
      </c>
      <c r="AA184" t="s">
        <v>2358</v>
      </c>
      <c r="AB184" t="s">
        <v>261</v>
      </c>
      <c r="AC184" t="s">
        <v>152</v>
      </c>
      <c r="AD184" t="s">
        <v>2278</v>
      </c>
      <c r="AF184" t="s">
        <v>49</v>
      </c>
      <c r="AI184" t="s">
        <v>49</v>
      </c>
      <c r="AM184" t="s">
        <v>262</v>
      </c>
      <c r="AN184" t="s">
        <v>154</v>
      </c>
      <c r="AP184" t="s">
        <v>51</v>
      </c>
      <c r="AR184">
        <v>1</v>
      </c>
    </row>
    <row r="185" spans="1:44" x14ac:dyDescent="0.2">
      <c r="A185" t="s">
        <v>23</v>
      </c>
      <c r="B185" t="s">
        <v>263</v>
      </c>
      <c r="C185">
        <v>2022</v>
      </c>
      <c r="D185" t="s">
        <v>44</v>
      </c>
      <c r="E185" t="s">
        <v>50</v>
      </c>
      <c r="F185" t="s">
        <v>73</v>
      </c>
      <c r="G185" t="s">
        <v>86</v>
      </c>
      <c r="H185" t="s">
        <v>93</v>
      </c>
      <c r="I185" t="s">
        <v>114</v>
      </c>
      <c r="J185">
        <v>0.91</v>
      </c>
      <c r="K185" t="s">
        <v>102</v>
      </c>
      <c r="L185">
        <v>40</v>
      </c>
      <c r="M185">
        <v>0.04</v>
      </c>
      <c r="N185" t="s">
        <v>121</v>
      </c>
      <c r="O185" t="s">
        <v>264</v>
      </c>
      <c r="P185" t="s">
        <v>265</v>
      </c>
      <c r="Q185" s="1" t="s">
        <v>2351</v>
      </c>
      <c r="R185" s="1" t="s">
        <v>2351</v>
      </c>
      <c r="S185" s="1" t="s">
        <v>2351</v>
      </c>
      <c r="T185" t="s">
        <v>396</v>
      </c>
      <c r="V185" t="s">
        <v>194</v>
      </c>
      <c r="W185" t="s">
        <v>266</v>
      </c>
      <c r="X185" t="s">
        <v>267</v>
      </c>
      <c r="Y185" t="s">
        <v>2279</v>
      </c>
      <c r="Z185" t="s">
        <v>2280</v>
      </c>
      <c r="AA185" t="s">
        <v>2358</v>
      </c>
      <c r="AB185" t="s">
        <v>189</v>
      </c>
      <c r="AC185" t="s">
        <v>152</v>
      </c>
      <c r="AD185" t="s">
        <v>2278</v>
      </c>
      <c r="AE185" t="s">
        <v>400</v>
      </c>
      <c r="AF185" t="s">
        <v>49</v>
      </c>
      <c r="AI185" t="s">
        <v>49</v>
      </c>
      <c r="AM185" s="6" t="s">
        <v>268</v>
      </c>
    </row>
    <row r="186" spans="1:44" x14ac:dyDescent="0.2">
      <c r="A186" t="s">
        <v>23</v>
      </c>
      <c r="B186" t="s">
        <v>263</v>
      </c>
      <c r="C186">
        <v>2022</v>
      </c>
      <c r="D186" t="s">
        <v>44</v>
      </c>
      <c r="E186" t="s">
        <v>50</v>
      </c>
      <c r="F186" t="s">
        <v>73</v>
      </c>
      <c r="G186" t="s">
        <v>86</v>
      </c>
      <c r="H186" t="s">
        <v>93</v>
      </c>
      <c r="I186" t="s">
        <v>114</v>
      </c>
      <c r="J186">
        <v>0.91</v>
      </c>
      <c r="K186" t="s">
        <v>102</v>
      </c>
      <c r="L186">
        <v>40</v>
      </c>
      <c r="M186">
        <v>0.04</v>
      </c>
      <c r="N186" t="s">
        <v>121</v>
      </c>
      <c r="O186" t="s">
        <v>264</v>
      </c>
      <c r="P186" t="s">
        <v>265</v>
      </c>
      <c r="Q186" s="1" t="s">
        <v>2351</v>
      </c>
      <c r="R186" s="1" t="s">
        <v>2351</v>
      </c>
      <c r="S186" s="1" t="s">
        <v>2351</v>
      </c>
      <c r="T186" t="s">
        <v>396</v>
      </c>
      <c r="V186" t="s">
        <v>194</v>
      </c>
      <c r="W186" t="s">
        <v>266</v>
      </c>
      <c r="X186" t="s">
        <v>211</v>
      </c>
      <c r="Y186" t="s">
        <v>2279</v>
      </c>
      <c r="Z186" t="s">
        <v>2280</v>
      </c>
      <c r="AA186" t="s">
        <v>2358</v>
      </c>
      <c r="AB186" t="s">
        <v>2290</v>
      </c>
      <c r="AC186" t="s">
        <v>152</v>
      </c>
      <c r="AD186" t="s">
        <v>2278</v>
      </c>
      <c r="AE186" t="s">
        <v>400</v>
      </c>
      <c r="AF186" t="s">
        <v>49</v>
      </c>
      <c r="AI186" t="s">
        <v>49</v>
      </c>
      <c r="AM186" s="6" t="s">
        <v>268</v>
      </c>
    </row>
    <row r="187" spans="1:44" x14ac:dyDescent="0.2">
      <c r="A187" t="s">
        <v>23</v>
      </c>
      <c r="B187" t="s">
        <v>263</v>
      </c>
      <c r="C187">
        <v>2022</v>
      </c>
      <c r="D187" t="s">
        <v>44</v>
      </c>
      <c r="E187" t="s">
        <v>50</v>
      </c>
      <c r="F187" t="s">
        <v>73</v>
      </c>
      <c r="G187" t="s">
        <v>86</v>
      </c>
      <c r="H187" t="s">
        <v>93</v>
      </c>
      <c r="I187" t="s">
        <v>114</v>
      </c>
      <c r="J187">
        <v>0.91</v>
      </c>
      <c r="K187" t="s">
        <v>102</v>
      </c>
      <c r="L187">
        <v>40</v>
      </c>
      <c r="M187">
        <v>0.04</v>
      </c>
      <c r="N187" t="s">
        <v>121</v>
      </c>
      <c r="O187" t="s">
        <v>264</v>
      </c>
      <c r="P187" t="s">
        <v>265</v>
      </c>
      <c r="Q187" s="1" t="s">
        <v>2351</v>
      </c>
      <c r="R187" s="1" t="s">
        <v>2351</v>
      </c>
      <c r="S187" s="1" t="s">
        <v>2351</v>
      </c>
      <c r="T187" t="s">
        <v>396</v>
      </c>
      <c r="V187" t="s">
        <v>194</v>
      </c>
      <c r="W187" t="s">
        <v>266</v>
      </c>
      <c r="X187" t="s">
        <v>171</v>
      </c>
      <c r="Y187" t="s">
        <v>2273</v>
      </c>
      <c r="Z187" t="s">
        <v>249</v>
      </c>
      <c r="AA187" t="s">
        <v>2359</v>
      </c>
      <c r="AB187" t="s">
        <v>1979</v>
      </c>
      <c r="AC187" t="s">
        <v>152</v>
      </c>
      <c r="AD187" t="s">
        <v>137</v>
      </c>
      <c r="AE187" t="s">
        <v>400</v>
      </c>
      <c r="AF187" t="s">
        <v>49</v>
      </c>
      <c r="AI187" t="s">
        <v>49</v>
      </c>
      <c r="AM187" s="6" t="s">
        <v>268</v>
      </c>
    </row>
    <row r="188" spans="1:44" x14ac:dyDescent="0.2">
      <c r="A188" t="s">
        <v>23</v>
      </c>
      <c r="B188" t="s">
        <v>263</v>
      </c>
      <c r="C188">
        <v>2022</v>
      </c>
      <c r="D188" t="s">
        <v>44</v>
      </c>
      <c r="E188" t="s">
        <v>50</v>
      </c>
      <c r="F188" t="s">
        <v>73</v>
      </c>
      <c r="G188" t="s">
        <v>86</v>
      </c>
      <c r="H188" t="s">
        <v>93</v>
      </c>
      <c r="I188" t="s">
        <v>114</v>
      </c>
      <c r="J188">
        <v>0.91</v>
      </c>
      <c r="K188" t="s">
        <v>102</v>
      </c>
      <c r="L188">
        <v>40</v>
      </c>
      <c r="M188">
        <v>0.04</v>
      </c>
      <c r="N188" t="s">
        <v>121</v>
      </c>
      <c r="O188" t="s">
        <v>264</v>
      </c>
      <c r="P188" t="s">
        <v>265</v>
      </c>
      <c r="Q188" s="1" t="s">
        <v>2351</v>
      </c>
      <c r="R188" s="1" t="s">
        <v>2351</v>
      </c>
      <c r="S188" s="1" t="s">
        <v>2351</v>
      </c>
      <c r="T188" t="s">
        <v>396</v>
      </c>
      <c r="U188" s="1" t="s">
        <v>264</v>
      </c>
      <c r="V188" t="s">
        <v>194</v>
      </c>
      <c r="W188" t="s">
        <v>266</v>
      </c>
      <c r="X188" t="s">
        <v>161</v>
      </c>
      <c r="Y188" t="s">
        <v>2272</v>
      </c>
      <c r="Z188" t="s">
        <v>2272</v>
      </c>
      <c r="AA188" t="s">
        <v>2272</v>
      </c>
      <c r="AB188" t="s">
        <v>2272</v>
      </c>
      <c r="AC188" t="s">
        <v>162</v>
      </c>
      <c r="AD188" t="s">
        <v>2272</v>
      </c>
      <c r="AE188" t="s">
        <v>400</v>
      </c>
      <c r="AF188" t="s">
        <v>49</v>
      </c>
      <c r="AI188" t="s">
        <v>49</v>
      </c>
      <c r="AM188" s="6" t="s">
        <v>268</v>
      </c>
      <c r="AN188" t="s">
        <v>166</v>
      </c>
      <c r="AQ188" s="5">
        <v>1</v>
      </c>
    </row>
    <row r="189" spans="1:44" x14ac:dyDescent="0.2">
      <c r="A189" t="s">
        <v>23</v>
      </c>
      <c r="B189" t="s">
        <v>263</v>
      </c>
      <c r="C189">
        <v>2022</v>
      </c>
      <c r="D189" t="s">
        <v>44</v>
      </c>
      <c r="E189" t="s">
        <v>50</v>
      </c>
      <c r="F189" t="s">
        <v>73</v>
      </c>
      <c r="G189" t="s">
        <v>86</v>
      </c>
      <c r="H189" t="s">
        <v>93</v>
      </c>
      <c r="I189" t="s">
        <v>114</v>
      </c>
      <c r="J189">
        <v>0.91</v>
      </c>
      <c r="K189" t="s">
        <v>102</v>
      </c>
      <c r="L189">
        <v>40</v>
      </c>
      <c r="M189">
        <v>0.04</v>
      </c>
      <c r="N189" t="s">
        <v>121</v>
      </c>
      <c r="O189" t="s">
        <v>264</v>
      </c>
      <c r="P189" t="s">
        <v>265</v>
      </c>
      <c r="Q189" s="1" t="s">
        <v>2351</v>
      </c>
      <c r="R189" s="1" t="s">
        <v>2351</v>
      </c>
      <c r="S189" s="1" t="s">
        <v>2351</v>
      </c>
      <c r="T189" t="s">
        <v>396</v>
      </c>
      <c r="U189" s="1" t="s">
        <v>264</v>
      </c>
      <c r="V189" t="s">
        <v>194</v>
      </c>
      <c r="W189" t="s">
        <v>266</v>
      </c>
      <c r="X189" t="s">
        <v>161</v>
      </c>
      <c r="Y189" t="s">
        <v>2272</v>
      </c>
      <c r="Z189" t="s">
        <v>2272</v>
      </c>
      <c r="AA189" t="s">
        <v>2272</v>
      </c>
      <c r="AB189" t="s">
        <v>2272</v>
      </c>
      <c r="AC189" t="s">
        <v>162</v>
      </c>
      <c r="AD189" t="s">
        <v>2272</v>
      </c>
      <c r="AE189" t="s">
        <v>400</v>
      </c>
      <c r="AF189" t="s">
        <v>49</v>
      </c>
      <c r="AI189" t="s">
        <v>49</v>
      </c>
      <c r="AM189" s="6" t="s">
        <v>268</v>
      </c>
      <c r="AN189" t="s">
        <v>154</v>
      </c>
      <c r="AQ189" s="5">
        <v>1</v>
      </c>
    </row>
    <row r="190" spans="1:44" x14ac:dyDescent="0.2">
      <c r="A190" t="s">
        <v>23</v>
      </c>
      <c r="B190" t="s">
        <v>263</v>
      </c>
      <c r="C190">
        <v>2022</v>
      </c>
      <c r="D190" t="s">
        <v>44</v>
      </c>
      <c r="E190" t="s">
        <v>50</v>
      </c>
      <c r="F190" t="s">
        <v>73</v>
      </c>
      <c r="G190" t="s">
        <v>86</v>
      </c>
      <c r="H190" t="s">
        <v>93</v>
      </c>
      <c r="I190" t="s">
        <v>114</v>
      </c>
      <c r="J190">
        <v>0.91</v>
      </c>
      <c r="K190" t="s">
        <v>102</v>
      </c>
      <c r="L190">
        <v>40</v>
      </c>
      <c r="M190">
        <v>0.04</v>
      </c>
      <c r="N190" t="s">
        <v>121</v>
      </c>
      <c r="O190" t="s">
        <v>264</v>
      </c>
      <c r="P190" t="s">
        <v>265</v>
      </c>
      <c r="Q190" s="1" t="s">
        <v>2351</v>
      </c>
      <c r="R190" s="1" t="s">
        <v>2351</v>
      </c>
      <c r="S190" s="1" t="s">
        <v>2351</v>
      </c>
      <c r="T190" t="s">
        <v>396</v>
      </c>
      <c r="U190" s="1" t="s">
        <v>264</v>
      </c>
      <c r="V190" t="s">
        <v>194</v>
      </c>
      <c r="W190" t="s">
        <v>266</v>
      </c>
      <c r="X190" t="s">
        <v>161</v>
      </c>
      <c r="Y190" t="s">
        <v>2272</v>
      </c>
      <c r="Z190" t="s">
        <v>2272</v>
      </c>
      <c r="AA190" t="s">
        <v>2272</v>
      </c>
      <c r="AB190" t="s">
        <v>2272</v>
      </c>
      <c r="AC190" t="s">
        <v>162</v>
      </c>
      <c r="AD190" t="s">
        <v>2272</v>
      </c>
      <c r="AE190" t="s">
        <v>400</v>
      </c>
      <c r="AF190" t="s">
        <v>49</v>
      </c>
      <c r="AI190" t="s">
        <v>49</v>
      </c>
      <c r="AM190" s="6" t="s">
        <v>268</v>
      </c>
      <c r="AN190" t="s">
        <v>165</v>
      </c>
      <c r="AP190" t="s">
        <v>49</v>
      </c>
    </row>
    <row r="191" spans="1:44" x14ac:dyDescent="0.2">
      <c r="A191" t="s">
        <v>23</v>
      </c>
      <c r="B191" t="s">
        <v>263</v>
      </c>
      <c r="C191">
        <v>2022</v>
      </c>
      <c r="D191" t="s">
        <v>44</v>
      </c>
      <c r="E191" t="s">
        <v>50</v>
      </c>
      <c r="F191" t="s">
        <v>73</v>
      </c>
      <c r="G191" t="s">
        <v>86</v>
      </c>
      <c r="H191" t="s">
        <v>93</v>
      </c>
      <c r="I191" t="s">
        <v>114</v>
      </c>
      <c r="J191">
        <v>0.91</v>
      </c>
      <c r="K191" t="s">
        <v>102</v>
      </c>
      <c r="L191">
        <v>40</v>
      </c>
      <c r="M191">
        <v>0.04</v>
      </c>
      <c r="N191" t="s">
        <v>121</v>
      </c>
      <c r="O191" t="s">
        <v>264</v>
      </c>
      <c r="P191" t="s">
        <v>269</v>
      </c>
      <c r="Q191" s="1" t="s">
        <v>2292</v>
      </c>
      <c r="R191" s="1" t="s">
        <v>264</v>
      </c>
      <c r="S191" s="1" t="s">
        <v>264</v>
      </c>
      <c r="T191" t="s">
        <v>396</v>
      </c>
      <c r="X191" t="s">
        <v>267</v>
      </c>
      <c r="Y191" t="s">
        <v>2279</v>
      </c>
      <c r="Z191" t="s">
        <v>2280</v>
      </c>
      <c r="AA191" t="s">
        <v>2358</v>
      </c>
      <c r="AB191" t="s">
        <v>189</v>
      </c>
      <c r="AC191" t="s">
        <v>152</v>
      </c>
      <c r="AD191" t="s">
        <v>2278</v>
      </c>
      <c r="AE191" t="s">
        <v>400</v>
      </c>
      <c r="AF191" t="s">
        <v>49</v>
      </c>
      <c r="AI191" t="s">
        <v>49</v>
      </c>
      <c r="AM191" s="6" t="s">
        <v>268</v>
      </c>
    </row>
    <row r="192" spans="1:44" x14ac:dyDescent="0.2">
      <c r="A192" t="s">
        <v>23</v>
      </c>
      <c r="B192" t="s">
        <v>263</v>
      </c>
      <c r="C192">
        <v>2022</v>
      </c>
      <c r="D192" t="s">
        <v>44</v>
      </c>
      <c r="E192" t="s">
        <v>50</v>
      </c>
      <c r="F192" t="s">
        <v>73</v>
      </c>
      <c r="G192" t="s">
        <v>86</v>
      </c>
      <c r="H192" t="s">
        <v>93</v>
      </c>
      <c r="I192" t="s">
        <v>114</v>
      </c>
      <c r="J192">
        <v>0.91</v>
      </c>
      <c r="K192" t="s">
        <v>102</v>
      </c>
      <c r="L192">
        <v>40</v>
      </c>
      <c r="M192">
        <v>0.04</v>
      </c>
      <c r="N192" t="s">
        <v>121</v>
      </c>
      <c r="O192" t="s">
        <v>264</v>
      </c>
      <c r="P192" t="s">
        <v>269</v>
      </c>
      <c r="Q192" s="1" t="s">
        <v>2292</v>
      </c>
      <c r="R192" s="1" t="s">
        <v>264</v>
      </c>
      <c r="S192" s="1" t="s">
        <v>264</v>
      </c>
      <c r="T192" t="s">
        <v>396</v>
      </c>
      <c r="X192" t="s">
        <v>171</v>
      </c>
      <c r="Y192" t="s">
        <v>2273</v>
      </c>
      <c r="Z192" t="s">
        <v>249</v>
      </c>
      <c r="AA192" t="s">
        <v>2359</v>
      </c>
      <c r="AB192" t="s">
        <v>1979</v>
      </c>
      <c r="AC192" t="s">
        <v>152</v>
      </c>
      <c r="AD192" t="s">
        <v>137</v>
      </c>
      <c r="AE192" t="s">
        <v>400</v>
      </c>
      <c r="AF192" t="s">
        <v>49</v>
      </c>
      <c r="AI192" t="s">
        <v>49</v>
      </c>
      <c r="AM192" s="6" t="s">
        <v>268</v>
      </c>
    </row>
    <row r="193" spans="1:45" x14ac:dyDescent="0.2">
      <c r="A193" t="s">
        <v>23</v>
      </c>
      <c r="B193" t="s">
        <v>263</v>
      </c>
      <c r="C193">
        <v>2022</v>
      </c>
      <c r="D193" t="s">
        <v>44</v>
      </c>
      <c r="E193" t="s">
        <v>50</v>
      </c>
      <c r="F193" t="s">
        <v>73</v>
      </c>
      <c r="G193" t="s">
        <v>86</v>
      </c>
      <c r="H193" t="s">
        <v>93</v>
      </c>
      <c r="I193" t="s">
        <v>114</v>
      </c>
      <c r="J193">
        <v>0.91</v>
      </c>
      <c r="K193" t="s">
        <v>102</v>
      </c>
      <c r="L193">
        <v>40</v>
      </c>
      <c r="M193">
        <v>0.04</v>
      </c>
      <c r="N193" t="s">
        <v>121</v>
      </c>
      <c r="O193" t="s">
        <v>264</v>
      </c>
      <c r="P193" t="s">
        <v>269</v>
      </c>
      <c r="Q193" s="1" t="s">
        <v>2292</v>
      </c>
      <c r="R193" s="1" t="s">
        <v>264</v>
      </c>
      <c r="S193" s="1" t="s">
        <v>264</v>
      </c>
      <c r="T193" t="s">
        <v>396</v>
      </c>
      <c r="U193" s="1" t="s">
        <v>2351</v>
      </c>
      <c r="X193" t="s">
        <v>161</v>
      </c>
      <c r="Y193" t="s">
        <v>2272</v>
      </c>
      <c r="Z193" t="s">
        <v>2272</v>
      </c>
      <c r="AA193" t="s">
        <v>2272</v>
      </c>
      <c r="AB193" t="s">
        <v>2272</v>
      </c>
      <c r="AC193" t="s">
        <v>162</v>
      </c>
      <c r="AD193" t="s">
        <v>2272</v>
      </c>
      <c r="AE193" t="s">
        <v>400</v>
      </c>
      <c r="AF193" t="s">
        <v>49</v>
      </c>
      <c r="AI193" t="s">
        <v>49</v>
      </c>
      <c r="AM193" s="6" t="s">
        <v>268</v>
      </c>
      <c r="AN193" t="s">
        <v>166</v>
      </c>
      <c r="AQ193" s="5">
        <v>2</v>
      </c>
    </row>
    <row r="194" spans="1:45" x14ac:dyDescent="0.2">
      <c r="A194" t="s">
        <v>23</v>
      </c>
      <c r="B194" t="s">
        <v>263</v>
      </c>
      <c r="C194">
        <v>2022</v>
      </c>
      <c r="D194" t="s">
        <v>44</v>
      </c>
      <c r="E194" t="s">
        <v>50</v>
      </c>
      <c r="F194" t="s">
        <v>73</v>
      </c>
      <c r="G194" t="s">
        <v>86</v>
      </c>
      <c r="H194" t="s">
        <v>93</v>
      </c>
      <c r="I194" t="s">
        <v>114</v>
      </c>
      <c r="J194">
        <v>0.91</v>
      </c>
      <c r="K194" t="s">
        <v>102</v>
      </c>
      <c r="L194">
        <v>40</v>
      </c>
      <c r="M194">
        <v>0.04</v>
      </c>
      <c r="N194" t="s">
        <v>121</v>
      </c>
      <c r="O194" t="s">
        <v>264</v>
      </c>
      <c r="P194" t="s">
        <v>269</v>
      </c>
      <c r="Q194" s="1" t="s">
        <v>2292</v>
      </c>
      <c r="R194" s="1" t="s">
        <v>264</v>
      </c>
      <c r="S194" s="1" t="s">
        <v>264</v>
      </c>
      <c r="T194" t="s">
        <v>396</v>
      </c>
      <c r="U194" s="1" t="s">
        <v>2351</v>
      </c>
      <c r="X194" t="s">
        <v>161</v>
      </c>
      <c r="Y194" t="s">
        <v>2272</v>
      </c>
      <c r="Z194" t="s">
        <v>2272</v>
      </c>
      <c r="AA194" t="s">
        <v>2272</v>
      </c>
      <c r="AB194" t="s">
        <v>2272</v>
      </c>
      <c r="AC194" t="s">
        <v>162</v>
      </c>
      <c r="AD194" t="s">
        <v>2272</v>
      </c>
      <c r="AE194" t="s">
        <v>400</v>
      </c>
      <c r="AF194" t="s">
        <v>49</v>
      </c>
      <c r="AI194" t="s">
        <v>49</v>
      </c>
      <c r="AM194" s="6" t="s">
        <v>268</v>
      </c>
      <c r="AN194" t="s">
        <v>154</v>
      </c>
      <c r="AQ194" s="5">
        <v>2</v>
      </c>
    </row>
    <row r="195" spans="1:45" x14ac:dyDescent="0.2">
      <c r="A195" t="s">
        <v>23</v>
      </c>
      <c r="B195" t="s">
        <v>263</v>
      </c>
      <c r="C195">
        <v>2022</v>
      </c>
      <c r="D195" t="s">
        <v>44</v>
      </c>
      <c r="E195" t="s">
        <v>50</v>
      </c>
      <c r="F195" t="s">
        <v>73</v>
      </c>
      <c r="G195" t="s">
        <v>86</v>
      </c>
      <c r="H195" t="s">
        <v>93</v>
      </c>
      <c r="I195" t="s">
        <v>114</v>
      </c>
      <c r="J195">
        <v>0.91</v>
      </c>
      <c r="K195" t="s">
        <v>102</v>
      </c>
      <c r="L195">
        <v>40</v>
      </c>
      <c r="M195">
        <v>0.04</v>
      </c>
      <c r="N195" t="s">
        <v>121</v>
      </c>
      <c r="O195" t="s">
        <v>264</v>
      </c>
      <c r="P195" t="s">
        <v>269</v>
      </c>
      <c r="Q195" s="1" t="s">
        <v>2292</v>
      </c>
      <c r="R195" s="1" t="s">
        <v>264</v>
      </c>
      <c r="S195" s="1" t="s">
        <v>264</v>
      </c>
      <c r="T195" t="s">
        <v>396</v>
      </c>
      <c r="U195" s="1" t="s">
        <v>2351</v>
      </c>
      <c r="X195" t="s">
        <v>161</v>
      </c>
      <c r="Y195" t="s">
        <v>2272</v>
      </c>
      <c r="Z195" t="s">
        <v>2272</v>
      </c>
      <c r="AA195" t="s">
        <v>2272</v>
      </c>
      <c r="AB195" t="s">
        <v>2272</v>
      </c>
      <c r="AC195" t="s">
        <v>162</v>
      </c>
      <c r="AD195" t="s">
        <v>2272</v>
      </c>
      <c r="AE195" t="s">
        <v>400</v>
      </c>
      <c r="AF195" t="s">
        <v>49</v>
      </c>
      <c r="AI195" t="s">
        <v>49</v>
      </c>
      <c r="AM195" s="6" t="s">
        <v>268</v>
      </c>
      <c r="AN195" t="s">
        <v>165</v>
      </c>
      <c r="AP195" t="s">
        <v>49</v>
      </c>
    </row>
    <row r="196" spans="1:45" x14ac:dyDescent="0.2">
      <c r="A196" t="s">
        <v>24</v>
      </c>
      <c r="B196" t="s">
        <v>270</v>
      </c>
      <c r="C196">
        <v>2022</v>
      </c>
      <c r="D196" t="s">
        <v>44</v>
      </c>
      <c r="F196" t="s">
        <v>272</v>
      </c>
      <c r="G196" t="s">
        <v>271</v>
      </c>
      <c r="H196" t="s">
        <v>93</v>
      </c>
      <c r="I196" t="s">
        <v>116</v>
      </c>
      <c r="J196">
        <v>4</v>
      </c>
      <c r="K196" t="s">
        <v>109</v>
      </c>
      <c r="L196">
        <v>260</v>
      </c>
      <c r="N196" t="s">
        <v>128</v>
      </c>
      <c r="O196" t="s">
        <v>221</v>
      </c>
      <c r="Q196" s="1" t="s">
        <v>2276</v>
      </c>
      <c r="R196" s="1" t="s">
        <v>2350</v>
      </c>
      <c r="S196" s="1" t="s">
        <v>2350</v>
      </c>
      <c r="T196" t="s">
        <v>421</v>
      </c>
      <c r="X196" t="s">
        <v>161</v>
      </c>
      <c r="Y196" t="s">
        <v>2272</v>
      </c>
      <c r="Z196" t="s">
        <v>2272</v>
      </c>
      <c r="AA196" t="s">
        <v>2272</v>
      </c>
      <c r="AB196" t="s">
        <v>2272</v>
      </c>
      <c r="AC196" t="s">
        <v>162</v>
      </c>
      <c r="AD196" t="s">
        <v>2272</v>
      </c>
      <c r="AE196" t="s">
        <v>92</v>
      </c>
      <c r="AH196" s="4" t="s">
        <v>49</v>
      </c>
      <c r="AI196" t="s">
        <v>49</v>
      </c>
      <c r="AM196" s="6" t="s">
        <v>275</v>
      </c>
      <c r="AN196" t="s">
        <v>109</v>
      </c>
      <c r="AO196" t="s">
        <v>422</v>
      </c>
      <c r="AP196" t="s">
        <v>157</v>
      </c>
    </row>
    <row r="197" spans="1:45" x14ac:dyDescent="0.2">
      <c r="A197" t="s">
        <v>24</v>
      </c>
      <c r="B197" t="s">
        <v>270</v>
      </c>
      <c r="C197">
        <v>2022</v>
      </c>
      <c r="D197" t="s">
        <v>44</v>
      </c>
      <c r="F197" t="s">
        <v>272</v>
      </c>
      <c r="G197" t="s">
        <v>271</v>
      </c>
      <c r="H197" t="s">
        <v>93</v>
      </c>
      <c r="I197" t="s">
        <v>116</v>
      </c>
      <c r="J197">
        <v>4</v>
      </c>
      <c r="K197" t="s">
        <v>109</v>
      </c>
      <c r="L197">
        <v>260</v>
      </c>
      <c r="N197" t="s">
        <v>127</v>
      </c>
      <c r="O197" t="s">
        <v>273</v>
      </c>
      <c r="Q197" s="1" t="s">
        <v>2281</v>
      </c>
      <c r="R197" s="1" t="s">
        <v>2291</v>
      </c>
      <c r="S197" s="1" t="s">
        <v>2291</v>
      </c>
      <c r="T197" t="s">
        <v>421</v>
      </c>
      <c r="X197" t="s">
        <v>161</v>
      </c>
      <c r="Y197" t="s">
        <v>2272</v>
      </c>
      <c r="Z197" t="s">
        <v>2272</v>
      </c>
      <c r="AA197" t="s">
        <v>2272</v>
      </c>
      <c r="AB197" t="s">
        <v>2272</v>
      </c>
      <c r="AC197" t="s">
        <v>162</v>
      </c>
      <c r="AD197" t="s">
        <v>2272</v>
      </c>
      <c r="AE197" t="s">
        <v>92</v>
      </c>
      <c r="AH197" s="4" t="s">
        <v>49</v>
      </c>
      <c r="AI197" t="s">
        <v>49</v>
      </c>
      <c r="AM197" s="6" t="s">
        <v>275</v>
      </c>
      <c r="AN197" t="s">
        <v>109</v>
      </c>
      <c r="AO197" t="s">
        <v>422</v>
      </c>
      <c r="AP197" t="s">
        <v>157</v>
      </c>
    </row>
    <row r="198" spans="1:45" x14ac:dyDescent="0.2">
      <c r="A198" t="s">
        <v>24</v>
      </c>
      <c r="B198" t="s">
        <v>270</v>
      </c>
      <c r="C198">
        <v>2022</v>
      </c>
      <c r="D198" t="s">
        <v>44</v>
      </c>
      <c r="F198" t="s">
        <v>272</v>
      </c>
      <c r="G198" t="s">
        <v>271</v>
      </c>
      <c r="H198" t="s">
        <v>93</v>
      </c>
      <c r="I198" t="s">
        <v>116</v>
      </c>
      <c r="J198">
        <v>4</v>
      </c>
      <c r="K198" t="s">
        <v>109</v>
      </c>
      <c r="L198">
        <v>260</v>
      </c>
      <c r="N198" t="s">
        <v>127</v>
      </c>
      <c r="O198" t="s">
        <v>274</v>
      </c>
      <c r="Q198" s="1" t="s">
        <v>2281</v>
      </c>
      <c r="R198" s="1" t="s">
        <v>122</v>
      </c>
      <c r="S198" s="1" t="s">
        <v>2293</v>
      </c>
      <c r="T198" t="s">
        <v>421</v>
      </c>
      <c r="X198" t="s">
        <v>161</v>
      </c>
      <c r="Y198" t="s">
        <v>2272</v>
      </c>
      <c r="Z198" t="s">
        <v>2272</v>
      </c>
      <c r="AA198" t="s">
        <v>2272</v>
      </c>
      <c r="AB198" t="s">
        <v>2272</v>
      </c>
      <c r="AC198" t="s">
        <v>162</v>
      </c>
      <c r="AD198" t="s">
        <v>2272</v>
      </c>
      <c r="AE198" t="s">
        <v>92</v>
      </c>
      <c r="AH198" s="4" t="s">
        <v>49</v>
      </c>
      <c r="AI198" t="s">
        <v>49</v>
      </c>
      <c r="AM198" s="6" t="s">
        <v>275</v>
      </c>
      <c r="AN198" t="s">
        <v>109</v>
      </c>
      <c r="AO198" t="s">
        <v>422</v>
      </c>
      <c r="AP198" t="s">
        <v>157</v>
      </c>
    </row>
    <row r="199" spans="1:45" x14ac:dyDescent="0.2">
      <c r="A199" t="s">
        <v>24</v>
      </c>
      <c r="B199" t="s">
        <v>270</v>
      </c>
      <c r="C199">
        <v>2022</v>
      </c>
      <c r="D199" t="s">
        <v>44</v>
      </c>
      <c r="F199" t="s">
        <v>272</v>
      </c>
      <c r="G199" t="s">
        <v>271</v>
      </c>
      <c r="H199" t="s">
        <v>93</v>
      </c>
      <c r="I199" t="s">
        <v>116</v>
      </c>
      <c r="J199">
        <v>4</v>
      </c>
      <c r="K199" t="s">
        <v>109</v>
      </c>
      <c r="L199">
        <v>260</v>
      </c>
      <c r="N199" t="s">
        <v>131</v>
      </c>
      <c r="O199" t="s">
        <v>131</v>
      </c>
      <c r="Q199" s="1" t="s">
        <v>2281</v>
      </c>
      <c r="R199" s="1" t="s">
        <v>2295</v>
      </c>
      <c r="S199" s="1" t="s">
        <v>2295</v>
      </c>
      <c r="T199" t="s">
        <v>421</v>
      </c>
      <c r="X199" t="s">
        <v>161</v>
      </c>
      <c r="Y199" t="s">
        <v>2272</v>
      </c>
      <c r="Z199" t="s">
        <v>2272</v>
      </c>
      <c r="AA199" t="s">
        <v>2272</v>
      </c>
      <c r="AB199" t="s">
        <v>2272</v>
      </c>
      <c r="AC199" t="s">
        <v>162</v>
      </c>
      <c r="AD199" t="s">
        <v>2272</v>
      </c>
      <c r="AE199" t="s">
        <v>92</v>
      </c>
      <c r="AH199" s="4" t="s">
        <v>49</v>
      </c>
      <c r="AI199" t="s">
        <v>49</v>
      </c>
      <c r="AM199" s="6" t="s">
        <v>275</v>
      </c>
      <c r="AN199" t="s">
        <v>109</v>
      </c>
      <c r="AO199" t="s">
        <v>422</v>
      </c>
      <c r="AP199" t="s">
        <v>157</v>
      </c>
    </row>
    <row r="200" spans="1:45" x14ac:dyDescent="0.2">
      <c r="A200" t="s">
        <v>24</v>
      </c>
      <c r="B200" t="s">
        <v>270</v>
      </c>
      <c r="C200">
        <v>2022</v>
      </c>
      <c r="D200" t="s">
        <v>44</v>
      </c>
      <c r="F200" t="s">
        <v>272</v>
      </c>
      <c r="G200" t="s">
        <v>271</v>
      </c>
      <c r="H200" t="s">
        <v>93</v>
      </c>
      <c r="I200" t="s">
        <v>116</v>
      </c>
      <c r="J200">
        <v>4</v>
      </c>
      <c r="K200" t="s">
        <v>109</v>
      </c>
      <c r="L200">
        <v>260</v>
      </c>
      <c r="N200" t="s">
        <v>128</v>
      </c>
      <c r="O200" t="s">
        <v>221</v>
      </c>
      <c r="Q200" s="1" t="s">
        <v>2276</v>
      </c>
      <c r="R200" s="1" t="s">
        <v>2350</v>
      </c>
      <c r="S200" s="1" t="s">
        <v>2350</v>
      </c>
      <c r="T200" t="s">
        <v>51</v>
      </c>
      <c r="X200" t="s">
        <v>189</v>
      </c>
      <c r="Y200" t="s">
        <v>2279</v>
      </c>
      <c r="Z200" t="s">
        <v>2280</v>
      </c>
      <c r="AA200" t="s">
        <v>2358</v>
      </c>
      <c r="AB200" t="s">
        <v>189</v>
      </c>
      <c r="AC200" t="s">
        <v>152</v>
      </c>
      <c r="AD200" t="s">
        <v>2278</v>
      </c>
      <c r="AE200" t="s">
        <v>92</v>
      </c>
      <c r="AM200" s="6"/>
    </row>
    <row r="201" spans="1:45" x14ac:dyDescent="0.2">
      <c r="A201" t="s">
        <v>24</v>
      </c>
      <c r="B201" t="s">
        <v>270</v>
      </c>
      <c r="C201">
        <v>2022</v>
      </c>
      <c r="D201" t="s">
        <v>44</v>
      </c>
      <c r="F201" t="s">
        <v>272</v>
      </c>
      <c r="G201" t="s">
        <v>271</v>
      </c>
      <c r="H201" t="s">
        <v>93</v>
      </c>
      <c r="I201" t="s">
        <v>116</v>
      </c>
      <c r="J201">
        <v>4</v>
      </c>
      <c r="K201" t="s">
        <v>109</v>
      </c>
      <c r="L201">
        <v>260</v>
      </c>
      <c r="N201" t="s">
        <v>127</v>
      </c>
      <c r="O201" t="s">
        <v>273</v>
      </c>
      <c r="Q201" s="1" t="s">
        <v>2281</v>
      </c>
      <c r="R201" s="1" t="s">
        <v>2291</v>
      </c>
      <c r="S201" s="1" t="s">
        <v>2291</v>
      </c>
      <c r="T201" t="s">
        <v>51</v>
      </c>
      <c r="X201" t="s">
        <v>189</v>
      </c>
      <c r="Y201" t="s">
        <v>2279</v>
      </c>
      <c r="Z201" t="s">
        <v>2280</v>
      </c>
      <c r="AA201" t="s">
        <v>2358</v>
      </c>
      <c r="AB201" t="s">
        <v>189</v>
      </c>
      <c r="AC201" t="s">
        <v>152</v>
      </c>
      <c r="AD201" t="s">
        <v>2278</v>
      </c>
      <c r="AE201" t="s">
        <v>92</v>
      </c>
      <c r="AM201" s="6"/>
    </row>
    <row r="202" spans="1:45" x14ac:dyDescent="0.2">
      <c r="A202" t="s">
        <v>24</v>
      </c>
      <c r="B202" t="s">
        <v>270</v>
      </c>
      <c r="C202">
        <v>2022</v>
      </c>
      <c r="D202" t="s">
        <v>44</v>
      </c>
      <c r="F202" t="s">
        <v>272</v>
      </c>
      <c r="G202" t="s">
        <v>271</v>
      </c>
      <c r="H202" t="s">
        <v>93</v>
      </c>
      <c r="I202" t="s">
        <v>116</v>
      </c>
      <c r="J202">
        <v>4</v>
      </c>
      <c r="K202" t="s">
        <v>109</v>
      </c>
      <c r="L202">
        <v>260</v>
      </c>
      <c r="N202" t="s">
        <v>127</v>
      </c>
      <c r="O202" t="s">
        <v>274</v>
      </c>
      <c r="Q202" s="1" t="s">
        <v>2281</v>
      </c>
      <c r="R202" s="1" t="s">
        <v>122</v>
      </c>
      <c r="S202" s="1" t="s">
        <v>2293</v>
      </c>
      <c r="T202" t="s">
        <v>51</v>
      </c>
      <c r="X202" t="s">
        <v>189</v>
      </c>
      <c r="Y202" t="s">
        <v>2279</v>
      </c>
      <c r="Z202" t="s">
        <v>2280</v>
      </c>
      <c r="AA202" t="s">
        <v>2358</v>
      </c>
      <c r="AB202" t="s">
        <v>189</v>
      </c>
      <c r="AC202" t="s">
        <v>152</v>
      </c>
      <c r="AD202" t="s">
        <v>2278</v>
      </c>
      <c r="AE202" t="s">
        <v>92</v>
      </c>
      <c r="AM202" s="6"/>
    </row>
    <row r="203" spans="1:45" x14ac:dyDescent="0.2">
      <c r="A203" t="s">
        <v>24</v>
      </c>
      <c r="B203" t="s">
        <v>270</v>
      </c>
      <c r="C203">
        <v>2022</v>
      </c>
      <c r="D203" t="s">
        <v>44</v>
      </c>
      <c r="F203" t="s">
        <v>272</v>
      </c>
      <c r="G203" t="s">
        <v>271</v>
      </c>
      <c r="H203" t="s">
        <v>93</v>
      </c>
      <c r="I203" t="s">
        <v>116</v>
      </c>
      <c r="J203">
        <v>4</v>
      </c>
      <c r="K203" t="s">
        <v>109</v>
      </c>
      <c r="L203">
        <v>260</v>
      </c>
      <c r="N203" t="s">
        <v>131</v>
      </c>
      <c r="O203" t="s">
        <v>131</v>
      </c>
      <c r="Q203" s="1" t="s">
        <v>2281</v>
      </c>
      <c r="R203" s="1" t="s">
        <v>2295</v>
      </c>
      <c r="S203" s="1" t="s">
        <v>2295</v>
      </c>
      <c r="T203" t="s">
        <v>51</v>
      </c>
      <c r="X203" t="s">
        <v>189</v>
      </c>
      <c r="Y203" t="s">
        <v>2279</v>
      </c>
      <c r="Z203" t="s">
        <v>2280</v>
      </c>
      <c r="AA203" t="s">
        <v>2358</v>
      </c>
      <c r="AB203" t="s">
        <v>189</v>
      </c>
      <c r="AC203" t="s">
        <v>152</v>
      </c>
      <c r="AD203" t="s">
        <v>2278</v>
      </c>
      <c r="AE203" t="s">
        <v>92</v>
      </c>
      <c r="AM203" s="6"/>
    </row>
    <row r="204" spans="1:45" x14ac:dyDescent="0.2">
      <c r="A204" t="s">
        <v>25</v>
      </c>
      <c r="B204" t="s">
        <v>276</v>
      </c>
      <c r="C204">
        <v>2022</v>
      </c>
      <c r="D204" t="s">
        <v>44</v>
      </c>
      <c r="E204" t="s">
        <v>49</v>
      </c>
      <c r="F204" t="s">
        <v>74</v>
      </c>
      <c r="G204" t="s">
        <v>91</v>
      </c>
      <c r="H204" t="s">
        <v>94</v>
      </c>
      <c r="I204" t="s">
        <v>115</v>
      </c>
      <c r="J204">
        <v>0.25</v>
      </c>
      <c r="K204" t="s">
        <v>109</v>
      </c>
      <c r="L204">
        <v>4</v>
      </c>
      <c r="N204" t="s">
        <v>124</v>
      </c>
      <c r="O204" t="s">
        <v>124</v>
      </c>
      <c r="P204" t="s">
        <v>277</v>
      </c>
      <c r="Q204" s="1" t="s">
        <v>2272</v>
      </c>
      <c r="R204" s="1" t="s">
        <v>2272</v>
      </c>
      <c r="S204" s="1" t="s">
        <v>2272</v>
      </c>
      <c r="T204" t="s">
        <v>396</v>
      </c>
      <c r="X204" t="s">
        <v>161</v>
      </c>
      <c r="Y204" t="s">
        <v>2272</v>
      </c>
      <c r="Z204" t="s">
        <v>2272</v>
      </c>
      <c r="AA204" t="s">
        <v>2272</v>
      </c>
      <c r="AB204" t="s">
        <v>2272</v>
      </c>
      <c r="AC204" t="s">
        <v>162</v>
      </c>
      <c r="AD204" t="s">
        <v>2272</v>
      </c>
      <c r="AM204" s="6" t="s">
        <v>281</v>
      </c>
      <c r="AN204" t="s">
        <v>191</v>
      </c>
      <c r="AP204" t="s">
        <v>49</v>
      </c>
      <c r="AR204" t="s">
        <v>144</v>
      </c>
      <c r="AS204" t="s">
        <v>2583</v>
      </c>
    </row>
    <row r="205" spans="1:45" x14ac:dyDescent="0.2">
      <c r="A205" t="s">
        <v>25</v>
      </c>
      <c r="B205" t="s">
        <v>276</v>
      </c>
      <c r="C205">
        <v>2022</v>
      </c>
      <c r="D205" t="s">
        <v>44</v>
      </c>
      <c r="E205" t="s">
        <v>49</v>
      </c>
      <c r="F205" t="s">
        <v>74</v>
      </c>
      <c r="G205" t="s">
        <v>91</v>
      </c>
      <c r="H205" t="s">
        <v>94</v>
      </c>
      <c r="I205" t="s">
        <v>115</v>
      </c>
      <c r="J205">
        <v>0.25</v>
      </c>
      <c r="K205" t="s">
        <v>109</v>
      </c>
      <c r="L205">
        <v>4</v>
      </c>
      <c r="N205" t="s">
        <v>121</v>
      </c>
      <c r="O205" t="s">
        <v>121</v>
      </c>
      <c r="P205" t="s">
        <v>278</v>
      </c>
      <c r="Q205" s="1" t="s">
        <v>2272</v>
      </c>
      <c r="R205" s="1" t="s">
        <v>2272</v>
      </c>
      <c r="S205" s="1" t="s">
        <v>2272</v>
      </c>
      <c r="T205" t="s">
        <v>396</v>
      </c>
      <c r="X205" t="s">
        <v>161</v>
      </c>
      <c r="Y205" t="s">
        <v>2272</v>
      </c>
      <c r="Z205" t="s">
        <v>2272</v>
      </c>
      <c r="AA205" t="s">
        <v>2272</v>
      </c>
      <c r="AB205" t="s">
        <v>2272</v>
      </c>
      <c r="AC205" t="s">
        <v>162</v>
      </c>
      <c r="AD205" t="s">
        <v>2272</v>
      </c>
      <c r="AM205" s="6" t="s">
        <v>281</v>
      </c>
      <c r="AN205" t="s">
        <v>191</v>
      </c>
      <c r="AP205" t="s">
        <v>49</v>
      </c>
      <c r="AR205" t="s">
        <v>144</v>
      </c>
      <c r="AS205" t="s">
        <v>2583</v>
      </c>
    </row>
    <row r="206" spans="1:45" x14ac:dyDescent="0.2">
      <c r="A206" t="s">
        <v>25</v>
      </c>
      <c r="B206" t="s">
        <v>276</v>
      </c>
      <c r="C206">
        <v>2022</v>
      </c>
      <c r="D206" t="s">
        <v>44</v>
      </c>
      <c r="E206" t="s">
        <v>49</v>
      </c>
      <c r="F206" t="s">
        <v>74</v>
      </c>
      <c r="G206" t="s">
        <v>91</v>
      </c>
      <c r="H206" t="s">
        <v>94</v>
      </c>
      <c r="I206" t="s">
        <v>115</v>
      </c>
      <c r="J206">
        <v>0.25</v>
      </c>
      <c r="K206" t="s">
        <v>109</v>
      </c>
      <c r="L206">
        <v>4</v>
      </c>
      <c r="N206" t="s">
        <v>127</v>
      </c>
      <c r="O206" t="s">
        <v>280</v>
      </c>
      <c r="P206" t="s">
        <v>279</v>
      </c>
      <c r="Q206" s="1" t="s">
        <v>2272</v>
      </c>
      <c r="R206" s="1" t="s">
        <v>2272</v>
      </c>
      <c r="S206" s="1" t="s">
        <v>2272</v>
      </c>
      <c r="T206" t="s">
        <v>396</v>
      </c>
      <c r="X206" t="s">
        <v>161</v>
      </c>
      <c r="Y206" t="s">
        <v>2272</v>
      </c>
      <c r="Z206" t="s">
        <v>2272</v>
      </c>
      <c r="AA206" t="s">
        <v>2272</v>
      </c>
      <c r="AB206" t="s">
        <v>2272</v>
      </c>
      <c r="AC206" t="s">
        <v>162</v>
      </c>
      <c r="AD206" t="s">
        <v>2272</v>
      </c>
      <c r="AM206" s="6" t="s">
        <v>281</v>
      </c>
      <c r="AN206" t="s">
        <v>191</v>
      </c>
      <c r="AP206" t="s">
        <v>49</v>
      </c>
      <c r="AR206" t="s">
        <v>144</v>
      </c>
      <c r="AS206" t="s">
        <v>2583</v>
      </c>
    </row>
    <row r="207" spans="1:45" x14ac:dyDescent="0.2">
      <c r="A207" t="s">
        <v>25</v>
      </c>
      <c r="B207" t="s">
        <v>276</v>
      </c>
      <c r="C207">
        <v>2022</v>
      </c>
      <c r="D207" t="s">
        <v>44</v>
      </c>
      <c r="E207" t="s">
        <v>49</v>
      </c>
      <c r="F207" t="s">
        <v>74</v>
      </c>
      <c r="G207" t="s">
        <v>91</v>
      </c>
      <c r="H207" t="s">
        <v>94</v>
      </c>
      <c r="I207" t="s">
        <v>115</v>
      </c>
      <c r="J207">
        <v>0.25</v>
      </c>
      <c r="K207" t="s">
        <v>109</v>
      </c>
      <c r="L207">
        <v>4</v>
      </c>
      <c r="N207" t="s">
        <v>124</v>
      </c>
      <c r="O207" t="s">
        <v>124</v>
      </c>
      <c r="P207" t="s">
        <v>277</v>
      </c>
      <c r="Q207" s="1" t="s">
        <v>2272</v>
      </c>
      <c r="R207" s="1" t="s">
        <v>2272</v>
      </c>
      <c r="S207" s="1" t="s">
        <v>2272</v>
      </c>
      <c r="T207" t="s">
        <v>396</v>
      </c>
      <c r="X207" t="s">
        <v>161</v>
      </c>
      <c r="Y207" t="s">
        <v>2272</v>
      </c>
      <c r="Z207" t="s">
        <v>2272</v>
      </c>
      <c r="AA207" t="s">
        <v>2272</v>
      </c>
      <c r="AB207" t="s">
        <v>2272</v>
      </c>
      <c r="AC207" t="s">
        <v>162</v>
      </c>
      <c r="AD207" t="s">
        <v>2272</v>
      </c>
      <c r="AM207" s="6" t="s">
        <v>281</v>
      </c>
      <c r="AN207" t="s">
        <v>156</v>
      </c>
      <c r="AR207" t="s">
        <v>144</v>
      </c>
      <c r="AS207" t="s">
        <v>2583</v>
      </c>
    </row>
    <row r="208" spans="1:45" x14ac:dyDescent="0.2">
      <c r="A208" t="s">
        <v>25</v>
      </c>
      <c r="B208" t="s">
        <v>276</v>
      </c>
      <c r="C208">
        <v>2022</v>
      </c>
      <c r="D208" t="s">
        <v>44</v>
      </c>
      <c r="E208" t="s">
        <v>49</v>
      </c>
      <c r="F208" t="s">
        <v>74</v>
      </c>
      <c r="G208" t="s">
        <v>91</v>
      </c>
      <c r="H208" t="s">
        <v>94</v>
      </c>
      <c r="I208" t="s">
        <v>115</v>
      </c>
      <c r="J208">
        <v>0.25</v>
      </c>
      <c r="K208" t="s">
        <v>109</v>
      </c>
      <c r="L208">
        <v>4</v>
      </c>
      <c r="N208" t="s">
        <v>121</v>
      </c>
      <c r="O208" t="s">
        <v>121</v>
      </c>
      <c r="P208" t="s">
        <v>278</v>
      </c>
      <c r="Q208" s="1" t="s">
        <v>2272</v>
      </c>
      <c r="R208" s="1" t="s">
        <v>2272</v>
      </c>
      <c r="S208" s="1" t="s">
        <v>2272</v>
      </c>
      <c r="T208" t="s">
        <v>396</v>
      </c>
      <c r="X208" t="s">
        <v>161</v>
      </c>
      <c r="Y208" t="s">
        <v>2272</v>
      </c>
      <c r="Z208" t="s">
        <v>2272</v>
      </c>
      <c r="AA208" t="s">
        <v>2272</v>
      </c>
      <c r="AB208" t="s">
        <v>2272</v>
      </c>
      <c r="AC208" t="s">
        <v>162</v>
      </c>
      <c r="AD208" t="s">
        <v>2272</v>
      </c>
      <c r="AM208" s="6" t="s">
        <v>281</v>
      </c>
      <c r="AN208" t="s">
        <v>156</v>
      </c>
      <c r="AR208" t="s">
        <v>144</v>
      </c>
      <c r="AS208" t="s">
        <v>2583</v>
      </c>
    </row>
    <row r="209" spans="1:45" x14ac:dyDescent="0.2">
      <c r="A209" t="s">
        <v>25</v>
      </c>
      <c r="B209" t="s">
        <v>276</v>
      </c>
      <c r="C209">
        <v>2022</v>
      </c>
      <c r="D209" t="s">
        <v>44</v>
      </c>
      <c r="E209" t="s">
        <v>49</v>
      </c>
      <c r="F209" t="s">
        <v>74</v>
      </c>
      <c r="G209" t="s">
        <v>91</v>
      </c>
      <c r="H209" t="s">
        <v>94</v>
      </c>
      <c r="I209" t="s">
        <v>115</v>
      </c>
      <c r="J209">
        <v>0.25</v>
      </c>
      <c r="K209" t="s">
        <v>109</v>
      </c>
      <c r="L209">
        <v>4</v>
      </c>
      <c r="N209" t="s">
        <v>127</v>
      </c>
      <c r="O209" t="s">
        <v>280</v>
      </c>
      <c r="P209" t="s">
        <v>279</v>
      </c>
      <c r="Q209" s="1" t="s">
        <v>2272</v>
      </c>
      <c r="R209" s="1" t="s">
        <v>2272</v>
      </c>
      <c r="S209" s="1" t="s">
        <v>2272</v>
      </c>
      <c r="T209" t="s">
        <v>396</v>
      </c>
      <c r="X209" t="s">
        <v>161</v>
      </c>
      <c r="Y209" t="s">
        <v>2272</v>
      </c>
      <c r="Z209" t="s">
        <v>2272</v>
      </c>
      <c r="AA209" t="s">
        <v>2272</v>
      </c>
      <c r="AB209" t="s">
        <v>2272</v>
      </c>
      <c r="AC209" t="s">
        <v>162</v>
      </c>
      <c r="AD209" t="s">
        <v>2272</v>
      </c>
      <c r="AM209" s="6" t="s">
        <v>281</v>
      </c>
      <c r="AN209" t="s">
        <v>156</v>
      </c>
      <c r="AR209" t="s">
        <v>144</v>
      </c>
      <c r="AS209" t="s">
        <v>2583</v>
      </c>
    </row>
    <row r="210" spans="1:45" x14ac:dyDescent="0.2">
      <c r="A210" t="s">
        <v>26</v>
      </c>
      <c r="B210" t="s">
        <v>282</v>
      </c>
      <c r="C210">
        <v>2022</v>
      </c>
      <c r="D210" t="s">
        <v>44</v>
      </c>
      <c r="F210" t="s">
        <v>64</v>
      </c>
      <c r="G210" t="s">
        <v>91</v>
      </c>
      <c r="H210" t="s">
        <v>94</v>
      </c>
      <c r="I210" t="s">
        <v>112</v>
      </c>
      <c r="J210">
        <v>0</v>
      </c>
      <c r="K210" t="s">
        <v>101</v>
      </c>
      <c r="L210">
        <v>60</v>
      </c>
      <c r="M210">
        <v>1</v>
      </c>
      <c r="N210" t="s">
        <v>128</v>
      </c>
      <c r="O210" t="s">
        <v>283</v>
      </c>
      <c r="Q210" s="1" t="s">
        <v>2272</v>
      </c>
      <c r="R210" s="1" t="s">
        <v>2272</v>
      </c>
      <c r="S210" s="1" t="s">
        <v>2272</v>
      </c>
      <c r="X210" t="s">
        <v>211</v>
      </c>
      <c r="Y210" t="s">
        <v>2272</v>
      </c>
      <c r="Z210" t="s">
        <v>2272</v>
      </c>
      <c r="AA210" t="s">
        <v>2272</v>
      </c>
      <c r="AB210" t="s">
        <v>2272</v>
      </c>
      <c r="AC210" t="s">
        <v>152</v>
      </c>
      <c r="AD210" t="s">
        <v>2272</v>
      </c>
      <c r="AR210" t="s">
        <v>144</v>
      </c>
      <c r="AS210" t="s">
        <v>2583</v>
      </c>
    </row>
    <row r="211" spans="1:45" x14ac:dyDescent="0.2">
      <c r="A211" t="s">
        <v>27</v>
      </c>
      <c r="B211" t="s">
        <v>284</v>
      </c>
      <c r="C211">
        <v>2022</v>
      </c>
      <c r="D211" t="s">
        <v>44</v>
      </c>
      <c r="F211" t="s">
        <v>75</v>
      </c>
      <c r="G211" t="s">
        <v>86</v>
      </c>
      <c r="H211" t="s">
        <v>93</v>
      </c>
      <c r="I211">
        <v>2019</v>
      </c>
      <c r="J211">
        <v>0</v>
      </c>
      <c r="K211" t="s">
        <v>101</v>
      </c>
      <c r="L211">
        <v>200</v>
      </c>
      <c r="M211">
        <v>3.3999999999999998E-3</v>
      </c>
      <c r="N211" t="s">
        <v>121</v>
      </c>
      <c r="O211" t="s">
        <v>285</v>
      </c>
      <c r="P211" t="s">
        <v>286</v>
      </c>
      <c r="Q211" s="1" t="s">
        <v>2292</v>
      </c>
      <c r="R211" s="1" t="s">
        <v>264</v>
      </c>
      <c r="S211" s="1" t="s">
        <v>264</v>
      </c>
      <c r="T211" t="s">
        <v>421</v>
      </c>
      <c r="U211" t="s">
        <v>421</v>
      </c>
      <c r="X211" t="s">
        <v>249</v>
      </c>
      <c r="Y211" t="s">
        <v>2279</v>
      </c>
      <c r="Z211" t="s">
        <v>2280</v>
      </c>
      <c r="AA211" t="s">
        <v>2286</v>
      </c>
      <c r="AB211" t="s">
        <v>2287</v>
      </c>
      <c r="AC211" t="s">
        <v>162</v>
      </c>
      <c r="AD211" t="s">
        <v>2278</v>
      </c>
      <c r="AF211" t="s">
        <v>49</v>
      </c>
      <c r="AG211" t="s">
        <v>49</v>
      </c>
      <c r="AI211" t="s">
        <v>49</v>
      </c>
      <c r="AM211" t="s">
        <v>288</v>
      </c>
    </row>
    <row r="212" spans="1:45" x14ac:dyDescent="0.2">
      <c r="A212" t="s">
        <v>27</v>
      </c>
      <c r="B212" t="s">
        <v>284</v>
      </c>
      <c r="C212">
        <v>2022</v>
      </c>
      <c r="D212" t="s">
        <v>44</v>
      </c>
      <c r="F212" t="s">
        <v>75</v>
      </c>
      <c r="G212" t="s">
        <v>86</v>
      </c>
      <c r="H212" t="s">
        <v>93</v>
      </c>
      <c r="I212">
        <v>2019</v>
      </c>
      <c r="J212">
        <v>0</v>
      </c>
      <c r="K212" t="s">
        <v>101</v>
      </c>
      <c r="L212">
        <v>200</v>
      </c>
      <c r="M212">
        <v>3.3999999999999998E-3</v>
      </c>
      <c r="N212" t="s">
        <v>121</v>
      </c>
      <c r="O212" t="s">
        <v>285</v>
      </c>
      <c r="P212" t="s">
        <v>286</v>
      </c>
      <c r="Q212" s="1" t="s">
        <v>2292</v>
      </c>
      <c r="R212" s="1" t="s">
        <v>264</v>
      </c>
      <c r="S212" s="1" t="s">
        <v>264</v>
      </c>
      <c r="T212" t="s">
        <v>421</v>
      </c>
      <c r="U212" t="s">
        <v>421</v>
      </c>
      <c r="X212" t="s">
        <v>287</v>
      </c>
      <c r="Y212" t="s">
        <v>2273</v>
      </c>
      <c r="Z212" t="s">
        <v>249</v>
      </c>
      <c r="AA212" t="s">
        <v>2359</v>
      </c>
      <c r="AB212" t="s">
        <v>1979</v>
      </c>
      <c r="AC212" t="s">
        <v>152</v>
      </c>
      <c r="AD212" t="s">
        <v>2288</v>
      </c>
      <c r="AF212" t="s">
        <v>49</v>
      </c>
      <c r="AG212" t="s">
        <v>49</v>
      </c>
      <c r="AI212" t="s">
        <v>49</v>
      </c>
      <c r="AM212" t="s">
        <v>288</v>
      </c>
      <c r="AN212" t="s">
        <v>154</v>
      </c>
      <c r="AQ212" s="5">
        <v>2</v>
      </c>
    </row>
    <row r="213" spans="1:45" x14ac:dyDescent="0.2">
      <c r="A213" t="s">
        <v>27</v>
      </c>
      <c r="B213" t="s">
        <v>284</v>
      </c>
      <c r="C213">
        <v>2022</v>
      </c>
      <c r="D213" t="s">
        <v>44</v>
      </c>
      <c r="F213" t="s">
        <v>75</v>
      </c>
      <c r="G213" t="s">
        <v>86</v>
      </c>
      <c r="H213" t="s">
        <v>93</v>
      </c>
      <c r="I213">
        <v>2019</v>
      </c>
      <c r="J213">
        <v>0</v>
      </c>
      <c r="K213" t="s">
        <v>101</v>
      </c>
      <c r="L213">
        <v>200</v>
      </c>
      <c r="M213">
        <v>3.3999999999999998E-3</v>
      </c>
      <c r="N213" t="s">
        <v>121</v>
      </c>
      <c r="O213" t="s">
        <v>285</v>
      </c>
      <c r="P213" t="s">
        <v>286</v>
      </c>
      <c r="Q213" s="1" t="s">
        <v>2292</v>
      </c>
      <c r="R213" s="1" t="s">
        <v>264</v>
      </c>
      <c r="S213" s="1" t="s">
        <v>264</v>
      </c>
      <c r="T213" t="s">
        <v>421</v>
      </c>
      <c r="U213" t="s">
        <v>421</v>
      </c>
      <c r="X213" t="s">
        <v>287</v>
      </c>
      <c r="Y213" t="s">
        <v>2273</v>
      </c>
      <c r="Z213" t="s">
        <v>249</v>
      </c>
      <c r="AA213" t="s">
        <v>2359</v>
      </c>
      <c r="AB213" t="s">
        <v>1979</v>
      </c>
      <c r="AC213" t="s">
        <v>152</v>
      </c>
      <c r="AD213" t="s">
        <v>2288</v>
      </c>
      <c r="AF213" t="s">
        <v>49</v>
      </c>
      <c r="AG213" t="s">
        <v>49</v>
      </c>
      <c r="AI213" t="s">
        <v>49</v>
      </c>
      <c r="AM213" t="s">
        <v>288</v>
      </c>
      <c r="AN213" t="s">
        <v>166</v>
      </c>
      <c r="AQ213" s="5">
        <v>1</v>
      </c>
    </row>
    <row r="214" spans="1:45" x14ac:dyDescent="0.2">
      <c r="A214" t="s">
        <v>27</v>
      </c>
      <c r="B214" t="s">
        <v>284</v>
      </c>
      <c r="C214">
        <v>2022</v>
      </c>
      <c r="D214" t="s">
        <v>44</v>
      </c>
      <c r="F214" t="s">
        <v>75</v>
      </c>
      <c r="G214" t="s">
        <v>86</v>
      </c>
      <c r="H214" t="s">
        <v>93</v>
      </c>
      <c r="I214">
        <v>2019</v>
      </c>
      <c r="J214">
        <v>0</v>
      </c>
      <c r="K214" t="s">
        <v>101</v>
      </c>
      <c r="L214">
        <v>200</v>
      </c>
      <c r="M214">
        <v>3.3999999999999998E-3</v>
      </c>
      <c r="N214" t="s">
        <v>121</v>
      </c>
      <c r="O214" t="s">
        <v>285</v>
      </c>
      <c r="P214" t="s">
        <v>286</v>
      </c>
      <c r="Q214" s="1" t="s">
        <v>2292</v>
      </c>
      <c r="R214" s="1" t="s">
        <v>264</v>
      </c>
      <c r="S214" s="1" t="s">
        <v>264</v>
      </c>
      <c r="T214" t="s">
        <v>421</v>
      </c>
      <c r="U214" t="s">
        <v>421</v>
      </c>
      <c r="X214" t="s">
        <v>267</v>
      </c>
      <c r="Y214" t="s">
        <v>2279</v>
      </c>
      <c r="Z214" t="s">
        <v>2280</v>
      </c>
      <c r="AA214" t="s">
        <v>2358</v>
      </c>
      <c r="AB214" t="s">
        <v>189</v>
      </c>
      <c r="AC214" t="s">
        <v>152</v>
      </c>
      <c r="AD214" t="s">
        <v>2278</v>
      </c>
      <c r="AF214" t="s">
        <v>49</v>
      </c>
      <c r="AG214" t="s">
        <v>49</v>
      </c>
      <c r="AI214" t="s">
        <v>49</v>
      </c>
      <c r="AM214" t="s">
        <v>288</v>
      </c>
    </row>
    <row r="215" spans="1:45" x14ac:dyDescent="0.2">
      <c r="A215" t="s">
        <v>27</v>
      </c>
      <c r="B215" t="s">
        <v>284</v>
      </c>
      <c r="C215">
        <v>2022</v>
      </c>
      <c r="D215" t="s">
        <v>44</v>
      </c>
      <c r="F215" t="s">
        <v>75</v>
      </c>
      <c r="G215" t="s">
        <v>86</v>
      </c>
      <c r="H215" t="s">
        <v>93</v>
      </c>
      <c r="I215">
        <v>2019</v>
      </c>
      <c r="J215">
        <v>0</v>
      </c>
      <c r="K215" t="s">
        <v>101</v>
      </c>
      <c r="L215">
        <v>200</v>
      </c>
      <c r="M215">
        <v>3.3999999999999998E-3</v>
      </c>
      <c r="N215" t="s">
        <v>121</v>
      </c>
      <c r="O215" t="s">
        <v>285</v>
      </c>
      <c r="P215" t="s">
        <v>286</v>
      </c>
      <c r="Q215" s="1" t="s">
        <v>2292</v>
      </c>
      <c r="R215" s="1" t="s">
        <v>264</v>
      </c>
      <c r="S215" s="1" t="s">
        <v>264</v>
      </c>
      <c r="T215" t="s">
        <v>421</v>
      </c>
      <c r="U215" t="s">
        <v>421</v>
      </c>
      <c r="X215" t="s">
        <v>161</v>
      </c>
      <c r="Y215" t="s">
        <v>2272</v>
      </c>
      <c r="Z215" t="s">
        <v>2272</v>
      </c>
      <c r="AA215" t="s">
        <v>2272</v>
      </c>
      <c r="AB215" t="s">
        <v>2272</v>
      </c>
      <c r="AC215" t="s">
        <v>162</v>
      </c>
      <c r="AD215" t="s">
        <v>2272</v>
      </c>
      <c r="AF215" t="s">
        <v>49</v>
      </c>
      <c r="AG215" t="s">
        <v>49</v>
      </c>
      <c r="AI215" t="s">
        <v>49</v>
      </c>
      <c r="AM215" t="s">
        <v>288</v>
      </c>
      <c r="AN215" t="s">
        <v>165</v>
      </c>
      <c r="AP215" t="s">
        <v>49</v>
      </c>
    </row>
    <row r="216" spans="1:45" x14ac:dyDescent="0.2">
      <c r="A216" t="s">
        <v>27</v>
      </c>
      <c r="B216" t="s">
        <v>284</v>
      </c>
      <c r="C216">
        <v>2022</v>
      </c>
      <c r="D216" t="s">
        <v>44</v>
      </c>
      <c r="F216" t="s">
        <v>75</v>
      </c>
      <c r="G216" t="s">
        <v>86</v>
      </c>
      <c r="H216" t="s">
        <v>93</v>
      </c>
      <c r="I216">
        <v>2019</v>
      </c>
      <c r="J216">
        <v>0</v>
      </c>
      <c r="K216" t="s">
        <v>101</v>
      </c>
      <c r="L216">
        <v>200</v>
      </c>
      <c r="M216">
        <v>3.3999999999999998E-3</v>
      </c>
      <c r="N216" t="s">
        <v>121</v>
      </c>
      <c r="O216" t="s">
        <v>285</v>
      </c>
      <c r="P216" t="s">
        <v>286</v>
      </c>
      <c r="Q216" s="1" t="s">
        <v>2292</v>
      </c>
      <c r="R216" s="1" t="s">
        <v>264</v>
      </c>
      <c r="S216" s="1" t="s">
        <v>264</v>
      </c>
      <c r="T216" t="s">
        <v>421</v>
      </c>
      <c r="U216" t="s">
        <v>421</v>
      </c>
      <c r="X216" t="s">
        <v>161</v>
      </c>
      <c r="Y216" t="s">
        <v>2272</v>
      </c>
      <c r="Z216" t="s">
        <v>2272</v>
      </c>
      <c r="AA216" t="s">
        <v>2272</v>
      </c>
      <c r="AB216" t="s">
        <v>2272</v>
      </c>
      <c r="AC216" t="s">
        <v>162</v>
      </c>
      <c r="AD216" t="s">
        <v>2272</v>
      </c>
      <c r="AF216" t="s">
        <v>49</v>
      </c>
      <c r="AG216" t="s">
        <v>49</v>
      </c>
      <c r="AI216" t="s">
        <v>49</v>
      </c>
      <c r="AM216" t="s">
        <v>288</v>
      </c>
      <c r="AN216" t="s">
        <v>191</v>
      </c>
      <c r="AQ216" s="5">
        <v>0</v>
      </c>
    </row>
    <row r="217" spans="1:45" x14ac:dyDescent="0.2">
      <c r="A217" t="s">
        <v>27</v>
      </c>
      <c r="B217" t="s">
        <v>284</v>
      </c>
      <c r="C217">
        <v>2022</v>
      </c>
      <c r="D217" t="s">
        <v>44</v>
      </c>
      <c r="F217" t="s">
        <v>75</v>
      </c>
      <c r="G217" t="s">
        <v>86</v>
      </c>
      <c r="H217" t="s">
        <v>93</v>
      </c>
      <c r="I217">
        <v>2019</v>
      </c>
      <c r="J217">
        <v>0</v>
      </c>
      <c r="K217" t="s">
        <v>101</v>
      </c>
      <c r="L217">
        <v>200</v>
      </c>
      <c r="M217">
        <v>3.3999999999999998E-3</v>
      </c>
      <c r="N217" t="s">
        <v>121</v>
      </c>
      <c r="O217" t="s">
        <v>285</v>
      </c>
      <c r="P217" t="s">
        <v>286</v>
      </c>
      <c r="Q217" s="1" t="s">
        <v>2292</v>
      </c>
      <c r="R217" s="1" t="s">
        <v>264</v>
      </c>
      <c r="S217" s="1" t="s">
        <v>264</v>
      </c>
      <c r="T217" t="s">
        <v>421</v>
      </c>
      <c r="U217" t="s">
        <v>421</v>
      </c>
      <c r="X217" t="s">
        <v>161</v>
      </c>
      <c r="Y217" t="s">
        <v>2272</v>
      </c>
      <c r="Z217" t="s">
        <v>2272</v>
      </c>
      <c r="AA217" t="s">
        <v>2272</v>
      </c>
      <c r="AB217" t="s">
        <v>2272</v>
      </c>
      <c r="AC217" t="s">
        <v>162</v>
      </c>
      <c r="AD217" t="s">
        <v>2272</v>
      </c>
      <c r="AF217" t="s">
        <v>49</v>
      </c>
      <c r="AG217" t="s">
        <v>49</v>
      </c>
      <c r="AI217" t="s">
        <v>49</v>
      </c>
      <c r="AM217" t="s">
        <v>288</v>
      </c>
      <c r="AN217" t="s">
        <v>166</v>
      </c>
      <c r="AQ217" s="5">
        <v>1</v>
      </c>
    </row>
    <row r="218" spans="1:45" x14ac:dyDescent="0.2">
      <c r="A218" t="s">
        <v>27</v>
      </c>
      <c r="B218" t="s">
        <v>284</v>
      </c>
      <c r="C218">
        <v>2022</v>
      </c>
      <c r="D218" t="s">
        <v>44</v>
      </c>
      <c r="F218" t="s">
        <v>75</v>
      </c>
      <c r="G218" t="s">
        <v>86</v>
      </c>
      <c r="H218" t="s">
        <v>93</v>
      </c>
      <c r="I218">
        <v>2019</v>
      </c>
      <c r="J218">
        <v>0</v>
      </c>
      <c r="K218" t="s">
        <v>101</v>
      </c>
      <c r="L218">
        <v>200</v>
      </c>
      <c r="M218">
        <v>3.3999999999999998E-3</v>
      </c>
      <c r="N218" t="s">
        <v>121</v>
      </c>
      <c r="O218" t="s">
        <v>285</v>
      </c>
      <c r="P218" t="s">
        <v>286</v>
      </c>
      <c r="Q218" s="1" t="s">
        <v>2292</v>
      </c>
      <c r="R218" s="1" t="s">
        <v>264</v>
      </c>
      <c r="S218" s="1" t="s">
        <v>264</v>
      </c>
      <c r="T218" t="s">
        <v>421</v>
      </c>
      <c r="U218" t="s">
        <v>421</v>
      </c>
      <c r="X218" t="s">
        <v>161</v>
      </c>
      <c r="Y218" t="s">
        <v>2272</v>
      </c>
      <c r="Z218" t="s">
        <v>2272</v>
      </c>
      <c r="AA218" t="s">
        <v>2272</v>
      </c>
      <c r="AB218" t="s">
        <v>2272</v>
      </c>
      <c r="AC218" t="s">
        <v>162</v>
      </c>
      <c r="AD218" t="s">
        <v>2272</v>
      </c>
      <c r="AF218" t="s">
        <v>49</v>
      </c>
      <c r="AG218" t="s">
        <v>49</v>
      </c>
      <c r="AI218" t="s">
        <v>49</v>
      </c>
      <c r="AM218" t="s">
        <v>288</v>
      </c>
      <c r="AN218" t="s">
        <v>154</v>
      </c>
      <c r="AQ218" s="5">
        <v>1</v>
      </c>
    </row>
    <row r="219" spans="1:45" x14ac:dyDescent="0.2">
      <c r="A219" t="s">
        <v>27</v>
      </c>
      <c r="B219" t="s">
        <v>284</v>
      </c>
      <c r="C219">
        <v>2022</v>
      </c>
      <c r="D219" t="s">
        <v>44</v>
      </c>
      <c r="F219" t="s">
        <v>75</v>
      </c>
      <c r="G219" t="s">
        <v>86</v>
      </c>
      <c r="H219" t="s">
        <v>93</v>
      </c>
      <c r="I219">
        <v>2019</v>
      </c>
      <c r="J219">
        <v>0</v>
      </c>
      <c r="K219" t="s">
        <v>101</v>
      </c>
      <c r="L219">
        <v>200</v>
      </c>
      <c r="M219">
        <v>3.3999999999999998E-3</v>
      </c>
      <c r="N219" t="s">
        <v>121</v>
      </c>
      <c r="O219" t="s">
        <v>285</v>
      </c>
      <c r="P219" t="s">
        <v>286</v>
      </c>
      <c r="Q219" s="1" t="s">
        <v>2292</v>
      </c>
      <c r="R219" s="1" t="s">
        <v>264</v>
      </c>
      <c r="S219" s="1" t="s">
        <v>264</v>
      </c>
      <c r="T219" t="s">
        <v>421</v>
      </c>
      <c r="U219" t="s">
        <v>421</v>
      </c>
      <c r="X219" t="s">
        <v>161</v>
      </c>
      <c r="Y219" t="s">
        <v>2272</v>
      </c>
      <c r="Z219" t="s">
        <v>2272</v>
      </c>
      <c r="AA219" t="s">
        <v>2272</v>
      </c>
      <c r="AB219" t="s">
        <v>2272</v>
      </c>
      <c r="AC219" t="s">
        <v>162</v>
      </c>
      <c r="AD219" t="s">
        <v>2272</v>
      </c>
      <c r="AF219" t="s">
        <v>49</v>
      </c>
      <c r="AG219" t="s">
        <v>49</v>
      </c>
      <c r="AI219" t="s">
        <v>49</v>
      </c>
      <c r="AM219" t="s">
        <v>288</v>
      </c>
      <c r="AN219" t="s">
        <v>171</v>
      </c>
      <c r="AQ219" s="5">
        <v>1</v>
      </c>
    </row>
    <row r="220" spans="1:45" x14ac:dyDescent="0.2">
      <c r="A220" t="s">
        <v>27</v>
      </c>
      <c r="B220" t="s">
        <v>284</v>
      </c>
      <c r="C220">
        <v>2022</v>
      </c>
      <c r="D220" t="s">
        <v>44</v>
      </c>
      <c r="F220" t="s">
        <v>75</v>
      </c>
      <c r="G220" t="s">
        <v>86</v>
      </c>
      <c r="H220" t="s">
        <v>93</v>
      </c>
      <c r="I220">
        <v>2019</v>
      </c>
      <c r="J220">
        <v>0</v>
      </c>
      <c r="K220" t="s">
        <v>101</v>
      </c>
      <c r="L220">
        <v>200</v>
      </c>
      <c r="M220">
        <v>3.3999999999999998E-3</v>
      </c>
      <c r="N220" t="s">
        <v>121</v>
      </c>
      <c r="O220" t="s">
        <v>285</v>
      </c>
      <c r="P220" t="s">
        <v>286</v>
      </c>
      <c r="Q220" s="1" t="s">
        <v>2292</v>
      </c>
      <c r="R220" s="1" t="s">
        <v>264</v>
      </c>
      <c r="S220" s="1" t="s">
        <v>264</v>
      </c>
      <c r="T220" t="s">
        <v>421</v>
      </c>
      <c r="U220" t="s">
        <v>421</v>
      </c>
      <c r="X220" t="s">
        <v>161</v>
      </c>
      <c r="Y220" t="s">
        <v>2272</v>
      </c>
      <c r="Z220" t="s">
        <v>2272</v>
      </c>
      <c r="AA220" t="s">
        <v>2272</v>
      </c>
      <c r="AB220" t="s">
        <v>2272</v>
      </c>
      <c r="AC220" t="s">
        <v>162</v>
      </c>
      <c r="AD220" t="s">
        <v>2272</v>
      </c>
      <c r="AF220" t="s">
        <v>49</v>
      </c>
      <c r="AG220" t="s">
        <v>49</v>
      </c>
      <c r="AI220" t="s">
        <v>49</v>
      </c>
      <c r="AM220" t="s">
        <v>288</v>
      </c>
      <c r="AN220" t="s">
        <v>156</v>
      </c>
      <c r="AQ220" s="5">
        <v>1</v>
      </c>
    </row>
    <row r="221" spans="1:45" x14ac:dyDescent="0.2">
      <c r="A221" t="s">
        <v>28</v>
      </c>
      <c r="B221" t="s">
        <v>289</v>
      </c>
      <c r="C221">
        <v>2022</v>
      </c>
      <c r="D221" t="s">
        <v>45</v>
      </c>
      <c r="F221" t="s">
        <v>69</v>
      </c>
      <c r="G221" t="s">
        <v>85</v>
      </c>
      <c r="H221" t="s">
        <v>93</v>
      </c>
      <c r="I221">
        <v>2020</v>
      </c>
      <c r="J221">
        <v>7.6999999999999999E-2</v>
      </c>
      <c r="K221" t="s">
        <v>101</v>
      </c>
      <c r="M221">
        <v>3.1399999999999997E-2</v>
      </c>
      <c r="N221" t="s">
        <v>130</v>
      </c>
      <c r="O221" t="s">
        <v>290</v>
      </c>
      <c r="P221" t="s">
        <v>291</v>
      </c>
      <c r="Q221" s="1" t="s">
        <v>2276</v>
      </c>
      <c r="R221" s="1" t="s">
        <v>751</v>
      </c>
      <c r="S221" s="1" t="s">
        <v>2345</v>
      </c>
      <c r="T221" t="s">
        <v>51</v>
      </c>
      <c r="X221" t="s">
        <v>211</v>
      </c>
      <c r="Y221" t="s">
        <v>2279</v>
      </c>
      <c r="Z221" t="s">
        <v>2280</v>
      </c>
      <c r="AA221" t="s">
        <v>2358</v>
      </c>
      <c r="AB221" t="s">
        <v>2290</v>
      </c>
      <c r="AC221" t="s">
        <v>152</v>
      </c>
      <c r="AD221" t="s">
        <v>2278</v>
      </c>
      <c r="AE221" t="s">
        <v>296</v>
      </c>
      <c r="AF221" t="s">
        <v>49</v>
      </c>
      <c r="AK221" t="s">
        <v>49</v>
      </c>
      <c r="AM221" t="s">
        <v>295</v>
      </c>
      <c r="AN221" t="s">
        <v>154</v>
      </c>
    </row>
    <row r="222" spans="1:45" x14ac:dyDescent="0.2">
      <c r="A222" t="s">
        <v>28</v>
      </c>
      <c r="B222" t="s">
        <v>289</v>
      </c>
      <c r="C222">
        <v>2022</v>
      </c>
      <c r="D222" t="s">
        <v>45</v>
      </c>
      <c r="F222" t="s">
        <v>69</v>
      </c>
      <c r="G222" t="s">
        <v>85</v>
      </c>
      <c r="H222" t="s">
        <v>93</v>
      </c>
      <c r="I222">
        <v>2020</v>
      </c>
      <c r="J222">
        <v>7.6999999999999999E-2</v>
      </c>
      <c r="K222" t="s">
        <v>101</v>
      </c>
      <c r="M222">
        <v>3.1399999999999997E-2</v>
      </c>
      <c r="N222" t="s">
        <v>130</v>
      </c>
      <c r="O222" t="s">
        <v>290</v>
      </c>
      <c r="P222" t="s">
        <v>291</v>
      </c>
      <c r="Q222" s="1" t="s">
        <v>2276</v>
      </c>
      <c r="R222" s="1" t="s">
        <v>751</v>
      </c>
      <c r="S222" s="1" t="s">
        <v>2345</v>
      </c>
      <c r="T222" t="s">
        <v>51</v>
      </c>
      <c r="X222" t="s">
        <v>292</v>
      </c>
      <c r="Y222" t="s">
        <v>2273</v>
      </c>
      <c r="Z222" t="s">
        <v>2356</v>
      </c>
      <c r="AA222" t="s">
        <v>2357</v>
      </c>
      <c r="AB222" t="s">
        <v>2277</v>
      </c>
      <c r="AC222" t="s">
        <v>152</v>
      </c>
      <c r="AD222" t="s">
        <v>137</v>
      </c>
      <c r="AE222" t="s">
        <v>2316</v>
      </c>
      <c r="AF222" t="s">
        <v>49</v>
      </c>
      <c r="AK222" t="s">
        <v>49</v>
      </c>
      <c r="AM222" t="s">
        <v>295</v>
      </c>
      <c r="AN222" t="s">
        <v>154</v>
      </c>
    </row>
    <row r="223" spans="1:45" x14ac:dyDescent="0.2">
      <c r="A223" t="s">
        <v>28</v>
      </c>
      <c r="B223" t="s">
        <v>289</v>
      </c>
      <c r="C223">
        <v>2022</v>
      </c>
      <c r="D223" t="s">
        <v>45</v>
      </c>
      <c r="F223" t="s">
        <v>69</v>
      </c>
      <c r="G223" t="s">
        <v>85</v>
      </c>
      <c r="H223" t="s">
        <v>93</v>
      </c>
      <c r="I223">
        <v>2020</v>
      </c>
      <c r="J223">
        <v>7.6999999999999999E-2</v>
      </c>
      <c r="K223" t="s">
        <v>101</v>
      </c>
      <c r="M223">
        <v>3.1399999999999997E-2</v>
      </c>
      <c r="N223" t="s">
        <v>130</v>
      </c>
      <c r="O223" t="s">
        <v>290</v>
      </c>
      <c r="P223" t="s">
        <v>291</v>
      </c>
      <c r="Q223" s="1" t="s">
        <v>2276</v>
      </c>
      <c r="R223" s="1" t="s">
        <v>751</v>
      </c>
      <c r="S223" s="1" t="s">
        <v>2345</v>
      </c>
      <c r="T223" t="s">
        <v>51</v>
      </c>
      <c r="X223" t="s">
        <v>171</v>
      </c>
      <c r="Y223" t="s">
        <v>2279</v>
      </c>
      <c r="Z223" t="s">
        <v>2280</v>
      </c>
      <c r="AA223" t="s">
        <v>2358</v>
      </c>
      <c r="AB223" t="s">
        <v>2580</v>
      </c>
      <c r="AC223" t="s">
        <v>152</v>
      </c>
      <c r="AD223" t="s">
        <v>2278</v>
      </c>
      <c r="AE223" t="s">
        <v>297</v>
      </c>
      <c r="AF223" t="s">
        <v>49</v>
      </c>
      <c r="AK223" t="s">
        <v>49</v>
      </c>
      <c r="AM223" t="s">
        <v>295</v>
      </c>
      <c r="AN223" t="s">
        <v>154</v>
      </c>
    </row>
    <row r="224" spans="1:45" x14ac:dyDescent="0.2">
      <c r="A224" t="s">
        <v>28</v>
      </c>
      <c r="B224" t="s">
        <v>289</v>
      </c>
      <c r="C224">
        <v>2022</v>
      </c>
      <c r="D224" t="s">
        <v>45</v>
      </c>
      <c r="F224" t="s">
        <v>69</v>
      </c>
      <c r="G224" t="s">
        <v>85</v>
      </c>
      <c r="H224" t="s">
        <v>93</v>
      </c>
      <c r="I224">
        <v>2020</v>
      </c>
      <c r="J224">
        <v>7.6999999999999999E-2</v>
      </c>
      <c r="K224" t="s">
        <v>101</v>
      </c>
      <c r="M224">
        <v>3.1399999999999997E-2</v>
      </c>
      <c r="N224" t="s">
        <v>130</v>
      </c>
      <c r="O224" t="s">
        <v>290</v>
      </c>
      <c r="P224" t="s">
        <v>291</v>
      </c>
      <c r="Q224" s="1" t="s">
        <v>2276</v>
      </c>
      <c r="R224" s="1" t="s">
        <v>751</v>
      </c>
      <c r="S224" s="1" t="s">
        <v>2345</v>
      </c>
      <c r="T224" t="s">
        <v>51</v>
      </c>
      <c r="X224" t="s">
        <v>293</v>
      </c>
      <c r="Y224" t="s">
        <v>2273</v>
      </c>
      <c r="Z224" t="s">
        <v>249</v>
      </c>
      <c r="AA224" t="s">
        <v>2359</v>
      </c>
      <c r="AB224" t="s">
        <v>1419</v>
      </c>
      <c r="AC224" t="s">
        <v>152</v>
      </c>
      <c r="AD224" t="s">
        <v>137</v>
      </c>
      <c r="AE224" t="s">
        <v>2316</v>
      </c>
      <c r="AF224" t="s">
        <v>49</v>
      </c>
      <c r="AK224" t="s">
        <v>49</v>
      </c>
      <c r="AM224" t="s">
        <v>295</v>
      </c>
      <c r="AN224" t="s">
        <v>154</v>
      </c>
    </row>
    <row r="225" spans="1:40" x14ac:dyDescent="0.2">
      <c r="A225" t="s">
        <v>28</v>
      </c>
      <c r="B225" t="s">
        <v>289</v>
      </c>
      <c r="C225">
        <v>2022</v>
      </c>
      <c r="D225" t="s">
        <v>45</v>
      </c>
      <c r="F225" t="s">
        <v>69</v>
      </c>
      <c r="G225" t="s">
        <v>85</v>
      </c>
      <c r="H225" t="s">
        <v>93</v>
      </c>
      <c r="I225">
        <v>2020</v>
      </c>
      <c r="J225">
        <v>7.6999999999999999E-2</v>
      </c>
      <c r="K225" t="s">
        <v>101</v>
      </c>
      <c r="M225">
        <v>3.1399999999999997E-2</v>
      </c>
      <c r="N225" t="s">
        <v>130</v>
      </c>
      <c r="O225" t="s">
        <v>290</v>
      </c>
      <c r="P225" t="s">
        <v>291</v>
      </c>
      <c r="Q225" s="1" t="s">
        <v>2276</v>
      </c>
      <c r="R225" s="1" t="s">
        <v>751</v>
      </c>
      <c r="S225" s="1" t="s">
        <v>2345</v>
      </c>
      <c r="T225" t="s">
        <v>51</v>
      </c>
      <c r="X225" t="s">
        <v>189</v>
      </c>
      <c r="Y225" t="s">
        <v>2279</v>
      </c>
      <c r="Z225" t="s">
        <v>2280</v>
      </c>
      <c r="AA225" t="s">
        <v>2358</v>
      </c>
      <c r="AB225" t="s">
        <v>189</v>
      </c>
      <c r="AC225" t="s">
        <v>152</v>
      </c>
      <c r="AD225" t="s">
        <v>2278</v>
      </c>
      <c r="AE225" t="s">
        <v>297</v>
      </c>
      <c r="AF225" t="s">
        <v>49</v>
      </c>
      <c r="AK225" t="s">
        <v>49</v>
      </c>
      <c r="AM225" t="s">
        <v>295</v>
      </c>
      <c r="AN225" t="s">
        <v>154</v>
      </c>
    </row>
    <row r="226" spans="1:40" x14ac:dyDescent="0.2">
      <c r="A226" t="s">
        <v>28</v>
      </c>
      <c r="B226" t="s">
        <v>289</v>
      </c>
      <c r="C226">
        <v>2022</v>
      </c>
      <c r="D226" t="s">
        <v>45</v>
      </c>
      <c r="F226" t="s">
        <v>69</v>
      </c>
      <c r="G226" t="s">
        <v>85</v>
      </c>
      <c r="H226" t="s">
        <v>93</v>
      </c>
      <c r="I226">
        <v>2020</v>
      </c>
      <c r="J226">
        <v>7.6999999999999999E-2</v>
      </c>
      <c r="K226" t="s">
        <v>111</v>
      </c>
      <c r="M226">
        <v>3.1399999999999997E-2</v>
      </c>
      <c r="N226" t="s">
        <v>130</v>
      </c>
      <c r="O226" t="s">
        <v>290</v>
      </c>
      <c r="P226" t="s">
        <v>291</v>
      </c>
      <c r="Q226" s="1" t="s">
        <v>2276</v>
      </c>
      <c r="R226" s="1" t="s">
        <v>751</v>
      </c>
      <c r="S226" s="1" t="s">
        <v>2345</v>
      </c>
      <c r="T226" t="s">
        <v>51</v>
      </c>
      <c r="X226" t="s">
        <v>294</v>
      </c>
      <c r="Y226" t="s">
        <v>2279</v>
      </c>
      <c r="Z226" t="s">
        <v>2361</v>
      </c>
      <c r="AA226" t="s">
        <v>2362</v>
      </c>
      <c r="AB226" t="s">
        <v>2296</v>
      </c>
      <c r="AC226" t="s">
        <v>152</v>
      </c>
      <c r="AD226" t="s">
        <v>2278</v>
      </c>
      <c r="AE226" t="s">
        <v>298</v>
      </c>
      <c r="AF226" t="s">
        <v>49</v>
      </c>
      <c r="AK226" t="s">
        <v>49</v>
      </c>
      <c r="AM226" t="s">
        <v>295</v>
      </c>
      <c r="AN226" t="s">
        <v>154</v>
      </c>
    </row>
    <row r="227" spans="1:40" x14ac:dyDescent="0.2">
      <c r="A227" t="s">
        <v>28</v>
      </c>
      <c r="B227" t="s">
        <v>289</v>
      </c>
      <c r="C227">
        <v>2022</v>
      </c>
      <c r="D227" t="s">
        <v>45</v>
      </c>
      <c r="F227" t="s">
        <v>69</v>
      </c>
      <c r="G227" t="s">
        <v>85</v>
      </c>
      <c r="H227" t="s">
        <v>93</v>
      </c>
      <c r="I227">
        <v>2020</v>
      </c>
      <c r="J227">
        <v>7.6999999999999999E-2</v>
      </c>
      <c r="K227" t="s">
        <v>101</v>
      </c>
      <c r="M227">
        <v>3.1399999999999997E-2</v>
      </c>
      <c r="N227" t="s">
        <v>130</v>
      </c>
      <c r="O227" t="s">
        <v>290</v>
      </c>
      <c r="P227" t="s">
        <v>291</v>
      </c>
      <c r="Q227" s="1" t="s">
        <v>2276</v>
      </c>
      <c r="R227" s="1" t="s">
        <v>751</v>
      </c>
      <c r="S227" s="1" t="s">
        <v>2345</v>
      </c>
      <c r="T227" t="s">
        <v>51</v>
      </c>
      <c r="X227" t="s">
        <v>211</v>
      </c>
      <c r="Y227" t="s">
        <v>2279</v>
      </c>
      <c r="Z227" t="s">
        <v>2280</v>
      </c>
      <c r="AA227" t="s">
        <v>2358</v>
      </c>
      <c r="AB227" t="s">
        <v>2290</v>
      </c>
      <c r="AC227" t="s">
        <v>152</v>
      </c>
      <c r="AD227" t="s">
        <v>2278</v>
      </c>
      <c r="AE227" t="s">
        <v>296</v>
      </c>
      <c r="AF227" t="s">
        <v>49</v>
      </c>
      <c r="AK227" t="s">
        <v>49</v>
      </c>
      <c r="AM227" t="s">
        <v>295</v>
      </c>
      <c r="AN227" t="s">
        <v>166</v>
      </c>
    </row>
    <row r="228" spans="1:40" x14ac:dyDescent="0.2">
      <c r="A228" t="s">
        <v>28</v>
      </c>
      <c r="B228" t="s">
        <v>289</v>
      </c>
      <c r="C228">
        <v>2022</v>
      </c>
      <c r="D228" t="s">
        <v>45</v>
      </c>
      <c r="F228" t="s">
        <v>69</v>
      </c>
      <c r="G228" t="s">
        <v>85</v>
      </c>
      <c r="H228" t="s">
        <v>93</v>
      </c>
      <c r="I228">
        <v>2020</v>
      </c>
      <c r="J228">
        <v>7.6999999999999999E-2</v>
      </c>
      <c r="K228" t="s">
        <v>101</v>
      </c>
      <c r="M228">
        <v>3.1399999999999997E-2</v>
      </c>
      <c r="N228" t="s">
        <v>130</v>
      </c>
      <c r="O228" t="s">
        <v>290</v>
      </c>
      <c r="P228" t="s">
        <v>291</v>
      </c>
      <c r="Q228" s="1" t="s">
        <v>2276</v>
      </c>
      <c r="R228" s="1" t="s">
        <v>751</v>
      </c>
      <c r="S228" s="1" t="s">
        <v>2345</v>
      </c>
      <c r="T228" t="s">
        <v>51</v>
      </c>
      <c r="X228" t="s">
        <v>292</v>
      </c>
      <c r="Y228" t="s">
        <v>2273</v>
      </c>
      <c r="Z228" t="s">
        <v>2356</v>
      </c>
      <c r="AA228" t="s">
        <v>2357</v>
      </c>
      <c r="AB228" t="s">
        <v>2277</v>
      </c>
      <c r="AC228" t="s">
        <v>152</v>
      </c>
      <c r="AD228" t="s">
        <v>137</v>
      </c>
      <c r="AE228" t="s">
        <v>2316</v>
      </c>
      <c r="AF228" t="s">
        <v>49</v>
      </c>
      <c r="AK228" t="s">
        <v>49</v>
      </c>
      <c r="AM228" t="s">
        <v>295</v>
      </c>
      <c r="AN228" t="s">
        <v>166</v>
      </c>
    </row>
    <row r="229" spans="1:40" x14ac:dyDescent="0.2">
      <c r="A229" t="s">
        <v>28</v>
      </c>
      <c r="B229" t="s">
        <v>289</v>
      </c>
      <c r="C229">
        <v>2022</v>
      </c>
      <c r="D229" t="s">
        <v>45</v>
      </c>
      <c r="F229" t="s">
        <v>69</v>
      </c>
      <c r="G229" t="s">
        <v>85</v>
      </c>
      <c r="H229" t="s">
        <v>93</v>
      </c>
      <c r="I229">
        <v>2020</v>
      </c>
      <c r="J229">
        <v>7.6999999999999999E-2</v>
      </c>
      <c r="K229" t="s">
        <v>101</v>
      </c>
      <c r="M229">
        <v>3.1399999999999997E-2</v>
      </c>
      <c r="N229" t="s">
        <v>130</v>
      </c>
      <c r="O229" t="s">
        <v>290</v>
      </c>
      <c r="P229" t="s">
        <v>291</v>
      </c>
      <c r="Q229" s="1" t="s">
        <v>2276</v>
      </c>
      <c r="R229" s="1" t="s">
        <v>751</v>
      </c>
      <c r="S229" s="1" t="s">
        <v>2345</v>
      </c>
      <c r="T229" t="s">
        <v>51</v>
      </c>
      <c r="X229" t="s">
        <v>171</v>
      </c>
      <c r="Y229" t="s">
        <v>2279</v>
      </c>
      <c r="Z229" t="s">
        <v>2280</v>
      </c>
      <c r="AA229" t="s">
        <v>2358</v>
      </c>
      <c r="AB229" t="s">
        <v>2580</v>
      </c>
      <c r="AC229" t="s">
        <v>152</v>
      </c>
      <c r="AD229" t="s">
        <v>2278</v>
      </c>
      <c r="AE229" t="s">
        <v>297</v>
      </c>
      <c r="AF229" t="s">
        <v>49</v>
      </c>
      <c r="AK229" t="s">
        <v>49</v>
      </c>
      <c r="AM229" t="s">
        <v>295</v>
      </c>
      <c r="AN229" t="s">
        <v>166</v>
      </c>
    </row>
    <row r="230" spans="1:40" x14ac:dyDescent="0.2">
      <c r="A230" t="s">
        <v>28</v>
      </c>
      <c r="B230" t="s">
        <v>289</v>
      </c>
      <c r="C230">
        <v>2022</v>
      </c>
      <c r="D230" t="s">
        <v>45</v>
      </c>
      <c r="F230" t="s">
        <v>69</v>
      </c>
      <c r="G230" t="s">
        <v>85</v>
      </c>
      <c r="H230" t="s">
        <v>93</v>
      </c>
      <c r="I230">
        <v>2020</v>
      </c>
      <c r="J230">
        <v>7.6999999999999999E-2</v>
      </c>
      <c r="K230" t="s">
        <v>101</v>
      </c>
      <c r="M230">
        <v>3.1399999999999997E-2</v>
      </c>
      <c r="N230" t="s">
        <v>130</v>
      </c>
      <c r="O230" t="s">
        <v>290</v>
      </c>
      <c r="P230" t="s">
        <v>291</v>
      </c>
      <c r="Q230" s="1" t="s">
        <v>2276</v>
      </c>
      <c r="R230" s="1" t="s">
        <v>751</v>
      </c>
      <c r="S230" s="1" t="s">
        <v>2345</v>
      </c>
      <c r="T230" t="s">
        <v>51</v>
      </c>
      <c r="X230" t="s">
        <v>293</v>
      </c>
      <c r="Y230" t="s">
        <v>2273</v>
      </c>
      <c r="Z230" t="s">
        <v>249</v>
      </c>
      <c r="AA230" t="s">
        <v>2359</v>
      </c>
      <c r="AB230" t="s">
        <v>1419</v>
      </c>
      <c r="AC230" t="s">
        <v>152</v>
      </c>
      <c r="AD230" t="s">
        <v>137</v>
      </c>
      <c r="AE230" t="s">
        <v>2316</v>
      </c>
      <c r="AF230" t="s">
        <v>49</v>
      </c>
      <c r="AK230" t="s">
        <v>49</v>
      </c>
      <c r="AM230" t="s">
        <v>295</v>
      </c>
      <c r="AN230" t="s">
        <v>166</v>
      </c>
    </row>
    <row r="231" spans="1:40" x14ac:dyDescent="0.2">
      <c r="A231" t="s">
        <v>28</v>
      </c>
      <c r="B231" t="s">
        <v>289</v>
      </c>
      <c r="C231">
        <v>2022</v>
      </c>
      <c r="D231" t="s">
        <v>45</v>
      </c>
      <c r="F231" t="s">
        <v>69</v>
      </c>
      <c r="G231" t="s">
        <v>85</v>
      </c>
      <c r="H231" t="s">
        <v>93</v>
      </c>
      <c r="I231">
        <v>2020</v>
      </c>
      <c r="J231">
        <v>7.6999999999999999E-2</v>
      </c>
      <c r="K231" t="s">
        <v>101</v>
      </c>
      <c r="M231">
        <v>3.1399999999999997E-2</v>
      </c>
      <c r="N231" t="s">
        <v>130</v>
      </c>
      <c r="O231" t="s">
        <v>290</v>
      </c>
      <c r="P231" t="s">
        <v>291</v>
      </c>
      <c r="Q231" s="1" t="s">
        <v>2276</v>
      </c>
      <c r="R231" s="1" t="s">
        <v>751</v>
      </c>
      <c r="S231" s="1" t="s">
        <v>2345</v>
      </c>
      <c r="T231" t="s">
        <v>51</v>
      </c>
      <c r="X231" t="s">
        <v>189</v>
      </c>
      <c r="Y231" t="s">
        <v>2279</v>
      </c>
      <c r="Z231" t="s">
        <v>2280</v>
      </c>
      <c r="AA231" t="s">
        <v>2358</v>
      </c>
      <c r="AB231" t="s">
        <v>189</v>
      </c>
      <c r="AC231" t="s">
        <v>152</v>
      </c>
      <c r="AD231" t="s">
        <v>2278</v>
      </c>
      <c r="AE231" t="s">
        <v>297</v>
      </c>
      <c r="AF231" t="s">
        <v>49</v>
      </c>
      <c r="AK231" t="s">
        <v>49</v>
      </c>
      <c r="AM231" t="s">
        <v>295</v>
      </c>
      <c r="AN231" t="s">
        <v>166</v>
      </c>
    </row>
    <row r="232" spans="1:40" x14ac:dyDescent="0.2">
      <c r="A232" t="s">
        <v>28</v>
      </c>
      <c r="B232" t="s">
        <v>289</v>
      </c>
      <c r="C232">
        <v>2022</v>
      </c>
      <c r="D232" t="s">
        <v>45</v>
      </c>
      <c r="F232" t="s">
        <v>69</v>
      </c>
      <c r="G232" t="s">
        <v>85</v>
      </c>
      <c r="H232" t="s">
        <v>93</v>
      </c>
      <c r="I232">
        <v>2020</v>
      </c>
      <c r="J232">
        <v>7.6999999999999999E-2</v>
      </c>
      <c r="K232" t="s">
        <v>111</v>
      </c>
      <c r="M232">
        <v>3.1399999999999997E-2</v>
      </c>
      <c r="N232" t="s">
        <v>130</v>
      </c>
      <c r="O232" t="s">
        <v>290</v>
      </c>
      <c r="P232" t="s">
        <v>291</v>
      </c>
      <c r="Q232" s="1" t="s">
        <v>2276</v>
      </c>
      <c r="R232" s="1" t="s">
        <v>751</v>
      </c>
      <c r="S232" s="1" t="s">
        <v>2345</v>
      </c>
      <c r="T232" t="s">
        <v>51</v>
      </c>
      <c r="X232" t="s">
        <v>294</v>
      </c>
      <c r="Y232" t="s">
        <v>2279</v>
      </c>
      <c r="Z232" t="s">
        <v>2361</v>
      </c>
      <c r="AA232" t="s">
        <v>2362</v>
      </c>
      <c r="AB232" t="s">
        <v>2296</v>
      </c>
      <c r="AC232" t="s">
        <v>152</v>
      </c>
      <c r="AD232" t="s">
        <v>2278</v>
      </c>
      <c r="AE232" t="s">
        <v>298</v>
      </c>
      <c r="AF232" t="s">
        <v>49</v>
      </c>
      <c r="AK232" t="s">
        <v>49</v>
      </c>
      <c r="AM232" t="s">
        <v>295</v>
      </c>
      <c r="AN232" t="s">
        <v>166</v>
      </c>
    </row>
    <row r="233" spans="1:40" x14ac:dyDescent="0.2">
      <c r="A233" t="s">
        <v>28</v>
      </c>
      <c r="B233" t="s">
        <v>289</v>
      </c>
      <c r="C233">
        <v>2022</v>
      </c>
      <c r="D233" t="s">
        <v>45</v>
      </c>
      <c r="F233" t="s">
        <v>69</v>
      </c>
      <c r="G233" t="s">
        <v>85</v>
      </c>
      <c r="H233" t="s">
        <v>93</v>
      </c>
      <c r="I233">
        <v>2020</v>
      </c>
      <c r="J233">
        <v>7.6999999999999999E-2</v>
      </c>
      <c r="K233" t="s">
        <v>101</v>
      </c>
      <c r="M233">
        <v>3.1399999999999997E-2</v>
      </c>
      <c r="N233" t="s">
        <v>130</v>
      </c>
      <c r="O233" t="s">
        <v>290</v>
      </c>
      <c r="P233" t="s">
        <v>291</v>
      </c>
      <c r="Q233" s="1" t="s">
        <v>2276</v>
      </c>
      <c r="R233" s="1" t="s">
        <v>751</v>
      </c>
      <c r="S233" s="1" t="s">
        <v>2345</v>
      </c>
      <c r="T233" t="s">
        <v>51</v>
      </c>
      <c r="X233" t="s">
        <v>211</v>
      </c>
      <c r="Y233" t="s">
        <v>2279</v>
      </c>
      <c r="Z233" t="s">
        <v>2280</v>
      </c>
      <c r="AA233" t="s">
        <v>2358</v>
      </c>
      <c r="AB233" t="s">
        <v>2290</v>
      </c>
      <c r="AC233" t="s">
        <v>152</v>
      </c>
      <c r="AD233" t="s">
        <v>2278</v>
      </c>
      <c r="AE233" t="s">
        <v>296</v>
      </c>
      <c r="AF233" t="s">
        <v>49</v>
      </c>
      <c r="AK233" t="s">
        <v>49</v>
      </c>
      <c r="AM233" t="s">
        <v>295</v>
      </c>
      <c r="AN233" t="s">
        <v>165</v>
      </c>
    </row>
    <row r="234" spans="1:40" x14ac:dyDescent="0.2">
      <c r="A234" t="s">
        <v>28</v>
      </c>
      <c r="B234" t="s">
        <v>289</v>
      </c>
      <c r="C234">
        <v>2022</v>
      </c>
      <c r="D234" t="s">
        <v>45</v>
      </c>
      <c r="F234" t="s">
        <v>69</v>
      </c>
      <c r="G234" t="s">
        <v>85</v>
      </c>
      <c r="H234" t="s">
        <v>93</v>
      </c>
      <c r="I234">
        <v>2020</v>
      </c>
      <c r="J234">
        <v>7.6999999999999999E-2</v>
      </c>
      <c r="K234" t="s">
        <v>101</v>
      </c>
      <c r="M234">
        <v>3.1399999999999997E-2</v>
      </c>
      <c r="N234" t="s">
        <v>130</v>
      </c>
      <c r="O234" t="s">
        <v>290</v>
      </c>
      <c r="P234" t="s">
        <v>291</v>
      </c>
      <c r="Q234" s="1" t="s">
        <v>2276</v>
      </c>
      <c r="R234" s="1" t="s">
        <v>751</v>
      </c>
      <c r="S234" s="1" t="s">
        <v>2345</v>
      </c>
      <c r="T234" t="s">
        <v>51</v>
      </c>
      <c r="X234" t="s">
        <v>292</v>
      </c>
      <c r="Y234" t="s">
        <v>2273</v>
      </c>
      <c r="Z234" t="s">
        <v>2356</v>
      </c>
      <c r="AA234" t="s">
        <v>2357</v>
      </c>
      <c r="AB234" t="s">
        <v>2277</v>
      </c>
      <c r="AC234" t="s">
        <v>152</v>
      </c>
      <c r="AD234" t="s">
        <v>137</v>
      </c>
      <c r="AE234" t="s">
        <v>2316</v>
      </c>
      <c r="AF234" t="s">
        <v>49</v>
      </c>
      <c r="AK234" t="s">
        <v>49</v>
      </c>
      <c r="AM234" t="s">
        <v>295</v>
      </c>
      <c r="AN234" t="s">
        <v>165</v>
      </c>
    </row>
    <row r="235" spans="1:40" x14ac:dyDescent="0.2">
      <c r="A235" t="s">
        <v>28</v>
      </c>
      <c r="B235" t="s">
        <v>289</v>
      </c>
      <c r="C235">
        <v>2022</v>
      </c>
      <c r="D235" t="s">
        <v>45</v>
      </c>
      <c r="F235" t="s">
        <v>69</v>
      </c>
      <c r="G235" t="s">
        <v>85</v>
      </c>
      <c r="H235" t="s">
        <v>93</v>
      </c>
      <c r="I235">
        <v>2020</v>
      </c>
      <c r="J235">
        <v>7.6999999999999999E-2</v>
      </c>
      <c r="K235" t="s">
        <v>101</v>
      </c>
      <c r="M235">
        <v>3.1399999999999997E-2</v>
      </c>
      <c r="N235" t="s">
        <v>130</v>
      </c>
      <c r="O235" t="s">
        <v>290</v>
      </c>
      <c r="P235" t="s">
        <v>291</v>
      </c>
      <c r="Q235" s="1" t="s">
        <v>2276</v>
      </c>
      <c r="R235" s="1" t="s">
        <v>751</v>
      </c>
      <c r="S235" s="1" t="s">
        <v>2345</v>
      </c>
      <c r="T235" t="s">
        <v>51</v>
      </c>
      <c r="X235" t="s">
        <v>171</v>
      </c>
      <c r="Y235" t="s">
        <v>2279</v>
      </c>
      <c r="Z235" t="s">
        <v>2280</v>
      </c>
      <c r="AA235" t="s">
        <v>2358</v>
      </c>
      <c r="AB235" t="s">
        <v>2580</v>
      </c>
      <c r="AC235" t="s">
        <v>152</v>
      </c>
      <c r="AD235" t="s">
        <v>2278</v>
      </c>
      <c r="AE235" t="s">
        <v>297</v>
      </c>
      <c r="AF235" t="s">
        <v>49</v>
      </c>
      <c r="AK235" t="s">
        <v>49</v>
      </c>
      <c r="AM235" t="s">
        <v>295</v>
      </c>
      <c r="AN235" t="s">
        <v>165</v>
      </c>
    </row>
    <row r="236" spans="1:40" x14ac:dyDescent="0.2">
      <c r="A236" t="s">
        <v>28</v>
      </c>
      <c r="B236" t="s">
        <v>289</v>
      </c>
      <c r="C236">
        <v>2022</v>
      </c>
      <c r="D236" t="s">
        <v>45</v>
      </c>
      <c r="F236" t="s">
        <v>69</v>
      </c>
      <c r="G236" t="s">
        <v>85</v>
      </c>
      <c r="H236" t="s">
        <v>93</v>
      </c>
      <c r="I236">
        <v>2020</v>
      </c>
      <c r="J236">
        <v>7.6999999999999999E-2</v>
      </c>
      <c r="K236" t="s">
        <v>101</v>
      </c>
      <c r="M236">
        <v>3.1399999999999997E-2</v>
      </c>
      <c r="N236" t="s">
        <v>130</v>
      </c>
      <c r="O236" t="s">
        <v>290</v>
      </c>
      <c r="P236" t="s">
        <v>291</v>
      </c>
      <c r="Q236" s="1" t="s">
        <v>2276</v>
      </c>
      <c r="R236" s="1" t="s">
        <v>751</v>
      </c>
      <c r="S236" s="1" t="s">
        <v>2345</v>
      </c>
      <c r="T236" t="s">
        <v>51</v>
      </c>
      <c r="X236" t="s">
        <v>293</v>
      </c>
      <c r="Y236" t="s">
        <v>2273</v>
      </c>
      <c r="Z236" t="s">
        <v>249</v>
      </c>
      <c r="AA236" t="s">
        <v>2359</v>
      </c>
      <c r="AB236" t="s">
        <v>1419</v>
      </c>
      <c r="AC236" t="s">
        <v>152</v>
      </c>
      <c r="AD236" t="s">
        <v>137</v>
      </c>
      <c r="AE236" t="s">
        <v>2316</v>
      </c>
      <c r="AF236" t="s">
        <v>49</v>
      </c>
      <c r="AK236" t="s">
        <v>49</v>
      </c>
      <c r="AM236" t="s">
        <v>295</v>
      </c>
      <c r="AN236" t="s">
        <v>165</v>
      </c>
    </row>
    <row r="237" spans="1:40" x14ac:dyDescent="0.2">
      <c r="A237" t="s">
        <v>28</v>
      </c>
      <c r="B237" t="s">
        <v>289</v>
      </c>
      <c r="C237">
        <v>2022</v>
      </c>
      <c r="D237" t="s">
        <v>45</v>
      </c>
      <c r="F237" t="s">
        <v>69</v>
      </c>
      <c r="G237" t="s">
        <v>85</v>
      </c>
      <c r="H237" t="s">
        <v>93</v>
      </c>
      <c r="I237">
        <v>2020</v>
      </c>
      <c r="J237">
        <v>7.6999999999999999E-2</v>
      </c>
      <c r="K237" t="s">
        <v>101</v>
      </c>
      <c r="M237">
        <v>3.1399999999999997E-2</v>
      </c>
      <c r="N237" t="s">
        <v>130</v>
      </c>
      <c r="O237" t="s">
        <v>290</v>
      </c>
      <c r="P237" t="s">
        <v>291</v>
      </c>
      <c r="Q237" s="1" t="s">
        <v>2276</v>
      </c>
      <c r="R237" s="1" t="s">
        <v>751</v>
      </c>
      <c r="S237" s="1" t="s">
        <v>2345</v>
      </c>
      <c r="T237" t="s">
        <v>51</v>
      </c>
      <c r="X237" t="s">
        <v>189</v>
      </c>
      <c r="Y237" t="s">
        <v>2279</v>
      </c>
      <c r="Z237" t="s">
        <v>2280</v>
      </c>
      <c r="AA237" t="s">
        <v>2358</v>
      </c>
      <c r="AB237" t="s">
        <v>189</v>
      </c>
      <c r="AC237" t="s">
        <v>152</v>
      </c>
      <c r="AD237" t="s">
        <v>2278</v>
      </c>
      <c r="AE237" t="s">
        <v>297</v>
      </c>
      <c r="AF237" t="s">
        <v>49</v>
      </c>
      <c r="AK237" t="s">
        <v>49</v>
      </c>
      <c r="AM237" t="s">
        <v>295</v>
      </c>
      <c r="AN237" t="s">
        <v>165</v>
      </c>
    </row>
    <row r="238" spans="1:40" x14ac:dyDescent="0.2">
      <c r="A238" t="s">
        <v>28</v>
      </c>
      <c r="B238" t="s">
        <v>289</v>
      </c>
      <c r="C238">
        <v>2022</v>
      </c>
      <c r="D238" t="s">
        <v>45</v>
      </c>
      <c r="F238" t="s">
        <v>69</v>
      </c>
      <c r="G238" t="s">
        <v>85</v>
      </c>
      <c r="H238" t="s">
        <v>93</v>
      </c>
      <c r="I238">
        <v>2020</v>
      </c>
      <c r="J238">
        <v>7.6999999999999999E-2</v>
      </c>
      <c r="K238" t="s">
        <v>111</v>
      </c>
      <c r="M238">
        <v>3.1399999999999997E-2</v>
      </c>
      <c r="N238" t="s">
        <v>130</v>
      </c>
      <c r="O238" t="s">
        <v>290</v>
      </c>
      <c r="P238" t="s">
        <v>291</v>
      </c>
      <c r="Q238" s="1" t="s">
        <v>2276</v>
      </c>
      <c r="R238" s="1" t="s">
        <v>751</v>
      </c>
      <c r="S238" s="1" t="s">
        <v>2345</v>
      </c>
      <c r="T238" t="s">
        <v>51</v>
      </c>
      <c r="X238" t="s">
        <v>294</v>
      </c>
      <c r="Y238" t="s">
        <v>2279</v>
      </c>
      <c r="Z238" t="s">
        <v>2361</v>
      </c>
      <c r="AA238" t="s">
        <v>2362</v>
      </c>
      <c r="AB238" t="s">
        <v>2296</v>
      </c>
      <c r="AC238" t="s">
        <v>152</v>
      </c>
      <c r="AD238" t="s">
        <v>2278</v>
      </c>
      <c r="AE238" t="s">
        <v>298</v>
      </c>
      <c r="AF238" t="s">
        <v>49</v>
      </c>
      <c r="AK238" t="s">
        <v>49</v>
      </c>
      <c r="AM238" t="s">
        <v>295</v>
      </c>
      <c r="AN238" t="s">
        <v>165</v>
      </c>
    </row>
    <row r="239" spans="1:40" x14ac:dyDescent="0.2">
      <c r="A239" t="s">
        <v>29</v>
      </c>
      <c r="B239" t="s">
        <v>299</v>
      </c>
      <c r="C239">
        <v>2022</v>
      </c>
      <c r="D239" t="s">
        <v>44</v>
      </c>
      <c r="E239" t="s">
        <v>50</v>
      </c>
      <c r="F239" t="s">
        <v>76</v>
      </c>
      <c r="G239" t="s">
        <v>86</v>
      </c>
      <c r="H239" t="s">
        <v>93</v>
      </c>
      <c r="I239" t="s">
        <v>301</v>
      </c>
      <c r="J239">
        <v>0.75</v>
      </c>
      <c r="K239" t="s">
        <v>102</v>
      </c>
      <c r="L239">
        <v>10</v>
      </c>
      <c r="M239">
        <v>6.25E-2</v>
      </c>
      <c r="N239" t="s">
        <v>121</v>
      </c>
      <c r="O239" t="s">
        <v>264</v>
      </c>
      <c r="P239" t="s">
        <v>302</v>
      </c>
      <c r="Q239" s="1" t="s">
        <v>2292</v>
      </c>
      <c r="R239" s="1" t="s">
        <v>264</v>
      </c>
      <c r="S239" s="1" t="s">
        <v>264</v>
      </c>
      <c r="T239" t="s">
        <v>51</v>
      </c>
      <c r="X239" t="s">
        <v>267</v>
      </c>
      <c r="Y239" t="s">
        <v>2279</v>
      </c>
      <c r="Z239" t="s">
        <v>2280</v>
      </c>
      <c r="AA239" t="s">
        <v>2358</v>
      </c>
      <c r="AB239" t="s">
        <v>189</v>
      </c>
      <c r="AC239" t="s">
        <v>152</v>
      </c>
      <c r="AD239" t="s">
        <v>2278</v>
      </c>
      <c r="AE239" t="s">
        <v>2316</v>
      </c>
      <c r="AF239" t="s">
        <v>49</v>
      </c>
      <c r="AG239" t="s">
        <v>49</v>
      </c>
      <c r="AK239" t="s">
        <v>49</v>
      </c>
      <c r="AM239" t="s">
        <v>306</v>
      </c>
    </row>
    <row r="240" spans="1:40" x14ac:dyDescent="0.2">
      <c r="A240" t="s">
        <v>29</v>
      </c>
      <c r="B240" t="s">
        <v>299</v>
      </c>
      <c r="C240">
        <v>2022</v>
      </c>
      <c r="D240" t="s">
        <v>44</v>
      </c>
      <c r="E240" t="s">
        <v>50</v>
      </c>
      <c r="F240" t="s">
        <v>76</v>
      </c>
      <c r="G240" t="s">
        <v>86</v>
      </c>
      <c r="H240" t="s">
        <v>93</v>
      </c>
      <c r="I240" t="s">
        <v>301</v>
      </c>
      <c r="J240">
        <v>0.75</v>
      </c>
      <c r="K240" t="s">
        <v>102</v>
      </c>
      <c r="L240">
        <v>10</v>
      </c>
      <c r="M240">
        <v>6.25E-2</v>
      </c>
      <c r="N240" t="s">
        <v>121</v>
      </c>
      <c r="O240" t="s">
        <v>264</v>
      </c>
      <c r="P240" t="s">
        <v>302</v>
      </c>
      <c r="Q240" s="1" t="s">
        <v>2292</v>
      </c>
      <c r="R240" s="1" t="s">
        <v>264</v>
      </c>
      <c r="S240" s="1" t="s">
        <v>264</v>
      </c>
      <c r="T240" t="s">
        <v>51</v>
      </c>
      <c r="X240" t="s">
        <v>303</v>
      </c>
      <c r="Y240" t="s">
        <v>2273</v>
      </c>
      <c r="Z240" t="s">
        <v>249</v>
      </c>
      <c r="AA240" t="s">
        <v>2359</v>
      </c>
      <c r="AB240" t="s">
        <v>1419</v>
      </c>
      <c r="AC240" t="s">
        <v>152</v>
      </c>
      <c r="AD240" t="s">
        <v>2288</v>
      </c>
      <c r="AE240" t="s">
        <v>102</v>
      </c>
      <c r="AF240" t="s">
        <v>49</v>
      </c>
      <c r="AG240" t="s">
        <v>49</v>
      </c>
      <c r="AK240" t="s">
        <v>49</v>
      </c>
      <c r="AM240" t="s">
        <v>306</v>
      </c>
    </row>
    <row r="241" spans="1:43" x14ac:dyDescent="0.2">
      <c r="A241" t="s">
        <v>29</v>
      </c>
      <c r="B241" t="s">
        <v>299</v>
      </c>
      <c r="C241">
        <v>2022</v>
      </c>
      <c r="D241" t="s">
        <v>44</v>
      </c>
      <c r="E241" t="s">
        <v>50</v>
      </c>
      <c r="F241" t="s">
        <v>76</v>
      </c>
      <c r="G241" t="s">
        <v>86</v>
      </c>
      <c r="H241" t="s">
        <v>93</v>
      </c>
      <c r="I241" t="s">
        <v>301</v>
      </c>
      <c r="J241">
        <v>0.75</v>
      </c>
      <c r="K241" t="s">
        <v>102</v>
      </c>
      <c r="L241">
        <v>10</v>
      </c>
      <c r="M241">
        <v>6.25E-2</v>
      </c>
      <c r="N241" t="s">
        <v>121</v>
      </c>
      <c r="O241" t="s">
        <v>264</v>
      </c>
      <c r="P241" t="s">
        <v>302</v>
      </c>
      <c r="Q241" s="1" t="s">
        <v>2292</v>
      </c>
      <c r="R241" s="1" t="s">
        <v>264</v>
      </c>
      <c r="S241" s="1" t="s">
        <v>264</v>
      </c>
      <c r="T241" t="s">
        <v>51</v>
      </c>
      <c r="X241" t="s">
        <v>304</v>
      </c>
      <c r="Y241" t="s">
        <v>2273</v>
      </c>
      <c r="Z241" t="s">
        <v>249</v>
      </c>
      <c r="AA241" t="s">
        <v>2359</v>
      </c>
      <c r="AB241" t="s">
        <v>1979</v>
      </c>
      <c r="AC241" t="s">
        <v>152</v>
      </c>
      <c r="AD241" t="s">
        <v>2288</v>
      </c>
      <c r="AF241" t="s">
        <v>49</v>
      </c>
      <c r="AG241" t="s">
        <v>49</v>
      </c>
      <c r="AK241" t="s">
        <v>49</v>
      </c>
      <c r="AM241" t="s">
        <v>306</v>
      </c>
    </row>
    <row r="242" spans="1:43" x14ac:dyDescent="0.2">
      <c r="A242" t="s">
        <v>29</v>
      </c>
      <c r="B242" t="s">
        <v>299</v>
      </c>
      <c r="C242">
        <v>2022</v>
      </c>
      <c r="D242" t="s">
        <v>44</v>
      </c>
      <c r="E242" t="s">
        <v>50</v>
      </c>
      <c r="F242" t="s">
        <v>76</v>
      </c>
      <c r="G242" t="s">
        <v>86</v>
      </c>
      <c r="H242" t="s">
        <v>93</v>
      </c>
      <c r="I242" t="s">
        <v>301</v>
      </c>
      <c r="J242">
        <v>0.75</v>
      </c>
      <c r="K242" t="s">
        <v>102</v>
      </c>
      <c r="L242">
        <v>10</v>
      </c>
      <c r="M242">
        <v>6.25E-2</v>
      </c>
      <c r="N242" t="s">
        <v>121</v>
      </c>
      <c r="O242" t="s">
        <v>264</v>
      </c>
      <c r="P242" t="s">
        <v>302</v>
      </c>
      <c r="Q242" s="1" t="s">
        <v>2292</v>
      </c>
      <c r="R242" s="1" t="s">
        <v>264</v>
      </c>
      <c r="S242" s="1" t="s">
        <v>264</v>
      </c>
      <c r="T242" t="s">
        <v>51</v>
      </c>
      <c r="X242" t="s">
        <v>305</v>
      </c>
      <c r="Y242" t="s">
        <v>2273</v>
      </c>
      <c r="Z242" t="s">
        <v>249</v>
      </c>
      <c r="AA242" t="s">
        <v>2359</v>
      </c>
      <c r="AB242" t="s">
        <v>1979</v>
      </c>
      <c r="AC242" t="s">
        <v>152</v>
      </c>
      <c r="AD242" t="s">
        <v>2288</v>
      </c>
      <c r="AF242" t="s">
        <v>49</v>
      </c>
      <c r="AG242" t="s">
        <v>49</v>
      </c>
      <c r="AK242" t="s">
        <v>49</v>
      </c>
      <c r="AM242" t="s">
        <v>306</v>
      </c>
    </row>
    <row r="243" spans="1:43" x14ac:dyDescent="0.2">
      <c r="A243" t="s">
        <v>29</v>
      </c>
      <c r="B243" t="s">
        <v>299</v>
      </c>
      <c r="C243">
        <v>2022</v>
      </c>
      <c r="D243" t="s">
        <v>44</v>
      </c>
      <c r="E243" t="s">
        <v>50</v>
      </c>
      <c r="F243" t="s">
        <v>76</v>
      </c>
      <c r="G243" t="s">
        <v>86</v>
      </c>
      <c r="H243" t="s">
        <v>93</v>
      </c>
      <c r="I243" t="s">
        <v>301</v>
      </c>
      <c r="J243">
        <v>0.75</v>
      </c>
      <c r="K243" t="s">
        <v>102</v>
      </c>
      <c r="L243">
        <v>10</v>
      </c>
      <c r="M243">
        <v>6.25E-2</v>
      </c>
      <c r="N243" t="s">
        <v>121</v>
      </c>
      <c r="O243" t="s">
        <v>264</v>
      </c>
      <c r="P243" t="s">
        <v>302</v>
      </c>
      <c r="Q243" s="1" t="s">
        <v>2292</v>
      </c>
      <c r="R243" s="1" t="s">
        <v>264</v>
      </c>
      <c r="S243" s="1" t="s">
        <v>264</v>
      </c>
      <c r="T243" t="s">
        <v>51</v>
      </c>
      <c r="X243" t="s">
        <v>307</v>
      </c>
      <c r="Y243" t="s">
        <v>2279</v>
      </c>
      <c r="Z243" t="s">
        <v>2361</v>
      </c>
      <c r="AA243" t="s">
        <v>2362</v>
      </c>
      <c r="AB243" t="s">
        <v>2296</v>
      </c>
      <c r="AC243" t="s">
        <v>162</v>
      </c>
      <c r="AD243" t="s">
        <v>2278</v>
      </c>
      <c r="AE243" t="s">
        <v>240</v>
      </c>
      <c r="AF243" t="s">
        <v>49</v>
      </c>
      <c r="AG243" t="s">
        <v>49</v>
      </c>
      <c r="AK243" t="s">
        <v>49</v>
      </c>
      <c r="AM243" t="s">
        <v>306</v>
      </c>
      <c r="AN243" t="s">
        <v>191</v>
      </c>
      <c r="AP243" t="s">
        <v>49</v>
      </c>
    </row>
    <row r="244" spans="1:43" x14ac:dyDescent="0.2">
      <c r="A244" t="s">
        <v>30</v>
      </c>
      <c r="B244" t="s">
        <v>308</v>
      </c>
      <c r="C244">
        <v>2022</v>
      </c>
      <c r="D244" t="s">
        <v>44</v>
      </c>
      <c r="E244" t="s">
        <v>49</v>
      </c>
      <c r="F244" t="s">
        <v>77</v>
      </c>
      <c r="G244" t="s">
        <v>86</v>
      </c>
      <c r="H244" t="s">
        <v>93</v>
      </c>
      <c r="I244" t="s">
        <v>108</v>
      </c>
      <c r="J244">
        <v>1</v>
      </c>
      <c r="K244" t="s">
        <v>42</v>
      </c>
      <c r="L244">
        <v>40</v>
      </c>
      <c r="M244">
        <v>1.77E-2</v>
      </c>
      <c r="N244" t="s">
        <v>121</v>
      </c>
      <c r="O244" t="s">
        <v>264</v>
      </c>
      <c r="P244" t="s">
        <v>2579</v>
      </c>
      <c r="Q244" s="1" t="s">
        <v>2292</v>
      </c>
      <c r="R244" s="1" t="s">
        <v>2297</v>
      </c>
      <c r="S244" s="1" t="s">
        <v>2297</v>
      </c>
      <c r="X244" t="s">
        <v>309</v>
      </c>
      <c r="Y244" t="s">
        <v>2279</v>
      </c>
      <c r="Z244" t="s">
        <v>528</v>
      </c>
      <c r="AA244" t="s">
        <v>2360</v>
      </c>
      <c r="AB244" t="s">
        <v>2581</v>
      </c>
      <c r="AC244" t="s">
        <v>152</v>
      </c>
      <c r="AD244" t="s">
        <v>2278</v>
      </c>
      <c r="AE244" t="s">
        <v>240</v>
      </c>
      <c r="AF244" t="s">
        <v>49</v>
      </c>
      <c r="AG244" t="s">
        <v>49</v>
      </c>
      <c r="AI244" t="s">
        <v>49</v>
      </c>
      <c r="AM244" t="s">
        <v>202</v>
      </c>
      <c r="AN244" t="s">
        <v>166</v>
      </c>
      <c r="AP244" t="s">
        <v>157</v>
      </c>
    </row>
    <row r="245" spans="1:43" x14ac:dyDescent="0.2">
      <c r="A245" t="s">
        <v>30</v>
      </c>
      <c r="B245" t="s">
        <v>308</v>
      </c>
      <c r="C245">
        <v>2022</v>
      </c>
      <c r="D245" t="s">
        <v>44</v>
      </c>
      <c r="E245" t="s">
        <v>49</v>
      </c>
      <c r="F245" t="s">
        <v>77</v>
      </c>
      <c r="G245" t="s">
        <v>86</v>
      </c>
      <c r="H245" t="s">
        <v>93</v>
      </c>
      <c r="I245" t="s">
        <v>108</v>
      </c>
      <c r="J245">
        <v>1</v>
      </c>
      <c r="K245" t="s">
        <v>42</v>
      </c>
      <c r="L245">
        <v>40</v>
      </c>
      <c r="M245">
        <v>1.77E-2</v>
      </c>
      <c r="N245" t="s">
        <v>121</v>
      </c>
      <c r="O245" t="s">
        <v>264</v>
      </c>
      <c r="P245" t="s">
        <v>2579</v>
      </c>
      <c r="Q245" s="1" t="s">
        <v>2292</v>
      </c>
      <c r="R245" s="1" t="s">
        <v>2297</v>
      </c>
      <c r="S245" s="1" t="s">
        <v>2297</v>
      </c>
      <c r="X245" t="s">
        <v>305</v>
      </c>
      <c r="Y245" t="s">
        <v>2273</v>
      </c>
      <c r="Z245" t="s">
        <v>249</v>
      </c>
      <c r="AA245" t="s">
        <v>2359</v>
      </c>
      <c r="AB245" t="s">
        <v>1979</v>
      </c>
      <c r="AC245" t="s">
        <v>152</v>
      </c>
      <c r="AD245" t="s">
        <v>2288</v>
      </c>
      <c r="AE245" t="s">
        <v>240</v>
      </c>
      <c r="AG245" t="s">
        <v>49</v>
      </c>
      <c r="AI245" t="s">
        <v>49</v>
      </c>
      <c r="AM245" t="s">
        <v>202</v>
      </c>
      <c r="AN245" t="s">
        <v>166</v>
      </c>
      <c r="AP245" t="s">
        <v>157</v>
      </c>
    </row>
    <row r="246" spans="1:43" x14ac:dyDescent="0.2">
      <c r="A246" t="s">
        <v>30</v>
      </c>
      <c r="B246" t="s">
        <v>308</v>
      </c>
      <c r="C246">
        <v>2022</v>
      </c>
      <c r="D246" t="s">
        <v>44</v>
      </c>
      <c r="E246" t="s">
        <v>49</v>
      </c>
      <c r="F246" t="s">
        <v>77</v>
      </c>
      <c r="G246" t="s">
        <v>86</v>
      </c>
      <c r="H246" t="s">
        <v>93</v>
      </c>
      <c r="I246" t="s">
        <v>108</v>
      </c>
      <c r="J246">
        <v>1</v>
      </c>
      <c r="K246" t="s">
        <v>42</v>
      </c>
      <c r="L246">
        <v>40</v>
      </c>
      <c r="M246">
        <v>1.77E-2</v>
      </c>
      <c r="N246" t="s">
        <v>121</v>
      </c>
      <c r="O246" t="s">
        <v>264</v>
      </c>
      <c r="P246" t="s">
        <v>2579</v>
      </c>
      <c r="Q246" s="1" t="s">
        <v>2292</v>
      </c>
      <c r="R246" s="1" t="s">
        <v>2297</v>
      </c>
      <c r="S246" s="1" t="s">
        <v>2297</v>
      </c>
      <c r="X246" t="s">
        <v>189</v>
      </c>
      <c r="Y246" t="s">
        <v>2279</v>
      </c>
      <c r="Z246" t="s">
        <v>2280</v>
      </c>
      <c r="AA246" t="s">
        <v>2358</v>
      </c>
      <c r="AB246" t="s">
        <v>189</v>
      </c>
      <c r="AC246" t="s">
        <v>152</v>
      </c>
      <c r="AD246" t="s">
        <v>2278</v>
      </c>
      <c r="AE246" t="s">
        <v>240</v>
      </c>
      <c r="AG246" t="s">
        <v>49</v>
      </c>
      <c r="AI246" t="s">
        <v>49</v>
      </c>
      <c r="AM246" t="s">
        <v>202</v>
      </c>
      <c r="AN246" t="s">
        <v>166</v>
      </c>
    </row>
    <row r="247" spans="1:43" x14ac:dyDescent="0.2">
      <c r="A247" t="s">
        <v>30</v>
      </c>
      <c r="B247" t="s">
        <v>308</v>
      </c>
      <c r="C247">
        <v>2022</v>
      </c>
      <c r="D247" t="s">
        <v>44</v>
      </c>
      <c r="E247" t="s">
        <v>49</v>
      </c>
      <c r="F247" t="s">
        <v>77</v>
      </c>
      <c r="G247" t="s">
        <v>86</v>
      </c>
      <c r="H247" t="s">
        <v>93</v>
      </c>
      <c r="I247" t="s">
        <v>108</v>
      </c>
      <c r="J247">
        <v>1</v>
      </c>
      <c r="K247" t="s">
        <v>42</v>
      </c>
      <c r="L247">
        <v>40</v>
      </c>
      <c r="M247">
        <v>1.77E-2</v>
      </c>
      <c r="N247" t="s">
        <v>121</v>
      </c>
      <c r="O247" t="s">
        <v>264</v>
      </c>
      <c r="P247" t="s">
        <v>2579</v>
      </c>
      <c r="Q247" s="1" t="s">
        <v>2292</v>
      </c>
      <c r="R247" s="1" t="s">
        <v>2297</v>
      </c>
      <c r="S247" s="1" t="s">
        <v>2297</v>
      </c>
      <c r="T247" t="s">
        <v>421</v>
      </c>
      <c r="U247" t="s">
        <v>421</v>
      </c>
      <c r="X247" t="s">
        <v>161</v>
      </c>
      <c r="Y247" t="s">
        <v>2272</v>
      </c>
      <c r="Z247" t="s">
        <v>2272</v>
      </c>
      <c r="AA247" t="s">
        <v>2272</v>
      </c>
      <c r="AB247" t="s">
        <v>2272</v>
      </c>
      <c r="AC247" t="s">
        <v>162</v>
      </c>
      <c r="AD247" t="s">
        <v>2272</v>
      </c>
      <c r="AE247" t="s">
        <v>240</v>
      </c>
      <c r="AG247" t="s">
        <v>49</v>
      </c>
      <c r="AI247" t="s">
        <v>49</v>
      </c>
      <c r="AM247" t="s">
        <v>202</v>
      </c>
      <c r="AN247" t="s">
        <v>166</v>
      </c>
      <c r="AQ247" s="5">
        <v>1</v>
      </c>
    </row>
    <row r="248" spans="1:43" x14ac:dyDescent="0.2">
      <c r="A248" t="s">
        <v>30</v>
      </c>
      <c r="B248" t="s">
        <v>308</v>
      </c>
      <c r="C248">
        <v>2022</v>
      </c>
      <c r="D248" t="s">
        <v>44</v>
      </c>
      <c r="E248" t="s">
        <v>49</v>
      </c>
      <c r="F248" t="s">
        <v>77</v>
      </c>
      <c r="G248" t="s">
        <v>86</v>
      </c>
      <c r="H248" t="s">
        <v>93</v>
      </c>
      <c r="I248" t="s">
        <v>108</v>
      </c>
      <c r="J248">
        <v>1</v>
      </c>
      <c r="K248" t="s">
        <v>42</v>
      </c>
      <c r="L248">
        <v>40</v>
      </c>
      <c r="M248">
        <v>1.77E-2</v>
      </c>
      <c r="N248" t="s">
        <v>121</v>
      </c>
      <c r="O248" t="s">
        <v>264</v>
      </c>
      <c r="P248" t="s">
        <v>2579</v>
      </c>
      <c r="Q248" s="1" t="s">
        <v>2292</v>
      </c>
      <c r="R248" s="1" t="s">
        <v>2297</v>
      </c>
      <c r="S248" s="1" t="s">
        <v>2297</v>
      </c>
      <c r="X248" t="s">
        <v>310</v>
      </c>
      <c r="Y248" t="s">
        <v>2279</v>
      </c>
      <c r="Z248" t="s">
        <v>2280</v>
      </c>
      <c r="AA248" t="s">
        <v>2358</v>
      </c>
      <c r="AB248" t="s">
        <v>2580</v>
      </c>
      <c r="AC248" t="s">
        <v>152</v>
      </c>
      <c r="AD248" t="s">
        <v>2278</v>
      </c>
      <c r="AE248" t="s">
        <v>240</v>
      </c>
      <c r="AG248" t="s">
        <v>49</v>
      </c>
      <c r="AI248" t="s">
        <v>49</v>
      </c>
      <c r="AM248" t="s">
        <v>202</v>
      </c>
      <c r="AN248" t="s">
        <v>166</v>
      </c>
      <c r="AP248" t="s">
        <v>157</v>
      </c>
    </row>
    <row r="249" spans="1:43" x14ac:dyDescent="0.2">
      <c r="A249" t="s">
        <v>30</v>
      </c>
      <c r="B249" t="s">
        <v>308</v>
      </c>
      <c r="C249">
        <v>2022</v>
      </c>
      <c r="D249" t="s">
        <v>44</v>
      </c>
      <c r="E249" t="s">
        <v>49</v>
      </c>
      <c r="F249" t="s">
        <v>77</v>
      </c>
      <c r="G249" t="s">
        <v>86</v>
      </c>
      <c r="H249" t="s">
        <v>93</v>
      </c>
      <c r="I249" t="s">
        <v>108</v>
      </c>
      <c r="J249">
        <v>1</v>
      </c>
      <c r="K249" t="s">
        <v>42</v>
      </c>
      <c r="L249">
        <v>40</v>
      </c>
      <c r="M249">
        <v>1.77E-2</v>
      </c>
      <c r="N249" t="s">
        <v>121</v>
      </c>
      <c r="O249" t="s">
        <v>264</v>
      </c>
      <c r="P249" t="s">
        <v>2579</v>
      </c>
      <c r="Q249" s="1" t="s">
        <v>2292</v>
      </c>
      <c r="R249" s="1" t="s">
        <v>2297</v>
      </c>
      <c r="S249" s="1" t="s">
        <v>2297</v>
      </c>
      <c r="X249" t="s">
        <v>309</v>
      </c>
      <c r="Y249" t="s">
        <v>2279</v>
      </c>
      <c r="Z249" t="s">
        <v>528</v>
      </c>
      <c r="AA249" t="s">
        <v>2360</v>
      </c>
      <c r="AB249" t="s">
        <v>2581</v>
      </c>
      <c r="AC249" t="s">
        <v>152</v>
      </c>
      <c r="AD249" t="s">
        <v>2278</v>
      </c>
      <c r="AE249" t="s">
        <v>240</v>
      </c>
      <c r="AG249" t="s">
        <v>49</v>
      </c>
      <c r="AI249" t="s">
        <v>49</v>
      </c>
      <c r="AM249" t="s">
        <v>202</v>
      </c>
      <c r="AN249" t="s">
        <v>171</v>
      </c>
      <c r="AP249" t="s">
        <v>157</v>
      </c>
    </row>
    <row r="250" spans="1:43" x14ac:dyDescent="0.2">
      <c r="A250" t="s">
        <v>30</v>
      </c>
      <c r="B250" t="s">
        <v>308</v>
      </c>
      <c r="C250">
        <v>2022</v>
      </c>
      <c r="D250" t="s">
        <v>44</v>
      </c>
      <c r="E250" t="s">
        <v>49</v>
      </c>
      <c r="F250" t="s">
        <v>77</v>
      </c>
      <c r="G250" t="s">
        <v>86</v>
      </c>
      <c r="H250" t="s">
        <v>93</v>
      </c>
      <c r="I250" t="s">
        <v>108</v>
      </c>
      <c r="J250">
        <v>1</v>
      </c>
      <c r="K250" t="s">
        <v>42</v>
      </c>
      <c r="L250">
        <v>40</v>
      </c>
      <c r="M250">
        <v>1.77E-2</v>
      </c>
      <c r="N250" t="s">
        <v>121</v>
      </c>
      <c r="O250" t="s">
        <v>264</v>
      </c>
      <c r="P250" t="s">
        <v>2579</v>
      </c>
      <c r="Q250" s="1" t="s">
        <v>2292</v>
      </c>
      <c r="R250" s="1" t="s">
        <v>2297</v>
      </c>
      <c r="S250" s="1" t="s">
        <v>2297</v>
      </c>
      <c r="X250" t="s">
        <v>305</v>
      </c>
      <c r="Y250" t="s">
        <v>2273</v>
      </c>
      <c r="Z250" t="s">
        <v>249</v>
      </c>
      <c r="AA250" t="s">
        <v>2359</v>
      </c>
      <c r="AB250" t="s">
        <v>1979</v>
      </c>
      <c r="AC250" t="s">
        <v>152</v>
      </c>
      <c r="AD250" t="s">
        <v>2288</v>
      </c>
      <c r="AE250" t="s">
        <v>240</v>
      </c>
      <c r="AG250" t="s">
        <v>49</v>
      </c>
      <c r="AI250" t="s">
        <v>49</v>
      </c>
      <c r="AM250" t="s">
        <v>202</v>
      </c>
      <c r="AN250" t="s">
        <v>171</v>
      </c>
      <c r="AP250" t="s">
        <v>157</v>
      </c>
    </row>
    <row r="251" spans="1:43" x14ac:dyDescent="0.2">
      <c r="A251" t="s">
        <v>30</v>
      </c>
      <c r="B251" t="s">
        <v>308</v>
      </c>
      <c r="C251">
        <v>2022</v>
      </c>
      <c r="D251" t="s">
        <v>44</v>
      </c>
      <c r="E251" t="s">
        <v>49</v>
      </c>
      <c r="F251" t="s">
        <v>77</v>
      </c>
      <c r="G251" t="s">
        <v>86</v>
      </c>
      <c r="H251" t="s">
        <v>93</v>
      </c>
      <c r="I251" t="s">
        <v>108</v>
      </c>
      <c r="J251">
        <v>1</v>
      </c>
      <c r="K251" t="s">
        <v>42</v>
      </c>
      <c r="L251">
        <v>40</v>
      </c>
      <c r="M251">
        <v>1.77E-2</v>
      </c>
      <c r="N251" t="s">
        <v>121</v>
      </c>
      <c r="O251" t="s">
        <v>264</v>
      </c>
      <c r="P251" t="s">
        <v>2579</v>
      </c>
      <c r="Q251" s="1" t="s">
        <v>2292</v>
      </c>
      <c r="R251" s="1" t="s">
        <v>2297</v>
      </c>
      <c r="S251" s="1" t="s">
        <v>2297</v>
      </c>
      <c r="X251" t="s">
        <v>189</v>
      </c>
      <c r="Y251" t="s">
        <v>2279</v>
      </c>
      <c r="Z251" t="s">
        <v>2280</v>
      </c>
      <c r="AA251" t="s">
        <v>2358</v>
      </c>
      <c r="AB251" t="s">
        <v>189</v>
      </c>
      <c r="AC251" t="s">
        <v>152</v>
      </c>
      <c r="AD251" t="s">
        <v>2278</v>
      </c>
      <c r="AE251" t="s">
        <v>240</v>
      </c>
      <c r="AG251" t="s">
        <v>49</v>
      </c>
      <c r="AI251" t="s">
        <v>49</v>
      </c>
      <c r="AM251" t="s">
        <v>202</v>
      </c>
      <c r="AN251" t="s">
        <v>171</v>
      </c>
    </row>
    <row r="252" spans="1:43" x14ac:dyDescent="0.2">
      <c r="A252" t="s">
        <v>30</v>
      </c>
      <c r="B252" t="s">
        <v>308</v>
      </c>
      <c r="C252">
        <v>2022</v>
      </c>
      <c r="D252" t="s">
        <v>44</v>
      </c>
      <c r="E252" t="s">
        <v>49</v>
      </c>
      <c r="F252" t="s">
        <v>77</v>
      </c>
      <c r="G252" t="s">
        <v>86</v>
      </c>
      <c r="H252" t="s">
        <v>93</v>
      </c>
      <c r="I252" t="s">
        <v>108</v>
      </c>
      <c r="J252">
        <v>1</v>
      </c>
      <c r="K252" t="s">
        <v>42</v>
      </c>
      <c r="L252">
        <v>40</v>
      </c>
      <c r="M252">
        <v>1.77E-2</v>
      </c>
      <c r="N252" t="s">
        <v>121</v>
      </c>
      <c r="O252" t="s">
        <v>264</v>
      </c>
      <c r="P252" t="s">
        <v>2579</v>
      </c>
      <c r="Q252" s="1" t="s">
        <v>2292</v>
      </c>
      <c r="R252" s="1" t="s">
        <v>2297</v>
      </c>
      <c r="S252" s="1" t="s">
        <v>2297</v>
      </c>
      <c r="T252" t="s">
        <v>421</v>
      </c>
      <c r="U252" t="s">
        <v>421</v>
      </c>
      <c r="X252" t="s">
        <v>161</v>
      </c>
      <c r="Y252" t="s">
        <v>2272</v>
      </c>
      <c r="Z252" t="s">
        <v>2272</v>
      </c>
      <c r="AA252" t="s">
        <v>2272</v>
      </c>
      <c r="AB252" t="s">
        <v>2272</v>
      </c>
      <c r="AC252" t="s">
        <v>162</v>
      </c>
      <c r="AD252" t="s">
        <v>2272</v>
      </c>
      <c r="AE252" t="s">
        <v>240</v>
      </c>
      <c r="AG252" t="s">
        <v>49</v>
      </c>
      <c r="AI252" t="s">
        <v>49</v>
      </c>
      <c r="AM252" t="s">
        <v>202</v>
      </c>
      <c r="AN252" t="s">
        <v>171</v>
      </c>
      <c r="AQ252" s="5">
        <v>1</v>
      </c>
    </row>
    <row r="253" spans="1:43" x14ac:dyDescent="0.2">
      <c r="A253" t="s">
        <v>30</v>
      </c>
      <c r="B253" t="s">
        <v>308</v>
      </c>
      <c r="C253">
        <v>2022</v>
      </c>
      <c r="D253" t="s">
        <v>44</v>
      </c>
      <c r="E253" t="s">
        <v>49</v>
      </c>
      <c r="F253" t="s">
        <v>77</v>
      </c>
      <c r="G253" t="s">
        <v>86</v>
      </c>
      <c r="H253" t="s">
        <v>93</v>
      </c>
      <c r="I253" t="s">
        <v>108</v>
      </c>
      <c r="J253">
        <v>1</v>
      </c>
      <c r="K253" t="s">
        <v>42</v>
      </c>
      <c r="L253">
        <v>40</v>
      </c>
      <c r="M253">
        <v>1.77E-2</v>
      </c>
      <c r="N253" t="s">
        <v>121</v>
      </c>
      <c r="O253" t="s">
        <v>264</v>
      </c>
      <c r="P253" t="s">
        <v>2579</v>
      </c>
      <c r="Q253" s="1" t="s">
        <v>2292</v>
      </c>
      <c r="R253" s="1" t="s">
        <v>2297</v>
      </c>
      <c r="S253" s="1" t="s">
        <v>2297</v>
      </c>
      <c r="X253" t="s">
        <v>310</v>
      </c>
      <c r="Y253" t="s">
        <v>2279</v>
      </c>
      <c r="Z253" t="s">
        <v>2280</v>
      </c>
      <c r="AA253" t="s">
        <v>2358</v>
      </c>
      <c r="AB253" t="s">
        <v>2580</v>
      </c>
      <c r="AC253" t="s">
        <v>152</v>
      </c>
      <c r="AD253" t="s">
        <v>2278</v>
      </c>
      <c r="AE253" t="s">
        <v>240</v>
      </c>
      <c r="AG253" t="s">
        <v>49</v>
      </c>
      <c r="AI253" t="s">
        <v>49</v>
      </c>
      <c r="AM253" t="s">
        <v>202</v>
      </c>
      <c r="AN253" t="s">
        <v>171</v>
      </c>
    </row>
    <row r="254" spans="1:43" x14ac:dyDescent="0.2">
      <c r="A254" t="s">
        <v>30</v>
      </c>
      <c r="B254" t="s">
        <v>308</v>
      </c>
      <c r="C254">
        <v>2022</v>
      </c>
      <c r="D254" t="s">
        <v>44</v>
      </c>
      <c r="E254" t="s">
        <v>49</v>
      </c>
      <c r="F254" t="s">
        <v>77</v>
      </c>
      <c r="G254" t="s">
        <v>86</v>
      </c>
      <c r="H254" t="s">
        <v>93</v>
      </c>
      <c r="I254" t="s">
        <v>108</v>
      </c>
      <c r="J254">
        <v>1</v>
      </c>
      <c r="K254" t="s">
        <v>42</v>
      </c>
      <c r="L254">
        <v>40</v>
      </c>
      <c r="M254">
        <v>1.77E-2</v>
      </c>
      <c r="N254" t="s">
        <v>121</v>
      </c>
      <c r="O254" t="s">
        <v>264</v>
      </c>
      <c r="P254" t="s">
        <v>2579</v>
      </c>
      <c r="Q254" s="1" t="s">
        <v>2292</v>
      </c>
      <c r="R254" s="1" t="s">
        <v>2297</v>
      </c>
      <c r="S254" s="1" t="s">
        <v>2297</v>
      </c>
      <c r="X254" t="s">
        <v>309</v>
      </c>
      <c r="Y254" t="s">
        <v>2279</v>
      </c>
      <c r="Z254" t="s">
        <v>528</v>
      </c>
      <c r="AA254" t="s">
        <v>2360</v>
      </c>
      <c r="AB254" t="s">
        <v>2581</v>
      </c>
      <c r="AC254" t="s">
        <v>152</v>
      </c>
      <c r="AD254" t="s">
        <v>2278</v>
      </c>
      <c r="AE254" t="s">
        <v>240</v>
      </c>
      <c r="AG254" t="s">
        <v>49</v>
      </c>
      <c r="AI254" t="s">
        <v>49</v>
      </c>
      <c r="AM254" t="s">
        <v>202</v>
      </c>
      <c r="AN254" t="s">
        <v>156</v>
      </c>
      <c r="AP254" t="s">
        <v>157</v>
      </c>
    </row>
    <row r="255" spans="1:43" x14ac:dyDescent="0.2">
      <c r="A255" t="s">
        <v>30</v>
      </c>
      <c r="B255" t="s">
        <v>308</v>
      </c>
      <c r="C255">
        <v>2022</v>
      </c>
      <c r="D255" t="s">
        <v>44</v>
      </c>
      <c r="E255" t="s">
        <v>49</v>
      </c>
      <c r="F255" t="s">
        <v>77</v>
      </c>
      <c r="G255" t="s">
        <v>86</v>
      </c>
      <c r="H255" t="s">
        <v>93</v>
      </c>
      <c r="I255" t="s">
        <v>108</v>
      </c>
      <c r="J255">
        <v>1</v>
      </c>
      <c r="K255" t="s">
        <v>42</v>
      </c>
      <c r="L255">
        <v>40</v>
      </c>
      <c r="M255">
        <v>1.77E-2</v>
      </c>
      <c r="N255" t="s">
        <v>121</v>
      </c>
      <c r="O255" t="s">
        <v>264</v>
      </c>
      <c r="P255" t="s">
        <v>2579</v>
      </c>
      <c r="Q255" s="1" t="s">
        <v>2292</v>
      </c>
      <c r="R255" s="1" t="s">
        <v>2297</v>
      </c>
      <c r="S255" s="1" t="s">
        <v>2297</v>
      </c>
      <c r="X255" t="s">
        <v>305</v>
      </c>
      <c r="Y255" t="s">
        <v>2273</v>
      </c>
      <c r="Z255" t="s">
        <v>249</v>
      </c>
      <c r="AA255" t="s">
        <v>2359</v>
      </c>
      <c r="AB255" t="s">
        <v>1979</v>
      </c>
      <c r="AC255" t="s">
        <v>152</v>
      </c>
      <c r="AD255" t="s">
        <v>2288</v>
      </c>
      <c r="AE255" t="s">
        <v>240</v>
      </c>
      <c r="AG255" t="s">
        <v>49</v>
      </c>
      <c r="AI255" t="s">
        <v>49</v>
      </c>
      <c r="AM255" t="s">
        <v>202</v>
      </c>
      <c r="AN255" t="s">
        <v>156</v>
      </c>
      <c r="AP255" t="s">
        <v>51</v>
      </c>
    </row>
    <row r="256" spans="1:43" x14ac:dyDescent="0.2">
      <c r="A256" t="s">
        <v>30</v>
      </c>
      <c r="B256" t="s">
        <v>308</v>
      </c>
      <c r="C256">
        <v>2022</v>
      </c>
      <c r="D256" t="s">
        <v>44</v>
      </c>
      <c r="E256" t="s">
        <v>49</v>
      </c>
      <c r="F256" t="s">
        <v>77</v>
      </c>
      <c r="G256" t="s">
        <v>86</v>
      </c>
      <c r="H256" t="s">
        <v>93</v>
      </c>
      <c r="I256" t="s">
        <v>108</v>
      </c>
      <c r="J256">
        <v>1</v>
      </c>
      <c r="K256" t="s">
        <v>42</v>
      </c>
      <c r="L256">
        <v>40</v>
      </c>
      <c r="M256">
        <v>1.77E-2</v>
      </c>
      <c r="N256" t="s">
        <v>121</v>
      </c>
      <c r="O256" t="s">
        <v>264</v>
      </c>
      <c r="P256" t="s">
        <v>2579</v>
      </c>
      <c r="Q256" s="1" t="s">
        <v>2292</v>
      </c>
      <c r="R256" s="1" t="s">
        <v>2297</v>
      </c>
      <c r="S256" s="1" t="s">
        <v>2297</v>
      </c>
      <c r="X256" t="s">
        <v>189</v>
      </c>
      <c r="Y256" t="s">
        <v>2279</v>
      </c>
      <c r="Z256" t="s">
        <v>2280</v>
      </c>
      <c r="AA256" t="s">
        <v>2358</v>
      </c>
      <c r="AB256" t="s">
        <v>189</v>
      </c>
      <c r="AC256" t="s">
        <v>152</v>
      </c>
      <c r="AD256" t="s">
        <v>2278</v>
      </c>
      <c r="AE256" t="s">
        <v>240</v>
      </c>
      <c r="AG256" t="s">
        <v>49</v>
      </c>
      <c r="AI256" t="s">
        <v>49</v>
      </c>
      <c r="AM256" t="s">
        <v>202</v>
      </c>
      <c r="AN256" t="s">
        <v>156</v>
      </c>
    </row>
    <row r="257" spans="1:45" x14ac:dyDescent="0.2">
      <c r="A257" t="s">
        <v>30</v>
      </c>
      <c r="B257" t="s">
        <v>308</v>
      </c>
      <c r="C257">
        <v>2022</v>
      </c>
      <c r="D257" t="s">
        <v>44</v>
      </c>
      <c r="E257" t="s">
        <v>49</v>
      </c>
      <c r="F257" t="s">
        <v>77</v>
      </c>
      <c r="G257" t="s">
        <v>86</v>
      </c>
      <c r="H257" t="s">
        <v>93</v>
      </c>
      <c r="I257" t="s">
        <v>108</v>
      </c>
      <c r="J257">
        <v>1</v>
      </c>
      <c r="K257" t="s">
        <v>42</v>
      </c>
      <c r="L257">
        <v>40</v>
      </c>
      <c r="M257">
        <v>1.77E-2</v>
      </c>
      <c r="N257" t="s">
        <v>121</v>
      </c>
      <c r="O257" t="s">
        <v>264</v>
      </c>
      <c r="P257" t="s">
        <v>2579</v>
      </c>
      <c r="Q257" s="1" t="s">
        <v>2292</v>
      </c>
      <c r="R257" s="1" t="s">
        <v>2297</v>
      </c>
      <c r="S257" s="1" t="s">
        <v>2297</v>
      </c>
      <c r="T257" t="s">
        <v>421</v>
      </c>
      <c r="U257" t="s">
        <v>421</v>
      </c>
      <c r="X257" t="s">
        <v>161</v>
      </c>
      <c r="Y257" t="s">
        <v>2272</v>
      </c>
      <c r="Z257" t="s">
        <v>2272</v>
      </c>
      <c r="AA257" t="s">
        <v>2272</v>
      </c>
      <c r="AB257" t="s">
        <v>2272</v>
      </c>
      <c r="AC257" t="s">
        <v>162</v>
      </c>
      <c r="AD257" t="s">
        <v>2272</v>
      </c>
      <c r="AE257" t="s">
        <v>240</v>
      </c>
      <c r="AG257" t="s">
        <v>49</v>
      </c>
      <c r="AI257" t="s">
        <v>49</v>
      </c>
      <c r="AM257" t="s">
        <v>202</v>
      </c>
      <c r="AN257" t="s">
        <v>156</v>
      </c>
      <c r="AQ257" s="5">
        <v>1</v>
      </c>
    </row>
    <row r="258" spans="1:45" x14ac:dyDescent="0.2">
      <c r="A258" t="s">
        <v>30</v>
      </c>
      <c r="B258" t="s">
        <v>308</v>
      </c>
      <c r="C258">
        <v>2022</v>
      </c>
      <c r="D258" t="s">
        <v>44</v>
      </c>
      <c r="E258" t="s">
        <v>49</v>
      </c>
      <c r="F258" t="s">
        <v>77</v>
      </c>
      <c r="G258" t="s">
        <v>86</v>
      </c>
      <c r="H258" t="s">
        <v>93</v>
      </c>
      <c r="I258" t="s">
        <v>108</v>
      </c>
      <c r="J258">
        <v>1</v>
      </c>
      <c r="K258" t="s">
        <v>42</v>
      </c>
      <c r="L258">
        <v>40</v>
      </c>
      <c r="M258">
        <v>1.77E-2</v>
      </c>
      <c r="N258" t="s">
        <v>121</v>
      </c>
      <c r="O258" t="s">
        <v>264</v>
      </c>
      <c r="P258" t="s">
        <v>2579</v>
      </c>
      <c r="Q258" s="1" t="s">
        <v>2292</v>
      </c>
      <c r="R258" s="1" t="s">
        <v>2297</v>
      </c>
      <c r="S258" s="1" t="s">
        <v>2297</v>
      </c>
      <c r="X258" t="s">
        <v>310</v>
      </c>
      <c r="Y258" t="s">
        <v>2279</v>
      </c>
      <c r="Z258" t="s">
        <v>2280</v>
      </c>
      <c r="AA258" t="s">
        <v>2358</v>
      </c>
      <c r="AB258" t="s">
        <v>2580</v>
      </c>
      <c r="AC258" t="s">
        <v>152</v>
      </c>
      <c r="AD258" t="s">
        <v>2278</v>
      </c>
      <c r="AE258" t="s">
        <v>240</v>
      </c>
      <c r="AG258" t="s">
        <v>49</v>
      </c>
      <c r="AI258" t="s">
        <v>49</v>
      </c>
      <c r="AM258" t="s">
        <v>202</v>
      </c>
      <c r="AN258" t="s">
        <v>156</v>
      </c>
    </row>
    <row r="259" spans="1:45" x14ac:dyDescent="0.2">
      <c r="A259" t="s">
        <v>30</v>
      </c>
      <c r="B259" t="s">
        <v>308</v>
      </c>
      <c r="C259">
        <v>2022</v>
      </c>
      <c r="D259" t="s">
        <v>44</v>
      </c>
      <c r="E259" t="s">
        <v>49</v>
      </c>
      <c r="F259" t="s">
        <v>77</v>
      </c>
      <c r="G259" t="s">
        <v>86</v>
      </c>
      <c r="H259" t="s">
        <v>93</v>
      </c>
      <c r="I259" t="s">
        <v>108</v>
      </c>
      <c r="J259">
        <v>1</v>
      </c>
      <c r="K259" t="s">
        <v>42</v>
      </c>
      <c r="L259">
        <v>40</v>
      </c>
      <c r="M259">
        <v>1.77E-2</v>
      </c>
      <c r="N259" t="s">
        <v>121</v>
      </c>
      <c r="O259" t="s">
        <v>264</v>
      </c>
      <c r="P259" t="s">
        <v>2579</v>
      </c>
      <c r="Q259" s="1" t="s">
        <v>2292</v>
      </c>
      <c r="R259" s="1" t="s">
        <v>2297</v>
      </c>
      <c r="S259" s="1" t="s">
        <v>2297</v>
      </c>
      <c r="X259" t="s">
        <v>309</v>
      </c>
      <c r="Y259" t="s">
        <v>2279</v>
      </c>
      <c r="Z259" t="s">
        <v>528</v>
      </c>
      <c r="AA259" t="s">
        <v>2360</v>
      </c>
      <c r="AB259" t="s">
        <v>2581</v>
      </c>
      <c r="AC259" t="s">
        <v>152</v>
      </c>
      <c r="AD259" t="s">
        <v>2278</v>
      </c>
      <c r="AE259" t="s">
        <v>240</v>
      </c>
      <c r="AG259" t="s">
        <v>49</v>
      </c>
      <c r="AI259" t="s">
        <v>49</v>
      </c>
      <c r="AM259" t="s">
        <v>202</v>
      </c>
      <c r="AN259" t="s">
        <v>191</v>
      </c>
      <c r="AP259" t="s">
        <v>49</v>
      </c>
    </row>
    <row r="260" spans="1:45" x14ac:dyDescent="0.2">
      <c r="A260" t="s">
        <v>30</v>
      </c>
      <c r="B260" t="s">
        <v>308</v>
      </c>
      <c r="C260">
        <v>2022</v>
      </c>
      <c r="D260" t="s">
        <v>44</v>
      </c>
      <c r="E260" t="s">
        <v>49</v>
      </c>
      <c r="F260" t="s">
        <v>77</v>
      </c>
      <c r="G260" t="s">
        <v>86</v>
      </c>
      <c r="H260" t="s">
        <v>93</v>
      </c>
      <c r="I260" t="s">
        <v>108</v>
      </c>
      <c r="J260">
        <v>1</v>
      </c>
      <c r="K260" t="s">
        <v>42</v>
      </c>
      <c r="L260">
        <v>40</v>
      </c>
      <c r="M260">
        <v>1.77E-2</v>
      </c>
      <c r="N260" t="s">
        <v>121</v>
      </c>
      <c r="O260" t="s">
        <v>264</v>
      </c>
      <c r="P260" t="s">
        <v>2579</v>
      </c>
      <c r="Q260" s="1" t="s">
        <v>2292</v>
      </c>
      <c r="R260" s="1" t="s">
        <v>2297</v>
      </c>
      <c r="S260" s="1" t="s">
        <v>2297</v>
      </c>
      <c r="X260" t="s">
        <v>305</v>
      </c>
      <c r="Y260" t="s">
        <v>2273</v>
      </c>
      <c r="Z260" t="s">
        <v>249</v>
      </c>
      <c r="AA260" t="s">
        <v>2359</v>
      </c>
      <c r="AB260" t="s">
        <v>1979</v>
      </c>
      <c r="AC260" t="s">
        <v>152</v>
      </c>
      <c r="AD260" t="s">
        <v>2288</v>
      </c>
      <c r="AE260" t="s">
        <v>240</v>
      </c>
      <c r="AG260" t="s">
        <v>49</v>
      </c>
      <c r="AI260" t="s">
        <v>49</v>
      </c>
      <c r="AM260" t="s">
        <v>202</v>
      </c>
      <c r="AN260" t="s">
        <v>191</v>
      </c>
      <c r="AP260" t="s">
        <v>49</v>
      </c>
    </row>
    <row r="261" spans="1:45" x14ac:dyDescent="0.2">
      <c r="A261" t="s">
        <v>30</v>
      </c>
      <c r="B261" t="s">
        <v>308</v>
      </c>
      <c r="C261">
        <v>2022</v>
      </c>
      <c r="D261" t="s">
        <v>44</v>
      </c>
      <c r="E261" t="s">
        <v>49</v>
      </c>
      <c r="F261" t="s">
        <v>77</v>
      </c>
      <c r="G261" t="s">
        <v>86</v>
      </c>
      <c r="H261" t="s">
        <v>93</v>
      </c>
      <c r="I261" t="s">
        <v>108</v>
      </c>
      <c r="J261">
        <v>1</v>
      </c>
      <c r="K261" t="s">
        <v>42</v>
      </c>
      <c r="L261">
        <v>40</v>
      </c>
      <c r="M261">
        <v>1.77E-2</v>
      </c>
      <c r="N261" t="s">
        <v>121</v>
      </c>
      <c r="O261" t="s">
        <v>264</v>
      </c>
      <c r="P261" t="s">
        <v>2579</v>
      </c>
      <c r="Q261" s="1" t="s">
        <v>2292</v>
      </c>
      <c r="R261" s="1" t="s">
        <v>2297</v>
      </c>
      <c r="S261" s="1" t="s">
        <v>2297</v>
      </c>
      <c r="X261" t="s">
        <v>189</v>
      </c>
      <c r="Y261" t="s">
        <v>2279</v>
      </c>
      <c r="Z261" t="s">
        <v>2280</v>
      </c>
      <c r="AA261" t="s">
        <v>2358</v>
      </c>
      <c r="AB261" t="s">
        <v>189</v>
      </c>
      <c r="AC261" t="s">
        <v>152</v>
      </c>
      <c r="AD261" t="s">
        <v>2278</v>
      </c>
      <c r="AE261" t="s">
        <v>240</v>
      </c>
      <c r="AG261" t="s">
        <v>49</v>
      </c>
      <c r="AI261" t="s">
        <v>49</v>
      </c>
      <c r="AM261" t="s">
        <v>202</v>
      </c>
      <c r="AN261" t="s">
        <v>191</v>
      </c>
      <c r="AP261" t="s">
        <v>49</v>
      </c>
    </row>
    <row r="262" spans="1:45" x14ac:dyDescent="0.2">
      <c r="A262" t="s">
        <v>30</v>
      </c>
      <c r="B262" t="s">
        <v>308</v>
      </c>
      <c r="C262">
        <v>2022</v>
      </c>
      <c r="D262" t="s">
        <v>44</v>
      </c>
      <c r="E262" t="s">
        <v>49</v>
      </c>
      <c r="F262" t="s">
        <v>77</v>
      </c>
      <c r="G262" t="s">
        <v>86</v>
      </c>
      <c r="H262" t="s">
        <v>93</v>
      </c>
      <c r="I262" t="s">
        <v>108</v>
      </c>
      <c r="J262">
        <v>1</v>
      </c>
      <c r="K262" t="s">
        <v>42</v>
      </c>
      <c r="L262">
        <v>40</v>
      </c>
      <c r="M262">
        <v>1.77E-2</v>
      </c>
      <c r="N262" t="s">
        <v>121</v>
      </c>
      <c r="O262" t="s">
        <v>264</v>
      </c>
      <c r="P262" t="s">
        <v>2579</v>
      </c>
      <c r="Q262" s="1" t="s">
        <v>2292</v>
      </c>
      <c r="R262" s="1" t="s">
        <v>2297</v>
      </c>
      <c r="S262" s="1" t="s">
        <v>2297</v>
      </c>
      <c r="T262" t="s">
        <v>421</v>
      </c>
      <c r="U262" t="s">
        <v>421</v>
      </c>
      <c r="X262" t="s">
        <v>161</v>
      </c>
      <c r="Y262" t="s">
        <v>2272</v>
      </c>
      <c r="Z262" t="s">
        <v>2272</v>
      </c>
      <c r="AA262" t="s">
        <v>2272</v>
      </c>
      <c r="AB262" t="s">
        <v>2272</v>
      </c>
      <c r="AC262" t="s">
        <v>162</v>
      </c>
      <c r="AD262" t="s">
        <v>2272</v>
      </c>
      <c r="AE262" t="s">
        <v>240</v>
      </c>
      <c r="AG262" t="s">
        <v>49</v>
      </c>
      <c r="AI262" t="s">
        <v>49</v>
      </c>
      <c r="AM262" t="s">
        <v>202</v>
      </c>
      <c r="AN262" t="s">
        <v>191</v>
      </c>
      <c r="AP262" t="s">
        <v>49</v>
      </c>
    </row>
    <row r="263" spans="1:45" x14ac:dyDescent="0.2">
      <c r="A263" t="s">
        <v>30</v>
      </c>
      <c r="B263" t="s">
        <v>308</v>
      </c>
      <c r="C263">
        <v>2022</v>
      </c>
      <c r="D263" t="s">
        <v>44</v>
      </c>
      <c r="E263" t="s">
        <v>49</v>
      </c>
      <c r="F263" t="s">
        <v>77</v>
      </c>
      <c r="G263" t="s">
        <v>86</v>
      </c>
      <c r="H263" t="s">
        <v>93</v>
      </c>
      <c r="I263" t="s">
        <v>108</v>
      </c>
      <c r="J263">
        <v>1</v>
      </c>
      <c r="K263" t="s">
        <v>42</v>
      </c>
      <c r="L263">
        <v>40</v>
      </c>
      <c r="M263">
        <v>1.77E-2</v>
      </c>
      <c r="N263" t="s">
        <v>121</v>
      </c>
      <c r="O263" t="s">
        <v>264</v>
      </c>
      <c r="P263" t="s">
        <v>2579</v>
      </c>
      <c r="Q263" s="1" t="s">
        <v>2292</v>
      </c>
      <c r="R263" s="1" t="s">
        <v>2297</v>
      </c>
      <c r="S263" s="1" t="s">
        <v>2297</v>
      </c>
      <c r="X263" t="s">
        <v>310</v>
      </c>
      <c r="Y263" t="s">
        <v>2279</v>
      </c>
      <c r="Z263" t="s">
        <v>2280</v>
      </c>
      <c r="AA263" t="s">
        <v>2358</v>
      </c>
      <c r="AB263" t="s">
        <v>2580</v>
      </c>
      <c r="AC263" t="s">
        <v>152</v>
      </c>
      <c r="AD263" t="s">
        <v>2278</v>
      </c>
      <c r="AE263" t="s">
        <v>240</v>
      </c>
      <c r="AG263" t="s">
        <v>49</v>
      </c>
      <c r="AI263" t="s">
        <v>49</v>
      </c>
      <c r="AM263" t="s">
        <v>202</v>
      </c>
      <c r="AN263" t="s">
        <v>191</v>
      </c>
      <c r="AP263" t="s">
        <v>49</v>
      </c>
    </row>
    <row r="264" spans="1:45" x14ac:dyDescent="0.2">
      <c r="A264" t="s">
        <v>30</v>
      </c>
      <c r="B264" t="s">
        <v>308</v>
      </c>
      <c r="C264">
        <v>2022</v>
      </c>
      <c r="D264" t="s">
        <v>44</v>
      </c>
      <c r="E264" t="s">
        <v>49</v>
      </c>
      <c r="F264" t="s">
        <v>77</v>
      </c>
      <c r="G264" t="s">
        <v>86</v>
      </c>
      <c r="H264" t="s">
        <v>93</v>
      </c>
      <c r="I264" t="s">
        <v>108</v>
      </c>
      <c r="J264">
        <v>1</v>
      </c>
      <c r="K264" t="s">
        <v>42</v>
      </c>
      <c r="L264">
        <v>40</v>
      </c>
      <c r="M264">
        <v>1.77E-2</v>
      </c>
      <c r="N264" t="s">
        <v>121</v>
      </c>
      <c r="O264" t="s">
        <v>264</v>
      </c>
      <c r="P264" t="s">
        <v>2579</v>
      </c>
      <c r="Q264" s="1" t="s">
        <v>2292</v>
      </c>
      <c r="R264" s="1" t="s">
        <v>2297</v>
      </c>
      <c r="S264" s="1" t="s">
        <v>2297</v>
      </c>
      <c r="X264" t="s">
        <v>161</v>
      </c>
      <c r="Y264" t="s">
        <v>2272</v>
      </c>
      <c r="Z264" t="s">
        <v>2272</v>
      </c>
      <c r="AA264" t="s">
        <v>2272</v>
      </c>
      <c r="AB264" t="s">
        <v>2272</v>
      </c>
      <c r="AC264" t="s">
        <v>162</v>
      </c>
      <c r="AD264" t="s">
        <v>2272</v>
      </c>
      <c r="AE264" t="s">
        <v>240</v>
      </c>
      <c r="AG264" t="s">
        <v>49</v>
      </c>
      <c r="AI264" t="s">
        <v>49</v>
      </c>
      <c r="AM264" t="s">
        <v>202</v>
      </c>
      <c r="AN264" t="s">
        <v>154</v>
      </c>
      <c r="AP264" t="s">
        <v>157</v>
      </c>
    </row>
    <row r="265" spans="1:45" x14ac:dyDescent="0.2">
      <c r="A265" t="s">
        <v>30</v>
      </c>
      <c r="B265" t="s">
        <v>308</v>
      </c>
      <c r="C265">
        <v>2022</v>
      </c>
      <c r="D265" t="s">
        <v>44</v>
      </c>
      <c r="E265" t="s">
        <v>49</v>
      </c>
      <c r="F265" t="s">
        <v>77</v>
      </c>
      <c r="G265" t="s">
        <v>86</v>
      </c>
      <c r="H265" t="s">
        <v>93</v>
      </c>
      <c r="I265" t="s">
        <v>108</v>
      </c>
      <c r="J265">
        <v>1</v>
      </c>
      <c r="K265" t="s">
        <v>42</v>
      </c>
      <c r="L265">
        <v>40</v>
      </c>
      <c r="M265">
        <v>1.77E-2</v>
      </c>
      <c r="N265" t="s">
        <v>121</v>
      </c>
      <c r="O265" t="s">
        <v>264</v>
      </c>
      <c r="P265" t="s">
        <v>2579</v>
      </c>
      <c r="Q265" s="1" t="s">
        <v>2292</v>
      </c>
      <c r="R265" s="1" t="s">
        <v>2297</v>
      </c>
      <c r="S265" s="1" t="s">
        <v>2297</v>
      </c>
      <c r="X265" t="s">
        <v>309</v>
      </c>
      <c r="Y265" t="s">
        <v>2279</v>
      </c>
      <c r="Z265" t="s">
        <v>528</v>
      </c>
      <c r="AA265" t="s">
        <v>2360</v>
      </c>
      <c r="AB265" t="s">
        <v>2581</v>
      </c>
      <c r="AC265" t="s">
        <v>152</v>
      </c>
      <c r="AD265" t="s">
        <v>2278</v>
      </c>
      <c r="AE265" t="s">
        <v>240</v>
      </c>
      <c r="AG265" t="s">
        <v>49</v>
      </c>
      <c r="AI265" t="s">
        <v>49</v>
      </c>
      <c r="AM265" t="s">
        <v>202</v>
      </c>
      <c r="AN265" t="s">
        <v>165</v>
      </c>
      <c r="AP265" t="s">
        <v>49</v>
      </c>
    </row>
    <row r="266" spans="1:45" x14ac:dyDescent="0.2">
      <c r="A266" t="s">
        <v>30</v>
      </c>
      <c r="B266" t="s">
        <v>308</v>
      </c>
      <c r="C266">
        <v>2022</v>
      </c>
      <c r="D266" t="s">
        <v>44</v>
      </c>
      <c r="E266" t="s">
        <v>49</v>
      </c>
      <c r="F266" t="s">
        <v>77</v>
      </c>
      <c r="G266" t="s">
        <v>86</v>
      </c>
      <c r="H266" t="s">
        <v>93</v>
      </c>
      <c r="I266" t="s">
        <v>108</v>
      </c>
      <c r="J266">
        <v>1</v>
      </c>
      <c r="K266" t="s">
        <v>42</v>
      </c>
      <c r="L266">
        <v>40</v>
      </c>
      <c r="M266">
        <v>1.77E-2</v>
      </c>
      <c r="N266" t="s">
        <v>121</v>
      </c>
      <c r="O266" t="s">
        <v>264</v>
      </c>
      <c r="P266" t="s">
        <v>2579</v>
      </c>
      <c r="Q266" s="1" t="s">
        <v>2292</v>
      </c>
      <c r="R266" s="1" t="s">
        <v>2297</v>
      </c>
      <c r="S266" s="1" t="s">
        <v>2297</v>
      </c>
      <c r="X266" t="s">
        <v>305</v>
      </c>
      <c r="Y266" t="s">
        <v>2273</v>
      </c>
      <c r="Z266" t="s">
        <v>249</v>
      </c>
      <c r="AA266" t="s">
        <v>2359</v>
      </c>
      <c r="AB266" t="s">
        <v>1979</v>
      </c>
      <c r="AC266" t="s">
        <v>152</v>
      </c>
      <c r="AD266" t="s">
        <v>2288</v>
      </c>
      <c r="AE266" t="s">
        <v>240</v>
      </c>
      <c r="AG266" t="s">
        <v>49</v>
      </c>
      <c r="AI266" t="s">
        <v>49</v>
      </c>
      <c r="AM266" t="s">
        <v>202</v>
      </c>
      <c r="AN266" t="s">
        <v>165</v>
      </c>
      <c r="AP266" t="s">
        <v>49</v>
      </c>
    </row>
    <row r="267" spans="1:45" x14ac:dyDescent="0.2">
      <c r="A267" t="s">
        <v>30</v>
      </c>
      <c r="B267" t="s">
        <v>308</v>
      </c>
      <c r="C267">
        <v>2022</v>
      </c>
      <c r="D267" t="s">
        <v>44</v>
      </c>
      <c r="E267" t="s">
        <v>49</v>
      </c>
      <c r="F267" t="s">
        <v>77</v>
      </c>
      <c r="G267" t="s">
        <v>86</v>
      </c>
      <c r="H267" t="s">
        <v>93</v>
      </c>
      <c r="I267" t="s">
        <v>108</v>
      </c>
      <c r="J267">
        <v>1</v>
      </c>
      <c r="K267" t="s">
        <v>42</v>
      </c>
      <c r="L267">
        <v>40</v>
      </c>
      <c r="M267">
        <v>1.77E-2</v>
      </c>
      <c r="N267" t="s">
        <v>121</v>
      </c>
      <c r="O267" t="s">
        <v>264</v>
      </c>
      <c r="P267" t="s">
        <v>2579</v>
      </c>
      <c r="Q267" s="1" t="s">
        <v>2292</v>
      </c>
      <c r="R267" s="1" t="s">
        <v>2297</v>
      </c>
      <c r="S267" s="1" t="s">
        <v>2297</v>
      </c>
      <c r="X267" t="s">
        <v>189</v>
      </c>
      <c r="Y267" t="s">
        <v>2279</v>
      </c>
      <c r="Z267" t="s">
        <v>2280</v>
      </c>
      <c r="AA267" t="s">
        <v>2358</v>
      </c>
      <c r="AB267" t="s">
        <v>189</v>
      </c>
      <c r="AC267" t="s">
        <v>152</v>
      </c>
      <c r="AD267" t="s">
        <v>2278</v>
      </c>
      <c r="AE267" t="s">
        <v>240</v>
      </c>
      <c r="AG267" t="s">
        <v>49</v>
      </c>
      <c r="AI267" t="s">
        <v>49</v>
      </c>
      <c r="AM267" t="s">
        <v>202</v>
      </c>
      <c r="AN267" t="s">
        <v>165</v>
      </c>
      <c r="AP267" t="s">
        <v>49</v>
      </c>
    </row>
    <row r="268" spans="1:45" x14ac:dyDescent="0.2">
      <c r="A268" t="s">
        <v>30</v>
      </c>
      <c r="B268" t="s">
        <v>308</v>
      </c>
      <c r="C268">
        <v>2022</v>
      </c>
      <c r="D268" t="s">
        <v>44</v>
      </c>
      <c r="E268" t="s">
        <v>49</v>
      </c>
      <c r="F268" t="s">
        <v>77</v>
      </c>
      <c r="G268" t="s">
        <v>86</v>
      </c>
      <c r="H268" t="s">
        <v>93</v>
      </c>
      <c r="I268" t="s">
        <v>108</v>
      </c>
      <c r="J268">
        <v>1</v>
      </c>
      <c r="K268" t="s">
        <v>42</v>
      </c>
      <c r="L268">
        <v>40</v>
      </c>
      <c r="M268">
        <v>1.77E-2</v>
      </c>
      <c r="N268" t="s">
        <v>121</v>
      </c>
      <c r="O268" t="s">
        <v>264</v>
      </c>
      <c r="P268" t="s">
        <v>2579</v>
      </c>
      <c r="Q268" s="1" t="s">
        <v>2292</v>
      </c>
      <c r="R268" s="1" t="s">
        <v>2297</v>
      </c>
      <c r="S268" s="1" t="s">
        <v>2297</v>
      </c>
      <c r="T268" t="s">
        <v>421</v>
      </c>
      <c r="U268" t="s">
        <v>421</v>
      </c>
      <c r="X268" t="s">
        <v>161</v>
      </c>
      <c r="Y268" t="s">
        <v>2272</v>
      </c>
      <c r="Z268" t="s">
        <v>2272</v>
      </c>
      <c r="AA268" t="s">
        <v>2272</v>
      </c>
      <c r="AB268" t="s">
        <v>2272</v>
      </c>
      <c r="AC268" t="s">
        <v>162</v>
      </c>
      <c r="AD268" t="s">
        <v>2272</v>
      </c>
      <c r="AE268" t="s">
        <v>240</v>
      </c>
      <c r="AG268" t="s">
        <v>49</v>
      </c>
      <c r="AI268" t="s">
        <v>49</v>
      </c>
      <c r="AM268" t="s">
        <v>202</v>
      </c>
      <c r="AN268" t="s">
        <v>165</v>
      </c>
      <c r="AP268" t="s">
        <v>49</v>
      </c>
    </row>
    <row r="269" spans="1:45" x14ac:dyDescent="0.2">
      <c r="A269" t="s">
        <v>30</v>
      </c>
      <c r="B269" t="s">
        <v>308</v>
      </c>
      <c r="C269">
        <v>2022</v>
      </c>
      <c r="D269" t="s">
        <v>44</v>
      </c>
      <c r="E269" t="s">
        <v>49</v>
      </c>
      <c r="F269" t="s">
        <v>77</v>
      </c>
      <c r="G269" t="s">
        <v>86</v>
      </c>
      <c r="H269" t="s">
        <v>93</v>
      </c>
      <c r="I269" t="s">
        <v>108</v>
      </c>
      <c r="J269">
        <v>1</v>
      </c>
      <c r="K269" t="s">
        <v>42</v>
      </c>
      <c r="L269">
        <v>40</v>
      </c>
      <c r="M269">
        <v>1.77E-2</v>
      </c>
      <c r="N269" t="s">
        <v>121</v>
      </c>
      <c r="O269" t="s">
        <v>264</v>
      </c>
      <c r="P269" t="s">
        <v>2579</v>
      </c>
      <c r="Q269" s="1" t="s">
        <v>2292</v>
      </c>
      <c r="R269" s="1" t="s">
        <v>2297</v>
      </c>
      <c r="S269" s="1" t="s">
        <v>2297</v>
      </c>
      <c r="X269" t="s">
        <v>310</v>
      </c>
      <c r="Y269" t="s">
        <v>2279</v>
      </c>
      <c r="Z269" t="s">
        <v>2280</v>
      </c>
      <c r="AA269" t="s">
        <v>2358</v>
      </c>
      <c r="AB269" t="s">
        <v>2580</v>
      </c>
      <c r="AC269" t="s">
        <v>152</v>
      </c>
      <c r="AD269" t="s">
        <v>2278</v>
      </c>
      <c r="AE269" t="s">
        <v>240</v>
      </c>
      <c r="AG269" t="s">
        <v>49</v>
      </c>
      <c r="AI269" t="s">
        <v>49</v>
      </c>
      <c r="AM269" t="s">
        <v>202</v>
      </c>
      <c r="AN269" t="s">
        <v>165</v>
      </c>
      <c r="AP269" t="s">
        <v>49</v>
      </c>
    </row>
    <row r="270" spans="1:45" x14ac:dyDescent="0.2">
      <c r="A270" t="s">
        <v>31</v>
      </c>
      <c r="B270" t="s">
        <v>311</v>
      </c>
      <c r="C270">
        <v>2022</v>
      </c>
      <c r="D270" t="s">
        <v>44</v>
      </c>
      <c r="E270" t="s">
        <v>49</v>
      </c>
      <c r="F270" t="s">
        <v>78</v>
      </c>
      <c r="G270" t="s">
        <v>88</v>
      </c>
      <c r="H270" t="s">
        <v>95</v>
      </c>
      <c r="L270">
        <v>20</v>
      </c>
      <c r="Q270" s="1" t="s">
        <v>2272</v>
      </c>
      <c r="R270" s="1" t="s">
        <v>2272</v>
      </c>
      <c r="S270" s="1" t="s">
        <v>2272</v>
      </c>
      <c r="Y270" t="s">
        <v>2272</v>
      </c>
      <c r="Z270" t="s">
        <v>2272</v>
      </c>
      <c r="AA270" t="s">
        <v>2272</v>
      </c>
      <c r="AB270" t="s">
        <v>2272</v>
      </c>
      <c r="AD270" t="s">
        <v>2272</v>
      </c>
      <c r="AR270" t="s">
        <v>144</v>
      </c>
      <c r="AS270" t="s">
        <v>2583</v>
      </c>
    </row>
    <row r="271" spans="1:45" x14ac:dyDescent="0.2">
      <c r="A271" t="s">
        <v>32</v>
      </c>
      <c r="B271" t="s">
        <v>312</v>
      </c>
      <c r="C271">
        <v>2022</v>
      </c>
      <c r="D271" t="s">
        <v>44</v>
      </c>
      <c r="F271" t="s">
        <v>79</v>
      </c>
      <c r="G271" t="s">
        <v>86</v>
      </c>
      <c r="H271" t="s">
        <v>94</v>
      </c>
      <c r="I271" t="s">
        <v>117</v>
      </c>
      <c r="J271">
        <v>3</v>
      </c>
      <c r="K271" t="s">
        <v>42</v>
      </c>
      <c r="L271">
        <v>20</v>
      </c>
      <c r="M271">
        <v>9.6199999999999994E-2</v>
      </c>
      <c r="N271" t="s">
        <v>126</v>
      </c>
      <c r="O271" t="s">
        <v>126</v>
      </c>
      <c r="P271" t="s">
        <v>188</v>
      </c>
      <c r="Q271" s="1" t="s">
        <v>2281</v>
      </c>
      <c r="R271" s="1" t="s">
        <v>2282</v>
      </c>
      <c r="S271" s="1" t="s">
        <v>126</v>
      </c>
      <c r="T271" t="s">
        <v>421</v>
      </c>
      <c r="X271" t="s">
        <v>211</v>
      </c>
      <c r="Y271" t="s">
        <v>2279</v>
      </c>
      <c r="Z271" t="s">
        <v>2280</v>
      </c>
      <c r="AA271" t="s">
        <v>2358</v>
      </c>
      <c r="AB271" t="s">
        <v>2290</v>
      </c>
      <c r="AC271" t="s">
        <v>315</v>
      </c>
      <c r="AD271" t="s">
        <v>2278</v>
      </c>
      <c r="AG271" t="s">
        <v>49</v>
      </c>
      <c r="AK271" t="s">
        <v>49</v>
      </c>
      <c r="AM271" t="s">
        <v>317</v>
      </c>
      <c r="AN271" t="s">
        <v>171</v>
      </c>
      <c r="AQ271" s="5">
        <v>0</v>
      </c>
    </row>
    <row r="272" spans="1:45" x14ac:dyDescent="0.2">
      <c r="A272" t="s">
        <v>32</v>
      </c>
      <c r="B272" t="s">
        <v>312</v>
      </c>
      <c r="C272">
        <v>2022</v>
      </c>
      <c r="D272" t="s">
        <v>44</v>
      </c>
      <c r="F272" t="s">
        <v>79</v>
      </c>
      <c r="G272" t="s">
        <v>86</v>
      </c>
      <c r="H272" t="s">
        <v>94</v>
      </c>
      <c r="I272" t="s">
        <v>117</v>
      </c>
      <c r="J272">
        <v>3</v>
      </c>
      <c r="K272" t="s">
        <v>42</v>
      </c>
      <c r="L272">
        <v>20</v>
      </c>
      <c r="M272">
        <v>9.6199999999999994E-2</v>
      </c>
      <c r="N272" t="s">
        <v>126</v>
      </c>
      <c r="O272" t="s">
        <v>126</v>
      </c>
      <c r="P272" t="s">
        <v>188</v>
      </c>
      <c r="Q272" s="1" t="s">
        <v>2281</v>
      </c>
      <c r="R272" s="1" t="s">
        <v>2282</v>
      </c>
      <c r="S272" s="1" t="s">
        <v>126</v>
      </c>
      <c r="T272" t="s">
        <v>421</v>
      </c>
      <c r="X272" t="s">
        <v>211</v>
      </c>
      <c r="Y272" t="s">
        <v>2279</v>
      </c>
      <c r="Z272" t="s">
        <v>2280</v>
      </c>
      <c r="AA272" t="s">
        <v>2358</v>
      </c>
      <c r="AB272" t="s">
        <v>2290</v>
      </c>
      <c r="AC272" t="s">
        <v>315</v>
      </c>
      <c r="AD272" t="s">
        <v>2278</v>
      </c>
      <c r="AG272" t="s">
        <v>49</v>
      </c>
      <c r="AK272" t="s">
        <v>49</v>
      </c>
      <c r="AM272" t="s">
        <v>317</v>
      </c>
      <c r="AN272" t="s">
        <v>166</v>
      </c>
      <c r="AQ272" s="5">
        <v>0</v>
      </c>
    </row>
    <row r="273" spans="1:43" x14ac:dyDescent="0.2">
      <c r="A273" t="s">
        <v>32</v>
      </c>
      <c r="B273" t="s">
        <v>312</v>
      </c>
      <c r="C273">
        <v>2022</v>
      </c>
      <c r="D273" t="s">
        <v>44</v>
      </c>
      <c r="F273" t="s">
        <v>79</v>
      </c>
      <c r="G273" t="s">
        <v>86</v>
      </c>
      <c r="H273" t="s">
        <v>94</v>
      </c>
      <c r="I273" t="s">
        <v>117</v>
      </c>
      <c r="J273">
        <v>3</v>
      </c>
      <c r="K273" t="s">
        <v>42</v>
      </c>
      <c r="L273">
        <v>20</v>
      </c>
      <c r="M273">
        <v>9.6199999999999994E-2</v>
      </c>
      <c r="N273" t="s">
        <v>126</v>
      </c>
      <c r="O273" t="s">
        <v>126</v>
      </c>
      <c r="P273" t="s">
        <v>188</v>
      </c>
      <c r="Q273" s="1" t="s">
        <v>2281</v>
      </c>
      <c r="R273" s="1" t="s">
        <v>2282</v>
      </c>
      <c r="S273" s="1" t="s">
        <v>126</v>
      </c>
      <c r="T273" t="s">
        <v>421</v>
      </c>
      <c r="X273" t="s">
        <v>314</v>
      </c>
      <c r="Y273" t="s">
        <v>2279</v>
      </c>
      <c r="Z273" t="s">
        <v>2280</v>
      </c>
      <c r="AA273" t="s">
        <v>2358</v>
      </c>
      <c r="AB273" t="s">
        <v>2459</v>
      </c>
      <c r="AC273" t="s">
        <v>315</v>
      </c>
      <c r="AD273" t="s">
        <v>2278</v>
      </c>
      <c r="AG273" t="s">
        <v>49</v>
      </c>
      <c r="AK273" t="s">
        <v>49</v>
      </c>
      <c r="AM273" t="s">
        <v>317</v>
      </c>
      <c r="AN273" t="s">
        <v>171</v>
      </c>
      <c r="AQ273" s="5">
        <v>0</v>
      </c>
    </row>
    <row r="274" spans="1:43" x14ac:dyDescent="0.2">
      <c r="A274" t="s">
        <v>32</v>
      </c>
      <c r="B274" t="s">
        <v>312</v>
      </c>
      <c r="C274">
        <v>2022</v>
      </c>
      <c r="D274" t="s">
        <v>44</v>
      </c>
      <c r="F274" t="s">
        <v>79</v>
      </c>
      <c r="G274" t="s">
        <v>86</v>
      </c>
      <c r="H274" t="s">
        <v>94</v>
      </c>
      <c r="I274" t="s">
        <v>117</v>
      </c>
      <c r="J274">
        <v>3</v>
      </c>
      <c r="K274" t="s">
        <v>42</v>
      </c>
      <c r="L274">
        <v>20</v>
      </c>
      <c r="M274">
        <v>9.6199999999999994E-2</v>
      </c>
      <c r="N274" t="s">
        <v>126</v>
      </c>
      <c r="O274" t="s">
        <v>126</v>
      </c>
      <c r="P274" t="s">
        <v>188</v>
      </c>
      <c r="Q274" s="1" t="s">
        <v>2281</v>
      </c>
      <c r="R274" s="1" t="s">
        <v>2282</v>
      </c>
      <c r="S274" s="1" t="s">
        <v>126</v>
      </c>
      <c r="T274" t="s">
        <v>421</v>
      </c>
      <c r="X274" t="s">
        <v>314</v>
      </c>
      <c r="Y274" t="s">
        <v>2279</v>
      </c>
      <c r="Z274" t="s">
        <v>2280</v>
      </c>
      <c r="AA274" t="s">
        <v>2358</v>
      </c>
      <c r="AB274" t="s">
        <v>2459</v>
      </c>
      <c r="AC274" t="s">
        <v>315</v>
      </c>
      <c r="AD274" t="s">
        <v>2278</v>
      </c>
      <c r="AG274" t="s">
        <v>49</v>
      </c>
      <c r="AK274" t="s">
        <v>49</v>
      </c>
      <c r="AM274" t="s">
        <v>317</v>
      </c>
      <c r="AN274" t="s">
        <v>166</v>
      </c>
      <c r="AQ274" s="5">
        <v>0</v>
      </c>
    </row>
    <row r="275" spans="1:43" x14ac:dyDescent="0.2">
      <c r="A275" t="s">
        <v>32</v>
      </c>
      <c r="B275" t="s">
        <v>312</v>
      </c>
      <c r="C275">
        <v>2022</v>
      </c>
      <c r="D275" t="s">
        <v>44</v>
      </c>
      <c r="F275" t="s">
        <v>79</v>
      </c>
      <c r="G275" t="s">
        <v>86</v>
      </c>
      <c r="H275" t="s">
        <v>94</v>
      </c>
      <c r="I275" t="s">
        <v>117</v>
      </c>
      <c r="J275">
        <v>3</v>
      </c>
      <c r="K275" t="s">
        <v>42</v>
      </c>
      <c r="L275">
        <v>20</v>
      </c>
      <c r="M275">
        <v>9.6199999999999994E-2</v>
      </c>
      <c r="N275" t="s">
        <v>126</v>
      </c>
      <c r="O275" t="s">
        <v>126</v>
      </c>
      <c r="P275" t="s">
        <v>188</v>
      </c>
      <c r="Q275" s="1" t="s">
        <v>2281</v>
      </c>
      <c r="R275" s="1" t="s">
        <v>2282</v>
      </c>
      <c r="S275" s="1" t="s">
        <v>126</v>
      </c>
      <c r="T275" t="s">
        <v>421</v>
      </c>
      <c r="X275" t="s">
        <v>316</v>
      </c>
      <c r="Y275" t="s">
        <v>2279</v>
      </c>
      <c r="Z275" t="s">
        <v>2280</v>
      </c>
      <c r="AA275" t="s">
        <v>2272</v>
      </c>
      <c r="AB275" t="s">
        <v>2272</v>
      </c>
      <c r="AC275" t="s">
        <v>152</v>
      </c>
      <c r="AD275" t="s">
        <v>2278</v>
      </c>
      <c r="AG275" t="s">
        <v>49</v>
      </c>
      <c r="AK275" t="s">
        <v>49</v>
      </c>
      <c r="AM275" t="s">
        <v>423</v>
      </c>
      <c r="AN275" t="s">
        <v>166</v>
      </c>
      <c r="AQ275" s="5">
        <v>1</v>
      </c>
    </row>
    <row r="276" spans="1:43" x14ac:dyDescent="0.2">
      <c r="A276" t="s">
        <v>32</v>
      </c>
      <c r="B276" t="s">
        <v>312</v>
      </c>
      <c r="C276">
        <v>2022</v>
      </c>
      <c r="D276" t="s">
        <v>44</v>
      </c>
      <c r="F276" t="s">
        <v>79</v>
      </c>
      <c r="G276" t="s">
        <v>86</v>
      </c>
      <c r="H276" t="s">
        <v>94</v>
      </c>
      <c r="I276" t="s">
        <v>117</v>
      </c>
      <c r="J276">
        <v>3</v>
      </c>
      <c r="K276" t="s">
        <v>42</v>
      </c>
      <c r="L276">
        <v>20</v>
      </c>
      <c r="M276">
        <v>9.6199999999999994E-2</v>
      </c>
      <c r="N276" t="s">
        <v>126</v>
      </c>
      <c r="O276" t="s">
        <v>126</v>
      </c>
      <c r="P276" t="s">
        <v>188</v>
      </c>
      <c r="Q276" s="1" t="s">
        <v>2281</v>
      </c>
      <c r="R276" s="1" t="s">
        <v>2282</v>
      </c>
      <c r="S276" s="1" t="s">
        <v>126</v>
      </c>
      <c r="T276" t="s">
        <v>421</v>
      </c>
      <c r="X276" t="s">
        <v>316</v>
      </c>
      <c r="Y276" t="s">
        <v>2279</v>
      </c>
      <c r="Z276" t="s">
        <v>2280</v>
      </c>
      <c r="AA276" t="s">
        <v>2272</v>
      </c>
      <c r="AB276" t="s">
        <v>2272</v>
      </c>
      <c r="AC276" t="s">
        <v>152</v>
      </c>
      <c r="AD276" t="s">
        <v>2278</v>
      </c>
      <c r="AG276" t="s">
        <v>49</v>
      </c>
      <c r="AK276" t="s">
        <v>49</v>
      </c>
      <c r="AM276" t="s">
        <v>424</v>
      </c>
      <c r="AN276" t="s">
        <v>166</v>
      </c>
      <c r="AQ276" s="5">
        <v>2</v>
      </c>
    </row>
    <row r="277" spans="1:43" x14ac:dyDescent="0.2">
      <c r="A277" t="s">
        <v>32</v>
      </c>
      <c r="B277" t="s">
        <v>312</v>
      </c>
      <c r="C277">
        <v>2022</v>
      </c>
      <c r="D277" t="s">
        <v>44</v>
      </c>
      <c r="F277" t="s">
        <v>79</v>
      </c>
      <c r="G277" t="s">
        <v>86</v>
      </c>
      <c r="H277" t="s">
        <v>94</v>
      </c>
      <c r="I277" t="s">
        <v>117</v>
      </c>
      <c r="J277">
        <v>3</v>
      </c>
      <c r="K277" t="s">
        <v>42</v>
      </c>
      <c r="L277">
        <v>20</v>
      </c>
      <c r="M277">
        <v>9.6199999999999994E-2</v>
      </c>
      <c r="N277" t="s">
        <v>126</v>
      </c>
      <c r="O277" t="s">
        <v>126</v>
      </c>
      <c r="P277" t="s">
        <v>188</v>
      </c>
      <c r="Q277" s="1" t="s">
        <v>2281</v>
      </c>
      <c r="R277" s="1" t="s">
        <v>2282</v>
      </c>
      <c r="S277" s="1" t="s">
        <v>126</v>
      </c>
      <c r="T277" t="s">
        <v>421</v>
      </c>
      <c r="X277" t="s">
        <v>316</v>
      </c>
      <c r="Y277" t="s">
        <v>2279</v>
      </c>
      <c r="Z277" t="s">
        <v>2280</v>
      </c>
      <c r="AA277" t="s">
        <v>2272</v>
      </c>
      <c r="AB277" t="s">
        <v>2272</v>
      </c>
      <c r="AC277" t="s">
        <v>152</v>
      </c>
      <c r="AD277" t="s">
        <v>2278</v>
      </c>
      <c r="AG277" t="s">
        <v>49</v>
      </c>
      <c r="AK277" t="s">
        <v>49</v>
      </c>
      <c r="AM277" t="s">
        <v>317</v>
      </c>
      <c r="AN277" t="s">
        <v>171</v>
      </c>
      <c r="AQ277" s="5">
        <v>0</v>
      </c>
    </row>
    <row r="278" spans="1:43" x14ac:dyDescent="0.2">
      <c r="A278" t="s">
        <v>32</v>
      </c>
      <c r="B278" t="s">
        <v>312</v>
      </c>
      <c r="C278">
        <v>2022</v>
      </c>
      <c r="D278" t="s">
        <v>44</v>
      </c>
      <c r="F278" t="s">
        <v>79</v>
      </c>
      <c r="G278" t="s">
        <v>86</v>
      </c>
      <c r="H278" t="s">
        <v>94</v>
      </c>
      <c r="I278" t="s">
        <v>117</v>
      </c>
      <c r="J278">
        <v>3</v>
      </c>
      <c r="K278" t="s">
        <v>42</v>
      </c>
      <c r="L278">
        <v>20</v>
      </c>
      <c r="M278">
        <v>9.6199999999999994E-2</v>
      </c>
      <c r="N278" t="s">
        <v>126</v>
      </c>
      <c r="O278" t="s">
        <v>126</v>
      </c>
      <c r="P278" t="s">
        <v>188</v>
      </c>
      <c r="Q278" s="1" t="s">
        <v>2281</v>
      </c>
      <c r="R278" s="1" t="s">
        <v>2282</v>
      </c>
      <c r="S278" s="1" t="s">
        <v>126</v>
      </c>
      <c r="T278" t="s">
        <v>421</v>
      </c>
      <c r="X278" t="s">
        <v>316</v>
      </c>
      <c r="Y278" t="s">
        <v>2279</v>
      </c>
      <c r="Z278" t="s">
        <v>2280</v>
      </c>
      <c r="AA278" t="s">
        <v>2272</v>
      </c>
      <c r="AB278" t="s">
        <v>2272</v>
      </c>
      <c r="AC278" t="s">
        <v>152</v>
      </c>
      <c r="AD278" t="s">
        <v>2278</v>
      </c>
      <c r="AG278" t="s">
        <v>49</v>
      </c>
      <c r="AK278" t="s">
        <v>49</v>
      </c>
      <c r="AM278" t="s">
        <v>317</v>
      </c>
      <c r="AN278" t="s">
        <v>154</v>
      </c>
      <c r="AQ278" s="5">
        <v>0</v>
      </c>
    </row>
    <row r="279" spans="1:43" x14ac:dyDescent="0.2">
      <c r="A279" t="s">
        <v>33</v>
      </c>
      <c r="B279" t="s">
        <v>318</v>
      </c>
      <c r="C279">
        <v>2022</v>
      </c>
      <c r="D279" t="s">
        <v>44</v>
      </c>
      <c r="E279" t="s">
        <v>49</v>
      </c>
      <c r="F279" t="s">
        <v>69</v>
      </c>
      <c r="G279" t="s">
        <v>85</v>
      </c>
      <c r="H279" t="s">
        <v>94</v>
      </c>
      <c r="I279">
        <v>2020</v>
      </c>
      <c r="J279">
        <f t="shared" ref="J279:J310" si="1">4/12</f>
        <v>0.33333333333333331</v>
      </c>
      <c r="K279" t="s">
        <v>101</v>
      </c>
      <c r="L279">
        <v>16</v>
      </c>
      <c r="M279">
        <f>10*10</f>
        <v>100</v>
      </c>
      <c r="N279" t="s">
        <v>760</v>
      </c>
      <c r="O279" t="s">
        <v>760</v>
      </c>
      <c r="Q279" s="1" t="s">
        <v>2292</v>
      </c>
      <c r="R279" s="1" t="s">
        <v>760</v>
      </c>
      <c r="S279" s="1" t="s">
        <v>760</v>
      </c>
      <c r="X279" t="s">
        <v>2469</v>
      </c>
      <c r="Y279" t="s">
        <v>2279</v>
      </c>
      <c r="Z279" t="s">
        <v>528</v>
      </c>
      <c r="AA279" t="s">
        <v>2470</v>
      </c>
      <c r="AB279" t="s">
        <v>2581</v>
      </c>
      <c r="AC279" t="s">
        <v>152</v>
      </c>
      <c r="AD279" t="s">
        <v>2278</v>
      </c>
      <c r="AH279" t="s">
        <v>49</v>
      </c>
      <c r="AI279" t="s">
        <v>49</v>
      </c>
      <c r="AM279" t="s">
        <v>233</v>
      </c>
      <c r="AN279" t="s">
        <v>165</v>
      </c>
      <c r="AP279" t="s">
        <v>49</v>
      </c>
    </row>
    <row r="280" spans="1:43" x14ac:dyDescent="0.2">
      <c r="A280" t="s">
        <v>33</v>
      </c>
      <c r="B280" t="s">
        <v>318</v>
      </c>
      <c r="C280">
        <v>2022</v>
      </c>
      <c r="D280" t="s">
        <v>44</v>
      </c>
      <c r="E280" t="s">
        <v>49</v>
      </c>
      <c r="F280" t="s">
        <v>69</v>
      </c>
      <c r="G280" t="s">
        <v>85</v>
      </c>
      <c r="H280" t="s">
        <v>94</v>
      </c>
      <c r="I280">
        <v>2020</v>
      </c>
      <c r="J280">
        <f t="shared" si="1"/>
        <v>0.33333333333333331</v>
      </c>
      <c r="K280" t="s">
        <v>101</v>
      </c>
      <c r="L280">
        <v>16</v>
      </c>
      <c r="M280">
        <f>10*10</f>
        <v>100</v>
      </c>
      <c r="N280" t="s">
        <v>760</v>
      </c>
      <c r="O280" t="s">
        <v>760</v>
      </c>
      <c r="Q280" s="1" t="s">
        <v>2292</v>
      </c>
      <c r="R280" s="1" t="s">
        <v>760</v>
      </c>
      <c r="S280" s="1" t="s">
        <v>760</v>
      </c>
      <c r="X280" t="s">
        <v>527</v>
      </c>
      <c r="Y280" t="s">
        <v>2273</v>
      </c>
      <c r="Z280" t="s">
        <v>249</v>
      </c>
      <c r="AA280" t="s">
        <v>2359</v>
      </c>
      <c r="AB280" t="s">
        <v>1419</v>
      </c>
      <c r="AC280" t="s">
        <v>152</v>
      </c>
      <c r="AD280" t="s">
        <v>137</v>
      </c>
      <c r="AH280" t="s">
        <v>49</v>
      </c>
      <c r="AI280" t="s">
        <v>49</v>
      </c>
      <c r="AM280" t="s">
        <v>233</v>
      </c>
      <c r="AN280" t="s">
        <v>165</v>
      </c>
      <c r="AP280" t="s">
        <v>51</v>
      </c>
    </row>
    <row r="281" spans="1:43" x14ac:dyDescent="0.2">
      <c r="A281" t="s">
        <v>33</v>
      </c>
      <c r="B281" t="s">
        <v>318</v>
      </c>
      <c r="C281">
        <v>2022</v>
      </c>
      <c r="D281" t="s">
        <v>44</v>
      </c>
      <c r="E281" t="s">
        <v>49</v>
      </c>
      <c r="F281" t="s">
        <v>69</v>
      </c>
      <c r="G281" t="s">
        <v>85</v>
      </c>
      <c r="H281" t="s">
        <v>94</v>
      </c>
      <c r="I281">
        <v>2020</v>
      </c>
      <c r="J281">
        <f t="shared" si="1"/>
        <v>0.33333333333333331</v>
      </c>
      <c r="K281" t="s">
        <v>101</v>
      </c>
      <c r="L281">
        <v>16</v>
      </c>
      <c r="M281">
        <f>10*10</f>
        <v>100</v>
      </c>
      <c r="N281" t="s">
        <v>760</v>
      </c>
      <c r="O281" t="s">
        <v>760</v>
      </c>
      <c r="Q281" s="1" t="s">
        <v>2292</v>
      </c>
      <c r="R281" s="1" t="s">
        <v>760</v>
      </c>
      <c r="S281" s="1" t="s">
        <v>760</v>
      </c>
      <c r="X281" t="s">
        <v>646</v>
      </c>
      <c r="Y281" t="s">
        <v>2279</v>
      </c>
      <c r="Z281" t="s">
        <v>2280</v>
      </c>
      <c r="AA281" t="s">
        <v>2358</v>
      </c>
      <c r="AB281" t="s">
        <v>2290</v>
      </c>
      <c r="AC281" t="s">
        <v>152</v>
      </c>
      <c r="AD281" t="s">
        <v>2278</v>
      </c>
      <c r="AH281" t="s">
        <v>49</v>
      </c>
      <c r="AI281" t="s">
        <v>49</v>
      </c>
      <c r="AM281" t="s">
        <v>233</v>
      </c>
      <c r="AN281" t="s">
        <v>165</v>
      </c>
      <c r="AP281" t="s">
        <v>49</v>
      </c>
    </row>
    <row r="282" spans="1:43" x14ac:dyDescent="0.2">
      <c r="A282" t="s">
        <v>33</v>
      </c>
      <c r="B282" t="s">
        <v>318</v>
      </c>
      <c r="C282">
        <v>2022</v>
      </c>
      <c r="D282" t="s">
        <v>44</v>
      </c>
      <c r="E282" t="s">
        <v>49</v>
      </c>
      <c r="F282" t="s">
        <v>69</v>
      </c>
      <c r="G282" t="s">
        <v>85</v>
      </c>
      <c r="H282" t="s">
        <v>94</v>
      </c>
      <c r="I282">
        <v>2020</v>
      </c>
      <c r="J282">
        <f t="shared" si="1"/>
        <v>0.33333333333333331</v>
      </c>
      <c r="K282" t="s">
        <v>101</v>
      </c>
      <c r="L282">
        <v>16</v>
      </c>
      <c r="M282">
        <f>0.5*0.5</f>
        <v>0.25</v>
      </c>
      <c r="N282" t="s">
        <v>760</v>
      </c>
      <c r="O282" t="s">
        <v>760</v>
      </c>
      <c r="Q282" s="1" t="s">
        <v>2292</v>
      </c>
      <c r="R282" s="1" t="s">
        <v>760</v>
      </c>
      <c r="S282" s="1" t="s">
        <v>760</v>
      </c>
      <c r="X282" t="s">
        <v>2471</v>
      </c>
      <c r="Y282" t="s">
        <v>2279</v>
      </c>
      <c r="Z282" t="s">
        <v>2280</v>
      </c>
      <c r="AA282" t="s">
        <v>2358</v>
      </c>
      <c r="AB282" t="s">
        <v>189</v>
      </c>
      <c r="AC282" t="s">
        <v>152</v>
      </c>
      <c r="AD282" t="s">
        <v>2278</v>
      </c>
      <c r="AH282" t="s">
        <v>49</v>
      </c>
      <c r="AI282" t="s">
        <v>49</v>
      </c>
      <c r="AM282" t="s">
        <v>233</v>
      </c>
      <c r="AN282" t="s">
        <v>165</v>
      </c>
      <c r="AP282" t="s">
        <v>51</v>
      </c>
    </row>
    <row r="283" spans="1:43" x14ac:dyDescent="0.2">
      <c r="A283" t="s">
        <v>33</v>
      </c>
      <c r="B283" t="s">
        <v>318</v>
      </c>
      <c r="C283">
        <v>2022</v>
      </c>
      <c r="D283" t="s">
        <v>44</v>
      </c>
      <c r="E283" t="s">
        <v>49</v>
      </c>
      <c r="F283" t="s">
        <v>69</v>
      </c>
      <c r="G283" t="s">
        <v>85</v>
      </c>
      <c r="H283" t="s">
        <v>94</v>
      </c>
      <c r="I283">
        <v>2020</v>
      </c>
      <c r="J283">
        <f t="shared" si="1"/>
        <v>0.33333333333333331</v>
      </c>
      <c r="K283" t="s">
        <v>101</v>
      </c>
      <c r="L283">
        <v>16</v>
      </c>
      <c r="M283">
        <f>10*10</f>
        <v>100</v>
      </c>
      <c r="N283" t="s">
        <v>760</v>
      </c>
      <c r="O283" t="s">
        <v>760</v>
      </c>
      <c r="Q283" s="1" t="s">
        <v>2292</v>
      </c>
      <c r="R283" s="1" t="s">
        <v>760</v>
      </c>
      <c r="S283" s="1" t="s">
        <v>760</v>
      </c>
      <c r="X283" t="s">
        <v>2469</v>
      </c>
      <c r="Y283" t="s">
        <v>2279</v>
      </c>
      <c r="Z283" t="s">
        <v>528</v>
      </c>
      <c r="AA283" t="s">
        <v>2470</v>
      </c>
      <c r="AB283" t="s">
        <v>2581</v>
      </c>
      <c r="AC283" t="s">
        <v>152</v>
      </c>
      <c r="AD283" t="s">
        <v>2278</v>
      </c>
      <c r="AH283" t="s">
        <v>49</v>
      </c>
      <c r="AI283" t="s">
        <v>49</v>
      </c>
      <c r="AM283" t="s">
        <v>233</v>
      </c>
      <c r="AN283" t="s">
        <v>166</v>
      </c>
      <c r="AP283" t="s">
        <v>51</v>
      </c>
    </row>
    <row r="284" spans="1:43" x14ac:dyDescent="0.2">
      <c r="A284" t="s">
        <v>33</v>
      </c>
      <c r="B284" t="s">
        <v>318</v>
      </c>
      <c r="C284">
        <v>2022</v>
      </c>
      <c r="D284" t="s">
        <v>44</v>
      </c>
      <c r="E284" t="s">
        <v>49</v>
      </c>
      <c r="F284" t="s">
        <v>69</v>
      </c>
      <c r="G284" t="s">
        <v>85</v>
      </c>
      <c r="H284" t="s">
        <v>94</v>
      </c>
      <c r="I284">
        <v>2020</v>
      </c>
      <c r="J284">
        <f t="shared" si="1"/>
        <v>0.33333333333333331</v>
      </c>
      <c r="K284" t="s">
        <v>101</v>
      </c>
      <c r="L284">
        <v>16</v>
      </c>
      <c r="M284">
        <f>10*10</f>
        <v>100</v>
      </c>
      <c r="N284" t="s">
        <v>760</v>
      </c>
      <c r="O284" t="s">
        <v>760</v>
      </c>
      <c r="Q284" s="1" t="s">
        <v>2292</v>
      </c>
      <c r="R284" s="1" t="s">
        <v>760</v>
      </c>
      <c r="S284" s="1" t="s">
        <v>760</v>
      </c>
      <c r="X284" t="s">
        <v>527</v>
      </c>
      <c r="Y284" t="s">
        <v>2273</v>
      </c>
      <c r="Z284" t="s">
        <v>249</v>
      </c>
      <c r="AA284" t="s">
        <v>2359</v>
      </c>
      <c r="AB284" t="s">
        <v>1419</v>
      </c>
      <c r="AC284" t="s">
        <v>152</v>
      </c>
      <c r="AD284" t="s">
        <v>137</v>
      </c>
      <c r="AH284" t="s">
        <v>49</v>
      </c>
      <c r="AI284" t="s">
        <v>49</v>
      </c>
      <c r="AM284" t="s">
        <v>233</v>
      </c>
      <c r="AN284" t="s">
        <v>166</v>
      </c>
      <c r="AP284" t="s">
        <v>51</v>
      </c>
    </row>
    <row r="285" spans="1:43" x14ac:dyDescent="0.2">
      <c r="A285" t="s">
        <v>33</v>
      </c>
      <c r="B285" t="s">
        <v>318</v>
      </c>
      <c r="C285">
        <v>2022</v>
      </c>
      <c r="D285" t="s">
        <v>44</v>
      </c>
      <c r="E285" t="s">
        <v>49</v>
      </c>
      <c r="F285" t="s">
        <v>69</v>
      </c>
      <c r="G285" t="s">
        <v>85</v>
      </c>
      <c r="H285" t="s">
        <v>94</v>
      </c>
      <c r="I285">
        <v>2020</v>
      </c>
      <c r="J285">
        <f t="shared" si="1"/>
        <v>0.33333333333333331</v>
      </c>
      <c r="K285" t="s">
        <v>101</v>
      </c>
      <c r="L285">
        <v>16</v>
      </c>
      <c r="M285">
        <f>10*10</f>
        <v>100</v>
      </c>
      <c r="N285" t="s">
        <v>760</v>
      </c>
      <c r="O285" t="s">
        <v>760</v>
      </c>
      <c r="Q285" s="1" t="s">
        <v>2292</v>
      </c>
      <c r="R285" s="1" t="s">
        <v>760</v>
      </c>
      <c r="S285" s="1" t="s">
        <v>760</v>
      </c>
      <c r="X285" t="s">
        <v>646</v>
      </c>
      <c r="Y285" t="s">
        <v>2279</v>
      </c>
      <c r="Z285" t="s">
        <v>2280</v>
      </c>
      <c r="AA285" t="s">
        <v>2358</v>
      </c>
      <c r="AB285" t="s">
        <v>2290</v>
      </c>
      <c r="AC285" t="s">
        <v>152</v>
      </c>
      <c r="AD285" t="s">
        <v>2278</v>
      </c>
      <c r="AH285" t="s">
        <v>49</v>
      </c>
      <c r="AI285" t="s">
        <v>49</v>
      </c>
      <c r="AM285" t="s">
        <v>233</v>
      </c>
      <c r="AN285" t="s">
        <v>166</v>
      </c>
      <c r="AP285" t="s">
        <v>51</v>
      </c>
    </row>
    <row r="286" spans="1:43" x14ac:dyDescent="0.2">
      <c r="A286" t="s">
        <v>33</v>
      </c>
      <c r="B286" t="s">
        <v>318</v>
      </c>
      <c r="C286">
        <v>2022</v>
      </c>
      <c r="D286" t="s">
        <v>44</v>
      </c>
      <c r="E286" t="s">
        <v>49</v>
      </c>
      <c r="F286" t="s">
        <v>69</v>
      </c>
      <c r="G286" t="s">
        <v>85</v>
      </c>
      <c r="H286" t="s">
        <v>94</v>
      </c>
      <c r="I286">
        <v>2020</v>
      </c>
      <c r="J286">
        <f t="shared" si="1"/>
        <v>0.33333333333333331</v>
      </c>
      <c r="K286" t="s">
        <v>101</v>
      </c>
      <c r="L286">
        <v>16</v>
      </c>
      <c r="M286">
        <f>0.5*0.5</f>
        <v>0.25</v>
      </c>
      <c r="N286" t="s">
        <v>760</v>
      </c>
      <c r="O286" t="s">
        <v>760</v>
      </c>
      <c r="Q286" s="1" t="s">
        <v>2292</v>
      </c>
      <c r="R286" s="1" t="s">
        <v>760</v>
      </c>
      <c r="S286" s="1" t="s">
        <v>760</v>
      </c>
      <c r="X286" t="s">
        <v>2471</v>
      </c>
      <c r="Y286" t="s">
        <v>2279</v>
      </c>
      <c r="Z286" t="s">
        <v>2280</v>
      </c>
      <c r="AA286" t="s">
        <v>2358</v>
      </c>
      <c r="AB286" t="s">
        <v>189</v>
      </c>
      <c r="AC286" t="s">
        <v>152</v>
      </c>
      <c r="AD286" t="s">
        <v>2278</v>
      </c>
      <c r="AH286" t="s">
        <v>49</v>
      </c>
      <c r="AI286" t="s">
        <v>49</v>
      </c>
      <c r="AM286" t="s">
        <v>233</v>
      </c>
      <c r="AN286" t="s">
        <v>166</v>
      </c>
      <c r="AP286" t="s">
        <v>51</v>
      </c>
    </row>
    <row r="287" spans="1:43" x14ac:dyDescent="0.2">
      <c r="A287" t="s">
        <v>33</v>
      </c>
      <c r="B287" t="s">
        <v>318</v>
      </c>
      <c r="C287">
        <v>2022</v>
      </c>
      <c r="D287" t="s">
        <v>44</v>
      </c>
      <c r="E287" t="s">
        <v>49</v>
      </c>
      <c r="F287" t="s">
        <v>69</v>
      </c>
      <c r="G287" t="s">
        <v>85</v>
      </c>
      <c r="H287" t="s">
        <v>94</v>
      </c>
      <c r="I287">
        <v>2020</v>
      </c>
      <c r="J287">
        <f t="shared" si="1"/>
        <v>0.33333333333333331</v>
      </c>
      <c r="K287" t="s">
        <v>101</v>
      </c>
      <c r="L287">
        <v>16</v>
      </c>
      <c r="M287">
        <f>10*10</f>
        <v>100</v>
      </c>
      <c r="N287" t="s">
        <v>760</v>
      </c>
      <c r="O287" t="s">
        <v>760</v>
      </c>
      <c r="Q287" s="1" t="s">
        <v>2292</v>
      </c>
      <c r="R287" s="1" t="s">
        <v>760</v>
      </c>
      <c r="S287" s="1" t="s">
        <v>760</v>
      </c>
      <c r="X287" t="s">
        <v>2469</v>
      </c>
      <c r="Y287" t="s">
        <v>2279</v>
      </c>
      <c r="Z287" t="s">
        <v>528</v>
      </c>
      <c r="AA287" t="s">
        <v>2470</v>
      </c>
      <c r="AB287" t="s">
        <v>2581</v>
      </c>
      <c r="AC287" t="s">
        <v>152</v>
      </c>
      <c r="AD287" t="s">
        <v>2278</v>
      </c>
      <c r="AH287" t="s">
        <v>49</v>
      </c>
      <c r="AI287" t="s">
        <v>49</v>
      </c>
      <c r="AM287" t="s">
        <v>233</v>
      </c>
      <c r="AN287" t="s">
        <v>154</v>
      </c>
      <c r="AP287" t="s">
        <v>51</v>
      </c>
    </row>
    <row r="288" spans="1:43" x14ac:dyDescent="0.2">
      <c r="A288" t="s">
        <v>33</v>
      </c>
      <c r="B288" t="s">
        <v>318</v>
      </c>
      <c r="C288">
        <v>2022</v>
      </c>
      <c r="D288" t="s">
        <v>44</v>
      </c>
      <c r="E288" t="s">
        <v>49</v>
      </c>
      <c r="F288" t="s">
        <v>69</v>
      </c>
      <c r="G288" t="s">
        <v>85</v>
      </c>
      <c r="H288" t="s">
        <v>94</v>
      </c>
      <c r="I288">
        <v>2020</v>
      </c>
      <c r="J288">
        <f t="shared" si="1"/>
        <v>0.33333333333333331</v>
      </c>
      <c r="K288" t="s">
        <v>101</v>
      </c>
      <c r="L288">
        <v>16</v>
      </c>
      <c r="M288">
        <f>10*10</f>
        <v>100</v>
      </c>
      <c r="N288" t="s">
        <v>760</v>
      </c>
      <c r="O288" t="s">
        <v>760</v>
      </c>
      <c r="Q288" s="1" t="s">
        <v>2292</v>
      </c>
      <c r="R288" s="1" t="s">
        <v>760</v>
      </c>
      <c r="S288" s="1" t="s">
        <v>760</v>
      </c>
      <c r="X288" t="s">
        <v>527</v>
      </c>
      <c r="Y288" t="s">
        <v>2273</v>
      </c>
      <c r="Z288" t="s">
        <v>249</v>
      </c>
      <c r="AA288" t="s">
        <v>2359</v>
      </c>
      <c r="AB288" t="s">
        <v>1419</v>
      </c>
      <c r="AC288" t="s">
        <v>152</v>
      </c>
      <c r="AD288" t="s">
        <v>137</v>
      </c>
      <c r="AH288" t="s">
        <v>49</v>
      </c>
      <c r="AI288" t="s">
        <v>49</v>
      </c>
      <c r="AM288" t="s">
        <v>233</v>
      </c>
      <c r="AN288" t="s">
        <v>154</v>
      </c>
      <c r="AP288" t="s">
        <v>51</v>
      </c>
    </row>
    <row r="289" spans="1:43" x14ac:dyDescent="0.2">
      <c r="A289" t="s">
        <v>33</v>
      </c>
      <c r="B289" t="s">
        <v>318</v>
      </c>
      <c r="C289">
        <v>2022</v>
      </c>
      <c r="D289" t="s">
        <v>44</v>
      </c>
      <c r="E289" t="s">
        <v>49</v>
      </c>
      <c r="F289" t="s">
        <v>69</v>
      </c>
      <c r="G289" t="s">
        <v>85</v>
      </c>
      <c r="H289" t="s">
        <v>94</v>
      </c>
      <c r="I289">
        <v>2020</v>
      </c>
      <c r="J289">
        <f t="shared" si="1"/>
        <v>0.33333333333333331</v>
      </c>
      <c r="K289" t="s">
        <v>101</v>
      </c>
      <c r="L289">
        <v>16</v>
      </c>
      <c r="M289">
        <f>10*10</f>
        <v>100</v>
      </c>
      <c r="N289" t="s">
        <v>760</v>
      </c>
      <c r="O289" t="s">
        <v>760</v>
      </c>
      <c r="Q289" s="1" t="s">
        <v>2292</v>
      </c>
      <c r="R289" s="1" t="s">
        <v>760</v>
      </c>
      <c r="S289" s="1" t="s">
        <v>760</v>
      </c>
      <c r="X289" t="s">
        <v>646</v>
      </c>
      <c r="Y289" t="s">
        <v>2279</v>
      </c>
      <c r="Z289" t="s">
        <v>2280</v>
      </c>
      <c r="AA289" t="s">
        <v>2358</v>
      </c>
      <c r="AB289" t="s">
        <v>2290</v>
      </c>
      <c r="AC289" t="s">
        <v>152</v>
      </c>
      <c r="AD289" t="s">
        <v>2278</v>
      </c>
      <c r="AH289" t="s">
        <v>49</v>
      </c>
      <c r="AI289" t="s">
        <v>49</v>
      </c>
      <c r="AM289" t="s">
        <v>233</v>
      </c>
      <c r="AN289" t="s">
        <v>154</v>
      </c>
      <c r="AP289" t="s">
        <v>51</v>
      </c>
    </row>
    <row r="290" spans="1:43" x14ac:dyDescent="0.2">
      <c r="A290" t="s">
        <v>33</v>
      </c>
      <c r="B290" t="s">
        <v>318</v>
      </c>
      <c r="C290">
        <v>2022</v>
      </c>
      <c r="D290" t="s">
        <v>44</v>
      </c>
      <c r="E290" t="s">
        <v>49</v>
      </c>
      <c r="F290" t="s">
        <v>69</v>
      </c>
      <c r="G290" t="s">
        <v>85</v>
      </c>
      <c r="H290" t="s">
        <v>94</v>
      </c>
      <c r="I290">
        <v>2020</v>
      </c>
      <c r="J290">
        <f t="shared" si="1"/>
        <v>0.33333333333333331</v>
      </c>
      <c r="K290" t="s">
        <v>101</v>
      </c>
      <c r="L290">
        <v>16</v>
      </c>
      <c r="M290">
        <f>0.5*0.5</f>
        <v>0.25</v>
      </c>
      <c r="N290" t="s">
        <v>760</v>
      </c>
      <c r="O290" t="s">
        <v>760</v>
      </c>
      <c r="Q290" s="1" t="s">
        <v>2292</v>
      </c>
      <c r="R290" s="1" t="s">
        <v>760</v>
      </c>
      <c r="S290" s="1" t="s">
        <v>760</v>
      </c>
      <c r="X290" t="s">
        <v>2471</v>
      </c>
      <c r="Y290" t="s">
        <v>2279</v>
      </c>
      <c r="Z290" t="s">
        <v>2280</v>
      </c>
      <c r="AA290" t="s">
        <v>2358</v>
      </c>
      <c r="AB290" t="s">
        <v>189</v>
      </c>
      <c r="AC290" t="s">
        <v>152</v>
      </c>
      <c r="AD290" t="s">
        <v>2278</v>
      </c>
      <c r="AH290" t="s">
        <v>49</v>
      </c>
      <c r="AI290" t="s">
        <v>49</v>
      </c>
      <c r="AM290" t="s">
        <v>233</v>
      </c>
      <c r="AN290" t="s">
        <v>154</v>
      </c>
      <c r="AP290" t="s">
        <v>51</v>
      </c>
    </row>
    <row r="291" spans="1:43" x14ac:dyDescent="0.2">
      <c r="A291" t="s">
        <v>33</v>
      </c>
      <c r="B291" t="s">
        <v>318</v>
      </c>
      <c r="C291">
        <v>2022</v>
      </c>
      <c r="D291" t="s">
        <v>44</v>
      </c>
      <c r="E291" t="s">
        <v>49</v>
      </c>
      <c r="F291" t="s">
        <v>69</v>
      </c>
      <c r="G291" t="s">
        <v>85</v>
      </c>
      <c r="H291" t="s">
        <v>94</v>
      </c>
      <c r="I291">
        <v>2020</v>
      </c>
      <c r="J291">
        <f t="shared" si="1"/>
        <v>0.33333333333333331</v>
      </c>
      <c r="K291" t="s">
        <v>101</v>
      </c>
      <c r="L291">
        <v>16</v>
      </c>
      <c r="M291">
        <f>0.5*0.5</f>
        <v>0.25</v>
      </c>
      <c r="N291" t="s">
        <v>760</v>
      </c>
      <c r="O291" t="s">
        <v>760</v>
      </c>
      <c r="Q291" s="1" t="s">
        <v>2292</v>
      </c>
      <c r="R291" s="1" t="s">
        <v>760</v>
      </c>
      <c r="S291" s="1" t="s">
        <v>760</v>
      </c>
      <c r="T291" s="1" t="s">
        <v>421</v>
      </c>
      <c r="U291" s="1" t="s">
        <v>421</v>
      </c>
      <c r="X291" t="s">
        <v>161</v>
      </c>
      <c r="Y291" t="s">
        <v>2272</v>
      </c>
      <c r="Z291" t="s">
        <v>2272</v>
      </c>
      <c r="AA291" t="s">
        <v>2272</v>
      </c>
      <c r="AB291" t="s">
        <v>2272</v>
      </c>
      <c r="AC291" t="s">
        <v>162</v>
      </c>
      <c r="AD291" t="s">
        <v>2272</v>
      </c>
      <c r="AH291" t="s">
        <v>49</v>
      </c>
      <c r="AI291" t="s">
        <v>49</v>
      </c>
      <c r="AM291" t="s">
        <v>233</v>
      </c>
      <c r="AN291" t="s">
        <v>166</v>
      </c>
      <c r="AQ291" s="5">
        <v>1</v>
      </c>
    </row>
    <row r="292" spans="1:43" x14ac:dyDescent="0.2">
      <c r="A292" t="s">
        <v>33</v>
      </c>
      <c r="B292" t="s">
        <v>318</v>
      </c>
      <c r="C292">
        <v>2022</v>
      </c>
      <c r="D292" t="s">
        <v>44</v>
      </c>
      <c r="E292" t="s">
        <v>49</v>
      </c>
      <c r="F292" t="s">
        <v>69</v>
      </c>
      <c r="G292" t="s">
        <v>85</v>
      </c>
      <c r="H292" t="s">
        <v>94</v>
      </c>
      <c r="I292">
        <v>2020</v>
      </c>
      <c r="J292">
        <f t="shared" si="1"/>
        <v>0.33333333333333331</v>
      </c>
      <c r="K292" t="s">
        <v>101</v>
      </c>
      <c r="L292">
        <v>16</v>
      </c>
      <c r="M292">
        <f>0.5*0.5</f>
        <v>0.25</v>
      </c>
      <c r="N292" t="s">
        <v>760</v>
      </c>
      <c r="O292" t="s">
        <v>760</v>
      </c>
      <c r="Q292" s="1" t="s">
        <v>2292</v>
      </c>
      <c r="R292" s="1" t="s">
        <v>760</v>
      </c>
      <c r="S292" s="1" t="s">
        <v>760</v>
      </c>
      <c r="T292" s="1" t="s">
        <v>421</v>
      </c>
      <c r="U292" s="1" t="s">
        <v>421</v>
      </c>
      <c r="X292" t="s">
        <v>161</v>
      </c>
      <c r="Y292" t="s">
        <v>2272</v>
      </c>
      <c r="Z292" t="s">
        <v>2272</v>
      </c>
      <c r="AA292" t="s">
        <v>2272</v>
      </c>
      <c r="AB292" t="s">
        <v>2272</v>
      </c>
      <c r="AC292" t="s">
        <v>162</v>
      </c>
      <c r="AD292" t="s">
        <v>2272</v>
      </c>
      <c r="AH292" t="s">
        <v>49</v>
      </c>
      <c r="AI292" t="s">
        <v>49</v>
      </c>
      <c r="AM292" t="s">
        <v>233</v>
      </c>
      <c r="AN292" t="s">
        <v>154</v>
      </c>
      <c r="AQ292" s="5">
        <v>1</v>
      </c>
    </row>
    <row r="293" spans="1:43" x14ac:dyDescent="0.2">
      <c r="A293" t="s">
        <v>33</v>
      </c>
      <c r="B293" t="s">
        <v>318</v>
      </c>
      <c r="C293">
        <v>2022</v>
      </c>
      <c r="D293" t="s">
        <v>44</v>
      </c>
      <c r="E293" t="s">
        <v>49</v>
      </c>
      <c r="F293" t="s">
        <v>69</v>
      </c>
      <c r="G293" t="s">
        <v>85</v>
      </c>
      <c r="H293" t="s">
        <v>94</v>
      </c>
      <c r="I293">
        <v>2020</v>
      </c>
      <c r="J293">
        <f t="shared" si="1"/>
        <v>0.33333333333333331</v>
      </c>
      <c r="K293" t="s">
        <v>101</v>
      </c>
      <c r="L293">
        <v>16</v>
      </c>
      <c r="M293">
        <f>10*10</f>
        <v>100</v>
      </c>
      <c r="N293" s="1" t="s">
        <v>264</v>
      </c>
      <c r="O293" s="1" t="s">
        <v>264</v>
      </c>
      <c r="Q293" s="1" t="s">
        <v>2292</v>
      </c>
      <c r="R293" s="1" t="s">
        <v>264</v>
      </c>
      <c r="S293" s="1" t="s">
        <v>264</v>
      </c>
      <c r="X293" t="s">
        <v>2472</v>
      </c>
      <c r="Y293" t="s">
        <v>2279</v>
      </c>
      <c r="Z293" t="s">
        <v>528</v>
      </c>
      <c r="AA293" t="s">
        <v>2470</v>
      </c>
      <c r="AB293" t="s">
        <v>2581</v>
      </c>
      <c r="AC293" t="s">
        <v>152</v>
      </c>
      <c r="AD293" t="s">
        <v>2278</v>
      </c>
      <c r="AH293" t="s">
        <v>49</v>
      </c>
      <c r="AI293" t="s">
        <v>49</v>
      </c>
      <c r="AM293" t="s">
        <v>233</v>
      </c>
      <c r="AN293" t="s">
        <v>165</v>
      </c>
      <c r="AP293" t="s">
        <v>49</v>
      </c>
    </row>
    <row r="294" spans="1:43" x14ac:dyDescent="0.2">
      <c r="A294" t="s">
        <v>33</v>
      </c>
      <c r="B294" t="s">
        <v>318</v>
      </c>
      <c r="C294">
        <v>2022</v>
      </c>
      <c r="D294" t="s">
        <v>44</v>
      </c>
      <c r="E294" t="s">
        <v>49</v>
      </c>
      <c r="F294" t="s">
        <v>69</v>
      </c>
      <c r="G294" t="s">
        <v>85</v>
      </c>
      <c r="H294" t="s">
        <v>94</v>
      </c>
      <c r="I294">
        <v>2020</v>
      </c>
      <c r="J294">
        <f t="shared" si="1"/>
        <v>0.33333333333333331</v>
      </c>
      <c r="K294" t="s">
        <v>101</v>
      </c>
      <c r="L294">
        <v>16</v>
      </c>
      <c r="M294">
        <v>0.25</v>
      </c>
      <c r="N294" s="1" t="s">
        <v>264</v>
      </c>
      <c r="O294" s="1" t="s">
        <v>264</v>
      </c>
      <c r="Q294" s="1" t="s">
        <v>2292</v>
      </c>
      <c r="R294" s="1" t="s">
        <v>264</v>
      </c>
      <c r="S294" s="1" t="s">
        <v>264</v>
      </c>
      <c r="X294" t="s">
        <v>303</v>
      </c>
      <c r="Y294" t="s">
        <v>2273</v>
      </c>
      <c r="Z294" t="s">
        <v>249</v>
      </c>
      <c r="AA294" t="s">
        <v>2359</v>
      </c>
      <c r="AB294" t="s">
        <v>1419</v>
      </c>
      <c r="AC294" t="s">
        <v>152</v>
      </c>
      <c r="AD294" t="s">
        <v>137</v>
      </c>
      <c r="AH294" t="s">
        <v>49</v>
      </c>
      <c r="AI294" t="s">
        <v>49</v>
      </c>
      <c r="AM294" t="s">
        <v>233</v>
      </c>
      <c r="AN294" t="s">
        <v>165</v>
      </c>
      <c r="AP294" t="s">
        <v>51</v>
      </c>
    </row>
    <row r="295" spans="1:43" x14ac:dyDescent="0.2">
      <c r="A295" t="s">
        <v>33</v>
      </c>
      <c r="B295" t="s">
        <v>318</v>
      </c>
      <c r="C295">
        <v>2022</v>
      </c>
      <c r="D295" t="s">
        <v>44</v>
      </c>
      <c r="E295" t="s">
        <v>49</v>
      </c>
      <c r="F295" t="s">
        <v>69</v>
      </c>
      <c r="G295" t="s">
        <v>85</v>
      </c>
      <c r="H295" t="s">
        <v>94</v>
      </c>
      <c r="I295">
        <v>2020</v>
      </c>
      <c r="J295">
        <f t="shared" si="1"/>
        <v>0.33333333333333331</v>
      </c>
      <c r="K295" t="s">
        <v>101</v>
      </c>
      <c r="L295">
        <v>16</v>
      </c>
      <c r="M295">
        <f>10*10</f>
        <v>100</v>
      </c>
      <c r="N295" s="1" t="s">
        <v>264</v>
      </c>
      <c r="O295" s="1" t="s">
        <v>264</v>
      </c>
      <c r="Q295" s="1" t="s">
        <v>2292</v>
      </c>
      <c r="R295" s="1" t="s">
        <v>264</v>
      </c>
      <c r="S295" s="1" t="s">
        <v>264</v>
      </c>
      <c r="X295" t="s">
        <v>2472</v>
      </c>
      <c r="Y295" t="s">
        <v>2279</v>
      </c>
      <c r="Z295" t="s">
        <v>528</v>
      </c>
      <c r="AA295" t="s">
        <v>2470</v>
      </c>
      <c r="AB295" t="s">
        <v>2581</v>
      </c>
      <c r="AC295" t="s">
        <v>152</v>
      </c>
      <c r="AD295" t="s">
        <v>2278</v>
      </c>
      <c r="AH295" t="s">
        <v>49</v>
      </c>
      <c r="AI295" t="s">
        <v>49</v>
      </c>
      <c r="AM295" t="s">
        <v>233</v>
      </c>
      <c r="AN295" t="s">
        <v>166</v>
      </c>
      <c r="AP295" t="s">
        <v>51</v>
      </c>
    </row>
    <row r="296" spans="1:43" x14ac:dyDescent="0.2">
      <c r="A296" t="s">
        <v>33</v>
      </c>
      <c r="B296" t="s">
        <v>318</v>
      </c>
      <c r="C296">
        <v>2022</v>
      </c>
      <c r="D296" t="s">
        <v>44</v>
      </c>
      <c r="E296" t="s">
        <v>49</v>
      </c>
      <c r="F296" t="s">
        <v>69</v>
      </c>
      <c r="G296" t="s">
        <v>85</v>
      </c>
      <c r="H296" t="s">
        <v>94</v>
      </c>
      <c r="I296">
        <v>2020</v>
      </c>
      <c r="J296">
        <f t="shared" si="1"/>
        <v>0.33333333333333331</v>
      </c>
      <c r="K296" t="s">
        <v>101</v>
      </c>
      <c r="L296">
        <v>16</v>
      </c>
      <c r="M296">
        <v>0.25</v>
      </c>
      <c r="N296" s="1" t="s">
        <v>264</v>
      </c>
      <c r="O296" s="1" t="s">
        <v>264</v>
      </c>
      <c r="Q296" s="1" t="s">
        <v>2292</v>
      </c>
      <c r="R296" s="1" t="s">
        <v>264</v>
      </c>
      <c r="S296" s="1" t="s">
        <v>264</v>
      </c>
      <c r="X296" t="s">
        <v>303</v>
      </c>
      <c r="Y296" t="s">
        <v>2273</v>
      </c>
      <c r="Z296" t="s">
        <v>249</v>
      </c>
      <c r="AA296" t="s">
        <v>2359</v>
      </c>
      <c r="AB296" t="s">
        <v>1419</v>
      </c>
      <c r="AC296" t="s">
        <v>152</v>
      </c>
      <c r="AD296" t="s">
        <v>137</v>
      </c>
      <c r="AH296" t="s">
        <v>49</v>
      </c>
      <c r="AI296" t="s">
        <v>49</v>
      </c>
      <c r="AM296" t="s">
        <v>233</v>
      </c>
      <c r="AN296" t="s">
        <v>166</v>
      </c>
      <c r="AP296" t="s">
        <v>51</v>
      </c>
    </row>
    <row r="297" spans="1:43" x14ac:dyDescent="0.2">
      <c r="A297" t="s">
        <v>33</v>
      </c>
      <c r="B297" t="s">
        <v>318</v>
      </c>
      <c r="C297">
        <v>2022</v>
      </c>
      <c r="D297" t="s">
        <v>44</v>
      </c>
      <c r="E297" t="s">
        <v>49</v>
      </c>
      <c r="F297" t="s">
        <v>69</v>
      </c>
      <c r="G297" t="s">
        <v>85</v>
      </c>
      <c r="H297" t="s">
        <v>94</v>
      </c>
      <c r="I297">
        <v>2020</v>
      </c>
      <c r="J297">
        <f t="shared" si="1"/>
        <v>0.33333333333333331</v>
      </c>
      <c r="K297" t="s">
        <v>101</v>
      </c>
      <c r="L297">
        <v>16</v>
      </c>
      <c r="M297">
        <f>10*10</f>
        <v>100</v>
      </c>
      <c r="N297" s="1" t="s">
        <v>264</v>
      </c>
      <c r="O297" s="1" t="s">
        <v>264</v>
      </c>
      <c r="Q297" s="1" t="s">
        <v>2292</v>
      </c>
      <c r="R297" s="1" t="s">
        <v>264</v>
      </c>
      <c r="S297" s="1" t="s">
        <v>264</v>
      </c>
      <c r="X297" t="s">
        <v>2472</v>
      </c>
      <c r="Y297" t="s">
        <v>2279</v>
      </c>
      <c r="Z297" t="s">
        <v>528</v>
      </c>
      <c r="AA297" t="s">
        <v>2470</v>
      </c>
      <c r="AB297" t="s">
        <v>2581</v>
      </c>
      <c r="AC297" t="s">
        <v>152</v>
      </c>
      <c r="AD297" t="s">
        <v>2278</v>
      </c>
      <c r="AH297" t="s">
        <v>49</v>
      </c>
      <c r="AI297" t="s">
        <v>49</v>
      </c>
      <c r="AM297" t="s">
        <v>233</v>
      </c>
      <c r="AN297" t="s">
        <v>154</v>
      </c>
      <c r="AP297" t="s">
        <v>51</v>
      </c>
    </row>
    <row r="298" spans="1:43" x14ac:dyDescent="0.2">
      <c r="A298" t="s">
        <v>33</v>
      </c>
      <c r="B298" t="s">
        <v>318</v>
      </c>
      <c r="C298">
        <v>2022</v>
      </c>
      <c r="D298" t="s">
        <v>44</v>
      </c>
      <c r="E298" t="s">
        <v>49</v>
      </c>
      <c r="F298" t="s">
        <v>69</v>
      </c>
      <c r="G298" t="s">
        <v>85</v>
      </c>
      <c r="H298" t="s">
        <v>94</v>
      </c>
      <c r="I298">
        <v>2020</v>
      </c>
      <c r="J298">
        <f t="shared" si="1"/>
        <v>0.33333333333333331</v>
      </c>
      <c r="K298" t="s">
        <v>101</v>
      </c>
      <c r="L298">
        <v>16</v>
      </c>
      <c r="M298">
        <v>0.25</v>
      </c>
      <c r="N298" s="1" t="s">
        <v>264</v>
      </c>
      <c r="O298" s="1" t="s">
        <v>264</v>
      </c>
      <c r="Q298" s="1" t="s">
        <v>2292</v>
      </c>
      <c r="R298" s="1" t="s">
        <v>264</v>
      </c>
      <c r="S298" s="1" t="s">
        <v>264</v>
      </c>
      <c r="X298" t="s">
        <v>303</v>
      </c>
      <c r="Y298" t="s">
        <v>2273</v>
      </c>
      <c r="Z298" t="s">
        <v>249</v>
      </c>
      <c r="AA298" t="s">
        <v>2359</v>
      </c>
      <c r="AB298" t="s">
        <v>1419</v>
      </c>
      <c r="AC298" t="s">
        <v>152</v>
      </c>
      <c r="AD298" t="s">
        <v>137</v>
      </c>
      <c r="AH298" t="s">
        <v>49</v>
      </c>
      <c r="AI298" t="s">
        <v>49</v>
      </c>
      <c r="AM298" t="s">
        <v>233</v>
      </c>
      <c r="AN298" t="s">
        <v>154</v>
      </c>
      <c r="AP298" t="s">
        <v>51</v>
      </c>
    </row>
    <row r="299" spans="1:43" x14ac:dyDescent="0.2">
      <c r="A299" t="s">
        <v>33</v>
      </c>
      <c r="B299" t="s">
        <v>318</v>
      </c>
      <c r="C299">
        <v>2022</v>
      </c>
      <c r="D299" t="s">
        <v>44</v>
      </c>
      <c r="E299" t="s">
        <v>49</v>
      </c>
      <c r="F299" t="s">
        <v>69</v>
      </c>
      <c r="G299" t="s">
        <v>85</v>
      </c>
      <c r="H299" t="s">
        <v>94</v>
      </c>
      <c r="I299">
        <v>2020</v>
      </c>
      <c r="J299">
        <f t="shared" si="1"/>
        <v>0.33333333333333331</v>
      </c>
      <c r="K299" t="s">
        <v>101</v>
      </c>
      <c r="L299">
        <v>16</v>
      </c>
      <c r="M299">
        <f>10*10</f>
        <v>100</v>
      </c>
      <c r="N299" s="1" t="s">
        <v>264</v>
      </c>
      <c r="O299" s="1" t="s">
        <v>264</v>
      </c>
      <c r="Q299" s="1" t="s">
        <v>2292</v>
      </c>
      <c r="R299" s="1" t="s">
        <v>264</v>
      </c>
      <c r="S299" s="1" t="s">
        <v>264</v>
      </c>
      <c r="X299" t="s">
        <v>211</v>
      </c>
      <c r="Y299" t="s">
        <v>2279</v>
      </c>
      <c r="Z299" t="s">
        <v>2280</v>
      </c>
      <c r="AA299" t="s">
        <v>2358</v>
      </c>
      <c r="AB299" t="s">
        <v>2290</v>
      </c>
      <c r="AC299" t="s">
        <v>152</v>
      </c>
      <c r="AD299" t="s">
        <v>2278</v>
      </c>
      <c r="AH299" t="s">
        <v>49</v>
      </c>
      <c r="AI299" t="s">
        <v>49</v>
      </c>
      <c r="AM299" t="s">
        <v>233</v>
      </c>
      <c r="AN299" t="s">
        <v>165</v>
      </c>
      <c r="AP299" t="s">
        <v>49</v>
      </c>
    </row>
    <row r="300" spans="1:43" x14ac:dyDescent="0.2">
      <c r="A300" t="s">
        <v>33</v>
      </c>
      <c r="B300" t="s">
        <v>318</v>
      </c>
      <c r="C300">
        <v>2022</v>
      </c>
      <c r="D300" t="s">
        <v>44</v>
      </c>
      <c r="E300" t="s">
        <v>49</v>
      </c>
      <c r="F300" t="s">
        <v>69</v>
      </c>
      <c r="G300" t="s">
        <v>85</v>
      </c>
      <c r="H300" t="s">
        <v>94</v>
      </c>
      <c r="I300">
        <v>2020</v>
      </c>
      <c r="J300">
        <f t="shared" si="1"/>
        <v>0.33333333333333331</v>
      </c>
      <c r="K300" t="s">
        <v>101</v>
      </c>
      <c r="L300">
        <v>16</v>
      </c>
      <c r="M300">
        <f>10*10</f>
        <v>100</v>
      </c>
      <c r="N300" s="1" t="s">
        <v>264</v>
      </c>
      <c r="O300" s="1" t="s">
        <v>264</v>
      </c>
      <c r="Q300" s="1" t="s">
        <v>2292</v>
      </c>
      <c r="R300" s="1" t="s">
        <v>264</v>
      </c>
      <c r="S300" s="1" t="s">
        <v>264</v>
      </c>
      <c r="X300" t="s">
        <v>211</v>
      </c>
      <c r="Y300" t="s">
        <v>2279</v>
      </c>
      <c r="Z300" t="s">
        <v>2280</v>
      </c>
      <c r="AA300" t="s">
        <v>2358</v>
      </c>
      <c r="AB300" t="s">
        <v>2290</v>
      </c>
      <c r="AC300" t="s">
        <v>152</v>
      </c>
      <c r="AD300" t="s">
        <v>2278</v>
      </c>
      <c r="AH300" t="s">
        <v>49</v>
      </c>
      <c r="AI300" t="s">
        <v>49</v>
      </c>
      <c r="AM300" t="s">
        <v>233</v>
      </c>
      <c r="AN300" t="s">
        <v>166</v>
      </c>
      <c r="AP300" t="s">
        <v>173</v>
      </c>
    </row>
    <row r="301" spans="1:43" x14ac:dyDescent="0.2">
      <c r="A301" t="s">
        <v>33</v>
      </c>
      <c r="B301" t="s">
        <v>318</v>
      </c>
      <c r="C301">
        <v>2022</v>
      </c>
      <c r="D301" t="s">
        <v>44</v>
      </c>
      <c r="E301" t="s">
        <v>49</v>
      </c>
      <c r="F301" t="s">
        <v>69</v>
      </c>
      <c r="G301" t="s">
        <v>85</v>
      </c>
      <c r="H301" t="s">
        <v>94</v>
      </c>
      <c r="I301">
        <v>2020</v>
      </c>
      <c r="J301">
        <f t="shared" si="1"/>
        <v>0.33333333333333331</v>
      </c>
      <c r="K301" t="s">
        <v>101</v>
      </c>
      <c r="L301">
        <v>16</v>
      </c>
      <c r="M301">
        <f>10*10</f>
        <v>100</v>
      </c>
      <c r="N301" s="1" t="s">
        <v>264</v>
      </c>
      <c r="O301" s="1" t="s">
        <v>264</v>
      </c>
      <c r="Q301" s="1" t="s">
        <v>2292</v>
      </c>
      <c r="R301" s="1" t="s">
        <v>264</v>
      </c>
      <c r="S301" s="1" t="s">
        <v>264</v>
      </c>
      <c r="X301" t="s">
        <v>211</v>
      </c>
      <c r="Y301" t="s">
        <v>2279</v>
      </c>
      <c r="Z301" t="s">
        <v>2280</v>
      </c>
      <c r="AA301" t="s">
        <v>2358</v>
      </c>
      <c r="AB301" t="s">
        <v>2290</v>
      </c>
      <c r="AC301" t="s">
        <v>152</v>
      </c>
      <c r="AD301" t="s">
        <v>2278</v>
      </c>
      <c r="AH301" t="s">
        <v>49</v>
      </c>
      <c r="AI301" t="s">
        <v>49</v>
      </c>
      <c r="AM301" t="s">
        <v>233</v>
      </c>
      <c r="AN301" t="s">
        <v>154</v>
      </c>
      <c r="AP301" t="s">
        <v>173</v>
      </c>
    </row>
    <row r="302" spans="1:43" x14ac:dyDescent="0.2">
      <c r="A302" t="s">
        <v>33</v>
      </c>
      <c r="B302" t="s">
        <v>318</v>
      </c>
      <c r="C302">
        <v>2022</v>
      </c>
      <c r="D302" t="s">
        <v>44</v>
      </c>
      <c r="E302" t="s">
        <v>49</v>
      </c>
      <c r="F302" t="s">
        <v>69</v>
      </c>
      <c r="G302" t="s">
        <v>85</v>
      </c>
      <c r="H302" t="s">
        <v>94</v>
      </c>
      <c r="I302">
        <v>2020</v>
      </c>
      <c r="J302">
        <f t="shared" si="1"/>
        <v>0.33333333333333331</v>
      </c>
      <c r="K302" t="s">
        <v>101</v>
      </c>
      <c r="L302">
        <v>16</v>
      </c>
      <c r="M302">
        <f>10*10</f>
        <v>100</v>
      </c>
      <c r="N302" s="1" t="s">
        <v>124</v>
      </c>
      <c r="O302" s="1" t="s">
        <v>124</v>
      </c>
      <c r="Q302" s="1" t="s">
        <v>2292</v>
      </c>
      <c r="R302" s="1" t="s">
        <v>124</v>
      </c>
      <c r="S302" s="1" t="s">
        <v>124</v>
      </c>
      <c r="X302" t="s">
        <v>2473</v>
      </c>
      <c r="Y302" t="s">
        <v>2279</v>
      </c>
      <c r="Z302" t="s">
        <v>528</v>
      </c>
      <c r="AA302" t="s">
        <v>2470</v>
      </c>
      <c r="AB302" t="s">
        <v>2581</v>
      </c>
      <c r="AC302" t="s">
        <v>152</v>
      </c>
      <c r="AD302" t="s">
        <v>2278</v>
      </c>
      <c r="AH302" t="s">
        <v>49</v>
      </c>
      <c r="AI302" t="s">
        <v>49</v>
      </c>
      <c r="AM302" t="s">
        <v>233</v>
      </c>
      <c r="AN302" t="s">
        <v>165</v>
      </c>
      <c r="AP302" t="s">
        <v>51</v>
      </c>
    </row>
    <row r="303" spans="1:43" x14ac:dyDescent="0.2">
      <c r="A303" t="s">
        <v>33</v>
      </c>
      <c r="B303" t="s">
        <v>318</v>
      </c>
      <c r="C303">
        <v>2022</v>
      </c>
      <c r="D303" t="s">
        <v>44</v>
      </c>
      <c r="E303" t="s">
        <v>49</v>
      </c>
      <c r="F303" t="s">
        <v>69</v>
      </c>
      <c r="G303" t="s">
        <v>85</v>
      </c>
      <c r="H303" t="s">
        <v>94</v>
      </c>
      <c r="I303">
        <v>2020</v>
      </c>
      <c r="J303">
        <f t="shared" si="1"/>
        <v>0.33333333333333331</v>
      </c>
      <c r="K303" t="s">
        <v>101</v>
      </c>
      <c r="L303">
        <v>16</v>
      </c>
      <c r="M303">
        <f>10*10</f>
        <v>100</v>
      </c>
      <c r="N303" s="1" t="s">
        <v>124</v>
      </c>
      <c r="O303" s="1" t="s">
        <v>124</v>
      </c>
      <c r="Q303" s="1" t="s">
        <v>2292</v>
      </c>
      <c r="R303" s="1" t="s">
        <v>124</v>
      </c>
      <c r="S303" s="1" t="s">
        <v>124</v>
      </c>
      <c r="X303" t="s">
        <v>211</v>
      </c>
      <c r="Y303" t="s">
        <v>2279</v>
      </c>
      <c r="Z303" t="s">
        <v>2280</v>
      </c>
      <c r="AA303" t="s">
        <v>2358</v>
      </c>
      <c r="AB303" t="s">
        <v>2290</v>
      </c>
      <c r="AC303" t="s">
        <v>152</v>
      </c>
      <c r="AD303" t="s">
        <v>2278</v>
      </c>
      <c r="AH303" t="s">
        <v>49</v>
      </c>
      <c r="AI303" t="s">
        <v>49</v>
      </c>
      <c r="AM303" t="s">
        <v>233</v>
      </c>
      <c r="AN303" t="s">
        <v>165</v>
      </c>
      <c r="AP303" t="s">
        <v>51</v>
      </c>
    </row>
    <row r="304" spans="1:43" x14ac:dyDescent="0.2">
      <c r="A304" t="s">
        <v>33</v>
      </c>
      <c r="B304" t="s">
        <v>318</v>
      </c>
      <c r="C304">
        <v>2022</v>
      </c>
      <c r="D304" t="s">
        <v>44</v>
      </c>
      <c r="E304" t="s">
        <v>49</v>
      </c>
      <c r="F304" t="s">
        <v>69</v>
      </c>
      <c r="G304" t="s">
        <v>85</v>
      </c>
      <c r="H304" t="s">
        <v>94</v>
      </c>
      <c r="I304">
        <v>2020</v>
      </c>
      <c r="J304">
        <f t="shared" si="1"/>
        <v>0.33333333333333331</v>
      </c>
      <c r="K304" t="s">
        <v>101</v>
      </c>
      <c r="L304">
        <v>16</v>
      </c>
      <c r="M304">
        <v>0.25</v>
      </c>
      <c r="N304" s="1" t="s">
        <v>124</v>
      </c>
      <c r="O304" s="1" t="s">
        <v>124</v>
      </c>
      <c r="Q304" s="1" t="s">
        <v>2292</v>
      </c>
      <c r="R304" s="1" t="s">
        <v>124</v>
      </c>
      <c r="S304" s="1" t="s">
        <v>124</v>
      </c>
      <c r="X304" t="s">
        <v>303</v>
      </c>
      <c r="Y304" t="s">
        <v>2273</v>
      </c>
      <c r="Z304" t="s">
        <v>249</v>
      </c>
      <c r="AA304" t="s">
        <v>2359</v>
      </c>
      <c r="AB304" t="s">
        <v>1419</v>
      </c>
      <c r="AC304" t="s">
        <v>152</v>
      </c>
      <c r="AD304" t="s">
        <v>137</v>
      </c>
      <c r="AH304" t="s">
        <v>49</v>
      </c>
      <c r="AI304" t="s">
        <v>49</v>
      </c>
      <c r="AM304" t="s">
        <v>233</v>
      </c>
      <c r="AN304" t="s">
        <v>165</v>
      </c>
      <c r="AP304" t="s">
        <v>51</v>
      </c>
    </row>
    <row r="305" spans="1:43" x14ac:dyDescent="0.2">
      <c r="A305" t="s">
        <v>33</v>
      </c>
      <c r="B305" t="s">
        <v>318</v>
      </c>
      <c r="C305">
        <v>2022</v>
      </c>
      <c r="D305" t="s">
        <v>44</v>
      </c>
      <c r="E305" t="s">
        <v>49</v>
      </c>
      <c r="F305" t="s">
        <v>69</v>
      </c>
      <c r="G305" t="s">
        <v>85</v>
      </c>
      <c r="H305" t="s">
        <v>94</v>
      </c>
      <c r="I305">
        <v>2020</v>
      </c>
      <c r="J305">
        <f t="shared" si="1"/>
        <v>0.33333333333333331</v>
      </c>
      <c r="K305" t="s">
        <v>101</v>
      </c>
      <c r="L305">
        <v>16</v>
      </c>
      <c r="M305">
        <f>10*10</f>
        <v>100</v>
      </c>
      <c r="N305" s="1" t="s">
        <v>124</v>
      </c>
      <c r="O305" s="1" t="s">
        <v>124</v>
      </c>
      <c r="Q305" s="1" t="s">
        <v>2292</v>
      </c>
      <c r="R305" s="1" t="s">
        <v>124</v>
      </c>
      <c r="S305" s="1" t="s">
        <v>124</v>
      </c>
      <c r="X305" t="s">
        <v>2473</v>
      </c>
      <c r="Y305" t="s">
        <v>2279</v>
      </c>
      <c r="Z305" t="s">
        <v>528</v>
      </c>
      <c r="AA305" t="s">
        <v>2470</v>
      </c>
      <c r="AB305" t="s">
        <v>2581</v>
      </c>
      <c r="AC305" t="s">
        <v>152</v>
      </c>
      <c r="AD305" t="s">
        <v>2278</v>
      </c>
      <c r="AH305" t="s">
        <v>49</v>
      </c>
      <c r="AI305" t="s">
        <v>49</v>
      </c>
      <c r="AM305" t="s">
        <v>233</v>
      </c>
      <c r="AN305" t="s">
        <v>166</v>
      </c>
      <c r="AP305" t="s">
        <v>51</v>
      </c>
    </row>
    <row r="306" spans="1:43" x14ac:dyDescent="0.2">
      <c r="A306" t="s">
        <v>33</v>
      </c>
      <c r="B306" t="s">
        <v>318</v>
      </c>
      <c r="C306">
        <v>2022</v>
      </c>
      <c r="D306" t="s">
        <v>44</v>
      </c>
      <c r="E306" t="s">
        <v>49</v>
      </c>
      <c r="F306" t="s">
        <v>69</v>
      </c>
      <c r="G306" t="s">
        <v>85</v>
      </c>
      <c r="H306" t="s">
        <v>94</v>
      </c>
      <c r="I306">
        <v>2020</v>
      </c>
      <c r="J306">
        <f t="shared" si="1"/>
        <v>0.33333333333333331</v>
      </c>
      <c r="K306" t="s">
        <v>101</v>
      </c>
      <c r="L306">
        <v>16</v>
      </c>
      <c r="M306">
        <f>10*10</f>
        <v>100</v>
      </c>
      <c r="N306" s="1" t="s">
        <v>124</v>
      </c>
      <c r="O306" s="1" t="s">
        <v>124</v>
      </c>
      <c r="Q306" s="1" t="s">
        <v>2292</v>
      </c>
      <c r="R306" s="1" t="s">
        <v>124</v>
      </c>
      <c r="S306" s="1" t="s">
        <v>124</v>
      </c>
      <c r="X306" t="s">
        <v>211</v>
      </c>
      <c r="Y306" t="s">
        <v>2279</v>
      </c>
      <c r="Z306" t="s">
        <v>2280</v>
      </c>
      <c r="AA306" t="s">
        <v>2358</v>
      </c>
      <c r="AB306" t="s">
        <v>2290</v>
      </c>
      <c r="AC306" t="s">
        <v>152</v>
      </c>
      <c r="AD306" t="s">
        <v>2278</v>
      </c>
      <c r="AH306" t="s">
        <v>49</v>
      </c>
      <c r="AI306" t="s">
        <v>49</v>
      </c>
      <c r="AM306" t="s">
        <v>233</v>
      </c>
      <c r="AN306" t="s">
        <v>166</v>
      </c>
      <c r="AP306" t="s">
        <v>51</v>
      </c>
    </row>
    <row r="307" spans="1:43" x14ac:dyDescent="0.2">
      <c r="A307" t="s">
        <v>33</v>
      </c>
      <c r="B307" t="s">
        <v>318</v>
      </c>
      <c r="C307">
        <v>2022</v>
      </c>
      <c r="D307" t="s">
        <v>44</v>
      </c>
      <c r="E307" t="s">
        <v>49</v>
      </c>
      <c r="F307" t="s">
        <v>69</v>
      </c>
      <c r="G307" t="s">
        <v>85</v>
      </c>
      <c r="H307" t="s">
        <v>94</v>
      </c>
      <c r="I307">
        <v>2020</v>
      </c>
      <c r="J307">
        <f t="shared" si="1"/>
        <v>0.33333333333333331</v>
      </c>
      <c r="K307" t="s">
        <v>101</v>
      </c>
      <c r="L307">
        <v>16</v>
      </c>
      <c r="M307">
        <v>0.25</v>
      </c>
      <c r="N307" s="1" t="s">
        <v>124</v>
      </c>
      <c r="O307" s="1" t="s">
        <v>124</v>
      </c>
      <c r="Q307" s="1" t="s">
        <v>2292</v>
      </c>
      <c r="R307" s="1" t="s">
        <v>124</v>
      </c>
      <c r="S307" s="1" t="s">
        <v>124</v>
      </c>
      <c r="X307" t="s">
        <v>303</v>
      </c>
      <c r="Y307" t="s">
        <v>2273</v>
      </c>
      <c r="Z307" t="s">
        <v>249</v>
      </c>
      <c r="AA307" t="s">
        <v>2359</v>
      </c>
      <c r="AB307" t="s">
        <v>1419</v>
      </c>
      <c r="AC307" t="s">
        <v>152</v>
      </c>
      <c r="AD307" t="s">
        <v>137</v>
      </c>
      <c r="AH307" t="s">
        <v>49</v>
      </c>
      <c r="AI307" t="s">
        <v>49</v>
      </c>
      <c r="AM307" t="s">
        <v>233</v>
      </c>
      <c r="AN307" t="s">
        <v>166</v>
      </c>
      <c r="AP307" t="s">
        <v>51</v>
      </c>
    </row>
    <row r="308" spans="1:43" x14ac:dyDescent="0.2">
      <c r="A308" t="s">
        <v>33</v>
      </c>
      <c r="B308" t="s">
        <v>318</v>
      </c>
      <c r="C308">
        <v>2022</v>
      </c>
      <c r="D308" t="s">
        <v>44</v>
      </c>
      <c r="E308" t="s">
        <v>49</v>
      </c>
      <c r="F308" t="s">
        <v>69</v>
      </c>
      <c r="G308" t="s">
        <v>85</v>
      </c>
      <c r="H308" t="s">
        <v>94</v>
      </c>
      <c r="I308">
        <v>2020</v>
      </c>
      <c r="J308">
        <f t="shared" si="1"/>
        <v>0.33333333333333331</v>
      </c>
      <c r="K308" t="s">
        <v>101</v>
      </c>
      <c r="L308">
        <v>16</v>
      </c>
      <c r="M308">
        <f>10*10</f>
        <v>100</v>
      </c>
      <c r="N308" s="1" t="s">
        <v>124</v>
      </c>
      <c r="O308" s="1" t="s">
        <v>124</v>
      </c>
      <c r="Q308" s="1" t="s">
        <v>2292</v>
      </c>
      <c r="R308" s="1" t="s">
        <v>124</v>
      </c>
      <c r="S308" s="1" t="s">
        <v>124</v>
      </c>
      <c r="X308" t="s">
        <v>2473</v>
      </c>
      <c r="Y308" t="s">
        <v>2279</v>
      </c>
      <c r="Z308" t="s">
        <v>528</v>
      </c>
      <c r="AA308" t="s">
        <v>2470</v>
      </c>
      <c r="AB308" t="s">
        <v>2581</v>
      </c>
      <c r="AC308" t="s">
        <v>152</v>
      </c>
      <c r="AD308" t="s">
        <v>2278</v>
      </c>
      <c r="AH308" t="s">
        <v>49</v>
      </c>
      <c r="AI308" t="s">
        <v>49</v>
      </c>
      <c r="AM308" t="s">
        <v>233</v>
      </c>
      <c r="AN308" t="s">
        <v>154</v>
      </c>
      <c r="AP308" t="s">
        <v>51</v>
      </c>
    </row>
    <row r="309" spans="1:43" x14ac:dyDescent="0.2">
      <c r="A309" t="s">
        <v>33</v>
      </c>
      <c r="B309" t="s">
        <v>318</v>
      </c>
      <c r="C309">
        <v>2022</v>
      </c>
      <c r="D309" t="s">
        <v>44</v>
      </c>
      <c r="E309" t="s">
        <v>49</v>
      </c>
      <c r="F309" t="s">
        <v>69</v>
      </c>
      <c r="G309" t="s">
        <v>85</v>
      </c>
      <c r="H309" t="s">
        <v>94</v>
      </c>
      <c r="I309">
        <v>2020</v>
      </c>
      <c r="J309">
        <f t="shared" si="1"/>
        <v>0.33333333333333331</v>
      </c>
      <c r="K309" t="s">
        <v>101</v>
      </c>
      <c r="L309">
        <v>16</v>
      </c>
      <c r="M309">
        <f>10*10</f>
        <v>100</v>
      </c>
      <c r="N309" s="1" t="s">
        <v>124</v>
      </c>
      <c r="O309" s="1" t="s">
        <v>124</v>
      </c>
      <c r="Q309" s="1" t="s">
        <v>2292</v>
      </c>
      <c r="R309" s="1" t="s">
        <v>124</v>
      </c>
      <c r="S309" s="1" t="s">
        <v>124</v>
      </c>
      <c r="X309" t="s">
        <v>211</v>
      </c>
      <c r="Y309" t="s">
        <v>2279</v>
      </c>
      <c r="Z309" t="s">
        <v>2280</v>
      </c>
      <c r="AA309" t="s">
        <v>2358</v>
      </c>
      <c r="AB309" t="s">
        <v>2290</v>
      </c>
      <c r="AC309" t="s">
        <v>152</v>
      </c>
      <c r="AD309" t="s">
        <v>2278</v>
      </c>
      <c r="AH309" t="s">
        <v>49</v>
      </c>
      <c r="AI309" t="s">
        <v>49</v>
      </c>
      <c r="AM309" t="s">
        <v>233</v>
      </c>
      <c r="AN309" t="s">
        <v>154</v>
      </c>
      <c r="AP309" t="s">
        <v>51</v>
      </c>
    </row>
    <row r="310" spans="1:43" x14ac:dyDescent="0.2">
      <c r="A310" t="s">
        <v>33</v>
      </c>
      <c r="B310" t="s">
        <v>318</v>
      </c>
      <c r="C310">
        <v>2022</v>
      </c>
      <c r="D310" t="s">
        <v>44</v>
      </c>
      <c r="E310" t="s">
        <v>49</v>
      </c>
      <c r="F310" t="s">
        <v>69</v>
      </c>
      <c r="G310" t="s">
        <v>85</v>
      </c>
      <c r="H310" t="s">
        <v>94</v>
      </c>
      <c r="I310">
        <v>2020</v>
      </c>
      <c r="J310">
        <f t="shared" si="1"/>
        <v>0.33333333333333331</v>
      </c>
      <c r="K310" t="s">
        <v>101</v>
      </c>
      <c r="L310">
        <v>16</v>
      </c>
      <c r="M310">
        <v>0.25</v>
      </c>
      <c r="N310" s="1" t="s">
        <v>124</v>
      </c>
      <c r="O310" s="1" t="s">
        <v>124</v>
      </c>
      <c r="Q310" s="1" t="s">
        <v>2292</v>
      </c>
      <c r="R310" s="1" t="s">
        <v>124</v>
      </c>
      <c r="S310" s="1" t="s">
        <v>124</v>
      </c>
      <c r="X310" t="s">
        <v>303</v>
      </c>
      <c r="Y310" t="s">
        <v>2273</v>
      </c>
      <c r="Z310" t="s">
        <v>249</v>
      </c>
      <c r="AA310" t="s">
        <v>2359</v>
      </c>
      <c r="AB310" t="s">
        <v>1419</v>
      </c>
      <c r="AC310" t="s">
        <v>152</v>
      </c>
      <c r="AD310" t="s">
        <v>137</v>
      </c>
      <c r="AH310" t="s">
        <v>49</v>
      </c>
      <c r="AI310" t="s">
        <v>49</v>
      </c>
      <c r="AM310" t="s">
        <v>233</v>
      </c>
      <c r="AN310" t="s">
        <v>154</v>
      </c>
      <c r="AP310" t="s">
        <v>51</v>
      </c>
    </row>
    <row r="311" spans="1:43" x14ac:dyDescent="0.2">
      <c r="A311" t="s">
        <v>34</v>
      </c>
      <c r="B311" t="s">
        <v>319</v>
      </c>
      <c r="C311">
        <v>2022</v>
      </c>
      <c r="D311" t="s">
        <v>44</v>
      </c>
      <c r="E311" t="s">
        <v>50</v>
      </c>
      <c r="F311" t="s">
        <v>80</v>
      </c>
      <c r="G311" t="s">
        <v>86</v>
      </c>
      <c r="H311" t="s">
        <v>93</v>
      </c>
      <c r="J311">
        <v>0</v>
      </c>
      <c r="K311" t="s">
        <v>101</v>
      </c>
      <c r="L311">
        <v>10</v>
      </c>
      <c r="M311">
        <v>0</v>
      </c>
      <c r="N311" t="s">
        <v>120</v>
      </c>
      <c r="O311" t="s">
        <v>120</v>
      </c>
      <c r="P311" t="s">
        <v>320</v>
      </c>
      <c r="Q311" s="1" t="s">
        <v>2276</v>
      </c>
      <c r="R311" s="1" t="s">
        <v>669</v>
      </c>
      <c r="S311" s="1" t="s">
        <v>168</v>
      </c>
      <c r="T311" t="s">
        <v>51</v>
      </c>
      <c r="X311" t="s">
        <v>321</v>
      </c>
      <c r="Y311" t="s">
        <v>2273</v>
      </c>
      <c r="Z311" t="s">
        <v>249</v>
      </c>
      <c r="AA311" t="s">
        <v>2274</v>
      </c>
      <c r="AB311" t="s">
        <v>2298</v>
      </c>
      <c r="AC311" t="s">
        <v>315</v>
      </c>
      <c r="AD311" t="s">
        <v>2288</v>
      </c>
      <c r="AF311" t="s">
        <v>49</v>
      </c>
      <c r="AI311" t="s">
        <v>49</v>
      </c>
      <c r="AM311" t="s">
        <v>323</v>
      </c>
      <c r="AN311" t="s">
        <v>154</v>
      </c>
      <c r="AP311" t="s">
        <v>157</v>
      </c>
    </row>
    <row r="312" spans="1:43" x14ac:dyDescent="0.2">
      <c r="A312" t="s">
        <v>34</v>
      </c>
      <c r="B312" t="s">
        <v>319</v>
      </c>
      <c r="C312">
        <v>2022</v>
      </c>
      <c r="D312" t="s">
        <v>44</v>
      </c>
      <c r="E312" t="s">
        <v>50</v>
      </c>
      <c r="F312" t="s">
        <v>80</v>
      </c>
      <c r="G312" t="s">
        <v>86</v>
      </c>
      <c r="H312" t="s">
        <v>93</v>
      </c>
      <c r="J312">
        <v>0</v>
      </c>
      <c r="K312" t="s">
        <v>101</v>
      </c>
      <c r="L312">
        <v>10</v>
      </c>
      <c r="M312">
        <v>0</v>
      </c>
      <c r="N312" t="s">
        <v>120</v>
      </c>
      <c r="O312" t="s">
        <v>120</v>
      </c>
      <c r="P312" t="s">
        <v>320</v>
      </c>
      <c r="Q312" s="1" t="s">
        <v>2276</v>
      </c>
      <c r="R312" s="1" t="s">
        <v>669</v>
      </c>
      <c r="S312" s="1" t="s">
        <v>168</v>
      </c>
      <c r="T312" t="s">
        <v>396</v>
      </c>
      <c r="X312" t="s">
        <v>321</v>
      </c>
      <c r="Y312" t="s">
        <v>2273</v>
      </c>
      <c r="Z312" t="s">
        <v>249</v>
      </c>
      <c r="AA312" t="s">
        <v>2274</v>
      </c>
      <c r="AB312" t="s">
        <v>2298</v>
      </c>
      <c r="AC312" t="s">
        <v>315</v>
      </c>
      <c r="AD312" t="s">
        <v>2288</v>
      </c>
      <c r="AF312" t="s">
        <v>49</v>
      </c>
      <c r="AI312" t="s">
        <v>49</v>
      </c>
      <c r="AM312" t="s">
        <v>323</v>
      </c>
      <c r="AN312" t="s">
        <v>165</v>
      </c>
      <c r="AP312" t="s">
        <v>51</v>
      </c>
    </row>
    <row r="313" spans="1:43" x14ac:dyDescent="0.2">
      <c r="A313" t="s">
        <v>34</v>
      </c>
      <c r="B313" t="s">
        <v>319</v>
      </c>
      <c r="C313">
        <v>2022</v>
      </c>
      <c r="D313" t="s">
        <v>44</v>
      </c>
      <c r="E313" t="s">
        <v>50</v>
      </c>
      <c r="F313" t="s">
        <v>80</v>
      </c>
      <c r="G313" t="s">
        <v>86</v>
      </c>
      <c r="H313" t="s">
        <v>93</v>
      </c>
      <c r="J313">
        <v>0</v>
      </c>
      <c r="K313" t="s">
        <v>101</v>
      </c>
      <c r="L313">
        <v>10</v>
      </c>
      <c r="M313">
        <v>0</v>
      </c>
      <c r="N313" t="s">
        <v>120</v>
      </c>
      <c r="O313" t="s">
        <v>120</v>
      </c>
      <c r="P313" t="s">
        <v>320</v>
      </c>
      <c r="Q313" s="1" t="s">
        <v>2276</v>
      </c>
      <c r="R313" s="1" t="s">
        <v>669</v>
      </c>
      <c r="S313" s="1" t="s">
        <v>168</v>
      </c>
      <c r="T313" t="s">
        <v>396</v>
      </c>
      <c r="U313" t="s">
        <v>168</v>
      </c>
      <c r="X313" t="s">
        <v>161</v>
      </c>
      <c r="Y313" t="s">
        <v>2272</v>
      </c>
      <c r="Z313" t="s">
        <v>2272</v>
      </c>
      <c r="AA313" t="s">
        <v>2272</v>
      </c>
      <c r="AB313" t="s">
        <v>2272</v>
      </c>
      <c r="AC313" t="s">
        <v>162</v>
      </c>
      <c r="AD313" t="s">
        <v>2272</v>
      </c>
      <c r="AF313" t="s">
        <v>49</v>
      </c>
      <c r="AI313" t="s">
        <v>49</v>
      </c>
      <c r="AM313" t="s">
        <v>323</v>
      </c>
      <c r="AN313" t="s">
        <v>154</v>
      </c>
      <c r="AQ313" s="5">
        <v>2</v>
      </c>
    </row>
    <row r="314" spans="1:43" x14ac:dyDescent="0.2">
      <c r="A314" t="s">
        <v>34</v>
      </c>
      <c r="B314" t="s">
        <v>319</v>
      </c>
      <c r="C314">
        <v>2022</v>
      </c>
      <c r="D314" t="s">
        <v>44</v>
      </c>
      <c r="E314" t="s">
        <v>50</v>
      </c>
      <c r="F314" t="s">
        <v>80</v>
      </c>
      <c r="G314" t="s">
        <v>86</v>
      </c>
      <c r="H314" t="s">
        <v>93</v>
      </c>
      <c r="J314">
        <v>0</v>
      </c>
      <c r="K314" t="s">
        <v>101</v>
      </c>
      <c r="L314">
        <v>10</v>
      </c>
      <c r="M314">
        <v>0</v>
      </c>
      <c r="N314" t="s">
        <v>120</v>
      </c>
      <c r="O314" t="s">
        <v>120</v>
      </c>
      <c r="P314" t="s">
        <v>324</v>
      </c>
      <c r="Q314" s="1" t="s">
        <v>2276</v>
      </c>
      <c r="R314" s="1" t="s">
        <v>669</v>
      </c>
      <c r="S314" s="1" t="s">
        <v>168</v>
      </c>
      <c r="T314" t="s">
        <v>51</v>
      </c>
      <c r="X314" t="s">
        <v>321</v>
      </c>
      <c r="Y314" t="s">
        <v>2273</v>
      </c>
      <c r="Z314" t="s">
        <v>249</v>
      </c>
      <c r="AA314" t="s">
        <v>2274</v>
      </c>
      <c r="AB314" t="s">
        <v>2298</v>
      </c>
      <c r="AC314" t="s">
        <v>315</v>
      </c>
      <c r="AD314" t="s">
        <v>2288</v>
      </c>
      <c r="AF314" t="s">
        <v>49</v>
      </c>
      <c r="AI314" t="s">
        <v>49</v>
      </c>
      <c r="AM314" t="s">
        <v>323</v>
      </c>
      <c r="AN314" t="s">
        <v>154</v>
      </c>
      <c r="AP314" t="s">
        <v>157</v>
      </c>
    </row>
    <row r="315" spans="1:43" x14ac:dyDescent="0.2">
      <c r="A315" t="s">
        <v>34</v>
      </c>
      <c r="B315" t="s">
        <v>319</v>
      </c>
      <c r="C315">
        <v>2022</v>
      </c>
      <c r="D315" t="s">
        <v>44</v>
      </c>
      <c r="E315" t="s">
        <v>50</v>
      </c>
      <c r="F315" t="s">
        <v>80</v>
      </c>
      <c r="G315" t="s">
        <v>86</v>
      </c>
      <c r="H315" t="s">
        <v>93</v>
      </c>
      <c r="J315">
        <v>0</v>
      </c>
      <c r="K315" t="s">
        <v>101</v>
      </c>
      <c r="L315">
        <v>10</v>
      </c>
      <c r="M315">
        <v>0</v>
      </c>
      <c r="N315" t="s">
        <v>120</v>
      </c>
      <c r="O315" t="s">
        <v>120</v>
      </c>
      <c r="P315" t="s">
        <v>324</v>
      </c>
      <c r="Q315" s="1" t="s">
        <v>2276</v>
      </c>
      <c r="R315" s="1" t="s">
        <v>669</v>
      </c>
      <c r="S315" s="1" t="s">
        <v>168</v>
      </c>
      <c r="T315" t="s">
        <v>396</v>
      </c>
      <c r="X315" t="s">
        <v>321</v>
      </c>
      <c r="Y315" t="s">
        <v>2273</v>
      </c>
      <c r="Z315" t="s">
        <v>249</v>
      </c>
      <c r="AA315" t="s">
        <v>2274</v>
      </c>
      <c r="AB315" t="s">
        <v>2298</v>
      </c>
      <c r="AC315" t="s">
        <v>315</v>
      </c>
      <c r="AD315" t="s">
        <v>2288</v>
      </c>
      <c r="AF315" t="s">
        <v>49</v>
      </c>
      <c r="AI315" t="s">
        <v>49</v>
      </c>
      <c r="AM315" t="s">
        <v>323</v>
      </c>
      <c r="AN315" t="s">
        <v>165</v>
      </c>
      <c r="AP315" t="s">
        <v>51</v>
      </c>
    </row>
    <row r="316" spans="1:43" x14ac:dyDescent="0.2">
      <c r="A316" t="s">
        <v>34</v>
      </c>
      <c r="B316" t="s">
        <v>319</v>
      </c>
      <c r="C316">
        <v>2022</v>
      </c>
      <c r="D316" t="s">
        <v>44</v>
      </c>
      <c r="E316" t="s">
        <v>50</v>
      </c>
      <c r="F316" t="s">
        <v>80</v>
      </c>
      <c r="G316" t="s">
        <v>86</v>
      </c>
      <c r="H316" t="s">
        <v>93</v>
      </c>
      <c r="J316">
        <v>0</v>
      </c>
      <c r="K316" t="s">
        <v>101</v>
      </c>
      <c r="L316">
        <v>10</v>
      </c>
      <c r="M316">
        <v>0</v>
      </c>
      <c r="N316" t="s">
        <v>120</v>
      </c>
      <c r="O316" t="s">
        <v>120</v>
      </c>
      <c r="P316" t="s">
        <v>324</v>
      </c>
      <c r="Q316" s="1" t="s">
        <v>2276</v>
      </c>
      <c r="R316" s="1" t="s">
        <v>669</v>
      </c>
      <c r="S316" s="1" t="s">
        <v>168</v>
      </c>
      <c r="T316" t="s">
        <v>396</v>
      </c>
      <c r="U316" t="s">
        <v>168</v>
      </c>
      <c r="X316" t="s">
        <v>161</v>
      </c>
      <c r="Y316" t="s">
        <v>2272</v>
      </c>
      <c r="Z316" t="s">
        <v>2272</v>
      </c>
      <c r="AA316" t="s">
        <v>2272</v>
      </c>
      <c r="AB316" t="s">
        <v>2272</v>
      </c>
      <c r="AC316" t="s">
        <v>162</v>
      </c>
      <c r="AD316" t="s">
        <v>2272</v>
      </c>
      <c r="AF316" t="s">
        <v>49</v>
      </c>
      <c r="AI316" t="s">
        <v>49</v>
      </c>
      <c r="AM316" t="s">
        <v>323</v>
      </c>
      <c r="AN316" t="s">
        <v>154</v>
      </c>
      <c r="AQ316" s="5">
        <v>1</v>
      </c>
    </row>
    <row r="317" spans="1:43" x14ac:dyDescent="0.2">
      <c r="A317" t="s">
        <v>34</v>
      </c>
      <c r="B317" t="s">
        <v>319</v>
      </c>
      <c r="C317">
        <v>2022</v>
      </c>
      <c r="D317" t="s">
        <v>44</v>
      </c>
      <c r="E317" t="s">
        <v>50</v>
      </c>
      <c r="F317" t="s">
        <v>80</v>
      </c>
      <c r="G317" t="s">
        <v>86</v>
      </c>
      <c r="H317" t="s">
        <v>93</v>
      </c>
      <c r="J317">
        <v>0</v>
      </c>
      <c r="K317" t="s">
        <v>101</v>
      </c>
      <c r="L317">
        <v>10</v>
      </c>
      <c r="M317">
        <v>0</v>
      </c>
      <c r="N317" t="s">
        <v>120</v>
      </c>
      <c r="O317" t="s">
        <v>120</v>
      </c>
      <c r="P317" t="s">
        <v>320</v>
      </c>
      <c r="Q317" s="1" t="s">
        <v>2276</v>
      </c>
      <c r="R317" s="1" t="s">
        <v>669</v>
      </c>
      <c r="S317" s="1" t="s">
        <v>168</v>
      </c>
      <c r="T317" t="s">
        <v>51</v>
      </c>
      <c r="X317" t="s">
        <v>321</v>
      </c>
      <c r="Y317" t="s">
        <v>2273</v>
      </c>
      <c r="Z317" t="s">
        <v>249</v>
      </c>
      <c r="AA317" t="s">
        <v>2274</v>
      </c>
      <c r="AB317" t="s">
        <v>2298</v>
      </c>
      <c r="AC317" t="s">
        <v>315</v>
      </c>
      <c r="AD317" t="s">
        <v>2288</v>
      </c>
      <c r="AF317" t="s">
        <v>49</v>
      </c>
      <c r="AI317" t="s">
        <v>49</v>
      </c>
      <c r="AM317" t="s">
        <v>323</v>
      </c>
      <c r="AN317" t="s">
        <v>166</v>
      </c>
      <c r="AP317" t="s">
        <v>157</v>
      </c>
    </row>
    <row r="318" spans="1:43" x14ac:dyDescent="0.2">
      <c r="A318" t="s">
        <v>34</v>
      </c>
      <c r="B318" t="s">
        <v>319</v>
      </c>
      <c r="C318">
        <v>2022</v>
      </c>
      <c r="D318" t="s">
        <v>44</v>
      </c>
      <c r="E318" t="s">
        <v>50</v>
      </c>
      <c r="F318" t="s">
        <v>80</v>
      </c>
      <c r="G318" t="s">
        <v>86</v>
      </c>
      <c r="H318" t="s">
        <v>93</v>
      </c>
      <c r="J318">
        <v>0</v>
      </c>
      <c r="K318" t="s">
        <v>101</v>
      </c>
      <c r="L318">
        <v>10</v>
      </c>
      <c r="M318">
        <v>0</v>
      </c>
      <c r="N318" t="s">
        <v>120</v>
      </c>
      <c r="O318" t="s">
        <v>120</v>
      </c>
      <c r="P318" t="s">
        <v>324</v>
      </c>
      <c r="Q318" s="1" t="s">
        <v>2276</v>
      </c>
      <c r="R318" s="1" t="s">
        <v>669</v>
      </c>
      <c r="S318" s="1" t="s">
        <v>168</v>
      </c>
      <c r="T318" t="s">
        <v>51</v>
      </c>
      <c r="X318" t="s">
        <v>321</v>
      </c>
      <c r="Y318" t="s">
        <v>2273</v>
      </c>
      <c r="Z318" t="s">
        <v>249</v>
      </c>
      <c r="AA318" t="s">
        <v>2274</v>
      </c>
      <c r="AB318" t="s">
        <v>2298</v>
      </c>
      <c r="AC318" t="s">
        <v>315</v>
      </c>
      <c r="AD318" t="s">
        <v>2288</v>
      </c>
      <c r="AF318" t="s">
        <v>49</v>
      </c>
      <c r="AI318" t="s">
        <v>49</v>
      </c>
      <c r="AM318" t="s">
        <v>323</v>
      </c>
      <c r="AN318" t="s">
        <v>166</v>
      </c>
      <c r="AP318" t="s">
        <v>157</v>
      </c>
    </row>
    <row r="319" spans="1:43" x14ac:dyDescent="0.2">
      <c r="A319" t="s">
        <v>34</v>
      </c>
      <c r="B319" t="s">
        <v>319</v>
      </c>
      <c r="C319">
        <v>2022</v>
      </c>
      <c r="D319" t="s">
        <v>44</v>
      </c>
      <c r="E319" t="s">
        <v>50</v>
      </c>
      <c r="F319" t="s">
        <v>80</v>
      </c>
      <c r="G319" t="s">
        <v>86</v>
      </c>
      <c r="H319" t="s">
        <v>93</v>
      </c>
      <c r="J319">
        <v>0</v>
      </c>
      <c r="K319" t="s">
        <v>101</v>
      </c>
      <c r="L319">
        <v>10</v>
      </c>
      <c r="M319">
        <v>0</v>
      </c>
      <c r="N319" t="s">
        <v>120</v>
      </c>
      <c r="O319" t="s">
        <v>120</v>
      </c>
      <c r="P319" t="s">
        <v>320</v>
      </c>
      <c r="Q319" s="1" t="s">
        <v>2276</v>
      </c>
      <c r="R319" s="1" t="s">
        <v>669</v>
      </c>
      <c r="S319" s="1" t="s">
        <v>168</v>
      </c>
      <c r="T319" t="s">
        <v>396</v>
      </c>
      <c r="U319" t="s">
        <v>168</v>
      </c>
      <c r="X319" t="s">
        <v>161</v>
      </c>
      <c r="Y319" t="s">
        <v>2272</v>
      </c>
      <c r="Z319" t="s">
        <v>2272</v>
      </c>
      <c r="AA319" t="s">
        <v>2272</v>
      </c>
      <c r="AB319" t="s">
        <v>2272</v>
      </c>
      <c r="AC319" t="s">
        <v>162</v>
      </c>
      <c r="AD319" t="s">
        <v>2272</v>
      </c>
      <c r="AF319" t="s">
        <v>49</v>
      </c>
      <c r="AI319" t="s">
        <v>49</v>
      </c>
      <c r="AM319" t="s">
        <v>323</v>
      </c>
      <c r="AN319" t="s">
        <v>166</v>
      </c>
      <c r="AQ319" s="5">
        <v>2</v>
      </c>
    </row>
    <row r="320" spans="1:43" x14ac:dyDescent="0.2">
      <c r="A320" t="s">
        <v>34</v>
      </c>
      <c r="B320" t="s">
        <v>319</v>
      </c>
      <c r="C320">
        <v>2022</v>
      </c>
      <c r="D320" t="s">
        <v>44</v>
      </c>
      <c r="E320" t="s">
        <v>50</v>
      </c>
      <c r="F320" t="s">
        <v>80</v>
      </c>
      <c r="G320" t="s">
        <v>86</v>
      </c>
      <c r="H320" t="s">
        <v>93</v>
      </c>
      <c r="J320">
        <v>0</v>
      </c>
      <c r="K320" t="s">
        <v>101</v>
      </c>
      <c r="L320">
        <v>10</v>
      </c>
      <c r="M320">
        <v>0</v>
      </c>
      <c r="N320" t="s">
        <v>120</v>
      </c>
      <c r="O320" t="s">
        <v>120</v>
      </c>
      <c r="P320" t="s">
        <v>324</v>
      </c>
      <c r="Q320" s="1" t="s">
        <v>2276</v>
      </c>
      <c r="R320" s="1" t="s">
        <v>669</v>
      </c>
      <c r="S320" s="1" t="s">
        <v>168</v>
      </c>
      <c r="T320" t="s">
        <v>396</v>
      </c>
      <c r="U320" t="s">
        <v>168</v>
      </c>
      <c r="X320" t="s">
        <v>161</v>
      </c>
      <c r="Y320" t="s">
        <v>2272</v>
      </c>
      <c r="Z320" t="s">
        <v>2272</v>
      </c>
      <c r="AA320" t="s">
        <v>2272</v>
      </c>
      <c r="AB320" t="s">
        <v>2272</v>
      </c>
      <c r="AC320" t="s">
        <v>162</v>
      </c>
      <c r="AD320" t="s">
        <v>2272</v>
      </c>
      <c r="AF320" t="s">
        <v>49</v>
      </c>
      <c r="AI320" t="s">
        <v>49</v>
      </c>
      <c r="AM320" t="s">
        <v>323</v>
      </c>
      <c r="AN320" t="s">
        <v>166</v>
      </c>
      <c r="AQ320" s="5">
        <v>1</v>
      </c>
    </row>
    <row r="321" spans="1:45" x14ac:dyDescent="0.2">
      <c r="A321" t="s">
        <v>34</v>
      </c>
      <c r="B321" t="s">
        <v>319</v>
      </c>
      <c r="C321">
        <v>2022</v>
      </c>
      <c r="D321" t="s">
        <v>44</v>
      </c>
      <c r="E321" t="s">
        <v>50</v>
      </c>
      <c r="F321" t="s">
        <v>80</v>
      </c>
      <c r="G321" t="s">
        <v>86</v>
      </c>
      <c r="H321" t="s">
        <v>93</v>
      </c>
      <c r="J321">
        <v>0</v>
      </c>
      <c r="K321" t="s">
        <v>101</v>
      </c>
      <c r="L321">
        <v>10</v>
      </c>
      <c r="M321">
        <v>0</v>
      </c>
      <c r="N321" t="s">
        <v>120</v>
      </c>
      <c r="O321" t="s">
        <v>120</v>
      </c>
      <c r="P321" t="s">
        <v>320</v>
      </c>
      <c r="Q321" s="1" t="s">
        <v>2276</v>
      </c>
      <c r="R321" s="1" t="s">
        <v>669</v>
      </c>
      <c r="S321" s="1" t="s">
        <v>168</v>
      </c>
      <c r="T321" t="s">
        <v>396</v>
      </c>
      <c r="X321" t="s">
        <v>161</v>
      </c>
      <c r="Y321" t="s">
        <v>2272</v>
      </c>
      <c r="Z321" t="s">
        <v>2272</v>
      </c>
      <c r="AA321" t="s">
        <v>2272</v>
      </c>
      <c r="AB321" t="s">
        <v>2272</v>
      </c>
      <c r="AC321" t="s">
        <v>162</v>
      </c>
      <c r="AD321" t="s">
        <v>2272</v>
      </c>
      <c r="AF321" t="s">
        <v>49</v>
      </c>
      <c r="AI321" t="s">
        <v>49</v>
      </c>
      <c r="AM321" t="s">
        <v>323</v>
      </c>
      <c r="AN321" t="s">
        <v>165</v>
      </c>
      <c r="AP321" t="s">
        <v>49</v>
      </c>
    </row>
    <row r="322" spans="1:45" x14ac:dyDescent="0.2">
      <c r="A322" t="s">
        <v>34</v>
      </c>
      <c r="B322" t="s">
        <v>319</v>
      </c>
      <c r="C322">
        <v>2022</v>
      </c>
      <c r="D322" t="s">
        <v>44</v>
      </c>
      <c r="E322" t="s">
        <v>50</v>
      </c>
      <c r="F322" t="s">
        <v>80</v>
      </c>
      <c r="G322" t="s">
        <v>86</v>
      </c>
      <c r="H322" t="s">
        <v>93</v>
      </c>
      <c r="J322">
        <v>0</v>
      </c>
      <c r="K322" t="s">
        <v>101</v>
      </c>
      <c r="L322">
        <v>10</v>
      </c>
      <c r="M322">
        <v>0</v>
      </c>
      <c r="N322" t="s">
        <v>120</v>
      </c>
      <c r="O322" t="s">
        <v>120</v>
      </c>
      <c r="P322" t="s">
        <v>324</v>
      </c>
      <c r="Q322" s="1" t="s">
        <v>2276</v>
      </c>
      <c r="R322" s="1" t="s">
        <v>669</v>
      </c>
      <c r="S322" s="1" t="s">
        <v>168</v>
      </c>
      <c r="T322" t="s">
        <v>396</v>
      </c>
      <c r="X322" t="s">
        <v>161</v>
      </c>
      <c r="Y322" t="s">
        <v>2272</v>
      </c>
      <c r="Z322" t="s">
        <v>2272</v>
      </c>
      <c r="AA322" t="s">
        <v>2272</v>
      </c>
      <c r="AB322" t="s">
        <v>2272</v>
      </c>
      <c r="AC322" t="s">
        <v>162</v>
      </c>
      <c r="AD322" t="s">
        <v>2272</v>
      </c>
      <c r="AF322" t="s">
        <v>49</v>
      </c>
      <c r="AI322" t="s">
        <v>49</v>
      </c>
      <c r="AM322" t="s">
        <v>323</v>
      </c>
      <c r="AN322" t="s">
        <v>165</v>
      </c>
      <c r="AP322" t="s">
        <v>49</v>
      </c>
    </row>
    <row r="323" spans="1:45" x14ac:dyDescent="0.2">
      <c r="A323" t="s">
        <v>34</v>
      </c>
      <c r="B323" t="s">
        <v>319</v>
      </c>
      <c r="C323">
        <v>2022</v>
      </c>
      <c r="D323" t="s">
        <v>44</v>
      </c>
      <c r="E323" t="s">
        <v>50</v>
      </c>
      <c r="F323" t="s">
        <v>80</v>
      </c>
      <c r="G323" t="s">
        <v>86</v>
      </c>
      <c r="H323" t="s">
        <v>93</v>
      </c>
      <c r="J323">
        <v>0</v>
      </c>
      <c r="K323" t="s">
        <v>101</v>
      </c>
      <c r="L323">
        <v>10</v>
      </c>
      <c r="M323">
        <v>0</v>
      </c>
      <c r="N323" t="s">
        <v>120</v>
      </c>
      <c r="O323" t="s">
        <v>120</v>
      </c>
      <c r="P323" t="s">
        <v>320</v>
      </c>
      <c r="Q323" s="1" t="s">
        <v>2276</v>
      </c>
      <c r="R323" s="1" t="s">
        <v>669</v>
      </c>
      <c r="S323" s="1" t="s">
        <v>168</v>
      </c>
      <c r="T323" t="s">
        <v>396</v>
      </c>
      <c r="X323" t="s">
        <v>425</v>
      </c>
      <c r="Y323" t="s">
        <v>2273</v>
      </c>
      <c r="Z323" t="s">
        <v>249</v>
      </c>
      <c r="AA323" t="s">
        <v>2359</v>
      </c>
      <c r="AB323" t="s">
        <v>2285</v>
      </c>
      <c r="AC323" t="s">
        <v>152</v>
      </c>
      <c r="AD323" t="s">
        <v>2288</v>
      </c>
    </row>
    <row r="324" spans="1:45" x14ac:dyDescent="0.2">
      <c r="A324" t="s">
        <v>34</v>
      </c>
      <c r="B324" t="s">
        <v>319</v>
      </c>
      <c r="C324">
        <v>2022</v>
      </c>
      <c r="D324" t="s">
        <v>44</v>
      </c>
      <c r="E324" t="s">
        <v>50</v>
      </c>
      <c r="F324" t="s">
        <v>80</v>
      </c>
      <c r="G324" t="s">
        <v>86</v>
      </c>
      <c r="H324" t="s">
        <v>93</v>
      </c>
      <c r="J324">
        <v>0</v>
      </c>
      <c r="K324" t="s">
        <v>101</v>
      </c>
      <c r="L324">
        <v>10</v>
      </c>
      <c r="M324">
        <v>0</v>
      </c>
      <c r="N324" t="s">
        <v>120</v>
      </c>
      <c r="O324" t="s">
        <v>120</v>
      </c>
      <c r="P324" t="s">
        <v>324</v>
      </c>
      <c r="Q324" s="1" t="s">
        <v>2276</v>
      </c>
      <c r="R324" s="1" t="s">
        <v>669</v>
      </c>
      <c r="S324" s="1" t="s">
        <v>168</v>
      </c>
      <c r="T324" t="s">
        <v>396</v>
      </c>
      <c r="X324" t="s">
        <v>425</v>
      </c>
      <c r="Y324" t="s">
        <v>2273</v>
      </c>
      <c r="Z324" t="s">
        <v>249</v>
      </c>
      <c r="AA324" t="s">
        <v>2359</v>
      </c>
      <c r="AB324" t="s">
        <v>2285</v>
      </c>
      <c r="AC324" t="s">
        <v>152</v>
      </c>
      <c r="AD324" t="s">
        <v>2288</v>
      </c>
    </row>
    <row r="325" spans="1:45" x14ac:dyDescent="0.2">
      <c r="A325" t="s">
        <v>34</v>
      </c>
      <c r="B325" t="s">
        <v>319</v>
      </c>
      <c r="C325">
        <v>2022</v>
      </c>
      <c r="D325" t="s">
        <v>44</v>
      </c>
      <c r="E325" t="s">
        <v>50</v>
      </c>
      <c r="F325" t="s">
        <v>80</v>
      </c>
      <c r="G325" t="s">
        <v>86</v>
      </c>
      <c r="H325" t="s">
        <v>93</v>
      </c>
      <c r="J325">
        <v>0</v>
      </c>
      <c r="K325" t="s">
        <v>101</v>
      </c>
      <c r="L325">
        <v>10</v>
      </c>
      <c r="M325">
        <v>0</v>
      </c>
      <c r="N325" t="s">
        <v>120</v>
      </c>
      <c r="O325" t="s">
        <v>120</v>
      </c>
      <c r="P325" t="s">
        <v>320</v>
      </c>
      <c r="Q325" s="1" t="s">
        <v>2276</v>
      </c>
      <c r="R325" s="1" t="s">
        <v>669</v>
      </c>
      <c r="S325" s="1" t="s">
        <v>168</v>
      </c>
      <c r="T325" t="s">
        <v>396</v>
      </c>
      <c r="X325" t="s">
        <v>426</v>
      </c>
      <c r="Y325" t="s">
        <v>2273</v>
      </c>
      <c r="Z325" t="s">
        <v>249</v>
      </c>
      <c r="AA325" t="s">
        <v>2359</v>
      </c>
      <c r="AB325" t="s">
        <v>2285</v>
      </c>
      <c r="AC325" t="s">
        <v>152</v>
      </c>
      <c r="AD325" t="s">
        <v>2288</v>
      </c>
    </row>
    <row r="326" spans="1:45" x14ac:dyDescent="0.2">
      <c r="A326" t="s">
        <v>34</v>
      </c>
      <c r="B326" t="s">
        <v>319</v>
      </c>
      <c r="C326">
        <v>2022</v>
      </c>
      <c r="D326" t="s">
        <v>44</v>
      </c>
      <c r="E326" t="s">
        <v>50</v>
      </c>
      <c r="F326" t="s">
        <v>80</v>
      </c>
      <c r="G326" t="s">
        <v>86</v>
      </c>
      <c r="H326" t="s">
        <v>93</v>
      </c>
      <c r="J326">
        <v>0</v>
      </c>
      <c r="K326" t="s">
        <v>101</v>
      </c>
      <c r="L326">
        <v>10</v>
      </c>
      <c r="M326">
        <v>0</v>
      </c>
      <c r="N326" t="s">
        <v>120</v>
      </c>
      <c r="O326" t="s">
        <v>120</v>
      </c>
      <c r="P326" t="s">
        <v>324</v>
      </c>
      <c r="Q326" s="1" t="s">
        <v>2276</v>
      </c>
      <c r="R326" s="1" t="s">
        <v>669</v>
      </c>
      <c r="S326" s="1" t="s">
        <v>168</v>
      </c>
      <c r="T326" t="s">
        <v>396</v>
      </c>
      <c r="X326" t="s">
        <v>426</v>
      </c>
      <c r="Y326" t="s">
        <v>2273</v>
      </c>
      <c r="Z326" t="s">
        <v>249</v>
      </c>
      <c r="AA326" t="s">
        <v>2359</v>
      </c>
      <c r="AB326" t="s">
        <v>2285</v>
      </c>
      <c r="AC326" t="s">
        <v>152</v>
      </c>
      <c r="AD326" t="s">
        <v>2288</v>
      </c>
    </row>
    <row r="327" spans="1:45" x14ac:dyDescent="0.2">
      <c r="A327" t="s">
        <v>35</v>
      </c>
      <c r="B327" t="s">
        <v>325</v>
      </c>
      <c r="C327">
        <v>2022</v>
      </c>
      <c r="D327" t="s">
        <v>44</v>
      </c>
      <c r="E327" t="s">
        <v>50</v>
      </c>
      <c r="F327" t="s">
        <v>81</v>
      </c>
      <c r="G327" t="s">
        <v>91</v>
      </c>
      <c r="H327" t="s">
        <v>94</v>
      </c>
      <c r="I327" t="s">
        <v>326</v>
      </c>
      <c r="J327">
        <v>27</v>
      </c>
      <c r="K327" t="s">
        <v>42</v>
      </c>
      <c r="L327">
        <v>700</v>
      </c>
      <c r="M327">
        <v>0.375</v>
      </c>
      <c r="N327" t="s">
        <v>120</v>
      </c>
      <c r="O327" t="s">
        <v>120</v>
      </c>
      <c r="P327" t="s">
        <v>327</v>
      </c>
      <c r="Q327" s="1" t="s">
        <v>2276</v>
      </c>
      <c r="R327" s="1" t="s">
        <v>669</v>
      </c>
      <c r="S327" s="1" t="s">
        <v>168</v>
      </c>
      <c r="T327" t="s">
        <v>51</v>
      </c>
      <c r="X327" t="s">
        <v>211</v>
      </c>
      <c r="Y327" t="s">
        <v>2279</v>
      </c>
      <c r="Z327" t="s">
        <v>2280</v>
      </c>
      <c r="AA327" t="s">
        <v>2358</v>
      </c>
      <c r="AB327" t="s">
        <v>2290</v>
      </c>
      <c r="AC327" t="s">
        <v>152</v>
      </c>
      <c r="AD327" t="s">
        <v>2278</v>
      </c>
      <c r="AE327" t="s">
        <v>328</v>
      </c>
    </row>
    <row r="328" spans="1:45" x14ac:dyDescent="0.2">
      <c r="A328" t="s">
        <v>35</v>
      </c>
      <c r="B328" t="s">
        <v>325</v>
      </c>
      <c r="C328">
        <v>2022</v>
      </c>
      <c r="D328" t="s">
        <v>44</v>
      </c>
      <c r="E328" t="s">
        <v>50</v>
      </c>
      <c r="F328" t="s">
        <v>81</v>
      </c>
      <c r="G328" t="s">
        <v>91</v>
      </c>
      <c r="H328" t="s">
        <v>94</v>
      </c>
      <c r="J328">
        <v>0</v>
      </c>
      <c r="K328" t="s">
        <v>101</v>
      </c>
      <c r="L328">
        <v>700</v>
      </c>
      <c r="M328">
        <v>0.25</v>
      </c>
      <c r="N328" t="s">
        <v>120</v>
      </c>
      <c r="O328" t="s">
        <v>120</v>
      </c>
      <c r="P328" t="s">
        <v>327</v>
      </c>
      <c r="Q328" s="1" t="s">
        <v>2276</v>
      </c>
      <c r="R328" s="1" t="s">
        <v>669</v>
      </c>
      <c r="S328" s="1" t="s">
        <v>168</v>
      </c>
      <c r="T328" t="s">
        <v>51</v>
      </c>
      <c r="X328" t="s">
        <v>211</v>
      </c>
      <c r="Y328" t="s">
        <v>2279</v>
      </c>
      <c r="Z328" t="s">
        <v>2280</v>
      </c>
      <c r="AA328" t="s">
        <v>2358</v>
      </c>
      <c r="AB328" t="s">
        <v>2290</v>
      </c>
      <c r="AC328" t="s">
        <v>152</v>
      </c>
      <c r="AD328" t="s">
        <v>2278</v>
      </c>
      <c r="AE328" t="s">
        <v>328</v>
      </c>
      <c r="AF328" t="s">
        <v>49</v>
      </c>
      <c r="AI328" t="s">
        <v>49</v>
      </c>
      <c r="AM328" t="s">
        <v>192</v>
      </c>
      <c r="AN328" t="s">
        <v>165</v>
      </c>
      <c r="AP328" t="s">
        <v>49</v>
      </c>
    </row>
    <row r="329" spans="1:45" x14ac:dyDescent="0.2">
      <c r="A329" t="s">
        <v>35</v>
      </c>
      <c r="B329" t="s">
        <v>325</v>
      </c>
      <c r="C329">
        <v>2022</v>
      </c>
      <c r="D329" t="s">
        <v>44</v>
      </c>
      <c r="E329" t="s">
        <v>50</v>
      </c>
      <c r="F329" t="s">
        <v>81</v>
      </c>
      <c r="G329" t="s">
        <v>91</v>
      </c>
      <c r="H329" t="s">
        <v>94</v>
      </c>
      <c r="I329">
        <v>2019</v>
      </c>
      <c r="J329">
        <v>0</v>
      </c>
      <c r="K329" t="s">
        <v>101</v>
      </c>
      <c r="M329">
        <v>0.15</v>
      </c>
      <c r="N329" t="s">
        <v>120</v>
      </c>
      <c r="O329" t="s">
        <v>120</v>
      </c>
      <c r="P329" t="s">
        <v>327</v>
      </c>
      <c r="Q329" s="1" t="s">
        <v>2276</v>
      </c>
      <c r="R329" s="1" t="s">
        <v>669</v>
      </c>
      <c r="S329" s="1" t="s">
        <v>168</v>
      </c>
      <c r="T329" t="s">
        <v>51</v>
      </c>
      <c r="X329" t="s">
        <v>211</v>
      </c>
      <c r="Y329" t="s">
        <v>2279</v>
      </c>
      <c r="Z329" t="s">
        <v>2280</v>
      </c>
      <c r="AA329" t="s">
        <v>2358</v>
      </c>
      <c r="AB329" t="s">
        <v>2290</v>
      </c>
      <c r="AC329" t="s">
        <v>152</v>
      </c>
      <c r="AD329" t="s">
        <v>2278</v>
      </c>
      <c r="AE329" t="s">
        <v>328</v>
      </c>
      <c r="AF329" t="s">
        <v>49</v>
      </c>
      <c r="AI329" t="s">
        <v>49</v>
      </c>
      <c r="AM329" t="s">
        <v>192</v>
      </c>
      <c r="AN329" t="s">
        <v>165</v>
      </c>
      <c r="AP329" t="s">
        <v>49</v>
      </c>
    </row>
    <row r="330" spans="1:45" x14ac:dyDescent="0.2">
      <c r="A330" t="s">
        <v>35</v>
      </c>
      <c r="B330" t="s">
        <v>325</v>
      </c>
      <c r="C330">
        <v>2022</v>
      </c>
      <c r="D330" t="s">
        <v>44</v>
      </c>
      <c r="E330" t="s">
        <v>50</v>
      </c>
      <c r="F330" t="s">
        <v>81</v>
      </c>
      <c r="G330" t="s">
        <v>91</v>
      </c>
      <c r="H330" t="s">
        <v>94</v>
      </c>
      <c r="I330">
        <v>2019</v>
      </c>
      <c r="J330">
        <v>0</v>
      </c>
      <c r="K330" t="s">
        <v>101</v>
      </c>
      <c r="M330">
        <v>0.15</v>
      </c>
      <c r="N330" t="s">
        <v>120</v>
      </c>
      <c r="O330" t="s">
        <v>120</v>
      </c>
      <c r="P330" t="s">
        <v>327</v>
      </c>
      <c r="Q330" s="1" t="s">
        <v>2276</v>
      </c>
      <c r="R330" s="1" t="s">
        <v>669</v>
      </c>
      <c r="S330" s="1" t="s">
        <v>168</v>
      </c>
      <c r="T330" t="s">
        <v>421</v>
      </c>
      <c r="U330" t="s">
        <v>421</v>
      </c>
      <c r="X330" t="s">
        <v>161</v>
      </c>
      <c r="Y330" t="s">
        <v>2272</v>
      </c>
      <c r="Z330" t="s">
        <v>2272</v>
      </c>
      <c r="AA330" t="s">
        <v>2272</v>
      </c>
      <c r="AB330" t="s">
        <v>2272</v>
      </c>
      <c r="AC330" t="s">
        <v>162</v>
      </c>
      <c r="AD330" t="s">
        <v>2272</v>
      </c>
      <c r="AE330" t="s">
        <v>328</v>
      </c>
      <c r="AF330" t="s">
        <v>49</v>
      </c>
      <c r="AI330" t="s">
        <v>49</v>
      </c>
      <c r="AM330" t="s">
        <v>192</v>
      </c>
      <c r="AN330" t="s">
        <v>166</v>
      </c>
      <c r="AQ330" s="5">
        <v>1</v>
      </c>
    </row>
    <row r="331" spans="1:45" x14ac:dyDescent="0.2">
      <c r="A331" t="s">
        <v>35</v>
      </c>
      <c r="B331" t="s">
        <v>325</v>
      </c>
      <c r="C331">
        <v>2022</v>
      </c>
      <c r="D331" t="s">
        <v>44</v>
      </c>
      <c r="E331" t="s">
        <v>50</v>
      </c>
      <c r="F331" t="s">
        <v>81</v>
      </c>
      <c r="G331" t="s">
        <v>91</v>
      </c>
      <c r="H331" t="s">
        <v>94</v>
      </c>
      <c r="I331">
        <v>2019</v>
      </c>
      <c r="J331">
        <v>0</v>
      </c>
      <c r="K331" t="s">
        <v>101</v>
      </c>
      <c r="M331">
        <v>0.15</v>
      </c>
      <c r="N331" t="s">
        <v>120</v>
      </c>
      <c r="O331" t="s">
        <v>120</v>
      </c>
      <c r="P331" t="s">
        <v>327</v>
      </c>
      <c r="Q331" s="1" t="s">
        <v>2276</v>
      </c>
      <c r="R331" s="1" t="s">
        <v>669</v>
      </c>
      <c r="S331" s="1" t="s">
        <v>168</v>
      </c>
      <c r="T331" t="s">
        <v>421</v>
      </c>
      <c r="U331" t="s">
        <v>421</v>
      </c>
      <c r="X331" t="s">
        <v>161</v>
      </c>
      <c r="Y331" t="s">
        <v>2272</v>
      </c>
      <c r="Z331" t="s">
        <v>2272</v>
      </c>
      <c r="AA331" t="s">
        <v>2272</v>
      </c>
      <c r="AB331" t="s">
        <v>2272</v>
      </c>
      <c r="AC331" t="s">
        <v>162</v>
      </c>
      <c r="AD331" t="s">
        <v>2272</v>
      </c>
      <c r="AE331" t="s">
        <v>328</v>
      </c>
      <c r="AF331" t="s">
        <v>49</v>
      </c>
      <c r="AI331" t="s">
        <v>49</v>
      </c>
      <c r="AM331" t="s">
        <v>192</v>
      </c>
      <c r="AN331" t="s">
        <v>154</v>
      </c>
      <c r="AQ331" s="5">
        <v>1</v>
      </c>
    </row>
    <row r="332" spans="1:45" x14ac:dyDescent="0.2">
      <c r="A332" t="s">
        <v>36</v>
      </c>
      <c r="B332" t="s">
        <v>329</v>
      </c>
      <c r="C332">
        <v>2022</v>
      </c>
      <c r="D332" t="s">
        <v>44</v>
      </c>
      <c r="E332" t="s">
        <v>51</v>
      </c>
      <c r="F332" t="s">
        <v>53</v>
      </c>
      <c r="G332" t="s">
        <v>86</v>
      </c>
      <c r="H332" t="s">
        <v>93</v>
      </c>
      <c r="I332" t="s">
        <v>330</v>
      </c>
      <c r="J332">
        <v>2</v>
      </c>
      <c r="K332" t="s">
        <v>42</v>
      </c>
      <c r="L332">
        <v>2.9000000000000001E-2</v>
      </c>
      <c r="M332">
        <f>0.2*0.2</f>
        <v>4.0000000000000008E-2</v>
      </c>
      <c r="Q332" s="1" t="s">
        <v>2272</v>
      </c>
      <c r="R332" s="1" t="s">
        <v>2272</v>
      </c>
      <c r="S332" s="1" t="s">
        <v>2272</v>
      </c>
      <c r="Y332" t="s">
        <v>2272</v>
      </c>
      <c r="Z332" t="s">
        <v>2272</v>
      </c>
      <c r="AA332" t="s">
        <v>2272</v>
      </c>
      <c r="AB332" t="s">
        <v>2272</v>
      </c>
      <c r="AD332" t="s">
        <v>2272</v>
      </c>
      <c r="AR332" t="s">
        <v>144</v>
      </c>
      <c r="AS332" t="s">
        <v>2583</v>
      </c>
    </row>
    <row r="333" spans="1:45" x14ac:dyDescent="0.2">
      <c r="A333" t="s">
        <v>331</v>
      </c>
      <c r="B333" t="s">
        <v>332</v>
      </c>
      <c r="C333">
        <v>2022</v>
      </c>
      <c r="D333" t="s">
        <v>811</v>
      </c>
      <c r="E333" t="s">
        <v>49</v>
      </c>
      <c r="F333" t="s">
        <v>81</v>
      </c>
      <c r="G333" t="s">
        <v>91</v>
      </c>
      <c r="H333" t="s">
        <v>94</v>
      </c>
      <c r="I333" t="s">
        <v>114</v>
      </c>
      <c r="J333">
        <v>0.75</v>
      </c>
      <c r="K333" t="s">
        <v>102</v>
      </c>
      <c r="L333">
        <v>8</v>
      </c>
      <c r="M333">
        <v>0</v>
      </c>
      <c r="N333" t="s">
        <v>121</v>
      </c>
      <c r="O333" t="s">
        <v>285</v>
      </c>
      <c r="P333" t="s">
        <v>286</v>
      </c>
      <c r="Q333" s="1" t="s">
        <v>2272</v>
      </c>
      <c r="R333" s="1" t="s">
        <v>2272</v>
      </c>
      <c r="S333" s="1" t="s">
        <v>2272</v>
      </c>
      <c r="X333" t="s">
        <v>333</v>
      </c>
      <c r="Y333" t="s">
        <v>2272</v>
      </c>
      <c r="Z333" t="s">
        <v>2272</v>
      </c>
      <c r="AA333" t="s">
        <v>2272</v>
      </c>
      <c r="AB333" t="s">
        <v>2272</v>
      </c>
      <c r="AC333" t="s">
        <v>152</v>
      </c>
      <c r="AD333" t="s">
        <v>2272</v>
      </c>
      <c r="AR333" t="s">
        <v>144</v>
      </c>
      <c r="AS333" t="s">
        <v>2583</v>
      </c>
    </row>
    <row r="334" spans="1:45" x14ac:dyDescent="0.2">
      <c r="A334" t="s">
        <v>37</v>
      </c>
      <c r="B334" t="s">
        <v>335</v>
      </c>
      <c r="C334">
        <v>2022</v>
      </c>
      <c r="D334" t="s">
        <v>44</v>
      </c>
      <c r="E334" t="s">
        <v>50</v>
      </c>
      <c r="F334" t="s">
        <v>53</v>
      </c>
      <c r="G334" t="s">
        <v>86</v>
      </c>
      <c r="H334" t="s">
        <v>93</v>
      </c>
      <c r="I334" t="s">
        <v>118</v>
      </c>
      <c r="J334">
        <v>5</v>
      </c>
      <c r="K334" t="s">
        <v>101</v>
      </c>
      <c r="L334">
        <v>5</v>
      </c>
      <c r="N334" t="s">
        <v>127</v>
      </c>
      <c r="O334" t="s">
        <v>337</v>
      </c>
      <c r="P334" t="s">
        <v>336</v>
      </c>
      <c r="Q334" s="1" t="s">
        <v>2281</v>
      </c>
      <c r="R334" s="1" t="s">
        <v>122</v>
      </c>
      <c r="S334" s="1" t="s">
        <v>2293</v>
      </c>
      <c r="T334" t="s">
        <v>51</v>
      </c>
      <c r="X334" t="s">
        <v>338</v>
      </c>
      <c r="Y334" t="s">
        <v>2273</v>
      </c>
      <c r="Z334" t="s">
        <v>249</v>
      </c>
      <c r="AA334" t="s">
        <v>2359</v>
      </c>
      <c r="AC334" t="s">
        <v>152</v>
      </c>
      <c r="AD334" t="s">
        <v>137</v>
      </c>
    </row>
    <row r="335" spans="1:45" x14ac:dyDescent="0.2">
      <c r="A335" t="s">
        <v>37</v>
      </c>
      <c r="B335" t="s">
        <v>335</v>
      </c>
      <c r="C335">
        <v>2022</v>
      </c>
      <c r="D335" t="s">
        <v>44</v>
      </c>
      <c r="E335" t="s">
        <v>50</v>
      </c>
      <c r="F335" t="s">
        <v>53</v>
      </c>
      <c r="G335" t="s">
        <v>86</v>
      </c>
      <c r="H335" t="s">
        <v>93</v>
      </c>
      <c r="I335" t="s">
        <v>118</v>
      </c>
      <c r="J335">
        <v>5</v>
      </c>
      <c r="K335" t="s">
        <v>101</v>
      </c>
      <c r="L335">
        <v>5</v>
      </c>
      <c r="N335" t="s">
        <v>127</v>
      </c>
      <c r="O335" t="s">
        <v>337</v>
      </c>
      <c r="P335" t="s">
        <v>336</v>
      </c>
      <c r="Q335" s="1" t="s">
        <v>2281</v>
      </c>
      <c r="R335" s="1" t="s">
        <v>122</v>
      </c>
      <c r="S335" s="1" t="s">
        <v>2293</v>
      </c>
      <c r="T335" t="s">
        <v>51</v>
      </c>
      <c r="X335" t="s">
        <v>339</v>
      </c>
      <c r="Y335" t="s">
        <v>2273</v>
      </c>
      <c r="Z335" t="s">
        <v>249</v>
      </c>
      <c r="AA335" t="s">
        <v>2359</v>
      </c>
      <c r="AB335" t="s">
        <v>2289</v>
      </c>
      <c r="AC335" t="s">
        <v>152</v>
      </c>
      <c r="AD335" t="s">
        <v>137</v>
      </c>
    </row>
    <row r="336" spans="1:45" x14ac:dyDescent="0.2">
      <c r="A336" t="s">
        <v>37</v>
      </c>
      <c r="B336" t="s">
        <v>335</v>
      </c>
      <c r="C336">
        <v>2022</v>
      </c>
      <c r="D336" t="s">
        <v>44</v>
      </c>
      <c r="E336" t="s">
        <v>50</v>
      </c>
      <c r="F336" t="s">
        <v>53</v>
      </c>
      <c r="G336" t="s">
        <v>86</v>
      </c>
      <c r="H336" t="s">
        <v>93</v>
      </c>
      <c r="I336" t="s">
        <v>118</v>
      </c>
      <c r="J336">
        <v>5</v>
      </c>
      <c r="K336" t="s">
        <v>101</v>
      </c>
      <c r="L336">
        <v>5</v>
      </c>
      <c r="N336" t="s">
        <v>127</v>
      </c>
      <c r="O336" t="s">
        <v>337</v>
      </c>
      <c r="P336" t="s">
        <v>336</v>
      </c>
      <c r="Q336" s="1" t="s">
        <v>2281</v>
      </c>
      <c r="R336" s="1" t="s">
        <v>122</v>
      </c>
      <c r="S336" s="1" t="s">
        <v>2293</v>
      </c>
      <c r="T336" t="s">
        <v>51</v>
      </c>
      <c r="X336" t="s">
        <v>340</v>
      </c>
      <c r="Y336" t="s">
        <v>2273</v>
      </c>
      <c r="Z336" t="s">
        <v>2356</v>
      </c>
      <c r="AA336" t="s">
        <v>2357</v>
      </c>
      <c r="AB336" t="s">
        <v>2277</v>
      </c>
      <c r="AC336" t="s">
        <v>152</v>
      </c>
      <c r="AD336" t="s">
        <v>137</v>
      </c>
    </row>
    <row r="337" spans="1:45" x14ac:dyDescent="0.2">
      <c r="A337" t="s">
        <v>37</v>
      </c>
      <c r="B337" t="s">
        <v>335</v>
      </c>
      <c r="C337">
        <v>2022</v>
      </c>
      <c r="D337" t="s">
        <v>44</v>
      </c>
      <c r="E337" t="s">
        <v>50</v>
      </c>
      <c r="F337" t="s">
        <v>53</v>
      </c>
      <c r="G337" t="s">
        <v>86</v>
      </c>
      <c r="H337" t="s">
        <v>93</v>
      </c>
      <c r="I337" t="s">
        <v>118</v>
      </c>
      <c r="J337">
        <v>5</v>
      </c>
      <c r="K337" t="s">
        <v>101</v>
      </c>
      <c r="L337">
        <v>5</v>
      </c>
      <c r="N337" t="s">
        <v>127</v>
      </c>
      <c r="O337" t="s">
        <v>337</v>
      </c>
      <c r="P337" t="s">
        <v>336</v>
      </c>
      <c r="Q337" s="1" t="s">
        <v>2281</v>
      </c>
      <c r="R337" s="1" t="s">
        <v>122</v>
      </c>
      <c r="S337" s="1" t="s">
        <v>2293</v>
      </c>
      <c r="T337" t="s">
        <v>51</v>
      </c>
      <c r="X337" t="s">
        <v>341</v>
      </c>
      <c r="Y337" t="s">
        <v>2273</v>
      </c>
      <c r="Z337" t="s">
        <v>2356</v>
      </c>
      <c r="AA337" t="s">
        <v>2357</v>
      </c>
      <c r="AB337" t="s">
        <v>2277</v>
      </c>
      <c r="AC337" t="s">
        <v>152</v>
      </c>
      <c r="AD337" t="s">
        <v>137</v>
      </c>
    </row>
    <row r="338" spans="1:45" x14ac:dyDescent="0.2">
      <c r="A338" t="s">
        <v>37</v>
      </c>
      <c r="B338" t="s">
        <v>335</v>
      </c>
      <c r="C338">
        <v>2022</v>
      </c>
      <c r="D338" t="s">
        <v>44</v>
      </c>
      <c r="E338" t="s">
        <v>50</v>
      </c>
      <c r="F338" t="s">
        <v>53</v>
      </c>
      <c r="G338" t="s">
        <v>86</v>
      </c>
      <c r="H338" t="s">
        <v>93</v>
      </c>
      <c r="I338" t="s">
        <v>118</v>
      </c>
      <c r="J338">
        <v>5</v>
      </c>
      <c r="K338" t="s">
        <v>101</v>
      </c>
      <c r="L338">
        <v>5</v>
      </c>
      <c r="N338" t="s">
        <v>127</v>
      </c>
      <c r="O338" t="s">
        <v>337</v>
      </c>
      <c r="P338" t="s">
        <v>336</v>
      </c>
      <c r="Q338" s="1" t="s">
        <v>2281</v>
      </c>
      <c r="R338" s="1" t="s">
        <v>122</v>
      </c>
      <c r="S338" s="1" t="s">
        <v>2293</v>
      </c>
      <c r="T338" t="s">
        <v>51</v>
      </c>
      <c r="X338" t="s">
        <v>161</v>
      </c>
      <c r="Y338" t="s">
        <v>2272</v>
      </c>
      <c r="Z338" t="s">
        <v>2272</v>
      </c>
      <c r="AA338" t="s">
        <v>2272</v>
      </c>
      <c r="AB338" t="s">
        <v>2272</v>
      </c>
      <c r="AC338" t="s">
        <v>162</v>
      </c>
      <c r="AD338" t="s">
        <v>2272</v>
      </c>
      <c r="AF338" t="s">
        <v>49</v>
      </c>
      <c r="AI338" t="s">
        <v>49</v>
      </c>
      <c r="AM338" t="s">
        <v>342</v>
      </c>
      <c r="AN338" t="s">
        <v>154</v>
      </c>
    </row>
    <row r="339" spans="1:45" x14ac:dyDescent="0.2">
      <c r="A339" t="s">
        <v>38</v>
      </c>
      <c r="B339" t="s">
        <v>343</v>
      </c>
      <c r="C339">
        <v>2022</v>
      </c>
      <c r="D339" t="s">
        <v>44</v>
      </c>
      <c r="E339" t="s">
        <v>50</v>
      </c>
      <c r="F339" t="s">
        <v>82</v>
      </c>
      <c r="G339" t="s">
        <v>86</v>
      </c>
      <c r="H339" t="s">
        <v>94</v>
      </c>
      <c r="I339">
        <v>2018</v>
      </c>
      <c r="J339">
        <v>0.25</v>
      </c>
      <c r="K339" t="s">
        <v>101</v>
      </c>
      <c r="L339">
        <v>15</v>
      </c>
      <c r="M339">
        <v>0.11</v>
      </c>
      <c r="N339" t="s">
        <v>120</v>
      </c>
      <c r="O339" t="s">
        <v>120</v>
      </c>
      <c r="P339" t="s">
        <v>344</v>
      </c>
      <c r="Q339" s="1" t="s">
        <v>2276</v>
      </c>
      <c r="R339" s="1" t="s">
        <v>669</v>
      </c>
      <c r="S339" s="1" t="s">
        <v>168</v>
      </c>
      <c r="T339" t="s">
        <v>421</v>
      </c>
      <c r="X339" t="s">
        <v>211</v>
      </c>
      <c r="Y339" t="s">
        <v>2279</v>
      </c>
      <c r="Z339" t="s">
        <v>2280</v>
      </c>
      <c r="AA339" t="s">
        <v>2358</v>
      </c>
      <c r="AB339" t="s">
        <v>2290</v>
      </c>
      <c r="AC339" t="s">
        <v>152</v>
      </c>
      <c r="AD339" t="s">
        <v>2278</v>
      </c>
      <c r="AE339" t="s">
        <v>345</v>
      </c>
      <c r="AR339" t="s">
        <v>144</v>
      </c>
      <c r="AS339" t="s">
        <v>2583</v>
      </c>
    </row>
    <row r="340" spans="1:45" x14ac:dyDescent="0.2">
      <c r="A340" t="s">
        <v>39</v>
      </c>
      <c r="B340" t="s">
        <v>346</v>
      </c>
      <c r="C340">
        <v>2022</v>
      </c>
      <c r="D340" t="s">
        <v>811</v>
      </c>
      <c r="E340" t="s">
        <v>49</v>
      </c>
      <c r="F340" t="s">
        <v>83</v>
      </c>
      <c r="G340" t="s">
        <v>85</v>
      </c>
      <c r="H340" t="s">
        <v>93</v>
      </c>
      <c r="I340">
        <v>2020</v>
      </c>
      <c r="J340">
        <v>0.06</v>
      </c>
      <c r="K340" t="s">
        <v>101</v>
      </c>
      <c r="L340">
        <v>0</v>
      </c>
      <c r="M340">
        <v>0</v>
      </c>
      <c r="Q340" s="1" t="s">
        <v>2272</v>
      </c>
      <c r="R340" s="1" t="s">
        <v>2272</v>
      </c>
      <c r="S340" s="1" t="s">
        <v>2272</v>
      </c>
      <c r="Y340" t="s">
        <v>2272</v>
      </c>
      <c r="Z340" t="s">
        <v>2272</v>
      </c>
      <c r="AA340" t="s">
        <v>2272</v>
      </c>
      <c r="AB340" t="s">
        <v>2272</v>
      </c>
      <c r="AD340" t="s">
        <v>2272</v>
      </c>
      <c r="AR340" t="s">
        <v>144</v>
      </c>
      <c r="AS340" t="s">
        <v>2583</v>
      </c>
    </row>
    <row r="341" spans="1:45" x14ac:dyDescent="0.2">
      <c r="A341" t="s">
        <v>40</v>
      </c>
      <c r="B341" t="s">
        <v>347</v>
      </c>
      <c r="Q341" s="1" t="s">
        <v>2272</v>
      </c>
      <c r="R341" s="1" t="s">
        <v>2272</v>
      </c>
      <c r="S341" s="1" t="s">
        <v>2272</v>
      </c>
      <c r="Y341" t="s">
        <v>2272</v>
      </c>
      <c r="Z341" t="s">
        <v>2272</v>
      </c>
      <c r="AA341" t="s">
        <v>2272</v>
      </c>
      <c r="AB341" t="s">
        <v>2272</v>
      </c>
      <c r="AD341" t="s">
        <v>2272</v>
      </c>
      <c r="AR341" t="s">
        <v>144</v>
      </c>
      <c r="AS341" t="s">
        <v>2583</v>
      </c>
    </row>
    <row r="342" spans="1:45" x14ac:dyDescent="0.2">
      <c r="A342" t="s">
        <v>348</v>
      </c>
      <c r="B342" t="s">
        <v>349</v>
      </c>
      <c r="C342">
        <v>2022</v>
      </c>
      <c r="D342" t="s">
        <v>45</v>
      </c>
      <c r="F342" t="s">
        <v>57</v>
      </c>
      <c r="G342" t="s">
        <v>89</v>
      </c>
      <c r="H342" t="s">
        <v>350</v>
      </c>
      <c r="N342" t="s">
        <v>121</v>
      </c>
      <c r="O342" t="s">
        <v>121</v>
      </c>
      <c r="P342" t="s">
        <v>352</v>
      </c>
      <c r="Q342" s="1" t="s">
        <v>2292</v>
      </c>
      <c r="R342" s="1" t="s">
        <v>264</v>
      </c>
      <c r="S342" s="1" t="s">
        <v>264</v>
      </c>
      <c r="T342" t="s">
        <v>421</v>
      </c>
      <c r="U342" t="s">
        <v>421</v>
      </c>
      <c r="X342" t="s">
        <v>161</v>
      </c>
      <c r="Y342" t="s">
        <v>2272</v>
      </c>
      <c r="Z342" t="s">
        <v>2272</v>
      </c>
      <c r="AA342" t="s">
        <v>2272</v>
      </c>
      <c r="AB342" t="s">
        <v>2272</v>
      </c>
      <c r="AC342" t="s">
        <v>162</v>
      </c>
      <c r="AD342" t="s">
        <v>2272</v>
      </c>
      <c r="AG342" t="s">
        <v>49</v>
      </c>
      <c r="AI342" t="s">
        <v>49</v>
      </c>
      <c r="AM342" t="s">
        <v>202</v>
      </c>
      <c r="AN342" t="s">
        <v>165</v>
      </c>
      <c r="AP342" t="s">
        <v>49</v>
      </c>
    </row>
    <row r="343" spans="1:45" x14ac:dyDescent="0.2">
      <c r="A343" t="s">
        <v>348</v>
      </c>
      <c r="B343" t="s">
        <v>349</v>
      </c>
      <c r="C343">
        <v>2022</v>
      </c>
      <c r="D343" t="s">
        <v>45</v>
      </c>
      <c r="F343" t="s">
        <v>57</v>
      </c>
      <c r="G343" t="s">
        <v>89</v>
      </c>
      <c r="H343" t="s">
        <v>350</v>
      </c>
      <c r="N343" t="s">
        <v>128</v>
      </c>
      <c r="O343" t="s">
        <v>351</v>
      </c>
      <c r="P343" t="s">
        <v>353</v>
      </c>
      <c r="Q343" s="1" t="s">
        <v>2276</v>
      </c>
      <c r="R343" s="1" t="s">
        <v>751</v>
      </c>
      <c r="S343" s="1" t="s">
        <v>2346</v>
      </c>
      <c r="T343" t="s">
        <v>421</v>
      </c>
      <c r="U343" t="s">
        <v>421</v>
      </c>
      <c r="X343" t="s">
        <v>161</v>
      </c>
      <c r="Y343" t="s">
        <v>2272</v>
      </c>
      <c r="Z343" t="s">
        <v>2272</v>
      </c>
      <c r="AA343" t="s">
        <v>2272</v>
      </c>
      <c r="AB343" t="s">
        <v>2272</v>
      </c>
      <c r="AC343" t="s">
        <v>162</v>
      </c>
      <c r="AD343" t="s">
        <v>2272</v>
      </c>
      <c r="AG343" t="s">
        <v>49</v>
      </c>
      <c r="AI343" t="s">
        <v>49</v>
      </c>
      <c r="AM343" t="s">
        <v>202</v>
      </c>
      <c r="AN343" t="s">
        <v>165</v>
      </c>
      <c r="AQ343" s="5">
        <v>0</v>
      </c>
    </row>
    <row r="344" spans="1:45" x14ac:dyDescent="0.2">
      <c r="A344" t="s">
        <v>348</v>
      </c>
      <c r="B344" t="s">
        <v>349</v>
      </c>
      <c r="C344">
        <v>2022</v>
      </c>
      <c r="D344" t="s">
        <v>45</v>
      </c>
      <c r="F344" t="s">
        <v>57</v>
      </c>
      <c r="G344" t="s">
        <v>89</v>
      </c>
      <c r="H344" t="s">
        <v>350</v>
      </c>
      <c r="N344" t="s">
        <v>128</v>
      </c>
      <c r="O344" t="s">
        <v>351</v>
      </c>
      <c r="P344" t="s">
        <v>353</v>
      </c>
      <c r="Q344" s="1" t="s">
        <v>2276</v>
      </c>
      <c r="R344" s="1" t="s">
        <v>751</v>
      </c>
      <c r="S344" s="1" t="s">
        <v>2346</v>
      </c>
      <c r="T344" t="s">
        <v>421</v>
      </c>
      <c r="U344" t="s">
        <v>421</v>
      </c>
      <c r="X344" t="s">
        <v>161</v>
      </c>
      <c r="Y344" t="s">
        <v>2272</v>
      </c>
      <c r="Z344" t="s">
        <v>2272</v>
      </c>
      <c r="AA344" t="s">
        <v>2272</v>
      </c>
      <c r="AB344" t="s">
        <v>2272</v>
      </c>
      <c r="AC344" t="s">
        <v>162</v>
      </c>
      <c r="AD344" t="s">
        <v>2272</v>
      </c>
      <c r="AG344" t="s">
        <v>49</v>
      </c>
      <c r="AI344" t="s">
        <v>49</v>
      </c>
      <c r="AM344" t="s">
        <v>202</v>
      </c>
      <c r="AN344" t="s">
        <v>166</v>
      </c>
      <c r="AQ344" s="5">
        <v>0</v>
      </c>
    </row>
    <row r="345" spans="1:45" x14ac:dyDescent="0.2">
      <c r="A345" t="s">
        <v>348</v>
      </c>
      <c r="B345" t="s">
        <v>349</v>
      </c>
      <c r="C345">
        <v>2022</v>
      </c>
      <c r="D345" t="s">
        <v>45</v>
      </c>
      <c r="F345" t="s">
        <v>57</v>
      </c>
      <c r="G345" t="s">
        <v>89</v>
      </c>
      <c r="H345" t="s">
        <v>350</v>
      </c>
      <c r="N345" t="s">
        <v>121</v>
      </c>
      <c r="O345" t="s">
        <v>121</v>
      </c>
      <c r="P345" t="s">
        <v>352</v>
      </c>
      <c r="Q345" s="1" t="s">
        <v>2292</v>
      </c>
      <c r="R345" s="1" t="s">
        <v>264</v>
      </c>
      <c r="S345" s="1" t="s">
        <v>264</v>
      </c>
      <c r="T345" t="s">
        <v>421</v>
      </c>
      <c r="U345" t="s">
        <v>421</v>
      </c>
      <c r="X345" t="s">
        <v>161</v>
      </c>
      <c r="Y345" t="s">
        <v>2272</v>
      </c>
      <c r="Z345" t="s">
        <v>2272</v>
      </c>
      <c r="AA345" t="s">
        <v>2272</v>
      </c>
      <c r="AB345" t="s">
        <v>2272</v>
      </c>
      <c r="AC345" t="s">
        <v>162</v>
      </c>
      <c r="AD345" t="s">
        <v>2272</v>
      </c>
      <c r="AG345" t="s">
        <v>49</v>
      </c>
      <c r="AI345" t="s">
        <v>49</v>
      </c>
      <c r="AM345" t="s">
        <v>202</v>
      </c>
      <c r="AN345" t="s">
        <v>166</v>
      </c>
      <c r="AQ345" s="5">
        <v>1</v>
      </c>
    </row>
    <row r="346" spans="1:45" x14ac:dyDescent="0.2">
      <c r="A346" t="s">
        <v>348</v>
      </c>
      <c r="B346" t="s">
        <v>349</v>
      </c>
      <c r="C346">
        <v>2022</v>
      </c>
      <c r="D346" t="s">
        <v>45</v>
      </c>
      <c r="F346" t="s">
        <v>57</v>
      </c>
      <c r="G346" t="s">
        <v>89</v>
      </c>
      <c r="H346" t="s">
        <v>350</v>
      </c>
      <c r="N346" t="s">
        <v>128</v>
      </c>
      <c r="O346" t="s">
        <v>351</v>
      </c>
      <c r="P346" t="s">
        <v>353</v>
      </c>
      <c r="Q346" s="1" t="s">
        <v>2276</v>
      </c>
      <c r="R346" s="1" t="s">
        <v>751</v>
      </c>
      <c r="S346" s="1" t="s">
        <v>2346</v>
      </c>
      <c r="T346" t="s">
        <v>421</v>
      </c>
      <c r="U346" t="s">
        <v>421</v>
      </c>
      <c r="X346" t="s">
        <v>161</v>
      </c>
      <c r="Y346" t="s">
        <v>2272</v>
      </c>
      <c r="Z346" t="s">
        <v>2272</v>
      </c>
      <c r="AA346" t="s">
        <v>2272</v>
      </c>
      <c r="AB346" t="s">
        <v>2272</v>
      </c>
      <c r="AC346" t="s">
        <v>162</v>
      </c>
      <c r="AD346" t="s">
        <v>2272</v>
      </c>
      <c r="AG346" t="s">
        <v>49</v>
      </c>
      <c r="AI346" t="s">
        <v>49</v>
      </c>
      <c r="AM346" t="s">
        <v>202</v>
      </c>
      <c r="AN346" t="s">
        <v>154</v>
      </c>
      <c r="AQ346" s="5">
        <v>1</v>
      </c>
    </row>
    <row r="347" spans="1:45" x14ac:dyDescent="0.2">
      <c r="A347" t="s">
        <v>348</v>
      </c>
      <c r="B347" t="s">
        <v>349</v>
      </c>
      <c r="C347">
        <v>2022</v>
      </c>
      <c r="D347" t="s">
        <v>45</v>
      </c>
      <c r="F347" t="s">
        <v>57</v>
      </c>
      <c r="G347" t="s">
        <v>89</v>
      </c>
      <c r="H347" t="s">
        <v>350</v>
      </c>
      <c r="N347" t="s">
        <v>121</v>
      </c>
      <c r="O347" t="s">
        <v>121</v>
      </c>
      <c r="P347" t="s">
        <v>352</v>
      </c>
      <c r="Q347" s="1" t="s">
        <v>2292</v>
      </c>
      <c r="R347" s="1" t="s">
        <v>264</v>
      </c>
      <c r="S347" s="1" t="s">
        <v>264</v>
      </c>
      <c r="T347" t="s">
        <v>421</v>
      </c>
      <c r="U347" t="s">
        <v>421</v>
      </c>
      <c r="X347" t="s">
        <v>161</v>
      </c>
      <c r="Y347" t="s">
        <v>2272</v>
      </c>
      <c r="Z347" t="s">
        <v>2272</v>
      </c>
      <c r="AA347" t="s">
        <v>2272</v>
      </c>
      <c r="AB347" t="s">
        <v>2272</v>
      </c>
      <c r="AC347" t="s">
        <v>162</v>
      </c>
      <c r="AD347" t="s">
        <v>2272</v>
      </c>
      <c r="AG347" t="s">
        <v>49</v>
      </c>
      <c r="AI347" t="s">
        <v>49</v>
      </c>
      <c r="AM347" t="s">
        <v>202</v>
      </c>
      <c r="AN347" t="s">
        <v>154</v>
      </c>
      <c r="AQ347" s="5">
        <v>1</v>
      </c>
    </row>
    <row r="348" spans="1:45" x14ac:dyDescent="0.2">
      <c r="A348" t="s">
        <v>348</v>
      </c>
      <c r="B348" t="s">
        <v>349</v>
      </c>
      <c r="C348">
        <v>2022</v>
      </c>
      <c r="D348" t="s">
        <v>45</v>
      </c>
      <c r="F348" t="s">
        <v>57</v>
      </c>
      <c r="G348" t="s">
        <v>89</v>
      </c>
      <c r="H348" t="s">
        <v>350</v>
      </c>
      <c r="N348" t="s">
        <v>128</v>
      </c>
      <c r="O348" t="s">
        <v>351</v>
      </c>
      <c r="P348" t="s">
        <v>353</v>
      </c>
      <c r="Q348" s="1" t="s">
        <v>2276</v>
      </c>
      <c r="R348" s="1" t="s">
        <v>751</v>
      </c>
      <c r="S348" s="1" t="s">
        <v>2346</v>
      </c>
      <c r="T348" t="s">
        <v>421</v>
      </c>
      <c r="U348" t="s">
        <v>421</v>
      </c>
      <c r="X348" t="s">
        <v>161</v>
      </c>
      <c r="Y348" t="s">
        <v>2272</v>
      </c>
      <c r="Z348" t="s">
        <v>2272</v>
      </c>
      <c r="AA348" t="s">
        <v>2272</v>
      </c>
      <c r="AB348" t="s">
        <v>2272</v>
      </c>
      <c r="AC348" t="s">
        <v>162</v>
      </c>
      <c r="AD348" t="s">
        <v>2272</v>
      </c>
      <c r="AG348" t="s">
        <v>49</v>
      </c>
      <c r="AI348" t="s">
        <v>49</v>
      </c>
      <c r="AM348" t="s">
        <v>202</v>
      </c>
      <c r="AN348" t="s">
        <v>155</v>
      </c>
      <c r="AQ348" s="5">
        <v>0</v>
      </c>
    </row>
    <row r="349" spans="1:45" x14ac:dyDescent="0.2">
      <c r="A349" t="s">
        <v>348</v>
      </c>
      <c r="B349" t="s">
        <v>349</v>
      </c>
      <c r="C349">
        <v>2022</v>
      </c>
      <c r="D349" t="s">
        <v>45</v>
      </c>
      <c r="F349" t="s">
        <v>57</v>
      </c>
      <c r="G349" t="s">
        <v>89</v>
      </c>
      <c r="H349" t="s">
        <v>350</v>
      </c>
      <c r="N349" t="s">
        <v>121</v>
      </c>
      <c r="O349" t="s">
        <v>121</v>
      </c>
      <c r="P349" t="s">
        <v>352</v>
      </c>
      <c r="Q349" s="1" t="s">
        <v>2292</v>
      </c>
      <c r="R349" s="1" t="s">
        <v>264</v>
      </c>
      <c r="S349" s="1" t="s">
        <v>264</v>
      </c>
      <c r="T349" t="s">
        <v>421</v>
      </c>
      <c r="U349" t="s">
        <v>421</v>
      </c>
      <c r="X349" t="s">
        <v>161</v>
      </c>
      <c r="Y349" t="s">
        <v>2272</v>
      </c>
      <c r="Z349" t="s">
        <v>2272</v>
      </c>
      <c r="AA349" t="s">
        <v>2272</v>
      </c>
      <c r="AB349" t="s">
        <v>2272</v>
      </c>
      <c r="AC349" t="s">
        <v>162</v>
      </c>
      <c r="AD349" t="s">
        <v>2272</v>
      </c>
      <c r="AG349" t="s">
        <v>49</v>
      </c>
      <c r="AI349" t="s">
        <v>49</v>
      </c>
      <c r="AM349" t="s">
        <v>202</v>
      </c>
      <c r="AN349" t="s">
        <v>155</v>
      </c>
      <c r="AP349" t="s">
        <v>49</v>
      </c>
    </row>
    <row r="350" spans="1:45" x14ac:dyDescent="0.2">
      <c r="A350" t="s">
        <v>348</v>
      </c>
      <c r="B350" t="s">
        <v>349</v>
      </c>
      <c r="C350">
        <v>2022</v>
      </c>
      <c r="D350" t="s">
        <v>45</v>
      </c>
      <c r="F350" t="s">
        <v>57</v>
      </c>
      <c r="G350" t="s">
        <v>89</v>
      </c>
      <c r="H350" t="s">
        <v>350</v>
      </c>
      <c r="N350" t="s">
        <v>128</v>
      </c>
      <c r="O350" t="s">
        <v>351</v>
      </c>
      <c r="P350" t="s">
        <v>353</v>
      </c>
      <c r="Q350" s="1" t="s">
        <v>2276</v>
      </c>
      <c r="R350" s="1" t="s">
        <v>751</v>
      </c>
      <c r="S350" s="1" t="s">
        <v>2346</v>
      </c>
      <c r="T350" t="s">
        <v>421</v>
      </c>
      <c r="U350" t="s">
        <v>421</v>
      </c>
      <c r="X350" t="s">
        <v>161</v>
      </c>
      <c r="Y350" t="s">
        <v>2272</v>
      </c>
      <c r="Z350" t="s">
        <v>2272</v>
      </c>
      <c r="AA350" t="s">
        <v>2272</v>
      </c>
      <c r="AB350" t="s">
        <v>2272</v>
      </c>
      <c r="AC350" t="s">
        <v>162</v>
      </c>
      <c r="AD350" t="s">
        <v>2272</v>
      </c>
      <c r="AG350" t="s">
        <v>49</v>
      </c>
      <c r="AI350" t="s">
        <v>49</v>
      </c>
      <c r="AM350" t="s">
        <v>202</v>
      </c>
      <c r="AN350" t="s">
        <v>191</v>
      </c>
      <c r="AQ350" s="5">
        <v>0</v>
      </c>
    </row>
    <row r="351" spans="1:45" x14ac:dyDescent="0.2">
      <c r="A351" t="s">
        <v>348</v>
      </c>
      <c r="B351" t="s">
        <v>349</v>
      </c>
      <c r="C351">
        <v>2022</v>
      </c>
      <c r="D351" t="s">
        <v>45</v>
      </c>
      <c r="F351" t="s">
        <v>57</v>
      </c>
      <c r="G351" t="s">
        <v>89</v>
      </c>
      <c r="H351" t="s">
        <v>350</v>
      </c>
      <c r="N351" t="s">
        <v>121</v>
      </c>
      <c r="O351" t="s">
        <v>121</v>
      </c>
      <c r="P351" t="s">
        <v>352</v>
      </c>
      <c r="Q351" s="1" t="s">
        <v>2292</v>
      </c>
      <c r="R351" s="1" t="s">
        <v>264</v>
      </c>
      <c r="S351" s="1" t="s">
        <v>264</v>
      </c>
      <c r="T351" t="s">
        <v>421</v>
      </c>
      <c r="U351" t="s">
        <v>421</v>
      </c>
      <c r="X351" t="s">
        <v>161</v>
      </c>
      <c r="Y351" t="s">
        <v>2272</v>
      </c>
      <c r="Z351" t="s">
        <v>2272</v>
      </c>
      <c r="AA351" t="s">
        <v>2272</v>
      </c>
      <c r="AB351" t="s">
        <v>2272</v>
      </c>
      <c r="AC351" t="s">
        <v>162</v>
      </c>
      <c r="AD351" t="s">
        <v>2272</v>
      </c>
      <c r="AG351" t="s">
        <v>49</v>
      </c>
      <c r="AI351" t="s">
        <v>49</v>
      </c>
      <c r="AM351" t="s">
        <v>202</v>
      </c>
      <c r="AN351" t="s">
        <v>191</v>
      </c>
      <c r="AP351" t="s">
        <v>49</v>
      </c>
    </row>
    <row r="352" spans="1:45" x14ac:dyDescent="0.2">
      <c r="A352" t="s">
        <v>348</v>
      </c>
      <c r="B352" t="s">
        <v>349</v>
      </c>
      <c r="C352">
        <v>2022</v>
      </c>
      <c r="D352" t="s">
        <v>45</v>
      </c>
      <c r="F352" t="s">
        <v>57</v>
      </c>
      <c r="G352" t="s">
        <v>89</v>
      </c>
      <c r="H352" t="s">
        <v>350</v>
      </c>
      <c r="N352" t="s">
        <v>121</v>
      </c>
      <c r="O352" t="s">
        <v>121</v>
      </c>
      <c r="P352" t="s">
        <v>352</v>
      </c>
      <c r="Q352" s="1" t="s">
        <v>2292</v>
      </c>
      <c r="R352" s="1" t="s">
        <v>264</v>
      </c>
      <c r="S352" s="1" t="s">
        <v>264</v>
      </c>
      <c r="T352" t="s">
        <v>396</v>
      </c>
      <c r="U352" s="1" t="s">
        <v>2346</v>
      </c>
      <c r="X352" t="s">
        <v>161</v>
      </c>
      <c r="Y352" t="s">
        <v>2272</v>
      </c>
      <c r="Z352" t="s">
        <v>2272</v>
      </c>
      <c r="AA352" t="s">
        <v>2272</v>
      </c>
      <c r="AB352" t="s">
        <v>2272</v>
      </c>
      <c r="AC352" t="s">
        <v>162</v>
      </c>
      <c r="AD352" t="s">
        <v>2272</v>
      </c>
      <c r="AG352" t="s">
        <v>49</v>
      </c>
      <c r="AI352" t="s">
        <v>49</v>
      </c>
      <c r="AM352" t="s">
        <v>202</v>
      </c>
      <c r="AN352" t="s">
        <v>165</v>
      </c>
      <c r="AP352" t="s">
        <v>49</v>
      </c>
    </row>
    <row r="353" spans="1:43" x14ac:dyDescent="0.2">
      <c r="A353" t="s">
        <v>348</v>
      </c>
      <c r="B353" t="s">
        <v>349</v>
      </c>
      <c r="C353">
        <v>2022</v>
      </c>
      <c r="D353" t="s">
        <v>45</v>
      </c>
      <c r="F353" t="s">
        <v>57</v>
      </c>
      <c r="G353" t="s">
        <v>89</v>
      </c>
      <c r="H353" t="s">
        <v>350</v>
      </c>
      <c r="N353" t="s">
        <v>128</v>
      </c>
      <c r="O353" t="s">
        <v>351</v>
      </c>
      <c r="P353" t="s">
        <v>353</v>
      </c>
      <c r="Q353" s="1" t="s">
        <v>2276</v>
      </c>
      <c r="R353" s="1" t="s">
        <v>751</v>
      </c>
      <c r="S353" s="1" t="s">
        <v>2346</v>
      </c>
      <c r="T353" t="s">
        <v>396</v>
      </c>
      <c r="U353" s="1" t="s">
        <v>264</v>
      </c>
      <c r="X353" t="s">
        <v>161</v>
      </c>
      <c r="Y353" t="s">
        <v>2272</v>
      </c>
      <c r="Z353" t="s">
        <v>2272</v>
      </c>
      <c r="AA353" t="s">
        <v>2272</v>
      </c>
      <c r="AB353" t="s">
        <v>2272</v>
      </c>
      <c r="AC353" t="s">
        <v>162</v>
      </c>
      <c r="AD353" t="s">
        <v>2272</v>
      </c>
      <c r="AG353" t="s">
        <v>49</v>
      </c>
      <c r="AI353" t="s">
        <v>49</v>
      </c>
      <c r="AM353" t="s">
        <v>202</v>
      </c>
      <c r="AN353" t="s">
        <v>165</v>
      </c>
      <c r="AP353" t="s">
        <v>49</v>
      </c>
    </row>
    <row r="354" spans="1:43" x14ac:dyDescent="0.2">
      <c r="A354" t="s">
        <v>348</v>
      </c>
      <c r="B354" t="s">
        <v>349</v>
      </c>
      <c r="C354">
        <v>2022</v>
      </c>
      <c r="D354" t="s">
        <v>45</v>
      </c>
      <c r="F354" t="s">
        <v>57</v>
      </c>
      <c r="G354" t="s">
        <v>89</v>
      </c>
      <c r="H354" t="s">
        <v>350</v>
      </c>
      <c r="N354" t="s">
        <v>128</v>
      </c>
      <c r="O354" t="s">
        <v>351</v>
      </c>
      <c r="P354" t="s">
        <v>353</v>
      </c>
      <c r="Q354" s="1" t="s">
        <v>2276</v>
      </c>
      <c r="R354" s="1" t="s">
        <v>751</v>
      </c>
      <c r="S354" s="1" t="s">
        <v>2346</v>
      </c>
      <c r="T354" t="s">
        <v>396</v>
      </c>
      <c r="U354" t="s">
        <v>264</v>
      </c>
      <c r="X354" t="s">
        <v>161</v>
      </c>
      <c r="Y354" t="s">
        <v>2272</v>
      </c>
      <c r="Z354" t="s">
        <v>2272</v>
      </c>
      <c r="AA354" t="s">
        <v>2272</v>
      </c>
      <c r="AB354" t="s">
        <v>2272</v>
      </c>
      <c r="AC354" t="s">
        <v>162</v>
      </c>
      <c r="AD354" t="s">
        <v>2272</v>
      </c>
      <c r="AG354" t="s">
        <v>49</v>
      </c>
      <c r="AI354" t="s">
        <v>49</v>
      </c>
      <c r="AM354" t="s">
        <v>202</v>
      </c>
      <c r="AN354" t="s">
        <v>166</v>
      </c>
      <c r="AQ354" s="5">
        <v>2</v>
      </c>
    </row>
    <row r="355" spans="1:43" x14ac:dyDescent="0.2">
      <c r="A355" t="s">
        <v>348</v>
      </c>
      <c r="B355" t="s">
        <v>349</v>
      </c>
      <c r="C355">
        <v>2022</v>
      </c>
      <c r="D355" t="s">
        <v>45</v>
      </c>
      <c r="F355" t="s">
        <v>57</v>
      </c>
      <c r="G355" t="s">
        <v>89</v>
      </c>
      <c r="H355" t="s">
        <v>350</v>
      </c>
      <c r="N355" t="s">
        <v>121</v>
      </c>
      <c r="O355" t="s">
        <v>121</v>
      </c>
      <c r="P355" t="s">
        <v>352</v>
      </c>
      <c r="Q355" s="1" t="s">
        <v>2292</v>
      </c>
      <c r="R355" s="1" t="s">
        <v>264</v>
      </c>
      <c r="S355" s="1" t="s">
        <v>264</v>
      </c>
      <c r="T355" t="s">
        <v>396</v>
      </c>
      <c r="U355" s="1" t="s">
        <v>2346</v>
      </c>
      <c r="X355" t="s">
        <v>161</v>
      </c>
      <c r="Y355" t="s">
        <v>2272</v>
      </c>
      <c r="Z355" t="s">
        <v>2272</v>
      </c>
      <c r="AA355" t="s">
        <v>2272</v>
      </c>
      <c r="AB355" t="s">
        <v>2272</v>
      </c>
      <c r="AC355" t="s">
        <v>162</v>
      </c>
      <c r="AD355" t="s">
        <v>2272</v>
      </c>
      <c r="AG355" t="s">
        <v>49</v>
      </c>
      <c r="AI355" t="s">
        <v>49</v>
      </c>
      <c r="AM355" t="s">
        <v>202</v>
      </c>
      <c r="AN355" t="s">
        <v>166</v>
      </c>
      <c r="AQ355" s="5">
        <v>1</v>
      </c>
    </row>
    <row r="356" spans="1:43" x14ac:dyDescent="0.2">
      <c r="A356" t="s">
        <v>348</v>
      </c>
      <c r="B356" t="s">
        <v>349</v>
      </c>
      <c r="C356">
        <v>2022</v>
      </c>
      <c r="D356" t="s">
        <v>45</v>
      </c>
      <c r="F356" t="s">
        <v>57</v>
      </c>
      <c r="G356" t="s">
        <v>89</v>
      </c>
      <c r="H356" t="s">
        <v>350</v>
      </c>
      <c r="N356" t="s">
        <v>128</v>
      </c>
      <c r="O356" t="s">
        <v>351</v>
      </c>
      <c r="P356" t="s">
        <v>353</v>
      </c>
      <c r="Q356" s="1" t="s">
        <v>2276</v>
      </c>
      <c r="R356" s="1" t="s">
        <v>751</v>
      </c>
      <c r="S356" s="1" t="s">
        <v>2346</v>
      </c>
      <c r="T356" t="s">
        <v>396</v>
      </c>
      <c r="U356" s="1" t="s">
        <v>264</v>
      </c>
      <c r="X356" t="s">
        <v>161</v>
      </c>
      <c r="Y356" t="s">
        <v>2272</v>
      </c>
      <c r="Z356" t="s">
        <v>2272</v>
      </c>
      <c r="AA356" t="s">
        <v>2272</v>
      </c>
      <c r="AB356" t="s">
        <v>2272</v>
      </c>
      <c r="AC356" t="s">
        <v>162</v>
      </c>
      <c r="AD356" t="s">
        <v>2272</v>
      </c>
      <c r="AG356" t="s">
        <v>49</v>
      </c>
      <c r="AI356" t="s">
        <v>49</v>
      </c>
      <c r="AM356" t="s">
        <v>202</v>
      </c>
      <c r="AN356" t="s">
        <v>154</v>
      </c>
      <c r="AQ356" s="5">
        <v>0</v>
      </c>
    </row>
    <row r="357" spans="1:43" x14ac:dyDescent="0.2">
      <c r="A357" t="s">
        <v>348</v>
      </c>
      <c r="B357" t="s">
        <v>349</v>
      </c>
      <c r="C357">
        <v>2022</v>
      </c>
      <c r="D357" t="s">
        <v>45</v>
      </c>
      <c r="F357" t="s">
        <v>57</v>
      </c>
      <c r="G357" t="s">
        <v>89</v>
      </c>
      <c r="H357" t="s">
        <v>350</v>
      </c>
      <c r="N357" t="s">
        <v>121</v>
      </c>
      <c r="O357" t="s">
        <v>121</v>
      </c>
      <c r="P357" t="s">
        <v>352</v>
      </c>
      <c r="Q357" s="1" t="s">
        <v>2292</v>
      </c>
      <c r="R357" s="1" t="s">
        <v>264</v>
      </c>
      <c r="S357" s="1" t="s">
        <v>264</v>
      </c>
      <c r="T357" t="s">
        <v>396</v>
      </c>
      <c r="U357" s="1" t="s">
        <v>2346</v>
      </c>
      <c r="X357" t="s">
        <v>161</v>
      </c>
      <c r="Y357" t="s">
        <v>2272</v>
      </c>
      <c r="Z357" t="s">
        <v>2272</v>
      </c>
      <c r="AA357" t="s">
        <v>2272</v>
      </c>
      <c r="AB357" t="s">
        <v>2272</v>
      </c>
      <c r="AC357" t="s">
        <v>162</v>
      </c>
      <c r="AD357" t="s">
        <v>2272</v>
      </c>
      <c r="AG357" t="s">
        <v>49</v>
      </c>
      <c r="AI357" t="s">
        <v>49</v>
      </c>
      <c r="AM357" t="s">
        <v>202</v>
      </c>
      <c r="AN357" t="s">
        <v>154</v>
      </c>
      <c r="AQ357" s="5">
        <v>0</v>
      </c>
    </row>
    <row r="358" spans="1:43" x14ac:dyDescent="0.2">
      <c r="A358" t="s">
        <v>348</v>
      </c>
      <c r="B358" t="s">
        <v>349</v>
      </c>
      <c r="C358">
        <v>2022</v>
      </c>
      <c r="D358" t="s">
        <v>45</v>
      </c>
      <c r="F358" t="s">
        <v>57</v>
      </c>
      <c r="G358" t="s">
        <v>89</v>
      </c>
      <c r="H358" t="s">
        <v>350</v>
      </c>
      <c r="N358" t="s">
        <v>128</v>
      </c>
      <c r="O358" t="s">
        <v>351</v>
      </c>
      <c r="P358" t="s">
        <v>353</v>
      </c>
      <c r="Q358" s="1" t="s">
        <v>2276</v>
      </c>
      <c r="R358" s="1" t="s">
        <v>751</v>
      </c>
      <c r="S358" s="1" t="s">
        <v>2346</v>
      </c>
      <c r="T358" t="s">
        <v>396</v>
      </c>
      <c r="U358" s="1" t="s">
        <v>264</v>
      </c>
      <c r="X358" t="s">
        <v>161</v>
      </c>
      <c r="Y358" t="s">
        <v>2272</v>
      </c>
      <c r="Z358" t="s">
        <v>2272</v>
      </c>
      <c r="AA358" t="s">
        <v>2272</v>
      </c>
      <c r="AB358" t="s">
        <v>2272</v>
      </c>
      <c r="AC358" t="s">
        <v>162</v>
      </c>
      <c r="AD358" t="s">
        <v>2272</v>
      </c>
      <c r="AG358" t="s">
        <v>49</v>
      </c>
      <c r="AI358" t="s">
        <v>49</v>
      </c>
      <c r="AM358" t="s">
        <v>202</v>
      </c>
      <c r="AN358" t="s">
        <v>155</v>
      </c>
      <c r="AP358" t="s">
        <v>49</v>
      </c>
    </row>
    <row r="359" spans="1:43" x14ac:dyDescent="0.2">
      <c r="A359" t="s">
        <v>348</v>
      </c>
      <c r="B359" t="s">
        <v>349</v>
      </c>
      <c r="C359">
        <v>2022</v>
      </c>
      <c r="D359" t="s">
        <v>45</v>
      </c>
      <c r="F359" t="s">
        <v>57</v>
      </c>
      <c r="G359" t="s">
        <v>89</v>
      </c>
      <c r="H359" t="s">
        <v>350</v>
      </c>
      <c r="N359" t="s">
        <v>121</v>
      </c>
      <c r="O359" t="s">
        <v>121</v>
      </c>
      <c r="P359" t="s">
        <v>352</v>
      </c>
      <c r="Q359" s="1" t="s">
        <v>2292</v>
      </c>
      <c r="R359" s="1" t="s">
        <v>264</v>
      </c>
      <c r="S359" s="1" t="s">
        <v>264</v>
      </c>
      <c r="T359" t="s">
        <v>396</v>
      </c>
      <c r="U359" s="1" t="s">
        <v>2346</v>
      </c>
      <c r="X359" t="s">
        <v>161</v>
      </c>
      <c r="Y359" t="s">
        <v>2272</v>
      </c>
      <c r="Z359" t="s">
        <v>2272</v>
      </c>
      <c r="AA359" t="s">
        <v>2272</v>
      </c>
      <c r="AB359" t="s">
        <v>2272</v>
      </c>
      <c r="AC359" t="s">
        <v>162</v>
      </c>
      <c r="AD359" t="s">
        <v>2272</v>
      </c>
      <c r="AG359" t="s">
        <v>49</v>
      </c>
      <c r="AI359" t="s">
        <v>49</v>
      </c>
      <c r="AM359" t="s">
        <v>202</v>
      </c>
      <c r="AN359" t="s">
        <v>155</v>
      </c>
      <c r="AP359" t="s">
        <v>49</v>
      </c>
    </row>
    <row r="360" spans="1:43" x14ac:dyDescent="0.2">
      <c r="A360" t="s">
        <v>348</v>
      </c>
      <c r="B360" t="s">
        <v>349</v>
      </c>
      <c r="C360">
        <v>2022</v>
      </c>
      <c r="D360" t="s">
        <v>45</v>
      </c>
      <c r="F360" t="s">
        <v>57</v>
      </c>
      <c r="G360" t="s">
        <v>89</v>
      </c>
      <c r="H360" t="s">
        <v>350</v>
      </c>
      <c r="N360" t="s">
        <v>128</v>
      </c>
      <c r="O360" t="s">
        <v>351</v>
      </c>
      <c r="P360" t="s">
        <v>353</v>
      </c>
      <c r="Q360" s="1" t="s">
        <v>2276</v>
      </c>
      <c r="R360" s="1" t="s">
        <v>751</v>
      </c>
      <c r="S360" s="1" t="s">
        <v>2346</v>
      </c>
      <c r="T360" t="s">
        <v>396</v>
      </c>
      <c r="U360" s="1" t="s">
        <v>264</v>
      </c>
      <c r="X360" t="s">
        <v>161</v>
      </c>
      <c r="Y360" t="s">
        <v>2272</v>
      </c>
      <c r="Z360" t="s">
        <v>2272</v>
      </c>
      <c r="AA360" t="s">
        <v>2272</v>
      </c>
      <c r="AB360" t="s">
        <v>2272</v>
      </c>
      <c r="AC360" t="s">
        <v>162</v>
      </c>
      <c r="AD360" t="s">
        <v>2272</v>
      </c>
      <c r="AG360" t="s">
        <v>49</v>
      </c>
      <c r="AI360" t="s">
        <v>49</v>
      </c>
      <c r="AM360" t="s">
        <v>202</v>
      </c>
      <c r="AN360" t="s">
        <v>191</v>
      </c>
      <c r="AP360" t="s">
        <v>49</v>
      </c>
    </row>
    <row r="361" spans="1:43" x14ac:dyDescent="0.2">
      <c r="A361" t="s">
        <v>348</v>
      </c>
      <c r="B361" t="s">
        <v>349</v>
      </c>
      <c r="C361">
        <v>2022</v>
      </c>
      <c r="D361" t="s">
        <v>45</v>
      </c>
      <c r="F361" t="s">
        <v>57</v>
      </c>
      <c r="G361" t="s">
        <v>89</v>
      </c>
      <c r="H361" t="s">
        <v>350</v>
      </c>
      <c r="N361" t="s">
        <v>121</v>
      </c>
      <c r="O361" t="s">
        <v>121</v>
      </c>
      <c r="P361" t="s">
        <v>352</v>
      </c>
      <c r="Q361" s="1" t="s">
        <v>2292</v>
      </c>
      <c r="R361" s="1" t="s">
        <v>264</v>
      </c>
      <c r="S361" s="1" t="s">
        <v>264</v>
      </c>
      <c r="T361" t="s">
        <v>396</v>
      </c>
      <c r="U361" s="1" t="s">
        <v>2346</v>
      </c>
      <c r="X361" t="s">
        <v>161</v>
      </c>
      <c r="Y361" t="s">
        <v>2272</v>
      </c>
      <c r="Z361" t="s">
        <v>2272</v>
      </c>
      <c r="AA361" t="s">
        <v>2272</v>
      </c>
      <c r="AB361" t="s">
        <v>2272</v>
      </c>
      <c r="AC361" t="s">
        <v>162</v>
      </c>
      <c r="AD361" t="s">
        <v>2272</v>
      </c>
      <c r="AG361" t="s">
        <v>49</v>
      </c>
      <c r="AI361" t="s">
        <v>49</v>
      </c>
      <c r="AM361" t="s">
        <v>202</v>
      </c>
      <c r="AN361" t="s">
        <v>191</v>
      </c>
      <c r="AP361" t="s">
        <v>49</v>
      </c>
    </row>
    <row r="362" spans="1:43" x14ac:dyDescent="0.2">
      <c r="A362" t="s">
        <v>348</v>
      </c>
      <c r="B362" t="s">
        <v>349</v>
      </c>
      <c r="C362">
        <v>2022</v>
      </c>
      <c r="D362" t="s">
        <v>45</v>
      </c>
      <c r="F362" t="s">
        <v>57</v>
      </c>
      <c r="G362" t="s">
        <v>89</v>
      </c>
      <c r="H362" t="s">
        <v>350</v>
      </c>
      <c r="N362" t="s">
        <v>121</v>
      </c>
      <c r="O362" t="s">
        <v>121</v>
      </c>
      <c r="P362" t="s">
        <v>352</v>
      </c>
      <c r="Q362" s="1" t="s">
        <v>2292</v>
      </c>
      <c r="R362" s="1" t="s">
        <v>264</v>
      </c>
      <c r="S362" s="1" t="s">
        <v>264</v>
      </c>
      <c r="T362" t="s">
        <v>51</v>
      </c>
      <c r="X362" t="s">
        <v>267</v>
      </c>
      <c r="Y362" t="s">
        <v>2279</v>
      </c>
      <c r="Z362" t="s">
        <v>2280</v>
      </c>
      <c r="AA362" t="s">
        <v>2358</v>
      </c>
      <c r="AB362" t="s">
        <v>189</v>
      </c>
      <c r="AC362" t="s">
        <v>152</v>
      </c>
      <c r="AD362" t="s">
        <v>2278</v>
      </c>
      <c r="AE362" t="s">
        <v>2316</v>
      </c>
    </row>
    <row r="363" spans="1:43" x14ac:dyDescent="0.2">
      <c r="A363" t="s">
        <v>348</v>
      </c>
      <c r="B363" t="s">
        <v>349</v>
      </c>
      <c r="C363">
        <v>2022</v>
      </c>
      <c r="D363" t="s">
        <v>45</v>
      </c>
      <c r="F363" t="s">
        <v>57</v>
      </c>
      <c r="G363" t="s">
        <v>89</v>
      </c>
      <c r="H363" t="s">
        <v>350</v>
      </c>
      <c r="N363" t="s">
        <v>121</v>
      </c>
      <c r="O363" t="s">
        <v>121</v>
      </c>
      <c r="P363" t="s">
        <v>352</v>
      </c>
      <c r="Q363" s="1" t="s">
        <v>2292</v>
      </c>
      <c r="R363" s="1" t="s">
        <v>264</v>
      </c>
      <c r="S363" s="1" t="s">
        <v>264</v>
      </c>
      <c r="T363" t="s">
        <v>51</v>
      </c>
      <c r="X363" t="s">
        <v>303</v>
      </c>
      <c r="Y363" t="s">
        <v>2273</v>
      </c>
      <c r="Z363" t="s">
        <v>249</v>
      </c>
      <c r="AA363" t="s">
        <v>2359</v>
      </c>
      <c r="AB363" t="s">
        <v>1419</v>
      </c>
      <c r="AC363" t="s">
        <v>152</v>
      </c>
      <c r="AD363" t="s">
        <v>2288</v>
      </c>
      <c r="AE363" t="s">
        <v>2316</v>
      </c>
    </row>
    <row r="364" spans="1:43" x14ac:dyDescent="0.2">
      <c r="A364" t="s">
        <v>348</v>
      </c>
      <c r="B364" t="s">
        <v>349</v>
      </c>
      <c r="C364">
        <v>2022</v>
      </c>
      <c r="D364" t="s">
        <v>45</v>
      </c>
      <c r="F364" t="s">
        <v>57</v>
      </c>
      <c r="G364" t="s">
        <v>89</v>
      </c>
      <c r="H364" t="s">
        <v>350</v>
      </c>
      <c r="N364" t="s">
        <v>121</v>
      </c>
      <c r="O364" t="s">
        <v>121</v>
      </c>
      <c r="P364" t="s">
        <v>352</v>
      </c>
      <c r="Q364" s="1" t="s">
        <v>2292</v>
      </c>
      <c r="R364" s="1" t="s">
        <v>264</v>
      </c>
      <c r="S364" s="1" t="s">
        <v>264</v>
      </c>
      <c r="T364" t="s">
        <v>51</v>
      </c>
      <c r="X364" t="s">
        <v>427</v>
      </c>
      <c r="Y364" t="s">
        <v>2273</v>
      </c>
      <c r="Z364" t="s">
        <v>249</v>
      </c>
      <c r="AA364" t="s">
        <v>2359</v>
      </c>
      <c r="AB364" t="s">
        <v>1419</v>
      </c>
      <c r="AC364" t="s">
        <v>152</v>
      </c>
      <c r="AD364" t="s">
        <v>2288</v>
      </c>
      <c r="AE364" t="s">
        <v>298</v>
      </c>
    </row>
    <row r="365" spans="1:43" x14ac:dyDescent="0.2">
      <c r="A365" t="s">
        <v>348</v>
      </c>
      <c r="B365" t="s">
        <v>349</v>
      </c>
      <c r="C365">
        <v>2022</v>
      </c>
      <c r="D365" t="s">
        <v>45</v>
      </c>
      <c r="F365" t="s">
        <v>57</v>
      </c>
      <c r="G365" t="s">
        <v>89</v>
      </c>
      <c r="H365" t="s">
        <v>350</v>
      </c>
      <c r="N365" t="s">
        <v>121</v>
      </c>
      <c r="O365" t="s">
        <v>121</v>
      </c>
      <c r="P365" t="s">
        <v>352</v>
      </c>
      <c r="Q365" s="1" t="s">
        <v>2292</v>
      </c>
      <c r="R365" s="1" t="s">
        <v>264</v>
      </c>
      <c r="S365" s="1" t="s">
        <v>264</v>
      </c>
      <c r="T365" t="s">
        <v>51</v>
      </c>
      <c r="X365" t="s">
        <v>394</v>
      </c>
      <c r="Y365" t="s">
        <v>2273</v>
      </c>
      <c r="Z365" t="s">
        <v>249</v>
      </c>
      <c r="AA365" t="s">
        <v>2359</v>
      </c>
      <c r="AB365" t="s">
        <v>2289</v>
      </c>
      <c r="AC365" t="s">
        <v>152</v>
      </c>
      <c r="AD365" t="s">
        <v>2288</v>
      </c>
      <c r="AE365" t="s">
        <v>2316</v>
      </c>
    </row>
    <row r="366" spans="1:43" x14ac:dyDescent="0.2">
      <c r="A366" t="s">
        <v>348</v>
      </c>
      <c r="B366" t="s">
        <v>349</v>
      </c>
      <c r="C366">
        <v>2022</v>
      </c>
      <c r="D366" t="s">
        <v>45</v>
      </c>
      <c r="F366" t="s">
        <v>57</v>
      </c>
      <c r="G366" t="s">
        <v>89</v>
      </c>
      <c r="H366" t="s">
        <v>350</v>
      </c>
      <c r="N366" t="s">
        <v>121</v>
      </c>
      <c r="O366" t="s">
        <v>121</v>
      </c>
      <c r="P366" t="s">
        <v>352</v>
      </c>
      <c r="Q366" s="1" t="s">
        <v>2292</v>
      </c>
      <c r="R366" s="1" t="s">
        <v>264</v>
      </c>
      <c r="S366" s="1" t="s">
        <v>264</v>
      </c>
      <c r="T366" t="s">
        <v>51</v>
      </c>
      <c r="X366" t="s">
        <v>304</v>
      </c>
      <c r="Y366" t="s">
        <v>2273</v>
      </c>
      <c r="Z366" t="s">
        <v>249</v>
      </c>
      <c r="AA366" t="s">
        <v>2359</v>
      </c>
      <c r="AB366" t="s">
        <v>1979</v>
      </c>
      <c r="AC366" t="s">
        <v>152</v>
      </c>
      <c r="AD366" t="s">
        <v>2288</v>
      </c>
      <c r="AE366" t="s">
        <v>2316</v>
      </c>
    </row>
    <row r="367" spans="1:43" x14ac:dyDescent="0.2">
      <c r="A367" t="s">
        <v>348</v>
      </c>
      <c r="B367" t="s">
        <v>349</v>
      </c>
      <c r="C367">
        <v>2022</v>
      </c>
      <c r="D367" t="s">
        <v>45</v>
      </c>
      <c r="F367" t="s">
        <v>57</v>
      </c>
      <c r="G367" t="s">
        <v>89</v>
      </c>
      <c r="H367" t="s">
        <v>350</v>
      </c>
      <c r="N367" t="s">
        <v>121</v>
      </c>
      <c r="O367" t="s">
        <v>121</v>
      </c>
      <c r="P367" t="s">
        <v>352</v>
      </c>
      <c r="Q367" s="1" t="s">
        <v>2292</v>
      </c>
      <c r="R367" s="1" t="s">
        <v>264</v>
      </c>
      <c r="S367" s="1" t="s">
        <v>264</v>
      </c>
      <c r="T367" t="s">
        <v>51</v>
      </c>
      <c r="X367" t="s">
        <v>428</v>
      </c>
      <c r="Y367" t="s">
        <v>2279</v>
      </c>
      <c r="Z367" t="s">
        <v>2361</v>
      </c>
      <c r="AA367" t="s">
        <v>2362</v>
      </c>
      <c r="AB367" t="s">
        <v>2296</v>
      </c>
      <c r="AC367" t="s">
        <v>152</v>
      </c>
      <c r="AD367" t="s">
        <v>2278</v>
      </c>
      <c r="AE367" t="s">
        <v>298</v>
      </c>
    </row>
    <row r="368" spans="1:43" x14ac:dyDescent="0.2">
      <c r="A368" t="s">
        <v>348</v>
      </c>
      <c r="B368" t="s">
        <v>349</v>
      </c>
      <c r="C368">
        <v>2022</v>
      </c>
      <c r="D368" t="s">
        <v>45</v>
      </c>
      <c r="F368" t="s">
        <v>57</v>
      </c>
      <c r="G368" t="s">
        <v>89</v>
      </c>
      <c r="H368" t="s">
        <v>350</v>
      </c>
      <c r="N368" t="s">
        <v>121</v>
      </c>
      <c r="O368" t="s">
        <v>121</v>
      </c>
      <c r="P368" t="s">
        <v>352</v>
      </c>
      <c r="Q368" s="1" t="s">
        <v>2292</v>
      </c>
      <c r="R368" s="1" t="s">
        <v>264</v>
      </c>
      <c r="S368" s="1" t="s">
        <v>264</v>
      </c>
      <c r="T368" t="s">
        <v>51</v>
      </c>
      <c r="X368" t="s">
        <v>429</v>
      </c>
      <c r="Y368" t="s">
        <v>2273</v>
      </c>
      <c r="Z368" t="s">
        <v>2356</v>
      </c>
      <c r="AA368" t="s">
        <v>2357</v>
      </c>
      <c r="AB368" t="s">
        <v>2277</v>
      </c>
      <c r="AC368" t="s">
        <v>152</v>
      </c>
      <c r="AD368" t="s">
        <v>2288</v>
      </c>
      <c r="AE368" t="s">
        <v>2316</v>
      </c>
    </row>
    <row r="369" spans="1:43" x14ac:dyDescent="0.2">
      <c r="A369" t="s">
        <v>348</v>
      </c>
      <c r="B369" t="s">
        <v>349</v>
      </c>
      <c r="C369">
        <v>2022</v>
      </c>
      <c r="D369" t="s">
        <v>45</v>
      </c>
      <c r="F369" t="s">
        <v>57</v>
      </c>
      <c r="G369" t="s">
        <v>89</v>
      </c>
      <c r="H369" t="s">
        <v>350</v>
      </c>
      <c r="N369" t="s">
        <v>121</v>
      </c>
      <c r="O369" t="s">
        <v>121</v>
      </c>
      <c r="P369" t="s">
        <v>352</v>
      </c>
      <c r="Q369" s="1" t="s">
        <v>2292</v>
      </c>
      <c r="R369" s="1" t="s">
        <v>264</v>
      </c>
      <c r="S369" s="1" t="s">
        <v>264</v>
      </c>
      <c r="T369" t="s">
        <v>51</v>
      </c>
      <c r="X369" t="s">
        <v>430</v>
      </c>
      <c r="Y369" t="s">
        <v>2273</v>
      </c>
      <c r="Z369" t="s">
        <v>2356</v>
      </c>
      <c r="AA369" t="s">
        <v>2357</v>
      </c>
      <c r="AB369" t="s">
        <v>2277</v>
      </c>
      <c r="AC369" t="s">
        <v>152</v>
      </c>
      <c r="AD369" t="s">
        <v>137</v>
      </c>
      <c r="AE369" t="s">
        <v>298</v>
      </c>
    </row>
    <row r="370" spans="1:43" x14ac:dyDescent="0.2">
      <c r="A370" t="s">
        <v>348</v>
      </c>
      <c r="B370" t="s">
        <v>349</v>
      </c>
      <c r="C370">
        <v>2022</v>
      </c>
      <c r="D370" t="s">
        <v>45</v>
      </c>
      <c r="F370" t="s">
        <v>57</v>
      </c>
      <c r="G370" t="s">
        <v>89</v>
      </c>
      <c r="H370" t="s">
        <v>350</v>
      </c>
      <c r="N370" t="s">
        <v>128</v>
      </c>
      <c r="O370" t="s">
        <v>351</v>
      </c>
      <c r="P370" t="s">
        <v>353</v>
      </c>
      <c r="Q370" s="1" t="s">
        <v>2276</v>
      </c>
      <c r="R370" s="1" t="s">
        <v>751</v>
      </c>
      <c r="S370" s="1" t="s">
        <v>2346</v>
      </c>
      <c r="T370" t="s">
        <v>51</v>
      </c>
      <c r="X370" t="s">
        <v>171</v>
      </c>
      <c r="Y370" t="s">
        <v>2273</v>
      </c>
      <c r="Z370" t="s">
        <v>249</v>
      </c>
      <c r="AA370" t="s">
        <v>2359</v>
      </c>
      <c r="AB370" t="s">
        <v>1979</v>
      </c>
      <c r="AC370" t="s">
        <v>152</v>
      </c>
      <c r="AD370" t="s">
        <v>137</v>
      </c>
      <c r="AE370" t="s">
        <v>298</v>
      </c>
    </row>
    <row r="371" spans="1:43" x14ac:dyDescent="0.2">
      <c r="A371" t="s">
        <v>348</v>
      </c>
      <c r="B371" t="s">
        <v>349</v>
      </c>
      <c r="C371">
        <v>2022</v>
      </c>
      <c r="D371" t="s">
        <v>45</v>
      </c>
      <c r="F371" t="s">
        <v>57</v>
      </c>
      <c r="G371" t="s">
        <v>89</v>
      </c>
      <c r="H371" t="s">
        <v>350</v>
      </c>
      <c r="N371" t="s">
        <v>128</v>
      </c>
      <c r="O371" t="s">
        <v>351</v>
      </c>
      <c r="P371" t="s">
        <v>353</v>
      </c>
      <c r="Q371" s="1" t="s">
        <v>2276</v>
      </c>
      <c r="R371" s="1" t="s">
        <v>751</v>
      </c>
      <c r="S371" s="1" t="s">
        <v>2346</v>
      </c>
      <c r="T371" t="s">
        <v>51</v>
      </c>
      <c r="X371" t="s">
        <v>211</v>
      </c>
      <c r="Y371" t="s">
        <v>2279</v>
      </c>
      <c r="Z371" t="s">
        <v>2280</v>
      </c>
      <c r="AA371" t="s">
        <v>2358</v>
      </c>
      <c r="AB371" t="s">
        <v>2290</v>
      </c>
      <c r="AC371" t="s">
        <v>152</v>
      </c>
      <c r="AD371" t="s">
        <v>2278</v>
      </c>
      <c r="AE371" t="s">
        <v>298</v>
      </c>
    </row>
    <row r="372" spans="1:43" x14ac:dyDescent="0.2">
      <c r="A372" t="s">
        <v>348</v>
      </c>
      <c r="B372" t="s">
        <v>349</v>
      </c>
      <c r="C372">
        <v>2022</v>
      </c>
      <c r="D372" t="s">
        <v>45</v>
      </c>
      <c r="F372" t="s">
        <v>57</v>
      </c>
      <c r="G372" t="s">
        <v>89</v>
      </c>
      <c r="H372" t="s">
        <v>350</v>
      </c>
      <c r="N372" t="s">
        <v>128</v>
      </c>
      <c r="O372" t="s">
        <v>351</v>
      </c>
      <c r="P372" t="s">
        <v>353</v>
      </c>
      <c r="Q372" s="1" t="s">
        <v>2276</v>
      </c>
      <c r="R372" s="1" t="s">
        <v>751</v>
      </c>
      <c r="S372" s="1" t="s">
        <v>2346</v>
      </c>
      <c r="T372" t="s">
        <v>51</v>
      </c>
      <c r="X372" t="s">
        <v>430</v>
      </c>
      <c r="Y372" t="s">
        <v>2273</v>
      </c>
      <c r="Z372" t="s">
        <v>2356</v>
      </c>
      <c r="AA372" t="s">
        <v>2357</v>
      </c>
      <c r="AB372" t="s">
        <v>2277</v>
      </c>
      <c r="AC372" t="s">
        <v>152</v>
      </c>
      <c r="AD372" t="s">
        <v>137</v>
      </c>
      <c r="AE372" t="s">
        <v>298</v>
      </c>
    </row>
    <row r="373" spans="1:43" x14ac:dyDescent="0.2">
      <c r="A373" t="s">
        <v>354</v>
      </c>
      <c r="B373" t="s">
        <v>355</v>
      </c>
      <c r="C373">
        <v>2022</v>
      </c>
      <c r="D373" t="s">
        <v>44</v>
      </c>
      <c r="F373" t="s">
        <v>357</v>
      </c>
      <c r="G373" t="s">
        <v>90</v>
      </c>
      <c r="H373" t="s">
        <v>96</v>
      </c>
      <c r="K373" t="s">
        <v>102</v>
      </c>
      <c r="M373">
        <f t="shared" ref="M373:M396" si="2">0.3*0.3</f>
        <v>0.09</v>
      </c>
      <c r="N373" t="s">
        <v>126</v>
      </c>
      <c r="O373" t="s">
        <v>126</v>
      </c>
      <c r="P373" t="s">
        <v>2571</v>
      </c>
      <c r="Q373" s="1" t="s">
        <v>2281</v>
      </c>
      <c r="R373" s="1" t="s">
        <v>2282</v>
      </c>
      <c r="S373" s="1" t="s">
        <v>126</v>
      </c>
      <c r="T373" t="s">
        <v>421</v>
      </c>
      <c r="U373" t="s">
        <v>421</v>
      </c>
      <c r="V373" t="s">
        <v>194</v>
      </c>
      <c r="W373" t="s">
        <v>356</v>
      </c>
      <c r="X373" t="s">
        <v>358</v>
      </c>
      <c r="Y373" t="s">
        <v>2279</v>
      </c>
      <c r="Z373" t="s">
        <v>2280</v>
      </c>
      <c r="AA373" t="s">
        <v>2286</v>
      </c>
      <c r="AB373" t="s">
        <v>2299</v>
      </c>
      <c r="AC373" t="s">
        <v>152</v>
      </c>
      <c r="AD373" t="s">
        <v>2278</v>
      </c>
    </row>
    <row r="374" spans="1:43" x14ac:dyDescent="0.2">
      <c r="A374" t="s">
        <v>354</v>
      </c>
      <c r="B374" t="s">
        <v>355</v>
      </c>
      <c r="C374">
        <v>2022</v>
      </c>
      <c r="D374" t="s">
        <v>44</v>
      </c>
      <c r="F374" t="s">
        <v>357</v>
      </c>
      <c r="G374" t="s">
        <v>90</v>
      </c>
      <c r="H374" t="s">
        <v>96</v>
      </c>
      <c r="K374" t="s">
        <v>102</v>
      </c>
      <c r="M374">
        <f t="shared" si="2"/>
        <v>0.09</v>
      </c>
      <c r="N374" t="s">
        <v>124</v>
      </c>
      <c r="O374" t="s">
        <v>359</v>
      </c>
      <c r="P374" t="s">
        <v>360</v>
      </c>
      <c r="Q374" s="1" t="s">
        <v>2292</v>
      </c>
      <c r="R374" s="1" t="s">
        <v>124</v>
      </c>
      <c r="S374" s="1" t="s">
        <v>124</v>
      </c>
      <c r="T374" t="s">
        <v>421</v>
      </c>
      <c r="U374" t="s">
        <v>421</v>
      </c>
      <c r="X374" t="s">
        <v>358</v>
      </c>
      <c r="Y374" t="s">
        <v>2279</v>
      </c>
      <c r="Z374" t="s">
        <v>2280</v>
      </c>
      <c r="AA374" t="s">
        <v>2286</v>
      </c>
      <c r="AB374" t="s">
        <v>2299</v>
      </c>
      <c r="AC374" t="s">
        <v>152</v>
      </c>
      <c r="AD374" t="s">
        <v>2278</v>
      </c>
    </row>
    <row r="375" spans="1:43" x14ac:dyDescent="0.2">
      <c r="A375" t="s">
        <v>354</v>
      </c>
      <c r="B375" t="s">
        <v>355</v>
      </c>
      <c r="C375">
        <v>2022</v>
      </c>
      <c r="D375" t="s">
        <v>44</v>
      </c>
      <c r="F375" t="s">
        <v>357</v>
      </c>
      <c r="G375" t="s">
        <v>90</v>
      </c>
      <c r="H375" t="s">
        <v>96</v>
      </c>
      <c r="K375" t="s">
        <v>102</v>
      </c>
      <c r="M375">
        <f t="shared" si="2"/>
        <v>0.09</v>
      </c>
      <c r="N375" t="s">
        <v>126</v>
      </c>
      <c r="O375" t="s">
        <v>126</v>
      </c>
      <c r="P375" t="s">
        <v>2571</v>
      </c>
      <c r="Q375" s="1" t="s">
        <v>2281</v>
      </c>
      <c r="R375" s="1" t="s">
        <v>2282</v>
      </c>
      <c r="S375" s="1" t="s">
        <v>126</v>
      </c>
      <c r="T375" t="s">
        <v>421</v>
      </c>
      <c r="U375" t="s">
        <v>421</v>
      </c>
      <c r="V375" t="s">
        <v>194</v>
      </c>
      <c r="W375" t="s">
        <v>356</v>
      </c>
      <c r="X375" t="s">
        <v>361</v>
      </c>
      <c r="Y375" t="s">
        <v>2279</v>
      </c>
      <c r="Z375" t="s">
        <v>2280</v>
      </c>
      <c r="AA375" t="s">
        <v>2272</v>
      </c>
      <c r="AB375" t="s">
        <v>2272</v>
      </c>
      <c r="AC375" t="s">
        <v>152</v>
      </c>
      <c r="AD375" t="s">
        <v>2278</v>
      </c>
    </row>
    <row r="376" spans="1:43" x14ac:dyDescent="0.2">
      <c r="A376" t="s">
        <v>354</v>
      </c>
      <c r="B376" t="s">
        <v>355</v>
      </c>
      <c r="C376">
        <v>2022</v>
      </c>
      <c r="D376" t="s">
        <v>44</v>
      </c>
      <c r="F376" t="s">
        <v>357</v>
      </c>
      <c r="G376" t="s">
        <v>90</v>
      </c>
      <c r="H376" t="s">
        <v>96</v>
      </c>
      <c r="K376" t="s">
        <v>102</v>
      </c>
      <c r="M376">
        <f t="shared" si="2"/>
        <v>0.09</v>
      </c>
      <c r="N376" t="s">
        <v>124</v>
      </c>
      <c r="O376" t="s">
        <v>359</v>
      </c>
      <c r="P376" t="s">
        <v>360</v>
      </c>
      <c r="Q376" s="1" t="s">
        <v>2292</v>
      </c>
      <c r="R376" s="1" t="s">
        <v>124</v>
      </c>
      <c r="S376" s="1" t="s">
        <v>124</v>
      </c>
      <c r="T376" t="s">
        <v>421</v>
      </c>
      <c r="U376" t="s">
        <v>421</v>
      </c>
      <c r="X376" t="s">
        <v>361</v>
      </c>
      <c r="Y376" t="s">
        <v>2279</v>
      </c>
      <c r="Z376" t="s">
        <v>2280</v>
      </c>
      <c r="AA376" t="s">
        <v>2272</v>
      </c>
      <c r="AB376" t="s">
        <v>2272</v>
      </c>
      <c r="AC376" t="s">
        <v>152</v>
      </c>
      <c r="AD376" t="s">
        <v>2278</v>
      </c>
    </row>
    <row r="377" spans="1:43" x14ac:dyDescent="0.2">
      <c r="A377" t="s">
        <v>354</v>
      </c>
      <c r="B377" t="s">
        <v>355</v>
      </c>
      <c r="C377">
        <v>2022</v>
      </c>
      <c r="D377" t="s">
        <v>44</v>
      </c>
      <c r="F377" t="s">
        <v>357</v>
      </c>
      <c r="G377" t="s">
        <v>90</v>
      </c>
      <c r="H377" t="s">
        <v>96</v>
      </c>
      <c r="K377" t="s">
        <v>102</v>
      </c>
      <c r="M377">
        <f t="shared" si="2"/>
        <v>0.09</v>
      </c>
      <c r="N377" t="s">
        <v>126</v>
      </c>
      <c r="O377" t="s">
        <v>126</v>
      </c>
      <c r="P377" t="s">
        <v>2571</v>
      </c>
      <c r="Q377" s="1" t="s">
        <v>2281</v>
      </c>
      <c r="R377" s="1" t="s">
        <v>2282</v>
      </c>
      <c r="S377" s="1" t="s">
        <v>126</v>
      </c>
      <c r="T377" t="s">
        <v>421</v>
      </c>
      <c r="U377" t="s">
        <v>421</v>
      </c>
      <c r="V377" t="s">
        <v>194</v>
      </c>
      <c r="W377" t="s">
        <v>356</v>
      </c>
      <c r="X377" t="s">
        <v>161</v>
      </c>
      <c r="Y377" t="s">
        <v>2272</v>
      </c>
      <c r="Z377" t="s">
        <v>2272</v>
      </c>
      <c r="AA377" t="s">
        <v>2272</v>
      </c>
      <c r="AB377" t="s">
        <v>2272</v>
      </c>
      <c r="AC377" t="s">
        <v>162</v>
      </c>
      <c r="AD377" t="s">
        <v>2272</v>
      </c>
      <c r="AG377" t="s">
        <v>49</v>
      </c>
      <c r="AI377" t="s">
        <v>49</v>
      </c>
      <c r="AM377" t="s">
        <v>362</v>
      </c>
      <c r="AN377" t="s">
        <v>165</v>
      </c>
      <c r="AP377" t="s">
        <v>49</v>
      </c>
    </row>
    <row r="378" spans="1:43" x14ac:dyDescent="0.2">
      <c r="A378" t="s">
        <v>354</v>
      </c>
      <c r="B378" t="s">
        <v>355</v>
      </c>
      <c r="C378">
        <v>2022</v>
      </c>
      <c r="D378" t="s">
        <v>44</v>
      </c>
      <c r="F378" t="s">
        <v>357</v>
      </c>
      <c r="G378" t="s">
        <v>90</v>
      </c>
      <c r="H378" t="s">
        <v>96</v>
      </c>
      <c r="K378" t="s">
        <v>102</v>
      </c>
      <c r="M378">
        <f t="shared" si="2"/>
        <v>0.09</v>
      </c>
      <c r="N378" t="s">
        <v>124</v>
      </c>
      <c r="O378" t="s">
        <v>359</v>
      </c>
      <c r="P378" t="s">
        <v>360</v>
      </c>
      <c r="Q378" s="1" t="s">
        <v>2292</v>
      </c>
      <c r="R378" s="1" t="s">
        <v>124</v>
      </c>
      <c r="S378" s="1" t="s">
        <v>124</v>
      </c>
      <c r="T378" t="s">
        <v>421</v>
      </c>
      <c r="U378" t="s">
        <v>421</v>
      </c>
      <c r="X378" t="s">
        <v>161</v>
      </c>
      <c r="Y378" t="s">
        <v>2272</v>
      </c>
      <c r="Z378" t="s">
        <v>2272</v>
      </c>
      <c r="AA378" t="s">
        <v>2272</v>
      </c>
      <c r="AB378" t="s">
        <v>2272</v>
      </c>
      <c r="AC378" t="s">
        <v>162</v>
      </c>
      <c r="AD378" t="s">
        <v>2272</v>
      </c>
      <c r="AG378" t="s">
        <v>49</v>
      </c>
      <c r="AI378" t="s">
        <v>49</v>
      </c>
      <c r="AM378" t="s">
        <v>362</v>
      </c>
      <c r="AN378" t="s">
        <v>165</v>
      </c>
      <c r="AP378" t="s">
        <v>49</v>
      </c>
    </row>
    <row r="379" spans="1:43" x14ac:dyDescent="0.2">
      <c r="A379" t="s">
        <v>354</v>
      </c>
      <c r="B379" t="s">
        <v>355</v>
      </c>
      <c r="C379">
        <v>2022</v>
      </c>
      <c r="D379" t="s">
        <v>44</v>
      </c>
      <c r="F379" t="s">
        <v>357</v>
      </c>
      <c r="G379" t="s">
        <v>90</v>
      </c>
      <c r="H379" t="s">
        <v>96</v>
      </c>
      <c r="K379" t="s">
        <v>102</v>
      </c>
      <c r="M379">
        <f t="shared" si="2"/>
        <v>0.09</v>
      </c>
      <c r="N379" t="s">
        <v>126</v>
      </c>
      <c r="O379" t="s">
        <v>126</v>
      </c>
      <c r="P379" t="s">
        <v>2571</v>
      </c>
      <c r="Q379" s="1" t="s">
        <v>2281</v>
      </c>
      <c r="R379" s="1" t="s">
        <v>2282</v>
      </c>
      <c r="S379" s="1" t="s">
        <v>126</v>
      </c>
      <c r="T379" t="s">
        <v>421</v>
      </c>
      <c r="U379" t="s">
        <v>421</v>
      </c>
      <c r="V379" t="s">
        <v>194</v>
      </c>
      <c r="W379" t="s">
        <v>356</v>
      </c>
      <c r="X379" t="s">
        <v>161</v>
      </c>
      <c r="Y379" t="s">
        <v>2272</v>
      </c>
      <c r="Z379" t="s">
        <v>2272</v>
      </c>
      <c r="AA379" t="s">
        <v>2272</v>
      </c>
      <c r="AB379" t="s">
        <v>2272</v>
      </c>
      <c r="AC379" t="s">
        <v>162</v>
      </c>
      <c r="AD379" t="s">
        <v>2272</v>
      </c>
      <c r="AG379" t="s">
        <v>49</v>
      </c>
      <c r="AI379" t="s">
        <v>49</v>
      </c>
      <c r="AM379" t="s">
        <v>362</v>
      </c>
      <c r="AN379" t="s">
        <v>191</v>
      </c>
      <c r="AQ379" s="5">
        <v>0</v>
      </c>
    </row>
    <row r="380" spans="1:43" x14ac:dyDescent="0.2">
      <c r="A380" t="s">
        <v>354</v>
      </c>
      <c r="B380" t="s">
        <v>355</v>
      </c>
      <c r="C380">
        <v>2022</v>
      </c>
      <c r="D380" t="s">
        <v>44</v>
      </c>
      <c r="F380" t="s">
        <v>357</v>
      </c>
      <c r="G380" t="s">
        <v>90</v>
      </c>
      <c r="H380" t="s">
        <v>96</v>
      </c>
      <c r="K380" t="s">
        <v>102</v>
      </c>
      <c r="M380">
        <f t="shared" si="2"/>
        <v>0.09</v>
      </c>
      <c r="N380" t="s">
        <v>124</v>
      </c>
      <c r="O380" t="s">
        <v>359</v>
      </c>
      <c r="P380" t="s">
        <v>360</v>
      </c>
      <c r="Q380" s="1" t="s">
        <v>2292</v>
      </c>
      <c r="R380" s="1" t="s">
        <v>124</v>
      </c>
      <c r="S380" s="1" t="s">
        <v>124</v>
      </c>
      <c r="T380" t="s">
        <v>421</v>
      </c>
      <c r="U380" t="s">
        <v>421</v>
      </c>
      <c r="X380" t="s">
        <v>161</v>
      </c>
      <c r="Y380" t="s">
        <v>2272</v>
      </c>
      <c r="Z380" t="s">
        <v>2272</v>
      </c>
      <c r="AA380" t="s">
        <v>2272</v>
      </c>
      <c r="AB380" t="s">
        <v>2272</v>
      </c>
      <c r="AC380" t="s">
        <v>162</v>
      </c>
      <c r="AD380" t="s">
        <v>2272</v>
      </c>
      <c r="AG380" t="s">
        <v>49</v>
      </c>
      <c r="AI380" t="s">
        <v>49</v>
      </c>
      <c r="AM380" t="s">
        <v>362</v>
      </c>
      <c r="AN380" t="s">
        <v>191</v>
      </c>
      <c r="AQ380" s="5">
        <v>0</v>
      </c>
    </row>
    <row r="381" spans="1:43" x14ac:dyDescent="0.2">
      <c r="A381" t="s">
        <v>354</v>
      </c>
      <c r="B381" t="s">
        <v>355</v>
      </c>
      <c r="C381">
        <v>2022</v>
      </c>
      <c r="D381" t="s">
        <v>44</v>
      </c>
      <c r="F381" t="s">
        <v>357</v>
      </c>
      <c r="G381" t="s">
        <v>90</v>
      </c>
      <c r="H381" t="s">
        <v>96</v>
      </c>
      <c r="K381" t="s">
        <v>102</v>
      </c>
      <c r="M381">
        <f t="shared" si="2"/>
        <v>0.09</v>
      </c>
      <c r="N381" t="s">
        <v>126</v>
      </c>
      <c r="O381" t="s">
        <v>126</v>
      </c>
      <c r="P381" t="s">
        <v>2571</v>
      </c>
      <c r="Q381" s="1" t="s">
        <v>2281</v>
      </c>
      <c r="R381" s="1" t="s">
        <v>2282</v>
      </c>
      <c r="S381" s="1" t="s">
        <v>126</v>
      </c>
      <c r="T381" t="s">
        <v>421</v>
      </c>
      <c r="U381" t="s">
        <v>421</v>
      </c>
      <c r="V381" t="s">
        <v>194</v>
      </c>
      <c r="W381" t="s">
        <v>356</v>
      </c>
      <c r="X381" t="s">
        <v>161</v>
      </c>
      <c r="Y381" t="s">
        <v>2272</v>
      </c>
      <c r="Z381" t="s">
        <v>2272</v>
      </c>
      <c r="AA381" t="s">
        <v>2272</v>
      </c>
      <c r="AB381" t="s">
        <v>2272</v>
      </c>
      <c r="AC381" t="s">
        <v>162</v>
      </c>
      <c r="AD381" t="s">
        <v>2272</v>
      </c>
      <c r="AG381" t="s">
        <v>49</v>
      </c>
      <c r="AI381" t="s">
        <v>49</v>
      </c>
      <c r="AM381" t="s">
        <v>362</v>
      </c>
      <c r="AN381" t="s">
        <v>154</v>
      </c>
      <c r="AQ381" s="5">
        <v>1</v>
      </c>
    </row>
    <row r="382" spans="1:43" x14ac:dyDescent="0.2">
      <c r="A382" t="s">
        <v>354</v>
      </c>
      <c r="B382" t="s">
        <v>355</v>
      </c>
      <c r="C382">
        <v>2022</v>
      </c>
      <c r="D382" t="s">
        <v>44</v>
      </c>
      <c r="F382" t="s">
        <v>357</v>
      </c>
      <c r="G382" t="s">
        <v>90</v>
      </c>
      <c r="H382" t="s">
        <v>96</v>
      </c>
      <c r="K382" t="s">
        <v>102</v>
      </c>
      <c r="M382">
        <f t="shared" si="2"/>
        <v>0.09</v>
      </c>
      <c r="N382" t="s">
        <v>124</v>
      </c>
      <c r="O382" t="s">
        <v>359</v>
      </c>
      <c r="P382" t="s">
        <v>360</v>
      </c>
      <c r="Q382" s="1" t="s">
        <v>2292</v>
      </c>
      <c r="R382" s="1" t="s">
        <v>124</v>
      </c>
      <c r="S382" s="1" t="s">
        <v>124</v>
      </c>
      <c r="T382" t="s">
        <v>421</v>
      </c>
      <c r="U382" t="s">
        <v>421</v>
      </c>
      <c r="X382" t="s">
        <v>161</v>
      </c>
      <c r="Y382" t="s">
        <v>2272</v>
      </c>
      <c r="Z382" t="s">
        <v>2272</v>
      </c>
      <c r="AA382" t="s">
        <v>2272</v>
      </c>
      <c r="AB382" t="s">
        <v>2272</v>
      </c>
      <c r="AC382" t="s">
        <v>162</v>
      </c>
      <c r="AD382" t="s">
        <v>2272</v>
      </c>
      <c r="AG382" t="s">
        <v>49</v>
      </c>
      <c r="AI382" t="s">
        <v>49</v>
      </c>
      <c r="AM382" t="s">
        <v>362</v>
      </c>
      <c r="AN382" t="s">
        <v>154</v>
      </c>
      <c r="AQ382" s="5">
        <v>0</v>
      </c>
    </row>
    <row r="383" spans="1:43" x14ac:dyDescent="0.2">
      <c r="A383" t="s">
        <v>354</v>
      </c>
      <c r="B383" t="s">
        <v>355</v>
      </c>
      <c r="C383">
        <v>2022</v>
      </c>
      <c r="D383" t="s">
        <v>44</v>
      </c>
      <c r="F383" t="s">
        <v>357</v>
      </c>
      <c r="G383" t="s">
        <v>90</v>
      </c>
      <c r="H383" t="s">
        <v>96</v>
      </c>
      <c r="K383" t="s">
        <v>102</v>
      </c>
      <c r="M383">
        <f t="shared" si="2"/>
        <v>0.09</v>
      </c>
      <c r="N383" t="s">
        <v>126</v>
      </c>
      <c r="O383" t="s">
        <v>126</v>
      </c>
      <c r="P383" t="s">
        <v>2571</v>
      </c>
      <c r="Q383" s="1" t="s">
        <v>2281</v>
      </c>
      <c r="R383" s="1" t="s">
        <v>2282</v>
      </c>
      <c r="S383" s="1" t="s">
        <v>126</v>
      </c>
      <c r="T383" t="s">
        <v>421</v>
      </c>
      <c r="U383" t="s">
        <v>421</v>
      </c>
      <c r="V383" t="s">
        <v>194</v>
      </c>
      <c r="W383" t="s">
        <v>356</v>
      </c>
      <c r="X383" t="s">
        <v>161</v>
      </c>
      <c r="Y383" t="s">
        <v>2272</v>
      </c>
      <c r="Z383" t="s">
        <v>2272</v>
      </c>
      <c r="AA383" t="s">
        <v>2272</v>
      </c>
      <c r="AB383" t="s">
        <v>2272</v>
      </c>
      <c r="AC383" t="s">
        <v>162</v>
      </c>
      <c r="AD383" t="s">
        <v>2272</v>
      </c>
      <c r="AG383" t="s">
        <v>49</v>
      </c>
      <c r="AI383" t="s">
        <v>49</v>
      </c>
      <c r="AM383" t="s">
        <v>362</v>
      </c>
      <c r="AN383" t="s">
        <v>166</v>
      </c>
      <c r="AQ383" s="5">
        <v>1</v>
      </c>
    </row>
    <row r="384" spans="1:43" x14ac:dyDescent="0.2">
      <c r="A384" t="s">
        <v>354</v>
      </c>
      <c r="B384" t="s">
        <v>355</v>
      </c>
      <c r="C384">
        <v>2022</v>
      </c>
      <c r="D384" t="s">
        <v>44</v>
      </c>
      <c r="F384" t="s">
        <v>357</v>
      </c>
      <c r="G384" t="s">
        <v>90</v>
      </c>
      <c r="H384" t="s">
        <v>96</v>
      </c>
      <c r="K384" t="s">
        <v>102</v>
      </c>
      <c r="M384">
        <f t="shared" si="2"/>
        <v>0.09</v>
      </c>
      <c r="N384" t="s">
        <v>124</v>
      </c>
      <c r="O384" t="s">
        <v>359</v>
      </c>
      <c r="P384" t="s">
        <v>360</v>
      </c>
      <c r="Q384" s="1" t="s">
        <v>2292</v>
      </c>
      <c r="R384" s="1" t="s">
        <v>124</v>
      </c>
      <c r="S384" s="1" t="s">
        <v>124</v>
      </c>
      <c r="T384" t="s">
        <v>421</v>
      </c>
      <c r="U384" t="s">
        <v>421</v>
      </c>
      <c r="X384" t="s">
        <v>161</v>
      </c>
      <c r="Y384" t="s">
        <v>2272</v>
      </c>
      <c r="Z384" t="s">
        <v>2272</v>
      </c>
      <c r="AA384" t="s">
        <v>2272</v>
      </c>
      <c r="AB384" t="s">
        <v>2272</v>
      </c>
      <c r="AC384" t="s">
        <v>162</v>
      </c>
      <c r="AD384" t="s">
        <v>2272</v>
      </c>
      <c r="AG384" t="s">
        <v>49</v>
      </c>
      <c r="AI384" t="s">
        <v>49</v>
      </c>
      <c r="AM384" t="s">
        <v>362</v>
      </c>
      <c r="AN384" t="s">
        <v>166</v>
      </c>
      <c r="AQ384" s="5">
        <v>1</v>
      </c>
    </row>
    <row r="385" spans="1:43" x14ac:dyDescent="0.2">
      <c r="A385" t="s">
        <v>354</v>
      </c>
      <c r="B385" t="s">
        <v>355</v>
      </c>
      <c r="C385">
        <v>2022</v>
      </c>
      <c r="D385" t="s">
        <v>44</v>
      </c>
      <c r="F385" t="s">
        <v>357</v>
      </c>
      <c r="G385" t="s">
        <v>90</v>
      </c>
      <c r="H385" t="s">
        <v>96</v>
      </c>
      <c r="K385" t="s">
        <v>102</v>
      </c>
      <c r="M385">
        <f t="shared" si="2"/>
        <v>0.09</v>
      </c>
      <c r="N385" t="s">
        <v>126</v>
      </c>
      <c r="O385" t="s">
        <v>126</v>
      </c>
      <c r="P385" t="s">
        <v>2571</v>
      </c>
      <c r="Q385" s="1" t="s">
        <v>2281</v>
      </c>
      <c r="R385" s="1" t="s">
        <v>2282</v>
      </c>
      <c r="S385" s="1" t="s">
        <v>126</v>
      </c>
      <c r="T385" t="s">
        <v>396</v>
      </c>
      <c r="V385" t="s">
        <v>194</v>
      </c>
      <c r="W385" t="s">
        <v>356</v>
      </c>
      <c r="X385" t="s">
        <v>358</v>
      </c>
      <c r="Y385" t="s">
        <v>2279</v>
      </c>
      <c r="Z385" t="s">
        <v>2280</v>
      </c>
      <c r="AA385" t="s">
        <v>2286</v>
      </c>
      <c r="AB385" t="s">
        <v>2299</v>
      </c>
      <c r="AC385" t="s">
        <v>152</v>
      </c>
      <c r="AD385" t="s">
        <v>2278</v>
      </c>
    </row>
    <row r="386" spans="1:43" x14ac:dyDescent="0.2">
      <c r="A386" t="s">
        <v>354</v>
      </c>
      <c r="B386" t="s">
        <v>355</v>
      </c>
      <c r="C386">
        <v>2022</v>
      </c>
      <c r="D386" t="s">
        <v>44</v>
      </c>
      <c r="F386" t="s">
        <v>357</v>
      </c>
      <c r="G386" t="s">
        <v>90</v>
      </c>
      <c r="H386" t="s">
        <v>96</v>
      </c>
      <c r="K386" t="s">
        <v>102</v>
      </c>
      <c r="M386">
        <f t="shared" si="2"/>
        <v>0.09</v>
      </c>
      <c r="N386" t="s">
        <v>124</v>
      </c>
      <c r="O386" t="s">
        <v>359</v>
      </c>
      <c r="P386" t="s">
        <v>360</v>
      </c>
      <c r="Q386" s="1" t="s">
        <v>2292</v>
      </c>
      <c r="R386" s="1" t="s">
        <v>124</v>
      </c>
      <c r="S386" s="1" t="s">
        <v>124</v>
      </c>
      <c r="T386" t="s">
        <v>396</v>
      </c>
      <c r="X386" t="s">
        <v>358</v>
      </c>
      <c r="Y386" t="s">
        <v>2279</v>
      </c>
      <c r="Z386" t="s">
        <v>2280</v>
      </c>
      <c r="AA386" t="s">
        <v>2286</v>
      </c>
      <c r="AB386" t="s">
        <v>2299</v>
      </c>
      <c r="AC386" t="s">
        <v>152</v>
      </c>
      <c r="AD386" t="s">
        <v>2278</v>
      </c>
    </row>
    <row r="387" spans="1:43" x14ac:dyDescent="0.2">
      <c r="A387" t="s">
        <v>354</v>
      </c>
      <c r="B387" t="s">
        <v>355</v>
      </c>
      <c r="C387">
        <v>2022</v>
      </c>
      <c r="D387" t="s">
        <v>44</v>
      </c>
      <c r="F387" t="s">
        <v>357</v>
      </c>
      <c r="G387" t="s">
        <v>90</v>
      </c>
      <c r="H387" t="s">
        <v>96</v>
      </c>
      <c r="K387" t="s">
        <v>102</v>
      </c>
      <c r="M387">
        <f t="shared" si="2"/>
        <v>0.09</v>
      </c>
      <c r="N387" t="s">
        <v>126</v>
      </c>
      <c r="O387" t="s">
        <v>126</v>
      </c>
      <c r="P387" t="s">
        <v>2571</v>
      </c>
      <c r="Q387" s="1" t="s">
        <v>2281</v>
      </c>
      <c r="R387" s="1" t="s">
        <v>2282</v>
      </c>
      <c r="S387" s="1" t="s">
        <v>126</v>
      </c>
      <c r="T387" t="s">
        <v>396</v>
      </c>
      <c r="V387" t="s">
        <v>194</v>
      </c>
      <c r="W387" t="s">
        <v>356</v>
      </c>
      <c r="X387" t="s">
        <v>361</v>
      </c>
      <c r="Y387" t="s">
        <v>2279</v>
      </c>
      <c r="Z387" t="s">
        <v>2280</v>
      </c>
      <c r="AA387" t="s">
        <v>2272</v>
      </c>
      <c r="AB387" t="s">
        <v>2272</v>
      </c>
      <c r="AC387" t="s">
        <v>152</v>
      </c>
      <c r="AD387" t="s">
        <v>2278</v>
      </c>
    </row>
    <row r="388" spans="1:43" x14ac:dyDescent="0.2">
      <c r="A388" t="s">
        <v>354</v>
      </c>
      <c r="B388" t="s">
        <v>355</v>
      </c>
      <c r="C388">
        <v>2022</v>
      </c>
      <c r="D388" t="s">
        <v>44</v>
      </c>
      <c r="F388" t="s">
        <v>357</v>
      </c>
      <c r="G388" t="s">
        <v>90</v>
      </c>
      <c r="H388" t="s">
        <v>96</v>
      </c>
      <c r="K388" t="s">
        <v>102</v>
      </c>
      <c r="M388">
        <f t="shared" si="2"/>
        <v>0.09</v>
      </c>
      <c r="N388" t="s">
        <v>124</v>
      </c>
      <c r="O388" t="s">
        <v>359</v>
      </c>
      <c r="P388" t="s">
        <v>360</v>
      </c>
      <c r="Q388" s="1" t="s">
        <v>2292</v>
      </c>
      <c r="R388" s="1" t="s">
        <v>124</v>
      </c>
      <c r="S388" s="1" t="s">
        <v>124</v>
      </c>
      <c r="T388" t="s">
        <v>396</v>
      </c>
      <c r="X388" t="s">
        <v>361</v>
      </c>
      <c r="Y388" t="s">
        <v>2279</v>
      </c>
      <c r="Z388" t="s">
        <v>2280</v>
      </c>
      <c r="AA388" t="s">
        <v>2272</v>
      </c>
      <c r="AB388" t="s">
        <v>2272</v>
      </c>
      <c r="AC388" t="s">
        <v>152</v>
      </c>
      <c r="AD388" t="s">
        <v>2278</v>
      </c>
    </row>
    <row r="389" spans="1:43" x14ac:dyDescent="0.2">
      <c r="A389" t="s">
        <v>354</v>
      </c>
      <c r="B389" t="s">
        <v>355</v>
      </c>
      <c r="C389">
        <v>2022</v>
      </c>
      <c r="D389" t="s">
        <v>44</v>
      </c>
      <c r="F389" t="s">
        <v>357</v>
      </c>
      <c r="G389" t="s">
        <v>90</v>
      </c>
      <c r="H389" t="s">
        <v>96</v>
      </c>
      <c r="K389" t="s">
        <v>102</v>
      </c>
      <c r="M389">
        <f t="shared" si="2"/>
        <v>0.09</v>
      </c>
      <c r="N389" t="s">
        <v>126</v>
      </c>
      <c r="O389" t="s">
        <v>126</v>
      </c>
      <c r="P389" t="s">
        <v>2571</v>
      </c>
      <c r="Q389" s="1" t="s">
        <v>2281</v>
      </c>
      <c r="R389" s="1" t="s">
        <v>2282</v>
      </c>
      <c r="S389" s="1" t="s">
        <v>126</v>
      </c>
      <c r="T389" t="s">
        <v>396</v>
      </c>
      <c r="U389" s="1" t="s">
        <v>124</v>
      </c>
      <c r="V389" t="s">
        <v>194</v>
      </c>
      <c r="W389" t="s">
        <v>356</v>
      </c>
      <c r="X389" t="s">
        <v>161</v>
      </c>
      <c r="Y389" t="s">
        <v>2272</v>
      </c>
      <c r="Z389" t="s">
        <v>2272</v>
      </c>
      <c r="AA389" t="s">
        <v>2272</v>
      </c>
      <c r="AB389" t="s">
        <v>2272</v>
      </c>
      <c r="AC389" t="s">
        <v>162</v>
      </c>
      <c r="AD389" t="s">
        <v>2272</v>
      </c>
      <c r="AG389" t="s">
        <v>49</v>
      </c>
      <c r="AI389" t="s">
        <v>49</v>
      </c>
      <c r="AM389" t="s">
        <v>362</v>
      </c>
      <c r="AN389" t="s">
        <v>165</v>
      </c>
      <c r="AP389" t="s">
        <v>49</v>
      </c>
    </row>
    <row r="390" spans="1:43" x14ac:dyDescent="0.2">
      <c r="A390" t="s">
        <v>354</v>
      </c>
      <c r="B390" t="s">
        <v>355</v>
      </c>
      <c r="C390">
        <v>2022</v>
      </c>
      <c r="D390" t="s">
        <v>44</v>
      </c>
      <c r="F390" t="s">
        <v>357</v>
      </c>
      <c r="G390" t="s">
        <v>90</v>
      </c>
      <c r="H390" t="s">
        <v>96</v>
      </c>
      <c r="K390" t="s">
        <v>102</v>
      </c>
      <c r="M390">
        <f t="shared" si="2"/>
        <v>0.09</v>
      </c>
      <c r="N390" t="s">
        <v>124</v>
      </c>
      <c r="O390" t="s">
        <v>359</v>
      </c>
      <c r="P390" t="s">
        <v>360</v>
      </c>
      <c r="Q390" s="1" t="s">
        <v>2292</v>
      </c>
      <c r="R390" s="1" t="s">
        <v>124</v>
      </c>
      <c r="S390" s="1" t="s">
        <v>124</v>
      </c>
      <c r="T390" t="s">
        <v>396</v>
      </c>
      <c r="U390" s="1" t="s">
        <v>126</v>
      </c>
      <c r="X390" t="s">
        <v>161</v>
      </c>
      <c r="Y390" t="s">
        <v>2272</v>
      </c>
      <c r="Z390" t="s">
        <v>2272</v>
      </c>
      <c r="AA390" t="s">
        <v>2272</v>
      </c>
      <c r="AB390" t="s">
        <v>2272</v>
      </c>
      <c r="AC390" t="s">
        <v>162</v>
      </c>
      <c r="AD390" t="s">
        <v>2272</v>
      </c>
      <c r="AG390" t="s">
        <v>49</v>
      </c>
      <c r="AI390" t="s">
        <v>49</v>
      </c>
      <c r="AM390" t="s">
        <v>362</v>
      </c>
      <c r="AN390" t="s">
        <v>165</v>
      </c>
      <c r="AP390" t="s">
        <v>49</v>
      </c>
    </row>
    <row r="391" spans="1:43" x14ac:dyDescent="0.2">
      <c r="A391" t="s">
        <v>354</v>
      </c>
      <c r="B391" t="s">
        <v>355</v>
      </c>
      <c r="C391">
        <v>2022</v>
      </c>
      <c r="D391" t="s">
        <v>44</v>
      </c>
      <c r="F391" t="s">
        <v>357</v>
      </c>
      <c r="G391" t="s">
        <v>90</v>
      </c>
      <c r="H391" t="s">
        <v>96</v>
      </c>
      <c r="K391" t="s">
        <v>102</v>
      </c>
      <c r="M391">
        <f t="shared" si="2"/>
        <v>0.09</v>
      </c>
      <c r="N391" t="s">
        <v>126</v>
      </c>
      <c r="O391" t="s">
        <v>126</v>
      </c>
      <c r="P391" t="s">
        <v>2571</v>
      </c>
      <c r="Q391" s="1" t="s">
        <v>2281</v>
      </c>
      <c r="R391" s="1" t="s">
        <v>2282</v>
      </c>
      <c r="S391" s="1" t="s">
        <v>126</v>
      </c>
      <c r="T391" t="s">
        <v>396</v>
      </c>
      <c r="U391" s="1" t="s">
        <v>124</v>
      </c>
      <c r="V391" t="s">
        <v>194</v>
      </c>
      <c r="W391" t="s">
        <v>356</v>
      </c>
      <c r="X391" t="s">
        <v>161</v>
      </c>
      <c r="Y391" t="s">
        <v>2272</v>
      </c>
      <c r="Z391" t="s">
        <v>2272</v>
      </c>
      <c r="AA391" t="s">
        <v>2272</v>
      </c>
      <c r="AB391" t="s">
        <v>2272</v>
      </c>
      <c r="AC391" t="s">
        <v>162</v>
      </c>
      <c r="AD391" t="s">
        <v>2272</v>
      </c>
      <c r="AG391" t="s">
        <v>49</v>
      </c>
      <c r="AI391" t="s">
        <v>49</v>
      </c>
      <c r="AM391" t="s">
        <v>362</v>
      </c>
      <c r="AN391" t="s">
        <v>191</v>
      </c>
      <c r="AQ391" s="5">
        <v>0</v>
      </c>
    </row>
    <row r="392" spans="1:43" x14ac:dyDescent="0.2">
      <c r="A392" t="s">
        <v>354</v>
      </c>
      <c r="B392" t="s">
        <v>355</v>
      </c>
      <c r="C392">
        <v>2022</v>
      </c>
      <c r="D392" t="s">
        <v>44</v>
      </c>
      <c r="F392" t="s">
        <v>357</v>
      </c>
      <c r="G392" t="s">
        <v>90</v>
      </c>
      <c r="H392" t="s">
        <v>96</v>
      </c>
      <c r="K392" t="s">
        <v>102</v>
      </c>
      <c r="M392">
        <f t="shared" si="2"/>
        <v>0.09</v>
      </c>
      <c r="N392" t="s">
        <v>124</v>
      </c>
      <c r="O392" t="s">
        <v>359</v>
      </c>
      <c r="P392" t="s">
        <v>360</v>
      </c>
      <c r="Q392" s="1" t="s">
        <v>2292</v>
      </c>
      <c r="R392" s="1" t="s">
        <v>124</v>
      </c>
      <c r="S392" s="1" t="s">
        <v>124</v>
      </c>
      <c r="T392" t="s">
        <v>396</v>
      </c>
      <c r="U392" s="1" t="s">
        <v>126</v>
      </c>
      <c r="X392" t="s">
        <v>161</v>
      </c>
      <c r="Y392" t="s">
        <v>2272</v>
      </c>
      <c r="Z392" t="s">
        <v>2272</v>
      </c>
      <c r="AA392" t="s">
        <v>2272</v>
      </c>
      <c r="AB392" t="s">
        <v>2272</v>
      </c>
      <c r="AC392" t="s">
        <v>162</v>
      </c>
      <c r="AD392" t="s">
        <v>2272</v>
      </c>
      <c r="AG392" t="s">
        <v>49</v>
      </c>
      <c r="AI392" t="s">
        <v>49</v>
      </c>
      <c r="AM392" t="s">
        <v>362</v>
      </c>
      <c r="AN392" t="s">
        <v>191</v>
      </c>
      <c r="AQ392" s="5">
        <v>0</v>
      </c>
    </row>
    <row r="393" spans="1:43" x14ac:dyDescent="0.2">
      <c r="A393" t="s">
        <v>354</v>
      </c>
      <c r="B393" t="s">
        <v>355</v>
      </c>
      <c r="C393">
        <v>2022</v>
      </c>
      <c r="D393" t="s">
        <v>44</v>
      </c>
      <c r="F393" t="s">
        <v>357</v>
      </c>
      <c r="G393" t="s">
        <v>90</v>
      </c>
      <c r="H393" t="s">
        <v>96</v>
      </c>
      <c r="K393" t="s">
        <v>102</v>
      </c>
      <c r="M393">
        <f t="shared" si="2"/>
        <v>0.09</v>
      </c>
      <c r="N393" t="s">
        <v>126</v>
      </c>
      <c r="O393" t="s">
        <v>126</v>
      </c>
      <c r="P393" t="s">
        <v>2571</v>
      </c>
      <c r="Q393" s="1" t="s">
        <v>2281</v>
      </c>
      <c r="R393" s="1" t="s">
        <v>2282</v>
      </c>
      <c r="S393" s="1" t="s">
        <v>126</v>
      </c>
      <c r="T393" t="s">
        <v>396</v>
      </c>
      <c r="U393" t="s">
        <v>124</v>
      </c>
      <c r="V393" t="s">
        <v>194</v>
      </c>
      <c r="W393" t="s">
        <v>356</v>
      </c>
      <c r="X393" t="s">
        <v>161</v>
      </c>
      <c r="Y393" t="s">
        <v>2272</v>
      </c>
      <c r="Z393" t="s">
        <v>2272</v>
      </c>
      <c r="AA393" t="s">
        <v>2272</v>
      </c>
      <c r="AB393" t="s">
        <v>2272</v>
      </c>
      <c r="AC393" t="s">
        <v>162</v>
      </c>
      <c r="AD393" t="s">
        <v>2272</v>
      </c>
      <c r="AG393" t="s">
        <v>49</v>
      </c>
      <c r="AI393" t="s">
        <v>49</v>
      </c>
      <c r="AM393" t="s">
        <v>362</v>
      </c>
      <c r="AN393" t="s">
        <v>154</v>
      </c>
      <c r="AQ393" s="5">
        <v>1</v>
      </c>
    </row>
    <row r="394" spans="1:43" x14ac:dyDescent="0.2">
      <c r="A394" t="s">
        <v>354</v>
      </c>
      <c r="B394" t="s">
        <v>355</v>
      </c>
      <c r="C394">
        <v>2022</v>
      </c>
      <c r="D394" t="s">
        <v>44</v>
      </c>
      <c r="F394" t="s">
        <v>357</v>
      </c>
      <c r="G394" t="s">
        <v>90</v>
      </c>
      <c r="H394" t="s">
        <v>96</v>
      </c>
      <c r="K394" t="s">
        <v>102</v>
      </c>
      <c r="M394">
        <f t="shared" si="2"/>
        <v>0.09</v>
      </c>
      <c r="N394" t="s">
        <v>124</v>
      </c>
      <c r="O394" t="s">
        <v>359</v>
      </c>
      <c r="P394" t="s">
        <v>360</v>
      </c>
      <c r="Q394" s="1" t="s">
        <v>2292</v>
      </c>
      <c r="R394" s="1" t="s">
        <v>124</v>
      </c>
      <c r="S394" s="1" t="s">
        <v>124</v>
      </c>
      <c r="T394" t="s">
        <v>396</v>
      </c>
      <c r="U394" t="s">
        <v>2282</v>
      </c>
      <c r="X394" t="s">
        <v>161</v>
      </c>
      <c r="Y394" t="s">
        <v>2272</v>
      </c>
      <c r="Z394" t="s">
        <v>2272</v>
      </c>
      <c r="AA394" t="s">
        <v>2272</v>
      </c>
      <c r="AB394" t="s">
        <v>2272</v>
      </c>
      <c r="AC394" t="s">
        <v>162</v>
      </c>
      <c r="AD394" t="s">
        <v>2272</v>
      </c>
      <c r="AG394" t="s">
        <v>49</v>
      </c>
      <c r="AI394" t="s">
        <v>49</v>
      </c>
      <c r="AM394" t="s">
        <v>362</v>
      </c>
      <c r="AN394" t="s">
        <v>154</v>
      </c>
      <c r="AQ394" s="5">
        <v>2</v>
      </c>
    </row>
    <row r="395" spans="1:43" x14ac:dyDescent="0.2">
      <c r="A395" t="s">
        <v>354</v>
      </c>
      <c r="B395" t="s">
        <v>355</v>
      </c>
      <c r="C395">
        <v>2022</v>
      </c>
      <c r="D395" t="s">
        <v>44</v>
      </c>
      <c r="F395" t="s">
        <v>357</v>
      </c>
      <c r="G395" t="s">
        <v>90</v>
      </c>
      <c r="H395" t="s">
        <v>96</v>
      </c>
      <c r="K395" t="s">
        <v>102</v>
      </c>
      <c r="M395">
        <f t="shared" si="2"/>
        <v>0.09</v>
      </c>
      <c r="N395" t="s">
        <v>126</v>
      </c>
      <c r="O395" t="s">
        <v>126</v>
      </c>
      <c r="P395" t="s">
        <v>2571</v>
      </c>
      <c r="Q395" s="1" t="s">
        <v>2281</v>
      </c>
      <c r="R395" s="1" t="s">
        <v>2282</v>
      </c>
      <c r="S395" s="1" t="s">
        <v>126</v>
      </c>
      <c r="T395" t="s">
        <v>421</v>
      </c>
      <c r="U395" t="s">
        <v>124</v>
      </c>
      <c r="V395" t="s">
        <v>194</v>
      </c>
      <c r="W395" t="s">
        <v>356</v>
      </c>
      <c r="X395" t="s">
        <v>161</v>
      </c>
      <c r="Y395" t="s">
        <v>2272</v>
      </c>
      <c r="Z395" t="s">
        <v>2272</v>
      </c>
      <c r="AA395" t="s">
        <v>2272</v>
      </c>
      <c r="AB395" t="s">
        <v>2272</v>
      </c>
      <c r="AC395" t="s">
        <v>162</v>
      </c>
      <c r="AD395" t="s">
        <v>2272</v>
      </c>
      <c r="AG395" t="s">
        <v>49</v>
      </c>
      <c r="AI395" t="s">
        <v>49</v>
      </c>
      <c r="AM395" t="s">
        <v>362</v>
      </c>
      <c r="AN395" t="s">
        <v>166</v>
      </c>
      <c r="AQ395" s="5">
        <v>1</v>
      </c>
    </row>
    <row r="396" spans="1:43" x14ac:dyDescent="0.2">
      <c r="A396" t="s">
        <v>354</v>
      </c>
      <c r="B396" t="s">
        <v>355</v>
      </c>
      <c r="C396">
        <v>2022</v>
      </c>
      <c r="D396" t="s">
        <v>44</v>
      </c>
      <c r="F396" t="s">
        <v>357</v>
      </c>
      <c r="G396" t="s">
        <v>90</v>
      </c>
      <c r="H396" t="s">
        <v>96</v>
      </c>
      <c r="K396" t="s">
        <v>102</v>
      </c>
      <c r="M396">
        <f t="shared" si="2"/>
        <v>0.09</v>
      </c>
      <c r="N396" t="s">
        <v>124</v>
      </c>
      <c r="O396" t="s">
        <v>359</v>
      </c>
      <c r="P396" t="s">
        <v>360</v>
      </c>
      <c r="Q396" s="1" t="s">
        <v>2292</v>
      </c>
      <c r="R396" s="1" t="s">
        <v>124</v>
      </c>
      <c r="S396" s="1" t="s">
        <v>124</v>
      </c>
      <c r="T396" t="s">
        <v>421</v>
      </c>
      <c r="U396" t="s">
        <v>2282</v>
      </c>
      <c r="X396" t="s">
        <v>161</v>
      </c>
      <c r="Y396" t="s">
        <v>2272</v>
      </c>
      <c r="Z396" t="s">
        <v>2272</v>
      </c>
      <c r="AA396" t="s">
        <v>2272</v>
      </c>
      <c r="AB396" t="s">
        <v>2272</v>
      </c>
      <c r="AC396" t="s">
        <v>162</v>
      </c>
      <c r="AD396" t="s">
        <v>2272</v>
      </c>
      <c r="AG396" t="s">
        <v>49</v>
      </c>
      <c r="AI396" t="s">
        <v>49</v>
      </c>
      <c r="AM396" t="s">
        <v>362</v>
      </c>
      <c r="AN396" t="s">
        <v>166</v>
      </c>
      <c r="AQ396" s="5">
        <v>2</v>
      </c>
    </row>
    <row r="397" spans="1:43" x14ac:dyDescent="0.2">
      <c r="A397" t="s">
        <v>363</v>
      </c>
      <c r="B397" t="s">
        <v>364</v>
      </c>
      <c r="C397">
        <v>2022</v>
      </c>
      <c r="D397" t="s">
        <v>44</v>
      </c>
      <c r="E397" t="s">
        <v>49</v>
      </c>
      <c r="F397" t="s">
        <v>367</v>
      </c>
      <c r="G397" t="s">
        <v>90</v>
      </c>
      <c r="H397" t="s">
        <v>350</v>
      </c>
      <c r="I397" t="s">
        <v>114</v>
      </c>
      <c r="J397">
        <v>0.5</v>
      </c>
      <c r="K397" t="s">
        <v>102</v>
      </c>
      <c r="L397">
        <v>550</v>
      </c>
      <c r="M397">
        <v>0.25</v>
      </c>
      <c r="N397" t="s">
        <v>128</v>
      </c>
      <c r="O397" t="s">
        <v>431</v>
      </c>
      <c r="P397" t="s">
        <v>365</v>
      </c>
      <c r="Q397" s="1" t="s">
        <v>2276</v>
      </c>
      <c r="R397" s="1" t="s">
        <v>755</v>
      </c>
      <c r="S397" s="1" t="s">
        <v>2352</v>
      </c>
      <c r="T397" t="s">
        <v>421</v>
      </c>
      <c r="U397" t="s">
        <v>421</v>
      </c>
      <c r="V397" t="s">
        <v>194</v>
      </c>
      <c r="W397" t="s">
        <v>365</v>
      </c>
      <c r="X397" t="s">
        <v>161</v>
      </c>
      <c r="Y397" t="s">
        <v>2272</v>
      </c>
      <c r="Z397" t="s">
        <v>2272</v>
      </c>
      <c r="AA397" t="s">
        <v>2272</v>
      </c>
      <c r="AB397" t="s">
        <v>2272</v>
      </c>
      <c r="AC397" t="s">
        <v>162</v>
      </c>
      <c r="AD397" t="s">
        <v>2272</v>
      </c>
      <c r="AF397" t="s">
        <v>49</v>
      </c>
      <c r="AI397" t="s">
        <v>49</v>
      </c>
      <c r="AM397" t="s">
        <v>201</v>
      </c>
      <c r="AN397" t="s">
        <v>165</v>
      </c>
      <c r="AP397" t="s">
        <v>49</v>
      </c>
    </row>
    <row r="398" spans="1:43" x14ac:dyDescent="0.2">
      <c r="A398" t="s">
        <v>363</v>
      </c>
      <c r="B398" t="s">
        <v>364</v>
      </c>
      <c r="C398">
        <v>2022</v>
      </c>
      <c r="D398" t="s">
        <v>44</v>
      </c>
      <c r="E398" t="s">
        <v>49</v>
      </c>
      <c r="F398" t="s">
        <v>367</v>
      </c>
      <c r="G398" t="s">
        <v>90</v>
      </c>
      <c r="H398" t="s">
        <v>350</v>
      </c>
      <c r="I398" t="s">
        <v>114</v>
      </c>
      <c r="J398">
        <v>0.5</v>
      </c>
      <c r="K398" t="s">
        <v>102</v>
      </c>
      <c r="L398">
        <v>550</v>
      </c>
      <c r="M398">
        <v>0.25</v>
      </c>
      <c r="N398" t="s">
        <v>128</v>
      </c>
      <c r="O398" t="s">
        <v>351</v>
      </c>
      <c r="P398" t="s">
        <v>366</v>
      </c>
      <c r="Q398" s="1" t="s">
        <v>2276</v>
      </c>
      <c r="R398" s="1" t="s">
        <v>751</v>
      </c>
      <c r="S398" s="1" t="s">
        <v>2346</v>
      </c>
      <c r="T398" t="s">
        <v>421</v>
      </c>
      <c r="U398" t="s">
        <v>421</v>
      </c>
      <c r="X398" t="s">
        <v>161</v>
      </c>
      <c r="Y398" t="s">
        <v>2272</v>
      </c>
      <c r="Z398" t="s">
        <v>2272</v>
      </c>
      <c r="AA398" t="s">
        <v>2272</v>
      </c>
      <c r="AB398" t="s">
        <v>2272</v>
      </c>
      <c r="AC398" t="s">
        <v>162</v>
      </c>
      <c r="AD398" t="s">
        <v>2272</v>
      </c>
      <c r="AF398" t="s">
        <v>49</v>
      </c>
      <c r="AI398" t="s">
        <v>49</v>
      </c>
      <c r="AM398" t="s">
        <v>201</v>
      </c>
      <c r="AN398" t="s">
        <v>165</v>
      </c>
      <c r="AP398" t="s">
        <v>49</v>
      </c>
    </row>
    <row r="399" spans="1:43" x14ac:dyDescent="0.2">
      <c r="A399" t="s">
        <v>363</v>
      </c>
      <c r="B399" t="s">
        <v>364</v>
      </c>
      <c r="C399">
        <v>2022</v>
      </c>
      <c r="D399" t="s">
        <v>44</v>
      </c>
      <c r="E399" t="s">
        <v>49</v>
      </c>
      <c r="F399" t="s">
        <v>367</v>
      </c>
      <c r="G399" t="s">
        <v>90</v>
      </c>
      <c r="H399" t="s">
        <v>350</v>
      </c>
      <c r="I399" t="s">
        <v>114</v>
      </c>
      <c r="J399">
        <v>0.5</v>
      </c>
      <c r="K399" t="s">
        <v>102</v>
      </c>
      <c r="L399">
        <v>550</v>
      </c>
      <c r="M399">
        <v>0.25</v>
      </c>
      <c r="N399" t="s">
        <v>128</v>
      </c>
      <c r="O399" t="s">
        <v>431</v>
      </c>
      <c r="P399" t="s">
        <v>365</v>
      </c>
      <c r="Q399" s="1" t="s">
        <v>2276</v>
      </c>
      <c r="R399" s="1" t="s">
        <v>755</v>
      </c>
      <c r="S399" s="1" t="s">
        <v>2352</v>
      </c>
      <c r="T399" t="s">
        <v>421</v>
      </c>
      <c r="U399" t="s">
        <v>421</v>
      </c>
      <c r="V399" t="s">
        <v>194</v>
      </c>
      <c r="W399" t="s">
        <v>365</v>
      </c>
      <c r="X399" t="s">
        <v>161</v>
      </c>
      <c r="Y399" t="s">
        <v>2272</v>
      </c>
      <c r="Z399" t="s">
        <v>2272</v>
      </c>
      <c r="AA399" t="s">
        <v>2272</v>
      </c>
      <c r="AB399" t="s">
        <v>2272</v>
      </c>
      <c r="AC399" t="s">
        <v>162</v>
      </c>
      <c r="AD399" t="s">
        <v>2272</v>
      </c>
      <c r="AF399" t="s">
        <v>49</v>
      </c>
      <c r="AI399" t="s">
        <v>49</v>
      </c>
      <c r="AM399" t="s">
        <v>201</v>
      </c>
      <c r="AN399" t="s">
        <v>166</v>
      </c>
      <c r="AP399" t="s">
        <v>49</v>
      </c>
    </row>
    <row r="400" spans="1:43" x14ac:dyDescent="0.2">
      <c r="A400" t="s">
        <v>363</v>
      </c>
      <c r="B400" t="s">
        <v>364</v>
      </c>
      <c r="C400">
        <v>2022</v>
      </c>
      <c r="D400" t="s">
        <v>44</v>
      </c>
      <c r="E400" t="s">
        <v>49</v>
      </c>
      <c r="F400" t="s">
        <v>367</v>
      </c>
      <c r="G400" t="s">
        <v>90</v>
      </c>
      <c r="H400" t="s">
        <v>350</v>
      </c>
      <c r="I400" t="s">
        <v>114</v>
      </c>
      <c r="J400">
        <v>0.5</v>
      </c>
      <c r="K400" t="s">
        <v>102</v>
      </c>
      <c r="L400">
        <v>550</v>
      </c>
      <c r="M400">
        <v>0.25</v>
      </c>
      <c r="N400" t="s">
        <v>128</v>
      </c>
      <c r="O400" t="s">
        <v>351</v>
      </c>
      <c r="P400" t="s">
        <v>366</v>
      </c>
      <c r="Q400" s="1" t="s">
        <v>2276</v>
      </c>
      <c r="R400" s="1" t="s">
        <v>751</v>
      </c>
      <c r="S400" s="1" t="s">
        <v>2346</v>
      </c>
      <c r="T400" t="s">
        <v>421</v>
      </c>
      <c r="U400" t="s">
        <v>421</v>
      </c>
      <c r="X400" t="s">
        <v>161</v>
      </c>
      <c r="Y400" t="s">
        <v>2272</v>
      </c>
      <c r="Z400" t="s">
        <v>2272</v>
      </c>
      <c r="AA400" t="s">
        <v>2272</v>
      </c>
      <c r="AB400" t="s">
        <v>2272</v>
      </c>
      <c r="AC400" t="s">
        <v>162</v>
      </c>
      <c r="AD400" t="s">
        <v>2272</v>
      </c>
      <c r="AF400" t="s">
        <v>49</v>
      </c>
      <c r="AI400" t="s">
        <v>49</v>
      </c>
      <c r="AM400" t="s">
        <v>201</v>
      </c>
      <c r="AN400" t="s">
        <v>166</v>
      </c>
      <c r="AP400" t="s">
        <v>49</v>
      </c>
    </row>
    <row r="401" spans="1:43" x14ac:dyDescent="0.2">
      <c r="A401" t="s">
        <v>363</v>
      </c>
      <c r="B401" t="s">
        <v>364</v>
      </c>
      <c r="C401">
        <v>2022</v>
      </c>
      <c r="D401" t="s">
        <v>44</v>
      </c>
      <c r="E401" t="s">
        <v>49</v>
      </c>
      <c r="F401" t="s">
        <v>367</v>
      </c>
      <c r="G401" t="s">
        <v>90</v>
      </c>
      <c r="H401" t="s">
        <v>350</v>
      </c>
      <c r="I401" t="s">
        <v>114</v>
      </c>
      <c r="J401">
        <v>0.5</v>
      </c>
      <c r="K401" t="s">
        <v>102</v>
      </c>
      <c r="L401">
        <v>550</v>
      </c>
      <c r="M401">
        <v>0.25</v>
      </c>
      <c r="N401" t="s">
        <v>128</v>
      </c>
      <c r="O401" t="s">
        <v>431</v>
      </c>
      <c r="P401" t="s">
        <v>365</v>
      </c>
      <c r="Q401" s="1" t="s">
        <v>2276</v>
      </c>
      <c r="R401" s="1" t="s">
        <v>755</v>
      </c>
      <c r="S401" s="1" t="s">
        <v>2352</v>
      </c>
      <c r="T401" t="s">
        <v>421</v>
      </c>
      <c r="U401" t="s">
        <v>421</v>
      </c>
      <c r="V401" t="s">
        <v>194</v>
      </c>
      <c r="W401" t="s">
        <v>365</v>
      </c>
      <c r="X401" t="s">
        <v>161</v>
      </c>
      <c r="Y401" t="s">
        <v>2272</v>
      </c>
      <c r="Z401" t="s">
        <v>2272</v>
      </c>
      <c r="AA401" t="s">
        <v>2272</v>
      </c>
      <c r="AB401" t="s">
        <v>2272</v>
      </c>
      <c r="AC401" t="s">
        <v>162</v>
      </c>
      <c r="AD401" t="s">
        <v>2272</v>
      </c>
      <c r="AF401" t="s">
        <v>49</v>
      </c>
      <c r="AI401" t="s">
        <v>49</v>
      </c>
      <c r="AM401" t="s">
        <v>201</v>
      </c>
      <c r="AN401" t="s">
        <v>154</v>
      </c>
      <c r="AQ401" s="5">
        <v>1</v>
      </c>
    </row>
    <row r="402" spans="1:43" x14ac:dyDescent="0.2">
      <c r="A402" t="s">
        <v>363</v>
      </c>
      <c r="B402" t="s">
        <v>364</v>
      </c>
      <c r="C402">
        <v>2022</v>
      </c>
      <c r="D402" t="s">
        <v>44</v>
      </c>
      <c r="E402" t="s">
        <v>49</v>
      </c>
      <c r="F402" t="s">
        <v>367</v>
      </c>
      <c r="G402" t="s">
        <v>90</v>
      </c>
      <c r="H402" t="s">
        <v>350</v>
      </c>
      <c r="I402" t="s">
        <v>114</v>
      </c>
      <c r="J402">
        <v>0.5</v>
      </c>
      <c r="K402" t="s">
        <v>102</v>
      </c>
      <c r="L402">
        <v>550</v>
      </c>
      <c r="M402">
        <v>0.25</v>
      </c>
      <c r="N402" t="s">
        <v>128</v>
      </c>
      <c r="O402" t="s">
        <v>351</v>
      </c>
      <c r="P402" t="s">
        <v>366</v>
      </c>
      <c r="Q402" s="1" t="s">
        <v>2276</v>
      </c>
      <c r="R402" s="1" t="s">
        <v>751</v>
      </c>
      <c r="S402" s="1" t="s">
        <v>2346</v>
      </c>
      <c r="T402" t="s">
        <v>421</v>
      </c>
      <c r="U402" t="s">
        <v>421</v>
      </c>
      <c r="X402" t="s">
        <v>161</v>
      </c>
      <c r="Y402" t="s">
        <v>2272</v>
      </c>
      <c r="Z402" t="s">
        <v>2272</v>
      </c>
      <c r="AA402" t="s">
        <v>2272</v>
      </c>
      <c r="AB402" t="s">
        <v>2272</v>
      </c>
      <c r="AC402" t="s">
        <v>162</v>
      </c>
      <c r="AD402" t="s">
        <v>2272</v>
      </c>
      <c r="AF402" t="s">
        <v>49</v>
      </c>
      <c r="AI402" t="s">
        <v>49</v>
      </c>
      <c r="AM402" t="s">
        <v>201</v>
      </c>
      <c r="AN402" t="s">
        <v>154</v>
      </c>
      <c r="AQ402" s="5">
        <v>1</v>
      </c>
    </row>
    <row r="403" spans="1:43" x14ac:dyDescent="0.2">
      <c r="A403" t="s">
        <v>363</v>
      </c>
      <c r="B403" t="s">
        <v>364</v>
      </c>
      <c r="C403">
        <v>2022</v>
      </c>
      <c r="D403" t="s">
        <v>44</v>
      </c>
      <c r="E403" t="s">
        <v>49</v>
      </c>
      <c r="F403" t="s">
        <v>367</v>
      </c>
      <c r="G403" t="s">
        <v>90</v>
      </c>
      <c r="H403" t="s">
        <v>350</v>
      </c>
      <c r="I403" t="s">
        <v>114</v>
      </c>
      <c r="J403">
        <v>0.5</v>
      </c>
      <c r="K403" t="s">
        <v>102</v>
      </c>
      <c r="L403">
        <v>550</v>
      </c>
      <c r="M403">
        <v>0.25</v>
      </c>
      <c r="N403" t="s">
        <v>128</v>
      </c>
      <c r="O403" t="s">
        <v>431</v>
      </c>
      <c r="P403" t="s">
        <v>365</v>
      </c>
      <c r="Q403" s="1" t="s">
        <v>2276</v>
      </c>
      <c r="R403" s="1" t="s">
        <v>755</v>
      </c>
      <c r="S403" s="1" t="s">
        <v>2352</v>
      </c>
      <c r="T403" t="s">
        <v>396</v>
      </c>
      <c r="U403" s="1" t="s">
        <v>2346</v>
      </c>
      <c r="V403" t="s">
        <v>194</v>
      </c>
      <c r="W403" t="s">
        <v>365</v>
      </c>
      <c r="X403" t="s">
        <v>161</v>
      </c>
      <c r="Y403" t="s">
        <v>2272</v>
      </c>
      <c r="Z403" t="s">
        <v>2272</v>
      </c>
      <c r="AA403" t="s">
        <v>2272</v>
      </c>
      <c r="AB403" t="s">
        <v>2272</v>
      </c>
      <c r="AC403" t="s">
        <v>162</v>
      </c>
      <c r="AD403" t="s">
        <v>2272</v>
      </c>
      <c r="AF403" t="s">
        <v>49</v>
      </c>
      <c r="AI403" t="s">
        <v>49</v>
      </c>
      <c r="AM403" t="s">
        <v>201</v>
      </c>
      <c r="AN403" t="s">
        <v>165</v>
      </c>
      <c r="AP403" t="s">
        <v>49</v>
      </c>
    </row>
    <row r="404" spans="1:43" x14ac:dyDescent="0.2">
      <c r="A404" t="s">
        <v>363</v>
      </c>
      <c r="B404" t="s">
        <v>364</v>
      </c>
      <c r="C404">
        <v>2022</v>
      </c>
      <c r="D404" t="s">
        <v>44</v>
      </c>
      <c r="E404" t="s">
        <v>49</v>
      </c>
      <c r="F404" t="s">
        <v>367</v>
      </c>
      <c r="G404" t="s">
        <v>90</v>
      </c>
      <c r="H404" t="s">
        <v>350</v>
      </c>
      <c r="I404" t="s">
        <v>114</v>
      </c>
      <c r="J404">
        <v>0.5</v>
      </c>
      <c r="K404" t="s">
        <v>102</v>
      </c>
      <c r="L404">
        <v>550</v>
      </c>
      <c r="M404">
        <v>0.25</v>
      </c>
      <c r="N404" t="s">
        <v>128</v>
      </c>
      <c r="O404" t="s">
        <v>351</v>
      </c>
      <c r="P404" t="s">
        <v>366</v>
      </c>
      <c r="Q404" s="1" t="s">
        <v>2276</v>
      </c>
      <c r="R404" s="1" t="s">
        <v>751</v>
      </c>
      <c r="S404" s="1" t="s">
        <v>2346</v>
      </c>
      <c r="T404" t="s">
        <v>396</v>
      </c>
      <c r="U404" s="1" t="s">
        <v>2352</v>
      </c>
      <c r="X404" t="s">
        <v>161</v>
      </c>
      <c r="Y404" t="s">
        <v>2272</v>
      </c>
      <c r="Z404" t="s">
        <v>2272</v>
      </c>
      <c r="AA404" t="s">
        <v>2272</v>
      </c>
      <c r="AB404" t="s">
        <v>2272</v>
      </c>
      <c r="AC404" t="s">
        <v>162</v>
      </c>
      <c r="AD404" t="s">
        <v>2272</v>
      </c>
      <c r="AF404" t="s">
        <v>49</v>
      </c>
      <c r="AI404" t="s">
        <v>49</v>
      </c>
      <c r="AM404" t="s">
        <v>201</v>
      </c>
      <c r="AN404" t="s">
        <v>165</v>
      </c>
      <c r="AP404" t="s">
        <v>49</v>
      </c>
    </row>
    <row r="405" spans="1:43" x14ac:dyDescent="0.2">
      <c r="A405" t="s">
        <v>363</v>
      </c>
      <c r="B405" t="s">
        <v>364</v>
      </c>
      <c r="C405">
        <v>2022</v>
      </c>
      <c r="D405" t="s">
        <v>44</v>
      </c>
      <c r="E405" t="s">
        <v>49</v>
      </c>
      <c r="F405" t="s">
        <v>367</v>
      </c>
      <c r="G405" t="s">
        <v>90</v>
      </c>
      <c r="H405" t="s">
        <v>350</v>
      </c>
      <c r="I405" t="s">
        <v>114</v>
      </c>
      <c r="J405">
        <v>0.5</v>
      </c>
      <c r="K405" t="s">
        <v>102</v>
      </c>
      <c r="L405">
        <v>550</v>
      </c>
      <c r="M405">
        <v>0.25</v>
      </c>
      <c r="N405" t="s">
        <v>128</v>
      </c>
      <c r="O405" t="s">
        <v>431</v>
      </c>
      <c r="P405" t="s">
        <v>365</v>
      </c>
      <c r="Q405" s="1" t="s">
        <v>2276</v>
      </c>
      <c r="R405" s="1" t="s">
        <v>755</v>
      </c>
      <c r="S405" s="1" t="s">
        <v>2352</v>
      </c>
      <c r="T405" t="s">
        <v>396</v>
      </c>
      <c r="U405" s="1" t="s">
        <v>2346</v>
      </c>
      <c r="V405" t="s">
        <v>194</v>
      </c>
      <c r="W405" t="s">
        <v>365</v>
      </c>
      <c r="X405" t="s">
        <v>161</v>
      </c>
      <c r="Y405" t="s">
        <v>2272</v>
      </c>
      <c r="Z405" t="s">
        <v>2272</v>
      </c>
      <c r="AA405" t="s">
        <v>2272</v>
      </c>
      <c r="AB405" t="s">
        <v>2272</v>
      </c>
      <c r="AC405" t="s">
        <v>162</v>
      </c>
      <c r="AD405" t="s">
        <v>2272</v>
      </c>
      <c r="AF405" t="s">
        <v>49</v>
      </c>
      <c r="AI405" t="s">
        <v>49</v>
      </c>
      <c r="AM405" t="s">
        <v>201</v>
      </c>
      <c r="AN405" t="s">
        <v>166</v>
      </c>
      <c r="AP405" t="s">
        <v>49</v>
      </c>
    </row>
    <row r="406" spans="1:43" x14ac:dyDescent="0.2">
      <c r="A406" t="s">
        <v>363</v>
      </c>
      <c r="B406" t="s">
        <v>364</v>
      </c>
      <c r="C406">
        <v>2022</v>
      </c>
      <c r="D406" t="s">
        <v>44</v>
      </c>
      <c r="E406" t="s">
        <v>49</v>
      </c>
      <c r="F406" t="s">
        <v>367</v>
      </c>
      <c r="G406" t="s">
        <v>90</v>
      </c>
      <c r="H406" t="s">
        <v>350</v>
      </c>
      <c r="I406" t="s">
        <v>114</v>
      </c>
      <c r="J406">
        <v>0.5</v>
      </c>
      <c r="K406" t="s">
        <v>102</v>
      </c>
      <c r="L406">
        <v>550</v>
      </c>
      <c r="M406">
        <v>0.25</v>
      </c>
      <c r="N406" t="s">
        <v>128</v>
      </c>
      <c r="O406" t="s">
        <v>351</v>
      </c>
      <c r="P406" t="s">
        <v>366</v>
      </c>
      <c r="Q406" s="1" t="s">
        <v>2276</v>
      </c>
      <c r="R406" s="1" t="s">
        <v>751</v>
      </c>
      <c r="S406" s="1" t="s">
        <v>2346</v>
      </c>
      <c r="T406" t="s">
        <v>396</v>
      </c>
      <c r="U406" s="1" t="s">
        <v>2352</v>
      </c>
      <c r="X406" t="s">
        <v>161</v>
      </c>
      <c r="Y406" t="s">
        <v>2272</v>
      </c>
      <c r="Z406" t="s">
        <v>2272</v>
      </c>
      <c r="AA406" t="s">
        <v>2272</v>
      </c>
      <c r="AB406" t="s">
        <v>2272</v>
      </c>
      <c r="AC406" t="s">
        <v>162</v>
      </c>
      <c r="AD406" t="s">
        <v>2272</v>
      </c>
      <c r="AF406" t="s">
        <v>49</v>
      </c>
      <c r="AI406" t="s">
        <v>49</v>
      </c>
      <c r="AM406" t="s">
        <v>201</v>
      </c>
      <c r="AN406" t="s">
        <v>166</v>
      </c>
      <c r="AP406" t="s">
        <v>49</v>
      </c>
    </row>
    <row r="407" spans="1:43" x14ac:dyDescent="0.2">
      <c r="A407" t="s">
        <v>363</v>
      </c>
      <c r="B407" t="s">
        <v>364</v>
      </c>
      <c r="C407">
        <v>2022</v>
      </c>
      <c r="D407" t="s">
        <v>44</v>
      </c>
      <c r="E407" t="s">
        <v>49</v>
      </c>
      <c r="F407" t="s">
        <v>367</v>
      </c>
      <c r="G407" t="s">
        <v>90</v>
      </c>
      <c r="H407" t="s">
        <v>350</v>
      </c>
      <c r="I407" t="s">
        <v>114</v>
      </c>
      <c r="J407">
        <v>0.5</v>
      </c>
      <c r="K407" t="s">
        <v>102</v>
      </c>
      <c r="L407">
        <v>550</v>
      </c>
      <c r="M407">
        <v>0.25</v>
      </c>
      <c r="N407" t="s">
        <v>128</v>
      </c>
      <c r="O407" t="s">
        <v>431</v>
      </c>
      <c r="P407" t="s">
        <v>365</v>
      </c>
      <c r="Q407" s="1" t="s">
        <v>2276</v>
      </c>
      <c r="R407" s="1" t="s">
        <v>755</v>
      </c>
      <c r="S407" s="1" t="s">
        <v>2352</v>
      </c>
      <c r="T407" t="s">
        <v>396</v>
      </c>
      <c r="U407" s="1" t="s">
        <v>2346</v>
      </c>
      <c r="V407" t="s">
        <v>194</v>
      </c>
      <c r="W407" t="s">
        <v>365</v>
      </c>
      <c r="X407" t="s">
        <v>161</v>
      </c>
      <c r="Y407" t="s">
        <v>2272</v>
      </c>
      <c r="Z407" t="s">
        <v>2272</v>
      </c>
      <c r="AA407" t="s">
        <v>2272</v>
      </c>
      <c r="AB407" t="s">
        <v>2272</v>
      </c>
      <c r="AC407" t="s">
        <v>162</v>
      </c>
      <c r="AD407" t="s">
        <v>2272</v>
      </c>
      <c r="AF407" t="s">
        <v>49</v>
      </c>
      <c r="AI407" t="s">
        <v>49</v>
      </c>
      <c r="AM407" t="s">
        <v>201</v>
      </c>
      <c r="AN407" t="s">
        <v>154</v>
      </c>
      <c r="AQ407" s="5">
        <v>0</v>
      </c>
    </row>
    <row r="408" spans="1:43" x14ac:dyDescent="0.2">
      <c r="A408" t="s">
        <v>363</v>
      </c>
      <c r="B408" t="s">
        <v>364</v>
      </c>
      <c r="C408">
        <v>2022</v>
      </c>
      <c r="D408" t="s">
        <v>44</v>
      </c>
      <c r="E408" t="s">
        <v>49</v>
      </c>
      <c r="F408" t="s">
        <v>367</v>
      </c>
      <c r="G408" t="s">
        <v>90</v>
      </c>
      <c r="H408" t="s">
        <v>350</v>
      </c>
      <c r="I408" t="s">
        <v>114</v>
      </c>
      <c r="J408">
        <v>0.5</v>
      </c>
      <c r="K408" t="s">
        <v>102</v>
      </c>
      <c r="L408">
        <v>550</v>
      </c>
      <c r="M408">
        <v>0.25</v>
      </c>
      <c r="N408" t="s">
        <v>128</v>
      </c>
      <c r="O408" t="s">
        <v>351</v>
      </c>
      <c r="P408" t="s">
        <v>366</v>
      </c>
      <c r="Q408" s="1" t="s">
        <v>2276</v>
      </c>
      <c r="R408" s="1" t="s">
        <v>751</v>
      </c>
      <c r="S408" s="1" t="s">
        <v>2346</v>
      </c>
      <c r="T408" t="s">
        <v>396</v>
      </c>
      <c r="U408" s="1" t="s">
        <v>2352</v>
      </c>
      <c r="X408" t="s">
        <v>161</v>
      </c>
      <c r="Y408" t="s">
        <v>2272</v>
      </c>
      <c r="Z408" t="s">
        <v>2272</v>
      </c>
      <c r="AA408" t="s">
        <v>2272</v>
      </c>
      <c r="AB408" t="s">
        <v>2272</v>
      </c>
      <c r="AC408" t="s">
        <v>162</v>
      </c>
      <c r="AD408" t="s">
        <v>2272</v>
      </c>
      <c r="AF408" t="s">
        <v>49</v>
      </c>
      <c r="AI408" t="s">
        <v>49</v>
      </c>
      <c r="AM408" t="s">
        <v>201</v>
      </c>
      <c r="AN408" t="s">
        <v>154</v>
      </c>
      <c r="AQ408" s="5">
        <v>0</v>
      </c>
    </row>
    <row r="409" spans="1:43" x14ac:dyDescent="0.2">
      <c r="A409" t="s">
        <v>363</v>
      </c>
      <c r="B409" t="s">
        <v>364</v>
      </c>
      <c r="C409">
        <v>2022</v>
      </c>
      <c r="D409" t="s">
        <v>44</v>
      </c>
      <c r="E409" t="s">
        <v>49</v>
      </c>
      <c r="F409" t="s">
        <v>367</v>
      </c>
      <c r="G409" t="s">
        <v>90</v>
      </c>
      <c r="H409" t="s">
        <v>350</v>
      </c>
      <c r="I409" t="s">
        <v>114</v>
      </c>
      <c r="J409">
        <v>0.5</v>
      </c>
      <c r="K409" t="s">
        <v>102</v>
      </c>
      <c r="L409">
        <v>550</v>
      </c>
      <c r="M409">
        <v>0.25</v>
      </c>
      <c r="N409" t="s">
        <v>128</v>
      </c>
      <c r="O409" t="s">
        <v>431</v>
      </c>
      <c r="P409" t="s">
        <v>365</v>
      </c>
      <c r="Q409" s="1" t="s">
        <v>2276</v>
      </c>
      <c r="R409" s="1" t="s">
        <v>755</v>
      </c>
      <c r="S409" s="1" t="s">
        <v>2352</v>
      </c>
      <c r="T409" t="s">
        <v>421</v>
      </c>
      <c r="U409" t="s">
        <v>421</v>
      </c>
      <c r="V409" t="s">
        <v>194</v>
      </c>
      <c r="W409" t="s">
        <v>365</v>
      </c>
      <c r="X409" t="s">
        <v>161</v>
      </c>
      <c r="Y409" t="s">
        <v>2272</v>
      </c>
      <c r="Z409" t="s">
        <v>2272</v>
      </c>
      <c r="AA409" t="s">
        <v>2272</v>
      </c>
      <c r="AB409" t="s">
        <v>2272</v>
      </c>
      <c r="AC409" t="s">
        <v>162</v>
      </c>
      <c r="AD409" t="s">
        <v>2272</v>
      </c>
      <c r="AG409" t="s">
        <v>49</v>
      </c>
      <c r="AI409" t="s">
        <v>49</v>
      </c>
      <c r="AM409" t="s">
        <v>442</v>
      </c>
      <c r="AN409" t="s">
        <v>165</v>
      </c>
      <c r="AP409" t="s">
        <v>49</v>
      </c>
    </row>
    <row r="410" spans="1:43" x14ac:dyDescent="0.2">
      <c r="A410" t="s">
        <v>363</v>
      </c>
      <c r="B410" t="s">
        <v>364</v>
      </c>
      <c r="C410">
        <v>2022</v>
      </c>
      <c r="D410" t="s">
        <v>44</v>
      </c>
      <c r="E410" t="s">
        <v>49</v>
      </c>
      <c r="F410" t="s">
        <v>367</v>
      </c>
      <c r="G410" t="s">
        <v>90</v>
      </c>
      <c r="H410" t="s">
        <v>350</v>
      </c>
      <c r="I410" t="s">
        <v>114</v>
      </c>
      <c r="J410">
        <v>0.5</v>
      </c>
      <c r="K410" t="s">
        <v>102</v>
      </c>
      <c r="L410">
        <v>550</v>
      </c>
      <c r="M410">
        <v>0.25</v>
      </c>
      <c r="N410" t="s">
        <v>128</v>
      </c>
      <c r="O410" t="s">
        <v>351</v>
      </c>
      <c r="P410" t="s">
        <v>366</v>
      </c>
      <c r="Q410" s="1" t="s">
        <v>2276</v>
      </c>
      <c r="R410" s="1" t="s">
        <v>751</v>
      </c>
      <c r="S410" s="1" t="s">
        <v>2346</v>
      </c>
      <c r="T410" t="s">
        <v>421</v>
      </c>
      <c r="U410" t="s">
        <v>421</v>
      </c>
      <c r="X410" t="s">
        <v>161</v>
      </c>
      <c r="Y410" t="s">
        <v>2272</v>
      </c>
      <c r="Z410" t="s">
        <v>2272</v>
      </c>
      <c r="AA410" t="s">
        <v>2272</v>
      </c>
      <c r="AB410" t="s">
        <v>2272</v>
      </c>
      <c r="AC410" t="s">
        <v>162</v>
      </c>
      <c r="AD410" t="s">
        <v>2272</v>
      </c>
      <c r="AG410" t="s">
        <v>49</v>
      </c>
      <c r="AI410" t="s">
        <v>49</v>
      </c>
      <c r="AM410" t="s">
        <v>442</v>
      </c>
      <c r="AN410" t="s">
        <v>165</v>
      </c>
      <c r="AP410" t="s">
        <v>49</v>
      </c>
    </row>
    <row r="411" spans="1:43" x14ac:dyDescent="0.2">
      <c r="A411" t="s">
        <v>363</v>
      </c>
      <c r="B411" t="s">
        <v>364</v>
      </c>
      <c r="C411">
        <v>2022</v>
      </c>
      <c r="D411" t="s">
        <v>44</v>
      </c>
      <c r="E411" t="s">
        <v>49</v>
      </c>
      <c r="F411" t="s">
        <v>367</v>
      </c>
      <c r="G411" t="s">
        <v>90</v>
      </c>
      <c r="H411" t="s">
        <v>350</v>
      </c>
      <c r="I411" t="s">
        <v>114</v>
      </c>
      <c r="J411">
        <v>0.5</v>
      </c>
      <c r="K411" t="s">
        <v>102</v>
      </c>
      <c r="L411">
        <v>550</v>
      </c>
      <c r="M411">
        <v>0.25</v>
      </c>
      <c r="N411" t="s">
        <v>128</v>
      </c>
      <c r="O411" t="s">
        <v>431</v>
      </c>
      <c r="P411" t="s">
        <v>365</v>
      </c>
      <c r="Q411" s="1" t="s">
        <v>2276</v>
      </c>
      <c r="R411" s="1" t="s">
        <v>755</v>
      </c>
      <c r="S411" s="1" t="s">
        <v>2352</v>
      </c>
      <c r="T411" t="s">
        <v>421</v>
      </c>
      <c r="U411" t="s">
        <v>421</v>
      </c>
      <c r="V411" t="s">
        <v>194</v>
      </c>
      <c r="W411" t="s">
        <v>365</v>
      </c>
      <c r="X411" t="s">
        <v>161</v>
      </c>
      <c r="Y411" t="s">
        <v>2272</v>
      </c>
      <c r="Z411" t="s">
        <v>2272</v>
      </c>
      <c r="AA411" t="s">
        <v>2272</v>
      </c>
      <c r="AB411" t="s">
        <v>2272</v>
      </c>
      <c r="AC411" t="s">
        <v>162</v>
      </c>
      <c r="AD411" t="s">
        <v>2272</v>
      </c>
      <c r="AG411" t="s">
        <v>49</v>
      </c>
      <c r="AI411" t="s">
        <v>49</v>
      </c>
      <c r="AM411" t="s">
        <v>442</v>
      </c>
      <c r="AN411" t="s">
        <v>166</v>
      </c>
      <c r="AP411" t="s">
        <v>49</v>
      </c>
    </row>
    <row r="412" spans="1:43" x14ac:dyDescent="0.2">
      <c r="A412" t="s">
        <v>363</v>
      </c>
      <c r="B412" t="s">
        <v>364</v>
      </c>
      <c r="C412">
        <v>2022</v>
      </c>
      <c r="D412" t="s">
        <v>44</v>
      </c>
      <c r="E412" t="s">
        <v>49</v>
      </c>
      <c r="F412" t="s">
        <v>367</v>
      </c>
      <c r="G412" t="s">
        <v>90</v>
      </c>
      <c r="H412" t="s">
        <v>350</v>
      </c>
      <c r="I412" t="s">
        <v>114</v>
      </c>
      <c r="J412">
        <v>0.5</v>
      </c>
      <c r="K412" t="s">
        <v>102</v>
      </c>
      <c r="L412">
        <v>550</v>
      </c>
      <c r="M412">
        <v>0.25</v>
      </c>
      <c r="N412" t="s">
        <v>128</v>
      </c>
      <c r="O412" t="s">
        <v>351</v>
      </c>
      <c r="P412" t="s">
        <v>366</v>
      </c>
      <c r="Q412" s="1" t="s">
        <v>2276</v>
      </c>
      <c r="R412" s="1" t="s">
        <v>751</v>
      </c>
      <c r="S412" s="1" t="s">
        <v>2346</v>
      </c>
      <c r="T412" t="s">
        <v>421</v>
      </c>
      <c r="U412" t="s">
        <v>421</v>
      </c>
      <c r="X412" t="s">
        <v>161</v>
      </c>
      <c r="Y412" t="s">
        <v>2272</v>
      </c>
      <c r="Z412" t="s">
        <v>2272</v>
      </c>
      <c r="AA412" t="s">
        <v>2272</v>
      </c>
      <c r="AB412" t="s">
        <v>2272</v>
      </c>
      <c r="AC412" t="s">
        <v>162</v>
      </c>
      <c r="AD412" t="s">
        <v>2272</v>
      </c>
      <c r="AG412" t="s">
        <v>49</v>
      </c>
      <c r="AI412" t="s">
        <v>49</v>
      </c>
      <c r="AM412" t="s">
        <v>442</v>
      </c>
      <c r="AN412" t="s">
        <v>166</v>
      </c>
      <c r="AP412" t="s">
        <v>49</v>
      </c>
    </row>
    <row r="413" spans="1:43" x14ac:dyDescent="0.2">
      <c r="A413" t="s">
        <v>363</v>
      </c>
      <c r="B413" t="s">
        <v>364</v>
      </c>
      <c r="C413">
        <v>2022</v>
      </c>
      <c r="D413" t="s">
        <v>44</v>
      </c>
      <c r="E413" t="s">
        <v>49</v>
      </c>
      <c r="F413" t="s">
        <v>367</v>
      </c>
      <c r="G413" t="s">
        <v>90</v>
      </c>
      <c r="H413" t="s">
        <v>350</v>
      </c>
      <c r="I413" t="s">
        <v>114</v>
      </c>
      <c r="J413">
        <v>0.5</v>
      </c>
      <c r="K413" t="s">
        <v>102</v>
      </c>
      <c r="L413">
        <v>550</v>
      </c>
      <c r="M413">
        <v>0.25</v>
      </c>
      <c r="N413" t="s">
        <v>128</v>
      </c>
      <c r="O413" t="s">
        <v>431</v>
      </c>
      <c r="P413" t="s">
        <v>365</v>
      </c>
      <c r="Q413" s="1" t="s">
        <v>2276</v>
      </c>
      <c r="R413" s="1" t="s">
        <v>755</v>
      </c>
      <c r="S413" s="1" t="s">
        <v>2352</v>
      </c>
      <c r="T413" t="s">
        <v>421</v>
      </c>
      <c r="U413" t="s">
        <v>421</v>
      </c>
      <c r="V413" t="s">
        <v>194</v>
      </c>
      <c r="W413" t="s">
        <v>365</v>
      </c>
      <c r="X413" t="s">
        <v>161</v>
      </c>
      <c r="Y413" t="s">
        <v>2272</v>
      </c>
      <c r="Z413" t="s">
        <v>2272</v>
      </c>
      <c r="AA413" t="s">
        <v>2272</v>
      </c>
      <c r="AB413" t="s">
        <v>2272</v>
      </c>
      <c r="AC413" t="s">
        <v>162</v>
      </c>
      <c r="AD413" t="s">
        <v>2272</v>
      </c>
      <c r="AG413" t="s">
        <v>49</v>
      </c>
      <c r="AI413" t="s">
        <v>49</v>
      </c>
      <c r="AM413" t="s">
        <v>442</v>
      </c>
      <c r="AN413" t="s">
        <v>154</v>
      </c>
      <c r="AQ413" s="5">
        <v>1</v>
      </c>
    </row>
    <row r="414" spans="1:43" x14ac:dyDescent="0.2">
      <c r="A414" t="s">
        <v>363</v>
      </c>
      <c r="B414" t="s">
        <v>364</v>
      </c>
      <c r="C414">
        <v>2022</v>
      </c>
      <c r="D414" t="s">
        <v>44</v>
      </c>
      <c r="E414" t="s">
        <v>49</v>
      </c>
      <c r="F414" t="s">
        <v>367</v>
      </c>
      <c r="G414" t="s">
        <v>90</v>
      </c>
      <c r="H414" t="s">
        <v>350</v>
      </c>
      <c r="I414" t="s">
        <v>114</v>
      </c>
      <c r="J414">
        <v>0.5</v>
      </c>
      <c r="K414" t="s">
        <v>102</v>
      </c>
      <c r="L414">
        <v>550</v>
      </c>
      <c r="M414">
        <v>0.25</v>
      </c>
      <c r="N414" t="s">
        <v>128</v>
      </c>
      <c r="O414" t="s">
        <v>351</v>
      </c>
      <c r="P414" t="s">
        <v>366</v>
      </c>
      <c r="Q414" s="1" t="s">
        <v>2276</v>
      </c>
      <c r="R414" s="1" t="s">
        <v>751</v>
      </c>
      <c r="S414" s="1" t="s">
        <v>2346</v>
      </c>
      <c r="T414" t="s">
        <v>421</v>
      </c>
      <c r="U414" t="s">
        <v>421</v>
      </c>
      <c r="X414" t="s">
        <v>161</v>
      </c>
      <c r="Y414" t="s">
        <v>2272</v>
      </c>
      <c r="Z414" t="s">
        <v>2272</v>
      </c>
      <c r="AA414" t="s">
        <v>2272</v>
      </c>
      <c r="AB414" t="s">
        <v>2272</v>
      </c>
      <c r="AC414" t="s">
        <v>162</v>
      </c>
      <c r="AD414" t="s">
        <v>2272</v>
      </c>
      <c r="AG414" t="s">
        <v>49</v>
      </c>
      <c r="AI414" t="s">
        <v>49</v>
      </c>
      <c r="AM414" t="s">
        <v>442</v>
      </c>
      <c r="AN414" t="s">
        <v>154</v>
      </c>
      <c r="AQ414" s="5">
        <v>1</v>
      </c>
    </row>
    <row r="415" spans="1:43" x14ac:dyDescent="0.2">
      <c r="A415" t="s">
        <v>363</v>
      </c>
      <c r="B415" t="s">
        <v>364</v>
      </c>
      <c r="C415">
        <v>2022</v>
      </c>
      <c r="D415" t="s">
        <v>44</v>
      </c>
      <c r="E415" t="s">
        <v>49</v>
      </c>
      <c r="F415" t="s">
        <v>367</v>
      </c>
      <c r="G415" t="s">
        <v>90</v>
      </c>
      <c r="H415" t="s">
        <v>350</v>
      </c>
      <c r="I415" t="s">
        <v>114</v>
      </c>
      <c r="J415">
        <v>0.5</v>
      </c>
      <c r="K415" t="s">
        <v>102</v>
      </c>
      <c r="L415">
        <v>550</v>
      </c>
      <c r="M415">
        <v>0.25</v>
      </c>
      <c r="N415" t="s">
        <v>128</v>
      </c>
      <c r="O415" t="s">
        <v>431</v>
      </c>
      <c r="P415" t="s">
        <v>365</v>
      </c>
      <c r="Q415" s="1" t="s">
        <v>2276</v>
      </c>
      <c r="R415" s="1" t="s">
        <v>755</v>
      </c>
      <c r="S415" s="1" t="s">
        <v>2352</v>
      </c>
      <c r="T415" t="s">
        <v>396</v>
      </c>
      <c r="U415" s="1" t="s">
        <v>2346</v>
      </c>
      <c r="V415" t="s">
        <v>194</v>
      </c>
      <c r="W415" t="s">
        <v>365</v>
      </c>
      <c r="X415" t="s">
        <v>161</v>
      </c>
      <c r="Y415" t="s">
        <v>2272</v>
      </c>
      <c r="Z415" t="s">
        <v>2272</v>
      </c>
      <c r="AA415" t="s">
        <v>2272</v>
      </c>
      <c r="AB415" t="s">
        <v>2272</v>
      </c>
      <c r="AC415" t="s">
        <v>162</v>
      </c>
      <c r="AD415" t="s">
        <v>2272</v>
      </c>
      <c r="AG415" t="s">
        <v>49</v>
      </c>
      <c r="AI415" t="s">
        <v>49</v>
      </c>
      <c r="AM415" t="s">
        <v>442</v>
      </c>
      <c r="AN415" t="s">
        <v>165</v>
      </c>
      <c r="AP415" t="s">
        <v>49</v>
      </c>
    </row>
    <row r="416" spans="1:43" x14ac:dyDescent="0.2">
      <c r="A416" t="s">
        <v>363</v>
      </c>
      <c r="B416" t="s">
        <v>364</v>
      </c>
      <c r="C416">
        <v>2022</v>
      </c>
      <c r="D416" t="s">
        <v>44</v>
      </c>
      <c r="E416" t="s">
        <v>49</v>
      </c>
      <c r="F416" t="s">
        <v>367</v>
      </c>
      <c r="G416" t="s">
        <v>90</v>
      </c>
      <c r="H416" t="s">
        <v>350</v>
      </c>
      <c r="I416" t="s">
        <v>114</v>
      </c>
      <c r="J416">
        <v>0.5</v>
      </c>
      <c r="K416" t="s">
        <v>102</v>
      </c>
      <c r="L416">
        <v>550</v>
      </c>
      <c r="M416">
        <v>0.25</v>
      </c>
      <c r="N416" t="s">
        <v>128</v>
      </c>
      <c r="O416" t="s">
        <v>351</v>
      </c>
      <c r="P416" t="s">
        <v>366</v>
      </c>
      <c r="Q416" s="1" t="s">
        <v>2276</v>
      </c>
      <c r="R416" s="1" t="s">
        <v>751</v>
      </c>
      <c r="S416" s="1" t="s">
        <v>2346</v>
      </c>
      <c r="T416" t="s">
        <v>396</v>
      </c>
      <c r="U416" s="1" t="s">
        <v>2352</v>
      </c>
      <c r="X416" t="s">
        <v>161</v>
      </c>
      <c r="Y416" t="s">
        <v>2272</v>
      </c>
      <c r="Z416" t="s">
        <v>2272</v>
      </c>
      <c r="AA416" t="s">
        <v>2272</v>
      </c>
      <c r="AB416" t="s">
        <v>2272</v>
      </c>
      <c r="AC416" t="s">
        <v>162</v>
      </c>
      <c r="AD416" t="s">
        <v>2272</v>
      </c>
      <c r="AG416" t="s">
        <v>49</v>
      </c>
      <c r="AI416" t="s">
        <v>49</v>
      </c>
      <c r="AM416" t="s">
        <v>442</v>
      </c>
      <c r="AN416" t="s">
        <v>165</v>
      </c>
      <c r="AP416" t="s">
        <v>49</v>
      </c>
    </row>
    <row r="417" spans="1:43" x14ac:dyDescent="0.2">
      <c r="A417" t="s">
        <v>363</v>
      </c>
      <c r="B417" t="s">
        <v>364</v>
      </c>
      <c r="C417">
        <v>2022</v>
      </c>
      <c r="D417" t="s">
        <v>44</v>
      </c>
      <c r="E417" t="s">
        <v>49</v>
      </c>
      <c r="F417" t="s">
        <v>367</v>
      </c>
      <c r="G417" t="s">
        <v>90</v>
      </c>
      <c r="H417" t="s">
        <v>350</v>
      </c>
      <c r="I417" t="s">
        <v>114</v>
      </c>
      <c r="J417">
        <v>0.5</v>
      </c>
      <c r="K417" t="s">
        <v>102</v>
      </c>
      <c r="L417">
        <v>550</v>
      </c>
      <c r="M417">
        <v>0.25</v>
      </c>
      <c r="N417" t="s">
        <v>128</v>
      </c>
      <c r="O417" t="s">
        <v>431</v>
      </c>
      <c r="P417" t="s">
        <v>365</v>
      </c>
      <c r="Q417" s="1" t="s">
        <v>2276</v>
      </c>
      <c r="R417" s="1" t="s">
        <v>755</v>
      </c>
      <c r="S417" s="1" t="s">
        <v>2352</v>
      </c>
      <c r="T417" t="s">
        <v>396</v>
      </c>
      <c r="U417" s="1" t="s">
        <v>2346</v>
      </c>
      <c r="V417" t="s">
        <v>194</v>
      </c>
      <c r="W417" t="s">
        <v>365</v>
      </c>
      <c r="X417" t="s">
        <v>161</v>
      </c>
      <c r="Y417" t="s">
        <v>2272</v>
      </c>
      <c r="Z417" t="s">
        <v>2272</v>
      </c>
      <c r="AA417" t="s">
        <v>2272</v>
      </c>
      <c r="AB417" t="s">
        <v>2272</v>
      </c>
      <c r="AC417" t="s">
        <v>162</v>
      </c>
      <c r="AD417" t="s">
        <v>2272</v>
      </c>
      <c r="AG417" t="s">
        <v>49</v>
      </c>
      <c r="AI417" t="s">
        <v>49</v>
      </c>
      <c r="AM417" t="s">
        <v>442</v>
      </c>
      <c r="AN417" t="s">
        <v>166</v>
      </c>
      <c r="AP417" t="s">
        <v>49</v>
      </c>
    </row>
    <row r="418" spans="1:43" x14ac:dyDescent="0.2">
      <c r="A418" t="s">
        <v>363</v>
      </c>
      <c r="B418" t="s">
        <v>364</v>
      </c>
      <c r="C418">
        <v>2022</v>
      </c>
      <c r="D418" t="s">
        <v>44</v>
      </c>
      <c r="E418" t="s">
        <v>49</v>
      </c>
      <c r="F418" t="s">
        <v>367</v>
      </c>
      <c r="G418" t="s">
        <v>90</v>
      </c>
      <c r="H418" t="s">
        <v>350</v>
      </c>
      <c r="I418" t="s">
        <v>114</v>
      </c>
      <c r="J418">
        <v>0.5</v>
      </c>
      <c r="K418" t="s">
        <v>102</v>
      </c>
      <c r="L418">
        <v>550</v>
      </c>
      <c r="M418">
        <v>0.25</v>
      </c>
      <c r="N418" t="s">
        <v>128</v>
      </c>
      <c r="O418" t="s">
        <v>351</v>
      </c>
      <c r="P418" t="s">
        <v>366</v>
      </c>
      <c r="Q418" s="1" t="s">
        <v>2276</v>
      </c>
      <c r="R418" s="1" t="s">
        <v>751</v>
      </c>
      <c r="S418" s="1" t="s">
        <v>2346</v>
      </c>
      <c r="T418" t="s">
        <v>396</v>
      </c>
      <c r="U418" s="1" t="s">
        <v>2352</v>
      </c>
      <c r="X418" t="s">
        <v>161</v>
      </c>
      <c r="Y418" t="s">
        <v>2272</v>
      </c>
      <c r="Z418" t="s">
        <v>2272</v>
      </c>
      <c r="AA418" t="s">
        <v>2272</v>
      </c>
      <c r="AB418" t="s">
        <v>2272</v>
      </c>
      <c r="AC418" t="s">
        <v>162</v>
      </c>
      <c r="AD418" t="s">
        <v>2272</v>
      </c>
      <c r="AG418" t="s">
        <v>49</v>
      </c>
      <c r="AI418" t="s">
        <v>49</v>
      </c>
      <c r="AM418" t="s">
        <v>442</v>
      </c>
      <c r="AN418" t="s">
        <v>166</v>
      </c>
      <c r="AP418" t="s">
        <v>49</v>
      </c>
    </row>
    <row r="419" spans="1:43" x14ac:dyDescent="0.2">
      <c r="A419" t="s">
        <v>363</v>
      </c>
      <c r="B419" t="s">
        <v>364</v>
      </c>
      <c r="C419">
        <v>2022</v>
      </c>
      <c r="D419" t="s">
        <v>44</v>
      </c>
      <c r="E419" t="s">
        <v>49</v>
      </c>
      <c r="F419" t="s">
        <v>367</v>
      </c>
      <c r="G419" t="s">
        <v>90</v>
      </c>
      <c r="H419" t="s">
        <v>350</v>
      </c>
      <c r="I419" t="s">
        <v>114</v>
      </c>
      <c r="J419">
        <v>0.5</v>
      </c>
      <c r="K419" t="s">
        <v>102</v>
      </c>
      <c r="L419">
        <v>550</v>
      </c>
      <c r="M419">
        <v>0.25</v>
      </c>
      <c r="N419" t="s">
        <v>128</v>
      </c>
      <c r="O419" t="s">
        <v>431</v>
      </c>
      <c r="P419" t="s">
        <v>365</v>
      </c>
      <c r="Q419" s="1" t="s">
        <v>2276</v>
      </c>
      <c r="R419" s="1" t="s">
        <v>755</v>
      </c>
      <c r="S419" s="1" t="s">
        <v>2352</v>
      </c>
      <c r="T419" t="s">
        <v>396</v>
      </c>
      <c r="U419" s="1" t="s">
        <v>2346</v>
      </c>
      <c r="V419" t="s">
        <v>194</v>
      </c>
      <c r="W419" t="s">
        <v>365</v>
      </c>
      <c r="X419" t="s">
        <v>161</v>
      </c>
      <c r="Y419" t="s">
        <v>2272</v>
      </c>
      <c r="Z419" t="s">
        <v>2272</v>
      </c>
      <c r="AA419" t="s">
        <v>2272</v>
      </c>
      <c r="AB419" t="s">
        <v>2272</v>
      </c>
      <c r="AC419" t="s">
        <v>162</v>
      </c>
      <c r="AD419" t="s">
        <v>2272</v>
      </c>
      <c r="AG419" t="s">
        <v>49</v>
      </c>
      <c r="AI419" t="s">
        <v>49</v>
      </c>
      <c r="AM419" t="s">
        <v>442</v>
      </c>
      <c r="AN419" t="s">
        <v>154</v>
      </c>
      <c r="AQ419" s="5">
        <v>0</v>
      </c>
    </row>
    <row r="420" spans="1:43" x14ac:dyDescent="0.2">
      <c r="A420" t="s">
        <v>363</v>
      </c>
      <c r="B420" t="s">
        <v>364</v>
      </c>
      <c r="C420">
        <v>2022</v>
      </c>
      <c r="D420" t="s">
        <v>44</v>
      </c>
      <c r="E420" t="s">
        <v>49</v>
      </c>
      <c r="F420" t="s">
        <v>367</v>
      </c>
      <c r="G420" t="s">
        <v>90</v>
      </c>
      <c r="H420" t="s">
        <v>350</v>
      </c>
      <c r="I420" t="s">
        <v>114</v>
      </c>
      <c r="J420">
        <v>0.5</v>
      </c>
      <c r="K420" t="s">
        <v>102</v>
      </c>
      <c r="L420">
        <v>550</v>
      </c>
      <c r="M420">
        <v>0.25</v>
      </c>
      <c r="N420" t="s">
        <v>128</v>
      </c>
      <c r="O420" t="s">
        <v>351</v>
      </c>
      <c r="P420" t="s">
        <v>366</v>
      </c>
      <c r="Q420" s="1" t="s">
        <v>2276</v>
      </c>
      <c r="R420" s="1" t="s">
        <v>751</v>
      </c>
      <c r="S420" s="1" t="s">
        <v>2346</v>
      </c>
      <c r="T420" t="s">
        <v>396</v>
      </c>
      <c r="U420" s="1" t="s">
        <v>2352</v>
      </c>
      <c r="X420" t="s">
        <v>161</v>
      </c>
      <c r="Y420" t="s">
        <v>2272</v>
      </c>
      <c r="Z420" t="s">
        <v>2272</v>
      </c>
      <c r="AA420" t="s">
        <v>2272</v>
      </c>
      <c r="AB420" t="s">
        <v>2272</v>
      </c>
      <c r="AC420" t="s">
        <v>162</v>
      </c>
      <c r="AD420" t="s">
        <v>2272</v>
      </c>
      <c r="AG420" t="s">
        <v>49</v>
      </c>
      <c r="AI420" t="s">
        <v>49</v>
      </c>
      <c r="AM420" t="s">
        <v>442</v>
      </c>
      <c r="AN420" t="s">
        <v>154</v>
      </c>
      <c r="AQ420" s="5">
        <v>0</v>
      </c>
    </row>
    <row r="421" spans="1:43" x14ac:dyDescent="0.2">
      <c r="A421" t="s">
        <v>369</v>
      </c>
      <c r="B421" t="s">
        <v>370</v>
      </c>
      <c r="C421">
        <v>2021</v>
      </c>
      <c r="D421" t="s">
        <v>44</v>
      </c>
      <c r="F421" t="s">
        <v>371</v>
      </c>
      <c r="G421" t="s">
        <v>88</v>
      </c>
      <c r="H421" t="s">
        <v>350</v>
      </c>
      <c r="I421" t="s">
        <v>106</v>
      </c>
      <c r="J421">
        <v>1</v>
      </c>
      <c r="K421" t="s">
        <v>42</v>
      </c>
      <c r="L421">
        <v>6.5</v>
      </c>
      <c r="M421">
        <f>0.25*0.25</f>
        <v>6.25E-2</v>
      </c>
      <c r="N421" t="s">
        <v>121</v>
      </c>
      <c r="O421" t="s">
        <v>121</v>
      </c>
      <c r="P421" t="s">
        <v>372</v>
      </c>
      <c r="Q421" s="1" t="s">
        <v>2292</v>
      </c>
      <c r="R421" s="1" t="s">
        <v>264</v>
      </c>
      <c r="S421" s="1" t="s">
        <v>264</v>
      </c>
      <c r="T421" t="s">
        <v>51</v>
      </c>
      <c r="V421" t="s">
        <v>194</v>
      </c>
      <c r="W421" t="s">
        <v>372</v>
      </c>
      <c r="X421" t="s">
        <v>211</v>
      </c>
      <c r="Y421" t="s">
        <v>2279</v>
      </c>
      <c r="Z421" t="s">
        <v>2280</v>
      </c>
      <c r="AA421" t="s">
        <v>2358</v>
      </c>
      <c r="AB421" t="s">
        <v>2290</v>
      </c>
      <c r="AC421" t="s">
        <v>152</v>
      </c>
      <c r="AD421" t="s">
        <v>2278</v>
      </c>
      <c r="AE421" t="s">
        <v>432</v>
      </c>
      <c r="AF421" t="s">
        <v>49</v>
      </c>
      <c r="AG421" t="s">
        <v>49</v>
      </c>
      <c r="AI421" t="s">
        <v>49</v>
      </c>
    </row>
    <row r="422" spans="1:43" x14ac:dyDescent="0.2">
      <c r="A422" t="s">
        <v>369</v>
      </c>
      <c r="B422" t="s">
        <v>370</v>
      </c>
      <c r="C422">
        <v>2021</v>
      </c>
      <c r="D422" t="s">
        <v>44</v>
      </c>
      <c r="F422" t="s">
        <v>371</v>
      </c>
      <c r="G422" t="s">
        <v>88</v>
      </c>
      <c r="H422" t="s">
        <v>350</v>
      </c>
      <c r="I422" t="s">
        <v>106</v>
      </c>
      <c r="J422">
        <v>1</v>
      </c>
      <c r="K422" t="s">
        <v>42</v>
      </c>
      <c r="L422">
        <v>6.5</v>
      </c>
      <c r="M422">
        <f>0.25*0.25</f>
        <v>6.25E-2</v>
      </c>
      <c r="N422" t="s">
        <v>121</v>
      </c>
      <c r="O422" t="s">
        <v>121</v>
      </c>
      <c r="P422" t="s">
        <v>373</v>
      </c>
      <c r="Q422" s="1" t="s">
        <v>2292</v>
      </c>
      <c r="R422" s="1" t="s">
        <v>264</v>
      </c>
      <c r="S422" s="1" t="s">
        <v>264</v>
      </c>
      <c r="T422" t="s">
        <v>51</v>
      </c>
      <c r="X422" t="s">
        <v>211</v>
      </c>
      <c r="Y422" t="s">
        <v>2279</v>
      </c>
      <c r="Z422" t="s">
        <v>2280</v>
      </c>
      <c r="AA422" t="s">
        <v>2358</v>
      </c>
      <c r="AB422" t="s">
        <v>2290</v>
      </c>
      <c r="AC422" t="s">
        <v>152</v>
      </c>
      <c r="AD422" t="s">
        <v>2278</v>
      </c>
      <c r="AE422" t="s">
        <v>432</v>
      </c>
      <c r="AF422" t="s">
        <v>49</v>
      </c>
      <c r="AG422" t="s">
        <v>49</v>
      </c>
      <c r="AI422" t="s">
        <v>49</v>
      </c>
    </row>
    <row r="423" spans="1:43" x14ac:dyDescent="0.2">
      <c r="A423" t="s">
        <v>369</v>
      </c>
      <c r="B423" t="s">
        <v>370</v>
      </c>
      <c r="C423">
        <v>2021</v>
      </c>
      <c r="D423" t="s">
        <v>44</v>
      </c>
      <c r="F423" t="s">
        <v>371</v>
      </c>
      <c r="G423" t="s">
        <v>88</v>
      </c>
      <c r="H423" t="s">
        <v>350</v>
      </c>
      <c r="I423" t="s">
        <v>106</v>
      </c>
      <c r="J423">
        <v>1</v>
      </c>
      <c r="K423" t="s">
        <v>42</v>
      </c>
      <c r="L423">
        <v>6.5</v>
      </c>
      <c r="M423">
        <f>0.25*0.25</f>
        <v>6.25E-2</v>
      </c>
      <c r="N423" t="s">
        <v>128</v>
      </c>
      <c r="O423" t="s">
        <v>433</v>
      </c>
      <c r="Q423" s="1" t="s">
        <v>2276</v>
      </c>
      <c r="R423" s="1" t="s">
        <v>2350</v>
      </c>
      <c r="S423" s="1" t="s">
        <v>2350</v>
      </c>
      <c r="T423" t="s">
        <v>51</v>
      </c>
      <c r="X423" t="s">
        <v>211</v>
      </c>
      <c r="Y423" t="s">
        <v>2279</v>
      </c>
      <c r="Z423" t="s">
        <v>2280</v>
      </c>
      <c r="AA423" t="s">
        <v>2358</v>
      </c>
      <c r="AB423" t="s">
        <v>2290</v>
      </c>
      <c r="AC423" t="s">
        <v>152</v>
      </c>
      <c r="AD423" t="s">
        <v>2278</v>
      </c>
      <c r="AE423" t="s">
        <v>432</v>
      </c>
      <c r="AF423" t="s">
        <v>49</v>
      </c>
      <c r="AG423" t="s">
        <v>49</v>
      </c>
      <c r="AI423" t="s">
        <v>49</v>
      </c>
    </row>
    <row r="424" spans="1:43" x14ac:dyDescent="0.2">
      <c r="A424" t="s">
        <v>369</v>
      </c>
      <c r="B424" t="s">
        <v>370</v>
      </c>
      <c r="C424">
        <v>2021</v>
      </c>
      <c r="D424" t="s">
        <v>44</v>
      </c>
      <c r="F424" t="s">
        <v>371</v>
      </c>
      <c r="G424" t="s">
        <v>88</v>
      </c>
      <c r="H424" t="s">
        <v>350</v>
      </c>
      <c r="I424">
        <v>2016</v>
      </c>
      <c r="J424">
        <v>0</v>
      </c>
      <c r="K424" t="s">
        <v>101</v>
      </c>
      <c r="M424">
        <f t="shared" ref="M424:M435" si="3">0.2*0.2</f>
        <v>4.0000000000000008E-2</v>
      </c>
      <c r="N424" t="s">
        <v>121</v>
      </c>
      <c r="O424" t="s">
        <v>121</v>
      </c>
      <c r="P424" t="s">
        <v>372</v>
      </c>
      <c r="Q424" s="1" t="s">
        <v>2292</v>
      </c>
      <c r="R424" s="1" t="s">
        <v>264</v>
      </c>
      <c r="S424" s="1" t="s">
        <v>264</v>
      </c>
      <c r="T424" t="s">
        <v>421</v>
      </c>
      <c r="U424" t="s">
        <v>421</v>
      </c>
      <c r="V424" t="s">
        <v>194</v>
      </c>
      <c r="W424" t="s">
        <v>372</v>
      </c>
      <c r="X424" t="s">
        <v>161</v>
      </c>
      <c r="Y424" t="s">
        <v>2272</v>
      </c>
      <c r="Z424" t="s">
        <v>2272</v>
      </c>
      <c r="AA424" t="s">
        <v>2272</v>
      </c>
      <c r="AB424" t="s">
        <v>2272</v>
      </c>
      <c r="AC424" t="s">
        <v>162</v>
      </c>
      <c r="AD424" t="s">
        <v>2272</v>
      </c>
      <c r="AF424" t="s">
        <v>49</v>
      </c>
      <c r="AG424" t="s">
        <v>49</v>
      </c>
      <c r="AI424" t="s">
        <v>49</v>
      </c>
      <c r="AM424" t="s">
        <v>192</v>
      </c>
      <c r="AN424" t="s">
        <v>166</v>
      </c>
      <c r="AQ424" s="5">
        <v>1</v>
      </c>
    </row>
    <row r="425" spans="1:43" x14ac:dyDescent="0.2">
      <c r="A425" t="s">
        <v>369</v>
      </c>
      <c r="B425" t="s">
        <v>370</v>
      </c>
      <c r="C425">
        <v>2021</v>
      </c>
      <c r="D425" t="s">
        <v>44</v>
      </c>
      <c r="F425" t="s">
        <v>371</v>
      </c>
      <c r="G425" t="s">
        <v>88</v>
      </c>
      <c r="H425" t="s">
        <v>350</v>
      </c>
      <c r="I425">
        <v>2016</v>
      </c>
      <c r="J425">
        <v>0</v>
      </c>
      <c r="K425" t="s">
        <v>101</v>
      </c>
      <c r="M425">
        <f t="shared" si="3"/>
        <v>4.0000000000000008E-2</v>
      </c>
      <c r="N425" t="s">
        <v>121</v>
      </c>
      <c r="O425" t="s">
        <v>121</v>
      </c>
      <c r="P425" t="s">
        <v>373</v>
      </c>
      <c r="Q425" s="1" t="s">
        <v>2292</v>
      </c>
      <c r="R425" s="1" t="s">
        <v>264</v>
      </c>
      <c r="S425" s="1" t="s">
        <v>264</v>
      </c>
      <c r="T425" t="s">
        <v>421</v>
      </c>
      <c r="U425" t="s">
        <v>421</v>
      </c>
      <c r="X425" t="s">
        <v>161</v>
      </c>
      <c r="Y425" t="s">
        <v>2272</v>
      </c>
      <c r="Z425" t="s">
        <v>2272</v>
      </c>
      <c r="AA425" t="s">
        <v>2272</v>
      </c>
      <c r="AB425" t="s">
        <v>2272</v>
      </c>
      <c r="AC425" t="s">
        <v>162</v>
      </c>
      <c r="AD425" t="s">
        <v>2272</v>
      </c>
      <c r="AF425" t="s">
        <v>49</v>
      </c>
      <c r="AG425" t="s">
        <v>49</v>
      </c>
      <c r="AI425" t="s">
        <v>49</v>
      </c>
      <c r="AM425" t="s">
        <v>192</v>
      </c>
      <c r="AN425" t="s">
        <v>166</v>
      </c>
      <c r="AQ425" s="5">
        <v>0</v>
      </c>
    </row>
    <row r="426" spans="1:43" x14ac:dyDescent="0.2">
      <c r="A426" t="s">
        <v>369</v>
      </c>
      <c r="B426" t="s">
        <v>370</v>
      </c>
      <c r="C426">
        <v>2021</v>
      </c>
      <c r="D426" t="s">
        <v>44</v>
      </c>
      <c r="F426" t="s">
        <v>371</v>
      </c>
      <c r="G426" t="s">
        <v>88</v>
      </c>
      <c r="H426" t="s">
        <v>350</v>
      </c>
      <c r="I426">
        <v>2016</v>
      </c>
      <c r="J426">
        <v>0</v>
      </c>
      <c r="K426" t="s">
        <v>101</v>
      </c>
      <c r="M426">
        <f t="shared" si="3"/>
        <v>4.0000000000000008E-2</v>
      </c>
      <c r="N426" t="s">
        <v>121</v>
      </c>
      <c r="O426" t="s">
        <v>121</v>
      </c>
      <c r="P426" t="s">
        <v>372</v>
      </c>
      <c r="Q426" s="1" t="s">
        <v>2292</v>
      </c>
      <c r="R426" s="1" t="s">
        <v>264</v>
      </c>
      <c r="S426" s="1" t="s">
        <v>264</v>
      </c>
      <c r="T426" t="s">
        <v>421</v>
      </c>
      <c r="U426" t="s">
        <v>421</v>
      </c>
      <c r="V426" t="s">
        <v>194</v>
      </c>
      <c r="W426" t="s">
        <v>372</v>
      </c>
      <c r="X426" t="s">
        <v>161</v>
      </c>
      <c r="Y426" t="s">
        <v>2272</v>
      </c>
      <c r="Z426" t="s">
        <v>2272</v>
      </c>
      <c r="AA426" t="s">
        <v>2272</v>
      </c>
      <c r="AB426" t="s">
        <v>2272</v>
      </c>
      <c r="AC426" t="s">
        <v>162</v>
      </c>
      <c r="AD426" t="s">
        <v>2272</v>
      </c>
      <c r="AF426" t="s">
        <v>49</v>
      </c>
      <c r="AG426" t="s">
        <v>49</v>
      </c>
      <c r="AI426" t="s">
        <v>49</v>
      </c>
      <c r="AM426" t="s">
        <v>192</v>
      </c>
      <c r="AN426" t="s">
        <v>154</v>
      </c>
      <c r="AQ426" s="5">
        <v>1</v>
      </c>
    </row>
    <row r="427" spans="1:43" x14ac:dyDescent="0.2">
      <c r="A427" t="s">
        <v>369</v>
      </c>
      <c r="B427" t="s">
        <v>370</v>
      </c>
      <c r="C427">
        <v>2021</v>
      </c>
      <c r="D427" t="s">
        <v>44</v>
      </c>
      <c r="F427" t="s">
        <v>371</v>
      </c>
      <c r="G427" t="s">
        <v>88</v>
      </c>
      <c r="H427" t="s">
        <v>350</v>
      </c>
      <c r="I427">
        <v>2016</v>
      </c>
      <c r="J427">
        <v>0</v>
      </c>
      <c r="K427" t="s">
        <v>101</v>
      </c>
      <c r="M427">
        <f t="shared" si="3"/>
        <v>4.0000000000000008E-2</v>
      </c>
      <c r="N427" t="s">
        <v>121</v>
      </c>
      <c r="O427" t="s">
        <v>121</v>
      </c>
      <c r="P427" t="s">
        <v>373</v>
      </c>
      <c r="Q427" s="1" t="s">
        <v>2292</v>
      </c>
      <c r="R427" s="1" t="s">
        <v>264</v>
      </c>
      <c r="S427" s="1" t="s">
        <v>264</v>
      </c>
      <c r="T427" t="s">
        <v>421</v>
      </c>
      <c r="U427" t="s">
        <v>421</v>
      </c>
      <c r="X427" t="s">
        <v>161</v>
      </c>
      <c r="Y427" t="s">
        <v>2272</v>
      </c>
      <c r="Z427" t="s">
        <v>2272</v>
      </c>
      <c r="AA427" t="s">
        <v>2272</v>
      </c>
      <c r="AB427" t="s">
        <v>2272</v>
      </c>
      <c r="AC427" t="s">
        <v>162</v>
      </c>
      <c r="AD427" t="s">
        <v>2272</v>
      </c>
      <c r="AF427" t="s">
        <v>49</v>
      </c>
      <c r="AG427" t="s">
        <v>49</v>
      </c>
      <c r="AI427" t="s">
        <v>49</v>
      </c>
      <c r="AM427" t="s">
        <v>192</v>
      </c>
      <c r="AN427" t="s">
        <v>154</v>
      </c>
      <c r="AQ427" s="5">
        <v>0</v>
      </c>
    </row>
    <row r="428" spans="1:43" x14ac:dyDescent="0.2">
      <c r="A428" t="s">
        <v>369</v>
      </c>
      <c r="B428" t="s">
        <v>370</v>
      </c>
      <c r="C428">
        <v>2021</v>
      </c>
      <c r="D428" t="s">
        <v>44</v>
      </c>
      <c r="F428" t="s">
        <v>371</v>
      </c>
      <c r="G428" t="s">
        <v>88</v>
      </c>
      <c r="H428" t="s">
        <v>350</v>
      </c>
      <c r="I428">
        <v>2016</v>
      </c>
      <c r="J428">
        <v>0</v>
      </c>
      <c r="K428" t="s">
        <v>101</v>
      </c>
      <c r="M428">
        <f t="shared" si="3"/>
        <v>4.0000000000000008E-2</v>
      </c>
      <c r="N428" t="s">
        <v>121</v>
      </c>
      <c r="O428" t="s">
        <v>121</v>
      </c>
      <c r="P428" t="s">
        <v>372</v>
      </c>
      <c r="Q428" s="1" t="s">
        <v>2292</v>
      </c>
      <c r="R428" s="1" t="s">
        <v>264</v>
      </c>
      <c r="S428" s="1" t="s">
        <v>264</v>
      </c>
      <c r="T428" t="s">
        <v>421</v>
      </c>
      <c r="U428" t="s">
        <v>421</v>
      </c>
      <c r="V428" t="s">
        <v>194</v>
      </c>
      <c r="W428" t="s">
        <v>372</v>
      </c>
      <c r="X428" t="s">
        <v>211</v>
      </c>
      <c r="Y428" t="s">
        <v>2279</v>
      </c>
      <c r="Z428" t="s">
        <v>2280</v>
      </c>
      <c r="AA428" t="s">
        <v>2358</v>
      </c>
      <c r="AB428" t="s">
        <v>2290</v>
      </c>
      <c r="AC428" t="s">
        <v>152</v>
      </c>
      <c r="AD428" t="s">
        <v>2278</v>
      </c>
      <c r="AE428" t="s">
        <v>432</v>
      </c>
      <c r="AF428" t="s">
        <v>49</v>
      </c>
      <c r="AG428" t="s">
        <v>49</v>
      </c>
      <c r="AI428" t="s">
        <v>49</v>
      </c>
      <c r="AM428" t="s">
        <v>192</v>
      </c>
      <c r="AN428" t="s">
        <v>165</v>
      </c>
      <c r="AP428" t="s">
        <v>49</v>
      </c>
    </row>
    <row r="429" spans="1:43" x14ac:dyDescent="0.2">
      <c r="A429" t="s">
        <v>369</v>
      </c>
      <c r="B429" t="s">
        <v>370</v>
      </c>
      <c r="C429">
        <v>2021</v>
      </c>
      <c r="D429" t="s">
        <v>44</v>
      </c>
      <c r="F429" t="s">
        <v>371</v>
      </c>
      <c r="G429" t="s">
        <v>88</v>
      </c>
      <c r="H429" t="s">
        <v>350</v>
      </c>
      <c r="I429">
        <v>2016</v>
      </c>
      <c r="J429">
        <v>0</v>
      </c>
      <c r="K429" t="s">
        <v>101</v>
      </c>
      <c r="M429">
        <f t="shared" si="3"/>
        <v>4.0000000000000008E-2</v>
      </c>
      <c r="N429" t="s">
        <v>121</v>
      </c>
      <c r="O429" t="s">
        <v>121</v>
      </c>
      <c r="P429" t="s">
        <v>373</v>
      </c>
      <c r="Q429" s="1" t="s">
        <v>2292</v>
      </c>
      <c r="R429" s="1" t="s">
        <v>264</v>
      </c>
      <c r="S429" s="1" t="s">
        <v>264</v>
      </c>
      <c r="T429" t="s">
        <v>421</v>
      </c>
      <c r="U429" t="s">
        <v>421</v>
      </c>
      <c r="X429" t="s">
        <v>211</v>
      </c>
      <c r="Y429" t="s">
        <v>2279</v>
      </c>
      <c r="Z429" t="s">
        <v>2280</v>
      </c>
      <c r="AA429" t="s">
        <v>2358</v>
      </c>
      <c r="AB429" t="s">
        <v>2290</v>
      </c>
      <c r="AC429" t="s">
        <v>152</v>
      </c>
      <c r="AD429" t="s">
        <v>2278</v>
      </c>
      <c r="AE429" t="s">
        <v>432</v>
      </c>
      <c r="AF429" t="s">
        <v>49</v>
      </c>
      <c r="AG429" t="s">
        <v>49</v>
      </c>
      <c r="AI429" t="s">
        <v>49</v>
      </c>
      <c r="AM429" t="s">
        <v>192</v>
      </c>
      <c r="AN429" t="s">
        <v>165</v>
      </c>
      <c r="AP429" t="s">
        <v>49</v>
      </c>
    </row>
    <row r="430" spans="1:43" x14ac:dyDescent="0.2">
      <c r="A430" t="s">
        <v>369</v>
      </c>
      <c r="B430" t="s">
        <v>370</v>
      </c>
      <c r="C430">
        <v>2021</v>
      </c>
      <c r="D430" t="s">
        <v>44</v>
      </c>
      <c r="F430" t="s">
        <v>371</v>
      </c>
      <c r="G430" t="s">
        <v>88</v>
      </c>
      <c r="H430" t="s">
        <v>350</v>
      </c>
      <c r="I430">
        <v>2016</v>
      </c>
      <c r="J430">
        <v>0</v>
      </c>
      <c r="K430" t="s">
        <v>101</v>
      </c>
      <c r="M430">
        <f t="shared" si="3"/>
        <v>4.0000000000000008E-2</v>
      </c>
      <c r="N430" t="s">
        <v>121</v>
      </c>
      <c r="O430" t="s">
        <v>121</v>
      </c>
      <c r="P430" t="s">
        <v>372</v>
      </c>
      <c r="Q430" s="1" t="s">
        <v>2292</v>
      </c>
      <c r="R430" s="1" t="s">
        <v>264</v>
      </c>
      <c r="S430" s="1" t="s">
        <v>264</v>
      </c>
      <c r="T430" t="s">
        <v>396</v>
      </c>
      <c r="U430" t="s">
        <v>264</v>
      </c>
      <c r="V430" t="s">
        <v>194</v>
      </c>
      <c r="W430" t="s">
        <v>372</v>
      </c>
      <c r="X430" t="s">
        <v>161</v>
      </c>
      <c r="Y430" t="s">
        <v>2272</v>
      </c>
      <c r="Z430" t="s">
        <v>2272</v>
      </c>
      <c r="AA430" t="s">
        <v>2272</v>
      </c>
      <c r="AB430" t="s">
        <v>2272</v>
      </c>
      <c r="AC430" t="s">
        <v>162</v>
      </c>
      <c r="AD430" t="s">
        <v>2272</v>
      </c>
      <c r="AF430" t="s">
        <v>49</v>
      </c>
      <c r="AG430" t="s">
        <v>49</v>
      </c>
      <c r="AI430" t="s">
        <v>49</v>
      </c>
      <c r="AM430" t="s">
        <v>192</v>
      </c>
      <c r="AN430" t="s">
        <v>166</v>
      </c>
      <c r="AQ430" s="5">
        <v>1</v>
      </c>
    </row>
    <row r="431" spans="1:43" x14ac:dyDescent="0.2">
      <c r="A431" t="s">
        <v>369</v>
      </c>
      <c r="B431" t="s">
        <v>370</v>
      </c>
      <c r="C431">
        <v>2021</v>
      </c>
      <c r="D431" t="s">
        <v>44</v>
      </c>
      <c r="F431" t="s">
        <v>371</v>
      </c>
      <c r="G431" t="s">
        <v>88</v>
      </c>
      <c r="H431" t="s">
        <v>350</v>
      </c>
      <c r="I431">
        <v>2016</v>
      </c>
      <c r="J431">
        <v>0</v>
      </c>
      <c r="K431" t="s">
        <v>101</v>
      </c>
      <c r="M431">
        <f t="shared" si="3"/>
        <v>4.0000000000000008E-2</v>
      </c>
      <c r="N431" t="s">
        <v>121</v>
      </c>
      <c r="O431" t="s">
        <v>121</v>
      </c>
      <c r="P431" t="s">
        <v>373</v>
      </c>
      <c r="Q431" s="1" t="s">
        <v>2292</v>
      </c>
      <c r="R431" s="1" t="s">
        <v>264</v>
      </c>
      <c r="S431" s="1" t="s">
        <v>264</v>
      </c>
      <c r="T431" t="s">
        <v>396</v>
      </c>
      <c r="U431" t="s">
        <v>264</v>
      </c>
      <c r="X431" t="s">
        <v>161</v>
      </c>
      <c r="Y431" t="s">
        <v>2272</v>
      </c>
      <c r="Z431" t="s">
        <v>2272</v>
      </c>
      <c r="AA431" t="s">
        <v>2272</v>
      </c>
      <c r="AB431" t="s">
        <v>2272</v>
      </c>
      <c r="AC431" t="s">
        <v>162</v>
      </c>
      <c r="AD431" t="s">
        <v>2272</v>
      </c>
      <c r="AF431" t="s">
        <v>49</v>
      </c>
      <c r="AG431" t="s">
        <v>49</v>
      </c>
      <c r="AI431" t="s">
        <v>49</v>
      </c>
      <c r="AM431" t="s">
        <v>192</v>
      </c>
      <c r="AN431" t="s">
        <v>166</v>
      </c>
      <c r="AQ431" s="5">
        <v>2</v>
      </c>
    </row>
    <row r="432" spans="1:43" x14ac:dyDescent="0.2">
      <c r="A432" t="s">
        <v>369</v>
      </c>
      <c r="B432" t="s">
        <v>370</v>
      </c>
      <c r="C432">
        <v>2021</v>
      </c>
      <c r="D432" t="s">
        <v>44</v>
      </c>
      <c r="F432" t="s">
        <v>371</v>
      </c>
      <c r="G432" t="s">
        <v>88</v>
      </c>
      <c r="H432" t="s">
        <v>350</v>
      </c>
      <c r="I432">
        <v>2016</v>
      </c>
      <c r="J432">
        <v>0</v>
      </c>
      <c r="K432" t="s">
        <v>101</v>
      </c>
      <c r="M432">
        <f t="shared" si="3"/>
        <v>4.0000000000000008E-2</v>
      </c>
      <c r="N432" t="s">
        <v>121</v>
      </c>
      <c r="O432" t="s">
        <v>121</v>
      </c>
      <c r="P432" t="s">
        <v>372</v>
      </c>
      <c r="Q432" s="1" t="s">
        <v>2292</v>
      </c>
      <c r="R432" s="1" t="s">
        <v>264</v>
      </c>
      <c r="S432" s="1" t="s">
        <v>264</v>
      </c>
      <c r="T432" t="s">
        <v>396</v>
      </c>
      <c r="U432" t="s">
        <v>264</v>
      </c>
      <c r="V432" t="s">
        <v>194</v>
      </c>
      <c r="W432" t="s">
        <v>372</v>
      </c>
      <c r="X432" t="s">
        <v>161</v>
      </c>
      <c r="Y432" t="s">
        <v>2272</v>
      </c>
      <c r="Z432" t="s">
        <v>2272</v>
      </c>
      <c r="AA432" t="s">
        <v>2272</v>
      </c>
      <c r="AB432" t="s">
        <v>2272</v>
      </c>
      <c r="AC432" t="s">
        <v>162</v>
      </c>
      <c r="AD432" t="s">
        <v>2272</v>
      </c>
      <c r="AF432" t="s">
        <v>49</v>
      </c>
      <c r="AG432" t="s">
        <v>49</v>
      </c>
      <c r="AI432" t="s">
        <v>49</v>
      </c>
      <c r="AM432" t="s">
        <v>192</v>
      </c>
      <c r="AN432" t="s">
        <v>154</v>
      </c>
      <c r="AQ432" s="5">
        <v>1</v>
      </c>
    </row>
    <row r="433" spans="1:45" x14ac:dyDescent="0.2">
      <c r="A433" t="s">
        <v>369</v>
      </c>
      <c r="B433" t="s">
        <v>370</v>
      </c>
      <c r="C433">
        <v>2021</v>
      </c>
      <c r="D433" t="s">
        <v>44</v>
      </c>
      <c r="F433" t="s">
        <v>371</v>
      </c>
      <c r="G433" t="s">
        <v>88</v>
      </c>
      <c r="H433" t="s">
        <v>350</v>
      </c>
      <c r="I433">
        <v>2016</v>
      </c>
      <c r="J433">
        <v>0</v>
      </c>
      <c r="K433" t="s">
        <v>101</v>
      </c>
      <c r="M433">
        <f t="shared" si="3"/>
        <v>4.0000000000000008E-2</v>
      </c>
      <c r="N433" t="s">
        <v>121</v>
      </c>
      <c r="O433" t="s">
        <v>121</v>
      </c>
      <c r="P433" t="s">
        <v>373</v>
      </c>
      <c r="Q433" s="1" t="s">
        <v>2292</v>
      </c>
      <c r="R433" s="1" t="s">
        <v>264</v>
      </c>
      <c r="S433" s="1" t="s">
        <v>264</v>
      </c>
      <c r="T433" t="s">
        <v>396</v>
      </c>
      <c r="U433" t="s">
        <v>264</v>
      </c>
      <c r="X433" t="s">
        <v>161</v>
      </c>
      <c r="Y433" t="s">
        <v>2272</v>
      </c>
      <c r="Z433" t="s">
        <v>2272</v>
      </c>
      <c r="AA433" t="s">
        <v>2272</v>
      </c>
      <c r="AB433" t="s">
        <v>2272</v>
      </c>
      <c r="AC433" t="s">
        <v>162</v>
      </c>
      <c r="AD433" t="s">
        <v>2272</v>
      </c>
      <c r="AF433" t="s">
        <v>49</v>
      </c>
      <c r="AG433" t="s">
        <v>49</v>
      </c>
      <c r="AI433" t="s">
        <v>49</v>
      </c>
      <c r="AM433" t="s">
        <v>192</v>
      </c>
      <c r="AN433" t="s">
        <v>154</v>
      </c>
      <c r="AQ433" s="5">
        <v>2</v>
      </c>
    </row>
    <row r="434" spans="1:45" x14ac:dyDescent="0.2">
      <c r="A434" t="s">
        <v>369</v>
      </c>
      <c r="B434" t="s">
        <v>370</v>
      </c>
      <c r="C434">
        <v>2021</v>
      </c>
      <c r="D434" t="s">
        <v>44</v>
      </c>
      <c r="F434" t="s">
        <v>371</v>
      </c>
      <c r="G434" t="s">
        <v>88</v>
      </c>
      <c r="H434" t="s">
        <v>350</v>
      </c>
      <c r="I434">
        <v>2016</v>
      </c>
      <c r="J434">
        <v>0</v>
      </c>
      <c r="K434" t="s">
        <v>101</v>
      </c>
      <c r="M434">
        <f t="shared" si="3"/>
        <v>4.0000000000000008E-2</v>
      </c>
      <c r="N434" t="s">
        <v>121</v>
      </c>
      <c r="O434" t="s">
        <v>121</v>
      </c>
      <c r="P434" t="s">
        <v>372</v>
      </c>
      <c r="Q434" s="1" t="s">
        <v>2292</v>
      </c>
      <c r="R434" s="1" t="s">
        <v>264</v>
      </c>
      <c r="S434" s="1" t="s">
        <v>264</v>
      </c>
      <c r="T434" t="s">
        <v>396</v>
      </c>
      <c r="V434" t="s">
        <v>194</v>
      </c>
      <c r="W434" t="s">
        <v>372</v>
      </c>
      <c r="X434" t="s">
        <v>211</v>
      </c>
      <c r="Y434" t="s">
        <v>2279</v>
      </c>
      <c r="Z434" t="s">
        <v>2280</v>
      </c>
      <c r="AA434" t="s">
        <v>2358</v>
      </c>
      <c r="AB434" t="s">
        <v>2290</v>
      </c>
      <c r="AC434" t="s">
        <v>152</v>
      </c>
      <c r="AD434" t="s">
        <v>2278</v>
      </c>
      <c r="AE434" t="s">
        <v>432</v>
      </c>
      <c r="AF434" t="s">
        <v>49</v>
      </c>
      <c r="AG434" t="s">
        <v>49</v>
      </c>
      <c r="AI434" t="s">
        <v>49</v>
      </c>
      <c r="AM434" t="s">
        <v>192</v>
      </c>
      <c r="AN434" t="s">
        <v>165</v>
      </c>
      <c r="AP434" t="s">
        <v>49</v>
      </c>
    </row>
    <row r="435" spans="1:45" x14ac:dyDescent="0.2">
      <c r="A435" t="s">
        <v>369</v>
      </c>
      <c r="B435" t="s">
        <v>370</v>
      </c>
      <c r="C435">
        <v>2021</v>
      </c>
      <c r="D435" t="s">
        <v>44</v>
      </c>
      <c r="F435" t="s">
        <v>371</v>
      </c>
      <c r="G435" t="s">
        <v>88</v>
      </c>
      <c r="H435" t="s">
        <v>350</v>
      </c>
      <c r="I435">
        <v>2016</v>
      </c>
      <c r="J435">
        <v>0</v>
      </c>
      <c r="K435" t="s">
        <v>101</v>
      </c>
      <c r="M435">
        <f t="shared" si="3"/>
        <v>4.0000000000000008E-2</v>
      </c>
      <c r="N435" t="s">
        <v>121</v>
      </c>
      <c r="O435" t="s">
        <v>121</v>
      </c>
      <c r="P435" t="s">
        <v>373</v>
      </c>
      <c r="Q435" s="1" t="s">
        <v>2292</v>
      </c>
      <c r="R435" s="1" t="s">
        <v>264</v>
      </c>
      <c r="S435" s="1" t="s">
        <v>264</v>
      </c>
      <c r="T435" t="s">
        <v>396</v>
      </c>
      <c r="X435" t="s">
        <v>211</v>
      </c>
      <c r="Y435" t="s">
        <v>2279</v>
      </c>
      <c r="Z435" t="s">
        <v>2280</v>
      </c>
      <c r="AA435" t="s">
        <v>2358</v>
      </c>
      <c r="AB435" t="s">
        <v>2290</v>
      </c>
      <c r="AC435" t="s">
        <v>152</v>
      </c>
      <c r="AD435" t="s">
        <v>2278</v>
      </c>
      <c r="AE435" t="s">
        <v>432</v>
      </c>
      <c r="AF435" t="s">
        <v>49</v>
      </c>
      <c r="AG435" t="s">
        <v>49</v>
      </c>
      <c r="AI435" t="s">
        <v>49</v>
      </c>
      <c r="AM435" t="s">
        <v>192</v>
      </c>
      <c r="AN435" t="s">
        <v>165</v>
      </c>
      <c r="AP435" t="s">
        <v>49</v>
      </c>
    </row>
    <row r="436" spans="1:45" x14ac:dyDescent="0.2">
      <c r="A436" s="1" t="s">
        <v>374</v>
      </c>
      <c r="B436" t="s">
        <v>375</v>
      </c>
      <c r="C436">
        <v>2021</v>
      </c>
      <c r="D436" t="s">
        <v>44</v>
      </c>
      <c r="E436" t="s">
        <v>49</v>
      </c>
      <c r="F436" t="s">
        <v>376</v>
      </c>
      <c r="G436" t="s">
        <v>86</v>
      </c>
      <c r="H436" t="s">
        <v>350</v>
      </c>
      <c r="I436">
        <v>2010</v>
      </c>
      <c r="J436">
        <v>0.17</v>
      </c>
      <c r="K436" t="s">
        <v>102</v>
      </c>
      <c r="M436">
        <v>7.9000000000000001E-2</v>
      </c>
      <c r="N436" t="s">
        <v>121</v>
      </c>
      <c r="O436" t="s">
        <v>121</v>
      </c>
      <c r="P436" t="s">
        <v>1504</v>
      </c>
      <c r="Q436" s="1" t="s">
        <v>2292</v>
      </c>
      <c r="R436" s="1" t="s">
        <v>264</v>
      </c>
      <c r="S436" s="1" t="s">
        <v>264</v>
      </c>
      <c r="T436" t="s">
        <v>421</v>
      </c>
      <c r="U436" t="s">
        <v>421</v>
      </c>
      <c r="X436" t="s">
        <v>161</v>
      </c>
      <c r="Y436" t="s">
        <v>2272</v>
      </c>
      <c r="Z436" t="s">
        <v>2272</v>
      </c>
      <c r="AA436" t="s">
        <v>2272</v>
      </c>
      <c r="AB436" t="s">
        <v>2272</v>
      </c>
      <c r="AC436" t="s">
        <v>162</v>
      </c>
      <c r="AD436" t="s">
        <v>2272</v>
      </c>
      <c r="AF436" t="s">
        <v>49</v>
      </c>
      <c r="AG436" t="s">
        <v>49</v>
      </c>
      <c r="AI436" t="s">
        <v>49</v>
      </c>
      <c r="AM436" t="s">
        <v>377</v>
      </c>
      <c r="AN436" t="s">
        <v>166</v>
      </c>
      <c r="AQ436" s="5">
        <v>1</v>
      </c>
    </row>
    <row r="437" spans="1:45" x14ac:dyDescent="0.2">
      <c r="A437" s="1" t="s">
        <v>374</v>
      </c>
      <c r="B437" t="s">
        <v>375</v>
      </c>
      <c r="C437">
        <v>2021</v>
      </c>
      <c r="D437" t="s">
        <v>44</v>
      </c>
      <c r="E437" t="s">
        <v>49</v>
      </c>
      <c r="F437" t="s">
        <v>376</v>
      </c>
      <c r="G437" t="s">
        <v>86</v>
      </c>
      <c r="H437" t="s">
        <v>350</v>
      </c>
      <c r="I437">
        <v>2010</v>
      </c>
      <c r="J437">
        <v>0.17</v>
      </c>
      <c r="K437" t="s">
        <v>102</v>
      </c>
      <c r="M437">
        <v>7.9000000000000001E-2</v>
      </c>
      <c r="N437" t="s">
        <v>121</v>
      </c>
      <c r="O437" t="s">
        <v>121</v>
      </c>
      <c r="P437" t="s">
        <v>1504</v>
      </c>
      <c r="Q437" s="1" t="s">
        <v>2292</v>
      </c>
      <c r="R437" s="1" t="s">
        <v>264</v>
      </c>
      <c r="S437" s="1" t="s">
        <v>264</v>
      </c>
      <c r="T437" t="s">
        <v>421</v>
      </c>
      <c r="U437" t="s">
        <v>421</v>
      </c>
      <c r="X437" t="s">
        <v>161</v>
      </c>
      <c r="Y437" t="s">
        <v>2272</v>
      </c>
      <c r="Z437" t="s">
        <v>2272</v>
      </c>
      <c r="AA437" t="s">
        <v>2272</v>
      </c>
      <c r="AB437" t="s">
        <v>2272</v>
      </c>
      <c r="AC437" t="s">
        <v>162</v>
      </c>
      <c r="AD437" t="s">
        <v>2272</v>
      </c>
      <c r="AF437" t="s">
        <v>49</v>
      </c>
      <c r="AG437" t="s">
        <v>49</v>
      </c>
      <c r="AI437" t="s">
        <v>49</v>
      </c>
      <c r="AM437" t="s">
        <v>377</v>
      </c>
      <c r="AN437" t="s">
        <v>154</v>
      </c>
      <c r="AQ437" s="5">
        <v>1</v>
      </c>
    </row>
    <row r="438" spans="1:45" x14ac:dyDescent="0.2">
      <c r="A438" s="1" t="s">
        <v>374</v>
      </c>
      <c r="B438" t="s">
        <v>375</v>
      </c>
      <c r="C438">
        <v>2021</v>
      </c>
      <c r="D438" t="s">
        <v>44</v>
      </c>
      <c r="E438" t="s">
        <v>49</v>
      </c>
      <c r="F438" t="s">
        <v>376</v>
      </c>
      <c r="G438" t="s">
        <v>86</v>
      </c>
      <c r="H438" t="s">
        <v>350</v>
      </c>
      <c r="I438">
        <v>2010</v>
      </c>
      <c r="J438">
        <v>0.17</v>
      </c>
      <c r="K438" t="s">
        <v>102</v>
      </c>
      <c r="M438">
        <v>7.9000000000000001E-2</v>
      </c>
      <c r="N438" t="s">
        <v>121</v>
      </c>
      <c r="O438" t="s">
        <v>121</v>
      </c>
      <c r="P438" t="s">
        <v>1504</v>
      </c>
      <c r="Q438" s="1" t="s">
        <v>2292</v>
      </c>
      <c r="R438" s="1" t="s">
        <v>264</v>
      </c>
      <c r="S438" s="1" t="s">
        <v>264</v>
      </c>
      <c r="T438" t="s">
        <v>421</v>
      </c>
      <c r="U438" t="s">
        <v>421</v>
      </c>
      <c r="X438" t="s">
        <v>161</v>
      </c>
      <c r="Y438" t="s">
        <v>2272</v>
      </c>
      <c r="Z438" t="s">
        <v>2272</v>
      </c>
      <c r="AA438" t="s">
        <v>2272</v>
      </c>
      <c r="AB438" t="s">
        <v>2272</v>
      </c>
      <c r="AC438" t="s">
        <v>162</v>
      </c>
      <c r="AD438" t="s">
        <v>2272</v>
      </c>
      <c r="AF438" t="s">
        <v>49</v>
      </c>
      <c r="AG438" t="s">
        <v>49</v>
      </c>
      <c r="AI438" t="s">
        <v>49</v>
      </c>
      <c r="AM438" t="s">
        <v>377</v>
      </c>
      <c r="AN438" t="s">
        <v>165</v>
      </c>
      <c r="AP438" t="s">
        <v>49</v>
      </c>
    </row>
    <row r="439" spans="1:45" x14ac:dyDescent="0.2">
      <c r="A439" s="1" t="s">
        <v>374</v>
      </c>
      <c r="B439" t="s">
        <v>375</v>
      </c>
      <c r="C439">
        <v>2021</v>
      </c>
      <c r="D439" t="s">
        <v>44</v>
      </c>
      <c r="E439" t="s">
        <v>49</v>
      </c>
      <c r="F439" t="s">
        <v>376</v>
      </c>
      <c r="G439" t="s">
        <v>86</v>
      </c>
      <c r="H439" t="s">
        <v>350</v>
      </c>
      <c r="I439">
        <v>2010</v>
      </c>
      <c r="J439">
        <v>0.17</v>
      </c>
      <c r="K439" t="s">
        <v>102</v>
      </c>
      <c r="M439">
        <v>7.9000000000000001E-2</v>
      </c>
      <c r="N439" t="s">
        <v>121</v>
      </c>
      <c r="O439" t="s">
        <v>121</v>
      </c>
      <c r="P439" t="s">
        <v>1504</v>
      </c>
      <c r="Q439" s="1" t="s">
        <v>2292</v>
      </c>
      <c r="R439" s="1" t="s">
        <v>264</v>
      </c>
      <c r="S439" s="1" t="s">
        <v>264</v>
      </c>
      <c r="T439" t="s">
        <v>421</v>
      </c>
      <c r="U439" t="s">
        <v>421</v>
      </c>
      <c r="X439" t="s">
        <v>161</v>
      </c>
      <c r="Y439" t="s">
        <v>2272</v>
      </c>
      <c r="Z439" t="s">
        <v>2272</v>
      </c>
      <c r="AA439" t="s">
        <v>2272</v>
      </c>
      <c r="AB439" t="s">
        <v>2272</v>
      </c>
      <c r="AC439" t="s">
        <v>162</v>
      </c>
      <c r="AD439" t="s">
        <v>2272</v>
      </c>
      <c r="AG439" t="s">
        <v>49</v>
      </c>
      <c r="AI439" t="s">
        <v>49</v>
      </c>
      <c r="AM439" t="s">
        <v>442</v>
      </c>
      <c r="AN439" t="s">
        <v>166</v>
      </c>
      <c r="AQ439" s="5">
        <v>1</v>
      </c>
    </row>
    <row r="440" spans="1:45" x14ac:dyDescent="0.2">
      <c r="A440" s="1" t="s">
        <v>374</v>
      </c>
      <c r="B440" t="s">
        <v>375</v>
      </c>
      <c r="C440">
        <v>2021</v>
      </c>
      <c r="D440" t="s">
        <v>44</v>
      </c>
      <c r="E440" t="s">
        <v>49</v>
      </c>
      <c r="F440" t="s">
        <v>376</v>
      </c>
      <c r="G440" t="s">
        <v>86</v>
      </c>
      <c r="H440" t="s">
        <v>350</v>
      </c>
      <c r="I440">
        <v>2010</v>
      </c>
      <c r="J440">
        <v>0.17</v>
      </c>
      <c r="K440" t="s">
        <v>102</v>
      </c>
      <c r="M440">
        <v>7.9000000000000001E-2</v>
      </c>
      <c r="N440" t="s">
        <v>121</v>
      </c>
      <c r="O440" t="s">
        <v>121</v>
      </c>
      <c r="P440" t="s">
        <v>1504</v>
      </c>
      <c r="Q440" s="1" t="s">
        <v>2292</v>
      </c>
      <c r="R440" s="1" t="s">
        <v>264</v>
      </c>
      <c r="S440" s="1" t="s">
        <v>264</v>
      </c>
      <c r="T440" t="s">
        <v>421</v>
      </c>
      <c r="U440" t="s">
        <v>421</v>
      </c>
      <c r="X440" t="s">
        <v>161</v>
      </c>
      <c r="Y440" t="s">
        <v>2272</v>
      </c>
      <c r="Z440" t="s">
        <v>2272</v>
      </c>
      <c r="AA440" t="s">
        <v>2272</v>
      </c>
      <c r="AB440" t="s">
        <v>2272</v>
      </c>
      <c r="AC440" t="s">
        <v>162</v>
      </c>
      <c r="AD440" t="s">
        <v>2272</v>
      </c>
      <c r="AG440" t="s">
        <v>49</v>
      </c>
      <c r="AI440" t="s">
        <v>49</v>
      </c>
      <c r="AM440" t="s">
        <v>442</v>
      </c>
      <c r="AN440" t="s">
        <v>154</v>
      </c>
      <c r="AQ440" s="5">
        <v>1</v>
      </c>
    </row>
    <row r="441" spans="1:45" x14ac:dyDescent="0.2">
      <c r="A441" s="1" t="s">
        <v>374</v>
      </c>
      <c r="B441" t="s">
        <v>375</v>
      </c>
      <c r="C441">
        <v>2021</v>
      </c>
      <c r="D441" t="s">
        <v>44</v>
      </c>
      <c r="E441" t="s">
        <v>49</v>
      </c>
      <c r="F441" t="s">
        <v>376</v>
      </c>
      <c r="G441" t="s">
        <v>86</v>
      </c>
      <c r="H441" t="s">
        <v>350</v>
      </c>
      <c r="I441">
        <v>2010</v>
      </c>
      <c r="J441">
        <v>0.17</v>
      </c>
      <c r="K441" t="s">
        <v>102</v>
      </c>
      <c r="M441">
        <v>7.9000000000000001E-2</v>
      </c>
      <c r="N441" t="s">
        <v>121</v>
      </c>
      <c r="O441" t="s">
        <v>121</v>
      </c>
      <c r="P441" t="s">
        <v>1504</v>
      </c>
      <c r="Q441" s="1" t="s">
        <v>2292</v>
      </c>
      <c r="R441" s="1" t="s">
        <v>264</v>
      </c>
      <c r="S441" s="1" t="s">
        <v>264</v>
      </c>
      <c r="T441" t="s">
        <v>421</v>
      </c>
      <c r="U441" t="s">
        <v>421</v>
      </c>
      <c r="X441" t="s">
        <v>161</v>
      </c>
      <c r="Y441" t="s">
        <v>2272</v>
      </c>
      <c r="Z441" t="s">
        <v>2272</v>
      </c>
      <c r="AA441" t="s">
        <v>2272</v>
      </c>
      <c r="AB441" t="s">
        <v>2272</v>
      </c>
      <c r="AC441" t="s">
        <v>162</v>
      </c>
      <c r="AD441" t="s">
        <v>2272</v>
      </c>
      <c r="AG441" t="s">
        <v>49</v>
      </c>
      <c r="AI441" t="s">
        <v>49</v>
      </c>
      <c r="AM441" t="s">
        <v>442</v>
      </c>
      <c r="AN441" t="s">
        <v>165</v>
      </c>
      <c r="AP441" t="s">
        <v>49</v>
      </c>
    </row>
    <row r="442" spans="1:45" x14ac:dyDescent="0.2">
      <c r="A442" t="s">
        <v>378</v>
      </c>
      <c r="B442" t="s">
        <v>187</v>
      </c>
      <c r="C442">
        <v>2021</v>
      </c>
      <c r="D442" t="s">
        <v>44</v>
      </c>
      <c r="E442" t="s">
        <v>49</v>
      </c>
      <c r="F442" t="s">
        <v>379</v>
      </c>
      <c r="G442" t="s">
        <v>85</v>
      </c>
      <c r="H442" t="s">
        <v>350</v>
      </c>
      <c r="I442" t="s">
        <v>380</v>
      </c>
      <c r="J442">
        <v>17</v>
      </c>
      <c r="K442" t="s">
        <v>42</v>
      </c>
      <c r="L442">
        <v>20</v>
      </c>
      <c r="N442" t="s">
        <v>120</v>
      </c>
      <c r="O442" t="s">
        <v>216</v>
      </c>
      <c r="Q442" s="1" t="s">
        <v>2276</v>
      </c>
      <c r="R442" s="1" t="s">
        <v>669</v>
      </c>
      <c r="S442" s="1" t="s">
        <v>168</v>
      </c>
      <c r="T442" t="s">
        <v>51</v>
      </c>
      <c r="X442" t="s">
        <v>161</v>
      </c>
      <c r="Y442" t="s">
        <v>2272</v>
      </c>
      <c r="Z442" t="s">
        <v>2272</v>
      </c>
      <c r="AA442" t="s">
        <v>2272</v>
      </c>
      <c r="AB442" t="s">
        <v>2272</v>
      </c>
      <c r="AC442" t="s">
        <v>162</v>
      </c>
      <c r="AD442" t="s">
        <v>2272</v>
      </c>
      <c r="AM442" t="s">
        <v>233</v>
      </c>
      <c r="AN442" t="s">
        <v>166</v>
      </c>
      <c r="AR442" t="s">
        <v>144</v>
      </c>
      <c r="AS442" t="s">
        <v>2583</v>
      </c>
    </row>
    <row r="443" spans="1:45" x14ac:dyDescent="0.2">
      <c r="A443" t="s">
        <v>381</v>
      </c>
      <c r="B443" t="s">
        <v>382</v>
      </c>
      <c r="C443">
        <v>2021</v>
      </c>
      <c r="D443" t="s">
        <v>44</v>
      </c>
      <c r="F443" t="s">
        <v>383</v>
      </c>
      <c r="G443" t="s">
        <v>86</v>
      </c>
      <c r="H443" t="s">
        <v>96</v>
      </c>
      <c r="I443">
        <v>2020</v>
      </c>
      <c r="J443">
        <v>0</v>
      </c>
      <c r="K443" t="s">
        <v>101</v>
      </c>
      <c r="L443">
        <f t="shared" ref="L443:L452" si="4">4*1.5</f>
        <v>6</v>
      </c>
      <c r="M443">
        <v>1</v>
      </c>
      <c r="N443" t="s">
        <v>120</v>
      </c>
      <c r="O443" t="s">
        <v>120</v>
      </c>
      <c r="P443" t="s">
        <v>320</v>
      </c>
      <c r="Q443" s="1" t="s">
        <v>2276</v>
      </c>
      <c r="R443" s="1" t="s">
        <v>669</v>
      </c>
      <c r="S443" s="1" t="s">
        <v>168</v>
      </c>
      <c r="T443" t="s">
        <v>51</v>
      </c>
      <c r="X443" t="s">
        <v>189</v>
      </c>
      <c r="Y443" t="s">
        <v>2279</v>
      </c>
      <c r="Z443" t="s">
        <v>2280</v>
      </c>
      <c r="AA443" t="s">
        <v>2358</v>
      </c>
      <c r="AB443" t="s">
        <v>189</v>
      </c>
      <c r="AC443" t="s">
        <v>152</v>
      </c>
      <c r="AD443" t="s">
        <v>2278</v>
      </c>
      <c r="AE443" t="s">
        <v>947</v>
      </c>
      <c r="AM443" t="s">
        <v>385</v>
      </c>
      <c r="AR443">
        <v>1</v>
      </c>
    </row>
    <row r="444" spans="1:45" x14ac:dyDescent="0.2">
      <c r="A444" t="s">
        <v>381</v>
      </c>
      <c r="B444" t="s">
        <v>382</v>
      </c>
      <c r="C444">
        <v>2021</v>
      </c>
      <c r="D444" t="s">
        <v>44</v>
      </c>
      <c r="F444" t="s">
        <v>383</v>
      </c>
      <c r="G444" t="s">
        <v>86</v>
      </c>
      <c r="H444" t="s">
        <v>96</v>
      </c>
      <c r="I444">
        <v>2020</v>
      </c>
      <c r="J444">
        <v>0</v>
      </c>
      <c r="K444" t="s">
        <v>101</v>
      </c>
      <c r="L444">
        <f t="shared" si="4"/>
        <v>6</v>
      </c>
      <c r="M444">
        <v>1</v>
      </c>
      <c r="N444" t="s">
        <v>120</v>
      </c>
      <c r="O444" t="s">
        <v>120</v>
      </c>
      <c r="P444" t="s">
        <v>320</v>
      </c>
      <c r="Q444" s="1" t="s">
        <v>2276</v>
      </c>
      <c r="R444" s="1" t="s">
        <v>669</v>
      </c>
      <c r="S444" s="1" t="s">
        <v>168</v>
      </c>
      <c r="T444" t="s">
        <v>51</v>
      </c>
      <c r="X444" t="s">
        <v>293</v>
      </c>
      <c r="Y444" t="s">
        <v>2273</v>
      </c>
      <c r="Z444" t="s">
        <v>249</v>
      </c>
      <c r="AA444" t="s">
        <v>2359</v>
      </c>
      <c r="AB444" t="s">
        <v>1419</v>
      </c>
      <c r="AC444" t="s">
        <v>152</v>
      </c>
      <c r="AD444" t="s">
        <v>137</v>
      </c>
      <c r="AE444" t="s">
        <v>2316</v>
      </c>
      <c r="AM444" t="s">
        <v>385</v>
      </c>
      <c r="AR444">
        <v>1</v>
      </c>
    </row>
    <row r="445" spans="1:45" x14ac:dyDescent="0.2">
      <c r="A445" t="s">
        <v>381</v>
      </c>
      <c r="B445" t="s">
        <v>382</v>
      </c>
      <c r="C445">
        <v>2021</v>
      </c>
      <c r="D445" t="s">
        <v>44</v>
      </c>
      <c r="F445" t="s">
        <v>383</v>
      </c>
      <c r="G445" t="s">
        <v>86</v>
      </c>
      <c r="H445" t="s">
        <v>96</v>
      </c>
      <c r="I445">
        <v>2020</v>
      </c>
      <c r="J445">
        <v>0</v>
      </c>
      <c r="K445" t="s">
        <v>101</v>
      </c>
      <c r="L445">
        <f t="shared" si="4"/>
        <v>6</v>
      </c>
      <c r="M445">
        <v>1</v>
      </c>
      <c r="N445" t="s">
        <v>120</v>
      </c>
      <c r="O445" t="s">
        <v>120</v>
      </c>
      <c r="P445" t="s">
        <v>320</v>
      </c>
      <c r="Q445" s="1" t="s">
        <v>2276</v>
      </c>
      <c r="R445" s="1" t="s">
        <v>669</v>
      </c>
      <c r="S445" s="1" t="s">
        <v>168</v>
      </c>
      <c r="T445" t="s">
        <v>51</v>
      </c>
      <c r="X445" t="s">
        <v>171</v>
      </c>
      <c r="Y445" t="s">
        <v>2273</v>
      </c>
      <c r="Z445" t="s">
        <v>249</v>
      </c>
      <c r="AA445" t="s">
        <v>2359</v>
      </c>
      <c r="AB445" t="s">
        <v>1979</v>
      </c>
      <c r="AC445" t="s">
        <v>152</v>
      </c>
      <c r="AD445" t="s">
        <v>137</v>
      </c>
      <c r="AE445" t="s">
        <v>2316</v>
      </c>
      <c r="AM445" t="s">
        <v>385</v>
      </c>
      <c r="AR445">
        <v>1</v>
      </c>
    </row>
    <row r="446" spans="1:45" x14ac:dyDescent="0.2">
      <c r="A446" t="s">
        <v>381</v>
      </c>
      <c r="B446" t="s">
        <v>382</v>
      </c>
      <c r="C446">
        <v>2021</v>
      </c>
      <c r="D446" t="s">
        <v>44</v>
      </c>
      <c r="F446" t="s">
        <v>383</v>
      </c>
      <c r="G446" t="s">
        <v>86</v>
      </c>
      <c r="H446" t="s">
        <v>96</v>
      </c>
      <c r="I446">
        <v>2020</v>
      </c>
      <c r="J446">
        <v>0</v>
      </c>
      <c r="K446" t="s">
        <v>101</v>
      </c>
      <c r="L446">
        <f t="shared" si="4"/>
        <v>6</v>
      </c>
      <c r="M446">
        <v>1</v>
      </c>
      <c r="N446" t="s">
        <v>120</v>
      </c>
      <c r="O446" t="s">
        <v>120</v>
      </c>
      <c r="P446" t="s">
        <v>320</v>
      </c>
      <c r="Q446" s="1" t="s">
        <v>2276</v>
      </c>
      <c r="R446" s="1" t="s">
        <v>669</v>
      </c>
      <c r="S446" s="1" t="s">
        <v>168</v>
      </c>
      <c r="T446" t="s">
        <v>51</v>
      </c>
      <c r="X446" t="s">
        <v>384</v>
      </c>
      <c r="Y446" t="s">
        <v>2273</v>
      </c>
      <c r="Z446" t="s">
        <v>249</v>
      </c>
      <c r="AA446" t="s">
        <v>2274</v>
      </c>
      <c r="AB446" t="s">
        <v>2298</v>
      </c>
      <c r="AC446" t="s">
        <v>315</v>
      </c>
      <c r="AD446" t="s">
        <v>2288</v>
      </c>
      <c r="AE446" t="s">
        <v>2316</v>
      </c>
      <c r="AF446" t="s">
        <v>49</v>
      </c>
      <c r="AI446" t="s">
        <v>49</v>
      </c>
      <c r="AM446" t="s">
        <v>385</v>
      </c>
      <c r="AN446" t="s">
        <v>166</v>
      </c>
      <c r="AP446" t="s">
        <v>51</v>
      </c>
      <c r="AR446">
        <v>1</v>
      </c>
    </row>
    <row r="447" spans="1:45" x14ac:dyDescent="0.2">
      <c r="A447" t="s">
        <v>381</v>
      </c>
      <c r="B447" t="s">
        <v>382</v>
      </c>
      <c r="C447">
        <v>2021</v>
      </c>
      <c r="D447" t="s">
        <v>44</v>
      </c>
      <c r="F447" t="s">
        <v>383</v>
      </c>
      <c r="G447" t="s">
        <v>86</v>
      </c>
      <c r="H447" t="s">
        <v>96</v>
      </c>
      <c r="I447">
        <v>2020</v>
      </c>
      <c r="J447">
        <v>0</v>
      </c>
      <c r="K447" t="s">
        <v>101</v>
      </c>
      <c r="L447">
        <f t="shared" si="4"/>
        <v>6</v>
      </c>
      <c r="M447">
        <v>1</v>
      </c>
      <c r="N447" t="s">
        <v>120</v>
      </c>
      <c r="O447" t="s">
        <v>120</v>
      </c>
      <c r="P447" t="s">
        <v>320</v>
      </c>
      <c r="Q447" s="1" t="s">
        <v>2276</v>
      </c>
      <c r="R447" s="1" t="s">
        <v>669</v>
      </c>
      <c r="S447" s="1" t="s">
        <v>168</v>
      </c>
      <c r="T447" t="s">
        <v>51</v>
      </c>
      <c r="X447" t="s">
        <v>384</v>
      </c>
      <c r="Y447" t="s">
        <v>2273</v>
      </c>
      <c r="Z447" t="s">
        <v>249</v>
      </c>
      <c r="AA447" t="s">
        <v>2274</v>
      </c>
      <c r="AB447" t="s">
        <v>2298</v>
      </c>
      <c r="AC447" t="s">
        <v>315</v>
      </c>
      <c r="AD447" t="s">
        <v>2288</v>
      </c>
      <c r="AE447" t="s">
        <v>2316</v>
      </c>
      <c r="AF447" t="s">
        <v>49</v>
      </c>
      <c r="AI447" t="s">
        <v>49</v>
      </c>
      <c r="AM447" t="s">
        <v>385</v>
      </c>
      <c r="AN447" t="s">
        <v>154</v>
      </c>
      <c r="AP447" t="s">
        <v>51</v>
      </c>
      <c r="AR447">
        <v>1</v>
      </c>
    </row>
    <row r="448" spans="1:45" x14ac:dyDescent="0.2">
      <c r="A448" t="s">
        <v>381</v>
      </c>
      <c r="B448" t="s">
        <v>382</v>
      </c>
      <c r="C448">
        <v>2021</v>
      </c>
      <c r="D448" t="s">
        <v>44</v>
      </c>
      <c r="F448" t="s">
        <v>383</v>
      </c>
      <c r="G448" t="s">
        <v>86</v>
      </c>
      <c r="H448" t="s">
        <v>96</v>
      </c>
      <c r="I448">
        <v>2020</v>
      </c>
      <c r="J448">
        <v>0</v>
      </c>
      <c r="K448" t="s">
        <v>101</v>
      </c>
      <c r="L448">
        <f t="shared" si="4"/>
        <v>6</v>
      </c>
      <c r="M448">
        <v>1</v>
      </c>
      <c r="N448" t="s">
        <v>120</v>
      </c>
      <c r="O448" t="s">
        <v>120</v>
      </c>
      <c r="P448" t="s">
        <v>320</v>
      </c>
      <c r="Q448" s="1" t="s">
        <v>2276</v>
      </c>
      <c r="R448" s="1" t="s">
        <v>669</v>
      </c>
      <c r="S448" s="1" t="s">
        <v>168</v>
      </c>
      <c r="T448" t="s">
        <v>51</v>
      </c>
      <c r="X448" t="s">
        <v>322</v>
      </c>
      <c r="Y448" t="s">
        <v>2273</v>
      </c>
      <c r="Z448" t="s">
        <v>249</v>
      </c>
      <c r="AA448" t="s">
        <v>2359</v>
      </c>
      <c r="AB448" t="s">
        <v>2285</v>
      </c>
      <c r="AC448" t="s">
        <v>315</v>
      </c>
      <c r="AD448" t="s">
        <v>2288</v>
      </c>
      <c r="AE448" t="s">
        <v>2316</v>
      </c>
      <c r="AF448" t="s">
        <v>49</v>
      </c>
      <c r="AI448" t="s">
        <v>49</v>
      </c>
      <c r="AM448" t="s">
        <v>385</v>
      </c>
      <c r="AN448" t="s">
        <v>166</v>
      </c>
      <c r="AP448" t="s">
        <v>157</v>
      </c>
      <c r="AR448">
        <v>1</v>
      </c>
    </row>
    <row r="449" spans="1:45" x14ac:dyDescent="0.2">
      <c r="A449" t="s">
        <v>381</v>
      </c>
      <c r="B449" t="s">
        <v>382</v>
      </c>
      <c r="C449">
        <v>2021</v>
      </c>
      <c r="D449" t="s">
        <v>44</v>
      </c>
      <c r="F449" t="s">
        <v>383</v>
      </c>
      <c r="G449" t="s">
        <v>86</v>
      </c>
      <c r="H449" t="s">
        <v>96</v>
      </c>
      <c r="I449">
        <v>2020</v>
      </c>
      <c r="J449">
        <v>0</v>
      </c>
      <c r="K449" t="s">
        <v>101</v>
      </c>
      <c r="L449">
        <f t="shared" si="4"/>
        <v>6</v>
      </c>
      <c r="M449">
        <v>1</v>
      </c>
      <c r="N449" t="s">
        <v>120</v>
      </c>
      <c r="O449" t="s">
        <v>120</v>
      </c>
      <c r="P449" t="s">
        <v>320</v>
      </c>
      <c r="Q449" s="1" t="s">
        <v>2276</v>
      </c>
      <c r="R449" s="1" t="s">
        <v>669</v>
      </c>
      <c r="S449" s="1" t="s">
        <v>168</v>
      </c>
      <c r="T449" t="s">
        <v>51</v>
      </c>
      <c r="X449" t="s">
        <v>322</v>
      </c>
      <c r="Y449" t="s">
        <v>2273</v>
      </c>
      <c r="Z449" t="s">
        <v>249</v>
      </c>
      <c r="AA449" t="s">
        <v>2359</v>
      </c>
      <c r="AB449" t="s">
        <v>2285</v>
      </c>
      <c r="AC449" t="s">
        <v>315</v>
      </c>
      <c r="AD449" t="s">
        <v>2288</v>
      </c>
      <c r="AE449" t="s">
        <v>2316</v>
      </c>
      <c r="AF449" t="s">
        <v>49</v>
      </c>
      <c r="AI449" t="s">
        <v>49</v>
      </c>
      <c r="AM449" t="s">
        <v>385</v>
      </c>
      <c r="AN449" t="s">
        <v>154</v>
      </c>
      <c r="AP449" t="s">
        <v>157</v>
      </c>
      <c r="AR449">
        <v>1</v>
      </c>
    </row>
    <row r="450" spans="1:45" x14ac:dyDescent="0.2">
      <c r="A450" t="s">
        <v>381</v>
      </c>
      <c r="B450" t="s">
        <v>382</v>
      </c>
      <c r="C450">
        <v>2021</v>
      </c>
      <c r="D450" t="s">
        <v>44</v>
      </c>
      <c r="F450" t="s">
        <v>383</v>
      </c>
      <c r="G450" t="s">
        <v>86</v>
      </c>
      <c r="H450" t="s">
        <v>96</v>
      </c>
      <c r="I450">
        <v>2020</v>
      </c>
      <c r="J450">
        <v>0</v>
      </c>
      <c r="K450" t="s">
        <v>101</v>
      </c>
      <c r="L450">
        <f t="shared" si="4"/>
        <v>6</v>
      </c>
      <c r="M450">
        <v>1</v>
      </c>
      <c r="N450" t="s">
        <v>120</v>
      </c>
      <c r="O450" t="s">
        <v>120</v>
      </c>
      <c r="P450" t="s">
        <v>320</v>
      </c>
      <c r="Q450" s="1" t="s">
        <v>2276</v>
      </c>
      <c r="R450" s="1" t="s">
        <v>669</v>
      </c>
      <c r="S450" s="1" t="s">
        <v>168</v>
      </c>
      <c r="T450" t="s">
        <v>51</v>
      </c>
      <c r="X450" t="s">
        <v>161</v>
      </c>
      <c r="Y450" t="s">
        <v>2272</v>
      </c>
      <c r="Z450" t="s">
        <v>2272</v>
      </c>
      <c r="AA450" t="s">
        <v>2272</v>
      </c>
      <c r="AB450" t="s">
        <v>2272</v>
      </c>
      <c r="AC450" t="s">
        <v>162</v>
      </c>
      <c r="AD450" t="s">
        <v>2272</v>
      </c>
      <c r="AF450" t="s">
        <v>49</v>
      </c>
      <c r="AI450" t="s">
        <v>49</v>
      </c>
      <c r="AM450" t="s">
        <v>385</v>
      </c>
      <c r="AN450" t="s">
        <v>166</v>
      </c>
      <c r="AR450">
        <v>1</v>
      </c>
    </row>
    <row r="451" spans="1:45" x14ac:dyDescent="0.2">
      <c r="A451" t="s">
        <v>381</v>
      </c>
      <c r="B451" t="s">
        <v>382</v>
      </c>
      <c r="C451">
        <v>2021</v>
      </c>
      <c r="D451" t="s">
        <v>44</v>
      </c>
      <c r="F451" t="s">
        <v>383</v>
      </c>
      <c r="G451" t="s">
        <v>86</v>
      </c>
      <c r="H451" t="s">
        <v>96</v>
      </c>
      <c r="I451">
        <v>2020</v>
      </c>
      <c r="J451">
        <v>0</v>
      </c>
      <c r="K451" t="s">
        <v>101</v>
      </c>
      <c r="L451">
        <f t="shared" si="4"/>
        <v>6</v>
      </c>
      <c r="M451">
        <v>1</v>
      </c>
      <c r="N451" t="s">
        <v>120</v>
      </c>
      <c r="O451" t="s">
        <v>120</v>
      </c>
      <c r="P451" t="s">
        <v>320</v>
      </c>
      <c r="Q451" s="1" t="s">
        <v>2276</v>
      </c>
      <c r="R451" s="1" t="s">
        <v>669</v>
      </c>
      <c r="S451" s="1" t="s">
        <v>168</v>
      </c>
      <c r="T451" t="s">
        <v>51</v>
      </c>
      <c r="X451" t="s">
        <v>161</v>
      </c>
      <c r="Y451" t="s">
        <v>2272</v>
      </c>
      <c r="Z451" t="s">
        <v>2272</v>
      </c>
      <c r="AA451" t="s">
        <v>2272</v>
      </c>
      <c r="AB451" t="s">
        <v>2272</v>
      </c>
      <c r="AC451" t="s">
        <v>162</v>
      </c>
      <c r="AD451" t="s">
        <v>2272</v>
      </c>
      <c r="AF451" t="s">
        <v>49</v>
      </c>
      <c r="AI451" t="s">
        <v>49</v>
      </c>
      <c r="AM451" t="s">
        <v>385</v>
      </c>
      <c r="AN451" t="s">
        <v>165</v>
      </c>
      <c r="AR451">
        <v>1</v>
      </c>
    </row>
    <row r="452" spans="1:45" x14ac:dyDescent="0.2">
      <c r="A452" t="s">
        <v>381</v>
      </c>
      <c r="B452" t="s">
        <v>382</v>
      </c>
      <c r="C452">
        <v>2021</v>
      </c>
      <c r="D452" t="s">
        <v>44</v>
      </c>
      <c r="F452" t="s">
        <v>383</v>
      </c>
      <c r="G452" t="s">
        <v>86</v>
      </c>
      <c r="H452" t="s">
        <v>96</v>
      </c>
      <c r="I452">
        <v>2020</v>
      </c>
      <c r="J452">
        <v>0</v>
      </c>
      <c r="K452" t="s">
        <v>101</v>
      </c>
      <c r="L452">
        <f t="shared" si="4"/>
        <v>6</v>
      </c>
      <c r="M452">
        <v>1</v>
      </c>
      <c r="N452" t="s">
        <v>120</v>
      </c>
      <c r="O452" t="s">
        <v>120</v>
      </c>
      <c r="P452" t="s">
        <v>320</v>
      </c>
      <c r="Q452" s="1" t="s">
        <v>2276</v>
      </c>
      <c r="R452" s="1" t="s">
        <v>669</v>
      </c>
      <c r="S452" s="1" t="s">
        <v>168</v>
      </c>
      <c r="T452" t="s">
        <v>51</v>
      </c>
      <c r="X452" t="s">
        <v>161</v>
      </c>
      <c r="Y452" t="s">
        <v>2272</v>
      </c>
      <c r="Z452" t="s">
        <v>2272</v>
      </c>
      <c r="AA452" t="s">
        <v>2272</v>
      </c>
      <c r="AB452" t="s">
        <v>2272</v>
      </c>
      <c r="AC452" t="s">
        <v>162</v>
      </c>
      <c r="AD452" t="s">
        <v>2272</v>
      </c>
      <c r="AF452" t="s">
        <v>49</v>
      </c>
      <c r="AI452" t="s">
        <v>49</v>
      </c>
      <c r="AM452" t="s">
        <v>385</v>
      </c>
      <c r="AN452" t="s">
        <v>154</v>
      </c>
      <c r="AR452">
        <v>1</v>
      </c>
    </row>
    <row r="453" spans="1:45" x14ac:dyDescent="0.2">
      <c r="A453" t="s">
        <v>386</v>
      </c>
      <c r="B453" t="s">
        <v>387</v>
      </c>
      <c r="C453">
        <v>2021</v>
      </c>
      <c r="D453" t="s">
        <v>46</v>
      </c>
      <c r="E453" t="s">
        <v>49</v>
      </c>
      <c r="F453" t="s">
        <v>57</v>
      </c>
      <c r="G453" t="s">
        <v>89</v>
      </c>
      <c r="H453" t="s">
        <v>96</v>
      </c>
      <c r="I453" t="s">
        <v>388</v>
      </c>
      <c r="L453">
        <v>25</v>
      </c>
      <c r="Q453" s="1" t="s">
        <v>2351</v>
      </c>
      <c r="R453" s="1" t="s">
        <v>2351</v>
      </c>
      <c r="S453" s="1" t="s">
        <v>2351</v>
      </c>
      <c r="Y453" t="s">
        <v>2272</v>
      </c>
      <c r="Z453" t="s">
        <v>2272</v>
      </c>
      <c r="AA453" t="s">
        <v>2272</v>
      </c>
      <c r="AB453" t="s">
        <v>2272</v>
      </c>
      <c r="AD453" t="s">
        <v>2272</v>
      </c>
      <c r="AR453" t="s">
        <v>144</v>
      </c>
      <c r="AS453" t="s">
        <v>2474</v>
      </c>
    </row>
    <row r="454" spans="1:45" x14ac:dyDescent="0.2">
      <c r="A454" t="s">
        <v>389</v>
      </c>
      <c r="B454" t="s">
        <v>390</v>
      </c>
      <c r="C454">
        <v>2021</v>
      </c>
      <c r="D454" t="s">
        <v>44</v>
      </c>
      <c r="F454" t="s">
        <v>53</v>
      </c>
      <c r="G454" t="s">
        <v>86</v>
      </c>
      <c r="H454" t="s">
        <v>350</v>
      </c>
      <c r="I454">
        <v>2019</v>
      </c>
      <c r="J454">
        <v>0.25</v>
      </c>
      <c r="L454">
        <v>6</v>
      </c>
      <c r="M454">
        <f>0.3*0.3</f>
        <v>0.09</v>
      </c>
      <c r="N454" t="s">
        <v>127</v>
      </c>
      <c r="O454" t="s">
        <v>392</v>
      </c>
      <c r="P454" t="s">
        <v>391</v>
      </c>
      <c r="Q454" s="1" t="s">
        <v>2276</v>
      </c>
      <c r="R454" s="1" t="s">
        <v>751</v>
      </c>
      <c r="S454" s="1" t="s">
        <v>2346</v>
      </c>
      <c r="X454" t="s">
        <v>189</v>
      </c>
      <c r="Y454" t="s">
        <v>2279</v>
      </c>
      <c r="Z454" t="s">
        <v>2280</v>
      </c>
      <c r="AA454" t="s">
        <v>2358</v>
      </c>
      <c r="AB454" t="s">
        <v>189</v>
      </c>
      <c r="AC454" t="s">
        <v>152</v>
      </c>
      <c r="AD454" t="s">
        <v>2278</v>
      </c>
      <c r="AF454" t="s">
        <v>49</v>
      </c>
      <c r="AK454" t="s">
        <v>49</v>
      </c>
      <c r="AM454" t="s">
        <v>395</v>
      </c>
    </row>
    <row r="455" spans="1:45" x14ac:dyDescent="0.2">
      <c r="A455" t="s">
        <v>389</v>
      </c>
      <c r="B455" t="s">
        <v>390</v>
      </c>
      <c r="C455">
        <v>2021</v>
      </c>
      <c r="D455" t="s">
        <v>44</v>
      </c>
      <c r="F455" t="s">
        <v>53</v>
      </c>
      <c r="G455" t="s">
        <v>86</v>
      </c>
      <c r="H455" t="s">
        <v>350</v>
      </c>
      <c r="I455">
        <v>2019</v>
      </c>
      <c r="J455">
        <v>0.25</v>
      </c>
      <c r="L455">
        <v>6</v>
      </c>
      <c r="M455">
        <f>0.4*0.4</f>
        <v>0.16000000000000003</v>
      </c>
      <c r="N455" t="s">
        <v>121</v>
      </c>
      <c r="O455" t="s">
        <v>264</v>
      </c>
      <c r="P455" t="s">
        <v>302</v>
      </c>
      <c r="Q455" s="1" t="s">
        <v>2292</v>
      </c>
      <c r="R455" s="1" t="s">
        <v>264</v>
      </c>
      <c r="S455" s="1" t="s">
        <v>264</v>
      </c>
      <c r="X455" t="s">
        <v>189</v>
      </c>
      <c r="Y455" t="s">
        <v>2279</v>
      </c>
      <c r="Z455" t="s">
        <v>2280</v>
      </c>
      <c r="AA455" t="s">
        <v>2358</v>
      </c>
      <c r="AB455" t="s">
        <v>189</v>
      </c>
      <c r="AC455" t="s">
        <v>152</v>
      </c>
      <c r="AD455" t="s">
        <v>2278</v>
      </c>
      <c r="AF455" t="s">
        <v>49</v>
      </c>
      <c r="AK455" t="s">
        <v>49</v>
      </c>
      <c r="AM455" t="s">
        <v>395</v>
      </c>
    </row>
    <row r="456" spans="1:45" x14ac:dyDescent="0.2">
      <c r="A456" t="s">
        <v>389</v>
      </c>
      <c r="B456" t="s">
        <v>390</v>
      </c>
      <c r="C456">
        <v>2021</v>
      </c>
      <c r="D456" t="s">
        <v>44</v>
      </c>
      <c r="F456" t="s">
        <v>53</v>
      </c>
      <c r="G456" t="s">
        <v>86</v>
      </c>
      <c r="H456" t="s">
        <v>350</v>
      </c>
      <c r="I456">
        <v>2019</v>
      </c>
      <c r="J456">
        <v>0.25</v>
      </c>
      <c r="L456">
        <v>6</v>
      </c>
      <c r="M456">
        <f>0.4*0.4</f>
        <v>0.16000000000000003</v>
      </c>
      <c r="N456" t="s">
        <v>121</v>
      </c>
      <c r="O456" t="s">
        <v>264</v>
      </c>
      <c r="P456" t="s">
        <v>302</v>
      </c>
      <c r="Q456" s="1" t="s">
        <v>2292</v>
      </c>
      <c r="R456" s="1" t="s">
        <v>264</v>
      </c>
      <c r="S456" s="1" t="s">
        <v>264</v>
      </c>
      <c r="X456" t="s">
        <v>393</v>
      </c>
      <c r="Y456" t="s">
        <v>2273</v>
      </c>
      <c r="Z456" t="s">
        <v>249</v>
      </c>
      <c r="AA456" t="s">
        <v>2274</v>
      </c>
      <c r="AB456" t="s">
        <v>2300</v>
      </c>
      <c r="AC456" t="s">
        <v>152</v>
      </c>
      <c r="AD456" t="s">
        <v>137</v>
      </c>
      <c r="AF456" t="s">
        <v>49</v>
      </c>
      <c r="AK456" t="s">
        <v>49</v>
      </c>
      <c r="AM456" t="s">
        <v>395</v>
      </c>
    </row>
    <row r="457" spans="1:45" x14ac:dyDescent="0.2">
      <c r="A457" t="s">
        <v>389</v>
      </c>
      <c r="B457" t="s">
        <v>390</v>
      </c>
      <c r="C457">
        <v>2021</v>
      </c>
      <c r="D457" t="s">
        <v>44</v>
      </c>
      <c r="F457" t="s">
        <v>53</v>
      </c>
      <c r="G457" t="s">
        <v>86</v>
      </c>
      <c r="H457" t="s">
        <v>350</v>
      </c>
      <c r="I457">
        <v>2019</v>
      </c>
      <c r="J457">
        <v>0.25</v>
      </c>
      <c r="L457">
        <v>6</v>
      </c>
      <c r="M457">
        <v>0.09</v>
      </c>
      <c r="N457" t="s">
        <v>121</v>
      </c>
      <c r="O457" t="s">
        <v>264</v>
      </c>
      <c r="P457" t="s">
        <v>302</v>
      </c>
      <c r="Q457" s="1" t="s">
        <v>2292</v>
      </c>
      <c r="R457" s="1" t="s">
        <v>264</v>
      </c>
      <c r="S457" s="1" t="s">
        <v>264</v>
      </c>
      <c r="X457" t="s">
        <v>394</v>
      </c>
      <c r="Y457" t="s">
        <v>2273</v>
      </c>
      <c r="Z457" t="s">
        <v>249</v>
      </c>
      <c r="AA457" t="s">
        <v>2359</v>
      </c>
      <c r="AB457" t="s">
        <v>2289</v>
      </c>
      <c r="AC457" t="s">
        <v>152</v>
      </c>
      <c r="AD457" t="s">
        <v>2288</v>
      </c>
      <c r="AF457" t="s">
        <v>49</v>
      </c>
      <c r="AK457" t="s">
        <v>49</v>
      </c>
      <c r="AM457" t="s">
        <v>395</v>
      </c>
    </row>
    <row r="458" spans="1:45" x14ac:dyDescent="0.2">
      <c r="A458" t="s">
        <v>389</v>
      </c>
      <c r="B458" t="s">
        <v>390</v>
      </c>
      <c r="C458">
        <v>2021</v>
      </c>
      <c r="D458" t="s">
        <v>44</v>
      </c>
      <c r="F458" t="s">
        <v>53</v>
      </c>
      <c r="G458" t="s">
        <v>86</v>
      </c>
      <c r="H458" t="s">
        <v>350</v>
      </c>
      <c r="I458">
        <v>2019</v>
      </c>
      <c r="J458">
        <v>0.25</v>
      </c>
      <c r="L458">
        <v>6</v>
      </c>
      <c r="M458">
        <v>0.09</v>
      </c>
      <c r="N458" t="s">
        <v>121</v>
      </c>
      <c r="O458" t="s">
        <v>264</v>
      </c>
      <c r="P458" t="s">
        <v>302</v>
      </c>
      <c r="Q458" s="1" t="s">
        <v>2292</v>
      </c>
      <c r="R458" s="1" t="s">
        <v>264</v>
      </c>
      <c r="S458" s="1" t="s">
        <v>264</v>
      </c>
      <c r="X458" t="s">
        <v>171</v>
      </c>
      <c r="Y458" t="s">
        <v>2273</v>
      </c>
      <c r="Z458" t="s">
        <v>249</v>
      </c>
      <c r="AA458" t="s">
        <v>2359</v>
      </c>
      <c r="AB458" t="s">
        <v>1979</v>
      </c>
      <c r="AC458" t="s">
        <v>152</v>
      </c>
      <c r="AD458" t="s">
        <v>137</v>
      </c>
      <c r="AF458" t="s">
        <v>49</v>
      </c>
      <c r="AK458" t="s">
        <v>49</v>
      </c>
      <c r="AM458" t="s">
        <v>395</v>
      </c>
    </row>
    <row r="459" spans="1:45" x14ac:dyDescent="0.2">
      <c r="A459" t="s">
        <v>389</v>
      </c>
      <c r="B459" t="s">
        <v>390</v>
      </c>
      <c r="C459">
        <v>2021</v>
      </c>
      <c r="D459" t="s">
        <v>44</v>
      </c>
      <c r="F459" t="s">
        <v>53</v>
      </c>
      <c r="G459" t="s">
        <v>86</v>
      </c>
      <c r="H459" t="s">
        <v>350</v>
      </c>
      <c r="I459">
        <v>2019</v>
      </c>
      <c r="J459">
        <v>0.25</v>
      </c>
      <c r="L459">
        <v>6</v>
      </c>
      <c r="M459">
        <f>0.3*0.3</f>
        <v>0.09</v>
      </c>
      <c r="N459" t="s">
        <v>127</v>
      </c>
      <c r="O459" t="s">
        <v>392</v>
      </c>
      <c r="P459" t="s">
        <v>391</v>
      </c>
      <c r="Q459" s="1" t="s">
        <v>2276</v>
      </c>
      <c r="R459" s="1" t="s">
        <v>751</v>
      </c>
      <c r="S459" s="1" t="s">
        <v>2346</v>
      </c>
      <c r="X459" t="s">
        <v>171</v>
      </c>
      <c r="Y459" t="s">
        <v>2273</v>
      </c>
      <c r="Z459" t="s">
        <v>249</v>
      </c>
      <c r="AA459" t="s">
        <v>2359</v>
      </c>
      <c r="AB459" t="s">
        <v>1979</v>
      </c>
      <c r="AC459" t="s">
        <v>152</v>
      </c>
      <c r="AD459" t="s">
        <v>137</v>
      </c>
      <c r="AF459" t="s">
        <v>49</v>
      </c>
      <c r="AK459" t="s">
        <v>49</v>
      </c>
      <c r="AM459" t="s">
        <v>395</v>
      </c>
    </row>
    <row r="460" spans="1:45" x14ac:dyDescent="0.2">
      <c r="A460" t="s">
        <v>389</v>
      </c>
      <c r="B460" t="s">
        <v>390</v>
      </c>
      <c r="C460">
        <v>2021</v>
      </c>
      <c r="D460" t="s">
        <v>44</v>
      </c>
      <c r="F460" t="s">
        <v>53</v>
      </c>
      <c r="G460" t="s">
        <v>86</v>
      </c>
      <c r="H460" t="s">
        <v>350</v>
      </c>
      <c r="I460">
        <v>2019</v>
      </c>
      <c r="J460">
        <v>0.25</v>
      </c>
      <c r="L460">
        <v>6</v>
      </c>
      <c r="M460">
        <f>0.3*0.3</f>
        <v>0.09</v>
      </c>
      <c r="N460" t="s">
        <v>127</v>
      </c>
      <c r="O460" t="s">
        <v>392</v>
      </c>
      <c r="P460" t="s">
        <v>391</v>
      </c>
      <c r="Q460" s="1" t="s">
        <v>2276</v>
      </c>
      <c r="R460" s="1" t="s">
        <v>751</v>
      </c>
      <c r="S460" s="1" t="s">
        <v>2346</v>
      </c>
      <c r="T460" t="s">
        <v>396</v>
      </c>
      <c r="U460" t="s">
        <v>264</v>
      </c>
      <c r="X460" t="s">
        <v>161</v>
      </c>
      <c r="Y460" t="s">
        <v>2272</v>
      </c>
      <c r="Z460" t="s">
        <v>2272</v>
      </c>
      <c r="AA460" t="s">
        <v>2272</v>
      </c>
      <c r="AB460" t="s">
        <v>2272</v>
      </c>
      <c r="AC460" t="s">
        <v>162</v>
      </c>
      <c r="AD460" t="s">
        <v>2272</v>
      </c>
      <c r="AF460" t="s">
        <v>49</v>
      </c>
      <c r="AK460" t="s">
        <v>49</v>
      </c>
      <c r="AM460" t="s">
        <v>395</v>
      </c>
      <c r="AN460" t="s">
        <v>166</v>
      </c>
      <c r="AQ460" s="5">
        <v>1</v>
      </c>
    </row>
    <row r="461" spans="1:45" x14ac:dyDescent="0.2">
      <c r="A461" t="s">
        <v>389</v>
      </c>
      <c r="B461" t="s">
        <v>390</v>
      </c>
      <c r="C461">
        <v>2021</v>
      </c>
      <c r="D461" t="s">
        <v>44</v>
      </c>
      <c r="F461" t="s">
        <v>53</v>
      </c>
      <c r="G461" t="s">
        <v>86</v>
      </c>
      <c r="H461" t="s">
        <v>350</v>
      </c>
      <c r="I461">
        <v>2019</v>
      </c>
      <c r="J461">
        <v>0.25</v>
      </c>
      <c r="L461">
        <v>6</v>
      </c>
      <c r="M461">
        <v>0.09</v>
      </c>
      <c r="N461" t="s">
        <v>121</v>
      </c>
      <c r="O461" t="s">
        <v>264</v>
      </c>
      <c r="P461" t="s">
        <v>302</v>
      </c>
      <c r="Q461" s="1" t="s">
        <v>2292</v>
      </c>
      <c r="R461" s="1" t="s">
        <v>264</v>
      </c>
      <c r="S461" s="1" t="s">
        <v>264</v>
      </c>
      <c r="T461" t="s">
        <v>396</v>
      </c>
      <c r="U461" s="1" t="s">
        <v>2346</v>
      </c>
      <c r="X461" t="s">
        <v>161</v>
      </c>
      <c r="Y461" t="s">
        <v>2272</v>
      </c>
      <c r="Z461" t="s">
        <v>2272</v>
      </c>
      <c r="AA461" t="s">
        <v>2272</v>
      </c>
      <c r="AB461" t="s">
        <v>2272</v>
      </c>
      <c r="AC461" t="s">
        <v>162</v>
      </c>
      <c r="AD461" t="s">
        <v>2272</v>
      </c>
      <c r="AF461" t="s">
        <v>49</v>
      </c>
      <c r="AK461" t="s">
        <v>49</v>
      </c>
      <c r="AM461" t="s">
        <v>395</v>
      </c>
      <c r="AN461" t="s">
        <v>166</v>
      </c>
      <c r="AQ461" s="5">
        <v>2</v>
      </c>
    </row>
    <row r="462" spans="1:45" x14ac:dyDescent="0.2">
      <c r="A462" t="s">
        <v>389</v>
      </c>
      <c r="B462" t="s">
        <v>390</v>
      </c>
      <c r="C462">
        <v>2021</v>
      </c>
      <c r="D462" t="s">
        <v>44</v>
      </c>
      <c r="F462" t="s">
        <v>53</v>
      </c>
      <c r="G462" t="s">
        <v>86</v>
      </c>
      <c r="H462" t="s">
        <v>350</v>
      </c>
      <c r="I462">
        <v>2019</v>
      </c>
      <c r="J462">
        <v>0.25</v>
      </c>
      <c r="L462">
        <v>6</v>
      </c>
      <c r="M462">
        <f>0.3*0.3</f>
        <v>0.09</v>
      </c>
      <c r="N462" t="s">
        <v>127</v>
      </c>
      <c r="O462" t="s">
        <v>392</v>
      </c>
      <c r="P462" t="s">
        <v>391</v>
      </c>
      <c r="Q462" s="1" t="s">
        <v>2276</v>
      </c>
      <c r="R462" s="1" t="s">
        <v>751</v>
      </c>
      <c r="S462" s="1" t="s">
        <v>2346</v>
      </c>
      <c r="T462" t="s">
        <v>396</v>
      </c>
      <c r="U462" t="s">
        <v>264</v>
      </c>
      <c r="X462" t="s">
        <v>161</v>
      </c>
      <c r="Y462" t="s">
        <v>2272</v>
      </c>
      <c r="Z462" t="s">
        <v>2272</v>
      </c>
      <c r="AA462" t="s">
        <v>2272</v>
      </c>
      <c r="AB462" t="s">
        <v>2272</v>
      </c>
      <c r="AC462" t="s">
        <v>162</v>
      </c>
      <c r="AD462" t="s">
        <v>2272</v>
      </c>
      <c r="AF462" t="s">
        <v>49</v>
      </c>
      <c r="AK462" t="s">
        <v>49</v>
      </c>
      <c r="AM462" t="s">
        <v>395</v>
      </c>
      <c r="AN462" t="s">
        <v>154</v>
      </c>
      <c r="AQ462" s="5">
        <v>1</v>
      </c>
    </row>
    <row r="463" spans="1:45" x14ac:dyDescent="0.2">
      <c r="A463" t="s">
        <v>389</v>
      </c>
      <c r="B463" t="s">
        <v>390</v>
      </c>
      <c r="C463">
        <v>2021</v>
      </c>
      <c r="D463" t="s">
        <v>44</v>
      </c>
      <c r="F463" t="s">
        <v>53</v>
      </c>
      <c r="G463" t="s">
        <v>86</v>
      </c>
      <c r="H463" t="s">
        <v>350</v>
      </c>
      <c r="I463">
        <v>2019</v>
      </c>
      <c r="J463">
        <v>0.25</v>
      </c>
      <c r="L463">
        <v>6</v>
      </c>
      <c r="M463">
        <v>0.09</v>
      </c>
      <c r="N463" t="s">
        <v>121</v>
      </c>
      <c r="O463" t="s">
        <v>264</v>
      </c>
      <c r="P463" t="s">
        <v>302</v>
      </c>
      <c r="Q463" s="1" t="s">
        <v>2292</v>
      </c>
      <c r="R463" s="1" t="s">
        <v>264</v>
      </c>
      <c r="S463" s="1" t="s">
        <v>264</v>
      </c>
      <c r="T463" t="s">
        <v>396</v>
      </c>
      <c r="U463" s="1" t="s">
        <v>2346</v>
      </c>
      <c r="X463" t="s">
        <v>161</v>
      </c>
      <c r="Y463" t="s">
        <v>2272</v>
      </c>
      <c r="Z463" t="s">
        <v>2272</v>
      </c>
      <c r="AA463" t="s">
        <v>2272</v>
      </c>
      <c r="AB463" t="s">
        <v>2272</v>
      </c>
      <c r="AC463" t="s">
        <v>162</v>
      </c>
      <c r="AD463" t="s">
        <v>2272</v>
      </c>
      <c r="AF463" t="s">
        <v>49</v>
      </c>
      <c r="AK463" t="s">
        <v>49</v>
      </c>
      <c r="AM463" t="s">
        <v>395</v>
      </c>
      <c r="AN463" t="s">
        <v>154</v>
      </c>
      <c r="AQ463" s="5">
        <v>2</v>
      </c>
    </row>
    <row r="464" spans="1:45" x14ac:dyDescent="0.2">
      <c r="A464" t="s">
        <v>389</v>
      </c>
      <c r="B464" t="s">
        <v>390</v>
      </c>
      <c r="C464">
        <v>2021</v>
      </c>
      <c r="D464" t="s">
        <v>44</v>
      </c>
      <c r="F464" t="s">
        <v>53</v>
      </c>
      <c r="G464" t="s">
        <v>86</v>
      </c>
      <c r="H464" t="s">
        <v>350</v>
      </c>
      <c r="I464">
        <v>2019</v>
      </c>
      <c r="J464">
        <v>0.25</v>
      </c>
      <c r="L464">
        <v>6</v>
      </c>
      <c r="M464">
        <f>0.3*0.3</f>
        <v>0.09</v>
      </c>
      <c r="N464" t="s">
        <v>127</v>
      </c>
      <c r="O464" t="s">
        <v>392</v>
      </c>
      <c r="P464" t="s">
        <v>391</v>
      </c>
      <c r="Q464" s="1" t="s">
        <v>2276</v>
      </c>
      <c r="R464" s="1" t="s">
        <v>751</v>
      </c>
      <c r="S464" s="1" t="s">
        <v>2346</v>
      </c>
      <c r="T464" t="s">
        <v>396</v>
      </c>
      <c r="U464" t="s">
        <v>264</v>
      </c>
      <c r="X464" t="s">
        <v>161</v>
      </c>
      <c r="Y464" t="s">
        <v>2272</v>
      </c>
      <c r="Z464" t="s">
        <v>2272</v>
      </c>
      <c r="AA464" t="s">
        <v>2272</v>
      </c>
      <c r="AB464" t="s">
        <v>2272</v>
      </c>
      <c r="AC464" t="s">
        <v>162</v>
      </c>
      <c r="AD464" t="s">
        <v>2272</v>
      </c>
      <c r="AF464" t="s">
        <v>49</v>
      </c>
      <c r="AK464" t="s">
        <v>49</v>
      </c>
      <c r="AM464" t="s">
        <v>395</v>
      </c>
      <c r="AN464" t="s">
        <v>165</v>
      </c>
      <c r="AP464" t="s">
        <v>49</v>
      </c>
    </row>
    <row r="465" spans="1:43" x14ac:dyDescent="0.2">
      <c r="A465" t="s">
        <v>389</v>
      </c>
      <c r="B465" t="s">
        <v>390</v>
      </c>
      <c r="C465">
        <v>2021</v>
      </c>
      <c r="D465" t="s">
        <v>44</v>
      </c>
      <c r="F465" t="s">
        <v>53</v>
      </c>
      <c r="G465" t="s">
        <v>86</v>
      </c>
      <c r="H465" t="s">
        <v>350</v>
      </c>
      <c r="I465">
        <v>2019</v>
      </c>
      <c r="J465">
        <v>0.25</v>
      </c>
      <c r="L465">
        <v>6</v>
      </c>
      <c r="M465">
        <v>0.09</v>
      </c>
      <c r="N465" t="s">
        <v>121</v>
      </c>
      <c r="O465" t="s">
        <v>264</v>
      </c>
      <c r="P465" t="s">
        <v>302</v>
      </c>
      <c r="Q465" s="1" t="s">
        <v>2292</v>
      </c>
      <c r="R465" s="1" t="s">
        <v>264</v>
      </c>
      <c r="S465" s="1" t="s">
        <v>264</v>
      </c>
      <c r="T465" t="s">
        <v>396</v>
      </c>
      <c r="U465" s="1" t="s">
        <v>2346</v>
      </c>
      <c r="X465" t="s">
        <v>161</v>
      </c>
      <c r="Y465" t="s">
        <v>2272</v>
      </c>
      <c r="Z465" t="s">
        <v>2272</v>
      </c>
      <c r="AA465" t="s">
        <v>2272</v>
      </c>
      <c r="AB465" t="s">
        <v>2272</v>
      </c>
      <c r="AC465" t="s">
        <v>162</v>
      </c>
      <c r="AD465" t="s">
        <v>2272</v>
      </c>
      <c r="AF465" t="s">
        <v>49</v>
      </c>
      <c r="AK465" t="s">
        <v>49</v>
      </c>
      <c r="AM465" t="s">
        <v>395</v>
      </c>
      <c r="AN465" t="s">
        <v>165</v>
      </c>
      <c r="AP465" t="s">
        <v>49</v>
      </c>
    </row>
    <row r="466" spans="1:43" x14ac:dyDescent="0.2">
      <c r="A466" t="s">
        <v>402</v>
      </c>
      <c r="B466" t="s">
        <v>403</v>
      </c>
      <c r="C466">
        <v>2021</v>
      </c>
      <c r="D466" t="s">
        <v>44</v>
      </c>
      <c r="F466" t="s">
        <v>55</v>
      </c>
      <c r="G466" t="s">
        <v>90</v>
      </c>
      <c r="H466" t="s">
        <v>350</v>
      </c>
      <c r="I466" t="s">
        <v>330</v>
      </c>
      <c r="J466">
        <v>2</v>
      </c>
      <c r="K466" t="s">
        <v>104</v>
      </c>
      <c r="L466">
        <v>2</v>
      </c>
      <c r="M466">
        <v>0.04</v>
      </c>
      <c r="N466" t="s">
        <v>123</v>
      </c>
      <c r="O466" t="s">
        <v>123</v>
      </c>
      <c r="P466" t="s">
        <v>404</v>
      </c>
      <c r="Q466" s="1" t="s">
        <v>2281</v>
      </c>
      <c r="R466" s="1" t="s">
        <v>2282</v>
      </c>
      <c r="S466" s="1" t="s">
        <v>123</v>
      </c>
      <c r="V466" t="s">
        <v>194</v>
      </c>
      <c r="W466" t="s">
        <v>404</v>
      </c>
      <c r="X466" t="s">
        <v>189</v>
      </c>
      <c r="Y466" t="s">
        <v>2279</v>
      </c>
      <c r="Z466" t="s">
        <v>2280</v>
      </c>
      <c r="AA466" t="s">
        <v>2358</v>
      </c>
      <c r="AB466" t="s">
        <v>189</v>
      </c>
      <c r="AC466" t="s">
        <v>152</v>
      </c>
      <c r="AD466" t="s">
        <v>2278</v>
      </c>
      <c r="AF466" t="s">
        <v>49</v>
      </c>
      <c r="AI466" t="s">
        <v>49</v>
      </c>
      <c r="AM466" t="s">
        <v>434</v>
      </c>
      <c r="AN466" t="s">
        <v>166</v>
      </c>
      <c r="AP466" t="s">
        <v>157</v>
      </c>
    </row>
    <row r="467" spans="1:43" x14ac:dyDescent="0.2">
      <c r="A467" t="s">
        <v>402</v>
      </c>
      <c r="B467" t="s">
        <v>403</v>
      </c>
      <c r="C467">
        <v>2021</v>
      </c>
      <c r="D467" t="s">
        <v>44</v>
      </c>
      <c r="F467" t="s">
        <v>55</v>
      </c>
      <c r="G467" t="s">
        <v>90</v>
      </c>
      <c r="H467" t="s">
        <v>350</v>
      </c>
      <c r="I467" t="s">
        <v>330</v>
      </c>
      <c r="J467">
        <v>2</v>
      </c>
      <c r="K467" t="s">
        <v>104</v>
      </c>
      <c r="L467">
        <v>2</v>
      </c>
      <c r="M467">
        <v>0.04</v>
      </c>
      <c r="N467" t="s">
        <v>123</v>
      </c>
      <c r="O467" t="s">
        <v>123</v>
      </c>
      <c r="P467" t="s">
        <v>404</v>
      </c>
      <c r="Q467" s="1" t="s">
        <v>2281</v>
      </c>
      <c r="R467" s="1" t="s">
        <v>2282</v>
      </c>
      <c r="S467" s="1" t="s">
        <v>123</v>
      </c>
      <c r="V467" t="s">
        <v>194</v>
      </c>
      <c r="W467" t="s">
        <v>404</v>
      </c>
      <c r="X467" t="s">
        <v>161</v>
      </c>
      <c r="Y467" t="s">
        <v>2272</v>
      </c>
      <c r="Z467" t="s">
        <v>2272</v>
      </c>
      <c r="AA467" t="s">
        <v>2272</v>
      </c>
      <c r="AB467" t="s">
        <v>2272</v>
      </c>
      <c r="AC467" t="s">
        <v>162</v>
      </c>
      <c r="AD467" t="s">
        <v>2272</v>
      </c>
      <c r="AF467" t="s">
        <v>49</v>
      </c>
      <c r="AI467" t="s">
        <v>49</v>
      </c>
      <c r="AM467" t="s">
        <v>434</v>
      </c>
      <c r="AN467" t="s">
        <v>165</v>
      </c>
    </row>
    <row r="468" spans="1:43" x14ac:dyDescent="0.2">
      <c r="A468" t="s">
        <v>402</v>
      </c>
      <c r="B468" t="s">
        <v>403</v>
      </c>
      <c r="C468">
        <v>2021</v>
      </c>
      <c r="D468" t="s">
        <v>44</v>
      </c>
      <c r="F468" t="s">
        <v>55</v>
      </c>
      <c r="G468" t="s">
        <v>90</v>
      </c>
      <c r="H468" t="s">
        <v>350</v>
      </c>
      <c r="I468" t="s">
        <v>330</v>
      </c>
      <c r="J468">
        <v>2</v>
      </c>
      <c r="K468" t="s">
        <v>104</v>
      </c>
      <c r="L468">
        <v>2</v>
      </c>
      <c r="M468">
        <v>0.04</v>
      </c>
      <c r="N468" t="s">
        <v>123</v>
      </c>
      <c r="O468" t="s">
        <v>123</v>
      </c>
      <c r="P468" t="s">
        <v>404</v>
      </c>
      <c r="Q468" s="1" t="s">
        <v>2281</v>
      </c>
      <c r="R468" s="1" t="s">
        <v>2282</v>
      </c>
      <c r="S468" s="1" t="s">
        <v>123</v>
      </c>
      <c r="V468" t="s">
        <v>194</v>
      </c>
      <c r="W468" t="s">
        <v>404</v>
      </c>
      <c r="X468" t="s">
        <v>161</v>
      </c>
      <c r="Y468" t="s">
        <v>2272</v>
      </c>
      <c r="Z468" t="s">
        <v>2272</v>
      </c>
      <c r="AA468" t="s">
        <v>2272</v>
      </c>
      <c r="AB468" t="s">
        <v>2272</v>
      </c>
      <c r="AC468" t="s">
        <v>162</v>
      </c>
      <c r="AD468" t="s">
        <v>2272</v>
      </c>
      <c r="AF468" t="s">
        <v>49</v>
      </c>
      <c r="AI468" t="s">
        <v>49</v>
      </c>
      <c r="AM468" t="s">
        <v>434</v>
      </c>
      <c r="AN468" t="s">
        <v>166</v>
      </c>
    </row>
    <row r="469" spans="1:43" x14ac:dyDescent="0.2">
      <c r="A469" t="s">
        <v>402</v>
      </c>
      <c r="B469" t="s">
        <v>403</v>
      </c>
      <c r="C469">
        <v>2021</v>
      </c>
      <c r="D469" t="s">
        <v>44</v>
      </c>
      <c r="F469" t="s">
        <v>55</v>
      </c>
      <c r="G469" t="s">
        <v>90</v>
      </c>
      <c r="H469" t="s">
        <v>350</v>
      </c>
      <c r="I469" t="s">
        <v>330</v>
      </c>
      <c r="J469">
        <v>2</v>
      </c>
      <c r="K469" t="s">
        <v>104</v>
      </c>
      <c r="L469">
        <v>2</v>
      </c>
      <c r="M469">
        <v>0.04</v>
      </c>
      <c r="N469" t="s">
        <v>123</v>
      </c>
      <c r="O469" t="s">
        <v>123</v>
      </c>
      <c r="P469" t="s">
        <v>404</v>
      </c>
      <c r="Q469" s="1" t="s">
        <v>2281</v>
      </c>
      <c r="R469" s="1" t="s">
        <v>2282</v>
      </c>
      <c r="S469" s="1" t="s">
        <v>123</v>
      </c>
      <c r="V469" t="s">
        <v>194</v>
      </c>
      <c r="W469" t="s">
        <v>404</v>
      </c>
      <c r="X469" t="s">
        <v>161</v>
      </c>
      <c r="Y469" t="s">
        <v>2272</v>
      </c>
      <c r="Z469" t="s">
        <v>2272</v>
      </c>
      <c r="AA469" t="s">
        <v>2272</v>
      </c>
      <c r="AB469" t="s">
        <v>2272</v>
      </c>
      <c r="AC469" t="s">
        <v>162</v>
      </c>
      <c r="AD469" t="s">
        <v>2272</v>
      </c>
      <c r="AF469" t="s">
        <v>49</v>
      </c>
      <c r="AI469" t="s">
        <v>49</v>
      </c>
      <c r="AM469" t="s">
        <v>434</v>
      </c>
      <c r="AN469" t="s">
        <v>165</v>
      </c>
      <c r="AQ469" s="7"/>
    </row>
    <row r="470" spans="1:43" x14ac:dyDescent="0.2">
      <c r="A470" t="s">
        <v>435</v>
      </c>
      <c r="B470" t="s">
        <v>436</v>
      </c>
      <c r="C470">
        <v>2021</v>
      </c>
      <c r="D470" t="s">
        <v>44</v>
      </c>
      <c r="E470" t="s">
        <v>49</v>
      </c>
      <c r="F470" t="s">
        <v>54</v>
      </c>
      <c r="G470" t="s">
        <v>86</v>
      </c>
      <c r="H470" t="s">
        <v>350</v>
      </c>
      <c r="I470">
        <v>2017</v>
      </c>
      <c r="J470">
        <v>0.17</v>
      </c>
      <c r="K470" t="s">
        <v>101</v>
      </c>
      <c r="L470">
        <v>25</v>
      </c>
      <c r="M470">
        <f t="shared" ref="M470:M501" si="5">0.25*0.25</f>
        <v>6.25E-2</v>
      </c>
      <c r="N470" t="s">
        <v>121</v>
      </c>
      <c r="O470" t="s">
        <v>264</v>
      </c>
      <c r="P470" t="s">
        <v>2578</v>
      </c>
      <c r="Q470" s="1" t="s">
        <v>2292</v>
      </c>
      <c r="R470" s="1" t="s">
        <v>264</v>
      </c>
      <c r="S470" s="1" t="s">
        <v>264</v>
      </c>
      <c r="X470" t="s">
        <v>267</v>
      </c>
      <c r="Y470" t="s">
        <v>2279</v>
      </c>
      <c r="Z470" t="s">
        <v>2280</v>
      </c>
      <c r="AA470" t="s">
        <v>2358</v>
      </c>
      <c r="AB470" t="s">
        <v>189</v>
      </c>
      <c r="AC470" t="s">
        <v>152</v>
      </c>
      <c r="AD470" t="s">
        <v>2278</v>
      </c>
      <c r="AE470" t="s">
        <v>415</v>
      </c>
      <c r="AF470" t="s">
        <v>49</v>
      </c>
      <c r="AG470" t="s">
        <v>49</v>
      </c>
      <c r="AI470" t="s">
        <v>49</v>
      </c>
      <c r="AM470" t="s">
        <v>441</v>
      </c>
      <c r="AN470" t="s">
        <v>165</v>
      </c>
    </row>
    <row r="471" spans="1:43" x14ac:dyDescent="0.2">
      <c r="A471" t="s">
        <v>435</v>
      </c>
      <c r="B471" t="s">
        <v>436</v>
      </c>
      <c r="C471">
        <v>2021</v>
      </c>
      <c r="D471" t="s">
        <v>44</v>
      </c>
      <c r="E471" t="s">
        <v>49</v>
      </c>
      <c r="F471" t="s">
        <v>54</v>
      </c>
      <c r="G471" t="s">
        <v>86</v>
      </c>
      <c r="H471" t="s">
        <v>350</v>
      </c>
      <c r="I471">
        <v>2017</v>
      </c>
      <c r="J471">
        <v>0.17</v>
      </c>
      <c r="K471" t="s">
        <v>101</v>
      </c>
      <c r="L471">
        <v>25</v>
      </c>
      <c r="M471">
        <f t="shared" si="5"/>
        <v>6.25E-2</v>
      </c>
      <c r="N471" t="s">
        <v>121</v>
      </c>
      <c r="O471" t="s">
        <v>264</v>
      </c>
      <c r="P471" t="s">
        <v>2578</v>
      </c>
      <c r="Q471" s="1" t="s">
        <v>2292</v>
      </c>
      <c r="R471" s="1" t="s">
        <v>264</v>
      </c>
      <c r="S471" s="1" t="s">
        <v>264</v>
      </c>
      <c r="X471" t="s">
        <v>437</v>
      </c>
      <c r="Y471" t="s">
        <v>2273</v>
      </c>
      <c r="Z471" t="s">
        <v>249</v>
      </c>
      <c r="AA471" t="s">
        <v>2359</v>
      </c>
      <c r="AB471" t="s">
        <v>1979</v>
      </c>
      <c r="AC471" t="s">
        <v>152</v>
      </c>
      <c r="AD471" t="s">
        <v>2288</v>
      </c>
      <c r="AE471" t="s">
        <v>415</v>
      </c>
      <c r="AF471" t="s">
        <v>49</v>
      </c>
      <c r="AG471" t="s">
        <v>49</v>
      </c>
      <c r="AI471" t="s">
        <v>49</v>
      </c>
      <c r="AM471" t="s">
        <v>441</v>
      </c>
      <c r="AN471" t="s">
        <v>165</v>
      </c>
    </row>
    <row r="472" spans="1:43" x14ac:dyDescent="0.2">
      <c r="A472" t="s">
        <v>435</v>
      </c>
      <c r="B472" t="s">
        <v>436</v>
      </c>
      <c r="C472">
        <v>2021</v>
      </c>
      <c r="D472" t="s">
        <v>44</v>
      </c>
      <c r="E472" t="s">
        <v>49</v>
      </c>
      <c r="F472" t="s">
        <v>54</v>
      </c>
      <c r="G472" t="s">
        <v>86</v>
      </c>
      <c r="H472" t="s">
        <v>350</v>
      </c>
      <c r="I472">
        <v>2017</v>
      </c>
      <c r="J472">
        <v>0.17</v>
      </c>
      <c r="K472" t="s">
        <v>101</v>
      </c>
      <c r="L472">
        <v>25</v>
      </c>
      <c r="M472">
        <f t="shared" si="5"/>
        <v>6.25E-2</v>
      </c>
      <c r="N472" t="s">
        <v>121</v>
      </c>
      <c r="O472" t="s">
        <v>264</v>
      </c>
      <c r="P472" t="s">
        <v>2578</v>
      </c>
      <c r="Q472" s="1" t="s">
        <v>2292</v>
      </c>
      <c r="R472" s="1" t="s">
        <v>264</v>
      </c>
      <c r="S472" s="1" t="s">
        <v>264</v>
      </c>
      <c r="X472" t="s">
        <v>304</v>
      </c>
      <c r="Y472" t="s">
        <v>2273</v>
      </c>
      <c r="Z472" t="s">
        <v>249</v>
      </c>
      <c r="AA472" t="s">
        <v>2359</v>
      </c>
      <c r="AB472" t="s">
        <v>1979</v>
      </c>
      <c r="AC472" t="s">
        <v>152</v>
      </c>
      <c r="AD472" t="s">
        <v>2288</v>
      </c>
      <c r="AE472" t="s">
        <v>415</v>
      </c>
      <c r="AF472" t="s">
        <v>49</v>
      </c>
      <c r="AG472" t="s">
        <v>49</v>
      </c>
      <c r="AI472" t="s">
        <v>49</v>
      </c>
      <c r="AM472" t="s">
        <v>441</v>
      </c>
      <c r="AN472" t="s">
        <v>165</v>
      </c>
    </row>
    <row r="473" spans="1:43" x14ac:dyDescent="0.2">
      <c r="A473" t="s">
        <v>435</v>
      </c>
      <c r="B473" t="s">
        <v>436</v>
      </c>
      <c r="C473">
        <v>2021</v>
      </c>
      <c r="D473" t="s">
        <v>44</v>
      </c>
      <c r="E473" t="s">
        <v>49</v>
      </c>
      <c r="F473" t="s">
        <v>54</v>
      </c>
      <c r="G473" t="s">
        <v>86</v>
      </c>
      <c r="H473" t="s">
        <v>350</v>
      </c>
      <c r="I473">
        <v>2017</v>
      </c>
      <c r="J473">
        <v>0.17</v>
      </c>
      <c r="K473" t="s">
        <v>101</v>
      </c>
      <c r="L473">
        <v>25</v>
      </c>
      <c r="M473">
        <f t="shared" si="5"/>
        <v>6.25E-2</v>
      </c>
      <c r="N473" t="s">
        <v>121</v>
      </c>
      <c r="O473" t="s">
        <v>264</v>
      </c>
      <c r="P473" t="s">
        <v>2578</v>
      </c>
      <c r="Q473" s="1" t="s">
        <v>2292</v>
      </c>
      <c r="R473" s="1" t="s">
        <v>264</v>
      </c>
      <c r="S473" s="1" t="s">
        <v>264</v>
      </c>
      <c r="X473" t="s">
        <v>438</v>
      </c>
      <c r="Y473" t="s">
        <v>2273</v>
      </c>
      <c r="Z473" t="s">
        <v>249</v>
      </c>
      <c r="AA473" t="s">
        <v>2359</v>
      </c>
      <c r="AB473" t="s">
        <v>1419</v>
      </c>
      <c r="AC473" t="s">
        <v>152</v>
      </c>
      <c r="AD473" t="s">
        <v>2288</v>
      </c>
      <c r="AE473" t="s">
        <v>415</v>
      </c>
      <c r="AF473" t="s">
        <v>49</v>
      </c>
      <c r="AG473" t="s">
        <v>49</v>
      </c>
      <c r="AI473" t="s">
        <v>49</v>
      </c>
      <c r="AM473" t="s">
        <v>441</v>
      </c>
      <c r="AN473" t="s">
        <v>165</v>
      </c>
    </row>
    <row r="474" spans="1:43" x14ac:dyDescent="0.2">
      <c r="A474" t="s">
        <v>435</v>
      </c>
      <c r="B474" t="s">
        <v>436</v>
      </c>
      <c r="C474">
        <v>2021</v>
      </c>
      <c r="D474" t="s">
        <v>44</v>
      </c>
      <c r="E474" t="s">
        <v>49</v>
      </c>
      <c r="F474" t="s">
        <v>54</v>
      </c>
      <c r="G474" t="s">
        <v>86</v>
      </c>
      <c r="H474" t="s">
        <v>350</v>
      </c>
      <c r="I474">
        <v>2017</v>
      </c>
      <c r="J474">
        <v>0.17</v>
      </c>
      <c r="K474" t="s">
        <v>101</v>
      </c>
      <c r="L474">
        <v>25</v>
      </c>
      <c r="M474">
        <f t="shared" si="5"/>
        <v>6.25E-2</v>
      </c>
      <c r="N474" t="s">
        <v>121</v>
      </c>
      <c r="O474" t="s">
        <v>264</v>
      </c>
      <c r="P474" t="s">
        <v>2578</v>
      </c>
      <c r="Q474" s="1" t="s">
        <v>2292</v>
      </c>
      <c r="R474" s="1" t="s">
        <v>264</v>
      </c>
      <c r="S474" s="1" t="s">
        <v>264</v>
      </c>
      <c r="X474" t="s">
        <v>439</v>
      </c>
      <c r="Y474" t="s">
        <v>2279</v>
      </c>
      <c r="Z474" t="s">
        <v>2280</v>
      </c>
      <c r="AA474" t="s">
        <v>2272</v>
      </c>
      <c r="AB474" t="s">
        <v>2272</v>
      </c>
      <c r="AC474" t="s">
        <v>315</v>
      </c>
      <c r="AD474" t="s">
        <v>2278</v>
      </c>
      <c r="AE474" t="s">
        <v>415</v>
      </c>
      <c r="AF474" t="s">
        <v>49</v>
      </c>
      <c r="AG474" t="s">
        <v>49</v>
      </c>
      <c r="AI474" t="s">
        <v>49</v>
      </c>
      <c r="AM474" t="s">
        <v>441</v>
      </c>
      <c r="AN474" t="s">
        <v>165</v>
      </c>
    </row>
    <row r="475" spans="1:43" x14ac:dyDescent="0.2">
      <c r="A475" t="s">
        <v>435</v>
      </c>
      <c r="B475" t="s">
        <v>436</v>
      </c>
      <c r="C475">
        <v>2021</v>
      </c>
      <c r="D475" t="s">
        <v>44</v>
      </c>
      <c r="E475" t="s">
        <v>49</v>
      </c>
      <c r="F475" t="s">
        <v>54</v>
      </c>
      <c r="G475" t="s">
        <v>86</v>
      </c>
      <c r="H475" t="s">
        <v>350</v>
      </c>
      <c r="I475">
        <v>2017</v>
      </c>
      <c r="J475">
        <v>0.17</v>
      </c>
      <c r="K475" t="s">
        <v>101</v>
      </c>
      <c r="L475">
        <v>25</v>
      </c>
      <c r="M475">
        <f t="shared" si="5"/>
        <v>6.25E-2</v>
      </c>
      <c r="N475" t="s">
        <v>121</v>
      </c>
      <c r="O475" t="s">
        <v>264</v>
      </c>
      <c r="P475" t="s">
        <v>2578</v>
      </c>
      <c r="Q475" s="1" t="s">
        <v>2292</v>
      </c>
      <c r="R475" s="1" t="s">
        <v>264</v>
      </c>
      <c r="S475" s="1" t="s">
        <v>264</v>
      </c>
      <c r="X475" t="s">
        <v>440</v>
      </c>
      <c r="Y475" t="s">
        <v>2279</v>
      </c>
      <c r="Z475" t="s">
        <v>2280</v>
      </c>
      <c r="AA475" t="s">
        <v>2358</v>
      </c>
      <c r="AB475" t="s">
        <v>2580</v>
      </c>
      <c r="AC475" t="s">
        <v>152</v>
      </c>
      <c r="AD475" t="s">
        <v>2278</v>
      </c>
      <c r="AE475" t="s">
        <v>415</v>
      </c>
      <c r="AF475" t="s">
        <v>49</v>
      </c>
      <c r="AG475" t="s">
        <v>49</v>
      </c>
      <c r="AI475" t="s">
        <v>49</v>
      </c>
      <c r="AM475" t="s">
        <v>441</v>
      </c>
      <c r="AN475" t="s">
        <v>165</v>
      </c>
    </row>
    <row r="476" spans="1:43" x14ac:dyDescent="0.2">
      <c r="A476" t="s">
        <v>435</v>
      </c>
      <c r="B476" t="s">
        <v>436</v>
      </c>
      <c r="C476">
        <v>2021</v>
      </c>
      <c r="D476" t="s">
        <v>44</v>
      </c>
      <c r="E476" t="s">
        <v>49</v>
      </c>
      <c r="F476" t="s">
        <v>54</v>
      </c>
      <c r="G476" t="s">
        <v>86</v>
      </c>
      <c r="H476" t="s">
        <v>350</v>
      </c>
      <c r="I476">
        <v>2017</v>
      </c>
      <c r="J476">
        <v>0.17</v>
      </c>
      <c r="K476" t="s">
        <v>104</v>
      </c>
      <c r="L476">
        <v>25</v>
      </c>
      <c r="M476">
        <f t="shared" si="5"/>
        <v>6.25E-2</v>
      </c>
      <c r="N476" t="s">
        <v>121</v>
      </c>
      <c r="O476" t="s">
        <v>264</v>
      </c>
      <c r="P476" t="s">
        <v>2578</v>
      </c>
      <c r="Q476" s="1" t="s">
        <v>2292</v>
      </c>
      <c r="R476" s="1" t="s">
        <v>264</v>
      </c>
      <c r="S476" s="1" t="s">
        <v>264</v>
      </c>
      <c r="X476" t="s">
        <v>267</v>
      </c>
      <c r="Y476" t="s">
        <v>2279</v>
      </c>
      <c r="Z476" t="s">
        <v>2280</v>
      </c>
      <c r="AA476" t="s">
        <v>2358</v>
      </c>
      <c r="AB476" t="s">
        <v>189</v>
      </c>
      <c r="AC476" t="s">
        <v>152</v>
      </c>
      <c r="AD476" t="s">
        <v>2278</v>
      </c>
      <c r="AE476" t="s">
        <v>415</v>
      </c>
      <c r="AF476" t="s">
        <v>49</v>
      </c>
      <c r="AG476" t="s">
        <v>49</v>
      </c>
      <c r="AI476" t="s">
        <v>49</v>
      </c>
      <c r="AM476" t="s">
        <v>441</v>
      </c>
      <c r="AN476" t="s">
        <v>165</v>
      </c>
    </row>
    <row r="477" spans="1:43" x14ac:dyDescent="0.2">
      <c r="A477" t="s">
        <v>435</v>
      </c>
      <c r="B477" t="s">
        <v>436</v>
      </c>
      <c r="C477">
        <v>2021</v>
      </c>
      <c r="D477" t="s">
        <v>44</v>
      </c>
      <c r="E477" t="s">
        <v>49</v>
      </c>
      <c r="F477" t="s">
        <v>54</v>
      </c>
      <c r="G477" t="s">
        <v>86</v>
      </c>
      <c r="H477" t="s">
        <v>350</v>
      </c>
      <c r="I477">
        <v>2017</v>
      </c>
      <c r="J477">
        <v>0.17</v>
      </c>
      <c r="K477" t="s">
        <v>104</v>
      </c>
      <c r="L477">
        <v>25</v>
      </c>
      <c r="M477">
        <f t="shared" si="5"/>
        <v>6.25E-2</v>
      </c>
      <c r="N477" t="s">
        <v>121</v>
      </c>
      <c r="O477" t="s">
        <v>264</v>
      </c>
      <c r="P477" t="s">
        <v>2578</v>
      </c>
      <c r="Q477" s="1" t="s">
        <v>2292</v>
      </c>
      <c r="R477" s="1" t="s">
        <v>264</v>
      </c>
      <c r="S477" s="1" t="s">
        <v>264</v>
      </c>
      <c r="X477" t="s">
        <v>437</v>
      </c>
      <c r="Y477" t="s">
        <v>2273</v>
      </c>
      <c r="Z477" t="s">
        <v>249</v>
      </c>
      <c r="AA477" t="s">
        <v>2359</v>
      </c>
      <c r="AB477" t="s">
        <v>1979</v>
      </c>
      <c r="AC477" t="s">
        <v>152</v>
      </c>
      <c r="AD477" t="s">
        <v>2288</v>
      </c>
      <c r="AE477" t="s">
        <v>415</v>
      </c>
      <c r="AF477" t="s">
        <v>49</v>
      </c>
      <c r="AG477" t="s">
        <v>49</v>
      </c>
      <c r="AI477" t="s">
        <v>49</v>
      </c>
      <c r="AM477" t="s">
        <v>441</v>
      </c>
      <c r="AN477" t="s">
        <v>165</v>
      </c>
    </row>
    <row r="478" spans="1:43" x14ac:dyDescent="0.2">
      <c r="A478" t="s">
        <v>435</v>
      </c>
      <c r="B478" t="s">
        <v>436</v>
      </c>
      <c r="C478">
        <v>2021</v>
      </c>
      <c r="D478" t="s">
        <v>44</v>
      </c>
      <c r="E478" t="s">
        <v>49</v>
      </c>
      <c r="F478" t="s">
        <v>54</v>
      </c>
      <c r="G478" t="s">
        <v>86</v>
      </c>
      <c r="H478" t="s">
        <v>350</v>
      </c>
      <c r="I478">
        <v>2017</v>
      </c>
      <c r="J478">
        <v>0.17</v>
      </c>
      <c r="K478" t="s">
        <v>104</v>
      </c>
      <c r="L478">
        <v>25</v>
      </c>
      <c r="M478">
        <f t="shared" si="5"/>
        <v>6.25E-2</v>
      </c>
      <c r="N478" t="s">
        <v>121</v>
      </c>
      <c r="O478" t="s">
        <v>264</v>
      </c>
      <c r="P478" t="s">
        <v>2578</v>
      </c>
      <c r="Q478" s="1" t="s">
        <v>2292</v>
      </c>
      <c r="R478" s="1" t="s">
        <v>264</v>
      </c>
      <c r="S478" s="1" t="s">
        <v>264</v>
      </c>
      <c r="X478" t="s">
        <v>304</v>
      </c>
      <c r="Y478" t="s">
        <v>2273</v>
      </c>
      <c r="Z478" t="s">
        <v>249</v>
      </c>
      <c r="AA478" t="s">
        <v>2359</v>
      </c>
      <c r="AB478" t="s">
        <v>1979</v>
      </c>
      <c r="AC478" t="s">
        <v>152</v>
      </c>
      <c r="AD478" t="s">
        <v>2288</v>
      </c>
      <c r="AE478" t="s">
        <v>415</v>
      </c>
      <c r="AF478" t="s">
        <v>49</v>
      </c>
      <c r="AG478" t="s">
        <v>49</v>
      </c>
      <c r="AI478" t="s">
        <v>49</v>
      </c>
      <c r="AM478" t="s">
        <v>441</v>
      </c>
      <c r="AN478" t="s">
        <v>165</v>
      </c>
    </row>
    <row r="479" spans="1:43" x14ac:dyDescent="0.2">
      <c r="A479" t="s">
        <v>435</v>
      </c>
      <c r="B479" t="s">
        <v>436</v>
      </c>
      <c r="C479">
        <v>2021</v>
      </c>
      <c r="D479" t="s">
        <v>44</v>
      </c>
      <c r="E479" t="s">
        <v>49</v>
      </c>
      <c r="F479" t="s">
        <v>54</v>
      </c>
      <c r="G479" t="s">
        <v>86</v>
      </c>
      <c r="H479" t="s">
        <v>350</v>
      </c>
      <c r="I479">
        <v>2017</v>
      </c>
      <c r="J479">
        <v>0.17</v>
      </c>
      <c r="K479" t="s">
        <v>104</v>
      </c>
      <c r="L479">
        <v>25</v>
      </c>
      <c r="M479">
        <f t="shared" si="5"/>
        <v>6.25E-2</v>
      </c>
      <c r="N479" t="s">
        <v>121</v>
      </c>
      <c r="O479" t="s">
        <v>264</v>
      </c>
      <c r="P479" t="s">
        <v>2578</v>
      </c>
      <c r="Q479" s="1" t="s">
        <v>2292</v>
      </c>
      <c r="R479" s="1" t="s">
        <v>264</v>
      </c>
      <c r="S479" s="1" t="s">
        <v>264</v>
      </c>
      <c r="X479" t="s">
        <v>438</v>
      </c>
      <c r="Y479" t="s">
        <v>2273</v>
      </c>
      <c r="Z479" t="s">
        <v>249</v>
      </c>
      <c r="AA479" t="s">
        <v>2359</v>
      </c>
      <c r="AB479" t="s">
        <v>1419</v>
      </c>
      <c r="AC479" t="s">
        <v>152</v>
      </c>
      <c r="AD479" t="s">
        <v>2288</v>
      </c>
      <c r="AE479" t="s">
        <v>415</v>
      </c>
      <c r="AF479" t="s">
        <v>49</v>
      </c>
      <c r="AG479" t="s">
        <v>49</v>
      </c>
      <c r="AI479" t="s">
        <v>49</v>
      </c>
      <c r="AM479" t="s">
        <v>441</v>
      </c>
      <c r="AN479" t="s">
        <v>165</v>
      </c>
    </row>
    <row r="480" spans="1:43" x14ac:dyDescent="0.2">
      <c r="A480" t="s">
        <v>435</v>
      </c>
      <c r="B480" t="s">
        <v>436</v>
      </c>
      <c r="C480">
        <v>2021</v>
      </c>
      <c r="D480" t="s">
        <v>44</v>
      </c>
      <c r="E480" t="s">
        <v>49</v>
      </c>
      <c r="F480" t="s">
        <v>54</v>
      </c>
      <c r="G480" t="s">
        <v>86</v>
      </c>
      <c r="H480" t="s">
        <v>350</v>
      </c>
      <c r="I480">
        <v>2017</v>
      </c>
      <c r="J480">
        <v>0.17</v>
      </c>
      <c r="K480" t="s">
        <v>104</v>
      </c>
      <c r="L480">
        <v>25</v>
      </c>
      <c r="M480">
        <f t="shared" si="5"/>
        <v>6.25E-2</v>
      </c>
      <c r="N480" t="s">
        <v>121</v>
      </c>
      <c r="O480" t="s">
        <v>264</v>
      </c>
      <c r="P480" t="s">
        <v>2578</v>
      </c>
      <c r="Q480" s="1" t="s">
        <v>2292</v>
      </c>
      <c r="R480" s="1" t="s">
        <v>264</v>
      </c>
      <c r="S480" s="1" t="s">
        <v>264</v>
      </c>
      <c r="X480" t="s">
        <v>439</v>
      </c>
      <c r="Y480" t="s">
        <v>2279</v>
      </c>
      <c r="Z480" t="s">
        <v>2280</v>
      </c>
      <c r="AA480" t="s">
        <v>2272</v>
      </c>
      <c r="AB480" t="s">
        <v>2272</v>
      </c>
      <c r="AC480" t="s">
        <v>315</v>
      </c>
      <c r="AD480" t="s">
        <v>2278</v>
      </c>
      <c r="AE480" t="s">
        <v>415</v>
      </c>
      <c r="AF480" t="s">
        <v>49</v>
      </c>
      <c r="AG480" t="s">
        <v>49</v>
      </c>
      <c r="AI480" t="s">
        <v>49</v>
      </c>
      <c r="AM480" t="s">
        <v>441</v>
      </c>
      <c r="AN480" t="s">
        <v>165</v>
      </c>
    </row>
    <row r="481" spans="1:40" x14ac:dyDescent="0.2">
      <c r="A481" t="s">
        <v>435</v>
      </c>
      <c r="B481" t="s">
        <v>436</v>
      </c>
      <c r="C481">
        <v>2021</v>
      </c>
      <c r="D481" t="s">
        <v>44</v>
      </c>
      <c r="E481" t="s">
        <v>49</v>
      </c>
      <c r="F481" t="s">
        <v>54</v>
      </c>
      <c r="G481" t="s">
        <v>86</v>
      </c>
      <c r="H481" t="s">
        <v>350</v>
      </c>
      <c r="I481">
        <v>2017</v>
      </c>
      <c r="J481">
        <v>0.17</v>
      </c>
      <c r="K481" t="s">
        <v>104</v>
      </c>
      <c r="L481">
        <v>25</v>
      </c>
      <c r="M481">
        <f t="shared" si="5"/>
        <v>6.25E-2</v>
      </c>
      <c r="N481" t="s">
        <v>121</v>
      </c>
      <c r="O481" t="s">
        <v>264</v>
      </c>
      <c r="P481" t="s">
        <v>2578</v>
      </c>
      <c r="Q481" s="1" t="s">
        <v>2292</v>
      </c>
      <c r="R481" s="1" t="s">
        <v>264</v>
      </c>
      <c r="S481" s="1" t="s">
        <v>264</v>
      </c>
      <c r="X481" t="s">
        <v>440</v>
      </c>
      <c r="Y481" t="s">
        <v>2279</v>
      </c>
      <c r="Z481" t="s">
        <v>2280</v>
      </c>
      <c r="AA481" t="s">
        <v>2358</v>
      </c>
      <c r="AB481" t="s">
        <v>2580</v>
      </c>
      <c r="AC481" t="s">
        <v>152</v>
      </c>
      <c r="AD481" t="s">
        <v>2278</v>
      </c>
      <c r="AE481" t="s">
        <v>415</v>
      </c>
      <c r="AF481" t="s">
        <v>49</v>
      </c>
      <c r="AG481" t="s">
        <v>49</v>
      </c>
      <c r="AI481" t="s">
        <v>49</v>
      </c>
      <c r="AM481" t="s">
        <v>441</v>
      </c>
      <c r="AN481" t="s">
        <v>165</v>
      </c>
    </row>
    <row r="482" spans="1:40" x14ac:dyDescent="0.2">
      <c r="A482" t="s">
        <v>435</v>
      </c>
      <c r="B482" t="s">
        <v>436</v>
      </c>
      <c r="C482">
        <v>2021</v>
      </c>
      <c r="D482" t="s">
        <v>44</v>
      </c>
      <c r="E482" t="s">
        <v>49</v>
      </c>
      <c r="F482" t="s">
        <v>54</v>
      </c>
      <c r="G482" t="s">
        <v>86</v>
      </c>
      <c r="H482" t="s">
        <v>350</v>
      </c>
      <c r="I482">
        <v>2017</v>
      </c>
      <c r="J482">
        <v>0.17</v>
      </c>
      <c r="K482" t="s">
        <v>101</v>
      </c>
      <c r="L482">
        <v>25</v>
      </c>
      <c r="M482">
        <f t="shared" si="5"/>
        <v>6.25E-2</v>
      </c>
      <c r="N482" t="s">
        <v>121</v>
      </c>
      <c r="O482" t="s">
        <v>264</v>
      </c>
      <c r="P482" t="s">
        <v>2578</v>
      </c>
      <c r="Q482" s="1" t="s">
        <v>2292</v>
      </c>
      <c r="R482" s="1" t="s">
        <v>264</v>
      </c>
      <c r="S482" s="1" t="s">
        <v>264</v>
      </c>
      <c r="X482" t="s">
        <v>267</v>
      </c>
      <c r="Y482" t="s">
        <v>2279</v>
      </c>
      <c r="Z482" t="s">
        <v>2280</v>
      </c>
      <c r="AA482" t="s">
        <v>2358</v>
      </c>
      <c r="AB482" t="s">
        <v>189</v>
      </c>
      <c r="AC482" t="s">
        <v>152</v>
      </c>
      <c r="AD482" t="s">
        <v>2278</v>
      </c>
      <c r="AE482" t="s">
        <v>415</v>
      </c>
      <c r="AF482" t="s">
        <v>49</v>
      </c>
      <c r="AG482" t="s">
        <v>49</v>
      </c>
      <c r="AI482" t="s">
        <v>49</v>
      </c>
      <c r="AM482" t="s">
        <v>441</v>
      </c>
      <c r="AN482" t="s">
        <v>154</v>
      </c>
    </row>
    <row r="483" spans="1:40" x14ac:dyDescent="0.2">
      <c r="A483" t="s">
        <v>435</v>
      </c>
      <c r="B483" t="s">
        <v>436</v>
      </c>
      <c r="C483">
        <v>2021</v>
      </c>
      <c r="D483" t="s">
        <v>44</v>
      </c>
      <c r="E483" t="s">
        <v>49</v>
      </c>
      <c r="F483" t="s">
        <v>54</v>
      </c>
      <c r="G483" t="s">
        <v>86</v>
      </c>
      <c r="H483" t="s">
        <v>350</v>
      </c>
      <c r="I483">
        <v>2017</v>
      </c>
      <c r="J483">
        <v>0.17</v>
      </c>
      <c r="K483" t="s">
        <v>101</v>
      </c>
      <c r="L483">
        <v>25</v>
      </c>
      <c r="M483">
        <f t="shared" si="5"/>
        <v>6.25E-2</v>
      </c>
      <c r="N483" t="s">
        <v>121</v>
      </c>
      <c r="O483" t="s">
        <v>264</v>
      </c>
      <c r="P483" t="s">
        <v>2578</v>
      </c>
      <c r="Q483" s="1" t="s">
        <v>2292</v>
      </c>
      <c r="R483" s="1" t="s">
        <v>264</v>
      </c>
      <c r="S483" s="1" t="s">
        <v>264</v>
      </c>
      <c r="X483" t="s">
        <v>437</v>
      </c>
      <c r="Y483" t="s">
        <v>2273</v>
      </c>
      <c r="Z483" t="s">
        <v>249</v>
      </c>
      <c r="AA483" t="s">
        <v>2359</v>
      </c>
      <c r="AB483" t="s">
        <v>1979</v>
      </c>
      <c r="AC483" t="s">
        <v>152</v>
      </c>
      <c r="AD483" t="s">
        <v>2288</v>
      </c>
      <c r="AE483" t="s">
        <v>415</v>
      </c>
      <c r="AF483" t="s">
        <v>49</v>
      </c>
      <c r="AG483" t="s">
        <v>49</v>
      </c>
      <c r="AI483" t="s">
        <v>49</v>
      </c>
      <c r="AM483" t="s">
        <v>441</v>
      </c>
      <c r="AN483" t="s">
        <v>154</v>
      </c>
    </row>
    <row r="484" spans="1:40" x14ac:dyDescent="0.2">
      <c r="A484" t="s">
        <v>435</v>
      </c>
      <c r="B484" t="s">
        <v>436</v>
      </c>
      <c r="C484">
        <v>2021</v>
      </c>
      <c r="D484" t="s">
        <v>44</v>
      </c>
      <c r="E484" t="s">
        <v>49</v>
      </c>
      <c r="F484" t="s">
        <v>54</v>
      </c>
      <c r="G484" t="s">
        <v>86</v>
      </c>
      <c r="H484" t="s">
        <v>350</v>
      </c>
      <c r="I484">
        <v>2017</v>
      </c>
      <c r="J484">
        <v>0.17</v>
      </c>
      <c r="K484" t="s">
        <v>101</v>
      </c>
      <c r="L484">
        <v>25</v>
      </c>
      <c r="M484">
        <f t="shared" si="5"/>
        <v>6.25E-2</v>
      </c>
      <c r="N484" t="s">
        <v>121</v>
      </c>
      <c r="O484" t="s">
        <v>264</v>
      </c>
      <c r="P484" t="s">
        <v>2578</v>
      </c>
      <c r="Q484" s="1" t="s">
        <v>2292</v>
      </c>
      <c r="R484" s="1" t="s">
        <v>264</v>
      </c>
      <c r="S484" s="1" t="s">
        <v>264</v>
      </c>
      <c r="X484" t="s">
        <v>304</v>
      </c>
      <c r="Y484" t="s">
        <v>2273</v>
      </c>
      <c r="Z484" t="s">
        <v>249</v>
      </c>
      <c r="AA484" t="s">
        <v>2359</v>
      </c>
      <c r="AB484" t="s">
        <v>1979</v>
      </c>
      <c r="AC484" t="s">
        <v>152</v>
      </c>
      <c r="AD484" t="s">
        <v>2288</v>
      </c>
      <c r="AE484" t="s">
        <v>415</v>
      </c>
      <c r="AF484" t="s">
        <v>49</v>
      </c>
      <c r="AG484" t="s">
        <v>49</v>
      </c>
      <c r="AI484" t="s">
        <v>49</v>
      </c>
      <c r="AM484" t="s">
        <v>441</v>
      </c>
      <c r="AN484" t="s">
        <v>154</v>
      </c>
    </row>
    <row r="485" spans="1:40" x14ac:dyDescent="0.2">
      <c r="A485" t="s">
        <v>435</v>
      </c>
      <c r="B485" t="s">
        <v>436</v>
      </c>
      <c r="C485">
        <v>2021</v>
      </c>
      <c r="D485" t="s">
        <v>44</v>
      </c>
      <c r="E485" t="s">
        <v>49</v>
      </c>
      <c r="F485" t="s">
        <v>54</v>
      </c>
      <c r="G485" t="s">
        <v>86</v>
      </c>
      <c r="H485" t="s">
        <v>350</v>
      </c>
      <c r="I485">
        <v>2017</v>
      </c>
      <c r="J485">
        <v>0.17</v>
      </c>
      <c r="K485" t="s">
        <v>101</v>
      </c>
      <c r="L485">
        <v>25</v>
      </c>
      <c r="M485">
        <f t="shared" si="5"/>
        <v>6.25E-2</v>
      </c>
      <c r="N485" t="s">
        <v>121</v>
      </c>
      <c r="O485" t="s">
        <v>264</v>
      </c>
      <c r="P485" t="s">
        <v>2578</v>
      </c>
      <c r="Q485" s="1" t="s">
        <v>2292</v>
      </c>
      <c r="R485" s="1" t="s">
        <v>264</v>
      </c>
      <c r="S485" s="1" t="s">
        <v>264</v>
      </c>
      <c r="X485" t="s">
        <v>438</v>
      </c>
      <c r="Y485" t="s">
        <v>2273</v>
      </c>
      <c r="Z485" t="s">
        <v>249</v>
      </c>
      <c r="AA485" t="s">
        <v>2359</v>
      </c>
      <c r="AB485" t="s">
        <v>1419</v>
      </c>
      <c r="AC485" t="s">
        <v>152</v>
      </c>
      <c r="AD485" t="s">
        <v>2288</v>
      </c>
      <c r="AE485" t="s">
        <v>415</v>
      </c>
      <c r="AF485" t="s">
        <v>49</v>
      </c>
      <c r="AG485" t="s">
        <v>49</v>
      </c>
      <c r="AI485" t="s">
        <v>49</v>
      </c>
      <c r="AM485" t="s">
        <v>441</v>
      </c>
      <c r="AN485" t="s">
        <v>154</v>
      </c>
    </row>
    <row r="486" spans="1:40" x14ac:dyDescent="0.2">
      <c r="A486" t="s">
        <v>435</v>
      </c>
      <c r="B486" t="s">
        <v>436</v>
      </c>
      <c r="C486">
        <v>2021</v>
      </c>
      <c r="D486" t="s">
        <v>44</v>
      </c>
      <c r="E486" t="s">
        <v>49</v>
      </c>
      <c r="F486" t="s">
        <v>54</v>
      </c>
      <c r="G486" t="s">
        <v>86</v>
      </c>
      <c r="H486" t="s">
        <v>350</v>
      </c>
      <c r="I486">
        <v>2017</v>
      </c>
      <c r="J486">
        <v>0.17</v>
      </c>
      <c r="K486" t="s">
        <v>101</v>
      </c>
      <c r="L486">
        <v>25</v>
      </c>
      <c r="M486">
        <f t="shared" si="5"/>
        <v>6.25E-2</v>
      </c>
      <c r="N486" t="s">
        <v>121</v>
      </c>
      <c r="O486" t="s">
        <v>264</v>
      </c>
      <c r="P486" t="s">
        <v>2578</v>
      </c>
      <c r="Q486" s="1" t="s">
        <v>2292</v>
      </c>
      <c r="R486" s="1" t="s">
        <v>264</v>
      </c>
      <c r="S486" s="1" t="s">
        <v>264</v>
      </c>
      <c r="X486" t="s">
        <v>439</v>
      </c>
      <c r="Y486" t="s">
        <v>2279</v>
      </c>
      <c r="Z486" t="s">
        <v>2280</v>
      </c>
      <c r="AA486" t="s">
        <v>2272</v>
      </c>
      <c r="AB486" t="s">
        <v>2272</v>
      </c>
      <c r="AC486" t="s">
        <v>315</v>
      </c>
      <c r="AD486" t="s">
        <v>2278</v>
      </c>
      <c r="AE486" t="s">
        <v>415</v>
      </c>
      <c r="AF486" t="s">
        <v>49</v>
      </c>
      <c r="AG486" t="s">
        <v>49</v>
      </c>
      <c r="AI486" t="s">
        <v>49</v>
      </c>
      <c r="AM486" t="s">
        <v>441</v>
      </c>
      <c r="AN486" t="s">
        <v>154</v>
      </c>
    </row>
    <row r="487" spans="1:40" x14ac:dyDescent="0.2">
      <c r="A487" t="s">
        <v>435</v>
      </c>
      <c r="B487" t="s">
        <v>436</v>
      </c>
      <c r="C487">
        <v>2021</v>
      </c>
      <c r="D487" t="s">
        <v>44</v>
      </c>
      <c r="E487" t="s">
        <v>49</v>
      </c>
      <c r="F487" t="s">
        <v>54</v>
      </c>
      <c r="G487" t="s">
        <v>86</v>
      </c>
      <c r="H487" t="s">
        <v>350</v>
      </c>
      <c r="I487">
        <v>2017</v>
      </c>
      <c r="J487">
        <v>0.17</v>
      </c>
      <c r="K487" t="s">
        <v>101</v>
      </c>
      <c r="L487">
        <v>25</v>
      </c>
      <c r="M487">
        <f t="shared" si="5"/>
        <v>6.25E-2</v>
      </c>
      <c r="N487" t="s">
        <v>121</v>
      </c>
      <c r="O487" t="s">
        <v>264</v>
      </c>
      <c r="P487" t="s">
        <v>2578</v>
      </c>
      <c r="Q487" s="1" t="s">
        <v>2292</v>
      </c>
      <c r="R487" s="1" t="s">
        <v>264</v>
      </c>
      <c r="S487" s="1" t="s">
        <v>264</v>
      </c>
      <c r="X487" t="s">
        <v>440</v>
      </c>
      <c r="Y487" t="s">
        <v>2279</v>
      </c>
      <c r="Z487" t="s">
        <v>2280</v>
      </c>
      <c r="AA487" t="s">
        <v>2358</v>
      </c>
      <c r="AB487" t="s">
        <v>2580</v>
      </c>
      <c r="AC487" t="s">
        <v>152</v>
      </c>
      <c r="AD487" t="s">
        <v>2278</v>
      </c>
      <c r="AE487" t="s">
        <v>415</v>
      </c>
      <c r="AF487" t="s">
        <v>49</v>
      </c>
      <c r="AG487" t="s">
        <v>49</v>
      </c>
      <c r="AI487" t="s">
        <v>49</v>
      </c>
      <c r="AM487" t="s">
        <v>441</v>
      </c>
      <c r="AN487" t="s">
        <v>154</v>
      </c>
    </row>
    <row r="488" spans="1:40" x14ac:dyDescent="0.2">
      <c r="A488" t="s">
        <v>435</v>
      </c>
      <c r="B488" t="s">
        <v>436</v>
      </c>
      <c r="C488">
        <v>2021</v>
      </c>
      <c r="D488" t="s">
        <v>44</v>
      </c>
      <c r="E488" t="s">
        <v>49</v>
      </c>
      <c r="F488" t="s">
        <v>54</v>
      </c>
      <c r="G488" t="s">
        <v>86</v>
      </c>
      <c r="H488" t="s">
        <v>350</v>
      </c>
      <c r="I488">
        <v>2017</v>
      </c>
      <c r="J488">
        <v>0.17</v>
      </c>
      <c r="K488" t="s">
        <v>104</v>
      </c>
      <c r="L488">
        <v>25</v>
      </c>
      <c r="M488">
        <f t="shared" si="5"/>
        <v>6.25E-2</v>
      </c>
      <c r="N488" t="s">
        <v>121</v>
      </c>
      <c r="O488" t="s">
        <v>264</v>
      </c>
      <c r="P488" t="s">
        <v>2578</v>
      </c>
      <c r="Q488" s="1" t="s">
        <v>2292</v>
      </c>
      <c r="R488" s="1" t="s">
        <v>264</v>
      </c>
      <c r="S488" s="1" t="s">
        <v>264</v>
      </c>
      <c r="X488" t="s">
        <v>267</v>
      </c>
      <c r="Y488" t="s">
        <v>2279</v>
      </c>
      <c r="Z488" t="s">
        <v>2280</v>
      </c>
      <c r="AA488" t="s">
        <v>2358</v>
      </c>
      <c r="AB488" t="s">
        <v>189</v>
      </c>
      <c r="AC488" t="s">
        <v>152</v>
      </c>
      <c r="AD488" t="s">
        <v>2278</v>
      </c>
      <c r="AE488" t="s">
        <v>415</v>
      </c>
      <c r="AF488" t="s">
        <v>49</v>
      </c>
      <c r="AG488" t="s">
        <v>49</v>
      </c>
      <c r="AI488" t="s">
        <v>49</v>
      </c>
      <c r="AM488" t="s">
        <v>441</v>
      </c>
      <c r="AN488" t="s">
        <v>154</v>
      </c>
    </row>
    <row r="489" spans="1:40" x14ac:dyDescent="0.2">
      <c r="A489" t="s">
        <v>435</v>
      </c>
      <c r="B489" t="s">
        <v>436</v>
      </c>
      <c r="C489">
        <v>2021</v>
      </c>
      <c r="D489" t="s">
        <v>44</v>
      </c>
      <c r="E489" t="s">
        <v>49</v>
      </c>
      <c r="F489" t="s">
        <v>54</v>
      </c>
      <c r="G489" t="s">
        <v>86</v>
      </c>
      <c r="H489" t="s">
        <v>350</v>
      </c>
      <c r="I489">
        <v>2017</v>
      </c>
      <c r="J489">
        <v>0.17</v>
      </c>
      <c r="K489" t="s">
        <v>104</v>
      </c>
      <c r="L489">
        <v>25</v>
      </c>
      <c r="M489">
        <f t="shared" si="5"/>
        <v>6.25E-2</v>
      </c>
      <c r="N489" t="s">
        <v>121</v>
      </c>
      <c r="O489" t="s">
        <v>264</v>
      </c>
      <c r="P489" t="s">
        <v>2578</v>
      </c>
      <c r="Q489" s="1" t="s">
        <v>2292</v>
      </c>
      <c r="R489" s="1" t="s">
        <v>264</v>
      </c>
      <c r="S489" s="1" t="s">
        <v>264</v>
      </c>
      <c r="X489" t="s">
        <v>437</v>
      </c>
      <c r="Y489" t="s">
        <v>2273</v>
      </c>
      <c r="Z489" t="s">
        <v>249</v>
      </c>
      <c r="AA489" t="s">
        <v>2359</v>
      </c>
      <c r="AB489" t="s">
        <v>1979</v>
      </c>
      <c r="AC489" t="s">
        <v>152</v>
      </c>
      <c r="AD489" t="s">
        <v>2288</v>
      </c>
      <c r="AE489" t="s">
        <v>415</v>
      </c>
      <c r="AF489" t="s">
        <v>49</v>
      </c>
      <c r="AG489" t="s">
        <v>49</v>
      </c>
      <c r="AI489" t="s">
        <v>49</v>
      </c>
      <c r="AM489" t="s">
        <v>441</v>
      </c>
      <c r="AN489" t="s">
        <v>154</v>
      </c>
    </row>
    <row r="490" spans="1:40" x14ac:dyDescent="0.2">
      <c r="A490" t="s">
        <v>435</v>
      </c>
      <c r="B490" t="s">
        <v>436</v>
      </c>
      <c r="C490">
        <v>2021</v>
      </c>
      <c r="D490" t="s">
        <v>44</v>
      </c>
      <c r="E490" t="s">
        <v>49</v>
      </c>
      <c r="F490" t="s">
        <v>54</v>
      </c>
      <c r="G490" t="s">
        <v>86</v>
      </c>
      <c r="H490" t="s">
        <v>350</v>
      </c>
      <c r="I490">
        <v>2017</v>
      </c>
      <c r="J490">
        <v>0.17</v>
      </c>
      <c r="K490" t="s">
        <v>104</v>
      </c>
      <c r="L490">
        <v>25</v>
      </c>
      <c r="M490">
        <f t="shared" si="5"/>
        <v>6.25E-2</v>
      </c>
      <c r="N490" t="s">
        <v>121</v>
      </c>
      <c r="O490" t="s">
        <v>264</v>
      </c>
      <c r="P490" t="s">
        <v>2578</v>
      </c>
      <c r="Q490" s="1" t="s">
        <v>2292</v>
      </c>
      <c r="R490" s="1" t="s">
        <v>264</v>
      </c>
      <c r="S490" s="1" t="s">
        <v>264</v>
      </c>
      <c r="X490" t="s">
        <v>304</v>
      </c>
      <c r="Y490" t="s">
        <v>2273</v>
      </c>
      <c r="Z490" t="s">
        <v>249</v>
      </c>
      <c r="AA490" t="s">
        <v>2359</v>
      </c>
      <c r="AB490" t="s">
        <v>1979</v>
      </c>
      <c r="AC490" t="s">
        <v>152</v>
      </c>
      <c r="AD490" t="s">
        <v>2288</v>
      </c>
      <c r="AE490" t="s">
        <v>415</v>
      </c>
      <c r="AF490" t="s">
        <v>49</v>
      </c>
      <c r="AG490" t="s">
        <v>49</v>
      </c>
      <c r="AI490" t="s">
        <v>49</v>
      </c>
      <c r="AM490" t="s">
        <v>441</v>
      </c>
      <c r="AN490" t="s">
        <v>154</v>
      </c>
    </row>
    <row r="491" spans="1:40" x14ac:dyDescent="0.2">
      <c r="A491" t="s">
        <v>435</v>
      </c>
      <c r="B491" t="s">
        <v>436</v>
      </c>
      <c r="C491">
        <v>2021</v>
      </c>
      <c r="D491" t="s">
        <v>44</v>
      </c>
      <c r="E491" t="s">
        <v>49</v>
      </c>
      <c r="F491" t="s">
        <v>54</v>
      </c>
      <c r="G491" t="s">
        <v>86</v>
      </c>
      <c r="H491" t="s">
        <v>350</v>
      </c>
      <c r="I491">
        <v>2017</v>
      </c>
      <c r="J491">
        <v>0.17</v>
      </c>
      <c r="K491" t="s">
        <v>104</v>
      </c>
      <c r="L491">
        <v>25</v>
      </c>
      <c r="M491">
        <f t="shared" si="5"/>
        <v>6.25E-2</v>
      </c>
      <c r="N491" t="s">
        <v>121</v>
      </c>
      <c r="O491" t="s">
        <v>264</v>
      </c>
      <c r="P491" t="s">
        <v>2578</v>
      </c>
      <c r="Q491" s="1" t="s">
        <v>2292</v>
      </c>
      <c r="R491" s="1" t="s">
        <v>264</v>
      </c>
      <c r="S491" s="1" t="s">
        <v>264</v>
      </c>
      <c r="X491" t="s">
        <v>438</v>
      </c>
      <c r="Y491" t="s">
        <v>2273</v>
      </c>
      <c r="Z491" t="s">
        <v>249</v>
      </c>
      <c r="AA491" t="s">
        <v>2359</v>
      </c>
      <c r="AB491" t="s">
        <v>1419</v>
      </c>
      <c r="AC491" t="s">
        <v>152</v>
      </c>
      <c r="AD491" t="s">
        <v>2288</v>
      </c>
      <c r="AE491" t="s">
        <v>415</v>
      </c>
      <c r="AF491" t="s">
        <v>49</v>
      </c>
      <c r="AG491" t="s">
        <v>49</v>
      </c>
      <c r="AI491" t="s">
        <v>49</v>
      </c>
      <c r="AM491" t="s">
        <v>441</v>
      </c>
      <c r="AN491" t="s">
        <v>154</v>
      </c>
    </row>
    <row r="492" spans="1:40" x14ac:dyDescent="0.2">
      <c r="A492" t="s">
        <v>435</v>
      </c>
      <c r="B492" t="s">
        <v>436</v>
      </c>
      <c r="C492">
        <v>2021</v>
      </c>
      <c r="D492" t="s">
        <v>44</v>
      </c>
      <c r="E492" t="s">
        <v>49</v>
      </c>
      <c r="F492" t="s">
        <v>54</v>
      </c>
      <c r="G492" t="s">
        <v>86</v>
      </c>
      <c r="H492" t="s">
        <v>350</v>
      </c>
      <c r="I492">
        <v>2017</v>
      </c>
      <c r="J492">
        <v>0.17</v>
      </c>
      <c r="K492" t="s">
        <v>104</v>
      </c>
      <c r="L492">
        <v>25</v>
      </c>
      <c r="M492">
        <f t="shared" si="5"/>
        <v>6.25E-2</v>
      </c>
      <c r="N492" t="s">
        <v>121</v>
      </c>
      <c r="O492" t="s">
        <v>264</v>
      </c>
      <c r="P492" t="s">
        <v>2578</v>
      </c>
      <c r="Q492" s="1" t="s">
        <v>2292</v>
      </c>
      <c r="R492" s="1" t="s">
        <v>264</v>
      </c>
      <c r="S492" s="1" t="s">
        <v>264</v>
      </c>
      <c r="X492" t="s">
        <v>439</v>
      </c>
      <c r="Y492" t="s">
        <v>2279</v>
      </c>
      <c r="Z492" t="s">
        <v>2280</v>
      </c>
      <c r="AA492" t="s">
        <v>2272</v>
      </c>
      <c r="AB492" t="s">
        <v>2272</v>
      </c>
      <c r="AC492" t="s">
        <v>315</v>
      </c>
      <c r="AD492" t="s">
        <v>2278</v>
      </c>
      <c r="AE492" t="s">
        <v>415</v>
      </c>
      <c r="AF492" t="s">
        <v>49</v>
      </c>
      <c r="AG492" t="s">
        <v>49</v>
      </c>
      <c r="AI492" t="s">
        <v>49</v>
      </c>
      <c r="AM492" t="s">
        <v>441</v>
      </c>
      <c r="AN492" t="s">
        <v>154</v>
      </c>
    </row>
    <row r="493" spans="1:40" x14ac:dyDescent="0.2">
      <c r="A493" t="s">
        <v>435</v>
      </c>
      <c r="B493" t="s">
        <v>436</v>
      </c>
      <c r="C493">
        <v>2021</v>
      </c>
      <c r="D493" t="s">
        <v>44</v>
      </c>
      <c r="E493" t="s">
        <v>49</v>
      </c>
      <c r="F493" t="s">
        <v>54</v>
      </c>
      <c r="G493" t="s">
        <v>86</v>
      </c>
      <c r="H493" t="s">
        <v>350</v>
      </c>
      <c r="I493">
        <v>2017</v>
      </c>
      <c r="J493">
        <v>0.17</v>
      </c>
      <c r="K493" t="s">
        <v>104</v>
      </c>
      <c r="L493">
        <v>25</v>
      </c>
      <c r="M493">
        <f t="shared" si="5"/>
        <v>6.25E-2</v>
      </c>
      <c r="N493" t="s">
        <v>121</v>
      </c>
      <c r="O493" t="s">
        <v>264</v>
      </c>
      <c r="P493" t="s">
        <v>2578</v>
      </c>
      <c r="Q493" s="1" t="s">
        <v>2292</v>
      </c>
      <c r="R493" s="1" t="s">
        <v>264</v>
      </c>
      <c r="S493" s="1" t="s">
        <v>264</v>
      </c>
      <c r="X493" t="s">
        <v>440</v>
      </c>
      <c r="Y493" t="s">
        <v>2279</v>
      </c>
      <c r="Z493" t="s">
        <v>2280</v>
      </c>
      <c r="AA493" t="s">
        <v>2358</v>
      </c>
      <c r="AB493" t="s">
        <v>2580</v>
      </c>
      <c r="AC493" t="s">
        <v>152</v>
      </c>
      <c r="AD493" t="s">
        <v>2278</v>
      </c>
      <c r="AE493" t="s">
        <v>415</v>
      </c>
      <c r="AF493" t="s">
        <v>49</v>
      </c>
      <c r="AG493" t="s">
        <v>49</v>
      </c>
      <c r="AI493" t="s">
        <v>49</v>
      </c>
      <c r="AM493" t="s">
        <v>441</v>
      </c>
      <c r="AN493" t="s">
        <v>154</v>
      </c>
    </row>
    <row r="494" spans="1:40" x14ac:dyDescent="0.2">
      <c r="A494" t="s">
        <v>435</v>
      </c>
      <c r="B494" t="s">
        <v>436</v>
      </c>
      <c r="C494">
        <v>2021</v>
      </c>
      <c r="D494" t="s">
        <v>44</v>
      </c>
      <c r="E494" t="s">
        <v>49</v>
      </c>
      <c r="F494" t="s">
        <v>54</v>
      </c>
      <c r="G494" t="s">
        <v>86</v>
      </c>
      <c r="H494" t="s">
        <v>350</v>
      </c>
      <c r="I494">
        <v>2017</v>
      </c>
      <c r="J494">
        <v>0.17</v>
      </c>
      <c r="K494" t="s">
        <v>101</v>
      </c>
      <c r="L494">
        <v>25</v>
      </c>
      <c r="M494">
        <f t="shared" si="5"/>
        <v>6.25E-2</v>
      </c>
      <c r="N494" t="s">
        <v>121</v>
      </c>
      <c r="O494" t="s">
        <v>264</v>
      </c>
      <c r="P494" t="s">
        <v>2578</v>
      </c>
      <c r="Q494" s="1" t="s">
        <v>2292</v>
      </c>
      <c r="R494" s="1" t="s">
        <v>264</v>
      </c>
      <c r="S494" s="1" t="s">
        <v>264</v>
      </c>
      <c r="X494" t="s">
        <v>267</v>
      </c>
      <c r="Y494" t="s">
        <v>2279</v>
      </c>
      <c r="Z494" t="s">
        <v>2280</v>
      </c>
      <c r="AA494" t="s">
        <v>2358</v>
      </c>
      <c r="AB494" t="s">
        <v>189</v>
      </c>
      <c r="AC494" t="s">
        <v>152</v>
      </c>
      <c r="AD494" t="s">
        <v>2278</v>
      </c>
      <c r="AE494" t="s">
        <v>415</v>
      </c>
      <c r="AF494" t="s">
        <v>49</v>
      </c>
      <c r="AG494" t="s">
        <v>49</v>
      </c>
      <c r="AI494" t="s">
        <v>49</v>
      </c>
      <c r="AM494" t="s">
        <v>441</v>
      </c>
      <c r="AN494" t="s">
        <v>166</v>
      </c>
    </row>
    <row r="495" spans="1:40" x14ac:dyDescent="0.2">
      <c r="A495" t="s">
        <v>435</v>
      </c>
      <c r="B495" t="s">
        <v>436</v>
      </c>
      <c r="C495">
        <v>2021</v>
      </c>
      <c r="D495" t="s">
        <v>44</v>
      </c>
      <c r="E495" t="s">
        <v>49</v>
      </c>
      <c r="F495" t="s">
        <v>54</v>
      </c>
      <c r="G495" t="s">
        <v>86</v>
      </c>
      <c r="H495" t="s">
        <v>350</v>
      </c>
      <c r="I495">
        <v>2017</v>
      </c>
      <c r="J495">
        <v>0.17</v>
      </c>
      <c r="K495" t="s">
        <v>101</v>
      </c>
      <c r="L495">
        <v>25</v>
      </c>
      <c r="M495">
        <f t="shared" si="5"/>
        <v>6.25E-2</v>
      </c>
      <c r="N495" t="s">
        <v>121</v>
      </c>
      <c r="O495" t="s">
        <v>264</v>
      </c>
      <c r="P495" t="s">
        <v>2578</v>
      </c>
      <c r="Q495" s="1" t="s">
        <v>2292</v>
      </c>
      <c r="R495" s="1" t="s">
        <v>264</v>
      </c>
      <c r="S495" s="1" t="s">
        <v>264</v>
      </c>
      <c r="X495" t="s">
        <v>437</v>
      </c>
      <c r="Y495" t="s">
        <v>2273</v>
      </c>
      <c r="Z495" t="s">
        <v>249</v>
      </c>
      <c r="AA495" t="s">
        <v>2359</v>
      </c>
      <c r="AB495" t="s">
        <v>1979</v>
      </c>
      <c r="AC495" t="s">
        <v>152</v>
      </c>
      <c r="AD495" t="s">
        <v>2288</v>
      </c>
      <c r="AE495" t="s">
        <v>415</v>
      </c>
      <c r="AF495" t="s">
        <v>49</v>
      </c>
      <c r="AI495" t="s">
        <v>49</v>
      </c>
      <c r="AM495" t="s">
        <v>201</v>
      </c>
      <c r="AN495" t="s">
        <v>166</v>
      </c>
    </row>
    <row r="496" spans="1:40" x14ac:dyDescent="0.2">
      <c r="A496" t="s">
        <v>435</v>
      </c>
      <c r="B496" t="s">
        <v>436</v>
      </c>
      <c r="C496">
        <v>2021</v>
      </c>
      <c r="D496" t="s">
        <v>44</v>
      </c>
      <c r="E496" t="s">
        <v>49</v>
      </c>
      <c r="F496" t="s">
        <v>54</v>
      </c>
      <c r="G496" t="s">
        <v>86</v>
      </c>
      <c r="H496" t="s">
        <v>350</v>
      </c>
      <c r="I496">
        <v>2017</v>
      </c>
      <c r="J496">
        <v>0.17</v>
      </c>
      <c r="K496" t="s">
        <v>101</v>
      </c>
      <c r="L496">
        <v>25</v>
      </c>
      <c r="M496">
        <f t="shared" si="5"/>
        <v>6.25E-2</v>
      </c>
      <c r="N496" t="s">
        <v>121</v>
      </c>
      <c r="O496" t="s">
        <v>264</v>
      </c>
      <c r="P496" t="s">
        <v>2578</v>
      </c>
      <c r="Q496" s="1" t="s">
        <v>2292</v>
      </c>
      <c r="R496" s="1" t="s">
        <v>264</v>
      </c>
      <c r="S496" s="1" t="s">
        <v>264</v>
      </c>
      <c r="X496" t="s">
        <v>304</v>
      </c>
      <c r="Y496" t="s">
        <v>2273</v>
      </c>
      <c r="Z496" t="s">
        <v>249</v>
      </c>
      <c r="AA496" t="s">
        <v>2359</v>
      </c>
      <c r="AB496" t="s">
        <v>1979</v>
      </c>
      <c r="AC496" t="s">
        <v>152</v>
      </c>
      <c r="AD496" t="s">
        <v>2288</v>
      </c>
      <c r="AE496" t="s">
        <v>415</v>
      </c>
      <c r="AG496" t="s">
        <v>49</v>
      </c>
      <c r="AI496" t="s">
        <v>49</v>
      </c>
      <c r="AM496" t="s">
        <v>442</v>
      </c>
      <c r="AN496" t="s">
        <v>166</v>
      </c>
    </row>
    <row r="497" spans="1:40" x14ac:dyDescent="0.2">
      <c r="A497" t="s">
        <v>435</v>
      </c>
      <c r="B497" t="s">
        <v>436</v>
      </c>
      <c r="C497">
        <v>2021</v>
      </c>
      <c r="D497" t="s">
        <v>44</v>
      </c>
      <c r="E497" t="s">
        <v>49</v>
      </c>
      <c r="F497" t="s">
        <v>54</v>
      </c>
      <c r="G497" t="s">
        <v>86</v>
      </c>
      <c r="H497" t="s">
        <v>350</v>
      </c>
      <c r="I497">
        <v>2017</v>
      </c>
      <c r="J497">
        <v>0.17</v>
      </c>
      <c r="K497" t="s">
        <v>101</v>
      </c>
      <c r="L497">
        <v>25</v>
      </c>
      <c r="M497">
        <f t="shared" si="5"/>
        <v>6.25E-2</v>
      </c>
      <c r="N497" t="s">
        <v>121</v>
      </c>
      <c r="O497" t="s">
        <v>264</v>
      </c>
      <c r="P497" t="s">
        <v>2578</v>
      </c>
      <c r="Q497" s="1" t="s">
        <v>2292</v>
      </c>
      <c r="R497" s="1" t="s">
        <v>264</v>
      </c>
      <c r="S497" s="1" t="s">
        <v>264</v>
      </c>
      <c r="X497" t="s">
        <v>438</v>
      </c>
      <c r="Y497" t="s">
        <v>2273</v>
      </c>
      <c r="Z497" t="s">
        <v>249</v>
      </c>
      <c r="AA497" t="s">
        <v>2359</v>
      </c>
      <c r="AB497" t="s">
        <v>1419</v>
      </c>
      <c r="AC497" t="s">
        <v>152</v>
      </c>
      <c r="AD497" t="s">
        <v>2288</v>
      </c>
      <c r="AE497" t="s">
        <v>415</v>
      </c>
      <c r="AF497" t="s">
        <v>49</v>
      </c>
      <c r="AG497" t="s">
        <v>49</v>
      </c>
      <c r="AI497" t="s">
        <v>49</v>
      </c>
      <c r="AM497" t="s">
        <v>441</v>
      </c>
      <c r="AN497" t="s">
        <v>166</v>
      </c>
    </row>
    <row r="498" spans="1:40" x14ac:dyDescent="0.2">
      <c r="A498" t="s">
        <v>435</v>
      </c>
      <c r="B498" t="s">
        <v>436</v>
      </c>
      <c r="C498">
        <v>2021</v>
      </c>
      <c r="D498" t="s">
        <v>44</v>
      </c>
      <c r="E498" t="s">
        <v>49</v>
      </c>
      <c r="F498" t="s">
        <v>54</v>
      </c>
      <c r="G498" t="s">
        <v>86</v>
      </c>
      <c r="H498" t="s">
        <v>350</v>
      </c>
      <c r="I498">
        <v>2017</v>
      </c>
      <c r="J498">
        <v>0.17</v>
      </c>
      <c r="K498" t="s">
        <v>101</v>
      </c>
      <c r="L498">
        <v>25</v>
      </c>
      <c r="M498">
        <f t="shared" si="5"/>
        <v>6.25E-2</v>
      </c>
      <c r="N498" t="s">
        <v>121</v>
      </c>
      <c r="O498" t="s">
        <v>264</v>
      </c>
      <c r="P498" t="s">
        <v>2578</v>
      </c>
      <c r="Q498" s="1" t="s">
        <v>2292</v>
      </c>
      <c r="R498" s="1" t="s">
        <v>264</v>
      </c>
      <c r="S498" s="1" t="s">
        <v>264</v>
      </c>
      <c r="X498" t="s">
        <v>439</v>
      </c>
      <c r="Y498" t="s">
        <v>2279</v>
      </c>
      <c r="Z498" t="s">
        <v>2280</v>
      </c>
      <c r="AA498" t="s">
        <v>2272</v>
      </c>
      <c r="AB498" t="s">
        <v>2272</v>
      </c>
      <c r="AC498" t="s">
        <v>315</v>
      </c>
      <c r="AD498" t="s">
        <v>2278</v>
      </c>
      <c r="AE498" t="s">
        <v>415</v>
      </c>
      <c r="AF498" t="s">
        <v>49</v>
      </c>
      <c r="AG498" t="s">
        <v>49</v>
      </c>
      <c r="AI498" t="s">
        <v>49</v>
      </c>
      <c r="AM498" t="s">
        <v>441</v>
      </c>
      <c r="AN498" t="s">
        <v>166</v>
      </c>
    </row>
    <row r="499" spans="1:40" x14ac:dyDescent="0.2">
      <c r="A499" t="s">
        <v>435</v>
      </c>
      <c r="B499" t="s">
        <v>436</v>
      </c>
      <c r="C499">
        <v>2021</v>
      </c>
      <c r="D499" t="s">
        <v>44</v>
      </c>
      <c r="E499" t="s">
        <v>49</v>
      </c>
      <c r="F499" t="s">
        <v>54</v>
      </c>
      <c r="G499" t="s">
        <v>86</v>
      </c>
      <c r="H499" t="s">
        <v>350</v>
      </c>
      <c r="I499">
        <v>2017</v>
      </c>
      <c r="J499">
        <v>0.17</v>
      </c>
      <c r="K499" t="s">
        <v>101</v>
      </c>
      <c r="L499">
        <v>25</v>
      </c>
      <c r="M499">
        <f t="shared" si="5"/>
        <v>6.25E-2</v>
      </c>
      <c r="N499" t="s">
        <v>121</v>
      </c>
      <c r="O499" t="s">
        <v>264</v>
      </c>
      <c r="P499" t="s">
        <v>2578</v>
      </c>
      <c r="Q499" s="1" t="s">
        <v>2292</v>
      </c>
      <c r="R499" s="1" t="s">
        <v>264</v>
      </c>
      <c r="S499" s="1" t="s">
        <v>264</v>
      </c>
      <c r="X499" t="s">
        <v>440</v>
      </c>
      <c r="Y499" t="s">
        <v>2279</v>
      </c>
      <c r="Z499" t="s">
        <v>2280</v>
      </c>
      <c r="AA499" t="s">
        <v>2358</v>
      </c>
      <c r="AB499" t="s">
        <v>2580</v>
      </c>
      <c r="AC499" t="s">
        <v>152</v>
      </c>
      <c r="AD499" t="s">
        <v>2278</v>
      </c>
      <c r="AE499" t="s">
        <v>415</v>
      </c>
      <c r="AF499" t="s">
        <v>49</v>
      </c>
      <c r="AG499" t="s">
        <v>49</v>
      </c>
      <c r="AI499" t="s">
        <v>49</v>
      </c>
      <c r="AM499" t="s">
        <v>441</v>
      </c>
      <c r="AN499" t="s">
        <v>166</v>
      </c>
    </row>
    <row r="500" spans="1:40" x14ac:dyDescent="0.2">
      <c r="A500" t="s">
        <v>435</v>
      </c>
      <c r="B500" t="s">
        <v>436</v>
      </c>
      <c r="C500">
        <v>2021</v>
      </c>
      <c r="D500" t="s">
        <v>44</v>
      </c>
      <c r="E500" t="s">
        <v>49</v>
      </c>
      <c r="F500" t="s">
        <v>54</v>
      </c>
      <c r="G500" t="s">
        <v>86</v>
      </c>
      <c r="H500" t="s">
        <v>350</v>
      </c>
      <c r="I500">
        <v>2017</v>
      </c>
      <c r="J500">
        <v>0.17</v>
      </c>
      <c r="K500" t="s">
        <v>104</v>
      </c>
      <c r="L500">
        <v>25</v>
      </c>
      <c r="M500">
        <f t="shared" si="5"/>
        <v>6.25E-2</v>
      </c>
      <c r="N500" t="s">
        <v>121</v>
      </c>
      <c r="O500" t="s">
        <v>264</v>
      </c>
      <c r="P500" t="s">
        <v>2578</v>
      </c>
      <c r="Q500" s="1" t="s">
        <v>2292</v>
      </c>
      <c r="R500" s="1" t="s">
        <v>264</v>
      </c>
      <c r="S500" s="1" t="s">
        <v>264</v>
      </c>
      <c r="X500" t="s">
        <v>267</v>
      </c>
      <c r="Y500" t="s">
        <v>2279</v>
      </c>
      <c r="Z500" t="s">
        <v>2280</v>
      </c>
      <c r="AA500" t="s">
        <v>2358</v>
      </c>
      <c r="AB500" t="s">
        <v>189</v>
      </c>
      <c r="AC500" t="s">
        <v>152</v>
      </c>
      <c r="AD500" t="s">
        <v>2278</v>
      </c>
      <c r="AE500" t="s">
        <v>415</v>
      </c>
      <c r="AF500" t="s">
        <v>49</v>
      </c>
      <c r="AG500" t="s">
        <v>49</v>
      </c>
      <c r="AI500" t="s">
        <v>49</v>
      </c>
      <c r="AM500" t="s">
        <v>441</v>
      </c>
      <c r="AN500" t="s">
        <v>166</v>
      </c>
    </row>
    <row r="501" spans="1:40" x14ac:dyDescent="0.2">
      <c r="A501" t="s">
        <v>435</v>
      </c>
      <c r="B501" t="s">
        <v>436</v>
      </c>
      <c r="C501">
        <v>2021</v>
      </c>
      <c r="D501" t="s">
        <v>44</v>
      </c>
      <c r="E501" t="s">
        <v>49</v>
      </c>
      <c r="F501" t="s">
        <v>54</v>
      </c>
      <c r="G501" t="s">
        <v>86</v>
      </c>
      <c r="H501" t="s">
        <v>350</v>
      </c>
      <c r="I501">
        <v>2017</v>
      </c>
      <c r="J501">
        <v>0.17</v>
      </c>
      <c r="K501" t="s">
        <v>104</v>
      </c>
      <c r="L501">
        <v>25</v>
      </c>
      <c r="M501">
        <f t="shared" si="5"/>
        <v>6.25E-2</v>
      </c>
      <c r="N501" t="s">
        <v>121</v>
      </c>
      <c r="O501" t="s">
        <v>264</v>
      </c>
      <c r="P501" t="s">
        <v>2578</v>
      </c>
      <c r="Q501" s="1" t="s">
        <v>2292</v>
      </c>
      <c r="R501" s="1" t="s">
        <v>264</v>
      </c>
      <c r="S501" s="1" t="s">
        <v>264</v>
      </c>
      <c r="X501" t="s">
        <v>437</v>
      </c>
      <c r="Y501" t="s">
        <v>2273</v>
      </c>
      <c r="Z501" t="s">
        <v>249</v>
      </c>
      <c r="AA501" t="s">
        <v>2359</v>
      </c>
      <c r="AB501" t="s">
        <v>1979</v>
      </c>
      <c r="AC501" t="s">
        <v>152</v>
      </c>
      <c r="AD501" t="s">
        <v>2288</v>
      </c>
      <c r="AE501" t="s">
        <v>415</v>
      </c>
      <c r="AF501" t="s">
        <v>49</v>
      </c>
      <c r="AI501" t="s">
        <v>49</v>
      </c>
      <c r="AM501" t="s">
        <v>201</v>
      </c>
      <c r="AN501" t="s">
        <v>166</v>
      </c>
    </row>
    <row r="502" spans="1:40" x14ac:dyDescent="0.2">
      <c r="A502" t="s">
        <v>435</v>
      </c>
      <c r="B502" t="s">
        <v>436</v>
      </c>
      <c r="C502">
        <v>2021</v>
      </c>
      <c r="D502" t="s">
        <v>44</v>
      </c>
      <c r="E502" t="s">
        <v>49</v>
      </c>
      <c r="F502" t="s">
        <v>54</v>
      </c>
      <c r="G502" t="s">
        <v>86</v>
      </c>
      <c r="H502" t="s">
        <v>350</v>
      </c>
      <c r="I502">
        <v>2017</v>
      </c>
      <c r="J502">
        <v>0.17</v>
      </c>
      <c r="K502" t="s">
        <v>104</v>
      </c>
      <c r="L502">
        <v>25</v>
      </c>
      <c r="M502">
        <f t="shared" ref="M502:M519" si="6">0.25*0.25</f>
        <v>6.25E-2</v>
      </c>
      <c r="N502" t="s">
        <v>121</v>
      </c>
      <c r="O502" t="s">
        <v>264</v>
      </c>
      <c r="P502" t="s">
        <v>2578</v>
      </c>
      <c r="Q502" s="1" t="s">
        <v>2292</v>
      </c>
      <c r="R502" s="1" t="s">
        <v>264</v>
      </c>
      <c r="S502" s="1" t="s">
        <v>264</v>
      </c>
      <c r="X502" t="s">
        <v>304</v>
      </c>
      <c r="Y502" t="s">
        <v>2273</v>
      </c>
      <c r="Z502" t="s">
        <v>249</v>
      </c>
      <c r="AA502" t="s">
        <v>2359</v>
      </c>
      <c r="AB502" t="s">
        <v>1979</v>
      </c>
      <c r="AC502" t="s">
        <v>152</v>
      </c>
      <c r="AD502" t="s">
        <v>2288</v>
      </c>
      <c r="AE502" t="s">
        <v>415</v>
      </c>
      <c r="AG502" t="s">
        <v>49</v>
      </c>
      <c r="AI502" t="s">
        <v>49</v>
      </c>
      <c r="AM502" t="s">
        <v>442</v>
      </c>
      <c r="AN502" t="s">
        <v>166</v>
      </c>
    </row>
    <row r="503" spans="1:40" x14ac:dyDescent="0.2">
      <c r="A503" t="s">
        <v>435</v>
      </c>
      <c r="B503" t="s">
        <v>436</v>
      </c>
      <c r="C503">
        <v>2021</v>
      </c>
      <c r="D503" t="s">
        <v>44</v>
      </c>
      <c r="E503" t="s">
        <v>49</v>
      </c>
      <c r="F503" t="s">
        <v>54</v>
      </c>
      <c r="G503" t="s">
        <v>86</v>
      </c>
      <c r="H503" t="s">
        <v>350</v>
      </c>
      <c r="I503">
        <v>2017</v>
      </c>
      <c r="J503">
        <v>0.17</v>
      </c>
      <c r="K503" t="s">
        <v>104</v>
      </c>
      <c r="L503">
        <v>25</v>
      </c>
      <c r="M503">
        <f t="shared" si="6"/>
        <v>6.25E-2</v>
      </c>
      <c r="N503" t="s">
        <v>121</v>
      </c>
      <c r="O503" t="s">
        <v>264</v>
      </c>
      <c r="P503" t="s">
        <v>2578</v>
      </c>
      <c r="Q503" s="1" t="s">
        <v>2292</v>
      </c>
      <c r="R503" s="1" t="s">
        <v>264</v>
      </c>
      <c r="S503" s="1" t="s">
        <v>264</v>
      </c>
      <c r="X503" t="s">
        <v>438</v>
      </c>
      <c r="Y503" t="s">
        <v>2273</v>
      </c>
      <c r="Z503" t="s">
        <v>249</v>
      </c>
      <c r="AA503" t="s">
        <v>2359</v>
      </c>
      <c r="AB503" t="s">
        <v>1419</v>
      </c>
      <c r="AC503" t="s">
        <v>152</v>
      </c>
      <c r="AD503" t="s">
        <v>2288</v>
      </c>
      <c r="AE503" t="s">
        <v>415</v>
      </c>
      <c r="AF503" t="s">
        <v>49</v>
      </c>
      <c r="AG503" t="s">
        <v>49</v>
      </c>
      <c r="AI503" t="s">
        <v>49</v>
      </c>
      <c r="AM503" t="s">
        <v>441</v>
      </c>
      <c r="AN503" t="s">
        <v>166</v>
      </c>
    </row>
    <row r="504" spans="1:40" x14ac:dyDescent="0.2">
      <c r="A504" t="s">
        <v>435</v>
      </c>
      <c r="B504" t="s">
        <v>436</v>
      </c>
      <c r="C504">
        <v>2021</v>
      </c>
      <c r="D504" t="s">
        <v>44</v>
      </c>
      <c r="E504" t="s">
        <v>49</v>
      </c>
      <c r="F504" t="s">
        <v>54</v>
      </c>
      <c r="G504" t="s">
        <v>86</v>
      </c>
      <c r="H504" t="s">
        <v>350</v>
      </c>
      <c r="I504">
        <v>2017</v>
      </c>
      <c r="J504">
        <v>0.17</v>
      </c>
      <c r="K504" t="s">
        <v>104</v>
      </c>
      <c r="L504">
        <v>25</v>
      </c>
      <c r="M504">
        <f t="shared" si="6"/>
        <v>6.25E-2</v>
      </c>
      <c r="N504" t="s">
        <v>121</v>
      </c>
      <c r="O504" t="s">
        <v>264</v>
      </c>
      <c r="P504" t="s">
        <v>2578</v>
      </c>
      <c r="Q504" s="1" t="s">
        <v>2292</v>
      </c>
      <c r="R504" s="1" t="s">
        <v>264</v>
      </c>
      <c r="S504" s="1" t="s">
        <v>264</v>
      </c>
      <c r="X504" t="s">
        <v>439</v>
      </c>
      <c r="Y504" t="s">
        <v>2279</v>
      </c>
      <c r="Z504" t="s">
        <v>2280</v>
      </c>
      <c r="AA504" t="s">
        <v>2272</v>
      </c>
      <c r="AB504" t="s">
        <v>2272</v>
      </c>
      <c r="AC504" t="s">
        <v>315</v>
      </c>
      <c r="AD504" t="s">
        <v>2278</v>
      </c>
      <c r="AE504" t="s">
        <v>415</v>
      </c>
      <c r="AF504" t="s">
        <v>49</v>
      </c>
      <c r="AG504" t="s">
        <v>49</v>
      </c>
      <c r="AI504" t="s">
        <v>49</v>
      </c>
      <c r="AM504" t="s">
        <v>441</v>
      </c>
      <c r="AN504" t="s">
        <v>166</v>
      </c>
    </row>
    <row r="505" spans="1:40" x14ac:dyDescent="0.2">
      <c r="A505" t="s">
        <v>435</v>
      </c>
      <c r="B505" t="s">
        <v>436</v>
      </c>
      <c r="C505">
        <v>2021</v>
      </c>
      <c r="D505" t="s">
        <v>44</v>
      </c>
      <c r="E505" t="s">
        <v>49</v>
      </c>
      <c r="F505" t="s">
        <v>54</v>
      </c>
      <c r="G505" t="s">
        <v>86</v>
      </c>
      <c r="H505" t="s">
        <v>350</v>
      </c>
      <c r="I505">
        <v>2017</v>
      </c>
      <c r="J505">
        <v>0.17</v>
      </c>
      <c r="K505" t="s">
        <v>104</v>
      </c>
      <c r="L505">
        <v>25</v>
      </c>
      <c r="M505">
        <f t="shared" si="6"/>
        <v>6.25E-2</v>
      </c>
      <c r="N505" t="s">
        <v>121</v>
      </c>
      <c r="O505" t="s">
        <v>264</v>
      </c>
      <c r="P505" t="s">
        <v>2578</v>
      </c>
      <c r="Q505" s="1" t="s">
        <v>2292</v>
      </c>
      <c r="R505" s="1" t="s">
        <v>264</v>
      </c>
      <c r="S505" s="1" t="s">
        <v>264</v>
      </c>
      <c r="X505" t="s">
        <v>440</v>
      </c>
      <c r="Y505" t="s">
        <v>2279</v>
      </c>
      <c r="Z505" t="s">
        <v>2280</v>
      </c>
      <c r="AA505" t="s">
        <v>2358</v>
      </c>
      <c r="AB505" t="s">
        <v>2580</v>
      </c>
      <c r="AC505" t="s">
        <v>152</v>
      </c>
      <c r="AD505" t="s">
        <v>2278</v>
      </c>
      <c r="AE505" t="s">
        <v>415</v>
      </c>
      <c r="AF505" t="s">
        <v>49</v>
      </c>
      <c r="AG505" t="s">
        <v>49</v>
      </c>
      <c r="AI505" t="s">
        <v>49</v>
      </c>
      <c r="AM505" t="s">
        <v>441</v>
      </c>
      <c r="AN505" t="s">
        <v>166</v>
      </c>
    </row>
    <row r="506" spans="1:40" x14ac:dyDescent="0.2">
      <c r="A506" t="s">
        <v>435</v>
      </c>
      <c r="B506" t="s">
        <v>436</v>
      </c>
      <c r="C506">
        <v>2021</v>
      </c>
      <c r="D506" t="s">
        <v>44</v>
      </c>
      <c r="E506" t="s">
        <v>49</v>
      </c>
      <c r="F506" t="s">
        <v>54</v>
      </c>
      <c r="G506" t="s">
        <v>86</v>
      </c>
      <c r="H506" t="s">
        <v>350</v>
      </c>
      <c r="I506">
        <v>2017</v>
      </c>
      <c r="J506">
        <v>0.17</v>
      </c>
      <c r="K506" t="s">
        <v>101</v>
      </c>
      <c r="L506">
        <v>25</v>
      </c>
      <c r="M506">
        <f t="shared" si="6"/>
        <v>6.25E-2</v>
      </c>
      <c r="N506" t="s">
        <v>121</v>
      </c>
      <c r="O506" t="s">
        <v>264</v>
      </c>
      <c r="P506" t="s">
        <v>2578</v>
      </c>
      <c r="Q506" s="1" t="s">
        <v>2292</v>
      </c>
      <c r="R506" s="1" t="s">
        <v>264</v>
      </c>
      <c r="S506" s="1" t="s">
        <v>264</v>
      </c>
      <c r="X506" t="s">
        <v>267</v>
      </c>
      <c r="Y506" t="s">
        <v>2279</v>
      </c>
      <c r="Z506" t="s">
        <v>2280</v>
      </c>
      <c r="AA506" t="s">
        <v>2358</v>
      </c>
      <c r="AB506" t="s">
        <v>189</v>
      </c>
      <c r="AC506" t="s">
        <v>152</v>
      </c>
      <c r="AD506" t="s">
        <v>2278</v>
      </c>
      <c r="AE506" t="s">
        <v>415</v>
      </c>
      <c r="AF506" t="s">
        <v>49</v>
      </c>
      <c r="AG506" t="s">
        <v>49</v>
      </c>
      <c r="AI506" t="s">
        <v>49</v>
      </c>
      <c r="AM506" t="s">
        <v>441</v>
      </c>
      <c r="AN506" t="s">
        <v>171</v>
      </c>
    </row>
    <row r="507" spans="1:40" x14ac:dyDescent="0.2">
      <c r="A507" t="s">
        <v>435</v>
      </c>
      <c r="B507" t="s">
        <v>436</v>
      </c>
      <c r="C507">
        <v>2021</v>
      </c>
      <c r="D507" t="s">
        <v>44</v>
      </c>
      <c r="E507" t="s">
        <v>49</v>
      </c>
      <c r="F507" t="s">
        <v>54</v>
      </c>
      <c r="G507" t="s">
        <v>86</v>
      </c>
      <c r="H507" t="s">
        <v>350</v>
      </c>
      <c r="I507">
        <v>2017</v>
      </c>
      <c r="J507">
        <v>0.17</v>
      </c>
      <c r="K507" t="s">
        <v>101</v>
      </c>
      <c r="L507">
        <v>25</v>
      </c>
      <c r="M507">
        <f t="shared" si="6"/>
        <v>6.25E-2</v>
      </c>
      <c r="N507" t="s">
        <v>121</v>
      </c>
      <c r="O507" t="s">
        <v>264</v>
      </c>
      <c r="P507" t="s">
        <v>2578</v>
      </c>
      <c r="Q507" s="1" t="s">
        <v>2292</v>
      </c>
      <c r="R507" s="1" t="s">
        <v>264</v>
      </c>
      <c r="S507" s="1" t="s">
        <v>264</v>
      </c>
      <c r="X507" t="s">
        <v>267</v>
      </c>
      <c r="Y507" t="s">
        <v>2279</v>
      </c>
      <c r="Z507" t="s">
        <v>2280</v>
      </c>
      <c r="AA507" t="s">
        <v>2358</v>
      </c>
      <c r="AB507" t="s">
        <v>189</v>
      </c>
      <c r="AC507" t="s">
        <v>152</v>
      </c>
      <c r="AD507" t="s">
        <v>2278</v>
      </c>
      <c r="AE507" t="s">
        <v>415</v>
      </c>
      <c r="AF507" t="s">
        <v>49</v>
      </c>
      <c r="AI507" t="s">
        <v>49</v>
      </c>
      <c r="AM507" t="s">
        <v>201</v>
      </c>
      <c r="AN507" t="s">
        <v>171</v>
      </c>
    </row>
    <row r="508" spans="1:40" x14ac:dyDescent="0.2">
      <c r="A508" t="s">
        <v>435</v>
      </c>
      <c r="B508" t="s">
        <v>436</v>
      </c>
      <c r="C508">
        <v>2021</v>
      </c>
      <c r="D508" t="s">
        <v>44</v>
      </c>
      <c r="E508" t="s">
        <v>49</v>
      </c>
      <c r="F508" t="s">
        <v>54</v>
      </c>
      <c r="G508" t="s">
        <v>86</v>
      </c>
      <c r="H508" t="s">
        <v>350</v>
      </c>
      <c r="I508">
        <v>2017</v>
      </c>
      <c r="J508">
        <v>0.17</v>
      </c>
      <c r="K508" t="s">
        <v>101</v>
      </c>
      <c r="L508">
        <v>25</v>
      </c>
      <c r="M508">
        <f t="shared" si="6"/>
        <v>6.25E-2</v>
      </c>
      <c r="N508" t="s">
        <v>121</v>
      </c>
      <c r="O508" t="s">
        <v>264</v>
      </c>
      <c r="P508" t="s">
        <v>2578</v>
      </c>
      <c r="Q508" s="1" t="s">
        <v>2292</v>
      </c>
      <c r="R508" s="1" t="s">
        <v>264</v>
      </c>
      <c r="S508" s="1" t="s">
        <v>264</v>
      </c>
      <c r="X508" t="s">
        <v>437</v>
      </c>
      <c r="Y508" t="s">
        <v>2273</v>
      </c>
      <c r="Z508" t="s">
        <v>249</v>
      </c>
      <c r="AA508" t="s">
        <v>2359</v>
      </c>
      <c r="AB508" t="s">
        <v>1979</v>
      </c>
      <c r="AC508" t="s">
        <v>152</v>
      </c>
      <c r="AD508" t="s">
        <v>2288</v>
      </c>
      <c r="AE508" t="s">
        <v>415</v>
      </c>
      <c r="AF508" t="s">
        <v>49</v>
      </c>
      <c r="AI508" t="s">
        <v>49</v>
      </c>
      <c r="AM508" t="s">
        <v>201</v>
      </c>
      <c r="AN508" t="s">
        <v>171</v>
      </c>
    </row>
    <row r="509" spans="1:40" x14ac:dyDescent="0.2">
      <c r="A509" t="s">
        <v>435</v>
      </c>
      <c r="B509" t="s">
        <v>436</v>
      </c>
      <c r="C509">
        <v>2021</v>
      </c>
      <c r="D509" t="s">
        <v>44</v>
      </c>
      <c r="E509" t="s">
        <v>49</v>
      </c>
      <c r="F509" t="s">
        <v>54</v>
      </c>
      <c r="G509" t="s">
        <v>86</v>
      </c>
      <c r="H509" t="s">
        <v>350</v>
      </c>
      <c r="I509">
        <v>2017</v>
      </c>
      <c r="J509">
        <v>0.17</v>
      </c>
      <c r="K509" t="s">
        <v>101</v>
      </c>
      <c r="L509">
        <v>25</v>
      </c>
      <c r="M509">
        <f t="shared" si="6"/>
        <v>6.25E-2</v>
      </c>
      <c r="N509" t="s">
        <v>121</v>
      </c>
      <c r="O509" t="s">
        <v>264</v>
      </c>
      <c r="P509" t="s">
        <v>2578</v>
      </c>
      <c r="Q509" s="1" t="s">
        <v>2292</v>
      </c>
      <c r="R509" s="1" t="s">
        <v>264</v>
      </c>
      <c r="S509" s="1" t="s">
        <v>264</v>
      </c>
      <c r="X509" t="s">
        <v>304</v>
      </c>
      <c r="Y509" t="s">
        <v>2273</v>
      </c>
      <c r="Z509" t="s">
        <v>249</v>
      </c>
      <c r="AA509" t="s">
        <v>2359</v>
      </c>
      <c r="AB509" t="s">
        <v>1979</v>
      </c>
      <c r="AC509" t="s">
        <v>152</v>
      </c>
      <c r="AD509" t="s">
        <v>2288</v>
      </c>
      <c r="AE509" t="s">
        <v>415</v>
      </c>
      <c r="AG509" t="s">
        <v>49</v>
      </c>
      <c r="AI509" t="s">
        <v>49</v>
      </c>
      <c r="AM509" t="s">
        <v>442</v>
      </c>
      <c r="AN509" t="s">
        <v>171</v>
      </c>
    </row>
    <row r="510" spans="1:40" x14ac:dyDescent="0.2">
      <c r="A510" t="s">
        <v>435</v>
      </c>
      <c r="B510" t="s">
        <v>436</v>
      </c>
      <c r="C510">
        <v>2021</v>
      </c>
      <c r="D510" t="s">
        <v>44</v>
      </c>
      <c r="E510" t="s">
        <v>49</v>
      </c>
      <c r="F510" t="s">
        <v>54</v>
      </c>
      <c r="G510" t="s">
        <v>86</v>
      </c>
      <c r="H510" t="s">
        <v>350</v>
      </c>
      <c r="I510">
        <v>2017</v>
      </c>
      <c r="J510">
        <v>0.17</v>
      </c>
      <c r="K510" t="s">
        <v>101</v>
      </c>
      <c r="L510">
        <v>25</v>
      </c>
      <c r="M510">
        <f t="shared" si="6"/>
        <v>6.25E-2</v>
      </c>
      <c r="N510" t="s">
        <v>121</v>
      </c>
      <c r="O510" t="s">
        <v>264</v>
      </c>
      <c r="P510" t="s">
        <v>2578</v>
      </c>
      <c r="Q510" s="1" t="s">
        <v>2292</v>
      </c>
      <c r="R510" s="1" t="s">
        <v>264</v>
      </c>
      <c r="S510" s="1" t="s">
        <v>264</v>
      </c>
      <c r="X510" t="s">
        <v>438</v>
      </c>
      <c r="Y510" t="s">
        <v>2273</v>
      </c>
      <c r="Z510" t="s">
        <v>249</v>
      </c>
      <c r="AA510" t="s">
        <v>2359</v>
      </c>
      <c r="AB510" t="s">
        <v>1419</v>
      </c>
      <c r="AC510" t="s">
        <v>152</v>
      </c>
      <c r="AD510" t="s">
        <v>2288</v>
      </c>
      <c r="AE510" t="s">
        <v>415</v>
      </c>
      <c r="AF510" t="s">
        <v>49</v>
      </c>
      <c r="AG510" t="s">
        <v>49</v>
      </c>
      <c r="AI510" t="s">
        <v>49</v>
      </c>
      <c r="AM510" t="s">
        <v>441</v>
      </c>
      <c r="AN510" t="s">
        <v>171</v>
      </c>
    </row>
    <row r="511" spans="1:40" x14ac:dyDescent="0.2">
      <c r="A511" t="s">
        <v>435</v>
      </c>
      <c r="B511" t="s">
        <v>436</v>
      </c>
      <c r="C511">
        <v>2021</v>
      </c>
      <c r="D511" t="s">
        <v>44</v>
      </c>
      <c r="E511" t="s">
        <v>49</v>
      </c>
      <c r="F511" t="s">
        <v>54</v>
      </c>
      <c r="G511" t="s">
        <v>86</v>
      </c>
      <c r="H511" t="s">
        <v>350</v>
      </c>
      <c r="I511">
        <v>2017</v>
      </c>
      <c r="J511">
        <v>0.17</v>
      </c>
      <c r="K511" t="s">
        <v>101</v>
      </c>
      <c r="L511">
        <v>25</v>
      </c>
      <c r="M511">
        <f t="shared" si="6"/>
        <v>6.25E-2</v>
      </c>
      <c r="N511" t="s">
        <v>121</v>
      </c>
      <c r="O511" t="s">
        <v>264</v>
      </c>
      <c r="P511" t="s">
        <v>2578</v>
      </c>
      <c r="Q511" s="1" t="s">
        <v>2292</v>
      </c>
      <c r="R511" s="1" t="s">
        <v>264</v>
      </c>
      <c r="S511" s="1" t="s">
        <v>264</v>
      </c>
      <c r="X511" t="s">
        <v>439</v>
      </c>
      <c r="Y511" t="s">
        <v>2279</v>
      </c>
      <c r="Z511" t="s">
        <v>2280</v>
      </c>
      <c r="AA511" t="s">
        <v>2272</v>
      </c>
      <c r="AB511" t="s">
        <v>2272</v>
      </c>
      <c r="AC511" t="s">
        <v>315</v>
      </c>
      <c r="AD511" t="s">
        <v>2278</v>
      </c>
      <c r="AE511" t="s">
        <v>415</v>
      </c>
      <c r="AF511" t="s">
        <v>49</v>
      </c>
      <c r="AG511" t="s">
        <v>49</v>
      </c>
      <c r="AI511" t="s">
        <v>49</v>
      </c>
      <c r="AM511" t="s">
        <v>441</v>
      </c>
      <c r="AN511" t="s">
        <v>171</v>
      </c>
    </row>
    <row r="512" spans="1:40" x14ac:dyDescent="0.2">
      <c r="A512" t="s">
        <v>435</v>
      </c>
      <c r="B512" t="s">
        <v>436</v>
      </c>
      <c r="C512">
        <v>2021</v>
      </c>
      <c r="D512" t="s">
        <v>44</v>
      </c>
      <c r="E512" t="s">
        <v>49</v>
      </c>
      <c r="F512" t="s">
        <v>54</v>
      </c>
      <c r="G512" t="s">
        <v>86</v>
      </c>
      <c r="H512" t="s">
        <v>350</v>
      </c>
      <c r="I512">
        <v>2017</v>
      </c>
      <c r="J512">
        <v>0.17</v>
      </c>
      <c r="K512" t="s">
        <v>101</v>
      </c>
      <c r="L512">
        <v>25</v>
      </c>
      <c r="M512">
        <f t="shared" si="6"/>
        <v>6.25E-2</v>
      </c>
      <c r="N512" t="s">
        <v>121</v>
      </c>
      <c r="O512" t="s">
        <v>264</v>
      </c>
      <c r="P512" t="s">
        <v>2578</v>
      </c>
      <c r="Q512" s="1" t="s">
        <v>2292</v>
      </c>
      <c r="R512" s="1" t="s">
        <v>264</v>
      </c>
      <c r="S512" s="1" t="s">
        <v>264</v>
      </c>
      <c r="X512" t="s">
        <v>440</v>
      </c>
      <c r="Y512" t="s">
        <v>2279</v>
      </c>
      <c r="Z512" t="s">
        <v>2280</v>
      </c>
      <c r="AA512" t="s">
        <v>2358</v>
      </c>
      <c r="AB512" t="s">
        <v>2580</v>
      </c>
      <c r="AC512" t="s">
        <v>152</v>
      </c>
      <c r="AD512" t="s">
        <v>2278</v>
      </c>
      <c r="AE512" t="s">
        <v>415</v>
      </c>
      <c r="AF512" t="s">
        <v>49</v>
      </c>
      <c r="AG512" t="s">
        <v>49</v>
      </c>
      <c r="AI512" t="s">
        <v>49</v>
      </c>
      <c r="AM512" t="s">
        <v>441</v>
      </c>
      <c r="AN512" t="s">
        <v>171</v>
      </c>
    </row>
    <row r="513" spans="1:45" x14ac:dyDescent="0.2">
      <c r="A513" t="s">
        <v>435</v>
      </c>
      <c r="B513" t="s">
        <v>436</v>
      </c>
      <c r="C513">
        <v>2021</v>
      </c>
      <c r="D513" t="s">
        <v>44</v>
      </c>
      <c r="E513" t="s">
        <v>49</v>
      </c>
      <c r="F513" t="s">
        <v>54</v>
      </c>
      <c r="G513" t="s">
        <v>86</v>
      </c>
      <c r="H513" t="s">
        <v>350</v>
      </c>
      <c r="I513">
        <v>2017</v>
      </c>
      <c r="J513">
        <v>0.17</v>
      </c>
      <c r="K513" t="s">
        <v>104</v>
      </c>
      <c r="L513">
        <v>25</v>
      </c>
      <c r="M513">
        <f t="shared" si="6"/>
        <v>6.25E-2</v>
      </c>
      <c r="N513" t="s">
        <v>121</v>
      </c>
      <c r="O513" t="s">
        <v>264</v>
      </c>
      <c r="P513" t="s">
        <v>2578</v>
      </c>
      <c r="Q513" s="1" t="s">
        <v>2292</v>
      </c>
      <c r="R513" s="1" t="s">
        <v>264</v>
      </c>
      <c r="S513" s="1" t="s">
        <v>264</v>
      </c>
      <c r="X513" t="s">
        <v>267</v>
      </c>
      <c r="Y513" t="s">
        <v>2279</v>
      </c>
      <c r="Z513" t="s">
        <v>2280</v>
      </c>
      <c r="AA513" t="s">
        <v>2358</v>
      </c>
      <c r="AB513" t="s">
        <v>189</v>
      </c>
      <c r="AC513" t="s">
        <v>152</v>
      </c>
      <c r="AD513" t="s">
        <v>2278</v>
      </c>
      <c r="AE513" t="s">
        <v>415</v>
      </c>
      <c r="AF513" t="s">
        <v>49</v>
      </c>
      <c r="AG513" t="s">
        <v>49</v>
      </c>
      <c r="AI513" t="s">
        <v>49</v>
      </c>
      <c r="AM513" t="s">
        <v>441</v>
      </c>
      <c r="AN513" t="s">
        <v>171</v>
      </c>
    </row>
    <row r="514" spans="1:45" x14ac:dyDescent="0.2">
      <c r="A514" t="s">
        <v>435</v>
      </c>
      <c r="B514" t="s">
        <v>436</v>
      </c>
      <c r="C514">
        <v>2021</v>
      </c>
      <c r="D514" t="s">
        <v>44</v>
      </c>
      <c r="E514" t="s">
        <v>49</v>
      </c>
      <c r="F514" t="s">
        <v>54</v>
      </c>
      <c r="G514" t="s">
        <v>86</v>
      </c>
      <c r="H514" t="s">
        <v>350</v>
      </c>
      <c r="I514">
        <v>2017</v>
      </c>
      <c r="J514">
        <v>0.17</v>
      </c>
      <c r="K514" t="s">
        <v>104</v>
      </c>
      <c r="L514">
        <v>25</v>
      </c>
      <c r="M514">
        <f t="shared" si="6"/>
        <v>6.25E-2</v>
      </c>
      <c r="N514" t="s">
        <v>121</v>
      </c>
      <c r="O514" t="s">
        <v>264</v>
      </c>
      <c r="P514" t="s">
        <v>2578</v>
      </c>
      <c r="Q514" s="1" t="s">
        <v>2292</v>
      </c>
      <c r="R514" s="1" t="s">
        <v>264</v>
      </c>
      <c r="S514" s="1" t="s">
        <v>264</v>
      </c>
      <c r="X514" t="s">
        <v>267</v>
      </c>
      <c r="Y514" t="s">
        <v>2279</v>
      </c>
      <c r="Z514" t="s">
        <v>2280</v>
      </c>
      <c r="AA514" t="s">
        <v>2358</v>
      </c>
      <c r="AB514" t="s">
        <v>189</v>
      </c>
      <c r="AC514" t="s">
        <v>152</v>
      </c>
      <c r="AD514" t="s">
        <v>2278</v>
      </c>
      <c r="AE514" t="s">
        <v>415</v>
      </c>
      <c r="AF514" t="s">
        <v>49</v>
      </c>
      <c r="AI514" t="s">
        <v>49</v>
      </c>
      <c r="AM514" t="s">
        <v>201</v>
      </c>
      <c r="AN514" t="s">
        <v>171</v>
      </c>
    </row>
    <row r="515" spans="1:45" x14ac:dyDescent="0.2">
      <c r="A515" t="s">
        <v>435</v>
      </c>
      <c r="B515" t="s">
        <v>436</v>
      </c>
      <c r="C515">
        <v>2021</v>
      </c>
      <c r="D515" t="s">
        <v>44</v>
      </c>
      <c r="E515" t="s">
        <v>49</v>
      </c>
      <c r="F515" t="s">
        <v>54</v>
      </c>
      <c r="G515" t="s">
        <v>86</v>
      </c>
      <c r="H515" t="s">
        <v>350</v>
      </c>
      <c r="I515">
        <v>2017</v>
      </c>
      <c r="J515">
        <v>0.17</v>
      </c>
      <c r="K515" t="s">
        <v>104</v>
      </c>
      <c r="L515">
        <v>25</v>
      </c>
      <c r="M515">
        <f t="shared" si="6"/>
        <v>6.25E-2</v>
      </c>
      <c r="N515" t="s">
        <v>121</v>
      </c>
      <c r="O515" t="s">
        <v>264</v>
      </c>
      <c r="P515" t="s">
        <v>2578</v>
      </c>
      <c r="Q515" s="1" t="s">
        <v>2292</v>
      </c>
      <c r="R515" s="1" t="s">
        <v>264</v>
      </c>
      <c r="S515" s="1" t="s">
        <v>264</v>
      </c>
      <c r="X515" t="s">
        <v>437</v>
      </c>
      <c r="Y515" t="s">
        <v>2273</v>
      </c>
      <c r="Z515" t="s">
        <v>249</v>
      </c>
      <c r="AA515" t="s">
        <v>2359</v>
      </c>
      <c r="AB515" t="s">
        <v>1979</v>
      </c>
      <c r="AC515" t="s">
        <v>152</v>
      </c>
      <c r="AD515" t="s">
        <v>2288</v>
      </c>
      <c r="AE515" t="s">
        <v>415</v>
      </c>
      <c r="AF515" t="s">
        <v>49</v>
      </c>
      <c r="AI515" t="s">
        <v>49</v>
      </c>
      <c r="AM515" t="s">
        <v>201</v>
      </c>
      <c r="AN515" t="s">
        <v>171</v>
      </c>
    </row>
    <row r="516" spans="1:45" x14ac:dyDescent="0.2">
      <c r="A516" t="s">
        <v>435</v>
      </c>
      <c r="B516" t="s">
        <v>436</v>
      </c>
      <c r="C516">
        <v>2021</v>
      </c>
      <c r="D516" t="s">
        <v>44</v>
      </c>
      <c r="E516" t="s">
        <v>49</v>
      </c>
      <c r="F516" t="s">
        <v>54</v>
      </c>
      <c r="G516" t="s">
        <v>86</v>
      </c>
      <c r="H516" t="s">
        <v>350</v>
      </c>
      <c r="I516">
        <v>2017</v>
      </c>
      <c r="J516">
        <v>0.17</v>
      </c>
      <c r="K516" t="s">
        <v>104</v>
      </c>
      <c r="L516">
        <v>25</v>
      </c>
      <c r="M516">
        <f t="shared" si="6"/>
        <v>6.25E-2</v>
      </c>
      <c r="N516" t="s">
        <v>121</v>
      </c>
      <c r="O516" t="s">
        <v>264</v>
      </c>
      <c r="P516" t="s">
        <v>2578</v>
      </c>
      <c r="Q516" s="1" t="s">
        <v>2292</v>
      </c>
      <c r="R516" s="1" t="s">
        <v>264</v>
      </c>
      <c r="S516" s="1" t="s">
        <v>264</v>
      </c>
      <c r="X516" t="s">
        <v>304</v>
      </c>
      <c r="Y516" t="s">
        <v>2273</v>
      </c>
      <c r="Z516" t="s">
        <v>249</v>
      </c>
      <c r="AA516" t="s">
        <v>2359</v>
      </c>
      <c r="AB516" t="s">
        <v>1979</v>
      </c>
      <c r="AC516" t="s">
        <v>152</v>
      </c>
      <c r="AD516" t="s">
        <v>2288</v>
      </c>
      <c r="AE516" t="s">
        <v>415</v>
      </c>
      <c r="AG516" t="s">
        <v>49</v>
      </c>
      <c r="AI516" t="s">
        <v>49</v>
      </c>
      <c r="AM516" t="s">
        <v>442</v>
      </c>
      <c r="AN516" t="s">
        <v>171</v>
      </c>
    </row>
    <row r="517" spans="1:45" x14ac:dyDescent="0.2">
      <c r="A517" t="s">
        <v>435</v>
      </c>
      <c r="B517" t="s">
        <v>436</v>
      </c>
      <c r="C517">
        <v>2021</v>
      </c>
      <c r="D517" t="s">
        <v>44</v>
      </c>
      <c r="E517" t="s">
        <v>49</v>
      </c>
      <c r="F517" t="s">
        <v>54</v>
      </c>
      <c r="G517" t="s">
        <v>86</v>
      </c>
      <c r="H517" t="s">
        <v>350</v>
      </c>
      <c r="I517">
        <v>2017</v>
      </c>
      <c r="J517">
        <v>0.17</v>
      </c>
      <c r="K517" t="s">
        <v>104</v>
      </c>
      <c r="L517">
        <v>25</v>
      </c>
      <c r="M517">
        <f t="shared" si="6"/>
        <v>6.25E-2</v>
      </c>
      <c r="N517" t="s">
        <v>121</v>
      </c>
      <c r="O517" t="s">
        <v>264</v>
      </c>
      <c r="P517" t="s">
        <v>2578</v>
      </c>
      <c r="Q517" s="1" t="s">
        <v>2292</v>
      </c>
      <c r="R517" s="1" t="s">
        <v>264</v>
      </c>
      <c r="S517" s="1" t="s">
        <v>264</v>
      </c>
      <c r="X517" t="s">
        <v>438</v>
      </c>
      <c r="Y517" t="s">
        <v>2273</v>
      </c>
      <c r="Z517" t="s">
        <v>249</v>
      </c>
      <c r="AA517" t="s">
        <v>2359</v>
      </c>
      <c r="AB517" t="s">
        <v>1419</v>
      </c>
      <c r="AC517" t="s">
        <v>152</v>
      </c>
      <c r="AD517" t="s">
        <v>2288</v>
      </c>
      <c r="AE517" t="s">
        <v>415</v>
      </c>
      <c r="AF517" t="s">
        <v>49</v>
      </c>
      <c r="AG517" t="s">
        <v>49</v>
      </c>
      <c r="AI517" t="s">
        <v>49</v>
      </c>
      <c r="AM517" t="s">
        <v>441</v>
      </c>
      <c r="AN517" t="s">
        <v>171</v>
      </c>
    </row>
    <row r="518" spans="1:45" x14ac:dyDescent="0.2">
      <c r="A518" t="s">
        <v>435</v>
      </c>
      <c r="B518" t="s">
        <v>436</v>
      </c>
      <c r="C518">
        <v>2021</v>
      </c>
      <c r="D518" t="s">
        <v>44</v>
      </c>
      <c r="E518" t="s">
        <v>49</v>
      </c>
      <c r="F518" t="s">
        <v>54</v>
      </c>
      <c r="G518" t="s">
        <v>86</v>
      </c>
      <c r="H518" t="s">
        <v>350</v>
      </c>
      <c r="I518">
        <v>2017</v>
      </c>
      <c r="J518">
        <v>0.17</v>
      </c>
      <c r="K518" t="s">
        <v>104</v>
      </c>
      <c r="L518">
        <v>25</v>
      </c>
      <c r="M518">
        <f t="shared" si="6"/>
        <v>6.25E-2</v>
      </c>
      <c r="N518" t="s">
        <v>121</v>
      </c>
      <c r="O518" t="s">
        <v>264</v>
      </c>
      <c r="P518" t="s">
        <v>2578</v>
      </c>
      <c r="Q518" s="1" t="s">
        <v>2292</v>
      </c>
      <c r="R518" s="1" t="s">
        <v>264</v>
      </c>
      <c r="S518" s="1" t="s">
        <v>264</v>
      </c>
      <c r="X518" t="s">
        <v>439</v>
      </c>
      <c r="Y518" t="s">
        <v>2279</v>
      </c>
      <c r="Z518" t="s">
        <v>2280</v>
      </c>
      <c r="AA518" t="s">
        <v>2272</v>
      </c>
      <c r="AB518" t="s">
        <v>2272</v>
      </c>
      <c r="AC518" t="s">
        <v>315</v>
      </c>
      <c r="AD518" t="s">
        <v>2278</v>
      </c>
      <c r="AE518" t="s">
        <v>415</v>
      </c>
      <c r="AF518" t="s">
        <v>49</v>
      </c>
      <c r="AG518" t="s">
        <v>49</v>
      </c>
      <c r="AI518" t="s">
        <v>49</v>
      </c>
      <c r="AM518" t="s">
        <v>441</v>
      </c>
      <c r="AN518" t="s">
        <v>171</v>
      </c>
    </row>
    <row r="519" spans="1:45" x14ac:dyDescent="0.2">
      <c r="A519" t="s">
        <v>435</v>
      </c>
      <c r="B519" t="s">
        <v>436</v>
      </c>
      <c r="C519">
        <v>2021</v>
      </c>
      <c r="D519" t="s">
        <v>44</v>
      </c>
      <c r="E519" t="s">
        <v>49</v>
      </c>
      <c r="F519" t="s">
        <v>54</v>
      </c>
      <c r="G519" t="s">
        <v>86</v>
      </c>
      <c r="H519" t="s">
        <v>350</v>
      </c>
      <c r="I519">
        <v>2017</v>
      </c>
      <c r="J519">
        <v>0.17</v>
      </c>
      <c r="K519" t="s">
        <v>104</v>
      </c>
      <c r="L519">
        <v>25</v>
      </c>
      <c r="M519">
        <f t="shared" si="6"/>
        <v>6.25E-2</v>
      </c>
      <c r="N519" t="s">
        <v>121</v>
      </c>
      <c r="O519" t="s">
        <v>264</v>
      </c>
      <c r="P519" t="s">
        <v>2578</v>
      </c>
      <c r="Q519" s="1" t="s">
        <v>2292</v>
      </c>
      <c r="R519" s="1" t="s">
        <v>264</v>
      </c>
      <c r="S519" s="1" t="s">
        <v>264</v>
      </c>
      <c r="X519" t="s">
        <v>440</v>
      </c>
      <c r="Y519" t="s">
        <v>2279</v>
      </c>
      <c r="Z519" t="s">
        <v>2280</v>
      </c>
      <c r="AA519" t="s">
        <v>2358</v>
      </c>
      <c r="AB519" t="s">
        <v>2580</v>
      </c>
      <c r="AC519" t="s">
        <v>152</v>
      </c>
      <c r="AD519" t="s">
        <v>2278</v>
      </c>
      <c r="AE519" t="s">
        <v>415</v>
      </c>
      <c r="AF519" t="s">
        <v>49</v>
      </c>
      <c r="AG519" t="s">
        <v>49</v>
      </c>
      <c r="AI519" t="s">
        <v>49</v>
      </c>
      <c r="AM519" t="s">
        <v>441</v>
      </c>
      <c r="AN519" t="s">
        <v>171</v>
      </c>
    </row>
    <row r="520" spans="1:45" x14ac:dyDescent="0.2">
      <c r="A520" t="s">
        <v>443</v>
      </c>
      <c r="B520" t="s">
        <v>444</v>
      </c>
      <c r="C520">
        <v>2021</v>
      </c>
      <c r="Q520" s="1" t="s">
        <v>2272</v>
      </c>
      <c r="R520" s="1" t="s">
        <v>2272</v>
      </c>
      <c r="S520" s="1" t="s">
        <v>2272</v>
      </c>
      <c r="Y520" t="s">
        <v>2272</v>
      </c>
      <c r="Z520" t="s">
        <v>2272</v>
      </c>
      <c r="AA520" t="s">
        <v>2272</v>
      </c>
      <c r="AB520" t="s">
        <v>2272</v>
      </c>
      <c r="AD520" t="s">
        <v>2272</v>
      </c>
      <c r="AR520" t="s">
        <v>144</v>
      </c>
      <c r="AS520" t="s">
        <v>2584</v>
      </c>
    </row>
    <row r="521" spans="1:45" x14ac:dyDescent="0.2">
      <c r="A521" t="s">
        <v>445</v>
      </c>
      <c r="B521" t="s">
        <v>446</v>
      </c>
      <c r="C521">
        <v>2021</v>
      </c>
      <c r="D521" t="s">
        <v>45</v>
      </c>
      <c r="F521" t="s">
        <v>447</v>
      </c>
      <c r="G521" t="s">
        <v>91</v>
      </c>
      <c r="H521" t="s">
        <v>96</v>
      </c>
      <c r="I521">
        <v>2018</v>
      </c>
      <c r="J521">
        <v>8.3000000000000004E-2</v>
      </c>
      <c r="K521" t="s">
        <v>104</v>
      </c>
      <c r="L521">
        <v>0</v>
      </c>
      <c r="M521">
        <v>0</v>
      </c>
      <c r="N521" t="s">
        <v>121</v>
      </c>
      <c r="O521" t="s">
        <v>448</v>
      </c>
      <c r="P521" t="s">
        <v>286</v>
      </c>
      <c r="Q521" s="1" t="s">
        <v>2292</v>
      </c>
      <c r="R521" s="1" t="s">
        <v>264</v>
      </c>
      <c r="S521" s="1" t="s">
        <v>264</v>
      </c>
      <c r="X521" t="s">
        <v>171</v>
      </c>
      <c r="Y521" t="s">
        <v>2279</v>
      </c>
      <c r="Z521" t="s">
        <v>2280</v>
      </c>
      <c r="AA521" t="s">
        <v>2358</v>
      </c>
      <c r="AB521" t="s">
        <v>2580</v>
      </c>
      <c r="AC521" t="s">
        <v>315</v>
      </c>
      <c r="AD521" t="s">
        <v>2278</v>
      </c>
      <c r="AF521" t="s">
        <v>49</v>
      </c>
      <c r="AL521" t="s">
        <v>49</v>
      </c>
      <c r="AM521" t="s">
        <v>450</v>
      </c>
    </row>
    <row r="522" spans="1:45" x14ac:dyDescent="0.2">
      <c r="A522" t="s">
        <v>445</v>
      </c>
      <c r="B522" t="s">
        <v>446</v>
      </c>
      <c r="C522">
        <v>2021</v>
      </c>
      <c r="D522" t="s">
        <v>45</v>
      </c>
      <c r="F522" t="s">
        <v>447</v>
      </c>
      <c r="G522" t="s">
        <v>91</v>
      </c>
      <c r="H522" t="s">
        <v>96</v>
      </c>
      <c r="I522">
        <v>2018</v>
      </c>
      <c r="J522">
        <v>8.3000000000000004E-2</v>
      </c>
      <c r="K522" t="s">
        <v>104</v>
      </c>
      <c r="L522">
        <v>0</v>
      </c>
      <c r="M522">
        <v>0</v>
      </c>
      <c r="N522" t="s">
        <v>121</v>
      </c>
      <c r="O522" t="s">
        <v>448</v>
      </c>
      <c r="P522" t="s">
        <v>286</v>
      </c>
      <c r="Q522" s="1" t="s">
        <v>2292</v>
      </c>
      <c r="R522" s="1" t="s">
        <v>264</v>
      </c>
      <c r="S522" s="1" t="s">
        <v>264</v>
      </c>
      <c r="X522" t="s">
        <v>189</v>
      </c>
      <c r="Y522" t="s">
        <v>2279</v>
      </c>
      <c r="Z522" t="s">
        <v>2280</v>
      </c>
      <c r="AA522" t="s">
        <v>2358</v>
      </c>
      <c r="AB522" t="s">
        <v>189</v>
      </c>
      <c r="AC522" t="s">
        <v>152</v>
      </c>
      <c r="AD522" t="s">
        <v>2278</v>
      </c>
      <c r="AF522" t="s">
        <v>49</v>
      </c>
      <c r="AL522" t="s">
        <v>49</v>
      </c>
      <c r="AM522" t="s">
        <v>450</v>
      </c>
      <c r="AN522" t="s">
        <v>109</v>
      </c>
      <c r="AO522" t="s">
        <v>449</v>
      </c>
      <c r="AP522" t="s">
        <v>157</v>
      </c>
    </row>
    <row r="523" spans="1:45" x14ac:dyDescent="0.2">
      <c r="A523" t="s">
        <v>445</v>
      </c>
      <c r="B523" t="s">
        <v>446</v>
      </c>
      <c r="C523">
        <v>2021</v>
      </c>
      <c r="D523" t="s">
        <v>45</v>
      </c>
      <c r="F523" t="s">
        <v>447</v>
      </c>
      <c r="G523" t="s">
        <v>91</v>
      </c>
      <c r="H523" t="s">
        <v>96</v>
      </c>
      <c r="I523">
        <v>2018</v>
      </c>
      <c r="J523">
        <v>1.9E-2</v>
      </c>
      <c r="K523" t="s">
        <v>111</v>
      </c>
      <c r="L523">
        <v>0</v>
      </c>
      <c r="M523">
        <v>0</v>
      </c>
      <c r="N523" t="s">
        <v>121</v>
      </c>
      <c r="O523" t="s">
        <v>448</v>
      </c>
      <c r="P523" t="s">
        <v>286</v>
      </c>
      <c r="Q523" s="1" t="s">
        <v>2292</v>
      </c>
      <c r="R523" s="1" t="s">
        <v>264</v>
      </c>
      <c r="S523" s="1" t="s">
        <v>264</v>
      </c>
      <c r="X523" t="s">
        <v>449</v>
      </c>
      <c r="Y523" t="s">
        <v>2273</v>
      </c>
      <c r="Z523" t="s">
        <v>2356</v>
      </c>
      <c r="AA523" t="s">
        <v>2357</v>
      </c>
      <c r="AB523" t="s">
        <v>449</v>
      </c>
      <c r="AC523" t="s">
        <v>152</v>
      </c>
      <c r="AD523" t="s">
        <v>137</v>
      </c>
      <c r="AF523" t="s">
        <v>49</v>
      </c>
      <c r="AL523" t="s">
        <v>49</v>
      </c>
      <c r="AM523" t="s">
        <v>450</v>
      </c>
    </row>
    <row r="524" spans="1:45" x14ac:dyDescent="0.2">
      <c r="A524" t="s">
        <v>445</v>
      </c>
      <c r="B524" t="s">
        <v>446</v>
      </c>
      <c r="C524">
        <v>2021</v>
      </c>
      <c r="D524" t="s">
        <v>45</v>
      </c>
      <c r="F524" t="s">
        <v>447</v>
      </c>
      <c r="G524" t="s">
        <v>91</v>
      </c>
      <c r="H524" t="s">
        <v>96</v>
      </c>
      <c r="I524">
        <v>2018</v>
      </c>
      <c r="J524">
        <v>8.3000000000000004E-2</v>
      </c>
      <c r="K524" t="s">
        <v>104</v>
      </c>
      <c r="L524">
        <v>0</v>
      </c>
      <c r="M524">
        <v>0</v>
      </c>
      <c r="N524" t="s">
        <v>121</v>
      </c>
      <c r="O524" t="s">
        <v>448</v>
      </c>
      <c r="P524" t="s">
        <v>286</v>
      </c>
      <c r="Q524" s="1" t="s">
        <v>2292</v>
      </c>
      <c r="R524" s="1" t="s">
        <v>264</v>
      </c>
      <c r="S524" s="1" t="s">
        <v>264</v>
      </c>
      <c r="X524" t="s">
        <v>189</v>
      </c>
      <c r="Y524" t="s">
        <v>2279</v>
      </c>
      <c r="Z524" t="s">
        <v>2280</v>
      </c>
      <c r="AA524" t="s">
        <v>2358</v>
      </c>
      <c r="AB524" t="s">
        <v>189</v>
      </c>
      <c r="AC524" t="s">
        <v>152</v>
      </c>
      <c r="AD524" t="s">
        <v>2278</v>
      </c>
      <c r="AF524" t="s">
        <v>49</v>
      </c>
      <c r="AL524" t="s">
        <v>49</v>
      </c>
      <c r="AM524" t="s">
        <v>450</v>
      </c>
      <c r="AN524" t="s">
        <v>109</v>
      </c>
      <c r="AO524" t="s">
        <v>451</v>
      </c>
      <c r="AP524" t="s">
        <v>157</v>
      </c>
    </row>
    <row r="525" spans="1:45" x14ac:dyDescent="0.2">
      <c r="A525" t="s">
        <v>445</v>
      </c>
      <c r="B525" t="s">
        <v>446</v>
      </c>
      <c r="C525">
        <v>2021</v>
      </c>
      <c r="D525" t="s">
        <v>45</v>
      </c>
      <c r="F525" t="s">
        <v>447</v>
      </c>
      <c r="G525" t="s">
        <v>91</v>
      </c>
      <c r="H525" t="s">
        <v>96</v>
      </c>
      <c r="I525">
        <v>2018</v>
      </c>
      <c r="J525">
        <v>8.3000000000000004E-2</v>
      </c>
      <c r="K525" t="s">
        <v>104</v>
      </c>
      <c r="L525">
        <v>0</v>
      </c>
      <c r="M525">
        <v>0</v>
      </c>
      <c r="N525" t="s">
        <v>121</v>
      </c>
      <c r="O525" t="s">
        <v>448</v>
      </c>
      <c r="P525" t="s">
        <v>286</v>
      </c>
      <c r="Q525" s="1" t="s">
        <v>2292</v>
      </c>
      <c r="R525" s="1" t="s">
        <v>264</v>
      </c>
      <c r="S525" s="1" t="s">
        <v>264</v>
      </c>
      <c r="X525" t="s">
        <v>189</v>
      </c>
      <c r="Y525" t="s">
        <v>2279</v>
      </c>
      <c r="Z525" t="s">
        <v>2280</v>
      </c>
      <c r="AA525" t="s">
        <v>2358</v>
      </c>
      <c r="AB525" t="s">
        <v>189</v>
      </c>
      <c r="AC525" t="s">
        <v>152</v>
      </c>
      <c r="AD525" t="s">
        <v>2278</v>
      </c>
      <c r="AF525" t="s">
        <v>49</v>
      </c>
      <c r="AL525" t="s">
        <v>49</v>
      </c>
      <c r="AM525" t="s">
        <v>450</v>
      </c>
      <c r="AN525" t="s">
        <v>109</v>
      </c>
      <c r="AO525" t="s">
        <v>452</v>
      </c>
      <c r="AP525" t="s">
        <v>51</v>
      </c>
    </row>
    <row r="526" spans="1:45" x14ac:dyDescent="0.2">
      <c r="A526" t="s">
        <v>445</v>
      </c>
      <c r="B526" t="s">
        <v>446</v>
      </c>
      <c r="C526">
        <v>2021</v>
      </c>
      <c r="D526" t="s">
        <v>45</v>
      </c>
      <c r="F526" t="s">
        <v>447</v>
      </c>
      <c r="G526" t="s">
        <v>91</v>
      </c>
      <c r="H526" t="s">
        <v>96</v>
      </c>
      <c r="I526">
        <v>2018</v>
      </c>
      <c r="J526">
        <v>8.3000000000000004E-2</v>
      </c>
      <c r="K526" t="s">
        <v>104</v>
      </c>
      <c r="L526">
        <v>0</v>
      </c>
      <c r="M526">
        <v>0</v>
      </c>
      <c r="N526" t="s">
        <v>121</v>
      </c>
      <c r="O526" t="s">
        <v>448</v>
      </c>
      <c r="P526" t="s">
        <v>286</v>
      </c>
      <c r="Q526" s="1" t="s">
        <v>2292</v>
      </c>
      <c r="R526" s="1" t="s">
        <v>264</v>
      </c>
      <c r="S526" s="1" t="s">
        <v>264</v>
      </c>
      <c r="X526" t="s">
        <v>189</v>
      </c>
      <c r="Y526" t="s">
        <v>2279</v>
      </c>
      <c r="Z526" t="s">
        <v>2280</v>
      </c>
      <c r="AA526" t="s">
        <v>2358</v>
      </c>
      <c r="AB526" t="s">
        <v>189</v>
      </c>
      <c r="AC526" t="s">
        <v>152</v>
      </c>
      <c r="AD526" t="s">
        <v>2278</v>
      </c>
      <c r="AF526" t="s">
        <v>49</v>
      </c>
      <c r="AL526" t="s">
        <v>49</v>
      </c>
      <c r="AM526" t="s">
        <v>450</v>
      </c>
      <c r="AN526" t="s">
        <v>109</v>
      </c>
      <c r="AO526" t="s">
        <v>453</v>
      </c>
      <c r="AP526" t="s">
        <v>158</v>
      </c>
    </row>
    <row r="527" spans="1:45" x14ac:dyDescent="0.2">
      <c r="A527" t="s">
        <v>445</v>
      </c>
      <c r="B527" t="s">
        <v>446</v>
      </c>
      <c r="C527">
        <v>2021</v>
      </c>
      <c r="D527" t="s">
        <v>45</v>
      </c>
      <c r="F527" t="s">
        <v>447</v>
      </c>
      <c r="G527" t="s">
        <v>91</v>
      </c>
      <c r="H527" t="s">
        <v>96</v>
      </c>
      <c r="I527">
        <v>2018</v>
      </c>
      <c r="J527">
        <v>8.3000000000000004E-2</v>
      </c>
      <c r="K527" t="s">
        <v>104</v>
      </c>
      <c r="L527">
        <v>0</v>
      </c>
      <c r="M527">
        <v>0</v>
      </c>
      <c r="N527" t="s">
        <v>121</v>
      </c>
      <c r="O527" t="s">
        <v>448</v>
      </c>
      <c r="P527" t="s">
        <v>286</v>
      </c>
      <c r="Q527" s="1" t="s">
        <v>2292</v>
      </c>
      <c r="R527" s="1" t="s">
        <v>264</v>
      </c>
      <c r="S527" s="1" t="s">
        <v>264</v>
      </c>
      <c r="X527" t="s">
        <v>189</v>
      </c>
      <c r="Y527" t="s">
        <v>2279</v>
      </c>
      <c r="Z527" t="s">
        <v>2280</v>
      </c>
      <c r="AA527" t="s">
        <v>2358</v>
      </c>
      <c r="AB527" t="s">
        <v>189</v>
      </c>
      <c r="AC527" t="s">
        <v>152</v>
      </c>
      <c r="AD527" t="s">
        <v>2278</v>
      </c>
      <c r="AF527" t="s">
        <v>49</v>
      </c>
      <c r="AL527" t="s">
        <v>49</v>
      </c>
      <c r="AM527" t="s">
        <v>450</v>
      </c>
      <c r="AN527" t="s">
        <v>109</v>
      </c>
      <c r="AO527" t="s">
        <v>226</v>
      </c>
      <c r="AP527" t="s">
        <v>158</v>
      </c>
    </row>
    <row r="528" spans="1:45" x14ac:dyDescent="0.2">
      <c r="A528" t="s">
        <v>454</v>
      </c>
      <c r="B528" t="s">
        <v>455</v>
      </c>
      <c r="C528">
        <v>2021</v>
      </c>
      <c r="Q528" s="1" t="s">
        <v>2272</v>
      </c>
      <c r="R528" s="1" t="s">
        <v>2272</v>
      </c>
      <c r="S528" s="1" t="s">
        <v>2272</v>
      </c>
      <c r="Y528" t="s">
        <v>2272</v>
      </c>
      <c r="Z528" t="s">
        <v>2272</v>
      </c>
      <c r="AA528" t="s">
        <v>2272</v>
      </c>
      <c r="AB528" t="s">
        <v>2272</v>
      </c>
      <c r="AD528" t="s">
        <v>2272</v>
      </c>
      <c r="AR528" t="s">
        <v>144</v>
      </c>
      <c r="AS528" t="s">
        <v>2583</v>
      </c>
    </row>
    <row r="529" spans="1:45" x14ac:dyDescent="0.2">
      <c r="A529" t="s">
        <v>456</v>
      </c>
      <c r="B529" t="s">
        <v>457</v>
      </c>
      <c r="C529">
        <v>2021</v>
      </c>
      <c r="D529" t="s">
        <v>811</v>
      </c>
      <c r="E529" t="s">
        <v>49</v>
      </c>
      <c r="F529" t="s">
        <v>57</v>
      </c>
      <c r="G529" t="s">
        <v>89</v>
      </c>
      <c r="H529" t="s">
        <v>96</v>
      </c>
      <c r="I529" t="s">
        <v>458</v>
      </c>
      <c r="J529">
        <v>1</v>
      </c>
      <c r="K529" t="s">
        <v>104</v>
      </c>
      <c r="L529">
        <v>450</v>
      </c>
      <c r="M529">
        <v>0.04</v>
      </c>
      <c r="N529" t="s">
        <v>128</v>
      </c>
      <c r="O529" t="s">
        <v>459</v>
      </c>
      <c r="P529" t="s">
        <v>460</v>
      </c>
      <c r="Q529" s="1" t="s">
        <v>2276</v>
      </c>
      <c r="R529" s="1" t="s">
        <v>669</v>
      </c>
      <c r="S529" s="1" t="s">
        <v>168</v>
      </c>
      <c r="X529" t="s">
        <v>211</v>
      </c>
      <c r="Y529" t="s">
        <v>2279</v>
      </c>
      <c r="Z529" t="s">
        <v>2280</v>
      </c>
      <c r="AA529" t="s">
        <v>2358</v>
      </c>
      <c r="AB529" t="s">
        <v>2290</v>
      </c>
      <c r="AC529" t="s">
        <v>152</v>
      </c>
      <c r="AD529" t="s">
        <v>2278</v>
      </c>
      <c r="AE529" t="s">
        <v>462</v>
      </c>
      <c r="AM529" t="s">
        <v>201</v>
      </c>
      <c r="AN529" t="s">
        <v>166</v>
      </c>
      <c r="AP529" t="s">
        <v>51</v>
      </c>
      <c r="AR529" t="s">
        <v>144</v>
      </c>
      <c r="AS529" t="s">
        <v>2583</v>
      </c>
    </row>
    <row r="530" spans="1:45" x14ac:dyDescent="0.2">
      <c r="A530" t="s">
        <v>456</v>
      </c>
      <c r="B530" t="s">
        <v>457</v>
      </c>
      <c r="C530">
        <v>2021</v>
      </c>
      <c r="D530" t="s">
        <v>811</v>
      </c>
      <c r="E530" t="s">
        <v>49</v>
      </c>
      <c r="F530" t="s">
        <v>57</v>
      </c>
      <c r="G530" t="s">
        <v>89</v>
      </c>
      <c r="H530" t="s">
        <v>96</v>
      </c>
      <c r="I530" t="s">
        <v>458</v>
      </c>
      <c r="J530">
        <v>1</v>
      </c>
      <c r="K530" t="s">
        <v>42</v>
      </c>
      <c r="L530">
        <v>450</v>
      </c>
      <c r="M530">
        <v>0.04</v>
      </c>
      <c r="N530" t="s">
        <v>128</v>
      </c>
      <c r="O530" t="s">
        <v>459</v>
      </c>
      <c r="P530" t="s">
        <v>460</v>
      </c>
      <c r="Q530" s="1" t="s">
        <v>2276</v>
      </c>
      <c r="R530" s="1" t="s">
        <v>669</v>
      </c>
      <c r="S530" s="1" t="s">
        <v>168</v>
      </c>
      <c r="X530" t="s">
        <v>171</v>
      </c>
      <c r="Y530" t="s">
        <v>2273</v>
      </c>
      <c r="Z530" t="s">
        <v>249</v>
      </c>
      <c r="AA530" t="s">
        <v>2359</v>
      </c>
      <c r="AB530" t="s">
        <v>1979</v>
      </c>
      <c r="AC530" t="s">
        <v>152</v>
      </c>
      <c r="AD530" t="s">
        <v>137</v>
      </c>
      <c r="AE530" t="s">
        <v>415</v>
      </c>
      <c r="AR530" t="s">
        <v>144</v>
      </c>
      <c r="AS530" t="s">
        <v>2583</v>
      </c>
    </row>
    <row r="531" spans="1:45" x14ac:dyDescent="0.2">
      <c r="A531" t="s">
        <v>456</v>
      </c>
      <c r="B531" t="s">
        <v>457</v>
      </c>
      <c r="C531">
        <v>2021</v>
      </c>
      <c r="D531" t="s">
        <v>811</v>
      </c>
      <c r="E531" t="s">
        <v>49</v>
      </c>
      <c r="F531" t="s">
        <v>57</v>
      </c>
      <c r="G531" t="s">
        <v>89</v>
      </c>
      <c r="H531" t="s">
        <v>96</v>
      </c>
      <c r="I531" t="s">
        <v>458</v>
      </c>
      <c r="J531">
        <v>1</v>
      </c>
      <c r="K531" t="s">
        <v>42</v>
      </c>
      <c r="L531">
        <v>450</v>
      </c>
      <c r="M531">
        <v>0.04</v>
      </c>
      <c r="N531" t="s">
        <v>128</v>
      </c>
      <c r="O531" t="s">
        <v>459</v>
      </c>
      <c r="P531" t="s">
        <v>460</v>
      </c>
      <c r="Q531" s="1" t="s">
        <v>2276</v>
      </c>
      <c r="R531" s="1" t="s">
        <v>669</v>
      </c>
      <c r="S531" s="1" t="s">
        <v>168</v>
      </c>
      <c r="X531" t="s">
        <v>149</v>
      </c>
      <c r="Y531" t="s">
        <v>2273</v>
      </c>
      <c r="Z531" t="s">
        <v>249</v>
      </c>
      <c r="AA531" t="s">
        <v>2274</v>
      </c>
      <c r="AB531" t="s">
        <v>2275</v>
      </c>
      <c r="AC531" t="s">
        <v>152</v>
      </c>
      <c r="AD531" t="s">
        <v>137</v>
      </c>
      <c r="AR531" t="s">
        <v>144</v>
      </c>
      <c r="AS531" t="s">
        <v>2583</v>
      </c>
    </row>
    <row r="532" spans="1:45" x14ac:dyDescent="0.2">
      <c r="A532" t="s">
        <v>463</v>
      </c>
      <c r="B532" t="s">
        <v>464</v>
      </c>
      <c r="C532">
        <v>2021</v>
      </c>
      <c r="D532" t="s">
        <v>44</v>
      </c>
      <c r="E532" t="s">
        <v>49</v>
      </c>
      <c r="F532" t="s">
        <v>465</v>
      </c>
      <c r="G532" t="s">
        <v>86</v>
      </c>
      <c r="H532" t="s">
        <v>96</v>
      </c>
      <c r="I532">
        <v>2017</v>
      </c>
      <c r="J532">
        <f>3/12</f>
        <v>0.25</v>
      </c>
      <c r="K532" t="s">
        <v>101</v>
      </c>
      <c r="L532">
        <v>1750</v>
      </c>
      <c r="M532">
        <v>7.9000000000000008E-3</v>
      </c>
      <c r="N532" t="s">
        <v>466</v>
      </c>
      <c r="O532" t="s">
        <v>468</v>
      </c>
      <c r="P532" t="s">
        <v>467</v>
      </c>
      <c r="Q532" s="1" t="s">
        <v>2281</v>
      </c>
      <c r="R532" s="1" t="s">
        <v>2301</v>
      </c>
      <c r="S532" s="1" t="s">
        <v>2302</v>
      </c>
      <c r="X532" t="s">
        <v>189</v>
      </c>
      <c r="Y532" t="s">
        <v>2279</v>
      </c>
      <c r="Z532" t="s">
        <v>2280</v>
      </c>
      <c r="AA532" t="s">
        <v>2358</v>
      </c>
      <c r="AB532" t="s">
        <v>189</v>
      </c>
      <c r="AC532" t="s">
        <v>152</v>
      </c>
      <c r="AD532" t="s">
        <v>2278</v>
      </c>
      <c r="AE532" t="s">
        <v>415</v>
      </c>
      <c r="AG532" t="s">
        <v>49</v>
      </c>
      <c r="AI532" t="s">
        <v>49</v>
      </c>
      <c r="AM532" t="s">
        <v>202</v>
      </c>
      <c r="AN532" t="s">
        <v>165</v>
      </c>
      <c r="AP532" t="s">
        <v>51</v>
      </c>
    </row>
    <row r="533" spans="1:45" x14ac:dyDescent="0.2">
      <c r="A533" t="s">
        <v>463</v>
      </c>
      <c r="B533" t="s">
        <v>464</v>
      </c>
      <c r="C533">
        <v>2021</v>
      </c>
      <c r="D533" t="s">
        <v>44</v>
      </c>
      <c r="E533" t="s">
        <v>49</v>
      </c>
      <c r="F533" t="s">
        <v>465</v>
      </c>
      <c r="G533" t="s">
        <v>86</v>
      </c>
      <c r="H533" t="s">
        <v>96</v>
      </c>
      <c r="I533">
        <v>2017</v>
      </c>
      <c r="J533">
        <f>3/12</f>
        <v>0.25</v>
      </c>
      <c r="K533" t="s">
        <v>101</v>
      </c>
      <c r="L533">
        <v>1750</v>
      </c>
      <c r="M533">
        <v>7.9000000000000008E-3</v>
      </c>
      <c r="N533" t="s">
        <v>466</v>
      </c>
      <c r="O533" t="s">
        <v>468</v>
      </c>
      <c r="P533" t="s">
        <v>467</v>
      </c>
      <c r="Q533" s="1" t="s">
        <v>2281</v>
      </c>
      <c r="R533" s="1" t="s">
        <v>2301</v>
      </c>
      <c r="S533" s="1" t="s">
        <v>2302</v>
      </c>
      <c r="X533" t="s">
        <v>161</v>
      </c>
      <c r="Y533" t="s">
        <v>2272</v>
      </c>
      <c r="Z533" t="s">
        <v>2272</v>
      </c>
      <c r="AA533" t="s">
        <v>2272</v>
      </c>
      <c r="AB533" t="s">
        <v>2272</v>
      </c>
      <c r="AC533" t="s">
        <v>162</v>
      </c>
      <c r="AD533" t="s">
        <v>2272</v>
      </c>
      <c r="AG533" t="s">
        <v>49</v>
      </c>
      <c r="AI533" t="s">
        <v>49</v>
      </c>
      <c r="AM533" t="s">
        <v>202</v>
      </c>
      <c r="AN533" t="s">
        <v>165</v>
      </c>
    </row>
    <row r="534" spans="1:45" x14ac:dyDescent="0.2">
      <c r="A534" t="s">
        <v>463</v>
      </c>
      <c r="B534" t="s">
        <v>464</v>
      </c>
      <c r="C534">
        <v>2021</v>
      </c>
      <c r="D534" t="s">
        <v>44</v>
      </c>
      <c r="E534" t="s">
        <v>49</v>
      </c>
      <c r="F534" t="s">
        <v>465</v>
      </c>
      <c r="G534" t="s">
        <v>86</v>
      </c>
      <c r="H534" t="s">
        <v>96</v>
      </c>
      <c r="I534">
        <v>2017</v>
      </c>
      <c r="J534">
        <f t="shared" ref="J534:J537" si="7">3/12</f>
        <v>0.25</v>
      </c>
      <c r="K534" t="s">
        <v>101</v>
      </c>
      <c r="L534">
        <v>1750</v>
      </c>
      <c r="M534">
        <v>7.9000000000000008E-3</v>
      </c>
      <c r="N534" t="s">
        <v>466</v>
      </c>
      <c r="O534" t="s">
        <v>468</v>
      </c>
      <c r="P534" t="s">
        <v>467</v>
      </c>
      <c r="Q534" s="1" t="s">
        <v>2281</v>
      </c>
      <c r="R534" s="1" t="s">
        <v>2301</v>
      </c>
      <c r="S534" s="1" t="s">
        <v>2302</v>
      </c>
      <c r="X534" t="s">
        <v>161</v>
      </c>
      <c r="Y534" t="s">
        <v>2272</v>
      </c>
      <c r="Z534" t="s">
        <v>2272</v>
      </c>
      <c r="AA534" t="s">
        <v>2272</v>
      </c>
      <c r="AB534" t="s">
        <v>2272</v>
      </c>
      <c r="AC534" t="s">
        <v>162</v>
      </c>
      <c r="AD534" t="s">
        <v>2272</v>
      </c>
      <c r="AG534" t="s">
        <v>49</v>
      </c>
      <c r="AI534" t="s">
        <v>49</v>
      </c>
      <c r="AM534" t="s">
        <v>202</v>
      </c>
      <c r="AN534" t="s">
        <v>154</v>
      </c>
    </row>
    <row r="535" spans="1:45" x14ac:dyDescent="0.2">
      <c r="A535" t="s">
        <v>463</v>
      </c>
      <c r="B535" t="s">
        <v>464</v>
      </c>
      <c r="C535">
        <v>2021</v>
      </c>
      <c r="D535" t="s">
        <v>44</v>
      </c>
      <c r="E535" t="s">
        <v>49</v>
      </c>
      <c r="F535" t="s">
        <v>465</v>
      </c>
      <c r="G535" t="s">
        <v>86</v>
      </c>
      <c r="H535" t="s">
        <v>96</v>
      </c>
      <c r="I535">
        <v>2017</v>
      </c>
      <c r="J535">
        <f t="shared" si="7"/>
        <v>0.25</v>
      </c>
      <c r="K535" t="s">
        <v>101</v>
      </c>
      <c r="L535">
        <v>1750</v>
      </c>
      <c r="M535">
        <v>7.9000000000000008E-3</v>
      </c>
      <c r="N535" t="s">
        <v>466</v>
      </c>
      <c r="O535" t="s">
        <v>468</v>
      </c>
      <c r="P535" t="s">
        <v>467</v>
      </c>
      <c r="Q535" s="1" t="s">
        <v>2281</v>
      </c>
      <c r="R535" s="1" t="s">
        <v>2301</v>
      </c>
      <c r="S535" s="1" t="s">
        <v>2302</v>
      </c>
      <c r="X535" t="s">
        <v>161</v>
      </c>
      <c r="Y535" t="s">
        <v>2272</v>
      </c>
      <c r="Z535" t="s">
        <v>2272</v>
      </c>
      <c r="AA535" t="s">
        <v>2272</v>
      </c>
      <c r="AB535" t="s">
        <v>2272</v>
      </c>
      <c r="AC535" t="s">
        <v>162</v>
      </c>
      <c r="AD535" t="s">
        <v>2272</v>
      </c>
      <c r="AG535" t="s">
        <v>49</v>
      </c>
      <c r="AI535" t="s">
        <v>49</v>
      </c>
      <c r="AM535" t="s">
        <v>202</v>
      </c>
      <c r="AN535" t="s">
        <v>166</v>
      </c>
    </row>
    <row r="536" spans="1:45" x14ac:dyDescent="0.2">
      <c r="A536" t="s">
        <v>463</v>
      </c>
      <c r="B536" t="s">
        <v>464</v>
      </c>
      <c r="C536">
        <v>2021</v>
      </c>
      <c r="D536" t="s">
        <v>44</v>
      </c>
      <c r="E536" t="s">
        <v>49</v>
      </c>
      <c r="F536" t="s">
        <v>465</v>
      </c>
      <c r="G536" t="s">
        <v>86</v>
      </c>
      <c r="H536" t="s">
        <v>96</v>
      </c>
      <c r="I536">
        <v>2017</v>
      </c>
      <c r="J536">
        <f t="shared" si="7"/>
        <v>0.25</v>
      </c>
      <c r="K536" t="s">
        <v>101</v>
      </c>
      <c r="L536">
        <v>1750</v>
      </c>
      <c r="M536">
        <v>7.9000000000000008E-3</v>
      </c>
      <c r="N536" t="s">
        <v>466</v>
      </c>
      <c r="O536" t="s">
        <v>468</v>
      </c>
      <c r="P536" t="s">
        <v>467</v>
      </c>
      <c r="Q536" s="1" t="s">
        <v>2281</v>
      </c>
      <c r="R536" s="1" t="s">
        <v>2301</v>
      </c>
      <c r="S536" s="1" t="s">
        <v>2302</v>
      </c>
      <c r="X536" t="s">
        <v>161</v>
      </c>
      <c r="Y536" t="s">
        <v>2272</v>
      </c>
      <c r="Z536" t="s">
        <v>2272</v>
      </c>
      <c r="AA536" t="s">
        <v>2272</v>
      </c>
      <c r="AB536" t="s">
        <v>2272</v>
      </c>
      <c r="AC536" t="s">
        <v>162</v>
      </c>
      <c r="AD536" t="s">
        <v>2272</v>
      </c>
      <c r="AG536" t="s">
        <v>49</v>
      </c>
      <c r="AI536" t="s">
        <v>49</v>
      </c>
      <c r="AM536" t="s">
        <v>202</v>
      </c>
      <c r="AN536" t="s">
        <v>191</v>
      </c>
    </row>
    <row r="537" spans="1:45" x14ac:dyDescent="0.2">
      <c r="A537" t="s">
        <v>463</v>
      </c>
      <c r="B537" t="s">
        <v>464</v>
      </c>
      <c r="C537">
        <v>2021</v>
      </c>
      <c r="D537" t="s">
        <v>44</v>
      </c>
      <c r="E537" t="s">
        <v>49</v>
      </c>
      <c r="F537" t="s">
        <v>465</v>
      </c>
      <c r="G537" t="s">
        <v>86</v>
      </c>
      <c r="H537" t="s">
        <v>96</v>
      </c>
      <c r="I537">
        <v>2017</v>
      </c>
      <c r="J537">
        <f t="shared" si="7"/>
        <v>0.25</v>
      </c>
      <c r="K537" t="s">
        <v>101</v>
      </c>
      <c r="L537">
        <v>1750</v>
      </c>
      <c r="M537">
        <v>7.9000000000000008E-3</v>
      </c>
      <c r="N537" t="s">
        <v>466</v>
      </c>
      <c r="O537" t="s">
        <v>468</v>
      </c>
      <c r="P537" t="s">
        <v>467</v>
      </c>
      <c r="Q537" s="1" t="s">
        <v>2281</v>
      </c>
      <c r="R537" s="1" t="s">
        <v>2301</v>
      </c>
      <c r="S537" s="1" t="s">
        <v>2302</v>
      </c>
      <c r="X537" t="s">
        <v>161</v>
      </c>
      <c r="Y537" t="s">
        <v>2272</v>
      </c>
      <c r="Z537" t="s">
        <v>2272</v>
      </c>
      <c r="AA537" t="s">
        <v>2272</v>
      </c>
      <c r="AB537" t="s">
        <v>2272</v>
      </c>
      <c r="AC537" t="s">
        <v>162</v>
      </c>
      <c r="AD537" t="s">
        <v>2272</v>
      </c>
      <c r="AG537" t="s">
        <v>49</v>
      </c>
      <c r="AI537" t="s">
        <v>49</v>
      </c>
      <c r="AM537" t="s">
        <v>202</v>
      </c>
      <c r="AN537" t="s">
        <v>156</v>
      </c>
    </row>
    <row r="538" spans="1:45" x14ac:dyDescent="0.2">
      <c r="A538" t="s">
        <v>469</v>
      </c>
      <c r="B538" t="s">
        <v>470</v>
      </c>
      <c r="C538">
        <v>2021</v>
      </c>
      <c r="Q538" s="1" t="s">
        <v>2272</v>
      </c>
      <c r="R538" s="1" t="s">
        <v>2272</v>
      </c>
      <c r="S538" s="1" t="s">
        <v>2272</v>
      </c>
      <c r="Y538" t="s">
        <v>2272</v>
      </c>
      <c r="Z538" t="s">
        <v>2272</v>
      </c>
      <c r="AA538" t="s">
        <v>2272</v>
      </c>
      <c r="AB538" t="s">
        <v>2272</v>
      </c>
      <c r="AD538" t="s">
        <v>2272</v>
      </c>
      <c r="AR538" t="s">
        <v>144</v>
      </c>
      <c r="AS538" t="s">
        <v>2584</v>
      </c>
    </row>
    <row r="539" spans="1:45" x14ac:dyDescent="0.2">
      <c r="A539" t="s">
        <v>471</v>
      </c>
      <c r="B539" t="s">
        <v>472</v>
      </c>
      <c r="C539">
        <v>2021</v>
      </c>
      <c r="D539" t="s">
        <v>44</v>
      </c>
      <c r="E539" t="s">
        <v>49</v>
      </c>
      <c r="F539" t="s">
        <v>474</v>
      </c>
      <c r="G539" t="s">
        <v>473</v>
      </c>
      <c r="H539" t="s">
        <v>350</v>
      </c>
      <c r="I539" t="s">
        <v>2317</v>
      </c>
      <c r="J539">
        <v>20</v>
      </c>
      <c r="K539" t="s">
        <v>104</v>
      </c>
      <c r="L539">
        <v>1000</v>
      </c>
      <c r="N539" t="s">
        <v>121</v>
      </c>
      <c r="O539" t="s">
        <v>121</v>
      </c>
      <c r="Q539" s="1" t="s">
        <v>2292</v>
      </c>
      <c r="R539" s="1" t="s">
        <v>264</v>
      </c>
      <c r="S539" s="1" t="s">
        <v>264</v>
      </c>
      <c r="X539" t="s">
        <v>189</v>
      </c>
      <c r="Y539" t="s">
        <v>2279</v>
      </c>
      <c r="Z539" t="s">
        <v>2280</v>
      </c>
      <c r="AA539" t="s">
        <v>2358</v>
      </c>
      <c r="AB539" t="s">
        <v>189</v>
      </c>
      <c r="AC539" t="s">
        <v>152</v>
      </c>
      <c r="AD539" t="s">
        <v>2278</v>
      </c>
      <c r="AF539" t="s">
        <v>49</v>
      </c>
      <c r="AH539" s="4" t="s">
        <v>49</v>
      </c>
      <c r="AI539" t="s">
        <v>49</v>
      </c>
      <c r="AM539" t="s">
        <v>202</v>
      </c>
      <c r="AN539" t="s">
        <v>154</v>
      </c>
      <c r="AP539" t="s">
        <v>157</v>
      </c>
    </row>
    <row r="540" spans="1:45" x14ac:dyDescent="0.2">
      <c r="A540" t="s">
        <v>471</v>
      </c>
      <c r="B540" t="s">
        <v>472</v>
      </c>
      <c r="C540">
        <v>2021</v>
      </c>
      <c r="D540" t="s">
        <v>44</v>
      </c>
      <c r="E540" t="s">
        <v>49</v>
      </c>
      <c r="F540" t="s">
        <v>474</v>
      </c>
      <c r="G540" t="s">
        <v>473</v>
      </c>
      <c r="H540" t="s">
        <v>350</v>
      </c>
      <c r="I540" t="s">
        <v>2317</v>
      </c>
      <c r="J540">
        <v>20</v>
      </c>
      <c r="K540" t="s">
        <v>104</v>
      </c>
      <c r="L540">
        <v>1000</v>
      </c>
      <c r="N540" t="s">
        <v>121</v>
      </c>
      <c r="O540" t="s">
        <v>121</v>
      </c>
      <c r="Q540" s="1" t="s">
        <v>2292</v>
      </c>
      <c r="R540" s="1" t="s">
        <v>264</v>
      </c>
      <c r="S540" s="1" t="s">
        <v>264</v>
      </c>
      <c r="T540" t="s">
        <v>421</v>
      </c>
      <c r="U540" t="s">
        <v>421</v>
      </c>
      <c r="X540" t="s">
        <v>161</v>
      </c>
      <c r="Y540" t="s">
        <v>2272</v>
      </c>
      <c r="Z540" t="s">
        <v>2272</v>
      </c>
      <c r="AA540" t="s">
        <v>2272</v>
      </c>
      <c r="AB540" t="s">
        <v>2272</v>
      </c>
      <c r="AC540" t="s">
        <v>162</v>
      </c>
      <c r="AD540" t="s">
        <v>2278</v>
      </c>
      <c r="AF540" t="s">
        <v>49</v>
      </c>
      <c r="AH540" s="4" t="s">
        <v>49</v>
      </c>
      <c r="AI540" t="s">
        <v>49</v>
      </c>
      <c r="AM540" t="s">
        <v>202</v>
      </c>
      <c r="AN540" t="s">
        <v>154</v>
      </c>
      <c r="AQ540" s="5">
        <v>1</v>
      </c>
    </row>
    <row r="541" spans="1:45" x14ac:dyDescent="0.2">
      <c r="A541" t="s">
        <v>475</v>
      </c>
      <c r="B541" t="s">
        <v>145</v>
      </c>
      <c r="C541">
        <v>2021</v>
      </c>
      <c r="D541" t="s">
        <v>44</v>
      </c>
      <c r="E541" t="s">
        <v>49</v>
      </c>
      <c r="F541" t="s">
        <v>476</v>
      </c>
      <c r="G541" t="s">
        <v>86</v>
      </c>
      <c r="H541" t="s">
        <v>350</v>
      </c>
      <c r="I541">
        <v>2011</v>
      </c>
      <c r="J541">
        <v>0.42</v>
      </c>
      <c r="K541" t="s">
        <v>102</v>
      </c>
      <c r="L541">
        <v>0.5</v>
      </c>
      <c r="M541">
        <v>0</v>
      </c>
      <c r="N541" t="s">
        <v>120</v>
      </c>
      <c r="O541" t="s">
        <v>120</v>
      </c>
      <c r="P541" t="s">
        <v>477</v>
      </c>
      <c r="Q541" s="1" t="s">
        <v>2276</v>
      </c>
      <c r="R541" s="1" t="s">
        <v>669</v>
      </c>
      <c r="S541" s="1" t="s">
        <v>168</v>
      </c>
      <c r="X541" t="s">
        <v>293</v>
      </c>
      <c r="Y541" t="s">
        <v>2273</v>
      </c>
      <c r="Z541" t="s">
        <v>249</v>
      </c>
      <c r="AA541" t="s">
        <v>2359</v>
      </c>
      <c r="AB541" t="s">
        <v>1419</v>
      </c>
      <c r="AC541" t="s">
        <v>152</v>
      </c>
      <c r="AD541" t="s">
        <v>137</v>
      </c>
      <c r="AR541">
        <v>1</v>
      </c>
    </row>
    <row r="542" spans="1:45" x14ac:dyDescent="0.2">
      <c r="A542" t="s">
        <v>475</v>
      </c>
      <c r="B542" t="s">
        <v>145</v>
      </c>
      <c r="C542">
        <v>2021</v>
      </c>
      <c r="D542" t="s">
        <v>44</v>
      </c>
      <c r="E542" t="s">
        <v>49</v>
      </c>
      <c r="F542" t="s">
        <v>476</v>
      </c>
      <c r="G542" t="s">
        <v>86</v>
      </c>
      <c r="H542" t="s">
        <v>350</v>
      </c>
      <c r="I542">
        <v>2011</v>
      </c>
      <c r="J542">
        <v>0.42</v>
      </c>
      <c r="K542" t="s">
        <v>102</v>
      </c>
      <c r="L542">
        <v>0.5</v>
      </c>
      <c r="M542">
        <v>0</v>
      </c>
      <c r="N542" t="s">
        <v>120</v>
      </c>
      <c r="O542" t="s">
        <v>120</v>
      </c>
      <c r="P542" t="s">
        <v>477</v>
      </c>
      <c r="Q542" s="1" t="s">
        <v>2276</v>
      </c>
      <c r="R542" s="1" t="s">
        <v>669</v>
      </c>
      <c r="S542" s="1" t="s">
        <v>168</v>
      </c>
      <c r="X542" t="s">
        <v>480</v>
      </c>
      <c r="Y542" t="s">
        <v>2273</v>
      </c>
      <c r="Z542" t="s">
        <v>249</v>
      </c>
      <c r="AA542" t="s">
        <v>2359</v>
      </c>
      <c r="AB542" t="s">
        <v>1419</v>
      </c>
      <c r="AC542" t="s">
        <v>152</v>
      </c>
      <c r="AD542" t="s">
        <v>2288</v>
      </c>
      <c r="AR542">
        <v>1</v>
      </c>
    </row>
    <row r="543" spans="1:45" x14ac:dyDescent="0.2">
      <c r="A543" t="s">
        <v>475</v>
      </c>
      <c r="B543" t="s">
        <v>145</v>
      </c>
      <c r="C543">
        <v>2021</v>
      </c>
      <c r="D543" t="s">
        <v>44</v>
      </c>
      <c r="E543" t="s">
        <v>49</v>
      </c>
      <c r="F543" t="s">
        <v>476</v>
      </c>
      <c r="G543" t="s">
        <v>86</v>
      </c>
      <c r="H543" t="s">
        <v>350</v>
      </c>
      <c r="I543">
        <v>2011</v>
      </c>
      <c r="J543">
        <v>0.42</v>
      </c>
      <c r="K543" t="s">
        <v>102</v>
      </c>
      <c r="L543">
        <v>0.5</v>
      </c>
      <c r="M543">
        <v>0</v>
      </c>
      <c r="N543" t="s">
        <v>120</v>
      </c>
      <c r="O543" t="s">
        <v>120</v>
      </c>
      <c r="P543" t="s">
        <v>477</v>
      </c>
      <c r="Q543" s="1" t="s">
        <v>2276</v>
      </c>
      <c r="R543" s="1" t="s">
        <v>669</v>
      </c>
      <c r="S543" s="1" t="s">
        <v>168</v>
      </c>
      <c r="X543" t="s">
        <v>481</v>
      </c>
      <c r="Y543" t="s">
        <v>2273</v>
      </c>
      <c r="Z543" t="s">
        <v>249</v>
      </c>
      <c r="AA543" t="s">
        <v>2359</v>
      </c>
      <c r="AB543" t="s">
        <v>2285</v>
      </c>
      <c r="AC543" t="s">
        <v>315</v>
      </c>
      <c r="AD543" t="s">
        <v>2288</v>
      </c>
      <c r="AR543">
        <v>1</v>
      </c>
    </row>
    <row r="544" spans="1:45" x14ac:dyDescent="0.2">
      <c r="A544" t="s">
        <v>475</v>
      </c>
      <c r="B544" t="s">
        <v>145</v>
      </c>
      <c r="C544">
        <v>2021</v>
      </c>
      <c r="D544" t="s">
        <v>44</v>
      </c>
      <c r="E544" t="s">
        <v>49</v>
      </c>
      <c r="F544" t="s">
        <v>476</v>
      </c>
      <c r="G544" t="s">
        <v>86</v>
      </c>
      <c r="H544" t="s">
        <v>350</v>
      </c>
      <c r="I544">
        <v>2011</v>
      </c>
      <c r="J544">
        <v>0.42</v>
      </c>
      <c r="K544" t="s">
        <v>102</v>
      </c>
      <c r="L544">
        <v>0.5</v>
      </c>
      <c r="M544">
        <v>0</v>
      </c>
      <c r="N544" t="s">
        <v>120</v>
      </c>
      <c r="O544" t="s">
        <v>120</v>
      </c>
      <c r="P544" t="s">
        <v>477</v>
      </c>
      <c r="Q544" s="1" t="s">
        <v>2276</v>
      </c>
      <c r="R544" s="1" t="s">
        <v>669</v>
      </c>
      <c r="S544" s="1" t="s">
        <v>168</v>
      </c>
      <c r="X544" t="s">
        <v>482</v>
      </c>
      <c r="Y544" t="s">
        <v>2273</v>
      </c>
      <c r="Z544" t="s">
        <v>249</v>
      </c>
      <c r="AA544" t="s">
        <v>2359</v>
      </c>
      <c r="AB544" t="s">
        <v>1419</v>
      </c>
      <c r="AC544" t="s">
        <v>152</v>
      </c>
      <c r="AD544" t="s">
        <v>2288</v>
      </c>
      <c r="AR544">
        <v>1</v>
      </c>
    </row>
    <row r="545" spans="1:44" x14ac:dyDescent="0.2">
      <c r="A545" t="s">
        <v>475</v>
      </c>
      <c r="B545" t="s">
        <v>145</v>
      </c>
      <c r="C545">
        <v>2021</v>
      </c>
      <c r="D545" t="s">
        <v>44</v>
      </c>
      <c r="E545" t="s">
        <v>49</v>
      </c>
      <c r="F545" t="s">
        <v>476</v>
      </c>
      <c r="G545" t="s">
        <v>86</v>
      </c>
      <c r="H545" t="s">
        <v>350</v>
      </c>
      <c r="I545">
        <v>2011</v>
      </c>
      <c r="J545">
        <v>0.42</v>
      </c>
      <c r="K545" t="s">
        <v>102</v>
      </c>
      <c r="L545">
        <v>0.5</v>
      </c>
      <c r="M545">
        <v>0</v>
      </c>
      <c r="N545" t="s">
        <v>120</v>
      </c>
      <c r="O545" t="s">
        <v>120</v>
      </c>
      <c r="P545" t="s">
        <v>477</v>
      </c>
      <c r="Q545" s="1" t="s">
        <v>2276</v>
      </c>
      <c r="R545" s="1" t="s">
        <v>669</v>
      </c>
      <c r="S545" s="1" t="s">
        <v>168</v>
      </c>
      <c r="X545" t="s">
        <v>483</v>
      </c>
      <c r="Y545" t="s">
        <v>2273</v>
      </c>
      <c r="Z545" t="s">
        <v>249</v>
      </c>
      <c r="AA545" t="s">
        <v>2359</v>
      </c>
      <c r="AB545" t="s">
        <v>1419</v>
      </c>
      <c r="AC545" t="s">
        <v>152</v>
      </c>
      <c r="AD545" t="s">
        <v>2288</v>
      </c>
      <c r="AR545">
        <v>1</v>
      </c>
    </row>
    <row r="546" spans="1:44" x14ac:dyDescent="0.2">
      <c r="A546" t="s">
        <v>475</v>
      </c>
      <c r="B546" t="s">
        <v>145</v>
      </c>
      <c r="C546">
        <v>2021</v>
      </c>
      <c r="D546" t="s">
        <v>44</v>
      </c>
      <c r="E546" t="s">
        <v>49</v>
      </c>
      <c r="F546" t="s">
        <v>476</v>
      </c>
      <c r="G546" t="s">
        <v>86</v>
      </c>
      <c r="H546" t="s">
        <v>350</v>
      </c>
      <c r="I546">
        <v>2011</v>
      </c>
      <c r="J546">
        <v>0.42</v>
      </c>
      <c r="K546" t="s">
        <v>102</v>
      </c>
      <c r="L546">
        <v>0.5</v>
      </c>
      <c r="M546">
        <v>0</v>
      </c>
      <c r="N546" t="s">
        <v>120</v>
      </c>
      <c r="O546" t="s">
        <v>120</v>
      </c>
      <c r="P546" t="s">
        <v>477</v>
      </c>
      <c r="Q546" s="1" t="s">
        <v>2276</v>
      </c>
      <c r="R546" s="1" t="s">
        <v>669</v>
      </c>
      <c r="S546" s="1" t="s">
        <v>168</v>
      </c>
      <c r="X546" t="s">
        <v>484</v>
      </c>
      <c r="Y546" t="s">
        <v>2273</v>
      </c>
      <c r="Z546" t="s">
        <v>249</v>
      </c>
      <c r="AA546" t="s">
        <v>2359</v>
      </c>
      <c r="AB546" t="s">
        <v>1419</v>
      </c>
      <c r="AC546" t="s">
        <v>152</v>
      </c>
      <c r="AD546" t="s">
        <v>2288</v>
      </c>
      <c r="AR546">
        <v>1</v>
      </c>
    </row>
    <row r="547" spans="1:44" x14ac:dyDescent="0.2">
      <c r="A547" t="s">
        <v>475</v>
      </c>
      <c r="B547" t="s">
        <v>145</v>
      </c>
      <c r="C547">
        <v>2021</v>
      </c>
      <c r="D547" t="s">
        <v>44</v>
      </c>
      <c r="E547" t="s">
        <v>49</v>
      </c>
      <c r="F547" t="s">
        <v>476</v>
      </c>
      <c r="G547" t="s">
        <v>86</v>
      </c>
      <c r="H547" t="s">
        <v>350</v>
      </c>
      <c r="I547">
        <v>2011</v>
      </c>
      <c r="J547">
        <v>0.42</v>
      </c>
      <c r="K547" t="s">
        <v>102</v>
      </c>
      <c r="L547">
        <v>0.5</v>
      </c>
      <c r="M547">
        <v>0</v>
      </c>
      <c r="N547" t="s">
        <v>120</v>
      </c>
      <c r="O547" t="s">
        <v>120</v>
      </c>
      <c r="P547" t="s">
        <v>477</v>
      </c>
      <c r="Q547" s="1" t="s">
        <v>2276</v>
      </c>
      <c r="R547" s="1" t="s">
        <v>669</v>
      </c>
      <c r="S547" s="1" t="s">
        <v>168</v>
      </c>
      <c r="X547" t="s">
        <v>485</v>
      </c>
      <c r="Y547" t="s">
        <v>2273</v>
      </c>
      <c r="Z547" t="s">
        <v>249</v>
      </c>
      <c r="AA547" t="s">
        <v>2359</v>
      </c>
      <c r="AB547" t="s">
        <v>2285</v>
      </c>
      <c r="AC547" t="s">
        <v>152</v>
      </c>
      <c r="AD547" t="s">
        <v>2288</v>
      </c>
      <c r="AR547">
        <v>1</v>
      </c>
    </row>
    <row r="548" spans="1:44" x14ac:dyDescent="0.2">
      <c r="A548" t="s">
        <v>475</v>
      </c>
      <c r="B548" t="s">
        <v>145</v>
      </c>
      <c r="C548">
        <v>2021</v>
      </c>
      <c r="D548" t="s">
        <v>44</v>
      </c>
      <c r="E548" t="s">
        <v>49</v>
      </c>
      <c r="F548" t="s">
        <v>476</v>
      </c>
      <c r="G548" t="s">
        <v>86</v>
      </c>
      <c r="H548" t="s">
        <v>350</v>
      </c>
      <c r="I548">
        <v>2011</v>
      </c>
      <c r="J548">
        <v>0.42</v>
      </c>
      <c r="K548" t="s">
        <v>102</v>
      </c>
      <c r="L548">
        <v>0.5</v>
      </c>
      <c r="M548">
        <v>0</v>
      </c>
      <c r="N548" t="s">
        <v>120</v>
      </c>
      <c r="O548" t="s">
        <v>120</v>
      </c>
      <c r="P548" t="s">
        <v>477</v>
      </c>
      <c r="Q548" s="1" t="s">
        <v>2276</v>
      </c>
      <c r="R548" s="1" t="s">
        <v>669</v>
      </c>
      <c r="S548" s="1" t="s">
        <v>168</v>
      </c>
      <c r="X548" t="s">
        <v>486</v>
      </c>
      <c r="Y548" t="s">
        <v>2273</v>
      </c>
      <c r="Z548" t="s">
        <v>249</v>
      </c>
      <c r="AA548" t="s">
        <v>2359</v>
      </c>
      <c r="AB548" t="s">
        <v>2289</v>
      </c>
      <c r="AC548" t="s">
        <v>152</v>
      </c>
      <c r="AD548" t="s">
        <v>2288</v>
      </c>
      <c r="AR548">
        <v>1</v>
      </c>
    </row>
    <row r="549" spans="1:44" x14ac:dyDescent="0.2">
      <c r="A549" t="s">
        <v>475</v>
      </c>
      <c r="B549" t="s">
        <v>145</v>
      </c>
      <c r="C549">
        <v>2021</v>
      </c>
      <c r="D549" t="s">
        <v>44</v>
      </c>
      <c r="E549" t="s">
        <v>49</v>
      </c>
      <c r="F549" t="s">
        <v>476</v>
      </c>
      <c r="G549" t="s">
        <v>86</v>
      </c>
      <c r="H549" t="s">
        <v>350</v>
      </c>
      <c r="I549">
        <v>2011</v>
      </c>
      <c r="J549">
        <v>0.42</v>
      </c>
      <c r="K549" t="s">
        <v>102</v>
      </c>
      <c r="L549">
        <v>0.5</v>
      </c>
      <c r="M549">
        <v>0</v>
      </c>
      <c r="N549" t="s">
        <v>120</v>
      </c>
      <c r="O549" t="s">
        <v>120</v>
      </c>
      <c r="P549" t="s">
        <v>477</v>
      </c>
      <c r="Q549" s="1" t="s">
        <v>2276</v>
      </c>
      <c r="R549" s="1" t="s">
        <v>669</v>
      </c>
      <c r="S549" s="1" t="s">
        <v>168</v>
      </c>
      <c r="X549" t="s">
        <v>488</v>
      </c>
      <c r="Y549" t="s">
        <v>2273</v>
      </c>
      <c r="Z549" t="s">
        <v>249</v>
      </c>
      <c r="AA549" t="s">
        <v>2359</v>
      </c>
      <c r="AB549" t="s">
        <v>2285</v>
      </c>
      <c r="AC549" t="s">
        <v>152</v>
      </c>
      <c r="AD549" t="s">
        <v>2288</v>
      </c>
      <c r="AR549">
        <v>1</v>
      </c>
    </row>
    <row r="550" spans="1:44" x14ac:dyDescent="0.2">
      <c r="A550" t="s">
        <v>475</v>
      </c>
      <c r="B550" t="s">
        <v>145</v>
      </c>
      <c r="C550">
        <v>2021</v>
      </c>
      <c r="D550" t="s">
        <v>44</v>
      </c>
      <c r="E550" t="s">
        <v>49</v>
      </c>
      <c r="F550" t="s">
        <v>476</v>
      </c>
      <c r="G550" t="s">
        <v>86</v>
      </c>
      <c r="H550" t="s">
        <v>350</v>
      </c>
      <c r="I550">
        <v>2011</v>
      </c>
      <c r="J550">
        <v>0.42</v>
      </c>
      <c r="K550" t="s">
        <v>102</v>
      </c>
      <c r="L550">
        <v>0.5</v>
      </c>
      <c r="M550">
        <v>0</v>
      </c>
      <c r="N550" t="s">
        <v>120</v>
      </c>
      <c r="O550" t="s">
        <v>120</v>
      </c>
      <c r="P550" t="s">
        <v>477</v>
      </c>
      <c r="Q550" s="1" t="s">
        <v>2276</v>
      </c>
      <c r="R550" s="1" t="s">
        <v>669</v>
      </c>
      <c r="S550" s="1" t="s">
        <v>168</v>
      </c>
      <c r="X550" t="s">
        <v>487</v>
      </c>
      <c r="Y550" t="s">
        <v>2273</v>
      </c>
      <c r="Z550" t="s">
        <v>249</v>
      </c>
      <c r="AA550" t="s">
        <v>2359</v>
      </c>
      <c r="AB550" t="s">
        <v>2289</v>
      </c>
      <c r="AC550" t="s">
        <v>152</v>
      </c>
      <c r="AD550" t="s">
        <v>2288</v>
      </c>
      <c r="AR550">
        <v>1</v>
      </c>
    </row>
    <row r="551" spans="1:44" x14ac:dyDescent="0.2">
      <c r="A551" t="s">
        <v>475</v>
      </c>
      <c r="B551" t="s">
        <v>145</v>
      </c>
      <c r="C551">
        <v>2021</v>
      </c>
      <c r="D551" t="s">
        <v>44</v>
      </c>
      <c r="E551" t="s">
        <v>49</v>
      </c>
      <c r="F551" t="s">
        <v>476</v>
      </c>
      <c r="G551" t="s">
        <v>86</v>
      </c>
      <c r="H551" t="s">
        <v>350</v>
      </c>
      <c r="I551">
        <v>2011</v>
      </c>
      <c r="J551">
        <v>0.42</v>
      </c>
      <c r="K551" t="s">
        <v>102</v>
      </c>
      <c r="L551">
        <v>0.5</v>
      </c>
      <c r="M551">
        <v>0</v>
      </c>
      <c r="N551" t="s">
        <v>120</v>
      </c>
      <c r="O551" t="s">
        <v>120</v>
      </c>
      <c r="P551" t="s">
        <v>477</v>
      </c>
      <c r="Q551" s="1" t="s">
        <v>2276</v>
      </c>
      <c r="R551" s="1" t="s">
        <v>669</v>
      </c>
      <c r="S551" s="1" t="s">
        <v>168</v>
      </c>
      <c r="X551" t="s">
        <v>489</v>
      </c>
      <c r="Y551" t="s">
        <v>2273</v>
      </c>
      <c r="Z551" t="s">
        <v>249</v>
      </c>
      <c r="AA551" t="s">
        <v>2274</v>
      </c>
      <c r="AB551" t="s">
        <v>2298</v>
      </c>
      <c r="AC551" t="s">
        <v>315</v>
      </c>
      <c r="AD551" t="s">
        <v>137</v>
      </c>
      <c r="AR551">
        <v>1</v>
      </c>
    </row>
    <row r="552" spans="1:44" x14ac:dyDescent="0.2">
      <c r="A552" t="s">
        <v>475</v>
      </c>
      <c r="B552" t="s">
        <v>145</v>
      </c>
      <c r="C552">
        <v>2021</v>
      </c>
      <c r="D552" t="s">
        <v>44</v>
      </c>
      <c r="E552" t="s">
        <v>49</v>
      </c>
      <c r="F552" t="s">
        <v>476</v>
      </c>
      <c r="G552" t="s">
        <v>86</v>
      </c>
      <c r="H552" t="s">
        <v>350</v>
      </c>
      <c r="I552">
        <v>2011</v>
      </c>
      <c r="J552">
        <v>0.42</v>
      </c>
      <c r="K552" t="s">
        <v>102</v>
      </c>
      <c r="L552">
        <v>0.5</v>
      </c>
      <c r="M552">
        <v>0</v>
      </c>
      <c r="N552" t="s">
        <v>120</v>
      </c>
      <c r="O552" t="s">
        <v>120</v>
      </c>
      <c r="P552" t="s">
        <v>477</v>
      </c>
      <c r="Q552" s="1" t="s">
        <v>2276</v>
      </c>
      <c r="R552" s="1" t="s">
        <v>669</v>
      </c>
      <c r="S552" s="1" t="s">
        <v>168</v>
      </c>
      <c r="X552" t="s">
        <v>461</v>
      </c>
      <c r="Y552" t="s">
        <v>2273</v>
      </c>
      <c r="Z552" t="s">
        <v>249</v>
      </c>
      <c r="AA552" t="s">
        <v>2274</v>
      </c>
      <c r="AB552" t="s">
        <v>2275</v>
      </c>
      <c r="AC552" t="s">
        <v>152</v>
      </c>
      <c r="AD552" t="s">
        <v>137</v>
      </c>
      <c r="AR552">
        <v>1</v>
      </c>
    </row>
    <row r="553" spans="1:44" x14ac:dyDescent="0.2">
      <c r="A553" t="s">
        <v>475</v>
      </c>
      <c r="B553" t="s">
        <v>145</v>
      </c>
      <c r="C553">
        <v>2021</v>
      </c>
      <c r="D553" t="s">
        <v>44</v>
      </c>
      <c r="E553" t="s">
        <v>49</v>
      </c>
      <c r="F553" t="s">
        <v>476</v>
      </c>
      <c r="G553" t="s">
        <v>86</v>
      </c>
      <c r="H553" t="s">
        <v>350</v>
      </c>
      <c r="I553">
        <v>2011</v>
      </c>
      <c r="J553">
        <v>0.42</v>
      </c>
      <c r="K553" t="s">
        <v>102</v>
      </c>
      <c r="L553">
        <v>0.5</v>
      </c>
      <c r="M553">
        <v>0</v>
      </c>
      <c r="N553" t="s">
        <v>120</v>
      </c>
      <c r="O553" t="s">
        <v>120</v>
      </c>
      <c r="P553" t="s">
        <v>477</v>
      </c>
      <c r="Q553" s="1" t="s">
        <v>2276</v>
      </c>
      <c r="R553" s="1" t="s">
        <v>669</v>
      </c>
      <c r="S553" s="1" t="s">
        <v>168</v>
      </c>
      <c r="X553" t="s">
        <v>176</v>
      </c>
      <c r="Y553" t="s">
        <v>2273</v>
      </c>
      <c r="Z553" t="s">
        <v>249</v>
      </c>
      <c r="AA553" t="s">
        <v>2359</v>
      </c>
      <c r="AB553" t="s">
        <v>2285</v>
      </c>
      <c r="AC553" t="s">
        <v>152</v>
      </c>
      <c r="AD553" t="s">
        <v>137</v>
      </c>
      <c r="AE553" t="s">
        <v>491</v>
      </c>
      <c r="AF553" t="s">
        <v>49</v>
      </c>
      <c r="AK553" t="s">
        <v>49</v>
      </c>
      <c r="AM553" t="s">
        <v>295</v>
      </c>
      <c r="AN553" t="s">
        <v>166</v>
      </c>
      <c r="AP553" t="s">
        <v>49</v>
      </c>
      <c r="AR553">
        <v>1</v>
      </c>
    </row>
    <row r="554" spans="1:44" x14ac:dyDescent="0.2">
      <c r="A554" t="s">
        <v>475</v>
      </c>
      <c r="B554" t="s">
        <v>145</v>
      </c>
      <c r="C554">
        <v>2021</v>
      </c>
      <c r="D554" t="s">
        <v>44</v>
      </c>
      <c r="E554" t="s">
        <v>49</v>
      </c>
      <c r="F554" t="s">
        <v>476</v>
      </c>
      <c r="G554" t="s">
        <v>86</v>
      </c>
      <c r="H554" t="s">
        <v>350</v>
      </c>
      <c r="I554">
        <v>2011</v>
      </c>
      <c r="J554">
        <v>0.42</v>
      </c>
      <c r="K554" t="s">
        <v>102</v>
      </c>
      <c r="L554">
        <v>0.5</v>
      </c>
      <c r="M554">
        <v>0</v>
      </c>
      <c r="N554" t="s">
        <v>120</v>
      </c>
      <c r="O554" t="s">
        <v>120</v>
      </c>
      <c r="P554" t="s">
        <v>477</v>
      </c>
      <c r="Q554" s="1" t="s">
        <v>2276</v>
      </c>
      <c r="R554" s="1" t="s">
        <v>669</v>
      </c>
      <c r="S554" s="1" t="s">
        <v>168</v>
      </c>
      <c r="X554" t="s">
        <v>478</v>
      </c>
      <c r="Y554" t="s">
        <v>2273</v>
      </c>
      <c r="Z554" t="s">
        <v>249</v>
      </c>
      <c r="AA554" t="s">
        <v>2359</v>
      </c>
      <c r="AB554" t="s">
        <v>2285</v>
      </c>
      <c r="AC554" t="s">
        <v>315</v>
      </c>
      <c r="AD554" t="s">
        <v>2288</v>
      </c>
      <c r="AE554" t="s">
        <v>491</v>
      </c>
      <c r="AF554" t="s">
        <v>49</v>
      </c>
      <c r="AK554" t="s">
        <v>49</v>
      </c>
      <c r="AM554" t="s">
        <v>295</v>
      </c>
      <c r="AN554" t="s">
        <v>166</v>
      </c>
      <c r="AP554" t="s">
        <v>49</v>
      </c>
      <c r="AR554">
        <v>1</v>
      </c>
    </row>
    <row r="555" spans="1:44" x14ac:dyDescent="0.2">
      <c r="A555" t="s">
        <v>475</v>
      </c>
      <c r="B555" t="s">
        <v>145</v>
      </c>
      <c r="C555">
        <v>2021</v>
      </c>
      <c r="D555" t="s">
        <v>44</v>
      </c>
      <c r="E555" t="s">
        <v>49</v>
      </c>
      <c r="F555" t="s">
        <v>476</v>
      </c>
      <c r="G555" t="s">
        <v>86</v>
      </c>
      <c r="H555" t="s">
        <v>350</v>
      </c>
      <c r="I555">
        <v>2011</v>
      </c>
      <c r="J555">
        <v>0.42</v>
      </c>
      <c r="K555" t="s">
        <v>102</v>
      </c>
      <c r="L555">
        <v>0.5</v>
      </c>
      <c r="M555">
        <v>0</v>
      </c>
      <c r="N555" t="s">
        <v>120</v>
      </c>
      <c r="O555" t="s">
        <v>120</v>
      </c>
      <c r="P555" t="s">
        <v>477</v>
      </c>
      <c r="Q555" s="1" t="s">
        <v>2276</v>
      </c>
      <c r="R555" s="1" t="s">
        <v>669</v>
      </c>
      <c r="S555" s="1" t="s">
        <v>168</v>
      </c>
      <c r="X555" t="s">
        <v>321</v>
      </c>
      <c r="Y555" t="s">
        <v>2273</v>
      </c>
      <c r="Z555" t="s">
        <v>249</v>
      </c>
      <c r="AA555" t="s">
        <v>2274</v>
      </c>
      <c r="AB555" t="s">
        <v>2298</v>
      </c>
      <c r="AC555" t="s">
        <v>315</v>
      </c>
      <c r="AD555" t="s">
        <v>2288</v>
      </c>
      <c r="AE555" t="s">
        <v>491</v>
      </c>
      <c r="AF555" t="s">
        <v>49</v>
      </c>
      <c r="AK555" t="s">
        <v>49</v>
      </c>
      <c r="AM555" t="s">
        <v>295</v>
      </c>
      <c r="AN555" t="s">
        <v>166</v>
      </c>
      <c r="AP555" t="s">
        <v>49</v>
      </c>
      <c r="AR555">
        <v>1</v>
      </c>
    </row>
    <row r="556" spans="1:44" x14ac:dyDescent="0.2">
      <c r="A556" t="s">
        <v>475</v>
      </c>
      <c r="B556" t="s">
        <v>145</v>
      </c>
      <c r="C556">
        <v>2021</v>
      </c>
      <c r="D556" t="s">
        <v>44</v>
      </c>
      <c r="E556" t="s">
        <v>49</v>
      </c>
      <c r="F556" t="s">
        <v>476</v>
      </c>
      <c r="G556" t="s">
        <v>86</v>
      </c>
      <c r="H556" t="s">
        <v>350</v>
      </c>
      <c r="I556">
        <v>2011</v>
      </c>
      <c r="J556">
        <v>0.42</v>
      </c>
      <c r="K556" t="s">
        <v>102</v>
      </c>
      <c r="L556">
        <v>0.5</v>
      </c>
      <c r="M556">
        <v>0</v>
      </c>
      <c r="N556" t="s">
        <v>120</v>
      </c>
      <c r="O556" t="s">
        <v>120</v>
      </c>
      <c r="P556" t="s">
        <v>477</v>
      </c>
      <c r="Q556" s="1" t="s">
        <v>2276</v>
      </c>
      <c r="R556" s="1" t="s">
        <v>669</v>
      </c>
      <c r="S556" s="1" t="s">
        <v>168</v>
      </c>
      <c r="X556" t="s">
        <v>479</v>
      </c>
      <c r="Y556" t="s">
        <v>2273</v>
      </c>
      <c r="Z556" t="s">
        <v>249</v>
      </c>
      <c r="AA556" t="s">
        <v>2359</v>
      </c>
      <c r="AB556" t="s">
        <v>2289</v>
      </c>
      <c r="AC556" t="s">
        <v>315</v>
      </c>
      <c r="AD556" t="s">
        <v>137</v>
      </c>
      <c r="AE556" t="s">
        <v>491</v>
      </c>
      <c r="AF556" t="s">
        <v>49</v>
      </c>
      <c r="AK556" t="s">
        <v>49</v>
      </c>
      <c r="AM556" t="s">
        <v>295</v>
      </c>
      <c r="AN556" t="s">
        <v>166</v>
      </c>
      <c r="AP556" t="s">
        <v>49</v>
      </c>
      <c r="AR556">
        <v>1</v>
      </c>
    </row>
    <row r="557" spans="1:44" x14ac:dyDescent="0.2">
      <c r="A557" t="s">
        <v>475</v>
      </c>
      <c r="B557" t="s">
        <v>145</v>
      </c>
      <c r="C557">
        <v>2021</v>
      </c>
      <c r="D557" t="s">
        <v>44</v>
      </c>
      <c r="E557" t="s">
        <v>49</v>
      </c>
      <c r="F557" t="s">
        <v>476</v>
      </c>
      <c r="G557" t="s">
        <v>86</v>
      </c>
      <c r="H557" t="s">
        <v>350</v>
      </c>
      <c r="I557">
        <v>2011</v>
      </c>
      <c r="J557">
        <v>0.42</v>
      </c>
      <c r="K557" t="s">
        <v>102</v>
      </c>
      <c r="L557">
        <v>0.5</v>
      </c>
      <c r="M557">
        <v>0</v>
      </c>
      <c r="N557" t="s">
        <v>120</v>
      </c>
      <c r="O557" t="s">
        <v>120</v>
      </c>
      <c r="P557" t="s">
        <v>477</v>
      </c>
      <c r="Q557" s="1" t="s">
        <v>2276</v>
      </c>
      <c r="R557" s="1" t="s">
        <v>669</v>
      </c>
      <c r="S557" s="1" t="s">
        <v>168</v>
      </c>
      <c r="X557" t="s">
        <v>171</v>
      </c>
      <c r="Y557" t="s">
        <v>2273</v>
      </c>
      <c r="Z557" t="s">
        <v>249</v>
      </c>
      <c r="AA557" t="s">
        <v>2359</v>
      </c>
      <c r="AB557" t="s">
        <v>1979</v>
      </c>
      <c r="AC557" t="s">
        <v>152</v>
      </c>
      <c r="AD557" t="s">
        <v>137</v>
      </c>
      <c r="AE557" t="s">
        <v>491</v>
      </c>
      <c r="AF557" t="s">
        <v>49</v>
      </c>
      <c r="AK557" t="s">
        <v>49</v>
      </c>
      <c r="AM557" t="s">
        <v>295</v>
      </c>
      <c r="AN557" t="s">
        <v>166</v>
      </c>
      <c r="AP557" t="s">
        <v>49</v>
      </c>
      <c r="AR557">
        <v>1</v>
      </c>
    </row>
    <row r="558" spans="1:44" x14ac:dyDescent="0.2">
      <c r="A558" t="s">
        <v>475</v>
      </c>
      <c r="B558" t="s">
        <v>145</v>
      </c>
      <c r="C558">
        <v>2021</v>
      </c>
      <c r="D558" t="s">
        <v>44</v>
      </c>
      <c r="E558" t="s">
        <v>49</v>
      </c>
      <c r="F558" t="s">
        <v>476</v>
      </c>
      <c r="G558" t="s">
        <v>86</v>
      </c>
      <c r="H558" t="s">
        <v>350</v>
      </c>
      <c r="I558">
        <v>2011</v>
      </c>
      <c r="J558">
        <v>0.42</v>
      </c>
      <c r="K558" t="s">
        <v>102</v>
      </c>
      <c r="L558">
        <v>0.5</v>
      </c>
      <c r="M558">
        <v>0</v>
      </c>
      <c r="N558" t="s">
        <v>120</v>
      </c>
      <c r="O558" t="s">
        <v>120</v>
      </c>
      <c r="P558" t="s">
        <v>477</v>
      </c>
      <c r="Q558" s="1" t="s">
        <v>2276</v>
      </c>
      <c r="R558" s="1" t="s">
        <v>669</v>
      </c>
      <c r="S558" s="1" t="s">
        <v>168</v>
      </c>
      <c r="X558" t="s">
        <v>490</v>
      </c>
      <c r="Y558" t="s">
        <v>2279</v>
      </c>
      <c r="Z558" t="s">
        <v>2280</v>
      </c>
      <c r="AA558" t="s">
        <v>2358</v>
      </c>
      <c r="AB558" t="s">
        <v>189</v>
      </c>
      <c r="AC558" t="s">
        <v>152</v>
      </c>
      <c r="AD558" t="s">
        <v>2278</v>
      </c>
      <c r="AF558" t="s">
        <v>49</v>
      </c>
      <c r="AK558" t="s">
        <v>49</v>
      </c>
      <c r="AM558" t="s">
        <v>295</v>
      </c>
      <c r="AN558" t="s">
        <v>166</v>
      </c>
      <c r="AP558" t="s">
        <v>157</v>
      </c>
      <c r="AR558">
        <v>1</v>
      </c>
    </row>
    <row r="559" spans="1:44" x14ac:dyDescent="0.2">
      <c r="A559" t="s">
        <v>475</v>
      </c>
      <c r="B559" t="s">
        <v>145</v>
      </c>
      <c r="C559">
        <v>2021</v>
      </c>
      <c r="D559" t="s">
        <v>44</v>
      </c>
      <c r="E559" t="s">
        <v>49</v>
      </c>
      <c r="F559" t="s">
        <v>476</v>
      </c>
      <c r="G559" t="s">
        <v>86</v>
      </c>
      <c r="H559" t="s">
        <v>350</v>
      </c>
      <c r="I559">
        <v>2011</v>
      </c>
      <c r="J559">
        <v>0.42</v>
      </c>
      <c r="K559" t="s">
        <v>102</v>
      </c>
      <c r="L559">
        <v>0.5</v>
      </c>
      <c r="M559">
        <v>0</v>
      </c>
      <c r="N559" t="s">
        <v>120</v>
      </c>
      <c r="O559" t="s">
        <v>120</v>
      </c>
      <c r="P559" t="s">
        <v>477</v>
      </c>
      <c r="Q559" s="1" t="s">
        <v>2276</v>
      </c>
      <c r="R559" s="1" t="s">
        <v>669</v>
      </c>
      <c r="S559" s="1" t="s">
        <v>168</v>
      </c>
      <c r="X559" t="s">
        <v>490</v>
      </c>
      <c r="Y559" t="s">
        <v>2279</v>
      </c>
      <c r="Z559" t="s">
        <v>2280</v>
      </c>
      <c r="AA559" t="s">
        <v>2358</v>
      </c>
      <c r="AB559" t="s">
        <v>189</v>
      </c>
      <c r="AC559" t="s">
        <v>152</v>
      </c>
      <c r="AD559" t="s">
        <v>2278</v>
      </c>
      <c r="AF559" t="s">
        <v>49</v>
      </c>
      <c r="AK559" t="s">
        <v>49</v>
      </c>
      <c r="AM559" t="s">
        <v>295</v>
      </c>
      <c r="AN559" t="s">
        <v>154</v>
      </c>
      <c r="AP559" t="s">
        <v>157</v>
      </c>
      <c r="AR559">
        <v>1</v>
      </c>
    </row>
    <row r="560" spans="1:44" x14ac:dyDescent="0.2">
      <c r="A560" t="s">
        <v>475</v>
      </c>
      <c r="B560" t="s">
        <v>145</v>
      </c>
      <c r="C560">
        <v>2021</v>
      </c>
      <c r="D560" t="s">
        <v>44</v>
      </c>
      <c r="E560" t="s">
        <v>49</v>
      </c>
      <c r="F560" t="s">
        <v>476</v>
      </c>
      <c r="G560" t="s">
        <v>86</v>
      </c>
      <c r="H560" t="s">
        <v>350</v>
      </c>
      <c r="I560">
        <v>2011</v>
      </c>
      <c r="J560">
        <v>0.42</v>
      </c>
      <c r="K560" t="s">
        <v>102</v>
      </c>
      <c r="L560">
        <v>0.5</v>
      </c>
      <c r="M560">
        <v>0</v>
      </c>
      <c r="N560" t="s">
        <v>120</v>
      </c>
      <c r="O560" t="s">
        <v>120</v>
      </c>
      <c r="P560" t="s">
        <v>477</v>
      </c>
      <c r="Q560" s="1" t="s">
        <v>2276</v>
      </c>
      <c r="R560" s="1" t="s">
        <v>669</v>
      </c>
      <c r="S560" s="1" t="s">
        <v>168</v>
      </c>
      <c r="X560" t="s">
        <v>490</v>
      </c>
      <c r="Y560" t="s">
        <v>2279</v>
      </c>
      <c r="Z560" t="s">
        <v>2280</v>
      </c>
      <c r="AA560" t="s">
        <v>2358</v>
      </c>
      <c r="AB560" t="s">
        <v>189</v>
      </c>
      <c r="AC560" t="s">
        <v>152</v>
      </c>
      <c r="AD560" t="s">
        <v>2278</v>
      </c>
      <c r="AF560" t="s">
        <v>49</v>
      </c>
      <c r="AK560" t="s">
        <v>49</v>
      </c>
      <c r="AM560" t="s">
        <v>295</v>
      </c>
      <c r="AN560" t="s">
        <v>165</v>
      </c>
      <c r="AP560" t="s">
        <v>49</v>
      </c>
      <c r="AR560">
        <v>1</v>
      </c>
    </row>
    <row r="561" spans="1:44" x14ac:dyDescent="0.2">
      <c r="A561" t="s">
        <v>475</v>
      </c>
      <c r="B561" t="s">
        <v>145</v>
      </c>
      <c r="C561">
        <v>2021</v>
      </c>
      <c r="D561" t="s">
        <v>44</v>
      </c>
      <c r="E561" t="s">
        <v>49</v>
      </c>
      <c r="F561" t="s">
        <v>476</v>
      </c>
      <c r="G561" t="s">
        <v>86</v>
      </c>
      <c r="H561" t="s">
        <v>350</v>
      </c>
      <c r="I561">
        <v>2011</v>
      </c>
      <c r="J561">
        <v>0.42</v>
      </c>
      <c r="K561" t="s">
        <v>102</v>
      </c>
      <c r="L561">
        <v>0.5</v>
      </c>
      <c r="M561">
        <v>0</v>
      </c>
      <c r="N561" t="s">
        <v>120</v>
      </c>
      <c r="O561" t="s">
        <v>120</v>
      </c>
      <c r="P561" t="s">
        <v>477</v>
      </c>
      <c r="Q561" s="1" t="s">
        <v>2276</v>
      </c>
      <c r="R561" s="1" t="s">
        <v>669</v>
      </c>
      <c r="S561" s="1" t="s">
        <v>168</v>
      </c>
      <c r="X561" t="s">
        <v>490</v>
      </c>
      <c r="Y561" t="s">
        <v>2279</v>
      </c>
      <c r="Z561" t="s">
        <v>2280</v>
      </c>
      <c r="AA561" t="s">
        <v>2358</v>
      </c>
      <c r="AB561" t="s">
        <v>189</v>
      </c>
      <c r="AC561" t="s">
        <v>152</v>
      </c>
      <c r="AD561" t="s">
        <v>2278</v>
      </c>
      <c r="AF561" t="s">
        <v>49</v>
      </c>
      <c r="AK561" t="s">
        <v>49</v>
      </c>
      <c r="AM561" t="s">
        <v>295</v>
      </c>
      <c r="AN561" t="s">
        <v>191</v>
      </c>
      <c r="AP561" t="s">
        <v>49</v>
      </c>
      <c r="AR561">
        <v>1</v>
      </c>
    </row>
    <row r="562" spans="1:44" x14ac:dyDescent="0.2">
      <c r="A562" t="s">
        <v>475</v>
      </c>
      <c r="B562" t="s">
        <v>145</v>
      </c>
      <c r="C562">
        <v>2021</v>
      </c>
      <c r="D562" t="s">
        <v>44</v>
      </c>
      <c r="E562" t="s">
        <v>49</v>
      </c>
      <c r="F562" t="s">
        <v>476</v>
      </c>
      <c r="G562" t="s">
        <v>86</v>
      </c>
      <c r="H562" t="s">
        <v>350</v>
      </c>
      <c r="I562">
        <v>2011</v>
      </c>
      <c r="J562">
        <v>0.42</v>
      </c>
      <c r="K562" t="s">
        <v>102</v>
      </c>
      <c r="L562">
        <v>0.5</v>
      </c>
      <c r="M562">
        <v>0</v>
      </c>
      <c r="N562" t="s">
        <v>120</v>
      </c>
      <c r="O562" t="s">
        <v>120</v>
      </c>
      <c r="P562" t="s">
        <v>477</v>
      </c>
      <c r="Q562" s="1" t="s">
        <v>2276</v>
      </c>
      <c r="R562" s="1" t="s">
        <v>669</v>
      </c>
      <c r="S562" s="1" t="s">
        <v>168</v>
      </c>
      <c r="X562" t="s">
        <v>176</v>
      </c>
      <c r="Y562" t="s">
        <v>2273</v>
      </c>
      <c r="Z562" t="s">
        <v>249</v>
      </c>
      <c r="AA562" t="s">
        <v>2359</v>
      </c>
      <c r="AB562" t="s">
        <v>2285</v>
      </c>
      <c r="AC562" t="s">
        <v>152</v>
      </c>
      <c r="AD562" t="s">
        <v>137</v>
      </c>
      <c r="AE562" t="s">
        <v>491</v>
      </c>
      <c r="AF562" t="s">
        <v>49</v>
      </c>
      <c r="AK562" t="s">
        <v>49</v>
      </c>
      <c r="AM562" t="s">
        <v>295</v>
      </c>
      <c r="AN562" t="s">
        <v>154</v>
      </c>
      <c r="AP562" t="s">
        <v>49</v>
      </c>
      <c r="AR562">
        <v>1</v>
      </c>
    </row>
    <row r="563" spans="1:44" x14ac:dyDescent="0.2">
      <c r="A563" t="s">
        <v>475</v>
      </c>
      <c r="B563" t="s">
        <v>145</v>
      </c>
      <c r="C563">
        <v>2021</v>
      </c>
      <c r="D563" t="s">
        <v>44</v>
      </c>
      <c r="E563" t="s">
        <v>49</v>
      </c>
      <c r="F563" t="s">
        <v>476</v>
      </c>
      <c r="G563" t="s">
        <v>86</v>
      </c>
      <c r="H563" t="s">
        <v>350</v>
      </c>
      <c r="I563">
        <v>2011</v>
      </c>
      <c r="J563">
        <v>0.42</v>
      </c>
      <c r="K563" t="s">
        <v>102</v>
      </c>
      <c r="L563">
        <v>0.5</v>
      </c>
      <c r="M563">
        <v>0</v>
      </c>
      <c r="N563" t="s">
        <v>120</v>
      </c>
      <c r="O563" t="s">
        <v>120</v>
      </c>
      <c r="P563" t="s">
        <v>477</v>
      </c>
      <c r="Q563" s="1" t="s">
        <v>2276</v>
      </c>
      <c r="R563" s="1" t="s">
        <v>669</v>
      </c>
      <c r="S563" s="1" t="s">
        <v>168</v>
      </c>
      <c r="X563" t="s">
        <v>478</v>
      </c>
      <c r="Y563" t="s">
        <v>2273</v>
      </c>
      <c r="Z563" t="s">
        <v>249</v>
      </c>
      <c r="AA563" t="s">
        <v>2359</v>
      </c>
      <c r="AB563" t="s">
        <v>2285</v>
      </c>
      <c r="AC563" t="s">
        <v>315</v>
      </c>
      <c r="AD563" t="s">
        <v>2288</v>
      </c>
      <c r="AE563" t="s">
        <v>491</v>
      </c>
      <c r="AF563" t="s">
        <v>49</v>
      </c>
      <c r="AK563" t="s">
        <v>49</v>
      </c>
      <c r="AM563" t="s">
        <v>295</v>
      </c>
      <c r="AN563" t="s">
        <v>154</v>
      </c>
      <c r="AP563" t="s">
        <v>49</v>
      </c>
      <c r="AR563">
        <v>1</v>
      </c>
    </row>
    <row r="564" spans="1:44" x14ac:dyDescent="0.2">
      <c r="A564" t="s">
        <v>475</v>
      </c>
      <c r="B564" t="s">
        <v>145</v>
      </c>
      <c r="C564">
        <v>2021</v>
      </c>
      <c r="D564" t="s">
        <v>44</v>
      </c>
      <c r="E564" t="s">
        <v>49</v>
      </c>
      <c r="F564" t="s">
        <v>476</v>
      </c>
      <c r="G564" t="s">
        <v>86</v>
      </c>
      <c r="H564" t="s">
        <v>350</v>
      </c>
      <c r="I564">
        <v>2011</v>
      </c>
      <c r="J564">
        <v>0.42</v>
      </c>
      <c r="K564" t="s">
        <v>102</v>
      </c>
      <c r="L564">
        <v>0.5</v>
      </c>
      <c r="M564">
        <v>0</v>
      </c>
      <c r="N564" t="s">
        <v>120</v>
      </c>
      <c r="O564" t="s">
        <v>120</v>
      </c>
      <c r="P564" t="s">
        <v>477</v>
      </c>
      <c r="Q564" s="1" t="s">
        <v>2276</v>
      </c>
      <c r="R564" s="1" t="s">
        <v>669</v>
      </c>
      <c r="S564" s="1" t="s">
        <v>168</v>
      </c>
      <c r="X564" t="s">
        <v>321</v>
      </c>
      <c r="Y564" t="s">
        <v>2273</v>
      </c>
      <c r="Z564" t="s">
        <v>249</v>
      </c>
      <c r="AA564" t="s">
        <v>2274</v>
      </c>
      <c r="AB564" t="s">
        <v>2298</v>
      </c>
      <c r="AC564" t="s">
        <v>315</v>
      </c>
      <c r="AD564" t="s">
        <v>2288</v>
      </c>
      <c r="AE564" t="s">
        <v>491</v>
      </c>
      <c r="AF564" t="s">
        <v>49</v>
      </c>
      <c r="AK564" t="s">
        <v>49</v>
      </c>
      <c r="AM564" t="s">
        <v>295</v>
      </c>
      <c r="AN564" t="s">
        <v>154</v>
      </c>
      <c r="AP564" t="s">
        <v>49</v>
      </c>
      <c r="AR564">
        <v>1</v>
      </c>
    </row>
    <row r="565" spans="1:44" x14ac:dyDescent="0.2">
      <c r="A565" t="s">
        <v>475</v>
      </c>
      <c r="B565" t="s">
        <v>145</v>
      </c>
      <c r="C565">
        <v>2021</v>
      </c>
      <c r="D565" t="s">
        <v>44</v>
      </c>
      <c r="E565" t="s">
        <v>49</v>
      </c>
      <c r="F565" t="s">
        <v>476</v>
      </c>
      <c r="G565" t="s">
        <v>86</v>
      </c>
      <c r="H565" t="s">
        <v>350</v>
      </c>
      <c r="I565">
        <v>2011</v>
      </c>
      <c r="J565">
        <v>0.42</v>
      </c>
      <c r="K565" t="s">
        <v>102</v>
      </c>
      <c r="L565">
        <v>0.5</v>
      </c>
      <c r="M565">
        <v>0</v>
      </c>
      <c r="N565" t="s">
        <v>120</v>
      </c>
      <c r="O565" t="s">
        <v>120</v>
      </c>
      <c r="P565" t="s">
        <v>477</v>
      </c>
      <c r="Q565" s="1" t="s">
        <v>2276</v>
      </c>
      <c r="R565" s="1" t="s">
        <v>669</v>
      </c>
      <c r="S565" s="1" t="s">
        <v>168</v>
      </c>
      <c r="X565" t="s">
        <v>479</v>
      </c>
      <c r="Y565" t="s">
        <v>2273</v>
      </c>
      <c r="Z565" t="s">
        <v>249</v>
      </c>
      <c r="AA565" t="s">
        <v>2359</v>
      </c>
      <c r="AB565" t="s">
        <v>2289</v>
      </c>
      <c r="AC565" t="s">
        <v>315</v>
      </c>
      <c r="AD565" t="s">
        <v>137</v>
      </c>
      <c r="AE565" t="s">
        <v>491</v>
      </c>
      <c r="AF565" t="s">
        <v>49</v>
      </c>
      <c r="AK565" t="s">
        <v>49</v>
      </c>
      <c r="AM565" t="s">
        <v>295</v>
      </c>
      <c r="AN565" t="s">
        <v>154</v>
      </c>
      <c r="AP565" t="s">
        <v>49</v>
      </c>
      <c r="AR565">
        <v>1</v>
      </c>
    </row>
    <row r="566" spans="1:44" x14ac:dyDescent="0.2">
      <c r="A566" t="s">
        <v>475</v>
      </c>
      <c r="B566" t="s">
        <v>145</v>
      </c>
      <c r="C566">
        <v>2021</v>
      </c>
      <c r="D566" t="s">
        <v>44</v>
      </c>
      <c r="E566" t="s">
        <v>49</v>
      </c>
      <c r="F566" t="s">
        <v>476</v>
      </c>
      <c r="G566" t="s">
        <v>86</v>
      </c>
      <c r="H566" t="s">
        <v>350</v>
      </c>
      <c r="I566">
        <v>2011</v>
      </c>
      <c r="J566">
        <v>0.42</v>
      </c>
      <c r="K566" t="s">
        <v>102</v>
      </c>
      <c r="L566">
        <v>0.5</v>
      </c>
      <c r="M566">
        <v>0</v>
      </c>
      <c r="N566" t="s">
        <v>120</v>
      </c>
      <c r="O566" t="s">
        <v>120</v>
      </c>
      <c r="P566" t="s">
        <v>477</v>
      </c>
      <c r="Q566" s="1" t="s">
        <v>2276</v>
      </c>
      <c r="R566" s="1" t="s">
        <v>669</v>
      </c>
      <c r="S566" s="1" t="s">
        <v>168</v>
      </c>
      <c r="X566" t="s">
        <v>171</v>
      </c>
      <c r="Y566" t="s">
        <v>2273</v>
      </c>
      <c r="Z566" t="s">
        <v>249</v>
      </c>
      <c r="AA566" t="s">
        <v>2359</v>
      </c>
      <c r="AB566" t="s">
        <v>1979</v>
      </c>
      <c r="AC566" t="s">
        <v>152</v>
      </c>
      <c r="AD566" t="s">
        <v>137</v>
      </c>
      <c r="AE566" t="s">
        <v>491</v>
      </c>
      <c r="AF566" t="s">
        <v>49</v>
      </c>
      <c r="AK566" t="s">
        <v>49</v>
      </c>
      <c r="AM566" t="s">
        <v>295</v>
      </c>
      <c r="AN566" t="s">
        <v>154</v>
      </c>
      <c r="AP566" t="s">
        <v>49</v>
      </c>
      <c r="AR566">
        <v>1</v>
      </c>
    </row>
    <row r="567" spans="1:44" x14ac:dyDescent="0.2">
      <c r="A567" t="s">
        <v>493</v>
      </c>
      <c r="B567" t="s">
        <v>494</v>
      </c>
      <c r="C567">
        <v>2021</v>
      </c>
      <c r="D567" t="s">
        <v>44</v>
      </c>
      <c r="F567" t="s">
        <v>495</v>
      </c>
      <c r="G567" t="s">
        <v>86</v>
      </c>
      <c r="H567" t="s">
        <v>350</v>
      </c>
      <c r="I567">
        <v>2017</v>
      </c>
      <c r="J567">
        <v>0.17</v>
      </c>
      <c r="K567" t="s">
        <v>101</v>
      </c>
      <c r="L567">
        <v>30</v>
      </c>
      <c r="N567" t="s">
        <v>128</v>
      </c>
      <c r="O567" t="s">
        <v>496</v>
      </c>
      <c r="P567" t="s">
        <v>186</v>
      </c>
      <c r="Q567" s="1" t="s">
        <v>2292</v>
      </c>
      <c r="R567" s="1" t="s">
        <v>264</v>
      </c>
      <c r="S567" s="1" t="s">
        <v>264</v>
      </c>
      <c r="X567" t="s">
        <v>211</v>
      </c>
      <c r="Y567" t="s">
        <v>2279</v>
      </c>
      <c r="Z567" t="s">
        <v>2280</v>
      </c>
      <c r="AA567" t="s">
        <v>2358</v>
      </c>
      <c r="AB567" t="s">
        <v>2290</v>
      </c>
      <c r="AC567" t="s">
        <v>152</v>
      </c>
      <c r="AD567" t="s">
        <v>2278</v>
      </c>
    </row>
    <row r="568" spans="1:44" x14ac:dyDescent="0.2">
      <c r="A568" t="s">
        <v>493</v>
      </c>
      <c r="B568" t="s">
        <v>494</v>
      </c>
      <c r="C568">
        <v>2021</v>
      </c>
      <c r="D568" t="s">
        <v>44</v>
      </c>
      <c r="F568" t="s">
        <v>495</v>
      </c>
      <c r="G568" t="s">
        <v>86</v>
      </c>
      <c r="H568" t="s">
        <v>350</v>
      </c>
      <c r="I568">
        <v>2017</v>
      </c>
      <c r="J568">
        <v>0.17</v>
      </c>
      <c r="K568" t="s">
        <v>101</v>
      </c>
      <c r="L568">
        <v>30</v>
      </c>
      <c r="N568" t="s">
        <v>128</v>
      </c>
      <c r="O568" t="s">
        <v>496</v>
      </c>
      <c r="P568" t="s">
        <v>497</v>
      </c>
      <c r="Q568" s="1" t="s">
        <v>2292</v>
      </c>
      <c r="R568" s="1" t="s">
        <v>2297</v>
      </c>
      <c r="S568" s="1" t="s">
        <v>2297</v>
      </c>
      <c r="X568" t="s">
        <v>211</v>
      </c>
      <c r="Y568" t="s">
        <v>2279</v>
      </c>
      <c r="Z568" t="s">
        <v>2280</v>
      </c>
      <c r="AA568" t="s">
        <v>2358</v>
      </c>
      <c r="AB568" t="s">
        <v>2290</v>
      </c>
      <c r="AC568" t="s">
        <v>152</v>
      </c>
      <c r="AD568" t="s">
        <v>2278</v>
      </c>
    </row>
    <row r="569" spans="1:44" x14ac:dyDescent="0.2">
      <c r="A569" t="s">
        <v>493</v>
      </c>
      <c r="B569" t="s">
        <v>494</v>
      </c>
      <c r="C569">
        <v>2021</v>
      </c>
      <c r="D569" t="s">
        <v>44</v>
      </c>
      <c r="F569" t="s">
        <v>495</v>
      </c>
      <c r="G569" t="s">
        <v>86</v>
      </c>
      <c r="H569" t="s">
        <v>350</v>
      </c>
      <c r="I569">
        <v>2017</v>
      </c>
      <c r="J569">
        <v>0.17</v>
      </c>
      <c r="K569" t="s">
        <v>101</v>
      </c>
      <c r="L569">
        <v>30</v>
      </c>
      <c r="N569" t="s">
        <v>128</v>
      </c>
      <c r="O569" t="s">
        <v>496</v>
      </c>
      <c r="P569" t="s">
        <v>498</v>
      </c>
      <c r="Q569" s="1" t="s">
        <v>2292</v>
      </c>
      <c r="R569" s="1" t="s">
        <v>2297</v>
      </c>
      <c r="S569" s="1" t="s">
        <v>2297</v>
      </c>
      <c r="X569" t="s">
        <v>211</v>
      </c>
      <c r="Y569" t="s">
        <v>2279</v>
      </c>
      <c r="Z569" t="s">
        <v>2280</v>
      </c>
      <c r="AA569" t="s">
        <v>2358</v>
      </c>
      <c r="AB569" t="s">
        <v>2290</v>
      </c>
      <c r="AC569" t="s">
        <v>152</v>
      </c>
      <c r="AD569" t="s">
        <v>2278</v>
      </c>
    </row>
    <row r="570" spans="1:44" x14ac:dyDescent="0.2">
      <c r="A570" t="s">
        <v>493</v>
      </c>
      <c r="B570" t="s">
        <v>494</v>
      </c>
      <c r="C570">
        <v>2021</v>
      </c>
      <c r="D570" t="s">
        <v>44</v>
      </c>
      <c r="F570" t="s">
        <v>495</v>
      </c>
      <c r="G570" t="s">
        <v>86</v>
      </c>
      <c r="H570" t="s">
        <v>350</v>
      </c>
      <c r="I570">
        <v>2017</v>
      </c>
      <c r="J570">
        <v>0.17</v>
      </c>
      <c r="K570" t="s">
        <v>101</v>
      </c>
      <c r="L570">
        <v>30</v>
      </c>
      <c r="M570">
        <f t="shared" ref="M570:M593" si="8">0.25*0.25</f>
        <v>6.25E-2</v>
      </c>
      <c r="N570" t="s">
        <v>128</v>
      </c>
      <c r="O570" t="s">
        <v>496</v>
      </c>
      <c r="P570" t="s">
        <v>186</v>
      </c>
      <c r="Q570" s="1" t="s">
        <v>2292</v>
      </c>
      <c r="R570" s="1" t="s">
        <v>264</v>
      </c>
      <c r="S570" s="1" t="s">
        <v>264</v>
      </c>
      <c r="T570" t="s">
        <v>396</v>
      </c>
      <c r="X570" t="s">
        <v>161</v>
      </c>
      <c r="Y570" t="s">
        <v>2272</v>
      </c>
      <c r="Z570" t="s">
        <v>2272</v>
      </c>
      <c r="AA570" t="s">
        <v>2272</v>
      </c>
      <c r="AB570" t="s">
        <v>2272</v>
      </c>
      <c r="AC570" t="s">
        <v>162</v>
      </c>
      <c r="AD570" t="s">
        <v>2272</v>
      </c>
      <c r="AF570" t="s">
        <v>49</v>
      </c>
      <c r="AI570" t="s">
        <v>49</v>
      </c>
      <c r="AM570" t="s">
        <v>201</v>
      </c>
      <c r="AN570" t="s">
        <v>166</v>
      </c>
      <c r="AQ570" s="5">
        <v>0</v>
      </c>
    </row>
    <row r="571" spans="1:44" x14ac:dyDescent="0.2">
      <c r="A571" t="s">
        <v>493</v>
      </c>
      <c r="B571" t="s">
        <v>494</v>
      </c>
      <c r="C571">
        <v>2021</v>
      </c>
      <c r="D571" t="s">
        <v>44</v>
      </c>
      <c r="F571" t="s">
        <v>495</v>
      </c>
      <c r="G571" t="s">
        <v>86</v>
      </c>
      <c r="H571" t="s">
        <v>350</v>
      </c>
      <c r="I571">
        <v>2017</v>
      </c>
      <c r="J571">
        <v>0.17</v>
      </c>
      <c r="K571" t="s">
        <v>101</v>
      </c>
      <c r="L571">
        <v>30</v>
      </c>
      <c r="M571">
        <f t="shared" si="8"/>
        <v>6.25E-2</v>
      </c>
      <c r="N571" t="s">
        <v>128</v>
      </c>
      <c r="O571" t="s">
        <v>496</v>
      </c>
      <c r="P571" t="s">
        <v>497</v>
      </c>
      <c r="Q571" s="1" t="s">
        <v>2292</v>
      </c>
      <c r="R571" s="1" t="s">
        <v>2297</v>
      </c>
      <c r="S571" s="1" t="s">
        <v>2297</v>
      </c>
      <c r="T571" t="s">
        <v>396</v>
      </c>
      <c r="X571" t="s">
        <v>161</v>
      </c>
      <c r="Y571" t="s">
        <v>2272</v>
      </c>
      <c r="Z571" t="s">
        <v>2272</v>
      </c>
      <c r="AA571" t="s">
        <v>2272</v>
      </c>
      <c r="AB571" t="s">
        <v>2272</v>
      </c>
      <c r="AC571" t="s">
        <v>162</v>
      </c>
      <c r="AD571" t="s">
        <v>2272</v>
      </c>
      <c r="AF571" t="s">
        <v>49</v>
      </c>
      <c r="AI571" t="s">
        <v>49</v>
      </c>
      <c r="AM571" t="s">
        <v>201</v>
      </c>
      <c r="AN571" t="s">
        <v>166</v>
      </c>
      <c r="AQ571" s="5">
        <v>0</v>
      </c>
    </row>
    <row r="572" spans="1:44" x14ac:dyDescent="0.2">
      <c r="A572" t="s">
        <v>493</v>
      </c>
      <c r="B572" t="s">
        <v>494</v>
      </c>
      <c r="C572">
        <v>2021</v>
      </c>
      <c r="D572" t="s">
        <v>44</v>
      </c>
      <c r="F572" t="s">
        <v>495</v>
      </c>
      <c r="G572" t="s">
        <v>86</v>
      </c>
      <c r="H572" t="s">
        <v>350</v>
      </c>
      <c r="I572">
        <v>2017</v>
      </c>
      <c r="J572">
        <v>0.17</v>
      </c>
      <c r="K572" t="s">
        <v>101</v>
      </c>
      <c r="L572">
        <v>30</v>
      </c>
      <c r="M572">
        <f t="shared" si="8"/>
        <v>6.25E-2</v>
      </c>
      <c r="N572" t="s">
        <v>128</v>
      </c>
      <c r="O572" t="s">
        <v>496</v>
      </c>
      <c r="P572" t="s">
        <v>186</v>
      </c>
      <c r="Q572" s="1" t="s">
        <v>2292</v>
      </c>
      <c r="R572" s="1" t="s">
        <v>264</v>
      </c>
      <c r="S572" s="1" t="s">
        <v>264</v>
      </c>
      <c r="T572" t="s">
        <v>396</v>
      </c>
      <c r="X572" t="s">
        <v>161</v>
      </c>
      <c r="Y572" t="s">
        <v>2272</v>
      </c>
      <c r="Z572" t="s">
        <v>2272</v>
      </c>
      <c r="AA572" t="s">
        <v>2272</v>
      </c>
      <c r="AB572" t="s">
        <v>2272</v>
      </c>
      <c r="AC572" t="s">
        <v>162</v>
      </c>
      <c r="AD572" t="s">
        <v>2272</v>
      </c>
      <c r="AF572" t="s">
        <v>49</v>
      </c>
      <c r="AI572" t="s">
        <v>49</v>
      </c>
      <c r="AM572" t="s">
        <v>201</v>
      </c>
      <c r="AN572" t="s">
        <v>166</v>
      </c>
      <c r="AQ572" s="5">
        <v>0</v>
      </c>
    </row>
    <row r="573" spans="1:44" x14ac:dyDescent="0.2">
      <c r="A573" t="s">
        <v>493</v>
      </c>
      <c r="B573" t="s">
        <v>494</v>
      </c>
      <c r="C573">
        <v>2021</v>
      </c>
      <c r="D573" t="s">
        <v>44</v>
      </c>
      <c r="F573" t="s">
        <v>495</v>
      </c>
      <c r="G573" t="s">
        <v>86</v>
      </c>
      <c r="H573" t="s">
        <v>350</v>
      </c>
      <c r="I573">
        <v>2017</v>
      </c>
      <c r="J573">
        <v>0.17</v>
      </c>
      <c r="K573" t="s">
        <v>101</v>
      </c>
      <c r="L573">
        <v>30</v>
      </c>
      <c r="M573">
        <f t="shared" si="8"/>
        <v>6.25E-2</v>
      </c>
      <c r="N573" t="s">
        <v>128</v>
      </c>
      <c r="O573" t="s">
        <v>496</v>
      </c>
      <c r="P573" t="s">
        <v>498</v>
      </c>
      <c r="Q573" s="1" t="s">
        <v>2292</v>
      </c>
      <c r="R573" s="1" t="s">
        <v>2297</v>
      </c>
      <c r="S573" s="1" t="s">
        <v>2297</v>
      </c>
      <c r="T573" t="s">
        <v>396</v>
      </c>
      <c r="X573" t="s">
        <v>161</v>
      </c>
      <c r="Y573" t="s">
        <v>2272</v>
      </c>
      <c r="Z573" t="s">
        <v>2272</v>
      </c>
      <c r="AA573" t="s">
        <v>2272</v>
      </c>
      <c r="AB573" t="s">
        <v>2272</v>
      </c>
      <c r="AC573" t="s">
        <v>162</v>
      </c>
      <c r="AD573" t="s">
        <v>2272</v>
      </c>
      <c r="AF573" t="s">
        <v>49</v>
      </c>
      <c r="AI573" t="s">
        <v>49</v>
      </c>
      <c r="AM573" t="s">
        <v>201</v>
      </c>
      <c r="AN573" t="s">
        <v>166</v>
      </c>
      <c r="AQ573" s="5">
        <v>0</v>
      </c>
    </row>
    <row r="574" spans="1:44" x14ac:dyDescent="0.2">
      <c r="A574" t="s">
        <v>493</v>
      </c>
      <c r="B574" t="s">
        <v>494</v>
      </c>
      <c r="C574">
        <v>2021</v>
      </c>
      <c r="D574" t="s">
        <v>44</v>
      </c>
      <c r="F574" t="s">
        <v>495</v>
      </c>
      <c r="G574" t="s">
        <v>86</v>
      </c>
      <c r="H574" t="s">
        <v>350</v>
      </c>
      <c r="I574">
        <v>2017</v>
      </c>
      <c r="J574">
        <v>0.17</v>
      </c>
      <c r="K574" t="s">
        <v>101</v>
      </c>
      <c r="L574">
        <v>30</v>
      </c>
      <c r="M574">
        <f t="shared" si="8"/>
        <v>6.25E-2</v>
      </c>
      <c r="N574" t="s">
        <v>128</v>
      </c>
      <c r="O574" t="s">
        <v>496</v>
      </c>
      <c r="P574" t="s">
        <v>186</v>
      </c>
      <c r="Q574" s="1" t="s">
        <v>2292</v>
      </c>
      <c r="R574" s="1" t="s">
        <v>264</v>
      </c>
      <c r="S574" s="1" t="s">
        <v>264</v>
      </c>
      <c r="T574" t="s">
        <v>396</v>
      </c>
      <c r="X574" t="s">
        <v>161</v>
      </c>
      <c r="Y574" t="s">
        <v>2272</v>
      </c>
      <c r="Z574" t="s">
        <v>2272</v>
      </c>
      <c r="AA574" t="s">
        <v>2272</v>
      </c>
      <c r="AB574" t="s">
        <v>2272</v>
      </c>
      <c r="AC574" t="s">
        <v>162</v>
      </c>
      <c r="AD574" t="s">
        <v>2272</v>
      </c>
      <c r="AF574" t="s">
        <v>49</v>
      </c>
      <c r="AI574" t="s">
        <v>49</v>
      </c>
      <c r="AM574" t="s">
        <v>442</v>
      </c>
      <c r="AN574" t="s">
        <v>166</v>
      </c>
      <c r="AQ574" s="5">
        <v>0</v>
      </c>
    </row>
    <row r="575" spans="1:44" x14ac:dyDescent="0.2">
      <c r="A575" t="s">
        <v>493</v>
      </c>
      <c r="B575" t="s">
        <v>494</v>
      </c>
      <c r="C575">
        <v>2021</v>
      </c>
      <c r="D575" t="s">
        <v>44</v>
      </c>
      <c r="F575" t="s">
        <v>495</v>
      </c>
      <c r="G575" t="s">
        <v>86</v>
      </c>
      <c r="H575" t="s">
        <v>350</v>
      </c>
      <c r="I575">
        <v>2017</v>
      </c>
      <c r="J575">
        <v>0.17</v>
      </c>
      <c r="K575" t="s">
        <v>101</v>
      </c>
      <c r="L575">
        <v>30</v>
      </c>
      <c r="M575">
        <f t="shared" si="8"/>
        <v>6.25E-2</v>
      </c>
      <c r="N575" t="s">
        <v>128</v>
      </c>
      <c r="O575" t="s">
        <v>496</v>
      </c>
      <c r="P575" t="s">
        <v>497</v>
      </c>
      <c r="Q575" s="1" t="s">
        <v>2292</v>
      </c>
      <c r="R575" s="1" t="s">
        <v>2297</v>
      </c>
      <c r="S575" s="1" t="s">
        <v>2297</v>
      </c>
      <c r="T575" t="s">
        <v>396</v>
      </c>
      <c r="X575" t="s">
        <v>161</v>
      </c>
      <c r="Y575" t="s">
        <v>2272</v>
      </c>
      <c r="Z575" t="s">
        <v>2272</v>
      </c>
      <c r="AA575" t="s">
        <v>2272</v>
      </c>
      <c r="AB575" t="s">
        <v>2272</v>
      </c>
      <c r="AC575" t="s">
        <v>162</v>
      </c>
      <c r="AD575" t="s">
        <v>2272</v>
      </c>
      <c r="AF575" t="s">
        <v>49</v>
      </c>
      <c r="AI575" t="s">
        <v>49</v>
      </c>
      <c r="AM575" t="s">
        <v>442</v>
      </c>
      <c r="AN575" t="s">
        <v>166</v>
      </c>
      <c r="AQ575" s="5">
        <v>0</v>
      </c>
    </row>
    <row r="576" spans="1:44" x14ac:dyDescent="0.2">
      <c r="A576" t="s">
        <v>493</v>
      </c>
      <c r="B576" t="s">
        <v>494</v>
      </c>
      <c r="C576">
        <v>2021</v>
      </c>
      <c r="D576" t="s">
        <v>44</v>
      </c>
      <c r="F576" t="s">
        <v>495</v>
      </c>
      <c r="G576" t="s">
        <v>86</v>
      </c>
      <c r="H576" t="s">
        <v>350</v>
      </c>
      <c r="I576">
        <v>2017</v>
      </c>
      <c r="J576">
        <v>0.17</v>
      </c>
      <c r="K576" t="s">
        <v>101</v>
      </c>
      <c r="L576">
        <v>30</v>
      </c>
      <c r="M576">
        <f t="shared" si="8"/>
        <v>6.25E-2</v>
      </c>
      <c r="N576" t="s">
        <v>128</v>
      </c>
      <c r="O576" t="s">
        <v>496</v>
      </c>
      <c r="P576" t="s">
        <v>186</v>
      </c>
      <c r="Q576" s="1" t="s">
        <v>2292</v>
      </c>
      <c r="R576" s="1" t="s">
        <v>264</v>
      </c>
      <c r="S576" s="1" t="s">
        <v>264</v>
      </c>
      <c r="T576" t="s">
        <v>396</v>
      </c>
      <c r="X576" t="s">
        <v>161</v>
      </c>
      <c r="Y576" t="s">
        <v>2272</v>
      </c>
      <c r="Z576" t="s">
        <v>2272</v>
      </c>
      <c r="AA576" t="s">
        <v>2272</v>
      </c>
      <c r="AB576" t="s">
        <v>2272</v>
      </c>
      <c r="AC576" t="s">
        <v>162</v>
      </c>
      <c r="AD576" t="s">
        <v>2272</v>
      </c>
      <c r="AF576" t="s">
        <v>49</v>
      </c>
      <c r="AI576" t="s">
        <v>49</v>
      </c>
      <c r="AM576" t="s">
        <v>442</v>
      </c>
      <c r="AN576" t="s">
        <v>166</v>
      </c>
      <c r="AQ576" s="5">
        <v>1</v>
      </c>
    </row>
    <row r="577" spans="1:43" x14ac:dyDescent="0.2">
      <c r="A577" t="s">
        <v>493</v>
      </c>
      <c r="B577" t="s">
        <v>494</v>
      </c>
      <c r="C577">
        <v>2021</v>
      </c>
      <c r="D577" t="s">
        <v>44</v>
      </c>
      <c r="F577" t="s">
        <v>495</v>
      </c>
      <c r="G577" t="s">
        <v>86</v>
      </c>
      <c r="H577" t="s">
        <v>350</v>
      </c>
      <c r="I577">
        <v>2017</v>
      </c>
      <c r="J577">
        <v>0.17</v>
      </c>
      <c r="K577" t="s">
        <v>101</v>
      </c>
      <c r="L577">
        <v>30</v>
      </c>
      <c r="M577">
        <f t="shared" si="8"/>
        <v>6.25E-2</v>
      </c>
      <c r="N577" t="s">
        <v>128</v>
      </c>
      <c r="O577" t="s">
        <v>496</v>
      </c>
      <c r="P577" t="s">
        <v>498</v>
      </c>
      <c r="Q577" s="1" t="s">
        <v>2292</v>
      </c>
      <c r="R577" s="1" t="s">
        <v>2297</v>
      </c>
      <c r="S577" s="1" t="s">
        <v>2297</v>
      </c>
      <c r="T577" t="s">
        <v>396</v>
      </c>
      <c r="X577" t="s">
        <v>161</v>
      </c>
      <c r="Y577" t="s">
        <v>2272</v>
      </c>
      <c r="Z577" t="s">
        <v>2272</v>
      </c>
      <c r="AA577" t="s">
        <v>2272</v>
      </c>
      <c r="AB577" t="s">
        <v>2272</v>
      </c>
      <c r="AC577" t="s">
        <v>162</v>
      </c>
      <c r="AD577" t="s">
        <v>2272</v>
      </c>
      <c r="AF577" t="s">
        <v>49</v>
      </c>
      <c r="AI577" t="s">
        <v>49</v>
      </c>
      <c r="AM577" t="s">
        <v>442</v>
      </c>
      <c r="AN577" t="s">
        <v>166</v>
      </c>
      <c r="AQ577" s="5">
        <v>2</v>
      </c>
    </row>
    <row r="578" spans="1:43" x14ac:dyDescent="0.2">
      <c r="A578" t="s">
        <v>493</v>
      </c>
      <c r="B578" t="s">
        <v>494</v>
      </c>
      <c r="C578">
        <v>2021</v>
      </c>
      <c r="D578" t="s">
        <v>44</v>
      </c>
      <c r="F578" t="s">
        <v>495</v>
      </c>
      <c r="G578" t="s">
        <v>86</v>
      </c>
      <c r="H578" t="s">
        <v>350</v>
      </c>
      <c r="I578">
        <v>2017</v>
      </c>
      <c r="J578">
        <v>0.17</v>
      </c>
      <c r="K578" t="s">
        <v>101</v>
      </c>
      <c r="L578">
        <v>30</v>
      </c>
      <c r="M578">
        <f t="shared" si="8"/>
        <v>6.25E-2</v>
      </c>
      <c r="N578" t="s">
        <v>128</v>
      </c>
      <c r="O578" t="s">
        <v>496</v>
      </c>
      <c r="P578" t="s">
        <v>186</v>
      </c>
      <c r="Q578" s="1" t="s">
        <v>2292</v>
      </c>
      <c r="R578" s="1" t="s">
        <v>264</v>
      </c>
      <c r="S578" s="1" t="s">
        <v>264</v>
      </c>
      <c r="T578" t="s">
        <v>396</v>
      </c>
      <c r="X578" t="s">
        <v>161</v>
      </c>
      <c r="Y578" t="s">
        <v>2272</v>
      </c>
      <c r="Z578" t="s">
        <v>2272</v>
      </c>
      <c r="AA578" t="s">
        <v>2272</v>
      </c>
      <c r="AB578" t="s">
        <v>2272</v>
      </c>
      <c r="AC578" t="s">
        <v>162</v>
      </c>
      <c r="AD578" t="s">
        <v>2272</v>
      </c>
      <c r="AF578" t="s">
        <v>49</v>
      </c>
      <c r="AI578" t="s">
        <v>49</v>
      </c>
      <c r="AM578" t="s">
        <v>201</v>
      </c>
      <c r="AN578" t="s">
        <v>154</v>
      </c>
      <c r="AQ578" s="5">
        <v>0</v>
      </c>
    </row>
    <row r="579" spans="1:43" x14ac:dyDescent="0.2">
      <c r="A579" t="s">
        <v>493</v>
      </c>
      <c r="B579" t="s">
        <v>494</v>
      </c>
      <c r="C579">
        <v>2021</v>
      </c>
      <c r="D579" t="s">
        <v>44</v>
      </c>
      <c r="F579" t="s">
        <v>495</v>
      </c>
      <c r="G579" t="s">
        <v>86</v>
      </c>
      <c r="H579" t="s">
        <v>350</v>
      </c>
      <c r="I579">
        <v>2017</v>
      </c>
      <c r="J579">
        <v>0.17</v>
      </c>
      <c r="K579" t="s">
        <v>101</v>
      </c>
      <c r="L579">
        <v>30</v>
      </c>
      <c r="M579">
        <f t="shared" si="8"/>
        <v>6.25E-2</v>
      </c>
      <c r="N579" t="s">
        <v>128</v>
      </c>
      <c r="O579" t="s">
        <v>496</v>
      </c>
      <c r="P579" t="s">
        <v>497</v>
      </c>
      <c r="Q579" s="1" t="s">
        <v>2292</v>
      </c>
      <c r="R579" s="1" t="s">
        <v>2297</v>
      </c>
      <c r="S579" s="1" t="s">
        <v>2297</v>
      </c>
      <c r="T579" t="s">
        <v>396</v>
      </c>
      <c r="X579" t="s">
        <v>161</v>
      </c>
      <c r="Y579" t="s">
        <v>2272</v>
      </c>
      <c r="Z579" t="s">
        <v>2272</v>
      </c>
      <c r="AA579" t="s">
        <v>2272</v>
      </c>
      <c r="AB579" t="s">
        <v>2272</v>
      </c>
      <c r="AC579" t="s">
        <v>162</v>
      </c>
      <c r="AD579" t="s">
        <v>2272</v>
      </c>
      <c r="AF579" t="s">
        <v>49</v>
      </c>
      <c r="AI579" t="s">
        <v>49</v>
      </c>
      <c r="AM579" t="s">
        <v>201</v>
      </c>
      <c r="AN579" t="s">
        <v>154</v>
      </c>
      <c r="AQ579" s="5">
        <v>0</v>
      </c>
    </row>
    <row r="580" spans="1:43" x14ac:dyDescent="0.2">
      <c r="A580" t="s">
        <v>493</v>
      </c>
      <c r="B580" t="s">
        <v>494</v>
      </c>
      <c r="C580">
        <v>2021</v>
      </c>
      <c r="D580" t="s">
        <v>44</v>
      </c>
      <c r="F580" t="s">
        <v>495</v>
      </c>
      <c r="G580" t="s">
        <v>86</v>
      </c>
      <c r="H580" t="s">
        <v>350</v>
      </c>
      <c r="I580">
        <v>2017</v>
      </c>
      <c r="J580">
        <v>0.17</v>
      </c>
      <c r="K580" t="s">
        <v>101</v>
      </c>
      <c r="L580">
        <v>30</v>
      </c>
      <c r="M580">
        <f t="shared" si="8"/>
        <v>6.25E-2</v>
      </c>
      <c r="N580" t="s">
        <v>128</v>
      </c>
      <c r="O580" t="s">
        <v>496</v>
      </c>
      <c r="P580" t="s">
        <v>186</v>
      </c>
      <c r="Q580" s="1" t="s">
        <v>2292</v>
      </c>
      <c r="R580" s="1" t="s">
        <v>264</v>
      </c>
      <c r="S580" s="1" t="s">
        <v>264</v>
      </c>
      <c r="T580" t="s">
        <v>396</v>
      </c>
      <c r="X580" t="s">
        <v>161</v>
      </c>
      <c r="Y580" t="s">
        <v>2272</v>
      </c>
      <c r="Z580" t="s">
        <v>2272</v>
      </c>
      <c r="AA580" t="s">
        <v>2272</v>
      </c>
      <c r="AB580" t="s">
        <v>2272</v>
      </c>
      <c r="AC580" t="s">
        <v>162</v>
      </c>
      <c r="AD580" t="s">
        <v>2272</v>
      </c>
      <c r="AF580" t="s">
        <v>49</v>
      </c>
      <c r="AI580" t="s">
        <v>49</v>
      </c>
      <c r="AM580" t="s">
        <v>201</v>
      </c>
      <c r="AN580" t="s">
        <v>154</v>
      </c>
      <c r="AQ580" s="5">
        <v>1</v>
      </c>
    </row>
    <row r="581" spans="1:43" x14ac:dyDescent="0.2">
      <c r="A581" t="s">
        <v>493</v>
      </c>
      <c r="B581" t="s">
        <v>494</v>
      </c>
      <c r="C581">
        <v>2021</v>
      </c>
      <c r="D581" t="s">
        <v>44</v>
      </c>
      <c r="F581" t="s">
        <v>495</v>
      </c>
      <c r="G581" t="s">
        <v>86</v>
      </c>
      <c r="H581" t="s">
        <v>350</v>
      </c>
      <c r="I581">
        <v>2017</v>
      </c>
      <c r="J581">
        <v>0.17</v>
      </c>
      <c r="K581" t="s">
        <v>101</v>
      </c>
      <c r="L581">
        <v>30</v>
      </c>
      <c r="M581">
        <f t="shared" si="8"/>
        <v>6.25E-2</v>
      </c>
      <c r="N581" t="s">
        <v>128</v>
      </c>
      <c r="O581" t="s">
        <v>496</v>
      </c>
      <c r="P581" t="s">
        <v>498</v>
      </c>
      <c r="Q581" s="1" t="s">
        <v>2292</v>
      </c>
      <c r="R581" s="1" t="s">
        <v>2297</v>
      </c>
      <c r="S581" s="1" t="s">
        <v>2297</v>
      </c>
      <c r="T581" t="s">
        <v>396</v>
      </c>
      <c r="X581" t="s">
        <v>161</v>
      </c>
      <c r="Y581" t="s">
        <v>2272</v>
      </c>
      <c r="Z581" t="s">
        <v>2272</v>
      </c>
      <c r="AA581" t="s">
        <v>2272</v>
      </c>
      <c r="AB581" t="s">
        <v>2272</v>
      </c>
      <c r="AC581" t="s">
        <v>162</v>
      </c>
      <c r="AD581" t="s">
        <v>2272</v>
      </c>
      <c r="AF581" t="s">
        <v>49</v>
      </c>
      <c r="AI581" t="s">
        <v>49</v>
      </c>
      <c r="AM581" t="s">
        <v>201</v>
      </c>
      <c r="AN581" t="s">
        <v>154</v>
      </c>
      <c r="AQ581" s="5">
        <v>2</v>
      </c>
    </row>
    <row r="582" spans="1:43" x14ac:dyDescent="0.2">
      <c r="A582" t="s">
        <v>493</v>
      </c>
      <c r="B582" t="s">
        <v>494</v>
      </c>
      <c r="C582">
        <v>2021</v>
      </c>
      <c r="D582" t="s">
        <v>44</v>
      </c>
      <c r="F582" t="s">
        <v>495</v>
      </c>
      <c r="G582" t="s">
        <v>86</v>
      </c>
      <c r="H582" t="s">
        <v>350</v>
      </c>
      <c r="I582">
        <v>2017</v>
      </c>
      <c r="J582">
        <v>0.17</v>
      </c>
      <c r="K582" t="s">
        <v>101</v>
      </c>
      <c r="L582">
        <v>30</v>
      </c>
      <c r="M582">
        <f t="shared" si="8"/>
        <v>6.25E-2</v>
      </c>
      <c r="N582" t="s">
        <v>128</v>
      </c>
      <c r="O582" t="s">
        <v>496</v>
      </c>
      <c r="P582" t="s">
        <v>186</v>
      </c>
      <c r="Q582" s="1" t="s">
        <v>2292</v>
      </c>
      <c r="R582" s="1" t="s">
        <v>264</v>
      </c>
      <c r="S582" s="1" t="s">
        <v>264</v>
      </c>
      <c r="T582" t="s">
        <v>396</v>
      </c>
      <c r="X582" t="s">
        <v>161</v>
      </c>
      <c r="Y582" t="s">
        <v>2272</v>
      </c>
      <c r="Z582" t="s">
        <v>2272</v>
      </c>
      <c r="AA582" t="s">
        <v>2272</v>
      </c>
      <c r="AB582" t="s">
        <v>2272</v>
      </c>
      <c r="AC582" t="s">
        <v>162</v>
      </c>
      <c r="AD582" t="s">
        <v>2272</v>
      </c>
      <c r="AF582" t="s">
        <v>49</v>
      </c>
      <c r="AI582" t="s">
        <v>49</v>
      </c>
      <c r="AM582" t="s">
        <v>442</v>
      </c>
      <c r="AN582" t="s">
        <v>154</v>
      </c>
      <c r="AQ582" s="5">
        <v>0</v>
      </c>
    </row>
    <row r="583" spans="1:43" x14ac:dyDescent="0.2">
      <c r="A583" t="s">
        <v>493</v>
      </c>
      <c r="B583" t="s">
        <v>494</v>
      </c>
      <c r="C583">
        <v>2021</v>
      </c>
      <c r="D583" t="s">
        <v>44</v>
      </c>
      <c r="F583" t="s">
        <v>495</v>
      </c>
      <c r="G583" t="s">
        <v>86</v>
      </c>
      <c r="H583" t="s">
        <v>350</v>
      </c>
      <c r="I583">
        <v>2017</v>
      </c>
      <c r="J583">
        <v>0.17</v>
      </c>
      <c r="K583" t="s">
        <v>101</v>
      </c>
      <c r="L583">
        <v>30</v>
      </c>
      <c r="M583">
        <f t="shared" si="8"/>
        <v>6.25E-2</v>
      </c>
      <c r="N583" t="s">
        <v>128</v>
      </c>
      <c r="O583" t="s">
        <v>496</v>
      </c>
      <c r="P583" t="s">
        <v>497</v>
      </c>
      <c r="Q583" s="1" t="s">
        <v>2292</v>
      </c>
      <c r="R583" s="1" t="s">
        <v>2297</v>
      </c>
      <c r="S583" s="1" t="s">
        <v>2297</v>
      </c>
      <c r="T583" t="s">
        <v>396</v>
      </c>
      <c r="X583" t="s">
        <v>161</v>
      </c>
      <c r="Y583" t="s">
        <v>2272</v>
      </c>
      <c r="Z583" t="s">
        <v>2272</v>
      </c>
      <c r="AA583" t="s">
        <v>2272</v>
      </c>
      <c r="AB583" t="s">
        <v>2272</v>
      </c>
      <c r="AC583" t="s">
        <v>162</v>
      </c>
      <c r="AD583" t="s">
        <v>2272</v>
      </c>
      <c r="AF583" t="s">
        <v>49</v>
      </c>
      <c r="AI583" t="s">
        <v>49</v>
      </c>
      <c r="AM583" t="s">
        <v>442</v>
      </c>
      <c r="AN583" t="s">
        <v>154</v>
      </c>
      <c r="AQ583" s="5">
        <v>0</v>
      </c>
    </row>
    <row r="584" spans="1:43" x14ac:dyDescent="0.2">
      <c r="A584" t="s">
        <v>493</v>
      </c>
      <c r="B584" t="s">
        <v>494</v>
      </c>
      <c r="C584">
        <v>2021</v>
      </c>
      <c r="D584" t="s">
        <v>44</v>
      </c>
      <c r="F584" t="s">
        <v>495</v>
      </c>
      <c r="G584" t="s">
        <v>86</v>
      </c>
      <c r="H584" t="s">
        <v>350</v>
      </c>
      <c r="I584">
        <v>2017</v>
      </c>
      <c r="J584">
        <v>0.17</v>
      </c>
      <c r="K584" t="s">
        <v>101</v>
      </c>
      <c r="L584">
        <v>30</v>
      </c>
      <c r="M584">
        <f t="shared" si="8"/>
        <v>6.25E-2</v>
      </c>
      <c r="N584" t="s">
        <v>128</v>
      </c>
      <c r="O584" t="s">
        <v>496</v>
      </c>
      <c r="P584" t="s">
        <v>186</v>
      </c>
      <c r="Q584" s="1" t="s">
        <v>2292</v>
      </c>
      <c r="R584" s="1" t="s">
        <v>264</v>
      </c>
      <c r="S584" s="1" t="s">
        <v>264</v>
      </c>
      <c r="T584" t="s">
        <v>396</v>
      </c>
      <c r="X584" t="s">
        <v>161</v>
      </c>
      <c r="Y584" t="s">
        <v>2272</v>
      </c>
      <c r="Z584" t="s">
        <v>2272</v>
      </c>
      <c r="AA584" t="s">
        <v>2272</v>
      </c>
      <c r="AB584" t="s">
        <v>2272</v>
      </c>
      <c r="AC584" t="s">
        <v>162</v>
      </c>
      <c r="AD584" t="s">
        <v>2272</v>
      </c>
      <c r="AF584" t="s">
        <v>49</v>
      </c>
      <c r="AI584" t="s">
        <v>49</v>
      </c>
      <c r="AM584" t="s">
        <v>442</v>
      </c>
      <c r="AN584" t="s">
        <v>154</v>
      </c>
      <c r="AQ584" s="5">
        <v>0</v>
      </c>
    </row>
    <row r="585" spans="1:43" x14ac:dyDescent="0.2">
      <c r="A585" t="s">
        <v>493</v>
      </c>
      <c r="B585" t="s">
        <v>494</v>
      </c>
      <c r="C585">
        <v>2021</v>
      </c>
      <c r="D585" t="s">
        <v>44</v>
      </c>
      <c r="F585" t="s">
        <v>495</v>
      </c>
      <c r="G585" t="s">
        <v>86</v>
      </c>
      <c r="H585" t="s">
        <v>350</v>
      </c>
      <c r="I585">
        <v>2017</v>
      </c>
      <c r="J585">
        <v>0.17</v>
      </c>
      <c r="K585" t="s">
        <v>101</v>
      </c>
      <c r="L585">
        <v>30</v>
      </c>
      <c r="M585">
        <f t="shared" si="8"/>
        <v>6.25E-2</v>
      </c>
      <c r="N585" t="s">
        <v>128</v>
      </c>
      <c r="O585" t="s">
        <v>496</v>
      </c>
      <c r="P585" t="s">
        <v>498</v>
      </c>
      <c r="Q585" s="1" t="s">
        <v>2292</v>
      </c>
      <c r="R585" s="1" t="s">
        <v>2297</v>
      </c>
      <c r="S585" s="1" t="s">
        <v>2297</v>
      </c>
      <c r="T585" t="s">
        <v>396</v>
      </c>
      <c r="X585" t="s">
        <v>161</v>
      </c>
      <c r="Y585" t="s">
        <v>2272</v>
      </c>
      <c r="Z585" t="s">
        <v>2272</v>
      </c>
      <c r="AA585" t="s">
        <v>2272</v>
      </c>
      <c r="AB585" t="s">
        <v>2272</v>
      </c>
      <c r="AC585" t="s">
        <v>162</v>
      </c>
      <c r="AD585" t="s">
        <v>2272</v>
      </c>
      <c r="AF585" t="s">
        <v>49</v>
      </c>
      <c r="AI585" t="s">
        <v>49</v>
      </c>
      <c r="AM585" t="s">
        <v>442</v>
      </c>
      <c r="AN585" t="s">
        <v>154</v>
      </c>
      <c r="AQ585" s="5">
        <v>0</v>
      </c>
    </row>
    <row r="586" spans="1:43" x14ac:dyDescent="0.2">
      <c r="A586" t="s">
        <v>493</v>
      </c>
      <c r="B586" t="s">
        <v>494</v>
      </c>
      <c r="C586">
        <v>2021</v>
      </c>
      <c r="D586" t="s">
        <v>44</v>
      </c>
      <c r="F586" t="s">
        <v>495</v>
      </c>
      <c r="G586" t="s">
        <v>86</v>
      </c>
      <c r="H586" t="s">
        <v>350</v>
      </c>
      <c r="I586">
        <v>2017</v>
      </c>
      <c r="J586">
        <v>0.17</v>
      </c>
      <c r="K586" t="s">
        <v>101</v>
      </c>
      <c r="L586">
        <v>30</v>
      </c>
      <c r="M586">
        <f t="shared" si="8"/>
        <v>6.25E-2</v>
      </c>
      <c r="N586" t="s">
        <v>128</v>
      </c>
      <c r="O586" t="s">
        <v>496</v>
      </c>
      <c r="P586" t="s">
        <v>186</v>
      </c>
      <c r="Q586" s="1" t="s">
        <v>2292</v>
      </c>
      <c r="R586" s="1" t="s">
        <v>264</v>
      </c>
      <c r="S586" s="1" t="s">
        <v>264</v>
      </c>
      <c r="T586" t="s">
        <v>396</v>
      </c>
      <c r="X586" t="s">
        <v>161</v>
      </c>
      <c r="Y586" t="s">
        <v>2272</v>
      </c>
      <c r="Z586" t="s">
        <v>2272</v>
      </c>
      <c r="AA586" t="s">
        <v>2272</v>
      </c>
      <c r="AB586" t="s">
        <v>2272</v>
      </c>
      <c r="AC586" t="s">
        <v>162</v>
      </c>
      <c r="AD586" t="s">
        <v>2272</v>
      </c>
      <c r="AF586" t="s">
        <v>49</v>
      </c>
      <c r="AI586" t="s">
        <v>49</v>
      </c>
      <c r="AM586" t="s">
        <v>201</v>
      </c>
      <c r="AN586" t="s">
        <v>165</v>
      </c>
      <c r="AQ586" s="5">
        <v>0</v>
      </c>
    </row>
    <row r="587" spans="1:43" x14ac:dyDescent="0.2">
      <c r="A587" t="s">
        <v>493</v>
      </c>
      <c r="B587" t="s">
        <v>494</v>
      </c>
      <c r="C587">
        <v>2021</v>
      </c>
      <c r="D587" t="s">
        <v>44</v>
      </c>
      <c r="F587" t="s">
        <v>495</v>
      </c>
      <c r="G587" t="s">
        <v>86</v>
      </c>
      <c r="H587" t="s">
        <v>350</v>
      </c>
      <c r="I587">
        <v>2017</v>
      </c>
      <c r="J587">
        <v>0.17</v>
      </c>
      <c r="K587" t="s">
        <v>101</v>
      </c>
      <c r="L587">
        <v>30</v>
      </c>
      <c r="M587">
        <f t="shared" si="8"/>
        <v>6.25E-2</v>
      </c>
      <c r="N587" t="s">
        <v>128</v>
      </c>
      <c r="O587" t="s">
        <v>496</v>
      </c>
      <c r="P587" t="s">
        <v>497</v>
      </c>
      <c r="Q587" s="1" t="s">
        <v>2292</v>
      </c>
      <c r="R587" s="1" t="s">
        <v>2297</v>
      </c>
      <c r="S587" s="1" t="s">
        <v>2297</v>
      </c>
      <c r="T587" t="s">
        <v>396</v>
      </c>
      <c r="X587" t="s">
        <v>161</v>
      </c>
      <c r="Y587" t="s">
        <v>2272</v>
      </c>
      <c r="Z587" t="s">
        <v>2272</v>
      </c>
      <c r="AA587" t="s">
        <v>2272</v>
      </c>
      <c r="AB587" t="s">
        <v>2272</v>
      </c>
      <c r="AC587" t="s">
        <v>162</v>
      </c>
      <c r="AD587" t="s">
        <v>2272</v>
      </c>
      <c r="AF587" t="s">
        <v>49</v>
      </c>
      <c r="AI587" t="s">
        <v>49</v>
      </c>
      <c r="AM587" t="s">
        <v>201</v>
      </c>
      <c r="AN587" t="s">
        <v>165</v>
      </c>
      <c r="AQ587" s="5">
        <v>0</v>
      </c>
    </row>
    <row r="588" spans="1:43" x14ac:dyDescent="0.2">
      <c r="A588" t="s">
        <v>493</v>
      </c>
      <c r="B588" t="s">
        <v>494</v>
      </c>
      <c r="C588">
        <v>2021</v>
      </c>
      <c r="D588" t="s">
        <v>44</v>
      </c>
      <c r="F588" t="s">
        <v>495</v>
      </c>
      <c r="G588" t="s">
        <v>86</v>
      </c>
      <c r="H588" t="s">
        <v>350</v>
      </c>
      <c r="I588">
        <v>2017</v>
      </c>
      <c r="J588">
        <v>0.17</v>
      </c>
      <c r="K588" t="s">
        <v>101</v>
      </c>
      <c r="L588">
        <v>30</v>
      </c>
      <c r="M588">
        <f t="shared" si="8"/>
        <v>6.25E-2</v>
      </c>
      <c r="N588" t="s">
        <v>128</v>
      </c>
      <c r="O588" t="s">
        <v>496</v>
      </c>
      <c r="P588" t="s">
        <v>186</v>
      </c>
      <c r="Q588" s="1" t="s">
        <v>2292</v>
      </c>
      <c r="R588" s="1" t="s">
        <v>264</v>
      </c>
      <c r="S588" s="1" t="s">
        <v>264</v>
      </c>
      <c r="T588" t="s">
        <v>396</v>
      </c>
      <c r="X588" t="s">
        <v>161</v>
      </c>
      <c r="Y588" t="s">
        <v>2272</v>
      </c>
      <c r="Z588" t="s">
        <v>2272</v>
      </c>
      <c r="AA588" t="s">
        <v>2272</v>
      </c>
      <c r="AB588" t="s">
        <v>2272</v>
      </c>
      <c r="AC588" t="s">
        <v>162</v>
      </c>
      <c r="AD588" t="s">
        <v>2272</v>
      </c>
      <c r="AF588" t="s">
        <v>49</v>
      </c>
      <c r="AI588" t="s">
        <v>49</v>
      </c>
      <c r="AM588" t="s">
        <v>201</v>
      </c>
      <c r="AN588" t="s">
        <v>165</v>
      </c>
      <c r="AQ588" s="5">
        <v>1</v>
      </c>
    </row>
    <row r="589" spans="1:43" x14ac:dyDescent="0.2">
      <c r="A589" t="s">
        <v>493</v>
      </c>
      <c r="B589" t="s">
        <v>494</v>
      </c>
      <c r="C589">
        <v>2021</v>
      </c>
      <c r="D589" t="s">
        <v>44</v>
      </c>
      <c r="F589" t="s">
        <v>495</v>
      </c>
      <c r="G589" t="s">
        <v>86</v>
      </c>
      <c r="H589" t="s">
        <v>350</v>
      </c>
      <c r="I589">
        <v>2017</v>
      </c>
      <c r="J589">
        <v>0.17</v>
      </c>
      <c r="K589" t="s">
        <v>101</v>
      </c>
      <c r="L589">
        <v>30</v>
      </c>
      <c r="M589">
        <f t="shared" si="8"/>
        <v>6.25E-2</v>
      </c>
      <c r="N589" t="s">
        <v>128</v>
      </c>
      <c r="O589" t="s">
        <v>496</v>
      </c>
      <c r="P589" t="s">
        <v>498</v>
      </c>
      <c r="Q589" s="1" t="s">
        <v>2292</v>
      </c>
      <c r="R589" s="1" t="s">
        <v>2297</v>
      </c>
      <c r="S589" s="1" t="s">
        <v>2297</v>
      </c>
      <c r="T589" t="s">
        <v>396</v>
      </c>
      <c r="X589" t="s">
        <v>161</v>
      </c>
      <c r="Y589" t="s">
        <v>2272</v>
      </c>
      <c r="Z589" t="s">
        <v>2272</v>
      </c>
      <c r="AA589" t="s">
        <v>2272</v>
      </c>
      <c r="AB589" t="s">
        <v>2272</v>
      </c>
      <c r="AC589" t="s">
        <v>162</v>
      </c>
      <c r="AD589" t="s">
        <v>2272</v>
      </c>
      <c r="AF589" t="s">
        <v>49</v>
      </c>
      <c r="AI589" t="s">
        <v>49</v>
      </c>
      <c r="AM589" t="s">
        <v>201</v>
      </c>
      <c r="AN589" t="s">
        <v>165</v>
      </c>
      <c r="AQ589" s="5">
        <v>1</v>
      </c>
    </row>
    <row r="590" spans="1:43" x14ac:dyDescent="0.2">
      <c r="A590" t="s">
        <v>493</v>
      </c>
      <c r="B590" t="s">
        <v>494</v>
      </c>
      <c r="C590">
        <v>2021</v>
      </c>
      <c r="D590" t="s">
        <v>44</v>
      </c>
      <c r="F590" t="s">
        <v>495</v>
      </c>
      <c r="G590" t="s">
        <v>86</v>
      </c>
      <c r="H590" t="s">
        <v>350</v>
      </c>
      <c r="I590">
        <v>2017</v>
      </c>
      <c r="J590">
        <v>0.17</v>
      </c>
      <c r="K590" t="s">
        <v>101</v>
      </c>
      <c r="L590">
        <v>30</v>
      </c>
      <c r="M590">
        <f t="shared" si="8"/>
        <v>6.25E-2</v>
      </c>
      <c r="N590" t="s">
        <v>128</v>
      </c>
      <c r="O590" t="s">
        <v>496</v>
      </c>
      <c r="P590" t="s">
        <v>186</v>
      </c>
      <c r="Q590" s="1" t="s">
        <v>2292</v>
      </c>
      <c r="R590" s="1" t="s">
        <v>264</v>
      </c>
      <c r="S590" s="1" t="s">
        <v>264</v>
      </c>
      <c r="T590" t="s">
        <v>396</v>
      </c>
      <c r="X590" t="s">
        <v>161</v>
      </c>
      <c r="Y590" t="s">
        <v>2272</v>
      </c>
      <c r="Z590" t="s">
        <v>2272</v>
      </c>
      <c r="AA590" t="s">
        <v>2272</v>
      </c>
      <c r="AB590" t="s">
        <v>2272</v>
      </c>
      <c r="AC590" t="s">
        <v>162</v>
      </c>
      <c r="AD590" t="s">
        <v>2272</v>
      </c>
      <c r="AF590" t="s">
        <v>49</v>
      </c>
      <c r="AI590" t="s">
        <v>49</v>
      </c>
      <c r="AM590" t="s">
        <v>442</v>
      </c>
      <c r="AN590" t="s">
        <v>165</v>
      </c>
      <c r="AQ590" s="5">
        <v>1</v>
      </c>
    </row>
    <row r="591" spans="1:43" x14ac:dyDescent="0.2">
      <c r="A591" t="s">
        <v>493</v>
      </c>
      <c r="B591" t="s">
        <v>494</v>
      </c>
      <c r="C591">
        <v>2021</v>
      </c>
      <c r="D591" t="s">
        <v>44</v>
      </c>
      <c r="F591" t="s">
        <v>495</v>
      </c>
      <c r="G591" t="s">
        <v>86</v>
      </c>
      <c r="H591" t="s">
        <v>350</v>
      </c>
      <c r="I591">
        <v>2017</v>
      </c>
      <c r="J591">
        <v>0.17</v>
      </c>
      <c r="K591" t="s">
        <v>101</v>
      </c>
      <c r="L591">
        <v>30</v>
      </c>
      <c r="M591">
        <f t="shared" si="8"/>
        <v>6.25E-2</v>
      </c>
      <c r="N591" t="s">
        <v>128</v>
      </c>
      <c r="O591" t="s">
        <v>496</v>
      </c>
      <c r="P591" t="s">
        <v>497</v>
      </c>
      <c r="Q591" s="1" t="s">
        <v>2292</v>
      </c>
      <c r="R591" s="1" t="s">
        <v>2297</v>
      </c>
      <c r="S591" s="1" t="s">
        <v>2297</v>
      </c>
      <c r="T591" t="s">
        <v>396</v>
      </c>
      <c r="X591" t="s">
        <v>161</v>
      </c>
      <c r="Y591" t="s">
        <v>2272</v>
      </c>
      <c r="Z591" t="s">
        <v>2272</v>
      </c>
      <c r="AA591" t="s">
        <v>2272</v>
      </c>
      <c r="AB591" t="s">
        <v>2272</v>
      </c>
      <c r="AC591" t="s">
        <v>162</v>
      </c>
      <c r="AD591" t="s">
        <v>2272</v>
      </c>
      <c r="AF591" t="s">
        <v>49</v>
      </c>
      <c r="AI591" t="s">
        <v>49</v>
      </c>
      <c r="AM591" t="s">
        <v>442</v>
      </c>
      <c r="AN591" t="s">
        <v>165</v>
      </c>
      <c r="AQ591" s="5">
        <v>1</v>
      </c>
    </row>
    <row r="592" spans="1:43" x14ac:dyDescent="0.2">
      <c r="A592" t="s">
        <v>493</v>
      </c>
      <c r="B592" t="s">
        <v>494</v>
      </c>
      <c r="C592">
        <v>2021</v>
      </c>
      <c r="D592" t="s">
        <v>44</v>
      </c>
      <c r="F592" t="s">
        <v>495</v>
      </c>
      <c r="G592" t="s">
        <v>86</v>
      </c>
      <c r="H592" t="s">
        <v>350</v>
      </c>
      <c r="I592">
        <v>2017</v>
      </c>
      <c r="J592">
        <v>0.17</v>
      </c>
      <c r="K592" t="s">
        <v>101</v>
      </c>
      <c r="L592">
        <v>30</v>
      </c>
      <c r="M592">
        <f t="shared" si="8"/>
        <v>6.25E-2</v>
      </c>
      <c r="N592" t="s">
        <v>128</v>
      </c>
      <c r="O592" t="s">
        <v>496</v>
      </c>
      <c r="P592" t="s">
        <v>186</v>
      </c>
      <c r="Q592" s="1" t="s">
        <v>2292</v>
      </c>
      <c r="R592" s="1" t="s">
        <v>264</v>
      </c>
      <c r="S592" s="1" t="s">
        <v>264</v>
      </c>
      <c r="T592" t="s">
        <v>396</v>
      </c>
      <c r="X592" t="s">
        <v>161</v>
      </c>
      <c r="Y592" t="s">
        <v>2272</v>
      </c>
      <c r="Z592" t="s">
        <v>2272</v>
      </c>
      <c r="AA592" t="s">
        <v>2272</v>
      </c>
      <c r="AB592" t="s">
        <v>2272</v>
      </c>
      <c r="AC592" t="s">
        <v>162</v>
      </c>
      <c r="AD592" t="s">
        <v>2272</v>
      </c>
      <c r="AF592" t="s">
        <v>49</v>
      </c>
      <c r="AI592" t="s">
        <v>49</v>
      </c>
      <c r="AM592" t="s">
        <v>442</v>
      </c>
      <c r="AN592" t="s">
        <v>165</v>
      </c>
      <c r="AQ592" s="5">
        <v>1</v>
      </c>
    </row>
    <row r="593" spans="1:43" x14ac:dyDescent="0.2">
      <c r="A593" t="s">
        <v>493</v>
      </c>
      <c r="B593" t="s">
        <v>494</v>
      </c>
      <c r="C593">
        <v>2021</v>
      </c>
      <c r="D593" t="s">
        <v>44</v>
      </c>
      <c r="F593" t="s">
        <v>495</v>
      </c>
      <c r="G593" t="s">
        <v>86</v>
      </c>
      <c r="H593" t="s">
        <v>350</v>
      </c>
      <c r="I593">
        <v>2017</v>
      </c>
      <c r="J593">
        <v>0.17</v>
      </c>
      <c r="K593" t="s">
        <v>101</v>
      </c>
      <c r="L593">
        <v>30</v>
      </c>
      <c r="M593">
        <f t="shared" si="8"/>
        <v>6.25E-2</v>
      </c>
      <c r="N593" t="s">
        <v>128</v>
      </c>
      <c r="O593" t="s">
        <v>496</v>
      </c>
      <c r="P593" t="s">
        <v>498</v>
      </c>
      <c r="Q593" s="1" t="s">
        <v>2292</v>
      </c>
      <c r="R593" s="1" t="s">
        <v>2297</v>
      </c>
      <c r="S593" s="1" t="s">
        <v>2297</v>
      </c>
      <c r="T593" t="s">
        <v>396</v>
      </c>
      <c r="X593" t="s">
        <v>161</v>
      </c>
      <c r="Y593" t="s">
        <v>2272</v>
      </c>
      <c r="Z593" t="s">
        <v>2272</v>
      </c>
      <c r="AA593" t="s">
        <v>2272</v>
      </c>
      <c r="AB593" t="s">
        <v>2272</v>
      </c>
      <c r="AC593" t="s">
        <v>162</v>
      </c>
      <c r="AD593" t="s">
        <v>2272</v>
      </c>
      <c r="AF593" t="s">
        <v>49</v>
      </c>
      <c r="AI593" t="s">
        <v>49</v>
      </c>
      <c r="AM593" t="s">
        <v>442</v>
      </c>
      <c r="AN593" t="s">
        <v>165</v>
      </c>
      <c r="AQ593" s="5">
        <v>1</v>
      </c>
    </row>
    <row r="594" spans="1:43" x14ac:dyDescent="0.2">
      <c r="A594" t="s">
        <v>499</v>
      </c>
      <c r="B594" t="s">
        <v>500</v>
      </c>
      <c r="C594">
        <v>2021</v>
      </c>
      <c r="D594" t="s">
        <v>44</v>
      </c>
      <c r="E594" t="s">
        <v>49</v>
      </c>
      <c r="F594" t="s">
        <v>474</v>
      </c>
      <c r="G594" t="s">
        <v>86</v>
      </c>
      <c r="H594" t="s">
        <v>96</v>
      </c>
      <c r="L594">
        <v>5</v>
      </c>
      <c r="N594" t="s">
        <v>126</v>
      </c>
      <c r="O594" t="s">
        <v>126</v>
      </c>
      <c r="P594" t="s">
        <v>188</v>
      </c>
      <c r="Q594" s="1" t="s">
        <v>2281</v>
      </c>
      <c r="R594" s="1" t="s">
        <v>2282</v>
      </c>
      <c r="S594" s="1" t="s">
        <v>126</v>
      </c>
      <c r="X594" t="s">
        <v>501</v>
      </c>
      <c r="Y594" t="s">
        <v>2279</v>
      </c>
      <c r="Z594" t="s">
        <v>2280</v>
      </c>
      <c r="AA594" t="s">
        <v>2286</v>
      </c>
      <c r="AB594" t="s">
        <v>2287</v>
      </c>
      <c r="AC594" t="s">
        <v>152</v>
      </c>
      <c r="AD594" t="s">
        <v>2278</v>
      </c>
    </row>
    <row r="595" spans="1:43" x14ac:dyDescent="0.2">
      <c r="A595" t="s">
        <v>499</v>
      </c>
      <c r="B595" t="s">
        <v>500</v>
      </c>
      <c r="C595">
        <v>2021</v>
      </c>
      <c r="D595" t="s">
        <v>44</v>
      </c>
      <c r="E595" t="s">
        <v>49</v>
      </c>
      <c r="F595" t="s">
        <v>474</v>
      </c>
      <c r="G595" t="s">
        <v>86</v>
      </c>
      <c r="H595" t="s">
        <v>96</v>
      </c>
      <c r="L595">
        <v>5</v>
      </c>
      <c r="N595" t="s">
        <v>126</v>
      </c>
      <c r="O595" t="s">
        <v>126</v>
      </c>
      <c r="P595" t="s">
        <v>188</v>
      </c>
      <c r="Q595" s="1" t="s">
        <v>2281</v>
      </c>
      <c r="R595" s="1" t="s">
        <v>2282</v>
      </c>
      <c r="S595" s="1" t="s">
        <v>126</v>
      </c>
      <c r="X595" t="s">
        <v>502</v>
      </c>
      <c r="Y595" t="s">
        <v>2279</v>
      </c>
      <c r="Z595" t="s">
        <v>2280</v>
      </c>
      <c r="AA595" t="s">
        <v>2358</v>
      </c>
      <c r="AB595" t="s">
        <v>2459</v>
      </c>
      <c r="AC595" t="s">
        <v>152</v>
      </c>
      <c r="AD595" t="s">
        <v>2278</v>
      </c>
    </row>
    <row r="596" spans="1:43" x14ac:dyDescent="0.2">
      <c r="A596" t="s">
        <v>499</v>
      </c>
      <c r="B596" t="s">
        <v>500</v>
      </c>
      <c r="C596">
        <v>2021</v>
      </c>
      <c r="D596" t="s">
        <v>44</v>
      </c>
      <c r="E596" t="s">
        <v>49</v>
      </c>
      <c r="F596" t="s">
        <v>474</v>
      </c>
      <c r="G596" t="s">
        <v>86</v>
      </c>
      <c r="H596" t="s">
        <v>96</v>
      </c>
      <c r="K596" t="s">
        <v>102</v>
      </c>
      <c r="L596">
        <v>5</v>
      </c>
      <c r="M596">
        <v>0.25</v>
      </c>
      <c r="N596" t="s">
        <v>126</v>
      </c>
      <c r="O596" t="s">
        <v>126</v>
      </c>
      <c r="P596" t="s">
        <v>188</v>
      </c>
      <c r="Q596" s="1" t="s">
        <v>2281</v>
      </c>
      <c r="R596" s="1" t="s">
        <v>2282</v>
      </c>
      <c r="S596" s="1" t="s">
        <v>126</v>
      </c>
      <c r="X596" t="s">
        <v>503</v>
      </c>
      <c r="Y596" t="s">
        <v>2279</v>
      </c>
      <c r="Z596" t="s">
        <v>2280</v>
      </c>
      <c r="AA596" t="s">
        <v>2358</v>
      </c>
      <c r="AB596" t="s">
        <v>2009</v>
      </c>
      <c r="AC596" t="s">
        <v>152</v>
      </c>
      <c r="AD596" t="s">
        <v>2278</v>
      </c>
      <c r="AE596" t="s">
        <v>227</v>
      </c>
      <c r="AH596" s="4" t="s">
        <v>49</v>
      </c>
      <c r="AI596" t="s">
        <v>49</v>
      </c>
      <c r="AM596" t="s">
        <v>233</v>
      </c>
      <c r="AN596" t="s">
        <v>166</v>
      </c>
      <c r="AP596" t="s">
        <v>157</v>
      </c>
    </row>
    <row r="597" spans="1:43" x14ac:dyDescent="0.2">
      <c r="A597" t="s">
        <v>499</v>
      </c>
      <c r="B597" t="s">
        <v>500</v>
      </c>
      <c r="C597">
        <v>2021</v>
      </c>
      <c r="D597" t="s">
        <v>44</v>
      </c>
      <c r="E597" t="s">
        <v>49</v>
      </c>
      <c r="F597" t="s">
        <v>474</v>
      </c>
      <c r="G597" t="s">
        <v>86</v>
      </c>
      <c r="H597" t="s">
        <v>96</v>
      </c>
      <c r="K597" t="s">
        <v>102</v>
      </c>
      <c r="L597">
        <v>5</v>
      </c>
      <c r="M597">
        <v>0.25</v>
      </c>
      <c r="N597" t="s">
        <v>126</v>
      </c>
      <c r="O597" t="s">
        <v>126</v>
      </c>
      <c r="P597" t="s">
        <v>188</v>
      </c>
      <c r="Q597" s="1" t="s">
        <v>2281</v>
      </c>
      <c r="R597" s="1" t="s">
        <v>2282</v>
      </c>
      <c r="S597" s="1" t="s">
        <v>126</v>
      </c>
      <c r="X597" t="s">
        <v>189</v>
      </c>
      <c r="Y597" t="s">
        <v>2279</v>
      </c>
      <c r="Z597" t="s">
        <v>2280</v>
      </c>
      <c r="AA597" t="s">
        <v>2358</v>
      </c>
      <c r="AB597" t="s">
        <v>189</v>
      </c>
      <c r="AC597" t="s">
        <v>152</v>
      </c>
      <c r="AD597" t="s">
        <v>2278</v>
      </c>
      <c r="AE597" t="s">
        <v>227</v>
      </c>
      <c r="AH597" s="4" t="s">
        <v>49</v>
      </c>
      <c r="AI597" t="s">
        <v>49</v>
      </c>
      <c r="AM597" t="s">
        <v>233</v>
      </c>
      <c r="AN597" t="s">
        <v>166</v>
      </c>
      <c r="AP597" t="s">
        <v>49</v>
      </c>
    </row>
    <row r="598" spans="1:43" x14ac:dyDescent="0.2">
      <c r="A598" t="s">
        <v>499</v>
      </c>
      <c r="B598" t="s">
        <v>500</v>
      </c>
      <c r="C598">
        <v>2021</v>
      </c>
      <c r="D598" t="s">
        <v>44</v>
      </c>
      <c r="E598" t="s">
        <v>49</v>
      </c>
      <c r="F598" t="s">
        <v>474</v>
      </c>
      <c r="G598" t="s">
        <v>86</v>
      </c>
      <c r="H598" t="s">
        <v>96</v>
      </c>
      <c r="K598" t="s">
        <v>102</v>
      </c>
      <c r="L598">
        <v>5</v>
      </c>
      <c r="M598">
        <v>0.25</v>
      </c>
      <c r="N598" t="s">
        <v>126</v>
      </c>
      <c r="O598" t="s">
        <v>126</v>
      </c>
      <c r="P598" t="s">
        <v>188</v>
      </c>
      <c r="Q598" s="1" t="s">
        <v>2281</v>
      </c>
      <c r="R598" s="1" t="s">
        <v>2282</v>
      </c>
      <c r="S598" s="1" t="s">
        <v>126</v>
      </c>
      <c r="X598" t="s">
        <v>503</v>
      </c>
      <c r="Y598" t="s">
        <v>2279</v>
      </c>
      <c r="Z598" t="s">
        <v>2280</v>
      </c>
      <c r="AA598" t="s">
        <v>2358</v>
      </c>
      <c r="AB598" t="s">
        <v>2009</v>
      </c>
      <c r="AC598" t="s">
        <v>152</v>
      </c>
      <c r="AD598" t="s">
        <v>2278</v>
      </c>
      <c r="AE598" t="s">
        <v>227</v>
      </c>
      <c r="AH598" s="4" t="s">
        <v>49</v>
      </c>
      <c r="AI598" t="s">
        <v>49</v>
      </c>
      <c r="AM598" t="s">
        <v>233</v>
      </c>
      <c r="AN598" t="s">
        <v>154</v>
      </c>
      <c r="AP598" t="s">
        <v>157</v>
      </c>
    </row>
    <row r="599" spans="1:43" x14ac:dyDescent="0.2">
      <c r="A599" t="s">
        <v>499</v>
      </c>
      <c r="B599" t="s">
        <v>500</v>
      </c>
      <c r="C599">
        <v>2021</v>
      </c>
      <c r="D599" t="s">
        <v>44</v>
      </c>
      <c r="E599" t="s">
        <v>49</v>
      </c>
      <c r="F599" t="s">
        <v>474</v>
      </c>
      <c r="G599" t="s">
        <v>86</v>
      </c>
      <c r="H599" t="s">
        <v>96</v>
      </c>
      <c r="K599" t="s">
        <v>102</v>
      </c>
      <c r="L599">
        <v>5</v>
      </c>
      <c r="M599">
        <v>0.25</v>
      </c>
      <c r="N599" t="s">
        <v>126</v>
      </c>
      <c r="O599" t="s">
        <v>126</v>
      </c>
      <c r="P599" t="s">
        <v>188</v>
      </c>
      <c r="Q599" s="1" t="s">
        <v>2281</v>
      </c>
      <c r="R599" s="1" t="s">
        <v>2282</v>
      </c>
      <c r="S599" s="1" t="s">
        <v>126</v>
      </c>
      <c r="X599" t="s">
        <v>227</v>
      </c>
      <c r="Y599" t="s">
        <v>2279</v>
      </c>
      <c r="Z599" t="s">
        <v>2361</v>
      </c>
      <c r="AA599" t="s">
        <v>2362</v>
      </c>
      <c r="AB599" t="s">
        <v>2296</v>
      </c>
      <c r="AC599" t="s">
        <v>162</v>
      </c>
      <c r="AD599" t="s">
        <v>2278</v>
      </c>
      <c r="AH599" s="4" t="s">
        <v>49</v>
      </c>
      <c r="AI599" t="s">
        <v>49</v>
      </c>
      <c r="AM599" t="s">
        <v>233</v>
      </c>
      <c r="AN599" t="s">
        <v>165</v>
      </c>
      <c r="AP599" t="s">
        <v>51</v>
      </c>
    </row>
    <row r="600" spans="1:43" x14ac:dyDescent="0.2">
      <c r="A600" t="s">
        <v>499</v>
      </c>
      <c r="B600" t="s">
        <v>500</v>
      </c>
      <c r="C600">
        <v>2021</v>
      </c>
      <c r="D600" t="s">
        <v>44</v>
      </c>
      <c r="E600" t="s">
        <v>49</v>
      </c>
      <c r="F600" t="s">
        <v>474</v>
      </c>
      <c r="G600" t="s">
        <v>86</v>
      </c>
      <c r="H600" t="s">
        <v>96</v>
      </c>
      <c r="K600" t="s">
        <v>102</v>
      </c>
      <c r="L600">
        <v>5</v>
      </c>
      <c r="M600">
        <v>0.25</v>
      </c>
      <c r="N600" t="s">
        <v>126</v>
      </c>
      <c r="O600" t="s">
        <v>126</v>
      </c>
      <c r="P600" t="s">
        <v>188</v>
      </c>
      <c r="Q600" s="1" t="s">
        <v>2281</v>
      </c>
      <c r="R600" s="1" t="s">
        <v>2282</v>
      </c>
      <c r="S600" s="1" t="s">
        <v>126</v>
      </c>
      <c r="X600" t="s">
        <v>189</v>
      </c>
      <c r="Y600" t="s">
        <v>2279</v>
      </c>
      <c r="Z600" t="s">
        <v>2280</v>
      </c>
      <c r="AA600" t="s">
        <v>2358</v>
      </c>
      <c r="AB600" t="s">
        <v>189</v>
      </c>
      <c r="AC600" t="s">
        <v>152</v>
      </c>
      <c r="AD600" t="s">
        <v>2278</v>
      </c>
      <c r="AE600" t="s">
        <v>227</v>
      </c>
      <c r="AH600" s="4" t="s">
        <v>49</v>
      </c>
      <c r="AI600" t="s">
        <v>49</v>
      </c>
      <c r="AM600" t="s">
        <v>233</v>
      </c>
      <c r="AN600" t="s">
        <v>154</v>
      </c>
      <c r="AP600" t="s">
        <v>49</v>
      </c>
    </row>
    <row r="601" spans="1:43" x14ac:dyDescent="0.2">
      <c r="A601" t="s">
        <v>504</v>
      </c>
      <c r="B601" t="s">
        <v>505</v>
      </c>
      <c r="C601">
        <v>2021</v>
      </c>
      <c r="D601" t="s">
        <v>44</v>
      </c>
      <c r="E601" t="s">
        <v>50</v>
      </c>
      <c r="F601" t="s">
        <v>931</v>
      </c>
      <c r="G601" t="s">
        <v>90</v>
      </c>
      <c r="H601" t="s">
        <v>350</v>
      </c>
      <c r="I601">
        <v>2001</v>
      </c>
      <c r="J601">
        <v>1</v>
      </c>
      <c r="K601" t="s">
        <v>102</v>
      </c>
      <c r="L601">
        <v>100</v>
      </c>
      <c r="M601">
        <v>0.25</v>
      </c>
      <c r="N601" t="s">
        <v>128</v>
      </c>
      <c r="O601" t="s">
        <v>506</v>
      </c>
      <c r="P601" t="s">
        <v>245</v>
      </c>
      <c r="Q601" s="1" t="s">
        <v>2276</v>
      </c>
      <c r="R601" s="1" t="s">
        <v>669</v>
      </c>
      <c r="S601" s="1" t="s">
        <v>168</v>
      </c>
      <c r="X601" t="s">
        <v>171</v>
      </c>
      <c r="Y601" t="s">
        <v>2273</v>
      </c>
      <c r="Z601" t="s">
        <v>249</v>
      </c>
      <c r="AA601" t="s">
        <v>2359</v>
      </c>
      <c r="AB601" t="s">
        <v>1979</v>
      </c>
      <c r="AC601" t="s">
        <v>152</v>
      </c>
      <c r="AD601" t="s">
        <v>137</v>
      </c>
      <c r="AE601" t="s">
        <v>491</v>
      </c>
      <c r="AF601" t="s">
        <v>49</v>
      </c>
      <c r="AI601" t="s">
        <v>49</v>
      </c>
      <c r="AM601" t="s">
        <v>507</v>
      </c>
      <c r="AN601" t="s">
        <v>166</v>
      </c>
    </row>
    <row r="602" spans="1:43" x14ac:dyDescent="0.2">
      <c r="A602" t="s">
        <v>504</v>
      </c>
      <c r="B602" t="s">
        <v>505</v>
      </c>
      <c r="C602">
        <v>2021</v>
      </c>
      <c r="D602" t="s">
        <v>44</v>
      </c>
      <c r="E602" t="s">
        <v>50</v>
      </c>
      <c r="F602" t="s">
        <v>931</v>
      </c>
      <c r="G602" t="s">
        <v>90</v>
      </c>
      <c r="H602" t="s">
        <v>350</v>
      </c>
      <c r="I602">
        <v>2001</v>
      </c>
      <c r="J602">
        <v>1</v>
      </c>
      <c r="K602" t="s">
        <v>102</v>
      </c>
      <c r="L602">
        <v>100</v>
      </c>
      <c r="M602">
        <v>0.25</v>
      </c>
      <c r="N602" t="s">
        <v>128</v>
      </c>
      <c r="O602" t="s">
        <v>506</v>
      </c>
      <c r="P602" t="s">
        <v>245</v>
      </c>
      <c r="Q602" s="1" t="s">
        <v>2276</v>
      </c>
      <c r="R602" s="1" t="s">
        <v>669</v>
      </c>
      <c r="S602" s="1" t="s">
        <v>168</v>
      </c>
      <c r="X602" t="s">
        <v>161</v>
      </c>
      <c r="Y602" t="s">
        <v>2272</v>
      </c>
      <c r="Z602" t="s">
        <v>2272</v>
      </c>
      <c r="AA602" t="s">
        <v>2272</v>
      </c>
      <c r="AB602" t="s">
        <v>2272</v>
      </c>
      <c r="AC602" t="s">
        <v>162</v>
      </c>
      <c r="AD602" t="s">
        <v>2272</v>
      </c>
      <c r="AF602" t="s">
        <v>49</v>
      </c>
      <c r="AK602" t="s">
        <v>49</v>
      </c>
      <c r="AM602" t="s">
        <v>508</v>
      </c>
      <c r="AN602" t="s">
        <v>154</v>
      </c>
    </row>
    <row r="603" spans="1:43" x14ac:dyDescent="0.2">
      <c r="A603" t="s">
        <v>504</v>
      </c>
      <c r="B603" t="s">
        <v>505</v>
      </c>
      <c r="C603">
        <v>2021</v>
      </c>
      <c r="D603" t="s">
        <v>44</v>
      </c>
      <c r="E603" t="s">
        <v>50</v>
      </c>
      <c r="F603" t="s">
        <v>931</v>
      </c>
      <c r="G603" t="s">
        <v>90</v>
      </c>
      <c r="H603" t="s">
        <v>350</v>
      </c>
      <c r="I603">
        <v>2001</v>
      </c>
      <c r="J603">
        <v>1</v>
      </c>
      <c r="K603" t="s">
        <v>102</v>
      </c>
      <c r="L603">
        <v>100</v>
      </c>
      <c r="M603">
        <v>0.25</v>
      </c>
      <c r="N603" t="s">
        <v>128</v>
      </c>
      <c r="O603" t="s">
        <v>506</v>
      </c>
      <c r="P603" t="s">
        <v>245</v>
      </c>
      <c r="Q603" s="1" t="s">
        <v>2276</v>
      </c>
      <c r="R603" s="1" t="s">
        <v>669</v>
      </c>
      <c r="S603" s="1" t="s">
        <v>168</v>
      </c>
      <c r="X603" t="s">
        <v>161</v>
      </c>
      <c r="Y603" t="s">
        <v>2272</v>
      </c>
      <c r="Z603" t="s">
        <v>2272</v>
      </c>
      <c r="AA603" t="s">
        <v>2272</v>
      </c>
      <c r="AB603" t="s">
        <v>2272</v>
      </c>
      <c r="AC603" t="s">
        <v>162</v>
      </c>
      <c r="AD603" t="s">
        <v>2272</v>
      </c>
      <c r="AF603" t="s">
        <v>49</v>
      </c>
      <c r="AK603" t="s">
        <v>49</v>
      </c>
      <c r="AM603" t="s">
        <v>508</v>
      </c>
      <c r="AN603" t="s">
        <v>165</v>
      </c>
    </row>
    <row r="604" spans="1:43" x14ac:dyDescent="0.2">
      <c r="A604" t="s">
        <v>509</v>
      </c>
      <c r="B604" t="s">
        <v>510</v>
      </c>
      <c r="C604">
        <v>2021</v>
      </c>
      <c r="D604" t="s">
        <v>44</v>
      </c>
      <c r="F604" t="s">
        <v>511</v>
      </c>
      <c r="G604" t="s">
        <v>86</v>
      </c>
      <c r="H604" t="s">
        <v>350</v>
      </c>
      <c r="I604">
        <v>2015</v>
      </c>
      <c r="J604">
        <v>0.17</v>
      </c>
      <c r="K604" t="s">
        <v>101</v>
      </c>
      <c r="L604">
        <v>950</v>
      </c>
      <c r="M604">
        <v>0</v>
      </c>
      <c r="N604" t="s">
        <v>120</v>
      </c>
      <c r="O604" t="s">
        <v>120</v>
      </c>
      <c r="P604" t="s">
        <v>196</v>
      </c>
      <c r="Q604" s="1" t="s">
        <v>2276</v>
      </c>
      <c r="R604" s="1" t="s">
        <v>669</v>
      </c>
      <c r="S604" s="1" t="s">
        <v>168</v>
      </c>
      <c r="X604" t="s">
        <v>161</v>
      </c>
      <c r="Y604" t="s">
        <v>2272</v>
      </c>
      <c r="Z604" t="s">
        <v>2272</v>
      </c>
      <c r="AA604" t="s">
        <v>2272</v>
      </c>
      <c r="AB604" t="s">
        <v>2272</v>
      </c>
      <c r="AC604" t="s">
        <v>162</v>
      </c>
      <c r="AD604" t="s">
        <v>2272</v>
      </c>
      <c r="AF604" t="s">
        <v>49</v>
      </c>
      <c r="AI604" t="s">
        <v>49</v>
      </c>
      <c r="AM604" t="s">
        <v>202</v>
      </c>
      <c r="AN604" t="s">
        <v>166</v>
      </c>
    </row>
    <row r="605" spans="1:43" x14ac:dyDescent="0.2">
      <c r="A605" t="s">
        <v>509</v>
      </c>
      <c r="B605" t="s">
        <v>510</v>
      </c>
      <c r="C605">
        <v>2021</v>
      </c>
      <c r="D605" t="s">
        <v>44</v>
      </c>
      <c r="F605" t="s">
        <v>511</v>
      </c>
      <c r="G605" t="s">
        <v>86</v>
      </c>
      <c r="H605" t="s">
        <v>350</v>
      </c>
      <c r="I605">
        <v>2015</v>
      </c>
      <c r="J605">
        <v>0.17</v>
      </c>
      <c r="K605" t="s">
        <v>101</v>
      </c>
      <c r="L605">
        <v>950</v>
      </c>
      <c r="M605">
        <v>0</v>
      </c>
      <c r="N605" t="s">
        <v>120</v>
      </c>
      <c r="O605" t="s">
        <v>120</v>
      </c>
      <c r="P605" t="s">
        <v>196</v>
      </c>
      <c r="Q605" s="1" t="s">
        <v>2276</v>
      </c>
      <c r="R605" s="1" t="s">
        <v>669</v>
      </c>
      <c r="S605" s="1" t="s">
        <v>168</v>
      </c>
      <c r="X605" t="s">
        <v>161</v>
      </c>
      <c r="Y605" t="s">
        <v>2272</v>
      </c>
      <c r="Z605" t="s">
        <v>2272</v>
      </c>
      <c r="AA605" t="s">
        <v>2272</v>
      </c>
      <c r="AB605" t="s">
        <v>2272</v>
      </c>
      <c r="AC605" t="s">
        <v>162</v>
      </c>
      <c r="AD605" t="s">
        <v>2272</v>
      </c>
      <c r="AF605" t="s">
        <v>49</v>
      </c>
      <c r="AI605" t="s">
        <v>49</v>
      </c>
      <c r="AM605" t="s">
        <v>202</v>
      </c>
      <c r="AN605" t="s">
        <v>154</v>
      </c>
    </row>
    <row r="606" spans="1:43" x14ac:dyDescent="0.2">
      <c r="A606" t="s">
        <v>509</v>
      </c>
      <c r="B606" t="s">
        <v>510</v>
      </c>
      <c r="C606">
        <v>2021</v>
      </c>
      <c r="D606" t="s">
        <v>44</v>
      </c>
      <c r="F606" t="s">
        <v>511</v>
      </c>
      <c r="G606" t="s">
        <v>86</v>
      </c>
      <c r="H606" t="s">
        <v>350</v>
      </c>
      <c r="I606">
        <v>2015</v>
      </c>
      <c r="J606">
        <v>0.17</v>
      </c>
      <c r="K606" t="s">
        <v>101</v>
      </c>
      <c r="L606">
        <v>950</v>
      </c>
      <c r="M606">
        <v>0</v>
      </c>
      <c r="N606" t="s">
        <v>120</v>
      </c>
      <c r="O606" t="s">
        <v>120</v>
      </c>
      <c r="P606" t="s">
        <v>196</v>
      </c>
      <c r="Q606" s="1" t="s">
        <v>2276</v>
      </c>
      <c r="R606" s="1" t="s">
        <v>669</v>
      </c>
      <c r="S606" s="1" t="s">
        <v>168</v>
      </c>
      <c r="X606" t="s">
        <v>161</v>
      </c>
      <c r="Y606" t="s">
        <v>2272</v>
      </c>
      <c r="Z606" t="s">
        <v>2272</v>
      </c>
      <c r="AA606" t="s">
        <v>2272</v>
      </c>
      <c r="AB606" t="s">
        <v>2272</v>
      </c>
      <c r="AC606" t="s">
        <v>162</v>
      </c>
      <c r="AD606" t="s">
        <v>2272</v>
      </c>
      <c r="AF606" t="s">
        <v>49</v>
      </c>
      <c r="AI606" t="s">
        <v>49</v>
      </c>
      <c r="AM606" t="s">
        <v>202</v>
      </c>
      <c r="AN606" t="s">
        <v>165</v>
      </c>
    </row>
    <row r="607" spans="1:43" x14ac:dyDescent="0.2">
      <c r="A607" t="s">
        <v>509</v>
      </c>
      <c r="B607" t="s">
        <v>510</v>
      </c>
      <c r="C607">
        <v>2021</v>
      </c>
      <c r="D607" t="s">
        <v>44</v>
      </c>
      <c r="F607" t="s">
        <v>511</v>
      </c>
      <c r="G607" t="s">
        <v>86</v>
      </c>
      <c r="H607" t="s">
        <v>350</v>
      </c>
      <c r="I607">
        <v>2015</v>
      </c>
      <c r="J607">
        <v>0.17</v>
      </c>
      <c r="K607" t="s">
        <v>101</v>
      </c>
      <c r="L607">
        <v>950</v>
      </c>
      <c r="M607">
        <v>0</v>
      </c>
      <c r="N607" t="s">
        <v>120</v>
      </c>
      <c r="O607" t="s">
        <v>120</v>
      </c>
      <c r="P607" t="s">
        <v>196</v>
      </c>
      <c r="Q607" s="1" t="s">
        <v>2276</v>
      </c>
      <c r="R607" s="1" t="s">
        <v>669</v>
      </c>
      <c r="S607" s="1" t="s">
        <v>168</v>
      </c>
      <c r="X607" t="s">
        <v>161</v>
      </c>
      <c r="Y607" t="s">
        <v>2272</v>
      </c>
      <c r="Z607" t="s">
        <v>2272</v>
      </c>
      <c r="AA607" t="s">
        <v>2272</v>
      </c>
      <c r="AB607" t="s">
        <v>2272</v>
      </c>
      <c r="AC607" t="s">
        <v>162</v>
      </c>
      <c r="AD607" t="s">
        <v>2272</v>
      </c>
      <c r="AF607" t="s">
        <v>49</v>
      </c>
      <c r="AI607" t="s">
        <v>49</v>
      </c>
      <c r="AM607" t="s">
        <v>512</v>
      </c>
      <c r="AN607" t="s">
        <v>171</v>
      </c>
    </row>
    <row r="608" spans="1:43" x14ac:dyDescent="0.2">
      <c r="A608" t="s">
        <v>513</v>
      </c>
      <c r="B608" t="s">
        <v>514</v>
      </c>
      <c r="C608">
        <v>2021</v>
      </c>
      <c r="D608" t="s">
        <v>811</v>
      </c>
      <c r="F608" t="s">
        <v>515</v>
      </c>
      <c r="G608" t="s">
        <v>516</v>
      </c>
      <c r="H608" t="s">
        <v>350</v>
      </c>
      <c r="I608">
        <v>2019</v>
      </c>
      <c r="J608">
        <f t="shared" ref="J608:J621" si="9">3/12</f>
        <v>0.25</v>
      </c>
      <c r="K608" t="s">
        <v>101</v>
      </c>
      <c r="L608">
        <v>0.25</v>
      </c>
      <c r="M608">
        <f t="shared" ref="M608:M621" si="10">0.15*0.15</f>
        <v>2.2499999999999999E-2</v>
      </c>
      <c r="N608" t="s">
        <v>123</v>
      </c>
      <c r="O608" t="s">
        <v>517</v>
      </c>
      <c r="P608" t="s">
        <v>518</v>
      </c>
      <c r="Q608" s="1" t="s">
        <v>2281</v>
      </c>
      <c r="R608" s="1" t="s">
        <v>2282</v>
      </c>
      <c r="S608" s="1" t="s">
        <v>123</v>
      </c>
      <c r="T608" t="s">
        <v>421</v>
      </c>
      <c r="U608" t="s">
        <v>421</v>
      </c>
      <c r="X608" t="s">
        <v>519</v>
      </c>
      <c r="Y608" t="s">
        <v>2279</v>
      </c>
      <c r="Z608" t="s">
        <v>2280</v>
      </c>
      <c r="AA608" t="s">
        <v>2358</v>
      </c>
      <c r="AB608" t="s">
        <v>2009</v>
      </c>
      <c r="AC608" t="s">
        <v>162</v>
      </c>
      <c r="AD608" t="s">
        <v>2278</v>
      </c>
      <c r="AF608" t="s">
        <v>49</v>
      </c>
      <c r="AJ608" t="s">
        <v>49</v>
      </c>
      <c r="AM608" t="s">
        <v>202</v>
      </c>
      <c r="AN608" t="s">
        <v>165</v>
      </c>
      <c r="AP608" t="s">
        <v>49</v>
      </c>
    </row>
    <row r="609" spans="1:44" x14ac:dyDescent="0.2">
      <c r="A609" t="s">
        <v>513</v>
      </c>
      <c r="B609" t="s">
        <v>514</v>
      </c>
      <c r="C609">
        <v>2021</v>
      </c>
      <c r="D609" t="s">
        <v>811</v>
      </c>
      <c r="F609" t="s">
        <v>515</v>
      </c>
      <c r="G609" t="s">
        <v>516</v>
      </c>
      <c r="H609" t="s">
        <v>350</v>
      </c>
      <c r="I609">
        <v>2019</v>
      </c>
      <c r="J609">
        <f t="shared" si="9"/>
        <v>0.25</v>
      </c>
      <c r="K609" t="s">
        <v>101</v>
      </c>
      <c r="L609">
        <v>0.25</v>
      </c>
      <c r="M609">
        <f t="shared" si="10"/>
        <v>2.2499999999999999E-2</v>
      </c>
      <c r="N609" t="s">
        <v>123</v>
      </c>
      <c r="O609" t="s">
        <v>517</v>
      </c>
      <c r="P609" t="s">
        <v>518</v>
      </c>
      <c r="Q609" s="1" t="s">
        <v>2281</v>
      </c>
      <c r="R609" s="1" t="s">
        <v>2282</v>
      </c>
      <c r="S609" s="1" t="s">
        <v>123</v>
      </c>
      <c r="T609" t="s">
        <v>421</v>
      </c>
      <c r="U609" t="s">
        <v>421</v>
      </c>
      <c r="X609" t="s">
        <v>161</v>
      </c>
      <c r="Y609" t="s">
        <v>2272</v>
      </c>
      <c r="Z609" t="s">
        <v>2272</v>
      </c>
      <c r="AA609" t="s">
        <v>2272</v>
      </c>
      <c r="AB609" t="s">
        <v>2272</v>
      </c>
      <c r="AC609" t="s">
        <v>162</v>
      </c>
      <c r="AD609" t="s">
        <v>2272</v>
      </c>
      <c r="AF609" t="s">
        <v>49</v>
      </c>
      <c r="AJ609" t="s">
        <v>49</v>
      </c>
      <c r="AM609" t="s">
        <v>202</v>
      </c>
      <c r="AN609" t="s">
        <v>165</v>
      </c>
      <c r="AP609" t="s">
        <v>49</v>
      </c>
    </row>
    <row r="610" spans="1:44" x14ac:dyDescent="0.2">
      <c r="A610" t="s">
        <v>513</v>
      </c>
      <c r="B610" t="s">
        <v>514</v>
      </c>
      <c r="C610">
        <v>2021</v>
      </c>
      <c r="D610" t="s">
        <v>811</v>
      </c>
      <c r="F610" t="s">
        <v>515</v>
      </c>
      <c r="G610" t="s">
        <v>516</v>
      </c>
      <c r="H610" t="s">
        <v>350</v>
      </c>
      <c r="I610">
        <v>2019</v>
      </c>
      <c r="J610">
        <f t="shared" si="9"/>
        <v>0.25</v>
      </c>
      <c r="K610" t="s">
        <v>101</v>
      </c>
      <c r="L610">
        <v>0.25</v>
      </c>
      <c r="M610">
        <f t="shared" si="10"/>
        <v>2.2499999999999999E-2</v>
      </c>
      <c r="N610" t="s">
        <v>123</v>
      </c>
      <c r="O610" t="s">
        <v>517</v>
      </c>
      <c r="P610" t="s">
        <v>518</v>
      </c>
      <c r="Q610" s="1" t="s">
        <v>2281</v>
      </c>
      <c r="R610" s="1" t="s">
        <v>2282</v>
      </c>
      <c r="S610" s="1" t="s">
        <v>123</v>
      </c>
      <c r="T610" t="s">
        <v>421</v>
      </c>
      <c r="U610" t="s">
        <v>421</v>
      </c>
      <c r="X610" t="s">
        <v>519</v>
      </c>
      <c r="Y610" t="s">
        <v>2279</v>
      </c>
      <c r="Z610" t="s">
        <v>2280</v>
      </c>
      <c r="AA610" t="s">
        <v>2358</v>
      </c>
      <c r="AB610" t="s">
        <v>2009</v>
      </c>
      <c r="AC610" t="s">
        <v>162</v>
      </c>
      <c r="AD610" t="s">
        <v>2278</v>
      </c>
      <c r="AF610" t="s">
        <v>49</v>
      </c>
      <c r="AJ610" t="s">
        <v>49</v>
      </c>
      <c r="AM610" t="s">
        <v>520</v>
      </c>
      <c r="AN610" t="s">
        <v>171</v>
      </c>
    </row>
    <row r="611" spans="1:44" x14ac:dyDescent="0.2">
      <c r="A611" t="s">
        <v>513</v>
      </c>
      <c r="B611" t="s">
        <v>514</v>
      </c>
      <c r="C611">
        <v>2021</v>
      </c>
      <c r="D611" t="s">
        <v>811</v>
      </c>
      <c r="F611" t="s">
        <v>515</v>
      </c>
      <c r="G611" t="s">
        <v>516</v>
      </c>
      <c r="H611" t="s">
        <v>350</v>
      </c>
      <c r="I611">
        <v>2019</v>
      </c>
      <c r="J611">
        <f t="shared" si="9"/>
        <v>0.25</v>
      </c>
      <c r="K611" t="s">
        <v>101</v>
      </c>
      <c r="L611">
        <v>0.25</v>
      </c>
      <c r="M611">
        <f t="shared" si="10"/>
        <v>2.2499999999999999E-2</v>
      </c>
      <c r="N611" t="s">
        <v>123</v>
      </c>
      <c r="O611" t="s">
        <v>517</v>
      </c>
      <c r="P611" t="s">
        <v>518</v>
      </c>
      <c r="Q611" s="1" t="s">
        <v>2281</v>
      </c>
      <c r="R611" s="1" t="s">
        <v>2282</v>
      </c>
      <c r="S611" s="1" t="s">
        <v>123</v>
      </c>
      <c r="T611" t="s">
        <v>421</v>
      </c>
      <c r="U611" t="s">
        <v>421</v>
      </c>
      <c r="X611" t="s">
        <v>161</v>
      </c>
      <c r="Y611" t="s">
        <v>2272</v>
      </c>
      <c r="Z611" t="s">
        <v>2272</v>
      </c>
      <c r="AA611" t="s">
        <v>2272</v>
      </c>
      <c r="AB611" t="s">
        <v>2272</v>
      </c>
      <c r="AC611" t="s">
        <v>162</v>
      </c>
      <c r="AD611" t="s">
        <v>2272</v>
      </c>
      <c r="AF611" t="s">
        <v>49</v>
      </c>
      <c r="AJ611" t="s">
        <v>49</v>
      </c>
      <c r="AM611" t="s">
        <v>520</v>
      </c>
      <c r="AN611" t="s">
        <v>171</v>
      </c>
      <c r="AP611" s="1" t="s">
        <v>158</v>
      </c>
    </row>
    <row r="612" spans="1:44" x14ac:dyDescent="0.2">
      <c r="A612" t="s">
        <v>513</v>
      </c>
      <c r="B612" t="s">
        <v>514</v>
      </c>
      <c r="C612">
        <v>2021</v>
      </c>
      <c r="D612" t="s">
        <v>811</v>
      </c>
      <c r="F612" t="s">
        <v>515</v>
      </c>
      <c r="G612" t="s">
        <v>516</v>
      </c>
      <c r="H612" t="s">
        <v>350</v>
      </c>
      <c r="I612">
        <v>2019</v>
      </c>
      <c r="J612">
        <f t="shared" si="9"/>
        <v>0.25</v>
      </c>
      <c r="K612" t="s">
        <v>101</v>
      </c>
      <c r="L612">
        <v>0.25</v>
      </c>
      <c r="M612">
        <f t="shared" si="10"/>
        <v>2.2499999999999999E-2</v>
      </c>
      <c r="N612" t="s">
        <v>123</v>
      </c>
      <c r="O612" t="s">
        <v>517</v>
      </c>
      <c r="P612" t="s">
        <v>518</v>
      </c>
      <c r="Q612" s="1" t="s">
        <v>2281</v>
      </c>
      <c r="R612" s="1" t="s">
        <v>2282</v>
      </c>
      <c r="S612" s="1" t="s">
        <v>123</v>
      </c>
      <c r="T612" t="s">
        <v>421</v>
      </c>
      <c r="U612" t="s">
        <v>421</v>
      </c>
      <c r="X612" t="s">
        <v>519</v>
      </c>
      <c r="Y612" t="s">
        <v>2279</v>
      </c>
      <c r="Z612" t="s">
        <v>2280</v>
      </c>
      <c r="AA612" t="s">
        <v>2358</v>
      </c>
      <c r="AB612" t="s">
        <v>2009</v>
      </c>
      <c r="AC612" t="s">
        <v>162</v>
      </c>
      <c r="AD612" t="s">
        <v>2278</v>
      </c>
      <c r="AF612" t="s">
        <v>49</v>
      </c>
      <c r="AJ612" t="s">
        <v>49</v>
      </c>
      <c r="AM612" t="s">
        <v>520</v>
      </c>
      <c r="AN612" t="s">
        <v>154</v>
      </c>
      <c r="AP612" t="s">
        <v>51</v>
      </c>
    </row>
    <row r="613" spans="1:44" x14ac:dyDescent="0.2">
      <c r="A613" t="s">
        <v>513</v>
      </c>
      <c r="B613" t="s">
        <v>514</v>
      </c>
      <c r="C613">
        <v>2021</v>
      </c>
      <c r="D613" t="s">
        <v>811</v>
      </c>
      <c r="F613" t="s">
        <v>515</v>
      </c>
      <c r="G613" t="s">
        <v>516</v>
      </c>
      <c r="H613" t="s">
        <v>350</v>
      </c>
      <c r="I613">
        <v>2019</v>
      </c>
      <c r="J613">
        <f t="shared" si="9"/>
        <v>0.25</v>
      </c>
      <c r="K613" t="s">
        <v>101</v>
      </c>
      <c r="L613">
        <v>0.25</v>
      </c>
      <c r="M613">
        <f t="shared" si="10"/>
        <v>2.2499999999999999E-2</v>
      </c>
      <c r="N613" t="s">
        <v>123</v>
      </c>
      <c r="O613" t="s">
        <v>517</v>
      </c>
      <c r="P613" t="s">
        <v>518</v>
      </c>
      <c r="Q613" s="1" t="s">
        <v>2281</v>
      </c>
      <c r="R613" s="1" t="s">
        <v>2282</v>
      </c>
      <c r="S613" s="1" t="s">
        <v>123</v>
      </c>
      <c r="T613" t="s">
        <v>421</v>
      </c>
      <c r="U613" t="s">
        <v>421</v>
      </c>
      <c r="X613" t="s">
        <v>161</v>
      </c>
      <c r="Y613" t="s">
        <v>2272</v>
      </c>
      <c r="Z613" t="s">
        <v>2272</v>
      </c>
      <c r="AA613" t="s">
        <v>2272</v>
      </c>
      <c r="AB613" t="s">
        <v>2272</v>
      </c>
      <c r="AC613" t="s">
        <v>162</v>
      </c>
      <c r="AD613" t="s">
        <v>2272</v>
      </c>
      <c r="AF613" t="s">
        <v>49</v>
      </c>
      <c r="AJ613" t="s">
        <v>49</v>
      </c>
      <c r="AM613" t="s">
        <v>520</v>
      </c>
      <c r="AN613" t="s">
        <v>154</v>
      </c>
      <c r="AQ613" s="5">
        <v>0</v>
      </c>
    </row>
    <row r="614" spans="1:44" x14ac:dyDescent="0.2">
      <c r="A614" t="s">
        <v>513</v>
      </c>
      <c r="B614" t="s">
        <v>514</v>
      </c>
      <c r="C614">
        <v>2021</v>
      </c>
      <c r="D614" t="s">
        <v>811</v>
      </c>
      <c r="F614" t="s">
        <v>515</v>
      </c>
      <c r="G614" t="s">
        <v>516</v>
      </c>
      <c r="H614" t="s">
        <v>350</v>
      </c>
      <c r="I614">
        <v>2019</v>
      </c>
      <c r="J614">
        <f t="shared" si="9"/>
        <v>0.25</v>
      </c>
      <c r="K614" t="s">
        <v>101</v>
      </c>
      <c r="L614">
        <v>0.25</v>
      </c>
      <c r="M614">
        <f t="shared" si="10"/>
        <v>2.2499999999999999E-2</v>
      </c>
      <c r="N614" t="s">
        <v>123</v>
      </c>
      <c r="O614" t="s">
        <v>517</v>
      </c>
      <c r="P614" t="s">
        <v>518</v>
      </c>
      <c r="Q614" s="1" t="s">
        <v>2281</v>
      </c>
      <c r="R614" s="1" t="s">
        <v>2282</v>
      </c>
      <c r="S614" s="1" t="s">
        <v>123</v>
      </c>
      <c r="T614" t="s">
        <v>421</v>
      </c>
      <c r="U614" t="s">
        <v>421</v>
      </c>
      <c r="X614" t="s">
        <v>519</v>
      </c>
      <c r="Y614" t="s">
        <v>2279</v>
      </c>
      <c r="Z614" t="s">
        <v>2280</v>
      </c>
      <c r="AA614" t="s">
        <v>2358</v>
      </c>
      <c r="AB614" t="s">
        <v>2009</v>
      </c>
      <c r="AC614" t="s">
        <v>162</v>
      </c>
      <c r="AD614" t="s">
        <v>2278</v>
      </c>
      <c r="AF614" t="s">
        <v>49</v>
      </c>
      <c r="AJ614" t="s">
        <v>49</v>
      </c>
      <c r="AM614" t="s">
        <v>521</v>
      </c>
      <c r="AN614" t="s">
        <v>154</v>
      </c>
      <c r="AP614" t="s">
        <v>157</v>
      </c>
    </row>
    <row r="615" spans="1:44" x14ac:dyDescent="0.2">
      <c r="A615" t="s">
        <v>513</v>
      </c>
      <c r="B615" t="s">
        <v>514</v>
      </c>
      <c r="C615">
        <v>2021</v>
      </c>
      <c r="D615" t="s">
        <v>811</v>
      </c>
      <c r="F615" t="s">
        <v>515</v>
      </c>
      <c r="G615" t="s">
        <v>516</v>
      </c>
      <c r="H615" t="s">
        <v>350</v>
      </c>
      <c r="I615">
        <v>2019</v>
      </c>
      <c r="J615">
        <f t="shared" si="9"/>
        <v>0.25</v>
      </c>
      <c r="K615" t="s">
        <v>101</v>
      </c>
      <c r="L615">
        <v>0.25</v>
      </c>
      <c r="M615">
        <f t="shared" si="10"/>
        <v>2.2499999999999999E-2</v>
      </c>
      <c r="N615" t="s">
        <v>123</v>
      </c>
      <c r="O615" t="s">
        <v>517</v>
      </c>
      <c r="P615" t="s">
        <v>518</v>
      </c>
      <c r="Q615" s="1" t="s">
        <v>2281</v>
      </c>
      <c r="R615" s="1" t="s">
        <v>2282</v>
      </c>
      <c r="S615" s="1" t="s">
        <v>123</v>
      </c>
      <c r="T615" t="s">
        <v>421</v>
      </c>
      <c r="U615" t="s">
        <v>421</v>
      </c>
      <c r="X615" t="s">
        <v>161</v>
      </c>
      <c r="Y615" t="s">
        <v>2272</v>
      </c>
      <c r="Z615" t="s">
        <v>2272</v>
      </c>
      <c r="AA615" t="s">
        <v>2272</v>
      </c>
      <c r="AB615" t="s">
        <v>2272</v>
      </c>
      <c r="AC615" t="s">
        <v>162</v>
      </c>
      <c r="AD615" t="s">
        <v>2272</v>
      </c>
      <c r="AF615" t="s">
        <v>49</v>
      </c>
      <c r="AJ615" t="s">
        <v>49</v>
      </c>
      <c r="AM615" t="s">
        <v>521</v>
      </c>
      <c r="AN615" t="s">
        <v>154</v>
      </c>
      <c r="AQ615" s="5">
        <v>1</v>
      </c>
    </row>
    <row r="616" spans="1:44" x14ac:dyDescent="0.2">
      <c r="A616" t="s">
        <v>513</v>
      </c>
      <c r="B616" t="s">
        <v>514</v>
      </c>
      <c r="C616">
        <v>2021</v>
      </c>
      <c r="D616" t="s">
        <v>811</v>
      </c>
      <c r="F616" t="s">
        <v>515</v>
      </c>
      <c r="G616" t="s">
        <v>516</v>
      </c>
      <c r="H616" t="s">
        <v>350</v>
      </c>
      <c r="I616">
        <v>2019</v>
      </c>
      <c r="J616">
        <f t="shared" si="9"/>
        <v>0.25</v>
      </c>
      <c r="K616" t="s">
        <v>101</v>
      </c>
      <c r="L616">
        <v>0.25</v>
      </c>
      <c r="M616">
        <f t="shared" si="10"/>
        <v>2.2499999999999999E-2</v>
      </c>
      <c r="N616" t="s">
        <v>123</v>
      </c>
      <c r="O616" t="s">
        <v>517</v>
      </c>
      <c r="P616" t="s">
        <v>518</v>
      </c>
      <c r="Q616" s="1" t="s">
        <v>2281</v>
      </c>
      <c r="R616" s="1" t="s">
        <v>2282</v>
      </c>
      <c r="S616" s="1" t="s">
        <v>123</v>
      </c>
      <c r="T616" t="s">
        <v>421</v>
      </c>
      <c r="U616" t="s">
        <v>421</v>
      </c>
      <c r="X616" t="s">
        <v>519</v>
      </c>
      <c r="Y616" t="s">
        <v>2279</v>
      </c>
      <c r="Z616" t="s">
        <v>2280</v>
      </c>
      <c r="AA616" t="s">
        <v>2358</v>
      </c>
      <c r="AB616" t="s">
        <v>2009</v>
      </c>
      <c r="AC616" t="s">
        <v>162</v>
      </c>
      <c r="AD616" t="s">
        <v>2278</v>
      </c>
      <c r="AF616" t="s">
        <v>49</v>
      </c>
      <c r="AJ616" t="s">
        <v>49</v>
      </c>
      <c r="AM616" t="s">
        <v>521</v>
      </c>
      <c r="AN616" t="s">
        <v>171</v>
      </c>
    </row>
    <row r="617" spans="1:44" x14ac:dyDescent="0.2">
      <c r="A617" t="s">
        <v>513</v>
      </c>
      <c r="B617" t="s">
        <v>514</v>
      </c>
      <c r="C617">
        <v>2021</v>
      </c>
      <c r="D617" t="s">
        <v>811</v>
      </c>
      <c r="F617" t="s">
        <v>515</v>
      </c>
      <c r="G617" t="s">
        <v>516</v>
      </c>
      <c r="H617" t="s">
        <v>350</v>
      </c>
      <c r="I617">
        <v>2019</v>
      </c>
      <c r="J617">
        <f t="shared" si="9"/>
        <v>0.25</v>
      </c>
      <c r="K617" t="s">
        <v>101</v>
      </c>
      <c r="L617">
        <v>0.25</v>
      </c>
      <c r="M617">
        <f t="shared" si="10"/>
        <v>2.2499999999999999E-2</v>
      </c>
      <c r="N617" t="s">
        <v>123</v>
      </c>
      <c r="O617" t="s">
        <v>517</v>
      </c>
      <c r="P617" t="s">
        <v>518</v>
      </c>
      <c r="Q617" s="1" t="s">
        <v>2281</v>
      </c>
      <c r="R617" s="1" t="s">
        <v>2282</v>
      </c>
      <c r="S617" s="1" t="s">
        <v>123</v>
      </c>
      <c r="T617" t="s">
        <v>421</v>
      </c>
      <c r="U617" t="s">
        <v>421</v>
      </c>
      <c r="X617" t="s">
        <v>161</v>
      </c>
      <c r="Y617" t="s">
        <v>2272</v>
      </c>
      <c r="Z617" t="s">
        <v>2272</v>
      </c>
      <c r="AA617" t="s">
        <v>2272</v>
      </c>
      <c r="AB617" t="s">
        <v>2272</v>
      </c>
      <c r="AC617" t="s">
        <v>162</v>
      </c>
      <c r="AD617" t="s">
        <v>2272</v>
      </c>
      <c r="AF617" t="s">
        <v>49</v>
      </c>
      <c r="AJ617" t="s">
        <v>49</v>
      </c>
      <c r="AM617" t="s">
        <v>521</v>
      </c>
      <c r="AN617" t="s">
        <v>171</v>
      </c>
      <c r="AP617" t="s">
        <v>158</v>
      </c>
    </row>
    <row r="618" spans="1:44" x14ac:dyDescent="0.2">
      <c r="A618" t="s">
        <v>513</v>
      </c>
      <c r="B618" t="s">
        <v>514</v>
      </c>
      <c r="C618">
        <v>2021</v>
      </c>
      <c r="D618" t="s">
        <v>811</v>
      </c>
      <c r="F618" t="s">
        <v>515</v>
      </c>
      <c r="G618" t="s">
        <v>516</v>
      </c>
      <c r="H618" t="s">
        <v>350</v>
      </c>
      <c r="I618">
        <v>2019</v>
      </c>
      <c r="J618">
        <f t="shared" si="9"/>
        <v>0.25</v>
      </c>
      <c r="K618" t="s">
        <v>101</v>
      </c>
      <c r="L618">
        <v>0.25</v>
      </c>
      <c r="M618">
        <f t="shared" si="10"/>
        <v>2.2499999999999999E-2</v>
      </c>
      <c r="N618" t="s">
        <v>123</v>
      </c>
      <c r="O618" t="s">
        <v>517</v>
      </c>
      <c r="P618" t="s">
        <v>518</v>
      </c>
      <c r="Q618" s="1" t="s">
        <v>2281</v>
      </c>
      <c r="R618" s="1" t="s">
        <v>2282</v>
      </c>
      <c r="S618" s="1" t="s">
        <v>123</v>
      </c>
      <c r="T618" t="s">
        <v>421</v>
      </c>
      <c r="U618" t="s">
        <v>421</v>
      </c>
      <c r="X618" t="s">
        <v>519</v>
      </c>
      <c r="Y618" t="s">
        <v>2279</v>
      </c>
      <c r="Z618" t="s">
        <v>2280</v>
      </c>
      <c r="AA618" t="s">
        <v>2358</v>
      </c>
      <c r="AB618" t="s">
        <v>2009</v>
      </c>
      <c r="AC618" t="s">
        <v>162</v>
      </c>
      <c r="AD618" t="s">
        <v>2278</v>
      </c>
      <c r="AF618" t="s">
        <v>49</v>
      </c>
      <c r="AJ618" t="s">
        <v>49</v>
      </c>
      <c r="AM618" t="s">
        <v>520</v>
      </c>
      <c r="AN618" t="s">
        <v>165</v>
      </c>
      <c r="AP618" t="s">
        <v>51</v>
      </c>
    </row>
    <row r="619" spans="1:44" x14ac:dyDescent="0.2">
      <c r="A619" t="s">
        <v>513</v>
      </c>
      <c r="B619" t="s">
        <v>514</v>
      </c>
      <c r="C619">
        <v>2021</v>
      </c>
      <c r="D619" t="s">
        <v>811</v>
      </c>
      <c r="F619" t="s">
        <v>515</v>
      </c>
      <c r="G619" t="s">
        <v>516</v>
      </c>
      <c r="H619" t="s">
        <v>350</v>
      </c>
      <c r="I619">
        <v>2019</v>
      </c>
      <c r="J619">
        <f t="shared" si="9"/>
        <v>0.25</v>
      </c>
      <c r="K619" t="s">
        <v>101</v>
      </c>
      <c r="L619">
        <v>0.25</v>
      </c>
      <c r="M619">
        <f t="shared" si="10"/>
        <v>2.2499999999999999E-2</v>
      </c>
      <c r="N619" t="s">
        <v>123</v>
      </c>
      <c r="O619" t="s">
        <v>517</v>
      </c>
      <c r="P619" t="s">
        <v>518</v>
      </c>
      <c r="Q619" s="1" t="s">
        <v>2281</v>
      </c>
      <c r="R619" s="1" t="s">
        <v>2282</v>
      </c>
      <c r="S619" s="1" t="s">
        <v>123</v>
      </c>
      <c r="T619" t="s">
        <v>421</v>
      </c>
      <c r="U619" t="s">
        <v>421</v>
      </c>
      <c r="X619" t="s">
        <v>161</v>
      </c>
      <c r="Y619" t="s">
        <v>2272</v>
      </c>
      <c r="Z619" t="s">
        <v>2272</v>
      </c>
      <c r="AA619" t="s">
        <v>2272</v>
      </c>
      <c r="AB619" t="s">
        <v>2272</v>
      </c>
      <c r="AC619" t="s">
        <v>162</v>
      </c>
      <c r="AD619" t="s">
        <v>2272</v>
      </c>
      <c r="AF619" t="s">
        <v>49</v>
      </c>
      <c r="AJ619" t="s">
        <v>49</v>
      </c>
      <c r="AM619" t="s">
        <v>520</v>
      </c>
      <c r="AN619" t="s">
        <v>165</v>
      </c>
      <c r="AP619" t="s">
        <v>49</v>
      </c>
    </row>
    <row r="620" spans="1:44" x14ac:dyDescent="0.2">
      <c r="A620" t="s">
        <v>513</v>
      </c>
      <c r="B620" t="s">
        <v>514</v>
      </c>
      <c r="C620">
        <v>2021</v>
      </c>
      <c r="D620" t="s">
        <v>811</v>
      </c>
      <c r="F620" t="s">
        <v>515</v>
      </c>
      <c r="G620" t="s">
        <v>516</v>
      </c>
      <c r="H620" t="s">
        <v>350</v>
      </c>
      <c r="I620">
        <v>2019</v>
      </c>
      <c r="J620">
        <f t="shared" si="9"/>
        <v>0.25</v>
      </c>
      <c r="K620" t="s">
        <v>101</v>
      </c>
      <c r="L620">
        <v>0.25</v>
      </c>
      <c r="M620">
        <f t="shared" si="10"/>
        <v>2.2499999999999999E-2</v>
      </c>
      <c r="N620" t="s">
        <v>123</v>
      </c>
      <c r="O620" t="s">
        <v>517</v>
      </c>
      <c r="P620" t="s">
        <v>518</v>
      </c>
      <c r="Q620" s="1" t="s">
        <v>2281</v>
      </c>
      <c r="R620" s="1" t="s">
        <v>2282</v>
      </c>
      <c r="S620" s="1" t="s">
        <v>123</v>
      </c>
      <c r="T620" t="s">
        <v>421</v>
      </c>
      <c r="U620" t="s">
        <v>421</v>
      </c>
      <c r="X620" t="s">
        <v>519</v>
      </c>
      <c r="Y620" t="s">
        <v>2279</v>
      </c>
      <c r="Z620" t="s">
        <v>2280</v>
      </c>
      <c r="AA620" t="s">
        <v>2358</v>
      </c>
      <c r="AB620" t="s">
        <v>2009</v>
      </c>
      <c r="AC620" t="s">
        <v>162</v>
      </c>
      <c r="AD620" t="s">
        <v>2278</v>
      </c>
      <c r="AF620" t="s">
        <v>49</v>
      </c>
      <c r="AJ620" t="s">
        <v>49</v>
      </c>
      <c r="AM620" t="s">
        <v>521</v>
      </c>
      <c r="AN620" t="s">
        <v>165</v>
      </c>
      <c r="AP620" t="s">
        <v>51</v>
      </c>
    </row>
    <row r="621" spans="1:44" x14ac:dyDescent="0.2">
      <c r="A621" t="s">
        <v>513</v>
      </c>
      <c r="B621" t="s">
        <v>514</v>
      </c>
      <c r="C621">
        <v>2021</v>
      </c>
      <c r="D621" t="s">
        <v>811</v>
      </c>
      <c r="F621" t="s">
        <v>515</v>
      </c>
      <c r="G621" t="s">
        <v>516</v>
      </c>
      <c r="H621" t="s">
        <v>350</v>
      </c>
      <c r="I621">
        <v>2019</v>
      </c>
      <c r="J621">
        <f t="shared" si="9"/>
        <v>0.25</v>
      </c>
      <c r="K621" t="s">
        <v>101</v>
      </c>
      <c r="L621">
        <v>0.25</v>
      </c>
      <c r="M621">
        <f t="shared" si="10"/>
        <v>2.2499999999999999E-2</v>
      </c>
      <c r="N621" t="s">
        <v>123</v>
      </c>
      <c r="O621" t="s">
        <v>517</v>
      </c>
      <c r="P621" t="s">
        <v>518</v>
      </c>
      <c r="Q621" s="1" t="s">
        <v>2281</v>
      </c>
      <c r="R621" s="1" t="s">
        <v>2282</v>
      </c>
      <c r="S621" s="1" t="s">
        <v>123</v>
      </c>
      <c r="T621" t="s">
        <v>421</v>
      </c>
      <c r="U621" t="s">
        <v>421</v>
      </c>
      <c r="X621" t="s">
        <v>161</v>
      </c>
      <c r="Y621" t="s">
        <v>2272</v>
      </c>
      <c r="Z621" t="s">
        <v>2272</v>
      </c>
      <c r="AA621" t="s">
        <v>2272</v>
      </c>
      <c r="AB621" t="s">
        <v>2272</v>
      </c>
      <c r="AC621" t="s">
        <v>162</v>
      </c>
      <c r="AD621" t="s">
        <v>2272</v>
      </c>
      <c r="AF621" t="s">
        <v>49</v>
      </c>
      <c r="AJ621" t="s">
        <v>49</v>
      </c>
      <c r="AM621" t="s">
        <v>521</v>
      </c>
      <c r="AN621" t="s">
        <v>165</v>
      </c>
      <c r="AP621" t="s">
        <v>49</v>
      </c>
    </row>
    <row r="622" spans="1:44" x14ac:dyDescent="0.2">
      <c r="A622" t="s">
        <v>522</v>
      </c>
      <c r="B622" t="s">
        <v>523</v>
      </c>
      <c r="C622">
        <v>2021</v>
      </c>
      <c r="D622" t="s">
        <v>44</v>
      </c>
      <c r="E622" t="s">
        <v>49</v>
      </c>
      <c r="F622" t="s">
        <v>524</v>
      </c>
      <c r="G622" t="s">
        <v>271</v>
      </c>
      <c r="H622" t="s">
        <v>158</v>
      </c>
      <c r="I622">
        <v>2018</v>
      </c>
      <c r="J622">
        <v>0.17</v>
      </c>
      <c r="K622" t="s">
        <v>101</v>
      </c>
      <c r="L622">
        <v>46</v>
      </c>
      <c r="M622">
        <v>0.25</v>
      </c>
      <c r="N622" t="s">
        <v>121</v>
      </c>
      <c r="O622" t="s">
        <v>264</v>
      </c>
      <c r="P622" t="s">
        <v>525</v>
      </c>
      <c r="Q622" s="1" t="s">
        <v>2292</v>
      </c>
      <c r="R622" s="1" t="s">
        <v>264</v>
      </c>
      <c r="S622" s="1" t="s">
        <v>264</v>
      </c>
      <c r="X622" t="s">
        <v>267</v>
      </c>
      <c r="Y622" t="s">
        <v>2279</v>
      </c>
      <c r="Z622" t="s">
        <v>2280</v>
      </c>
      <c r="AA622" t="s">
        <v>2358</v>
      </c>
      <c r="AB622" t="s">
        <v>189</v>
      </c>
      <c r="AC622" t="s">
        <v>152</v>
      </c>
      <c r="AD622" t="s">
        <v>2278</v>
      </c>
      <c r="AH622" s="4" t="s">
        <v>49</v>
      </c>
      <c r="AI622" t="s">
        <v>49</v>
      </c>
      <c r="AM622" t="s">
        <v>233</v>
      </c>
      <c r="AN622" t="s">
        <v>166</v>
      </c>
      <c r="AP622" t="s">
        <v>157</v>
      </c>
      <c r="AR622">
        <v>1</v>
      </c>
    </row>
    <row r="623" spans="1:44" x14ac:dyDescent="0.2">
      <c r="A623" t="s">
        <v>522</v>
      </c>
      <c r="B623" t="s">
        <v>523</v>
      </c>
      <c r="C623">
        <v>2021</v>
      </c>
      <c r="D623" t="s">
        <v>44</v>
      </c>
      <c r="E623" t="s">
        <v>49</v>
      </c>
      <c r="F623" t="s">
        <v>524</v>
      </c>
      <c r="G623" t="s">
        <v>271</v>
      </c>
      <c r="H623" t="s">
        <v>158</v>
      </c>
      <c r="I623">
        <v>2018</v>
      </c>
      <c r="J623">
        <v>0.17</v>
      </c>
      <c r="K623" t="s">
        <v>101</v>
      </c>
      <c r="L623">
        <v>46</v>
      </c>
      <c r="M623">
        <v>0.25</v>
      </c>
      <c r="N623" t="s">
        <v>121</v>
      </c>
      <c r="O623" t="s">
        <v>264</v>
      </c>
      <c r="P623" t="s">
        <v>525</v>
      </c>
      <c r="Q623" s="1" t="s">
        <v>2292</v>
      </c>
      <c r="R623" s="1" t="s">
        <v>264</v>
      </c>
      <c r="S623" s="1" t="s">
        <v>264</v>
      </c>
      <c r="X623" t="s">
        <v>526</v>
      </c>
      <c r="Y623" t="s">
        <v>2273</v>
      </c>
      <c r="Z623" t="s">
        <v>249</v>
      </c>
      <c r="AA623" t="s">
        <v>2274</v>
      </c>
      <c r="AB623" t="s">
        <v>2300</v>
      </c>
      <c r="AC623" t="s">
        <v>152</v>
      </c>
      <c r="AD623" t="s">
        <v>137</v>
      </c>
      <c r="AH623" s="4" t="s">
        <v>49</v>
      </c>
      <c r="AI623" t="s">
        <v>49</v>
      </c>
      <c r="AM623" t="s">
        <v>233</v>
      </c>
      <c r="AN623" t="s">
        <v>166</v>
      </c>
      <c r="AP623" t="s">
        <v>157</v>
      </c>
      <c r="AR623">
        <v>1</v>
      </c>
    </row>
    <row r="624" spans="1:44" x14ac:dyDescent="0.2">
      <c r="A624" t="s">
        <v>522</v>
      </c>
      <c r="B624" t="s">
        <v>523</v>
      </c>
      <c r="C624">
        <v>2021</v>
      </c>
      <c r="D624" t="s">
        <v>44</v>
      </c>
      <c r="E624" t="s">
        <v>49</v>
      </c>
      <c r="F624" t="s">
        <v>524</v>
      </c>
      <c r="G624" t="s">
        <v>271</v>
      </c>
      <c r="H624" t="s">
        <v>158</v>
      </c>
      <c r="I624">
        <v>2018</v>
      </c>
      <c r="J624">
        <v>0.17</v>
      </c>
      <c r="K624" t="s">
        <v>101</v>
      </c>
      <c r="L624">
        <v>46</v>
      </c>
      <c r="M624">
        <v>0.25</v>
      </c>
      <c r="N624" t="s">
        <v>121</v>
      </c>
      <c r="O624" t="s">
        <v>264</v>
      </c>
      <c r="P624" t="s">
        <v>525</v>
      </c>
      <c r="Q624" s="1" t="s">
        <v>2292</v>
      </c>
      <c r="R624" s="1" t="s">
        <v>264</v>
      </c>
      <c r="S624" s="1" t="s">
        <v>264</v>
      </c>
      <c r="X624" t="s">
        <v>527</v>
      </c>
      <c r="Y624" t="s">
        <v>2273</v>
      </c>
      <c r="Z624" t="s">
        <v>249</v>
      </c>
      <c r="AA624" t="s">
        <v>2359</v>
      </c>
      <c r="AB624" t="s">
        <v>1419</v>
      </c>
      <c r="AC624" t="s">
        <v>152</v>
      </c>
      <c r="AD624" t="s">
        <v>137</v>
      </c>
      <c r="AH624" s="4" t="s">
        <v>49</v>
      </c>
      <c r="AI624" t="s">
        <v>49</v>
      </c>
      <c r="AM624" t="s">
        <v>233</v>
      </c>
      <c r="AN624" t="s">
        <v>166</v>
      </c>
      <c r="AP624" t="s">
        <v>157</v>
      </c>
      <c r="AR624">
        <v>1</v>
      </c>
    </row>
    <row r="625" spans="1:44" x14ac:dyDescent="0.2">
      <c r="A625" t="s">
        <v>522</v>
      </c>
      <c r="B625" t="s">
        <v>523</v>
      </c>
      <c r="C625">
        <v>2021</v>
      </c>
      <c r="D625" t="s">
        <v>44</v>
      </c>
      <c r="E625" t="s">
        <v>49</v>
      </c>
      <c r="F625" t="s">
        <v>524</v>
      </c>
      <c r="G625" t="s">
        <v>271</v>
      </c>
      <c r="H625" t="s">
        <v>158</v>
      </c>
      <c r="I625">
        <v>2018</v>
      </c>
      <c r="J625">
        <v>0.17</v>
      </c>
      <c r="K625" t="s">
        <v>101</v>
      </c>
      <c r="L625">
        <v>46</v>
      </c>
      <c r="M625">
        <v>0.25</v>
      </c>
      <c r="N625" t="s">
        <v>121</v>
      </c>
      <c r="O625" t="s">
        <v>264</v>
      </c>
      <c r="P625" t="s">
        <v>525</v>
      </c>
      <c r="Q625" s="1" t="s">
        <v>2292</v>
      </c>
      <c r="R625" s="1" t="s">
        <v>264</v>
      </c>
      <c r="S625" s="1" t="s">
        <v>264</v>
      </c>
      <c r="X625" t="s">
        <v>303</v>
      </c>
      <c r="Y625" t="s">
        <v>2273</v>
      </c>
      <c r="Z625" t="s">
        <v>249</v>
      </c>
      <c r="AA625" t="s">
        <v>2359</v>
      </c>
      <c r="AB625" t="s">
        <v>1419</v>
      </c>
      <c r="AC625" t="s">
        <v>152</v>
      </c>
      <c r="AD625" t="s">
        <v>2288</v>
      </c>
      <c r="AH625" s="4" t="s">
        <v>49</v>
      </c>
      <c r="AI625" t="s">
        <v>49</v>
      </c>
      <c r="AM625" t="s">
        <v>233</v>
      </c>
      <c r="AN625" t="s">
        <v>166</v>
      </c>
      <c r="AP625" t="s">
        <v>157</v>
      </c>
      <c r="AR625">
        <v>1</v>
      </c>
    </row>
    <row r="626" spans="1:44" x14ac:dyDescent="0.2">
      <c r="A626" t="s">
        <v>522</v>
      </c>
      <c r="B626" t="s">
        <v>523</v>
      </c>
      <c r="C626">
        <v>2021</v>
      </c>
      <c r="D626" t="s">
        <v>44</v>
      </c>
      <c r="E626" t="s">
        <v>49</v>
      </c>
      <c r="F626" t="s">
        <v>524</v>
      </c>
      <c r="G626" t="s">
        <v>271</v>
      </c>
      <c r="H626" t="s">
        <v>158</v>
      </c>
      <c r="I626">
        <v>2018</v>
      </c>
      <c r="J626">
        <v>0.17</v>
      </c>
      <c r="K626" t="s">
        <v>101</v>
      </c>
      <c r="L626">
        <v>46</v>
      </c>
      <c r="M626">
        <v>0.25</v>
      </c>
      <c r="N626" t="s">
        <v>121</v>
      </c>
      <c r="O626" t="s">
        <v>264</v>
      </c>
      <c r="P626" t="s">
        <v>525</v>
      </c>
      <c r="Q626" s="1" t="s">
        <v>2292</v>
      </c>
      <c r="R626" s="1" t="s">
        <v>264</v>
      </c>
      <c r="S626" s="1" t="s">
        <v>264</v>
      </c>
      <c r="X626" t="s">
        <v>427</v>
      </c>
      <c r="Y626" t="s">
        <v>2273</v>
      </c>
      <c r="Z626" t="s">
        <v>249</v>
      </c>
      <c r="AA626" t="s">
        <v>2359</v>
      </c>
      <c r="AB626" t="s">
        <v>1419</v>
      </c>
      <c r="AC626" t="s">
        <v>152</v>
      </c>
      <c r="AD626" t="s">
        <v>2288</v>
      </c>
      <c r="AH626" s="4" t="s">
        <v>49</v>
      </c>
      <c r="AI626" t="s">
        <v>49</v>
      </c>
      <c r="AM626" t="s">
        <v>233</v>
      </c>
      <c r="AN626" t="s">
        <v>166</v>
      </c>
      <c r="AP626" t="s">
        <v>157</v>
      </c>
      <c r="AR626">
        <v>1</v>
      </c>
    </row>
    <row r="627" spans="1:44" x14ac:dyDescent="0.2">
      <c r="A627" t="s">
        <v>522</v>
      </c>
      <c r="B627" t="s">
        <v>523</v>
      </c>
      <c r="C627">
        <v>2021</v>
      </c>
      <c r="D627" t="s">
        <v>44</v>
      </c>
      <c r="E627" t="s">
        <v>49</v>
      </c>
      <c r="F627" t="s">
        <v>524</v>
      </c>
      <c r="G627" t="s">
        <v>271</v>
      </c>
      <c r="H627" t="s">
        <v>158</v>
      </c>
      <c r="I627">
        <v>2018</v>
      </c>
      <c r="J627">
        <v>0.17</v>
      </c>
      <c r="K627" t="s">
        <v>101</v>
      </c>
      <c r="L627">
        <v>46</v>
      </c>
      <c r="M627">
        <v>0.25</v>
      </c>
      <c r="N627" t="s">
        <v>121</v>
      </c>
      <c r="O627" t="s">
        <v>264</v>
      </c>
      <c r="P627" t="s">
        <v>525</v>
      </c>
      <c r="Q627" s="1" t="s">
        <v>2292</v>
      </c>
      <c r="R627" s="1" t="s">
        <v>264</v>
      </c>
      <c r="S627" s="1" t="s">
        <v>264</v>
      </c>
      <c r="X627" t="s">
        <v>211</v>
      </c>
      <c r="Y627" t="s">
        <v>2279</v>
      </c>
      <c r="Z627" t="s">
        <v>2280</v>
      </c>
      <c r="AA627" t="s">
        <v>2358</v>
      </c>
      <c r="AB627" t="s">
        <v>2290</v>
      </c>
      <c r="AC627" t="s">
        <v>152</v>
      </c>
      <c r="AD627" t="s">
        <v>2278</v>
      </c>
      <c r="AH627" s="4" t="s">
        <v>49</v>
      </c>
      <c r="AI627" t="s">
        <v>49</v>
      </c>
      <c r="AM627" t="s">
        <v>233</v>
      </c>
      <c r="AN627" t="s">
        <v>166</v>
      </c>
      <c r="AP627" t="s">
        <v>157</v>
      </c>
      <c r="AR627">
        <v>1</v>
      </c>
    </row>
    <row r="628" spans="1:44" x14ac:dyDescent="0.2">
      <c r="A628" t="s">
        <v>522</v>
      </c>
      <c r="B628" t="s">
        <v>523</v>
      </c>
      <c r="C628">
        <v>2021</v>
      </c>
      <c r="D628" t="s">
        <v>44</v>
      </c>
      <c r="E628" t="s">
        <v>49</v>
      </c>
      <c r="F628" t="s">
        <v>524</v>
      </c>
      <c r="G628" t="s">
        <v>271</v>
      </c>
      <c r="H628" t="s">
        <v>158</v>
      </c>
      <c r="I628">
        <v>2018</v>
      </c>
      <c r="J628">
        <v>0.17</v>
      </c>
      <c r="K628" t="s">
        <v>101</v>
      </c>
      <c r="L628">
        <v>46</v>
      </c>
      <c r="M628">
        <v>0.25</v>
      </c>
      <c r="N628" t="s">
        <v>121</v>
      </c>
      <c r="O628" t="s">
        <v>264</v>
      </c>
      <c r="P628" t="s">
        <v>525</v>
      </c>
      <c r="Q628" s="1" t="s">
        <v>2292</v>
      </c>
      <c r="R628" s="1" t="s">
        <v>264</v>
      </c>
      <c r="S628" s="1" t="s">
        <v>264</v>
      </c>
      <c r="X628" t="s">
        <v>528</v>
      </c>
      <c r="Y628" t="s">
        <v>2279</v>
      </c>
      <c r="Z628" t="s">
        <v>528</v>
      </c>
      <c r="AA628" t="s">
        <v>2360</v>
      </c>
      <c r="AB628" t="s">
        <v>2581</v>
      </c>
      <c r="AC628" t="s">
        <v>152</v>
      </c>
      <c r="AD628" t="s">
        <v>2278</v>
      </c>
      <c r="AH628" s="4" t="s">
        <v>49</v>
      </c>
      <c r="AI628" t="s">
        <v>49</v>
      </c>
      <c r="AM628" t="s">
        <v>233</v>
      </c>
      <c r="AN628" t="s">
        <v>166</v>
      </c>
      <c r="AP628" t="s">
        <v>51</v>
      </c>
      <c r="AR628">
        <v>1</v>
      </c>
    </row>
    <row r="629" spans="1:44" x14ac:dyDescent="0.2">
      <c r="A629" t="s">
        <v>522</v>
      </c>
      <c r="B629" t="s">
        <v>523</v>
      </c>
      <c r="C629">
        <v>2021</v>
      </c>
      <c r="D629" t="s">
        <v>44</v>
      </c>
      <c r="E629" t="s">
        <v>49</v>
      </c>
      <c r="F629" t="s">
        <v>524</v>
      </c>
      <c r="G629" t="s">
        <v>271</v>
      </c>
      <c r="H629" t="s">
        <v>158</v>
      </c>
      <c r="I629">
        <v>2018</v>
      </c>
      <c r="J629">
        <v>0.17</v>
      </c>
      <c r="K629" t="s">
        <v>101</v>
      </c>
      <c r="L629">
        <v>46</v>
      </c>
      <c r="M629">
        <v>0.25</v>
      </c>
      <c r="N629" t="s">
        <v>121</v>
      </c>
      <c r="O629" t="s">
        <v>264</v>
      </c>
      <c r="P629" t="s">
        <v>525</v>
      </c>
      <c r="Q629" s="1" t="s">
        <v>2292</v>
      </c>
      <c r="R629" s="1" t="s">
        <v>264</v>
      </c>
      <c r="S629" s="1" t="s">
        <v>264</v>
      </c>
      <c r="X629" t="s">
        <v>529</v>
      </c>
      <c r="Y629" t="s">
        <v>2279</v>
      </c>
      <c r="Z629" t="s">
        <v>528</v>
      </c>
      <c r="AA629" t="s">
        <v>2360</v>
      </c>
      <c r="AB629" t="s">
        <v>2581</v>
      </c>
      <c r="AC629" t="s">
        <v>152</v>
      </c>
      <c r="AD629" t="s">
        <v>2278</v>
      </c>
      <c r="AH629" s="4" t="s">
        <v>49</v>
      </c>
      <c r="AI629" t="s">
        <v>49</v>
      </c>
      <c r="AM629" t="s">
        <v>233</v>
      </c>
      <c r="AN629" t="s">
        <v>166</v>
      </c>
      <c r="AP629" t="s">
        <v>51</v>
      </c>
      <c r="AR629">
        <v>1</v>
      </c>
    </row>
    <row r="630" spans="1:44" x14ac:dyDescent="0.2">
      <c r="A630" t="s">
        <v>522</v>
      </c>
      <c r="B630" t="s">
        <v>523</v>
      </c>
      <c r="C630">
        <v>2021</v>
      </c>
      <c r="D630" t="s">
        <v>44</v>
      </c>
      <c r="E630" t="s">
        <v>49</v>
      </c>
      <c r="F630" t="s">
        <v>524</v>
      </c>
      <c r="G630" t="s">
        <v>271</v>
      </c>
      <c r="H630" t="s">
        <v>158</v>
      </c>
      <c r="I630">
        <v>2018</v>
      </c>
      <c r="J630">
        <v>0.17</v>
      </c>
      <c r="K630" t="s">
        <v>101</v>
      </c>
      <c r="L630">
        <v>46</v>
      </c>
      <c r="M630">
        <v>0.25</v>
      </c>
      <c r="N630" t="s">
        <v>121</v>
      </c>
      <c r="O630" t="s">
        <v>264</v>
      </c>
      <c r="P630" t="s">
        <v>525</v>
      </c>
      <c r="Q630" s="1" t="s">
        <v>2292</v>
      </c>
      <c r="R630" s="1" t="s">
        <v>264</v>
      </c>
      <c r="S630" s="1" t="s">
        <v>264</v>
      </c>
      <c r="X630" t="s">
        <v>530</v>
      </c>
      <c r="Y630" t="s">
        <v>2279</v>
      </c>
      <c r="Z630" t="s">
        <v>528</v>
      </c>
      <c r="AA630" t="s">
        <v>2360</v>
      </c>
      <c r="AB630" t="s">
        <v>2582</v>
      </c>
      <c r="AC630" t="s">
        <v>152</v>
      </c>
      <c r="AD630" t="s">
        <v>2278</v>
      </c>
      <c r="AH630" s="4" t="s">
        <v>49</v>
      </c>
      <c r="AI630" t="s">
        <v>49</v>
      </c>
      <c r="AM630" t="s">
        <v>233</v>
      </c>
      <c r="AN630" t="s">
        <v>166</v>
      </c>
      <c r="AP630" t="s">
        <v>51</v>
      </c>
      <c r="AR630">
        <v>1</v>
      </c>
    </row>
    <row r="631" spans="1:44" x14ac:dyDescent="0.2">
      <c r="A631" t="s">
        <v>522</v>
      </c>
      <c r="B631" t="s">
        <v>523</v>
      </c>
      <c r="C631">
        <v>2021</v>
      </c>
      <c r="D631" t="s">
        <v>44</v>
      </c>
      <c r="E631" t="s">
        <v>49</v>
      </c>
      <c r="F631" t="s">
        <v>524</v>
      </c>
      <c r="G631" t="s">
        <v>271</v>
      </c>
      <c r="H631" t="s">
        <v>158</v>
      </c>
      <c r="I631">
        <v>2018</v>
      </c>
      <c r="J631">
        <v>0.17</v>
      </c>
      <c r="K631" t="s">
        <v>101</v>
      </c>
      <c r="L631">
        <v>46</v>
      </c>
      <c r="M631">
        <v>0.25</v>
      </c>
      <c r="N631" t="s">
        <v>121</v>
      </c>
      <c r="O631" t="s">
        <v>264</v>
      </c>
      <c r="P631" t="s">
        <v>525</v>
      </c>
      <c r="Q631" s="1" t="s">
        <v>2292</v>
      </c>
      <c r="R631" s="1" t="s">
        <v>264</v>
      </c>
      <c r="S631" s="1" t="s">
        <v>264</v>
      </c>
      <c r="X631" t="s">
        <v>531</v>
      </c>
      <c r="Y631" t="s">
        <v>2279</v>
      </c>
      <c r="Z631" t="s">
        <v>528</v>
      </c>
      <c r="AA631" t="s">
        <v>2360</v>
      </c>
      <c r="AB631" t="s">
        <v>2582</v>
      </c>
      <c r="AC631" t="s">
        <v>152</v>
      </c>
      <c r="AD631" t="s">
        <v>2278</v>
      </c>
      <c r="AH631" s="4" t="s">
        <v>49</v>
      </c>
      <c r="AI631" t="s">
        <v>49</v>
      </c>
      <c r="AM631" t="s">
        <v>233</v>
      </c>
      <c r="AN631" t="s">
        <v>166</v>
      </c>
      <c r="AP631" t="s">
        <v>173</v>
      </c>
      <c r="AR631">
        <v>1</v>
      </c>
    </row>
    <row r="632" spans="1:44" x14ac:dyDescent="0.2">
      <c r="A632" t="s">
        <v>522</v>
      </c>
      <c r="B632" t="s">
        <v>523</v>
      </c>
      <c r="C632">
        <v>2021</v>
      </c>
      <c r="D632" t="s">
        <v>44</v>
      </c>
      <c r="E632" t="s">
        <v>49</v>
      </c>
      <c r="F632" t="s">
        <v>524</v>
      </c>
      <c r="G632" t="s">
        <v>271</v>
      </c>
      <c r="H632" t="s">
        <v>158</v>
      </c>
      <c r="I632">
        <v>2018</v>
      </c>
      <c r="J632">
        <v>0.17</v>
      </c>
      <c r="K632" t="s">
        <v>101</v>
      </c>
      <c r="L632">
        <v>46</v>
      </c>
      <c r="M632">
        <v>0.25</v>
      </c>
      <c r="N632" t="s">
        <v>121</v>
      </c>
      <c r="O632" t="s">
        <v>264</v>
      </c>
      <c r="P632" t="s">
        <v>525</v>
      </c>
      <c r="Q632" s="1" t="s">
        <v>2292</v>
      </c>
      <c r="R632" s="1" t="s">
        <v>264</v>
      </c>
      <c r="S632" s="1" t="s">
        <v>264</v>
      </c>
      <c r="X632" t="s">
        <v>267</v>
      </c>
      <c r="Y632" t="s">
        <v>2279</v>
      </c>
      <c r="Z632" t="s">
        <v>2280</v>
      </c>
      <c r="AA632" t="s">
        <v>2358</v>
      </c>
      <c r="AB632" t="s">
        <v>189</v>
      </c>
      <c r="AC632" t="s">
        <v>152</v>
      </c>
      <c r="AD632" t="s">
        <v>2278</v>
      </c>
      <c r="AH632" s="4" t="s">
        <v>49</v>
      </c>
      <c r="AI632" t="s">
        <v>49</v>
      </c>
      <c r="AM632" t="s">
        <v>233</v>
      </c>
      <c r="AN632" t="s">
        <v>154</v>
      </c>
      <c r="AP632" t="s">
        <v>157</v>
      </c>
      <c r="AR632">
        <v>1</v>
      </c>
    </row>
    <row r="633" spans="1:44" x14ac:dyDescent="0.2">
      <c r="A633" t="s">
        <v>522</v>
      </c>
      <c r="B633" t="s">
        <v>523</v>
      </c>
      <c r="C633">
        <v>2021</v>
      </c>
      <c r="D633" t="s">
        <v>44</v>
      </c>
      <c r="E633" t="s">
        <v>49</v>
      </c>
      <c r="F633" t="s">
        <v>524</v>
      </c>
      <c r="G633" t="s">
        <v>271</v>
      </c>
      <c r="H633" t="s">
        <v>158</v>
      </c>
      <c r="I633">
        <v>2018</v>
      </c>
      <c r="J633">
        <v>0.17</v>
      </c>
      <c r="K633" t="s">
        <v>101</v>
      </c>
      <c r="L633">
        <v>46</v>
      </c>
      <c r="M633">
        <v>0.25</v>
      </c>
      <c r="N633" t="s">
        <v>121</v>
      </c>
      <c r="O633" t="s">
        <v>264</v>
      </c>
      <c r="P633" t="s">
        <v>525</v>
      </c>
      <c r="Q633" s="1" t="s">
        <v>2292</v>
      </c>
      <c r="R633" s="1" t="s">
        <v>264</v>
      </c>
      <c r="S633" s="1" t="s">
        <v>264</v>
      </c>
      <c r="X633" t="s">
        <v>526</v>
      </c>
      <c r="Y633" t="s">
        <v>2273</v>
      </c>
      <c r="Z633" t="s">
        <v>249</v>
      </c>
      <c r="AA633" t="s">
        <v>2274</v>
      </c>
      <c r="AB633" t="s">
        <v>2300</v>
      </c>
      <c r="AC633" t="s">
        <v>152</v>
      </c>
      <c r="AD633" t="s">
        <v>137</v>
      </c>
      <c r="AH633" s="4" t="s">
        <v>49</v>
      </c>
      <c r="AI633" t="s">
        <v>49</v>
      </c>
      <c r="AM633" t="s">
        <v>233</v>
      </c>
      <c r="AN633" t="s">
        <v>154</v>
      </c>
      <c r="AP633" t="s">
        <v>157</v>
      </c>
      <c r="AR633">
        <v>1</v>
      </c>
    </row>
    <row r="634" spans="1:44" x14ac:dyDescent="0.2">
      <c r="A634" t="s">
        <v>522</v>
      </c>
      <c r="B634" t="s">
        <v>523</v>
      </c>
      <c r="C634">
        <v>2021</v>
      </c>
      <c r="D634" t="s">
        <v>44</v>
      </c>
      <c r="E634" t="s">
        <v>49</v>
      </c>
      <c r="F634" t="s">
        <v>524</v>
      </c>
      <c r="G634" t="s">
        <v>271</v>
      </c>
      <c r="H634" t="s">
        <v>158</v>
      </c>
      <c r="I634">
        <v>2018</v>
      </c>
      <c r="J634">
        <v>0.17</v>
      </c>
      <c r="K634" t="s">
        <v>101</v>
      </c>
      <c r="L634">
        <v>46</v>
      </c>
      <c r="M634">
        <v>0.25</v>
      </c>
      <c r="N634" t="s">
        <v>121</v>
      </c>
      <c r="O634" t="s">
        <v>264</v>
      </c>
      <c r="P634" t="s">
        <v>525</v>
      </c>
      <c r="Q634" s="1" t="s">
        <v>2292</v>
      </c>
      <c r="R634" s="1" t="s">
        <v>264</v>
      </c>
      <c r="S634" s="1" t="s">
        <v>264</v>
      </c>
      <c r="X634" t="s">
        <v>527</v>
      </c>
      <c r="Y634" t="s">
        <v>2273</v>
      </c>
      <c r="Z634" t="s">
        <v>249</v>
      </c>
      <c r="AA634" t="s">
        <v>2359</v>
      </c>
      <c r="AB634" t="s">
        <v>1419</v>
      </c>
      <c r="AC634" t="s">
        <v>152</v>
      </c>
      <c r="AD634" t="s">
        <v>137</v>
      </c>
      <c r="AH634" s="4" t="s">
        <v>49</v>
      </c>
      <c r="AI634" t="s">
        <v>49</v>
      </c>
      <c r="AM634" t="s">
        <v>233</v>
      </c>
      <c r="AN634" t="s">
        <v>154</v>
      </c>
      <c r="AP634" t="s">
        <v>157</v>
      </c>
      <c r="AR634">
        <v>1</v>
      </c>
    </row>
    <row r="635" spans="1:44" x14ac:dyDescent="0.2">
      <c r="A635" t="s">
        <v>522</v>
      </c>
      <c r="B635" t="s">
        <v>523</v>
      </c>
      <c r="C635">
        <v>2021</v>
      </c>
      <c r="D635" t="s">
        <v>44</v>
      </c>
      <c r="E635" t="s">
        <v>49</v>
      </c>
      <c r="F635" t="s">
        <v>524</v>
      </c>
      <c r="G635" t="s">
        <v>271</v>
      </c>
      <c r="H635" t="s">
        <v>158</v>
      </c>
      <c r="I635">
        <v>2018</v>
      </c>
      <c r="J635">
        <v>0.17</v>
      </c>
      <c r="K635" t="s">
        <v>101</v>
      </c>
      <c r="L635">
        <v>46</v>
      </c>
      <c r="M635">
        <v>0.25</v>
      </c>
      <c r="N635" t="s">
        <v>121</v>
      </c>
      <c r="O635" t="s">
        <v>264</v>
      </c>
      <c r="P635" t="s">
        <v>525</v>
      </c>
      <c r="Q635" s="1" t="s">
        <v>2292</v>
      </c>
      <c r="R635" s="1" t="s">
        <v>264</v>
      </c>
      <c r="S635" s="1" t="s">
        <v>264</v>
      </c>
      <c r="X635" t="s">
        <v>303</v>
      </c>
      <c r="Y635" t="s">
        <v>2273</v>
      </c>
      <c r="Z635" t="s">
        <v>249</v>
      </c>
      <c r="AA635" t="s">
        <v>2359</v>
      </c>
      <c r="AB635" t="s">
        <v>1419</v>
      </c>
      <c r="AC635" t="s">
        <v>152</v>
      </c>
      <c r="AD635" t="s">
        <v>2288</v>
      </c>
      <c r="AH635" s="4" t="s">
        <v>49</v>
      </c>
      <c r="AI635" t="s">
        <v>49</v>
      </c>
      <c r="AM635" t="s">
        <v>233</v>
      </c>
      <c r="AN635" t="s">
        <v>154</v>
      </c>
      <c r="AP635" t="s">
        <v>157</v>
      </c>
      <c r="AR635">
        <v>1</v>
      </c>
    </row>
    <row r="636" spans="1:44" x14ac:dyDescent="0.2">
      <c r="A636" t="s">
        <v>522</v>
      </c>
      <c r="B636" t="s">
        <v>523</v>
      </c>
      <c r="C636">
        <v>2021</v>
      </c>
      <c r="D636" t="s">
        <v>44</v>
      </c>
      <c r="E636" t="s">
        <v>49</v>
      </c>
      <c r="F636" t="s">
        <v>524</v>
      </c>
      <c r="G636" t="s">
        <v>271</v>
      </c>
      <c r="H636" t="s">
        <v>158</v>
      </c>
      <c r="I636">
        <v>2018</v>
      </c>
      <c r="J636">
        <v>0.17</v>
      </c>
      <c r="K636" t="s">
        <v>101</v>
      </c>
      <c r="L636">
        <v>46</v>
      </c>
      <c r="M636">
        <v>0.25</v>
      </c>
      <c r="N636" t="s">
        <v>121</v>
      </c>
      <c r="O636" t="s">
        <v>264</v>
      </c>
      <c r="P636" t="s">
        <v>525</v>
      </c>
      <c r="Q636" s="1" t="s">
        <v>2292</v>
      </c>
      <c r="R636" s="1" t="s">
        <v>264</v>
      </c>
      <c r="S636" s="1" t="s">
        <v>264</v>
      </c>
      <c r="X636" t="s">
        <v>427</v>
      </c>
      <c r="Y636" t="s">
        <v>2273</v>
      </c>
      <c r="Z636" t="s">
        <v>249</v>
      </c>
      <c r="AA636" t="s">
        <v>2359</v>
      </c>
      <c r="AB636" t="s">
        <v>1419</v>
      </c>
      <c r="AC636" t="s">
        <v>152</v>
      </c>
      <c r="AD636" t="s">
        <v>2288</v>
      </c>
      <c r="AH636" s="4" t="s">
        <v>49</v>
      </c>
      <c r="AI636" t="s">
        <v>49</v>
      </c>
      <c r="AM636" t="s">
        <v>233</v>
      </c>
      <c r="AN636" t="s">
        <v>154</v>
      </c>
      <c r="AP636" t="s">
        <v>157</v>
      </c>
      <c r="AR636">
        <v>1</v>
      </c>
    </row>
    <row r="637" spans="1:44" x14ac:dyDescent="0.2">
      <c r="A637" t="s">
        <v>522</v>
      </c>
      <c r="B637" t="s">
        <v>523</v>
      </c>
      <c r="C637">
        <v>2021</v>
      </c>
      <c r="D637" t="s">
        <v>44</v>
      </c>
      <c r="E637" t="s">
        <v>49</v>
      </c>
      <c r="F637" t="s">
        <v>524</v>
      </c>
      <c r="G637" t="s">
        <v>271</v>
      </c>
      <c r="H637" t="s">
        <v>158</v>
      </c>
      <c r="I637">
        <v>2018</v>
      </c>
      <c r="J637">
        <v>0.17</v>
      </c>
      <c r="K637" t="s">
        <v>101</v>
      </c>
      <c r="L637">
        <v>46</v>
      </c>
      <c r="M637">
        <v>0.25</v>
      </c>
      <c r="N637" t="s">
        <v>121</v>
      </c>
      <c r="O637" t="s">
        <v>264</v>
      </c>
      <c r="P637" t="s">
        <v>525</v>
      </c>
      <c r="Q637" s="1" t="s">
        <v>2292</v>
      </c>
      <c r="R637" s="1" t="s">
        <v>264</v>
      </c>
      <c r="S637" s="1" t="s">
        <v>264</v>
      </c>
      <c r="X637" t="s">
        <v>211</v>
      </c>
      <c r="Y637" t="s">
        <v>2279</v>
      </c>
      <c r="Z637" t="s">
        <v>2280</v>
      </c>
      <c r="AA637" t="s">
        <v>2358</v>
      </c>
      <c r="AB637" t="s">
        <v>2290</v>
      </c>
      <c r="AC637" t="s">
        <v>152</v>
      </c>
      <c r="AD637" t="s">
        <v>2278</v>
      </c>
      <c r="AH637" s="4" t="s">
        <v>49</v>
      </c>
      <c r="AI637" t="s">
        <v>49</v>
      </c>
      <c r="AM637" t="s">
        <v>233</v>
      </c>
      <c r="AN637" t="s">
        <v>154</v>
      </c>
      <c r="AP637" t="s">
        <v>157</v>
      </c>
      <c r="AR637">
        <v>1</v>
      </c>
    </row>
    <row r="638" spans="1:44" x14ac:dyDescent="0.2">
      <c r="A638" t="s">
        <v>522</v>
      </c>
      <c r="B638" t="s">
        <v>523</v>
      </c>
      <c r="C638">
        <v>2021</v>
      </c>
      <c r="D638" t="s">
        <v>44</v>
      </c>
      <c r="E638" t="s">
        <v>49</v>
      </c>
      <c r="F638" t="s">
        <v>524</v>
      </c>
      <c r="G638" t="s">
        <v>271</v>
      </c>
      <c r="H638" t="s">
        <v>158</v>
      </c>
      <c r="I638">
        <v>2018</v>
      </c>
      <c r="J638">
        <v>0.17</v>
      </c>
      <c r="K638" t="s">
        <v>101</v>
      </c>
      <c r="L638">
        <v>46</v>
      </c>
      <c r="M638">
        <v>0.25</v>
      </c>
      <c r="N638" t="s">
        <v>121</v>
      </c>
      <c r="O638" t="s">
        <v>264</v>
      </c>
      <c r="P638" t="s">
        <v>525</v>
      </c>
      <c r="Q638" s="1" t="s">
        <v>2292</v>
      </c>
      <c r="R638" s="1" t="s">
        <v>264</v>
      </c>
      <c r="S638" s="1" t="s">
        <v>264</v>
      </c>
      <c r="X638" t="s">
        <v>528</v>
      </c>
      <c r="Y638" t="s">
        <v>2279</v>
      </c>
      <c r="Z638" t="s">
        <v>528</v>
      </c>
      <c r="AA638" t="s">
        <v>2360</v>
      </c>
      <c r="AB638" t="s">
        <v>2581</v>
      </c>
      <c r="AC638" t="s">
        <v>152</v>
      </c>
      <c r="AD638" t="s">
        <v>2278</v>
      </c>
      <c r="AH638" s="4" t="s">
        <v>49</v>
      </c>
      <c r="AI638" t="s">
        <v>49</v>
      </c>
      <c r="AM638" t="s">
        <v>233</v>
      </c>
      <c r="AN638" t="s">
        <v>154</v>
      </c>
      <c r="AP638" t="s">
        <v>51</v>
      </c>
      <c r="AR638">
        <v>1</v>
      </c>
    </row>
    <row r="639" spans="1:44" x14ac:dyDescent="0.2">
      <c r="A639" t="s">
        <v>522</v>
      </c>
      <c r="B639" t="s">
        <v>523</v>
      </c>
      <c r="C639">
        <v>2021</v>
      </c>
      <c r="D639" t="s">
        <v>44</v>
      </c>
      <c r="E639" t="s">
        <v>49</v>
      </c>
      <c r="F639" t="s">
        <v>524</v>
      </c>
      <c r="G639" t="s">
        <v>271</v>
      </c>
      <c r="H639" t="s">
        <v>158</v>
      </c>
      <c r="I639">
        <v>2018</v>
      </c>
      <c r="J639">
        <v>0.17</v>
      </c>
      <c r="K639" t="s">
        <v>101</v>
      </c>
      <c r="L639">
        <v>46</v>
      </c>
      <c r="M639">
        <v>0.25</v>
      </c>
      <c r="N639" t="s">
        <v>121</v>
      </c>
      <c r="O639" t="s">
        <v>264</v>
      </c>
      <c r="P639" t="s">
        <v>525</v>
      </c>
      <c r="Q639" s="1" t="s">
        <v>2292</v>
      </c>
      <c r="R639" s="1" t="s">
        <v>264</v>
      </c>
      <c r="S639" s="1" t="s">
        <v>264</v>
      </c>
      <c r="X639" t="s">
        <v>529</v>
      </c>
      <c r="Y639" t="s">
        <v>2279</v>
      </c>
      <c r="Z639" t="s">
        <v>528</v>
      </c>
      <c r="AA639" t="s">
        <v>2360</v>
      </c>
      <c r="AB639" t="s">
        <v>2581</v>
      </c>
      <c r="AC639" t="s">
        <v>152</v>
      </c>
      <c r="AD639" t="s">
        <v>2278</v>
      </c>
      <c r="AH639" s="4" t="s">
        <v>49</v>
      </c>
      <c r="AI639" t="s">
        <v>49</v>
      </c>
      <c r="AM639" t="s">
        <v>233</v>
      </c>
      <c r="AN639" t="s">
        <v>154</v>
      </c>
      <c r="AP639" t="s">
        <v>51</v>
      </c>
      <c r="AR639">
        <v>1</v>
      </c>
    </row>
    <row r="640" spans="1:44" x14ac:dyDescent="0.2">
      <c r="A640" t="s">
        <v>522</v>
      </c>
      <c r="B640" t="s">
        <v>523</v>
      </c>
      <c r="C640">
        <v>2021</v>
      </c>
      <c r="D640" t="s">
        <v>44</v>
      </c>
      <c r="E640" t="s">
        <v>49</v>
      </c>
      <c r="F640" t="s">
        <v>524</v>
      </c>
      <c r="G640" t="s">
        <v>271</v>
      </c>
      <c r="H640" t="s">
        <v>158</v>
      </c>
      <c r="I640">
        <v>2018</v>
      </c>
      <c r="J640">
        <v>0.17</v>
      </c>
      <c r="K640" t="s">
        <v>101</v>
      </c>
      <c r="L640">
        <v>46</v>
      </c>
      <c r="M640">
        <v>0.25</v>
      </c>
      <c r="N640" t="s">
        <v>121</v>
      </c>
      <c r="O640" t="s">
        <v>264</v>
      </c>
      <c r="P640" t="s">
        <v>525</v>
      </c>
      <c r="Q640" s="1" t="s">
        <v>2292</v>
      </c>
      <c r="R640" s="1" t="s">
        <v>264</v>
      </c>
      <c r="S640" s="1" t="s">
        <v>264</v>
      </c>
      <c r="X640" t="s">
        <v>530</v>
      </c>
      <c r="Y640" t="s">
        <v>2279</v>
      </c>
      <c r="Z640" t="s">
        <v>528</v>
      </c>
      <c r="AA640" t="s">
        <v>2360</v>
      </c>
      <c r="AB640" t="s">
        <v>2582</v>
      </c>
      <c r="AC640" t="s">
        <v>152</v>
      </c>
      <c r="AD640" t="s">
        <v>2278</v>
      </c>
      <c r="AH640" s="4" t="s">
        <v>49</v>
      </c>
      <c r="AI640" t="s">
        <v>49</v>
      </c>
      <c r="AM640" t="s">
        <v>233</v>
      </c>
      <c r="AN640" t="s">
        <v>154</v>
      </c>
      <c r="AP640" t="s">
        <v>51</v>
      </c>
      <c r="AR640">
        <v>1</v>
      </c>
    </row>
    <row r="641" spans="1:45" x14ac:dyDescent="0.2">
      <c r="A641" t="s">
        <v>522</v>
      </c>
      <c r="B641" t="s">
        <v>523</v>
      </c>
      <c r="C641">
        <v>2021</v>
      </c>
      <c r="D641" t="s">
        <v>44</v>
      </c>
      <c r="E641" t="s">
        <v>49</v>
      </c>
      <c r="F641" t="s">
        <v>524</v>
      </c>
      <c r="G641" t="s">
        <v>271</v>
      </c>
      <c r="H641" t="s">
        <v>158</v>
      </c>
      <c r="I641">
        <v>2018</v>
      </c>
      <c r="J641">
        <v>0.17</v>
      </c>
      <c r="K641" t="s">
        <v>101</v>
      </c>
      <c r="L641">
        <v>46</v>
      </c>
      <c r="M641">
        <v>0.25</v>
      </c>
      <c r="N641" t="s">
        <v>121</v>
      </c>
      <c r="O641" t="s">
        <v>264</v>
      </c>
      <c r="P641" t="s">
        <v>525</v>
      </c>
      <c r="Q641" s="1" t="s">
        <v>2292</v>
      </c>
      <c r="R641" s="1" t="s">
        <v>264</v>
      </c>
      <c r="S641" s="1" t="s">
        <v>264</v>
      </c>
      <c r="X641" t="s">
        <v>531</v>
      </c>
      <c r="Y641" t="s">
        <v>2279</v>
      </c>
      <c r="Z641" t="s">
        <v>528</v>
      </c>
      <c r="AA641" t="s">
        <v>2360</v>
      </c>
      <c r="AB641" t="s">
        <v>2582</v>
      </c>
      <c r="AC641" t="s">
        <v>152</v>
      </c>
      <c r="AD641" t="s">
        <v>2278</v>
      </c>
      <c r="AH641" s="4" t="s">
        <v>49</v>
      </c>
      <c r="AI641" t="s">
        <v>49</v>
      </c>
      <c r="AM641" t="s">
        <v>233</v>
      </c>
      <c r="AN641" t="s">
        <v>154</v>
      </c>
      <c r="AP641" t="s">
        <v>51</v>
      </c>
      <c r="AR641">
        <v>1</v>
      </c>
    </row>
    <row r="642" spans="1:45" x14ac:dyDescent="0.2">
      <c r="A642" t="s">
        <v>522</v>
      </c>
      <c r="B642" t="s">
        <v>523</v>
      </c>
      <c r="C642">
        <v>2021</v>
      </c>
      <c r="D642" t="s">
        <v>44</v>
      </c>
      <c r="E642" t="s">
        <v>49</v>
      </c>
      <c r="F642" t="s">
        <v>524</v>
      </c>
      <c r="G642" t="s">
        <v>271</v>
      </c>
      <c r="H642" t="s">
        <v>158</v>
      </c>
      <c r="I642">
        <v>2018</v>
      </c>
      <c r="J642">
        <v>0.17</v>
      </c>
      <c r="K642" t="s">
        <v>101</v>
      </c>
      <c r="L642">
        <v>46</v>
      </c>
      <c r="M642">
        <v>0.25</v>
      </c>
      <c r="N642" t="s">
        <v>121</v>
      </c>
      <c r="O642" t="s">
        <v>264</v>
      </c>
      <c r="P642" t="s">
        <v>525</v>
      </c>
      <c r="Q642" s="1" t="s">
        <v>2292</v>
      </c>
      <c r="R642" s="1" t="s">
        <v>264</v>
      </c>
      <c r="S642" s="1" t="s">
        <v>264</v>
      </c>
      <c r="X642" t="s">
        <v>2318</v>
      </c>
      <c r="Y642" t="s">
        <v>2279</v>
      </c>
      <c r="Z642" t="s">
        <v>2280</v>
      </c>
      <c r="AA642" t="s">
        <v>2286</v>
      </c>
      <c r="AB642" t="s">
        <v>2287</v>
      </c>
      <c r="AC642" t="s">
        <v>315</v>
      </c>
      <c r="AD642" t="s">
        <v>2278</v>
      </c>
      <c r="AH642" s="4" t="s">
        <v>49</v>
      </c>
      <c r="AI642" t="s">
        <v>49</v>
      </c>
      <c r="AM642" t="s">
        <v>233</v>
      </c>
      <c r="AN642" t="s">
        <v>166</v>
      </c>
      <c r="AP642" t="s">
        <v>157</v>
      </c>
    </row>
    <row r="643" spans="1:45" x14ac:dyDescent="0.2">
      <c r="A643" t="s">
        <v>522</v>
      </c>
      <c r="B643" t="s">
        <v>523</v>
      </c>
      <c r="C643">
        <v>2021</v>
      </c>
      <c r="D643" t="s">
        <v>44</v>
      </c>
      <c r="E643" t="s">
        <v>49</v>
      </c>
      <c r="F643" t="s">
        <v>524</v>
      </c>
      <c r="G643" t="s">
        <v>271</v>
      </c>
      <c r="H643" t="s">
        <v>158</v>
      </c>
      <c r="I643">
        <v>2018</v>
      </c>
      <c r="J643">
        <v>0.17</v>
      </c>
      <c r="K643" t="s">
        <v>101</v>
      </c>
      <c r="L643">
        <v>46</v>
      </c>
      <c r="M643">
        <v>0.25</v>
      </c>
      <c r="N643" t="s">
        <v>121</v>
      </c>
      <c r="O643" t="s">
        <v>264</v>
      </c>
      <c r="P643" t="s">
        <v>525</v>
      </c>
      <c r="Q643" s="1" t="s">
        <v>2292</v>
      </c>
      <c r="R643" s="1" t="s">
        <v>264</v>
      </c>
      <c r="S643" s="1" t="s">
        <v>264</v>
      </c>
      <c r="X643" t="s">
        <v>2318</v>
      </c>
      <c r="Y643" t="s">
        <v>2279</v>
      </c>
      <c r="Z643" t="s">
        <v>2280</v>
      </c>
      <c r="AA643" t="s">
        <v>2286</v>
      </c>
      <c r="AB643" t="s">
        <v>2287</v>
      </c>
      <c r="AC643" t="s">
        <v>315</v>
      </c>
      <c r="AD643" t="s">
        <v>2278</v>
      </c>
      <c r="AH643" s="4" t="s">
        <v>49</v>
      </c>
      <c r="AI643" t="s">
        <v>49</v>
      </c>
      <c r="AM643" t="s">
        <v>233</v>
      </c>
      <c r="AN643" t="s">
        <v>154</v>
      </c>
      <c r="AP643" t="s">
        <v>157</v>
      </c>
    </row>
    <row r="644" spans="1:45" x14ac:dyDescent="0.2">
      <c r="A644" t="s">
        <v>532</v>
      </c>
      <c r="B644" t="s">
        <v>523</v>
      </c>
      <c r="C644">
        <v>2021</v>
      </c>
      <c r="D644" t="s">
        <v>44</v>
      </c>
      <c r="F644" t="s">
        <v>82</v>
      </c>
      <c r="G644" t="s">
        <v>86</v>
      </c>
      <c r="H644" t="s">
        <v>96</v>
      </c>
      <c r="K644" t="s">
        <v>101</v>
      </c>
      <c r="L644">
        <v>1.5</v>
      </c>
      <c r="N644" t="s">
        <v>466</v>
      </c>
      <c r="O644" t="s">
        <v>468</v>
      </c>
      <c r="P644" t="s">
        <v>467</v>
      </c>
      <c r="Q644" s="1" t="s">
        <v>2281</v>
      </c>
      <c r="R644" s="1" t="s">
        <v>2301</v>
      </c>
      <c r="S644" s="1" t="s">
        <v>2302</v>
      </c>
      <c r="T644" t="s">
        <v>421</v>
      </c>
      <c r="X644" t="s">
        <v>161</v>
      </c>
      <c r="Y644" t="s">
        <v>2272</v>
      </c>
      <c r="Z644" t="s">
        <v>2272</v>
      </c>
      <c r="AA644" t="s">
        <v>2272</v>
      </c>
      <c r="AB644" t="s">
        <v>2272</v>
      </c>
      <c r="AC644" t="s">
        <v>162</v>
      </c>
      <c r="AD644" t="s">
        <v>2272</v>
      </c>
      <c r="AF644" t="s">
        <v>49</v>
      </c>
      <c r="AG644" t="s">
        <v>49</v>
      </c>
      <c r="AH644" s="4" t="s">
        <v>49</v>
      </c>
      <c r="AI644" t="s">
        <v>49</v>
      </c>
      <c r="AM644" t="s">
        <v>533</v>
      </c>
      <c r="AN644" t="s">
        <v>165</v>
      </c>
      <c r="AR644" t="s">
        <v>144</v>
      </c>
      <c r="AS644" t="s">
        <v>2583</v>
      </c>
    </row>
    <row r="645" spans="1:45" x14ac:dyDescent="0.2">
      <c r="A645" t="s">
        <v>534</v>
      </c>
      <c r="B645" t="s">
        <v>535</v>
      </c>
      <c r="C645">
        <v>2021</v>
      </c>
      <c r="D645" t="s">
        <v>44</v>
      </c>
      <c r="F645" t="s">
        <v>357</v>
      </c>
      <c r="G645" t="s">
        <v>90</v>
      </c>
      <c r="H645" t="s">
        <v>96</v>
      </c>
      <c r="I645" t="s">
        <v>536</v>
      </c>
      <c r="J645">
        <v>1.33</v>
      </c>
      <c r="K645" t="s">
        <v>109</v>
      </c>
      <c r="M645">
        <v>0.5</v>
      </c>
      <c r="N645" t="s">
        <v>130</v>
      </c>
      <c r="O645" t="s">
        <v>290</v>
      </c>
      <c r="Q645" s="1" t="s">
        <v>2272</v>
      </c>
      <c r="R645" s="1" t="s">
        <v>2272</v>
      </c>
      <c r="S645" s="1" t="s">
        <v>2272</v>
      </c>
      <c r="Y645" t="s">
        <v>2272</v>
      </c>
      <c r="Z645" t="s">
        <v>2272</v>
      </c>
      <c r="AA645" t="s">
        <v>2272</v>
      </c>
      <c r="AB645" t="s">
        <v>2272</v>
      </c>
      <c r="AD645" t="s">
        <v>2272</v>
      </c>
      <c r="AR645" t="s">
        <v>144</v>
      </c>
      <c r="AS645" t="s">
        <v>2583</v>
      </c>
    </row>
    <row r="646" spans="1:45" x14ac:dyDescent="0.2">
      <c r="A646" t="s">
        <v>537</v>
      </c>
      <c r="B646" t="s">
        <v>538</v>
      </c>
      <c r="C646">
        <v>2021</v>
      </c>
      <c r="D646" t="s">
        <v>44</v>
      </c>
      <c r="E646" t="s">
        <v>50</v>
      </c>
      <c r="F646" t="s">
        <v>539</v>
      </c>
      <c r="G646" t="s">
        <v>271</v>
      </c>
      <c r="H646" t="s">
        <v>96</v>
      </c>
      <c r="I646">
        <v>2020</v>
      </c>
      <c r="J646">
        <v>0.17</v>
      </c>
      <c r="L646">
        <v>8</v>
      </c>
      <c r="M646">
        <v>20</v>
      </c>
      <c r="N646" t="s">
        <v>127</v>
      </c>
      <c r="O646" t="s">
        <v>540</v>
      </c>
      <c r="P646" t="s">
        <v>541</v>
      </c>
      <c r="Q646" s="1" t="s">
        <v>2281</v>
      </c>
      <c r="R646" s="1" t="s">
        <v>122</v>
      </c>
      <c r="S646" s="1" t="s">
        <v>2293</v>
      </c>
      <c r="T646" t="s">
        <v>396</v>
      </c>
      <c r="X646" t="s">
        <v>189</v>
      </c>
      <c r="Y646" t="s">
        <v>2279</v>
      </c>
      <c r="Z646" t="s">
        <v>2280</v>
      </c>
      <c r="AA646" t="s">
        <v>2358</v>
      </c>
      <c r="AB646" t="s">
        <v>189</v>
      </c>
      <c r="AC646" t="s">
        <v>152</v>
      </c>
      <c r="AD646" t="s">
        <v>2278</v>
      </c>
      <c r="AE646" t="s">
        <v>544</v>
      </c>
      <c r="AH646" s="4" t="s">
        <v>49</v>
      </c>
      <c r="AL646" t="s">
        <v>49</v>
      </c>
      <c r="AM646" t="s">
        <v>543</v>
      </c>
    </row>
    <row r="647" spans="1:45" x14ac:dyDescent="0.2">
      <c r="A647" t="s">
        <v>537</v>
      </c>
      <c r="B647" t="s">
        <v>538</v>
      </c>
      <c r="C647">
        <v>2021</v>
      </c>
      <c r="D647" t="s">
        <v>44</v>
      </c>
      <c r="E647" t="s">
        <v>50</v>
      </c>
      <c r="F647" t="s">
        <v>539</v>
      </c>
      <c r="G647" t="s">
        <v>271</v>
      </c>
      <c r="H647" t="s">
        <v>96</v>
      </c>
      <c r="I647">
        <v>2020</v>
      </c>
      <c r="J647">
        <v>0.17</v>
      </c>
      <c r="L647">
        <v>8</v>
      </c>
      <c r="M647">
        <v>20</v>
      </c>
      <c r="N647" t="s">
        <v>127</v>
      </c>
      <c r="O647" t="s">
        <v>540</v>
      </c>
      <c r="P647" t="s">
        <v>542</v>
      </c>
      <c r="Q647" s="1" t="s">
        <v>2281</v>
      </c>
      <c r="R647" s="1" t="s">
        <v>122</v>
      </c>
      <c r="S647" s="1" t="s">
        <v>2293</v>
      </c>
      <c r="T647" t="s">
        <v>396</v>
      </c>
      <c r="X647" t="s">
        <v>189</v>
      </c>
      <c r="Y647" t="s">
        <v>2279</v>
      </c>
      <c r="Z647" t="s">
        <v>2280</v>
      </c>
      <c r="AA647" t="s">
        <v>2358</v>
      </c>
      <c r="AB647" t="s">
        <v>189</v>
      </c>
      <c r="AC647" t="s">
        <v>152</v>
      </c>
      <c r="AD647" t="s">
        <v>2278</v>
      </c>
      <c r="AE647" t="s">
        <v>544</v>
      </c>
      <c r="AH647" s="4" t="s">
        <v>49</v>
      </c>
      <c r="AL647" t="s">
        <v>49</v>
      </c>
      <c r="AM647" t="s">
        <v>543</v>
      </c>
    </row>
    <row r="648" spans="1:45" x14ac:dyDescent="0.2">
      <c r="A648" t="s">
        <v>537</v>
      </c>
      <c r="B648" t="s">
        <v>538</v>
      </c>
      <c r="C648">
        <v>2021</v>
      </c>
      <c r="D648" t="s">
        <v>44</v>
      </c>
      <c r="E648" t="s">
        <v>50</v>
      </c>
      <c r="F648" t="s">
        <v>539</v>
      </c>
      <c r="G648" t="s">
        <v>271</v>
      </c>
      <c r="H648" t="s">
        <v>96</v>
      </c>
      <c r="I648">
        <v>2020</v>
      </c>
      <c r="J648">
        <v>0.17</v>
      </c>
      <c r="L648">
        <v>8</v>
      </c>
      <c r="N648" t="s">
        <v>127</v>
      </c>
      <c r="O648" t="s">
        <v>540</v>
      </c>
      <c r="P648" t="s">
        <v>541</v>
      </c>
      <c r="Q648" s="1" t="s">
        <v>2281</v>
      </c>
      <c r="R648" s="1" t="s">
        <v>122</v>
      </c>
      <c r="S648" s="1" t="s">
        <v>2293</v>
      </c>
      <c r="T648" t="s">
        <v>396</v>
      </c>
      <c r="U648" t="s">
        <v>2293</v>
      </c>
      <c r="X648" t="s">
        <v>161</v>
      </c>
      <c r="Y648" t="s">
        <v>2272</v>
      </c>
      <c r="Z648" t="s">
        <v>2272</v>
      </c>
      <c r="AA648" t="s">
        <v>2272</v>
      </c>
      <c r="AB648" t="s">
        <v>2272</v>
      </c>
      <c r="AC648" t="s">
        <v>162</v>
      </c>
      <c r="AD648" t="s">
        <v>2272</v>
      </c>
      <c r="AH648" s="4" t="s">
        <v>49</v>
      </c>
      <c r="AL648" t="s">
        <v>49</v>
      </c>
      <c r="AM648" t="s">
        <v>543</v>
      </c>
      <c r="AN648" t="s">
        <v>166</v>
      </c>
      <c r="AQ648" s="5">
        <v>1</v>
      </c>
    </row>
    <row r="649" spans="1:45" x14ac:dyDescent="0.2">
      <c r="A649" t="s">
        <v>537</v>
      </c>
      <c r="B649" t="s">
        <v>538</v>
      </c>
      <c r="C649">
        <v>2021</v>
      </c>
      <c r="D649" t="s">
        <v>44</v>
      </c>
      <c r="E649" t="s">
        <v>50</v>
      </c>
      <c r="F649" t="s">
        <v>539</v>
      </c>
      <c r="G649" t="s">
        <v>271</v>
      </c>
      <c r="H649" t="s">
        <v>96</v>
      </c>
      <c r="I649">
        <v>2020</v>
      </c>
      <c r="J649">
        <v>0.17</v>
      </c>
      <c r="L649">
        <v>8</v>
      </c>
      <c r="N649" t="s">
        <v>127</v>
      </c>
      <c r="O649" t="s">
        <v>540</v>
      </c>
      <c r="P649" t="s">
        <v>542</v>
      </c>
      <c r="Q649" s="1" t="s">
        <v>2281</v>
      </c>
      <c r="R649" s="1" t="s">
        <v>122</v>
      </c>
      <c r="S649" s="1" t="s">
        <v>2293</v>
      </c>
      <c r="T649" t="s">
        <v>396</v>
      </c>
      <c r="U649" t="s">
        <v>2293</v>
      </c>
      <c r="X649" t="s">
        <v>161</v>
      </c>
      <c r="Y649" t="s">
        <v>2272</v>
      </c>
      <c r="Z649" t="s">
        <v>2272</v>
      </c>
      <c r="AA649" t="s">
        <v>2272</v>
      </c>
      <c r="AB649" t="s">
        <v>2272</v>
      </c>
      <c r="AC649" t="s">
        <v>162</v>
      </c>
      <c r="AD649" t="s">
        <v>2272</v>
      </c>
      <c r="AH649" s="4" t="s">
        <v>49</v>
      </c>
      <c r="AL649" t="s">
        <v>49</v>
      </c>
      <c r="AM649" t="s">
        <v>543</v>
      </c>
      <c r="AN649" t="s">
        <v>166</v>
      </c>
      <c r="AQ649" s="5">
        <v>1</v>
      </c>
    </row>
    <row r="650" spans="1:45" x14ac:dyDescent="0.2">
      <c r="A650" t="s">
        <v>545</v>
      </c>
      <c r="B650" t="s">
        <v>546</v>
      </c>
      <c r="C650">
        <v>2021</v>
      </c>
      <c r="D650" t="s">
        <v>44</v>
      </c>
      <c r="E650" t="s">
        <v>49</v>
      </c>
      <c r="F650" t="s">
        <v>83</v>
      </c>
      <c r="G650" t="s">
        <v>547</v>
      </c>
      <c r="H650" t="s">
        <v>350</v>
      </c>
      <c r="I650" t="s">
        <v>548</v>
      </c>
      <c r="J650">
        <f>(3*12+3)/12</f>
        <v>3.25</v>
      </c>
      <c r="K650" t="s">
        <v>101</v>
      </c>
      <c r="L650">
        <v>3200</v>
      </c>
      <c r="M650">
        <f>0.25*0.25</f>
        <v>6.25E-2</v>
      </c>
      <c r="N650" t="s">
        <v>132</v>
      </c>
      <c r="O650" t="s">
        <v>549</v>
      </c>
      <c r="Q650" s="1" t="s">
        <v>2276</v>
      </c>
      <c r="R650" s="1" t="s">
        <v>669</v>
      </c>
      <c r="S650" s="1" t="s">
        <v>168</v>
      </c>
      <c r="X650" t="s">
        <v>211</v>
      </c>
      <c r="Y650" t="s">
        <v>2279</v>
      </c>
      <c r="Z650" t="s">
        <v>2280</v>
      </c>
      <c r="AA650" t="s">
        <v>2358</v>
      </c>
      <c r="AB650" t="s">
        <v>2290</v>
      </c>
      <c r="AC650" t="s">
        <v>152</v>
      </c>
      <c r="AD650" t="s">
        <v>2278</v>
      </c>
    </row>
    <row r="651" spans="1:45" x14ac:dyDescent="0.2">
      <c r="A651" t="s">
        <v>545</v>
      </c>
      <c r="B651" t="s">
        <v>546</v>
      </c>
      <c r="C651">
        <v>2021</v>
      </c>
      <c r="D651" t="s">
        <v>44</v>
      </c>
      <c r="E651" t="s">
        <v>49</v>
      </c>
      <c r="F651" t="s">
        <v>83</v>
      </c>
      <c r="G651" t="s">
        <v>547</v>
      </c>
      <c r="H651" t="s">
        <v>350</v>
      </c>
      <c r="I651" t="s">
        <v>548</v>
      </c>
      <c r="J651">
        <f t="shared" ref="J651:J708" si="11">(3*12+3)/12</f>
        <v>3.25</v>
      </c>
      <c r="K651" t="s">
        <v>101</v>
      </c>
      <c r="L651">
        <v>3200</v>
      </c>
      <c r="M651">
        <f t="shared" ref="M651:M708" si="12">0.25*0.25</f>
        <v>6.25E-2</v>
      </c>
      <c r="N651" t="s">
        <v>120</v>
      </c>
      <c r="O651" t="s">
        <v>550</v>
      </c>
      <c r="Q651" s="1" t="s">
        <v>2276</v>
      </c>
      <c r="R651" s="1" t="s">
        <v>669</v>
      </c>
      <c r="S651" s="1" t="s">
        <v>168</v>
      </c>
      <c r="X651" t="s">
        <v>211</v>
      </c>
      <c r="Y651" t="s">
        <v>2279</v>
      </c>
      <c r="Z651" t="s">
        <v>2280</v>
      </c>
      <c r="AA651" t="s">
        <v>2358</v>
      </c>
      <c r="AB651" t="s">
        <v>2290</v>
      </c>
      <c r="AC651" t="s">
        <v>152</v>
      </c>
      <c r="AD651" t="s">
        <v>2278</v>
      </c>
    </row>
    <row r="652" spans="1:45" x14ac:dyDescent="0.2">
      <c r="A652" t="s">
        <v>545</v>
      </c>
      <c r="B652" t="s">
        <v>546</v>
      </c>
      <c r="C652">
        <v>2021</v>
      </c>
      <c r="D652" t="s">
        <v>44</v>
      </c>
      <c r="E652" t="s">
        <v>49</v>
      </c>
      <c r="F652" t="s">
        <v>83</v>
      </c>
      <c r="G652" t="s">
        <v>547</v>
      </c>
      <c r="H652" t="s">
        <v>350</v>
      </c>
      <c r="I652" t="s">
        <v>548</v>
      </c>
      <c r="J652">
        <f t="shared" si="11"/>
        <v>3.25</v>
      </c>
      <c r="K652" t="s">
        <v>101</v>
      </c>
      <c r="L652">
        <v>3200</v>
      </c>
      <c r="M652">
        <f t="shared" si="12"/>
        <v>6.25E-2</v>
      </c>
      <c r="N652" t="s">
        <v>128</v>
      </c>
      <c r="O652" t="s">
        <v>551</v>
      </c>
      <c r="Q652" s="1" t="s">
        <v>2276</v>
      </c>
      <c r="R652" s="1" t="s">
        <v>669</v>
      </c>
      <c r="S652" s="1" t="s">
        <v>2348</v>
      </c>
      <c r="X652" t="s">
        <v>211</v>
      </c>
      <c r="Y652" t="s">
        <v>2279</v>
      </c>
      <c r="Z652" t="s">
        <v>2280</v>
      </c>
      <c r="AA652" t="s">
        <v>2358</v>
      </c>
      <c r="AB652" t="s">
        <v>2290</v>
      </c>
      <c r="AC652" t="s">
        <v>152</v>
      </c>
      <c r="AD652" t="s">
        <v>2278</v>
      </c>
    </row>
    <row r="653" spans="1:45" x14ac:dyDescent="0.2">
      <c r="A653" t="s">
        <v>545</v>
      </c>
      <c r="B653" t="s">
        <v>546</v>
      </c>
      <c r="C653">
        <v>2021</v>
      </c>
      <c r="D653" t="s">
        <v>44</v>
      </c>
      <c r="E653" t="s">
        <v>49</v>
      </c>
      <c r="F653" t="s">
        <v>83</v>
      </c>
      <c r="G653" t="s">
        <v>547</v>
      </c>
      <c r="H653" t="s">
        <v>350</v>
      </c>
      <c r="I653" t="s">
        <v>548</v>
      </c>
      <c r="J653">
        <f t="shared" si="11"/>
        <v>3.25</v>
      </c>
      <c r="K653" t="s">
        <v>101</v>
      </c>
      <c r="L653">
        <v>3200</v>
      </c>
      <c r="M653">
        <f t="shared" si="12"/>
        <v>6.25E-2</v>
      </c>
      <c r="N653" t="s">
        <v>128</v>
      </c>
      <c r="O653" t="s">
        <v>552</v>
      </c>
      <c r="Q653" s="1" t="s">
        <v>2276</v>
      </c>
      <c r="R653" s="1" t="s">
        <v>755</v>
      </c>
      <c r="S653" s="1" t="s">
        <v>2352</v>
      </c>
      <c r="X653" t="s">
        <v>211</v>
      </c>
      <c r="Y653" t="s">
        <v>2279</v>
      </c>
      <c r="Z653" t="s">
        <v>2280</v>
      </c>
      <c r="AA653" t="s">
        <v>2358</v>
      </c>
      <c r="AB653" t="s">
        <v>2290</v>
      </c>
      <c r="AC653" t="s">
        <v>152</v>
      </c>
      <c r="AD653" t="s">
        <v>2278</v>
      </c>
    </row>
    <row r="654" spans="1:45" x14ac:dyDescent="0.2">
      <c r="A654" t="s">
        <v>545</v>
      </c>
      <c r="B654" t="s">
        <v>546</v>
      </c>
      <c r="C654">
        <v>2021</v>
      </c>
      <c r="D654" t="s">
        <v>44</v>
      </c>
      <c r="E654" t="s">
        <v>49</v>
      </c>
      <c r="F654" t="s">
        <v>83</v>
      </c>
      <c r="G654" t="s">
        <v>547</v>
      </c>
      <c r="H654" t="s">
        <v>350</v>
      </c>
      <c r="I654" t="s">
        <v>548</v>
      </c>
      <c r="J654">
        <f t="shared" si="11"/>
        <v>3.25</v>
      </c>
      <c r="K654" t="s">
        <v>101</v>
      </c>
      <c r="L654">
        <v>3200</v>
      </c>
      <c r="M654">
        <f t="shared" si="12"/>
        <v>6.25E-2</v>
      </c>
      <c r="N654" t="s">
        <v>128</v>
      </c>
      <c r="O654" t="s">
        <v>553</v>
      </c>
      <c r="Q654" s="1" t="s">
        <v>2276</v>
      </c>
      <c r="R654" s="1" t="s">
        <v>755</v>
      </c>
      <c r="S654" s="1" t="s">
        <v>2352</v>
      </c>
      <c r="X654" t="s">
        <v>211</v>
      </c>
      <c r="Y654" t="s">
        <v>2279</v>
      </c>
      <c r="Z654" t="s">
        <v>2280</v>
      </c>
      <c r="AA654" t="s">
        <v>2358</v>
      </c>
      <c r="AB654" t="s">
        <v>2290</v>
      </c>
      <c r="AC654" t="s">
        <v>152</v>
      </c>
      <c r="AD654" t="s">
        <v>2278</v>
      </c>
    </row>
    <row r="655" spans="1:45" x14ac:dyDescent="0.2">
      <c r="A655" t="s">
        <v>545</v>
      </c>
      <c r="B655" t="s">
        <v>546</v>
      </c>
      <c r="C655">
        <v>2021</v>
      </c>
      <c r="D655" t="s">
        <v>44</v>
      </c>
      <c r="E655" t="s">
        <v>49</v>
      </c>
      <c r="F655" t="s">
        <v>83</v>
      </c>
      <c r="G655" t="s">
        <v>547</v>
      </c>
      <c r="H655" t="s">
        <v>350</v>
      </c>
      <c r="I655" t="s">
        <v>548</v>
      </c>
      <c r="J655">
        <f t="shared" si="11"/>
        <v>3.25</v>
      </c>
      <c r="K655" t="s">
        <v>101</v>
      </c>
      <c r="L655">
        <v>3200</v>
      </c>
      <c r="M655">
        <f t="shared" si="12"/>
        <v>6.25E-2</v>
      </c>
      <c r="N655" t="s">
        <v>128</v>
      </c>
      <c r="O655" t="s">
        <v>554</v>
      </c>
      <c r="Q655" s="1" t="s">
        <v>2276</v>
      </c>
      <c r="R655" s="1" t="s">
        <v>751</v>
      </c>
      <c r="S655" s="1" t="s">
        <v>2353</v>
      </c>
      <c r="X655" t="s">
        <v>211</v>
      </c>
      <c r="Y655" t="s">
        <v>2279</v>
      </c>
      <c r="Z655" t="s">
        <v>2280</v>
      </c>
      <c r="AA655" t="s">
        <v>2358</v>
      </c>
      <c r="AB655" t="s">
        <v>2290</v>
      </c>
      <c r="AC655" t="s">
        <v>152</v>
      </c>
      <c r="AD655" t="s">
        <v>2278</v>
      </c>
    </row>
    <row r="656" spans="1:45" x14ac:dyDescent="0.2">
      <c r="A656" t="s">
        <v>545</v>
      </c>
      <c r="B656" t="s">
        <v>546</v>
      </c>
      <c r="C656">
        <v>2021</v>
      </c>
      <c r="D656" t="s">
        <v>44</v>
      </c>
      <c r="E656" t="s">
        <v>49</v>
      </c>
      <c r="F656" t="s">
        <v>83</v>
      </c>
      <c r="G656" t="s">
        <v>547</v>
      </c>
      <c r="H656" t="s">
        <v>350</v>
      </c>
      <c r="I656" t="s">
        <v>548</v>
      </c>
      <c r="J656">
        <f t="shared" si="11"/>
        <v>3.25</v>
      </c>
      <c r="K656" t="s">
        <v>101</v>
      </c>
      <c r="L656">
        <v>3200</v>
      </c>
      <c r="M656">
        <f t="shared" si="12"/>
        <v>6.25E-2</v>
      </c>
      <c r="N656" t="s">
        <v>128</v>
      </c>
      <c r="O656" t="s">
        <v>555</v>
      </c>
      <c r="Q656" s="1" t="s">
        <v>2276</v>
      </c>
      <c r="R656" s="1" t="s">
        <v>2284</v>
      </c>
      <c r="S656" s="1" t="s">
        <v>290</v>
      </c>
      <c r="X656" t="s">
        <v>211</v>
      </c>
      <c r="Y656" t="s">
        <v>2279</v>
      </c>
      <c r="Z656" t="s">
        <v>2280</v>
      </c>
      <c r="AA656" t="s">
        <v>2358</v>
      </c>
      <c r="AB656" t="s">
        <v>2290</v>
      </c>
      <c r="AC656" t="s">
        <v>152</v>
      </c>
      <c r="AD656" t="s">
        <v>2278</v>
      </c>
    </row>
    <row r="657" spans="1:42" x14ac:dyDescent="0.2">
      <c r="A657" t="s">
        <v>545</v>
      </c>
      <c r="B657" t="s">
        <v>546</v>
      </c>
      <c r="C657">
        <v>2021</v>
      </c>
      <c r="D657" t="s">
        <v>44</v>
      </c>
      <c r="E657" t="s">
        <v>49</v>
      </c>
      <c r="F657" t="s">
        <v>83</v>
      </c>
      <c r="G657" t="s">
        <v>547</v>
      </c>
      <c r="H657" t="s">
        <v>350</v>
      </c>
      <c r="I657" t="s">
        <v>548</v>
      </c>
      <c r="J657">
        <f t="shared" si="11"/>
        <v>3.25</v>
      </c>
      <c r="K657" t="s">
        <v>101</v>
      </c>
      <c r="L657">
        <v>3200</v>
      </c>
      <c r="M657">
        <f t="shared" si="12"/>
        <v>6.25E-2</v>
      </c>
      <c r="N657" t="s">
        <v>128</v>
      </c>
      <c r="O657" t="s">
        <v>556</v>
      </c>
      <c r="Q657" s="1" t="s">
        <v>2276</v>
      </c>
      <c r="R657" s="1" t="s">
        <v>755</v>
      </c>
      <c r="S657" s="1" t="s">
        <v>2352</v>
      </c>
      <c r="X657" t="s">
        <v>211</v>
      </c>
      <c r="Y657" t="s">
        <v>2279</v>
      </c>
      <c r="Z657" t="s">
        <v>2280</v>
      </c>
      <c r="AA657" t="s">
        <v>2358</v>
      </c>
      <c r="AB657" t="s">
        <v>2290</v>
      </c>
      <c r="AC657" t="s">
        <v>152</v>
      </c>
      <c r="AD657" t="s">
        <v>2278</v>
      </c>
    </row>
    <row r="658" spans="1:42" x14ac:dyDescent="0.2">
      <c r="A658" t="s">
        <v>545</v>
      </c>
      <c r="B658" t="s">
        <v>546</v>
      </c>
      <c r="C658">
        <v>2021</v>
      </c>
      <c r="D658" t="s">
        <v>44</v>
      </c>
      <c r="E658" t="s">
        <v>49</v>
      </c>
      <c r="F658" t="s">
        <v>83</v>
      </c>
      <c r="G658" t="s">
        <v>547</v>
      </c>
      <c r="H658" t="s">
        <v>350</v>
      </c>
      <c r="I658" t="s">
        <v>548</v>
      </c>
      <c r="J658">
        <f t="shared" si="11"/>
        <v>3.25</v>
      </c>
      <c r="K658" t="s">
        <v>101</v>
      </c>
      <c r="L658">
        <v>3200</v>
      </c>
      <c r="M658">
        <f t="shared" si="12"/>
        <v>6.25E-2</v>
      </c>
      <c r="N658" t="s">
        <v>129</v>
      </c>
      <c r="O658" t="s">
        <v>557</v>
      </c>
      <c r="Q658" s="1" t="s">
        <v>2276</v>
      </c>
      <c r="R658" s="1" t="s">
        <v>2350</v>
      </c>
      <c r="S658" s="1" t="s">
        <v>2350</v>
      </c>
      <c r="X658" t="s">
        <v>211</v>
      </c>
      <c r="Y658" t="s">
        <v>2279</v>
      </c>
      <c r="Z658" t="s">
        <v>2280</v>
      </c>
      <c r="AA658" t="s">
        <v>2358</v>
      </c>
      <c r="AB658" t="s">
        <v>2290</v>
      </c>
      <c r="AC658" t="s">
        <v>152</v>
      </c>
      <c r="AD658" t="s">
        <v>2278</v>
      </c>
    </row>
    <row r="659" spans="1:42" x14ac:dyDescent="0.2">
      <c r="A659" t="s">
        <v>545</v>
      </c>
      <c r="B659" t="s">
        <v>546</v>
      </c>
      <c r="C659">
        <v>2021</v>
      </c>
      <c r="D659" t="s">
        <v>44</v>
      </c>
      <c r="E659" t="s">
        <v>49</v>
      </c>
      <c r="F659" t="s">
        <v>83</v>
      </c>
      <c r="G659" t="s">
        <v>547</v>
      </c>
      <c r="H659" t="s">
        <v>350</v>
      </c>
      <c r="I659" t="s">
        <v>548</v>
      </c>
      <c r="J659">
        <f t="shared" si="11"/>
        <v>3.25</v>
      </c>
      <c r="K659" t="s">
        <v>101</v>
      </c>
      <c r="L659">
        <v>3200</v>
      </c>
      <c r="M659">
        <f t="shared" si="12"/>
        <v>6.25E-2</v>
      </c>
      <c r="N659" t="s">
        <v>122</v>
      </c>
      <c r="O659" t="s">
        <v>247</v>
      </c>
      <c r="Q659" s="1" t="s">
        <v>2281</v>
      </c>
      <c r="R659" s="1" t="s">
        <v>122</v>
      </c>
      <c r="S659" s="1" t="s">
        <v>2293</v>
      </c>
      <c r="X659" t="s">
        <v>211</v>
      </c>
      <c r="Y659" t="s">
        <v>2279</v>
      </c>
      <c r="Z659" t="s">
        <v>2280</v>
      </c>
      <c r="AA659" t="s">
        <v>2358</v>
      </c>
      <c r="AB659" t="s">
        <v>2290</v>
      </c>
      <c r="AC659" t="s">
        <v>152</v>
      </c>
      <c r="AD659" t="s">
        <v>2278</v>
      </c>
    </row>
    <row r="660" spans="1:42" x14ac:dyDescent="0.2">
      <c r="A660" t="s">
        <v>545</v>
      </c>
      <c r="B660" t="s">
        <v>546</v>
      </c>
      <c r="C660">
        <v>2021</v>
      </c>
      <c r="D660" t="s">
        <v>44</v>
      </c>
      <c r="E660" t="s">
        <v>49</v>
      </c>
      <c r="F660" t="s">
        <v>83</v>
      </c>
      <c r="G660" t="s">
        <v>547</v>
      </c>
      <c r="H660" t="s">
        <v>350</v>
      </c>
      <c r="I660" t="s">
        <v>548</v>
      </c>
      <c r="J660">
        <f t="shared" si="11"/>
        <v>3.25</v>
      </c>
      <c r="K660" t="s">
        <v>101</v>
      </c>
      <c r="L660">
        <v>3200</v>
      </c>
      <c r="M660">
        <f t="shared" si="12"/>
        <v>6.25E-2</v>
      </c>
      <c r="N660" t="s">
        <v>131</v>
      </c>
      <c r="O660" t="s">
        <v>558</v>
      </c>
      <c r="Q660" s="1" t="s">
        <v>2281</v>
      </c>
      <c r="R660" s="1" t="s">
        <v>2295</v>
      </c>
      <c r="S660" s="1" t="s">
        <v>2295</v>
      </c>
      <c r="X660" t="s">
        <v>211</v>
      </c>
      <c r="Y660" t="s">
        <v>2279</v>
      </c>
      <c r="Z660" t="s">
        <v>2280</v>
      </c>
      <c r="AA660" t="s">
        <v>2358</v>
      </c>
      <c r="AB660" t="s">
        <v>2290</v>
      </c>
      <c r="AC660" t="s">
        <v>152</v>
      </c>
      <c r="AD660" t="s">
        <v>2278</v>
      </c>
    </row>
    <row r="661" spans="1:42" x14ac:dyDescent="0.2">
      <c r="A661" t="s">
        <v>545</v>
      </c>
      <c r="B661" t="s">
        <v>546</v>
      </c>
      <c r="C661">
        <v>2021</v>
      </c>
      <c r="D661" t="s">
        <v>44</v>
      </c>
      <c r="E661" t="s">
        <v>49</v>
      </c>
      <c r="F661" t="s">
        <v>83</v>
      </c>
      <c r="G661" t="s">
        <v>547</v>
      </c>
      <c r="H661" t="s">
        <v>350</v>
      </c>
      <c r="I661" t="s">
        <v>548</v>
      </c>
      <c r="J661">
        <f t="shared" si="11"/>
        <v>3.25</v>
      </c>
      <c r="K661" t="s">
        <v>101</v>
      </c>
      <c r="L661">
        <v>3200</v>
      </c>
      <c r="M661">
        <f t="shared" si="12"/>
        <v>6.25E-2</v>
      </c>
      <c r="N661" t="s">
        <v>131</v>
      </c>
      <c r="O661" t="s">
        <v>559</v>
      </c>
      <c r="Q661" s="1" t="s">
        <v>2281</v>
      </c>
      <c r="R661" s="1" t="s">
        <v>2295</v>
      </c>
      <c r="S661" s="1" t="s">
        <v>2295</v>
      </c>
      <c r="X661" t="s">
        <v>211</v>
      </c>
      <c r="Y661" t="s">
        <v>2279</v>
      </c>
      <c r="Z661" t="s">
        <v>2280</v>
      </c>
      <c r="AA661" t="s">
        <v>2358</v>
      </c>
      <c r="AB661" t="s">
        <v>2290</v>
      </c>
      <c r="AC661" t="s">
        <v>152</v>
      </c>
      <c r="AD661" t="s">
        <v>2278</v>
      </c>
    </row>
    <row r="662" spans="1:42" x14ac:dyDescent="0.2">
      <c r="A662" t="s">
        <v>545</v>
      </c>
      <c r="B662" t="s">
        <v>546</v>
      </c>
      <c r="C662">
        <v>2021</v>
      </c>
      <c r="D662" t="s">
        <v>44</v>
      </c>
      <c r="E662" t="s">
        <v>49</v>
      </c>
      <c r="F662" t="s">
        <v>83</v>
      </c>
      <c r="G662" t="s">
        <v>547</v>
      </c>
      <c r="H662" t="s">
        <v>350</v>
      </c>
      <c r="I662" t="s">
        <v>548</v>
      </c>
      <c r="J662">
        <f t="shared" si="11"/>
        <v>3.25</v>
      </c>
      <c r="K662" t="s">
        <v>101</v>
      </c>
      <c r="L662">
        <v>3200</v>
      </c>
      <c r="M662">
        <f t="shared" si="12"/>
        <v>6.25E-2</v>
      </c>
      <c r="N662" t="s">
        <v>122</v>
      </c>
      <c r="O662" t="s">
        <v>560</v>
      </c>
      <c r="Q662" s="1" t="s">
        <v>2281</v>
      </c>
      <c r="R662" s="1" t="s">
        <v>122</v>
      </c>
      <c r="S662" s="1" t="s">
        <v>2293</v>
      </c>
      <c r="X662" t="s">
        <v>211</v>
      </c>
      <c r="Y662" t="s">
        <v>2279</v>
      </c>
      <c r="Z662" t="s">
        <v>2280</v>
      </c>
      <c r="AA662" t="s">
        <v>2358</v>
      </c>
      <c r="AB662" t="s">
        <v>2290</v>
      </c>
      <c r="AC662" t="s">
        <v>152</v>
      </c>
      <c r="AD662" t="s">
        <v>2278</v>
      </c>
    </row>
    <row r="663" spans="1:42" x14ac:dyDescent="0.2">
      <c r="A663" t="s">
        <v>545</v>
      </c>
      <c r="B663" t="s">
        <v>546</v>
      </c>
      <c r="C663">
        <v>2021</v>
      </c>
      <c r="D663" t="s">
        <v>44</v>
      </c>
      <c r="E663" t="s">
        <v>49</v>
      </c>
      <c r="F663" t="s">
        <v>83</v>
      </c>
      <c r="G663" t="s">
        <v>547</v>
      </c>
      <c r="H663" t="s">
        <v>350</v>
      </c>
      <c r="I663" t="s">
        <v>548</v>
      </c>
      <c r="J663">
        <f t="shared" si="11"/>
        <v>3.25</v>
      </c>
      <c r="K663" t="s">
        <v>101</v>
      </c>
      <c r="L663">
        <v>3200</v>
      </c>
      <c r="M663">
        <f t="shared" si="12"/>
        <v>6.25E-2</v>
      </c>
      <c r="N663" t="s">
        <v>122</v>
      </c>
      <c r="O663" t="s">
        <v>561</v>
      </c>
      <c r="Q663" s="1" t="s">
        <v>2281</v>
      </c>
      <c r="R663" s="1" t="s">
        <v>122</v>
      </c>
      <c r="S663" s="1" t="s">
        <v>2294</v>
      </c>
      <c r="X663" t="s">
        <v>211</v>
      </c>
      <c r="Y663" t="s">
        <v>2279</v>
      </c>
      <c r="Z663" t="s">
        <v>2280</v>
      </c>
      <c r="AA663" t="s">
        <v>2358</v>
      </c>
      <c r="AB663" t="s">
        <v>2290</v>
      </c>
      <c r="AC663" t="s">
        <v>152</v>
      </c>
      <c r="AD663" t="s">
        <v>2278</v>
      </c>
    </row>
    <row r="664" spans="1:42" x14ac:dyDescent="0.2">
      <c r="A664" t="s">
        <v>545</v>
      </c>
      <c r="B664" t="s">
        <v>546</v>
      </c>
      <c r="C664">
        <v>2021</v>
      </c>
      <c r="D664" t="s">
        <v>44</v>
      </c>
      <c r="E664" t="s">
        <v>49</v>
      </c>
      <c r="F664" t="s">
        <v>83</v>
      </c>
      <c r="G664" t="s">
        <v>547</v>
      </c>
      <c r="H664" t="s">
        <v>350</v>
      </c>
      <c r="I664" t="s">
        <v>548</v>
      </c>
      <c r="J664">
        <f t="shared" si="11"/>
        <v>3.25</v>
      </c>
      <c r="K664" t="s">
        <v>101</v>
      </c>
      <c r="L664">
        <v>3200</v>
      </c>
      <c r="M664">
        <f t="shared" si="12"/>
        <v>6.25E-2</v>
      </c>
      <c r="N664" t="s">
        <v>122</v>
      </c>
      <c r="O664" t="s">
        <v>562</v>
      </c>
      <c r="Q664" s="1" t="s">
        <v>2281</v>
      </c>
      <c r="R664" s="1" t="s">
        <v>122</v>
      </c>
      <c r="S664" s="1" t="s">
        <v>2294</v>
      </c>
      <c r="X664" t="s">
        <v>211</v>
      </c>
      <c r="Y664" t="s">
        <v>2279</v>
      </c>
      <c r="Z664" t="s">
        <v>2280</v>
      </c>
      <c r="AA664" t="s">
        <v>2358</v>
      </c>
      <c r="AB664" t="s">
        <v>2290</v>
      </c>
      <c r="AC664" t="s">
        <v>152</v>
      </c>
      <c r="AD664" t="s">
        <v>2278</v>
      </c>
    </row>
    <row r="665" spans="1:42" x14ac:dyDescent="0.2">
      <c r="A665" t="s">
        <v>545</v>
      </c>
      <c r="B665" t="s">
        <v>546</v>
      </c>
      <c r="C665">
        <v>2021</v>
      </c>
      <c r="D665" t="s">
        <v>44</v>
      </c>
      <c r="E665" t="s">
        <v>49</v>
      </c>
      <c r="F665" t="s">
        <v>83</v>
      </c>
      <c r="G665" t="s">
        <v>547</v>
      </c>
      <c r="H665" t="s">
        <v>350</v>
      </c>
      <c r="I665" t="s">
        <v>548</v>
      </c>
      <c r="J665">
        <f t="shared" si="11"/>
        <v>3.25</v>
      </c>
      <c r="K665" t="s">
        <v>101</v>
      </c>
      <c r="L665">
        <v>3200</v>
      </c>
      <c r="M665">
        <f t="shared" si="12"/>
        <v>6.25E-2</v>
      </c>
      <c r="N665" t="s">
        <v>122</v>
      </c>
      <c r="O665" t="s">
        <v>563</v>
      </c>
      <c r="Q665" s="1" t="s">
        <v>2281</v>
      </c>
      <c r="R665" s="1" t="s">
        <v>122</v>
      </c>
      <c r="S665" s="1" t="s">
        <v>2294</v>
      </c>
      <c r="X665" t="s">
        <v>211</v>
      </c>
      <c r="Y665" t="s">
        <v>2279</v>
      </c>
      <c r="Z665" t="s">
        <v>2280</v>
      </c>
      <c r="AA665" t="s">
        <v>2358</v>
      </c>
      <c r="AB665" t="s">
        <v>2290</v>
      </c>
      <c r="AC665" t="s">
        <v>152</v>
      </c>
      <c r="AD665" t="s">
        <v>2278</v>
      </c>
    </row>
    <row r="666" spans="1:42" x14ac:dyDescent="0.2">
      <c r="A666" t="s">
        <v>545</v>
      </c>
      <c r="B666" t="s">
        <v>546</v>
      </c>
      <c r="C666">
        <v>2021</v>
      </c>
      <c r="D666" t="s">
        <v>44</v>
      </c>
      <c r="E666" t="s">
        <v>49</v>
      </c>
      <c r="F666" t="s">
        <v>83</v>
      </c>
      <c r="G666" t="s">
        <v>547</v>
      </c>
      <c r="H666" t="s">
        <v>350</v>
      </c>
      <c r="I666" t="s">
        <v>548</v>
      </c>
      <c r="J666">
        <f t="shared" si="11"/>
        <v>3.25</v>
      </c>
      <c r="K666" t="s">
        <v>101</v>
      </c>
      <c r="L666">
        <v>3200</v>
      </c>
      <c r="M666">
        <f t="shared" si="12"/>
        <v>6.25E-2</v>
      </c>
      <c r="N666" t="s">
        <v>122</v>
      </c>
      <c r="O666" t="s">
        <v>564</v>
      </c>
      <c r="Q666" s="1" t="s">
        <v>2281</v>
      </c>
      <c r="R666" s="1" t="s">
        <v>122</v>
      </c>
      <c r="S666" s="1" t="s">
        <v>2294</v>
      </c>
      <c r="X666" t="s">
        <v>211</v>
      </c>
      <c r="Y666" t="s">
        <v>2279</v>
      </c>
      <c r="Z666" t="s">
        <v>2280</v>
      </c>
      <c r="AA666" t="s">
        <v>2358</v>
      </c>
      <c r="AB666" t="s">
        <v>2290</v>
      </c>
      <c r="AC666" t="s">
        <v>152</v>
      </c>
      <c r="AD666" t="s">
        <v>2278</v>
      </c>
    </row>
    <row r="667" spans="1:42" x14ac:dyDescent="0.2">
      <c r="A667" t="s">
        <v>545</v>
      </c>
      <c r="B667" t="s">
        <v>546</v>
      </c>
      <c r="C667">
        <v>2021</v>
      </c>
      <c r="D667" t="s">
        <v>44</v>
      </c>
      <c r="E667" t="s">
        <v>49</v>
      </c>
      <c r="F667" t="s">
        <v>83</v>
      </c>
      <c r="G667" t="s">
        <v>547</v>
      </c>
      <c r="H667" t="s">
        <v>350</v>
      </c>
      <c r="I667" t="s">
        <v>548</v>
      </c>
      <c r="J667">
        <f t="shared" si="11"/>
        <v>3.25</v>
      </c>
      <c r="K667" t="s">
        <v>101</v>
      </c>
      <c r="L667">
        <v>3200</v>
      </c>
      <c r="M667">
        <f t="shared" si="12"/>
        <v>6.25E-2</v>
      </c>
      <c r="N667" t="s">
        <v>122</v>
      </c>
      <c r="O667" t="s">
        <v>565</v>
      </c>
      <c r="Q667" s="1" t="s">
        <v>2281</v>
      </c>
      <c r="R667" s="1" t="s">
        <v>122</v>
      </c>
      <c r="S667" s="1" t="s">
        <v>2294</v>
      </c>
      <c r="X667" t="s">
        <v>211</v>
      </c>
      <c r="Y667" t="s">
        <v>2279</v>
      </c>
      <c r="Z667" t="s">
        <v>2280</v>
      </c>
      <c r="AA667" t="s">
        <v>2358</v>
      </c>
      <c r="AB667" t="s">
        <v>2290</v>
      </c>
      <c r="AC667" t="s">
        <v>152</v>
      </c>
      <c r="AD667" t="s">
        <v>2278</v>
      </c>
    </row>
    <row r="668" spans="1:42" x14ac:dyDescent="0.2">
      <c r="A668" t="s">
        <v>545</v>
      </c>
      <c r="B668" t="s">
        <v>546</v>
      </c>
      <c r="C668">
        <v>2021</v>
      </c>
      <c r="D668" t="s">
        <v>44</v>
      </c>
      <c r="E668" t="s">
        <v>49</v>
      </c>
      <c r="F668" t="s">
        <v>83</v>
      </c>
      <c r="G668" t="s">
        <v>547</v>
      </c>
      <c r="H668" t="s">
        <v>350</v>
      </c>
      <c r="I668" t="s">
        <v>548</v>
      </c>
      <c r="J668">
        <f>(3*12+3)/12</f>
        <v>3.25</v>
      </c>
      <c r="K668" t="s">
        <v>101</v>
      </c>
      <c r="L668">
        <v>3200</v>
      </c>
      <c r="M668">
        <f>0.25*0.25</f>
        <v>6.25E-2</v>
      </c>
      <c r="N668" t="s">
        <v>132</v>
      </c>
      <c r="O668" t="s">
        <v>549</v>
      </c>
      <c r="Q668" s="1" t="s">
        <v>2276</v>
      </c>
      <c r="R668" s="1" t="s">
        <v>669</v>
      </c>
      <c r="S668" s="1" t="s">
        <v>168</v>
      </c>
      <c r="X668" t="s">
        <v>161</v>
      </c>
      <c r="Y668" t="s">
        <v>2272</v>
      </c>
      <c r="Z668" t="s">
        <v>2272</v>
      </c>
      <c r="AA668" t="s">
        <v>2272</v>
      </c>
      <c r="AB668" t="s">
        <v>2272</v>
      </c>
      <c r="AC668" t="s">
        <v>162</v>
      </c>
      <c r="AD668" t="s">
        <v>2272</v>
      </c>
      <c r="AF668" t="s">
        <v>49</v>
      </c>
      <c r="AI668" t="s">
        <v>49</v>
      </c>
      <c r="AM668" t="s">
        <v>201</v>
      </c>
      <c r="AN668" t="s">
        <v>109</v>
      </c>
      <c r="AO668" t="s">
        <v>566</v>
      </c>
      <c r="AP668" t="s">
        <v>49</v>
      </c>
    </row>
    <row r="669" spans="1:42" x14ac:dyDescent="0.2">
      <c r="A669" t="s">
        <v>545</v>
      </c>
      <c r="B669" t="s">
        <v>546</v>
      </c>
      <c r="C669">
        <v>2021</v>
      </c>
      <c r="D669" t="s">
        <v>44</v>
      </c>
      <c r="E669" t="s">
        <v>49</v>
      </c>
      <c r="F669" t="s">
        <v>83</v>
      </c>
      <c r="G669" t="s">
        <v>547</v>
      </c>
      <c r="H669" t="s">
        <v>350</v>
      </c>
      <c r="I669" t="s">
        <v>548</v>
      </c>
      <c r="J669">
        <f t="shared" si="11"/>
        <v>3.25</v>
      </c>
      <c r="K669" t="s">
        <v>101</v>
      </c>
      <c r="L669">
        <v>3200</v>
      </c>
      <c r="M669">
        <f t="shared" si="12"/>
        <v>6.25E-2</v>
      </c>
      <c r="N669" t="s">
        <v>120</v>
      </c>
      <c r="O669" t="s">
        <v>550</v>
      </c>
      <c r="Q669" s="1" t="s">
        <v>2276</v>
      </c>
      <c r="R669" s="1" t="s">
        <v>669</v>
      </c>
      <c r="S669" s="1" t="s">
        <v>168</v>
      </c>
      <c r="X669" t="s">
        <v>161</v>
      </c>
      <c r="Y669" t="s">
        <v>2272</v>
      </c>
      <c r="Z669" t="s">
        <v>2272</v>
      </c>
      <c r="AA669" t="s">
        <v>2272</v>
      </c>
      <c r="AB669" t="s">
        <v>2272</v>
      </c>
      <c r="AC669" t="s">
        <v>162</v>
      </c>
      <c r="AD669" t="s">
        <v>2272</v>
      </c>
      <c r="AF669" t="s">
        <v>49</v>
      </c>
      <c r="AI669" t="s">
        <v>49</v>
      </c>
      <c r="AM669" t="s">
        <v>201</v>
      </c>
      <c r="AN669" t="s">
        <v>109</v>
      </c>
      <c r="AO669" t="s">
        <v>566</v>
      </c>
      <c r="AP669" t="s">
        <v>49</v>
      </c>
    </row>
    <row r="670" spans="1:42" x14ac:dyDescent="0.2">
      <c r="A670" t="s">
        <v>545</v>
      </c>
      <c r="B670" t="s">
        <v>546</v>
      </c>
      <c r="C670">
        <v>2021</v>
      </c>
      <c r="D670" t="s">
        <v>44</v>
      </c>
      <c r="E670" t="s">
        <v>49</v>
      </c>
      <c r="F670" t="s">
        <v>83</v>
      </c>
      <c r="G670" t="s">
        <v>547</v>
      </c>
      <c r="H670" t="s">
        <v>350</v>
      </c>
      <c r="I670" t="s">
        <v>548</v>
      </c>
      <c r="J670">
        <f t="shared" si="11"/>
        <v>3.25</v>
      </c>
      <c r="K670" t="s">
        <v>101</v>
      </c>
      <c r="L670">
        <v>3200</v>
      </c>
      <c r="M670">
        <f t="shared" si="12"/>
        <v>6.25E-2</v>
      </c>
      <c r="N670" t="s">
        <v>128</v>
      </c>
      <c r="O670" t="s">
        <v>551</v>
      </c>
      <c r="Q670" s="1" t="s">
        <v>2276</v>
      </c>
      <c r="R670" s="1" t="s">
        <v>669</v>
      </c>
      <c r="S670" s="1" t="s">
        <v>2348</v>
      </c>
      <c r="X670" t="s">
        <v>161</v>
      </c>
      <c r="Y670" t="s">
        <v>2272</v>
      </c>
      <c r="Z670" t="s">
        <v>2272</v>
      </c>
      <c r="AA670" t="s">
        <v>2272</v>
      </c>
      <c r="AB670" t="s">
        <v>2272</v>
      </c>
      <c r="AC670" t="s">
        <v>162</v>
      </c>
      <c r="AD670" t="s">
        <v>2272</v>
      </c>
      <c r="AF670" t="s">
        <v>49</v>
      </c>
      <c r="AI670" t="s">
        <v>49</v>
      </c>
      <c r="AM670" t="s">
        <v>201</v>
      </c>
      <c r="AN670" t="s">
        <v>109</v>
      </c>
      <c r="AO670" t="s">
        <v>566</v>
      </c>
      <c r="AP670" t="s">
        <v>49</v>
      </c>
    </row>
    <row r="671" spans="1:42" x14ac:dyDescent="0.2">
      <c r="A671" t="s">
        <v>545</v>
      </c>
      <c r="B671" t="s">
        <v>546</v>
      </c>
      <c r="C671">
        <v>2021</v>
      </c>
      <c r="D671" t="s">
        <v>44</v>
      </c>
      <c r="E671" t="s">
        <v>49</v>
      </c>
      <c r="F671" t="s">
        <v>83</v>
      </c>
      <c r="G671" t="s">
        <v>547</v>
      </c>
      <c r="H671" t="s">
        <v>350</v>
      </c>
      <c r="I671" t="s">
        <v>548</v>
      </c>
      <c r="J671">
        <f t="shared" si="11"/>
        <v>3.25</v>
      </c>
      <c r="K671" t="s">
        <v>101</v>
      </c>
      <c r="L671">
        <v>3200</v>
      </c>
      <c r="M671">
        <f t="shared" si="12"/>
        <v>6.25E-2</v>
      </c>
      <c r="N671" t="s">
        <v>128</v>
      </c>
      <c r="O671" t="s">
        <v>552</v>
      </c>
      <c r="Q671" s="1" t="s">
        <v>2276</v>
      </c>
      <c r="R671" s="1" t="s">
        <v>755</v>
      </c>
      <c r="S671" s="1" t="s">
        <v>2352</v>
      </c>
      <c r="X671" t="s">
        <v>161</v>
      </c>
      <c r="Y671" t="s">
        <v>2272</v>
      </c>
      <c r="Z671" t="s">
        <v>2272</v>
      </c>
      <c r="AA671" t="s">
        <v>2272</v>
      </c>
      <c r="AB671" t="s">
        <v>2272</v>
      </c>
      <c r="AC671" t="s">
        <v>162</v>
      </c>
      <c r="AD671" t="s">
        <v>2272</v>
      </c>
      <c r="AF671" t="s">
        <v>49</v>
      </c>
      <c r="AI671" t="s">
        <v>49</v>
      </c>
      <c r="AM671" t="s">
        <v>201</v>
      </c>
      <c r="AN671" t="s">
        <v>109</v>
      </c>
      <c r="AO671" t="s">
        <v>566</v>
      </c>
      <c r="AP671" t="s">
        <v>49</v>
      </c>
    </row>
    <row r="672" spans="1:42" x14ac:dyDescent="0.2">
      <c r="A672" t="s">
        <v>545</v>
      </c>
      <c r="B672" t="s">
        <v>546</v>
      </c>
      <c r="C672">
        <v>2021</v>
      </c>
      <c r="D672" t="s">
        <v>44</v>
      </c>
      <c r="E672" t="s">
        <v>49</v>
      </c>
      <c r="F672" t="s">
        <v>83</v>
      </c>
      <c r="G672" t="s">
        <v>547</v>
      </c>
      <c r="H672" t="s">
        <v>350</v>
      </c>
      <c r="I672" t="s">
        <v>548</v>
      </c>
      <c r="J672">
        <f t="shared" si="11"/>
        <v>3.25</v>
      </c>
      <c r="K672" t="s">
        <v>101</v>
      </c>
      <c r="L672">
        <v>3200</v>
      </c>
      <c r="M672">
        <f t="shared" si="12"/>
        <v>6.25E-2</v>
      </c>
      <c r="N672" t="s">
        <v>128</v>
      </c>
      <c r="O672" t="s">
        <v>553</v>
      </c>
      <c r="Q672" s="1" t="s">
        <v>2276</v>
      </c>
      <c r="R672" s="1" t="s">
        <v>755</v>
      </c>
      <c r="S672" s="1" t="s">
        <v>2352</v>
      </c>
      <c r="X672" t="s">
        <v>161</v>
      </c>
      <c r="Y672" t="s">
        <v>2272</v>
      </c>
      <c r="Z672" t="s">
        <v>2272</v>
      </c>
      <c r="AA672" t="s">
        <v>2272</v>
      </c>
      <c r="AB672" t="s">
        <v>2272</v>
      </c>
      <c r="AC672" t="s">
        <v>162</v>
      </c>
      <c r="AD672" t="s">
        <v>2272</v>
      </c>
      <c r="AF672" t="s">
        <v>49</v>
      </c>
      <c r="AI672" t="s">
        <v>49</v>
      </c>
      <c r="AM672" t="s">
        <v>201</v>
      </c>
      <c r="AN672" t="s">
        <v>109</v>
      </c>
      <c r="AO672" t="s">
        <v>566</v>
      </c>
      <c r="AP672" t="s">
        <v>49</v>
      </c>
    </row>
    <row r="673" spans="1:42" x14ac:dyDescent="0.2">
      <c r="A673" t="s">
        <v>545</v>
      </c>
      <c r="B673" t="s">
        <v>546</v>
      </c>
      <c r="C673">
        <v>2021</v>
      </c>
      <c r="D673" t="s">
        <v>44</v>
      </c>
      <c r="E673" t="s">
        <v>49</v>
      </c>
      <c r="F673" t="s">
        <v>83</v>
      </c>
      <c r="G673" t="s">
        <v>547</v>
      </c>
      <c r="H673" t="s">
        <v>350</v>
      </c>
      <c r="I673" t="s">
        <v>548</v>
      </c>
      <c r="J673">
        <f t="shared" si="11"/>
        <v>3.25</v>
      </c>
      <c r="K673" t="s">
        <v>101</v>
      </c>
      <c r="L673">
        <v>3200</v>
      </c>
      <c r="M673">
        <f t="shared" si="12"/>
        <v>6.25E-2</v>
      </c>
      <c r="N673" t="s">
        <v>128</v>
      </c>
      <c r="O673" t="s">
        <v>554</v>
      </c>
      <c r="Q673" s="1" t="s">
        <v>2276</v>
      </c>
      <c r="R673" s="1" t="s">
        <v>751</v>
      </c>
      <c r="S673" s="1" t="s">
        <v>2353</v>
      </c>
      <c r="X673" t="s">
        <v>161</v>
      </c>
      <c r="Y673" t="s">
        <v>2272</v>
      </c>
      <c r="Z673" t="s">
        <v>2272</v>
      </c>
      <c r="AA673" t="s">
        <v>2272</v>
      </c>
      <c r="AB673" t="s">
        <v>2272</v>
      </c>
      <c r="AC673" t="s">
        <v>162</v>
      </c>
      <c r="AD673" t="s">
        <v>2272</v>
      </c>
      <c r="AF673" t="s">
        <v>49</v>
      </c>
      <c r="AI673" t="s">
        <v>49</v>
      </c>
      <c r="AM673" t="s">
        <v>201</v>
      </c>
      <c r="AN673" t="s">
        <v>109</v>
      </c>
      <c r="AO673" t="s">
        <v>566</v>
      </c>
      <c r="AP673" t="s">
        <v>49</v>
      </c>
    </row>
    <row r="674" spans="1:42" x14ac:dyDescent="0.2">
      <c r="A674" t="s">
        <v>545</v>
      </c>
      <c r="B674" t="s">
        <v>546</v>
      </c>
      <c r="C674">
        <v>2021</v>
      </c>
      <c r="D674" t="s">
        <v>44</v>
      </c>
      <c r="E674" t="s">
        <v>49</v>
      </c>
      <c r="F674" t="s">
        <v>83</v>
      </c>
      <c r="G674" t="s">
        <v>547</v>
      </c>
      <c r="H674" t="s">
        <v>350</v>
      </c>
      <c r="I674" t="s">
        <v>548</v>
      </c>
      <c r="J674">
        <f t="shared" si="11"/>
        <v>3.25</v>
      </c>
      <c r="K674" t="s">
        <v>101</v>
      </c>
      <c r="L674">
        <v>3200</v>
      </c>
      <c r="M674">
        <f t="shared" si="12"/>
        <v>6.25E-2</v>
      </c>
      <c r="N674" t="s">
        <v>128</v>
      </c>
      <c r="O674" t="s">
        <v>555</v>
      </c>
      <c r="Q674" s="1" t="s">
        <v>2276</v>
      </c>
      <c r="R674" s="1" t="s">
        <v>2284</v>
      </c>
      <c r="S674" s="1" t="s">
        <v>290</v>
      </c>
      <c r="X674" t="s">
        <v>161</v>
      </c>
      <c r="Y674" t="s">
        <v>2272</v>
      </c>
      <c r="Z674" t="s">
        <v>2272</v>
      </c>
      <c r="AA674" t="s">
        <v>2272</v>
      </c>
      <c r="AB674" t="s">
        <v>2272</v>
      </c>
      <c r="AC674" t="s">
        <v>162</v>
      </c>
      <c r="AD674" t="s">
        <v>2272</v>
      </c>
      <c r="AF674" t="s">
        <v>49</v>
      </c>
      <c r="AI674" t="s">
        <v>49</v>
      </c>
      <c r="AM674" t="s">
        <v>201</v>
      </c>
      <c r="AN674" t="s">
        <v>109</v>
      </c>
      <c r="AO674" t="s">
        <v>566</v>
      </c>
      <c r="AP674" t="s">
        <v>49</v>
      </c>
    </row>
    <row r="675" spans="1:42" x14ac:dyDescent="0.2">
      <c r="A675" t="s">
        <v>545</v>
      </c>
      <c r="B675" t="s">
        <v>546</v>
      </c>
      <c r="C675">
        <v>2021</v>
      </c>
      <c r="D675" t="s">
        <v>44</v>
      </c>
      <c r="E675" t="s">
        <v>49</v>
      </c>
      <c r="F675" t="s">
        <v>83</v>
      </c>
      <c r="G675" t="s">
        <v>547</v>
      </c>
      <c r="H675" t="s">
        <v>350</v>
      </c>
      <c r="I675" t="s">
        <v>548</v>
      </c>
      <c r="J675">
        <f t="shared" si="11"/>
        <v>3.25</v>
      </c>
      <c r="K675" t="s">
        <v>101</v>
      </c>
      <c r="L675">
        <v>3200</v>
      </c>
      <c r="M675">
        <f t="shared" si="12"/>
        <v>6.25E-2</v>
      </c>
      <c r="N675" t="s">
        <v>128</v>
      </c>
      <c r="O675" t="s">
        <v>556</v>
      </c>
      <c r="Q675" s="1" t="s">
        <v>2276</v>
      </c>
      <c r="R675" s="1" t="s">
        <v>755</v>
      </c>
      <c r="S675" s="1" t="s">
        <v>2352</v>
      </c>
      <c r="X675" t="s">
        <v>161</v>
      </c>
      <c r="Y675" t="s">
        <v>2272</v>
      </c>
      <c r="Z675" t="s">
        <v>2272</v>
      </c>
      <c r="AA675" t="s">
        <v>2272</v>
      </c>
      <c r="AB675" t="s">
        <v>2272</v>
      </c>
      <c r="AC675" t="s">
        <v>162</v>
      </c>
      <c r="AD675" t="s">
        <v>2272</v>
      </c>
      <c r="AF675" t="s">
        <v>49</v>
      </c>
      <c r="AI675" t="s">
        <v>49</v>
      </c>
      <c r="AM675" t="s">
        <v>201</v>
      </c>
      <c r="AN675" t="s">
        <v>109</v>
      </c>
      <c r="AO675" t="s">
        <v>566</v>
      </c>
      <c r="AP675" t="s">
        <v>49</v>
      </c>
    </row>
    <row r="676" spans="1:42" x14ac:dyDescent="0.2">
      <c r="A676" t="s">
        <v>545</v>
      </c>
      <c r="B676" t="s">
        <v>546</v>
      </c>
      <c r="C676">
        <v>2021</v>
      </c>
      <c r="D676" t="s">
        <v>44</v>
      </c>
      <c r="E676" t="s">
        <v>49</v>
      </c>
      <c r="F676" t="s">
        <v>83</v>
      </c>
      <c r="G676" t="s">
        <v>547</v>
      </c>
      <c r="H676" t="s">
        <v>350</v>
      </c>
      <c r="I676" t="s">
        <v>548</v>
      </c>
      <c r="J676">
        <f t="shared" si="11"/>
        <v>3.25</v>
      </c>
      <c r="K676" t="s">
        <v>101</v>
      </c>
      <c r="L676">
        <v>3200</v>
      </c>
      <c r="M676">
        <f t="shared" si="12"/>
        <v>6.25E-2</v>
      </c>
      <c r="N676" t="s">
        <v>129</v>
      </c>
      <c r="O676" t="s">
        <v>557</v>
      </c>
      <c r="Q676" s="1" t="s">
        <v>2276</v>
      </c>
      <c r="R676" s="1" t="s">
        <v>2350</v>
      </c>
      <c r="S676" s="1" t="s">
        <v>2350</v>
      </c>
      <c r="X676" t="s">
        <v>161</v>
      </c>
      <c r="Y676" t="s">
        <v>2272</v>
      </c>
      <c r="Z676" t="s">
        <v>2272</v>
      </c>
      <c r="AA676" t="s">
        <v>2272</v>
      </c>
      <c r="AB676" t="s">
        <v>2272</v>
      </c>
      <c r="AC676" t="s">
        <v>162</v>
      </c>
      <c r="AD676" t="s">
        <v>2272</v>
      </c>
      <c r="AF676" t="s">
        <v>49</v>
      </c>
      <c r="AI676" t="s">
        <v>49</v>
      </c>
      <c r="AM676" t="s">
        <v>201</v>
      </c>
      <c r="AN676" t="s">
        <v>109</v>
      </c>
      <c r="AO676" t="s">
        <v>566</v>
      </c>
      <c r="AP676" t="s">
        <v>49</v>
      </c>
    </row>
    <row r="677" spans="1:42" x14ac:dyDescent="0.2">
      <c r="A677" t="s">
        <v>545</v>
      </c>
      <c r="B677" t="s">
        <v>546</v>
      </c>
      <c r="C677">
        <v>2021</v>
      </c>
      <c r="D677" t="s">
        <v>44</v>
      </c>
      <c r="E677" t="s">
        <v>49</v>
      </c>
      <c r="F677" t="s">
        <v>83</v>
      </c>
      <c r="G677" t="s">
        <v>547</v>
      </c>
      <c r="H677" t="s">
        <v>350</v>
      </c>
      <c r="I677" t="s">
        <v>548</v>
      </c>
      <c r="J677">
        <f t="shared" si="11"/>
        <v>3.25</v>
      </c>
      <c r="K677" t="s">
        <v>101</v>
      </c>
      <c r="L677">
        <v>3200</v>
      </c>
      <c r="M677">
        <f t="shared" si="12"/>
        <v>6.25E-2</v>
      </c>
      <c r="N677" t="s">
        <v>122</v>
      </c>
      <c r="O677" t="s">
        <v>247</v>
      </c>
      <c r="Q677" s="1" t="s">
        <v>2281</v>
      </c>
      <c r="R677" s="1" t="s">
        <v>122</v>
      </c>
      <c r="S677" s="1" t="s">
        <v>2293</v>
      </c>
      <c r="X677" t="s">
        <v>161</v>
      </c>
      <c r="Y677" t="s">
        <v>2272</v>
      </c>
      <c r="Z677" t="s">
        <v>2272</v>
      </c>
      <c r="AA677" t="s">
        <v>2272</v>
      </c>
      <c r="AB677" t="s">
        <v>2272</v>
      </c>
      <c r="AC677" t="s">
        <v>162</v>
      </c>
      <c r="AD677" t="s">
        <v>2272</v>
      </c>
      <c r="AF677" t="s">
        <v>49</v>
      </c>
      <c r="AI677" t="s">
        <v>49</v>
      </c>
      <c r="AM677" t="s">
        <v>201</v>
      </c>
      <c r="AN677" t="s">
        <v>109</v>
      </c>
      <c r="AO677" t="s">
        <v>566</v>
      </c>
      <c r="AP677" t="s">
        <v>49</v>
      </c>
    </row>
    <row r="678" spans="1:42" x14ac:dyDescent="0.2">
      <c r="A678" t="s">
        <v>545</v>
      </c>
      <c r="B678" t="s">
        <v>546</v>
      </c>
      <c r="C678">
        <v>2021</v>
      </c>
      <c r="D678" t="s">
        <v>44</v>
      </c>
      <c r="E678" t="s">
        <v>49</v>
      </c>
      <c r="F678" t="s">
        <v>83</v>
      </c>
      <c r="G678" t="s">
        <v>547</v>
      </c>
      <c r="H678" t="s">
        <v>350</v>
      </c>
      <c r="I678" t="s">
        <v>548</v>
      </c>
      <c r="J678">
        <f t="shared" si="11"/>
        <v>3.25</v>
      </c>
      <c r="K678" t="s">
        <v>101</v>
      </c>
      <c r="L678">
        <v>3200</v>
      </c>
      <c r="M678">
        <f t="shared" si="12"/>
        <v>6.25E-2</v>
      </c>
      <c r="N678" t="s">
        <v>131</v>
      </c>
      <c r="O678" t="s">
        <v>558</v>
      </c>
      <c r="Q678" s="1" t="s">
        <v>2281</v>
      </c>
      <c r="R678" s="1" t="s">
        <v>2295</v>
      </c>
      <c r="S678" s="1" t="s">
        <v>2295</v>
      </c>
      <c r="X678" t="s">
        <v>161</v>
      </c>
      <c r="Y678" t="s">
        <v>2272</v>
      </c>
      <c r="Z678" t="s">
        <v>2272</v>
      </c>
      <c r="AA678" t="s">
        <v>2272</v>
      </c>
      <c r="AB678" t="s">
        <v>2272</v>
      </c>
      <c r="AC678" t="s">
        <v>162</v>
      </c>
      <c r="AD678" t="s">
        <v>2272</v>
      </c>
      <c r="AF678" t="s">
        <v>49</v>
      </c>
      <c r="AI678" t="s">
        <v>49</v>
      </c>
      <c r="AM678" t="s">
        <v>201</v>
      </c>
      <c r="AN678" t="s">
        <v>109</v>
      </c>
      <c r="AO678" t="s">
        <v>566</v>
      </c>
      <c r="AP678" t="s">
        <v>49</v>
      </c>
    </row>
    <row r="679" spans="1:42" x14ac:dyDescent="0.2">
      <c r="A679" t="s">
        <v>545</v>
      </c>
      <c r="B679" t="s">
        <v>546</v>
      </c>
      <c r="C679">
        <v>2021</v>
      </c>
      <c r="D679" t="s">
        <v>44</v>
      </c>
      <c r="E679" t="s">
        <v>49</v>
      </c>
      <c r="F679" t="s">
        <v>83</v>
      </c>
      <c r="G679" t="s">
        <v>547</v>
      </c>
      <c r="H679" t="s">
        <v>350</v>
      </c>
      <c r="I679" t="s">
        <v>548</v>
      </c>
      <c r="J679">
        <f t="shared" si="11"/>
        <v>3.25</v>
      </c>
      <c r="K679" t="s">
        <v>101</v>
      </c>
      <c r="L679">
        <v>3200</v>
      </c>
      <c r="M679">
        <f t="shared" si="12"/>
        <v>6.25E-2</v>
      </c>
      <c r="N679" t="s">
        <v>131</v>
      </c>
      <c r="O679" t="s">
        <v>559</v>
      </c>
      <c r="Q679" s="1" t="s">
        <v>2281</v>
      </c>
      <c r="R679" s="1" t="s">
        <v>2295</v>
      </c>
      <c r="S679" s="1" t="s">
        <v>2295</v>
      </c>
      <c r="X679" t="s">
        <v>161</v>
      </c>
      <c r="Y679" t="s">
        <v>2272</v>
      </c>
      <c r="Z679" t="s">
        <v>2272</v>
      </c>
      <c r="AA679" t="s">
        <v>2272</v>
      </c>
      <c r="AB679" t="s">
        <v>2272</v>
      </c>
      <c r="AC679" t="s">
        <v>162</v>
      </c>
      <c r="AD679" t="s">
        <v>2272</v>
      </c>
      <c r="AF679" t="s">
        <v>49</v>
      </c>
      <c r="AI679" t="s">
        <v>49</v>
      </c>
      <c r="AM679" t="s">
        <v>201</v>
      </c>
      <c r="AN679" t="s">
        <v>109</v>
      </c>
      <c r="AO679" t="s">
        <v>566</v>
      </c>
      <c r="AP679" t="s">
        <v>49</v>
      </c>
    </row>
    <row r="680" spans="1:42" x14ac:dyDescent="0.2">
      <c r="A680" t="s">
        <v>545</v>
      </c>
      <c r="B680" t="s">
        <v>546</v>
      </c>
      <c r="C680">
        <v>2021</v>
      </c>
      <c r="D680" t="s">
        <v>44</v>
      </c>
      <c r="E680" t="s">
        <v>49</v>
      </c>
      <c r="F680" t="s">
        <v>83</v>
      </c>
      <c r="G680" t="s">
        <v>547</v>
      </c>
      <c r="H680" t="s">
        <v>350</v>
      </c>
      <c r="I680" t="s">
        <v>548</v>
      </c>
      <c r="J680">
        <f t="shared" si="11"/>
        <v>3.25</v>
      </c>
      <c r="K680" t="s">
        <v>101</v>
      </c>
      <c r="L680">
        <v>3200</v>
      </c>
      <c r="M680">
        <f t="shared" si="12"/>
        <v>6.25E-2</v>
      </c>
      <c r="N680" t="s">
        <v>122</v>
      </c>
      <c r="O680" t="s">
        <v>560</v>
      </c>
      <c r="Q680" s="1" t="s">
        <v>2281</v>
      </c>
      <c r="R680" s="1" t="s">
        <v>122</v>
      </c>
      <c r="S680" s="1" t="s">
        <v>2293</v>
      </c>
      <c r="X680" t="s">
        <v>161</v>
      </c>
      <c r="Y680" t="s">
        <v>2272</v>
      </c>
      <c r="Z680" t="s">
        <v>2272</v>
      </c>
      <c r="AA680" t="s">
        <v>2272</v>
      </c>
      <c r="AB680" t="s">
        <v>2272</v>
      </c>
      <c r="AC680" t="s">
        <v>162</v>
      </c>
      <c r="AD680" t="s">
        <v>2272</v>
      </c>
      <c r="AF680" t="s">
        <v>49</v>
      </c>
      <c r="AI680" t="s">
        <v>49</v>
      </c>
      <c r="AM680" t="s">
        <v>201</v>
      </c>
      <c r="AN680" t="s">
        <v>109</v>
      </c>
      <c r="AO680" t="s">
        <v>566</v>
      </c>
      <c r="AP680" t="s">
        <v>49</v>
      </c>
    </row>
    <row r="681" spans="1:42" x14ac:dyDescent="0.2">
      <c r="A681" t="s">
        <v>545</v>
      </c>
      <c r="B681" t="s">
        <v>546</v>
      </c>
      <c r="C681">
        <v>2021</v>
      </c>
      <c r="D681" t="s">
        <v>44</v>
      </c>
      <c r="E681" t="s">
        <v>49</v>
      </c>
      <c r="F681" t="s">
        <v>83</v>
      </c>
      <c r="G681" t="s">
        <v>547</v>
      </c>
      <c r="H681" t="s">
        <v>350</v>
      </c>
      <c r="I681" t="s">
        <v>548</v>
      </c>
      <c r="J681">
        <f t="shared" si="11"/>
        <v>3.25</v>
      </c>
      <c r="K681" t="s">
        <v>101</v>
      </c>
      <c r="L681">
        <v>3200</v>
      </c>
      <c r="M681">
        <f t="shared" si="12"/>
        <v>6.25E-2</v>
      </c>
      <c r="N681" t="s">
        <v>122</v>
      </c>
      <c r="O681" t="s">
        <v>561</v>
      </c>
      <c r="Q681" s="1" t="s">
        <v>2281</v>
      </c>
      <c r="R681" s="1" t="s">
        <v>122</v>
      </c>
      <c r="S681" s="1" t="s">
        <v>2294</v>
      </c>
      <c r="X681" t="s">
        <v>161</v>
      </c>
      <c r="Y681" t="s">
        <v>2272</v>
      </c>
      <c r="Z681" t="s">
        <v>2272</v>
      </c>
      <c r="AA681" t="s">
        <v>2272</v>
      </c>
      <c r="AB681" t="s">
        <v>2272</v>
      </c>
      <c r="AC681" t="s">
        <v>162</v>
      </c>
      <c r="AD681" t="s">
        <v>2272</v>
      </c>
      <c r="AF681" t="s">
        <v>49</v>
      </c>
      <c r="AI681" t="s">
        <v>49</v>
      </c>
      <c r="AM681" t="s">
        <v>201</v>
      </c>
      <c r="AN681" t="s">
        <v>109</v>
      </c>
      <c r="AO681" t="s">
        <v>566</v>
      </c>
      <c r="AP681" t="s">
        <v>49</v>
      </c>
    </row>
    <row r="682" spans="1:42" x14ac:dyDescent="0.2">
      <c r="A682" t="s">
        <v>545</v>
      </c>
      <c r="B682" t="s">
        <v>546</v>
      </c>
      <c r="C682">
        <v>2021</v>
      </c>
      <c r="D682" t="s">
        <v>44</v>
      </c>
      <c r="E682" t="s">
        <v>49</v>
      </c>
      <c r="F682" t="s">
        <v>83</v>
      </c>
      <c r="G682" t="s">
        <v>547</v>
      </c>
      <c r="H682" t="s">
        <v>350</v>
      </c>
      <c r="I682" t="s">
        <v>548</v>
      </c>
      <c r="J682">
        <f t="shared" si="11"/>
        <v>3.25</v>
      </c>
      <c r="K682" t="s">
        <v>101</v>
      </c>
      <c r="L682">
        <v>3200</v>
      </c>
      <c r="M682">
        <f t="shared" si="12"/>
        <v>6.25E-2</v>
      </c>
      <c r="N682" t="s">
        <v>122</v>
      </c>
      <c r="O682" t="s">
        <v>562</v>
      </c>
      <c r="Q682" s="1" t="s">
        <v>2281</v>
      </c>
      <c r="R682" s="1" t="s">
        <v>122</v>
      </c>
      <c r="S682" s="1" t="s">
        <v>2294</v>
      </c>
      <c r="X682" t="s">
        <v>161</v>
      </c>
      <c r="Y682" t="s">
        <v>2272</v>
      </c>
      <c r="Z682" t="s">
        <v>2272</v>
      </c>
      <c r="AA682" t="s">
        <v>2272</v>
      </c>
      <c r="AB682" t="s">
        <v>2272</v>
      </c>
      <c r="AC682" t="s">
        <v>162</v>
      </c>
      <c r="AD682" t="s">
        <v>2272</v>
      </c>
      <c r="AF682" t="s">
        <v>49</v>
      </c>
      <c r="AI682" t="s">
        <v>49</v>
      </c>
      <c r="AM682" t="s">
        <v>201</v>
      </c>
      <c r="AN682" t="s">
        <v>109</v>
      </c>
      <c r="AO682" t="s">
        <v>566</v>
      </c>
      <c r="AP682" t="s">
        <v>49</v>
      </c>
    </row>
    <row r="683" spans="1:42" x14ac:dyDescent="0.2">
      <c r="A683" t="s">
        <v>545</v>
      </c>
      <c r="B683" t="s">
        <v>546</v>
      </c>
      <c r="C683">
        <v>2021</v>
      </c>
      <c r="D683" t="s">
        <v>44</v>
      </c>
      <c r="E683" t="s">
        <v>49</v>
      </c>
      <c r="F683" t="s">
        <v>83</v>
      </c>
      <c r="G683" t="s">
        <v>547</v>
      </c>
      <c r="H683" t="s">
        <v>350</v>
      </c>
      <c r="I683" t="s">
        <v>548</v>
      </c>
      <c r="J683">
        <f t="shared" si="11"/>
        <v>3.25</v>
      </c>
      <c r="K683" t="s">
        <v>101</v>
      </c>
      <c r="L683">
        <v>3200</v>
      </c>
      <c r="M683">
        <f t="shared" si="12"/>
        <v>6.25E-2</v>
      </c>
      <c r="N683" t="s">
        <v>122</v>
      </c>
      <c r="O683" t="s">
        <v>563</v>
      </c>
      <c r="Q683" s="1" t="s">
        <v>2281</v>
      </c>
      <c r="R683" s="1" t="s">
        <v>122</v>
      </c>
      <c r="S683" s="1" t="s">
        <v>2294</v>
      </c>
      <c r="X683" t="s">
        <v>161</v>
      </c>
      <c r="Y683" t="s">
        <v>2272</v>
      </c>
      <c r="Z683" t="s">
        <v>2272</v>
      </c>
      <c r="AA683" t="s">
        <v>2272</v>
      </c>
      <c r="AB683" t="s">
        <v>2272</v>
      </c>
      <c r="AC683" t="s">
        <v>162</v>
      </c>
      <c r="AD683" t="s">
        <v>2272</v>
      </c>
      <c r="AF683" t="s">
        <v>49</v>
      </c>
      <c r="AI683" t="s">
        <v>49</v>
      </c>
      <c r="AM683" t="s">
        <v>201</v>
      </c>
      <c r="AN683" t="s">
        <v>109</v>
      </c>
      <c r="AO683" t="s">
        <v>566</v>
      </c>
      <c r="AP683" t="s">
        <v>49</v>
      </c>
    </row>
    <row r="684" spans="1:42" x14ac:dyDescent="0.2">
      <c r="A684" t="s">
        <v>545</v>
      </c>
      <c r="B684" t="s">
        <v>546</v>
      </c>
      <c r="C684">
        <v>2021</v>
      </c>
      <c r="D684" t="s">
        <v>44</v>
      </c>
      <c r="E684" t="s">
        <v>49</v>
      </c>
      <c r="F684" t="s">
        <v>83</v>
      </c>
      <c r="G684" t="s">
        <v>547</v>
      </c>
      <c r="H684" t="s">
        <v>350</v>
      </c>
      <c r="I684" t="s">
        <v>548</v>
      </c>
      <c r="J684">
        <f t="shared" si="11"/>
        <v>3.25</v>
      </c>
      <c r="K684" t="s">
        <v>101</v>
      </c>
      <c r="L684">
        <v>3200</v>
      </c>
      <c r="M684">
        <f t="shared" si="12"/>
        <v>6.25E-2</v>
      </c>
      <c r="N684" t="s">
        <v>122</v>
      </c>
      <c r="O684" t="s">
        <v>564</v>
      </c>
      <c r="Q684" s="1" t="s">
        <v>2281</v>
      </c>
      <c r="R684" s="1" t="s">
        <v>122</v>
      </c>
      <c r="S684" s="1" t="s">
        <v>2294</v>
      </c>
      <c r="X684" t="s">
        <v>161</v>
      </c>
      <c r="Y684" t="s">
        <v>2272</v>
      </c>
      <c r="Z684" t="s">
        <v>2272</v>
      </c>
      <c r="AA684" t="s">
        <v>2272</v>
      </c>
      <c r="AB684" t="s">
        <v>2272</v>
      </c>
      <c r="AC684" t="s">
        <v>162</v>
      </c>
      <c r="AD684" t="s">
        <v>2272</v>
      </c>
      <c r="AF684" t="s">
        <v>49</v>
      </c>
      <c r="AI684" t="s">
        <v>49</v>
      </c>
      <c r="AM684" t="s">
        <v>201</v>
      </c>
      <c r="AN684" t="s">
        <v>109</v>
      </c>
      <c r="AO684" t="s">
        <v>566</v>
      </c>
      <c r="AP684" t="s">
        <v>49</v>
      </c>
    </row>
    <row r="685" spans="1:42" x14ac:dyDescent="0.2">
      <c r="A685" t="s">
        <v>545</v>
      </c>
      <c r="B685" t="s">
        <v>546</v>
      </c>
      <c r="C685">
        <v>2021</v>
      </c>
      <c r="D685" t="s">
        <v>44</v>
      </c>
      <c r="E685" t="s">
        <v>49</v>
      </c>
      <c r="F685" t="s">
        <v>83</v>
      </c>
      <c r="G685" t="s">
        <v>547</v>
      </c>
      <c r="H685" t="s">
        <v>350</v>
      </c>
      <c r="I685" t="s">
        <v>548</v>
      </c>
      <c r="J685">
        <f t="shared" si="11"/>
        <v>3.25</v>
      </c>
      <c r="K685" t="s">
        <v>101</v>
      </c>
      <c r="L685">
        <v>3200</v>
      </c>
      <c r="M685">
        <f t="shared" si="12"/>
        <v>6.25E-2</v>
      </c>
      <c r="N685" t="s">
        <v>122</v>
      </c>
      <c r="O685" t="s">
        <v>565</v>
      </c>
      <c r="Q685" s="1" t="s">
        <v>2281</v>
      </c>
      <c r="R685" s="1" t="s">
        <v>122</v>
      </c>
      <c r="S685" s="1" t="s">
        <v>2294</v>
      </c>
      <c r="X685" t="s">
        <v>161</v>
      </c>
      <c r="Y685" t="s">
        <v>2272</v>
      </c>
      <c r="Z685" t="s">
        <v>2272</v>
      </c>
      <c r="AA685" t="s">
        <v>2272</v>
      </c>
      <c r="AB685" t="s">
        <v>2272</v>
      </c>
      <c r="AC685" t="s">
        <v>162</v>
      </c>
      <c r="AD685" t="s">
        <v>2272</v>
      </c>
      <c r="AF685" t="s">
        <v>49</v>
      </c>
      <c r="AI685" t="s">
        <v>49</v>
      </c>
      <c r="AM685" t="s">
        <v>201</v>
      </c>
      <c r="AN685" t="s">
        <v>109</v>
      </c>
      <c r="AO685" t="s">
        <v>566</v>
      </c>
      <c r="AP685" t="s">
        <v>49</v>
      </c>
    </row>
    <row r="686" spans="1:42" x14ac:dyDescent="0.2">
      <c r="A686" t="s">
        <v>545</v>
      </c>
      <c r="B686" t="s">
        <v>546</v>
      </c>
      <c r="C686">
        <v>2021</v>
      </c>
      <c r="D686" t="s">
        <v>44</v>
      </c>
      <c r="E686" t="s">
        <v>49</v>
      </c>
      <c r="F686" t="s">
        <v>83</v>
      </c>
      <c r="G686" t="s">
        <v>547</v>
      </c>
      <c r="H686" t="s">
        <v>350</v>
      </c>
      <c r="I686" t="s">
        <v>548</v>
      </c>
      <c r="J686">
        <f>(3*12+3)/12</f>
        <v>3.25</v>
      </c>
      <c r="K686" t="s">
        <v>101</v>
      </c>
      <c r="L686">
        <v>3200</v>
      </c>
      <c r="M686">
        <f>0.25*0.25</f>
        <v>6.25E-2</v>
      </c>
      <c r="N686" t="s">
        <v>132</v>
      </c>
      <c r="O686" t="s">
        <v>549</v>
      </c>
      <c r="Q686" s="1" t="s">
        <v>2276</v>
      </c>
      <c r="R686" s="1" t="s">
        <v>669</v>
      </c>
      <c r="S686" s="1" t="s">
        <v>168</v>
      </c>
      <c r="T686" t="s">
        <v>396</v>
      </c>
      <c r="X686" t="s">
        <v>567</v>
      </c>
      <c r="Y686" t="s">
        <v>2273</v>
      </c>
      <c r="Z686" t="s">
        <v>249</v>
      </c>
      <c r="AA686" t="s">
        <v>2359</v>
      </c>
      <c r="AB686" t="s">
        <v>1419</v>
      </c>
      <c r="AC686" t="s">
        <v>152</v>
      </c>
      <c r="AD686" t="s">
        <v>137</v>
      </c>
      <c r="AE686" t="s">
        <v>570</v>
      </c>
    </row>
    <row r="687" spans="1:42" x14ac:dyDescent="0.2">
      <c r="A687" t="s">
        <v>545</v>
      </c>
      <c r="B687" t="s">
        <v>546</v>
      </c>
      <c r="C687">
        <v>2021</v>
      </c>
      <c r="D687" t="s">
        <v>44</v>
      </c>
      <c r="E687" t="s">
        <v>49</v>
      </c>
      <c r="F687" t="s">
        <v>83</v>
      </c>
      <c r="G687" t="s">
        <v>547</v>
      </c>
      <c r="H687" t="s">
        <v>350</v>
      </c>
      <c r="I687" t="s">
        <v>548</v>
      </c>
      <c r="J687">
        <f t="shared" si="11"/>
        <v>3.25</v>
      </c>
      <c r="K687" t="s">
        <v>101</v>
      </c>
      <c r="L687">
        <v>3200</v>
      </c>
      <c r="M687">
        <f t="shared" si="12"/>
        <v>6.25E-2</v>
      </c>
      <c r="N687" t="s">
        <v>120</v>
      </c>
      <c r="O687" t="s">
        <v>550</v>
      </c>
      <c r="Q687" s="1" t="s">
        <v>2276</v>
      </c>
      <c r="R687" s="1" t="s">
        <v>669</v>
      </c>
      <c r="S687" s="1" t="s">
        <v>168</v>
      </c>
      <c r="T687" t="s">
        <v>396</v>
      </c>
      <c r="X687" t="s">
        <v>567</v>
      </c>
      <c r="Y687" t="s">
        <v>2273</v>
      </c>
      <c r="Z687" t="s">
        <v>249</v>
      </c>
      <c r="AA687" t="s">
        <v>2359</v>
      </c>
      <c r="AB687" t="s">
        <v>1419</v>
      </c>
      <c r="AC687" t="s">
        <v>152</v>
      </c>
      <c r="AD687" t="s">
        <v>137</v>
      </c>
      <c r="AE687" t="s">
        <v>570</v>
      </c>
    </row>
    <row r="688" spans="1:42" x14ac:dyDescent="0.2">
      <c r="A688" t="s">
        <v>545</v>
      </c>
      <c r="B688" t="s">
        <v>546</v>
      </c>
      <c r="C688">
        <v>2021</v>
      </c>
      <c r="D688" t="s">
        <v>44</v>
      </c>
      <c r="E688" t="s">
        <v>49</v>
      </c>
      <c r="F688" t="s">
        <v>83</v>
      </c>
      <c r="G688" t="s">
        <v>547</v>
      </c>
      <c r="H688" t="s">
        <v>350</v>
      </c>
      <c r="I688" t="s">
        <v>548</v>
      </c>
      <c r="J688">
        <f t="shared" si="11"/>
        <v>3.25</v>
      </c>
      <c r="K688" t="s">
        <v>101</v>
      </c>
      <c r="L688">
        <v>3200</v>
      </c>
      <c r="M688">
        <f t="shared" si="12"/>
        <v>6.25E-2</v>
      </c>
      <c r="N688" t="s">
        <v>128</v>
      </c>
      <c r="O688" t="s">
        <v>551</v>
      </c>
      <c r="Q688" s="1" t="s">
        <v>2276</v>
      </c>
      <c r="R688" s="1" t="s">
        <v>669</v>
      </c>
      <c r="S688" s="1" t="s">
        <v>2348</v>
      </c>
      <c r="T688" t="s">
        <v>396</v>
      </c>
      <c r="X688" t="s">
        <v>567</v>
      </c>
      <c r="Y688" t="s">
        <v>2273</v>
      </c>
      <c r="Z688" t="s">
        <v>249</v>
      </c>
      <c r="AA688" t="s">
        <v>2359</v>
      </c>
      <c r="AB688" t="s">
        <v>1419</v>
      </c>
      <c r="AC688" t="s">
        <v>152</v>
      </c>
      <c r="AD688" t="s">
        <v>137</v>
      </c>
      <c r="AE688" t="s">
        <v>570</v>
      </c>
    </row>
    <row r="689" spans="1:31" x14ac:dyDescent="0.2">
      <c r="A689" t="s">
        <v>545</v>
      </c>
      <c r="B689" t="s">
        <v>546</v>
      </c>
      <c r="C689">
        <v>2021</v>
      </c>
      <c r="D689" t="s">
        <v>44</v>
      </c>
      <c r="E689" t="s">
        <v>49</v>
      </c>
      <c r="F689" t="s">
        <v>83</v>
      </c>
      <c r="G689" t="s">
        <v>547</v>
      </c>
      <c r="H689" t="s">
        <v>350</v>
      </c>
      <c r="I689" t="s">
        <v>548</v>
      </c>
      <c r="J689">
        <f t="shared" si="11"/>
        <v>3.25</v>
      </c>
      <c r="K689" t="s">
        <v>101</v>
      </c>
      <c r="L689">
        <v>3200</v>
      </c>
      <c r="M689">
        <f t="shared" si="12"/>
        <v>6.25E-2</v>
      </c>
      <c r="N689" t="s">
        <v>128</v>
      </c>
      <c r="O689" t="s">
        <v>552</v>
      </c>
      <c r="Q689" s="1" t="s">
        <v>2276</v>
      </c>
      <c r="R689" s="1" t="s">
        <v>755</v>
      </c>
      <c r="S689" s="1" t="s">
        <v>2352</v>
      </c>
      <c r="T689" t="s">
        <v>396</v>
      </c>
      <c r="X689" t="s">
        <v>567</v>
      </c>
      <c r="Y689" t="s">
        <v>2273</v>
      </c>
      <c r="Z689" t="s">
        <v>249</v>
      </c>
      <c r="AA689" t="s">
        <v>2359</v>
      </c>
      <c r="AB689" t="s">
        <v>1419</v>
      </c>
      <c r="AC689" t="s">
        <v>152</v>
      </c>
      <c r="AD689" t="s">
        <v>137</v>
      </c>
      <c r="AE689" t="s">
        <v>570</v>
      </c>
    </row>
    <row r="690" spans="1:31" x14ac:dyDescent="0.2">
      <c r="A690" t="s">
        <v>545</v>
      </c>
      <c r="B690" t="s">
        <v>546</v>
      </c>
      <c r="C690">
        <v>2021</v>
      </c>
      <c r="D690" t="s">
        <v>44</v>
      </c>
      <c r="E690" t="s">
        <v>49</v>
      </c>
      <c r="F690" t="s">
        <v>83</v>
      </c>
      <c r="G690" t="s">
        <v>547</v>
      </c>
      <c r="H690" t="s">
        <v>350</v>
      </c>
      <c r="I690" t="s">
        <v>548</v>
      </c>
      <c r="J690">
        <f t="shared" si="11"/>
        <v>3.25</v>
      </c>
      <c r="K690" t="s">
        <v>101</v>
      </c>
      <c r="L690">
        <v>3200</v>
      </c>
      <c r="M690">
        <f t="shared" si="12"/>
        <v>6.25E-2</v>
      </c>
      <c r="N690" t="s">
        <v>128</v>
      </c>
      <c r="O690" t="s">
        <v>553</v>
      </c>
      <c r="Q690" s="1" t="s">
        <v>2276</v>
      </c>
      <c r="R690" s="1" t="s">
        <v>755</v>
      </c>
      <c r="S690" s="1" t="s">
        <v>2352</v>
      </c>
      <c r="T690" t="s">
        <v>396</v>
      </c>
      <c r="X690" t="s">
        <v>567</v>
      </c>
      <c r="Y690" t="s">
        <v>2273</v>
      </c>
      <c r="Z690" t="s">
        <v>249</v>
      </c>
      <c r="AA690" t="s">
        <v>2359</v>
      </c>
      <c r="AB690" t="s">
        <v>1419</v>
      </c>
      <c r="AC690" t="s">
        <v>152</v>
      </c>
      <c r="AD690" t="s">
        <v>137</v>
      </c>
      <c r="AE690" t="s">
        <v>570</v>
      </c>
    </row>
    <row r="691" spans="1:31" x14ac:dyDescent="0.2">
      <c r="A691" t="s">
        <v>545</v>
      </c>
      <c r="B691" t="s">
        <v>546</v>
      </c>
      <c r="C691">
        <v>2021</v>
      </c>
      <c r="D691" t="s">
        <v>44</v>
      </c>
      <c r="E691" t="s">
        <v>49</v>
      </c>
      <c r="F691" t="s">
        <v>83</v>
      </c>
      <c r="G691" t="s">
        <v>547</v>
      </c>
      <c r="H691" t="s">
        <v>350</v>
      </c>
      <c r="I691" t="s">
        <v>548</v>
      </c>
      <c r="J691">
        <f t="shared" si="11"/>
        <v>3.25</v>
      </c>
      <c r="K691" t="s">
        <v>101</v>
      </c>
      <c r="L691">
        <v>3200</v>
      </c>
      <c r="M691">
        <f t="shared" si="12"/>
        <v>6.25E-2</v>
      </c>
      <c r="N691" t="s">
        <v>128</v>
      </c>
      <c r="O691" t="s">
        <v>554</v>
      </c>
      <c r="Q691" s="1" t="s">
        <v>2276</v>
      </c>
      <c r="R691" s="1" t="s">
        <v>751</v>
      </c>
      <c r="S691" s="1" t="s">
        <v>2353</v>
      </c>
      <c r="T691" t="s">
        <v>396</v>
      </c>
      <c r="X691" t="s">
        <v>567</v>
      </c>
      <c r="Y691" t="s">
        <v>2273</v>
      </c>
      <c r="Z691" t="s">
        <v>249</v>
      </c>
      <c r="AA691" t="s">
        <v>2359</v>
      </c>
      <c r="AB691" t="s">
        <v>1419</v>
      </c>
      <c r="AC691" t="s">
        <v>152</v>
      </c>
      <c r="AD691" t="s">
        <v>137</v>
      </c>
      <c r="AE691" t="s">
        <v>570</v>
      </c>
    </row>
    <row r="692" spans="1:31" x14ac:dyDescent="0.2">
      <c r="A692" t="s">
        <v>545</v>
      </c>
      <c r="B692" t="s">
        <v>546</v>
      </c>
      <c r="C692">
        <v>2021</v>
      </c>
      <c r="D692" t="s">
        <v>44</v>
      </c>
      <c r="E692" t="s">
        <v>49</v>
      </c>
      <c r="F692" t="s">
        <v>83</v>
      </c>
      <c r="G692" t="s">
        <v>547</v>
      </c>
      <c r="H692" t="s">
        <v>350</v>
      </c>
      <c r="I692" t="s">
        <v>548</v>
      </c>
      <c r="J692">
        <f t="shared" si="11"/>
        <v>3.25</v>
      </c>
      <c r="K692" t="s">
        <v>101</v>
      </c>
      <c r="L692">
        <v>3200</v>
      </c>
      <c r="M692">
        <f t="shared" si="12"/>
        <v>6.25E-2</v>
      </c>
      <c r="N692" t="s">
        <v>128</v>
      </c>
      <c r="O692" t="s">
        <v>555</v>
      </c>
      <c r="Q692" s="1" t="s">
        <v>2276</v>
      </c>
      <c r="R692" s="1" t="s">
        <v>2284</v>
      </c>
      <c r="S692" s="1" t="s">
        <v>290</v>
      </c>
      <c r="T692" t="s">
        <v>396</v>
      </c>
      <c r="X692" t="s">
        <v>567</v>
      </c>
      <c r="Y692" t="s">
        <v>2273</v>
      </c>
      <c r="Z692" t="s">
        <v>249</v>
      </c>
      <c r="AA692" t="s">
        <v>2359</v>
      </c>
      <c r="AB692" t="s">
        <v>1419</v>
      </c>
      <c r="AC692" t="s">
        <v>152</v>
      </c>
      <c r="AD692" t="s">
        <v>137</v>
      </c>
      <c r="AE692" t="s">
        <v>570</v>
      </c>
    </row>
    <row r="693" spans="1:31" x14ac:dyDescent="0.2">
      <c r="A693" t="s">
        <v>545</v>
      </c>
      <c r="B693" t="s">
        <v>546</v>
      </c>
      <c r="C693">
        <v>2021</v>
      </c>
      <c r="D693" t="s">
        <v>44</v>
      </c>
      <c r="E693" t="s">
        <v>49</v>
      </c>
      <c r="F693" t="s">
        <v>83</v>
      </c>
      <c r="G693" t="s">
        <v>547</v>
      </c>
      <c r="H693" t="s">
        <v>350</v>
      </c>
      <c r="I693" t="s">
        <v>548</v>
      </c>
      <c r="J693">
        <f t="shared" si="11"/>
        <v>3.25</v>
      </c>
      <c r="K693" t="s">
        <v>101</v>
      </c>
      <c r="L693">
        <v>3200</v>
      </c>
      <c r="M693">
        <f t="shared" si="12"/>
        <v>6.25E-2</v>
      </c>
      <c r="N693" t="s">
        <v>128</v>
      </c>
      <c r="O693" t="s">
        <v>556</v>
      </c>
      <c r="Q693" s="1" t="s">
        <v>2276</v>
      </c>
      <c r="R693" s="1" t="s">
        <v>755</v>
      </c>
      <c r="S693" s="1" t="s">
        <v>2352</v>
      </c>
      <c r="T693" t="s">
        <v>396</v>
      </c>
      <c r="X693" t="s">
        <v>567</v>
      </c>
      <c r="Y693" t="s">
        <v>2273</v>
      </c>
      <c r="Z693" t="s">
        <v>249</v>
      </c>
      <c r="AA693" t="s">
        <v>2359</v>
      </c>
      <c r="AB693" t="s">
        <v>1419</v>
      </c>
      <c r="AC693" t="s">
        <v>152</v>
      </c>
      <c r="AD693" t="s">
        <v>137</v>
      </c>
      <c r="AE693" t="s">
        <v>570</v>
      </c>
    </row>
    <row r="694" spans="1:31" x14ac:dyDescent="0.2">
      <c r="A694" t="s">
        <v>545</v>
      </c>
      <c r="B694" t="s">
        <v>546</v>
      </c>
      <c r="C694">
        <v>2021</v>
      </c>
      <c r="D694" t="s">
        <v>44</v>
      </c>
      <c r="E694" t="s">
        <v>49</v>
      </c>
      <c r="F694" t="s">
        <v>83</v>
      </c>
      <c r="G694" t="s">
        <v>547</v>
      </c>
      <c r="H694" t="s">
        <v>350</v>
      </c>
      <c r="I694" t="s">
        <v>548</v>
      </c>
      <c r="J694">
        <f t="shared" si="11"/>
        <v>3.25</v>
      </c>
      <c r="K694" t="s">
        <v>101</v>
      </c>
      <c r="L694">
        <v>3200</v>
      </c>
      <c r="M694">
        <f t="shared" si="12"/>
        <v>6.25E-2</v>
      </c>
      <c r="N694" t="s">
        <v>129</v>
      </c>
      <c r="O694" t="s">
        <v>557</v>
      </c>
      <c r="Q694" s="1" t="s">
        <v>2276</v>
      </c>
      <c r="R694" s="1" t="s">
        <v>2350</v>
      </c>
      <c r="S694" s="1" t="s">
        <v>2350</v>
      </c>
      <c r="T694" t="s">
        <v>396</v>
      </c>
      <c r="X694" t="s">
        <v>567</v>
      </c>
      <c r="Y694" t="s">
        <v>2273</v>
      </c>
      <c r="Z694" t="s">
        <v>249</v>
      </c>
      <c r="AA694" t="s">
        <v>2359</v>
      </c>
      <c r="AB694" t="s">
        <v>1419</v>
      </c>
      <c r="AC694" t="s">
        <v>152</v>
      </c>
      <c r="AD694" t="s">
        <v>137</v>
      </c>
      <c r="AE694" t="s">
        <v>570</v>
      </c>
    </row>
    <row r="695" spans="1:31" x14ac:dyDescent="0.2">
      <c r="A695" t="s">
        <v>545</v>
      </c>
      <c r="B695" t="s">
        <v>546</v>
      </c>
      <c r="C695">
        <v>2021</v>
      </c>
      <c r="D695" t="s">
        <v>44</v>
      </c>
      <c r="E695" t="s">
        <v>49</v>
      </c>
      <c r="F695" t="s">
        <v>83</v>
      </c>
      <c r="G695" t="s">
        <v>547</v>
      </c>
      <c r="H695" t="s">
        <v>350</v>
      </c>
      <c r="I695" t="s">
        <v>548</v>
      </c>
      <c r="J695">
        <f t="shared" si="11"/>
        <v>3.25</v>
      </c>
      <c r="K695" t="s">
        <v>101</v>
      </c>
      <c r="L695">
        <v>3200</v>
      </c>
      <c r="M695">
        <f t="shared" si="12"/>
        <v>6.25E-2</v>
      </c>
      <c r="N695" t="s">
        <v>122</v>
      </c>
      <c r="O695" t="s">
        <v>247</v>
      </c>
      <c r="Q695" s="1" t="s">
        <v>2281</v>
      </c>
      <c r="R695" s="1" t="s">
        <v>122</v>
      </c>
      <c r="S695" s="1" t="s">
        <v>2293</v>
      </c>
      <c r="T695" t="s">
        <v>396</v>
      </c>
      <c r="X695" t="s">
        <v>567</v>
      </c>
      <c r="Y695" t="s">
        <v>2273</v>
      </c>
      <c r="Z695" t="s">
        <v>249</v>
      </c>
      <c r="AA695" t="s">
        <v>2359</v>
      </c>
      <c r="AB695" t="s">
        <v>1419</v>
      </c>
      <c r="AC695" t="s">
        <v>152</v>
      </c>
      <c r="AD695" t="s">
        <v>137</v>
      </c>
      <c r="AE695" t="s">
        <v>570</v>
      </c>
    </row>
    <row r="696" spans="1:31" x14ac:dyDescent="0.2">
      <c r="A696" t="s">
        <v>545</v>
      </c>
      <c r="B696" t="s">
        <v>546</v>
      </c>
      <c r="C696">
        <v>2021</v>
      </c>
      <c r="D696" t="s">
        <v>44</v>
      </c>
      <c r="E696" t="s">
        <v>49</v>
      </c>
      <c r="F696" t="s">
        <v>83</v>
      </c>
      <c r="G696" t="s">
        <v>547</v>
      </c>
      <c r="H696" t="s">
        <v>350</v>
      </c>
      <c r="I696" t="s">
        <v>548</v>
      </c>
      <c r="J696">
        <f t="shared" si="11"/>
        <v>3.25</v>
      </c>
      <c r="K696" t="s">
        <v>101</v>
      </c>
      <c r="L696">
        <v>3200</v>
      </c>
      <c r="M696">
        <f t="shared" si="12"/>
        <v>6.25E-2</v>
      </c>
      <c r="N696" t="s">
        <v>131</v>
      </c>
      <c r="O696" t="s">
        <v>558</v>
      </c>
      <c r="Q696" s="1" t="s">
        <v>2281</v>
      </c>
      <c r="R696" s="1" t="s">
        <v>2295</v>
      </c>
      <c r="S696" s="1" t="s">
        <v>2295</v>
      </c>
      <c r="T696" t="s">
        <v>396</v>
      </c>
      <c r="X696" t="s">
        <v>567</v>
      </c>
      <c r="Y696" t="s">
        <v>2273</v>
      </c>
      <c r="Z696" t="s">
        <v>249</v>
      </c>
      <c r="AA696" t="s">
        <v>2359</v>
      </c>
      <c r="AB696" t="s">
        <v>1419</v>
      </c>
      <c r="AC696" t="s">
        <v>152</v>
      </c>
      <c r="AD696" t="s">
        <v>137</v>
      </c>
      <c r="AE696" t="s">
        <v>570</v>
      </c>
    </row>
    <row r="697" spans="1:31" x14ac:dyDescent="0.2">
      <c r="A697" t="s">
        <v>545</v>
      </c>
      <c r="B697" t="s">
        <v>546</v>
      </c>
      <c r="C697">
        <v>2021</v>
      </c>
      <c r="D697" t="s">
        <v>44</v>
      </c>
      <c r="E697" t="s">
        <v>49</v>
      </c>
      <c r="F697" t="s">
        <v>83</v>
      </c>
      <c r="G697" t="s">
        <v>547</v>
      </c>
      <c r="H697" t="s">
        <v>350</v>
      </c>
      <c r="I697" t="s">
        <v>548</v>
      </c>
      <c r="J697">
        <f t="shared" si="11"/>
        <v>3.25</v>
      </c>
      <c r="K697" t="s">
        <v>101</v>
      </c>
      <c r="L697">
        <v>3200</v>
      </c>
      <c r="M697">
        <f t="shared" si="12"/>
        <v>6.25E-2</v>
      </c>
      <c r="N697" t="s">
        <v>131</v>
      </c>
      <c r="O697" t="s">
        <v>559</v>
      </c>
      <c r="Q697" s="1" t="s">
        <v>2281</v>
      </c>
      <c r="R697" s="1" t="s">
        <v>2295</v>
      </c>
      <c r="S697" s="1" t="s">
        <v>2295</v>
      </c>
      <c r="T697" t="s">
        <v>396</v>
      </c>
      <c r="X697" t="s">
        <v>567</v>
      </c>
      <c r="Y697" t="s">
        <v>2273</v>
      </c>
      <c r="Z697" t="s">
        <v>249</v>
      </c>
      <c r="AA697" t="s">
        <v>2359</v>
      </c>
      <c r="AB697" t="s">
        <v>1419</v>
      </c>
      <c r="AC697" t="s">
        <v>152</v>
      </c>
      <c r="AD697" t="s">
        <v>137</v>
      </c>
      <c r="AE697" t="s">
        <v>570</v>
      </c>
    </row>
    <row r="698" spans="1:31" x14ac:dyDescent="0.2">
      <c r="A698" t="s">
        <v>545</v>
      </c>
      <c r="B698" t="s">
        <v>546</v>
      </c>
      <c r="C698">
        <v>2021</v>
      </c>
      <c r="D698" t="s">
        <v>44</v>
      </c>
      <c r="E698" t="s">
        <v>49</v>
      </c>
      <c r="F698" t="s">
        <v>83</v>
      </c>
      <c r="G698" t="s">
        <v>547</v>
      </c>
      <c r="H698" t="s">
        <v>350</v>
      </c>
      <c r="I698" t="s">
        <v>548</v>
      </c>
      <c r="J698">
        <f t="shared" si="11"/>
        <v>3.25</v>
      </c>
      <c r="K698" t="s">
        <v>101</v>
      </c>
      <c r="L698">
        <v>3200</v>
      </c>
      <c r="M698">
        <f t="shared" si="12"/>
        <v>6.25E-2</v>
      </c>
      <c r="N698" t="s">
        <v>122</v>
      </c>
      <c r="O698" t="s">
        <v>560</v>
      </c>
      <c r="Q698" s="1" t="s">
        <v>2281</v>
      </c>
      <c r="R698" s="1" t="s">
        <v>122</v>
      </c>
      <c r="S698" s="1" t="s">
        <v>2293</v>
      </c>
      <c r="T698" t="s">
        <v>396</v>
      </c>
      <c r="X698" t="s">
        <v>567</v>
      </c>
      <c r="Y698" t="s">
        <v>2273</v>
      </c>
      <c r="Z698" t="s">
        <v>249</v>
      </c>
      <c r="AA698" t="s">
        <v>2359</v>
      </c>
      <c r="AB698" t="s">
        <v>1419</v>
      </c>
      <c r="AC698" t="s">
        <v>152</v>
      </c>
      <c r="AD698" t="s">
        <v>137</v>
      </c>
      <c r="AE698" t="s">
        <v>570</v>
      </c>
    </row>
    <row r="699" spans="1:31" x14ac:dyDescent="0.2">
      <c r="A699" t="s">
        <v>545</v>
      </c>
      <c r="B699" t="s">
        <v>546</v>
      </c>
      <c r="C699">
        <v>2021</v>
      </c>
      <c r="D699" t="s">
        <v>44</v>
      </c>
      <c r="E699" t="s">
        <v>49</v>
      </c>
      <c r="F699" t="s">
        <v>83</v>
      </c>
      <c r="G699" t="s">
        <v>547</v>
      </c>
      <c r="H699" t="s">
        <v>350</v>
      </c>
      <c r="I699" t="s">
        <v>548</v>
      </c>
      <c r="J699">
        <f t="shared" si="11"/>
        <v>3.25</v>
      </c>
      <c r="K699" t="s">
        <v>101</v>
      </c>
      <c r="L699">
        <v>3200</v>
      </c>
      <c r="M699">
        <f t="shared" si="12"/>
        <v>6.25E-2</v>
      </c>
      <c r="N699" t="s">
        <v>122</v>
      </c>
      <c r="O699" t="s">
        <v>561</v>
      </c>
      <c r="Q699" s="1" t="s">
        <v>2281</v>
      </c>
      <c r="R699" s="1" t="s">
        <v>122</v>
      </c>
      <c r="S699" s="1" t="s">
        <v>2294</v>
      </c>
      <c r="T699" t="s">
        <v>396</v>
      </c>
      <c r="X699" t="s">
        <v>567</v>
      </c>
      <c r="Y699" t="s">
        <v>2273</v>
      </c>
      <c r="Z699" t="s">
        <v>249</v>
      </c>
      <c r="AA699" t="s">
        <v>2359</v>
      </c>
      <c r="AB699" t="s">
        <v>1419</v>
      </c>
      <c r="AC699" t="s">
        <v>152</v>
      </c>
      <c r="AD699" t="s">
        <v>137</v>
      </c>
      <c r="AE699" t="s">
        <v>570</v>
      </c>
    </row>
    <row r="700" spans="1:31" x14ac:dyDescent="0.2">
      <c r="A700" t="s">
        <v>545</v>
      </c>
      <c r="B700" t="s">
        <v>546</v>
      </c>
      <c r="C700">
        <v>2021</v>
      </c>
      <c r="D700" t="s">
        <v>44</v>
      </c>
      <c r="E700" t="s">
        <v>49</v>
      </c>
      <c r="F700" t="s">
        <v>83</v>
      </c>
      <c r="G700" t="s">
        <v>547</v>
      </c>
      <c r="H700" t="s">
        <v>350</v>
      </c>
      <c r="I700" t="s">
        <v>548</v>
      </c>
      <c r="J700">
        <f t="shared" si="11"/>
        <v>3.25</v>
      </c>
      <c r="K700" t="s">
        <v>101</v>
      </c>
      <c r="L700">
        <v>3200</v>
      </c>
      <c r="M700">
        <f t="shared" si="12"/>
        <v>6.25E-2</v>
      </c>
      <c r="N700" t="s">
        <v>122</v>
      </c>
      <c r="O700" t="s">
        <v>562</v>
      </c>
      <c r="Q700" s="1" t="s">
        <v>2281</v>
      </c>
      <c r="R700" s="1" t="s">
        <v>122</v>
      </c>
      <c r="S700" s="1" t="s">
        <v>2294</v>
      </c>
      <c r="T700" t="s">
        <v>396</v>
      </c>
      <c r="X700" t="s">
        <v>567</v>
      </c>
      <c r="Y700" t="s">
        <v>2273</v>
      </c>
      <c r="Z700" t="s">
        <v>249</v>
      </c>
      <c r="AA700" t="s">
        <v>2359</v>
      </c>
      <c r="AB700" t="s">
        <v>1419</v>
      </c>
      <c r="AC700" t="s">
        <v>152</v>
      </c>
      <c r="AD700" t="s">
        <v>137</v>
      </c>
      <c r="AE700" t="s">
        <v>570</v>
      </c>
    </row>
    <row r="701" spans="1:31" x14ac:dyDescent="0.2">
      <c r="A701" t="s">
        <v>545</v>
      </c>
      <c r="B701" t="s">
        <v>546</v>
      </c>
      <c r="C701">
        <v>2021</v>
      </c>
      <c r="D701" t="s">
        <v>44</v>
      </c>
      <c r="E701" t="s">
        <v>49</v>
      </c>
      <c r="F701" t="s">
        <v>83</v>
      </c>
      <c r="G701" t="s">
        <v>547</v>
      </c>
      <c r="H701" t="s">
        <v>350</v>
      </c>
      <c r="I701" t="s">
        <v>548</v>
      </c>
      <c r="J701">
        <f t="shared" si="11"/>
        <v>3.25</v>
      </c>
      <c r="K701" t="s">
        <v>101</v>
      </c>
      <c r="L701">
        <v>3200</v>
      </c>
      <c r="M701">
        <f t="shared" si="12"/>
        <v>6.25E-2</v>
      </c>
      <c r="N701" t="s">
        <v>122</v>
      </c>
      <c r="O701" t="s">
        <v>563</v>
      </c>
      <c r="Q701" s="1" t="s">
        <v>2281</v>
      </c>
      <c r="R701" s="1" t="s">
        <v>122</v>
      </c>
      <c r="S701" s="1" t="s">
        <v>2294</v>
      </c>
      <c r="T701" t="s">
        <v>396</v>
      </c>
      <c r="X701" t="s">
        <v>567</v>
      </c>
      <c r="Y701" t="s">
        <v>2273</v>
      </c>
      <c r="Z701" t="s">
        <v>249</v>
      </c>
      <c r="AA701" t="s">
        <v>2359</v>
      </c>
      <c r="AB701" t="s">
        <v>1419</v>
      </c>
      <c r="AC701" t="s">
        <v>152</v>
      </c>
      <c r="AD701" t="s">
        <v>137</v>
      </c>
      <c r="AE701" t="s">
        <v>570</v>
      </c>
    </row>
    <row r="702" spans="1:31" x14ac:dyDescent="0.2">
      <c r="A702" t="s">
        <v>545</v>
      </c>
      <c r="B702" t="s">
        <v>546</v>
      </c>
      <c r="C702">
        <v>2021</v>
      </c>
      <c r="D702" t="s">
        <v>44</v>
      </c>
      <c r="E702" t="s">
        <v>49</v>
      </c>
      <c r="F702" t="s">
        <v>83</v>
      </c>
      <c r="G702" t="s">
        <v>547</v>
      </c>
      <c r="H702" t="s">
        <v>350</v>
      </c>
      <c r="I702" t="s">
        <v>548</v>
      </c>
      <c r="J702">
        <f t="shared" si="11"/>
        <v>3.25</v>
      </c>
      <c r="K702" t="s">
        <v>101</v>
      </c>
      <c r="L702">
        <v>3200</v>
      </c>
      <c r="M702">
        <f t="shared" si="12"/>
        <v>6.25E-2</v>
      </c>
      <c r="N702" t="s">
        <v>122</v>
      </c>
      <c r="O702" t="s">
        <v>564</v>
      </c>
      <c r="Q702" s="1" t="s">
        <v>2281</v>
      </c>
      <c r="R702" s="1" t="s">
        <v>122</v>
      </c>
      <c r="S702" s="1" t="s">
        <v>2294</v>
      </c>
      <c r="T702" t="s">
        <v>396</v>
      </c>
      <c r="X702" t="s">
        <v>567</v>
      </c>
      <c r="Y702" t="s">
        <v>2273</v>
      </c>
      <c r="Z702" t="s">
        <v>249</v>
      </c>
      <c r="AA702" t="s">
        <v>2359</v>
      </c>
      <c r="AB702" t="s">
        <v>1419</v>
      </c>
      <c r="AC702" t="s">
        <v>152</v>
      </c>
      <c r="AD702" t="s">
        <v>137</v>
      </c>
      <c r="AE702" t="s">
        <v>570</v>
      </c>
    </row>
    <row r="703" spans="1:31" x14ac:dyDescent="0.2">
      <c r="A703" t="s">
        <v>545</v>
      </c>
      <c r="B703" t="s">
        <v>546</v>
      </c>
      <c r="C703">
        <v>2021</v>
      </c>
      <c r="D703" t="s">
        <v>44</v>
      </c>
      <c r="E703" t="s">
        <v>49</v>
      </c>
      <c r="F703" t="s">
        <v>83</v>
      </c>
      <c r="G703" t="s">
        <v>547</v>
      </c>
      <c r="H703" t="s">
        <v>350</v>
      </c>
      <c r="I703" t="s">
        <v>548</v>
      </c>
      <c r="J703">
        <f t="shared" si="11"/>
        <v>3.25</v>
      </c>
      <c r="K703" t="s">
        <v>101</v>
      </c>
      <c r="L703">
        <v>3200</v>
      </c>
      <c r="M703">
        <f t="shared" si="12"/>
        <v>6.25E-2</v>
      </c>
      <c r="N703" t="s">
        <v>122</v>
      </c>
      <c r="O703" t="s">
        <v>565</v>
      </c>
      <c r="Q703" s="1" t="s">
        <v>2281</v>
      </c>
      <c r="R703" s="1" t="s">
        <v>122</v>
      </c>
      <c r="S703" s="1" t="s">
        <v>2294</v>
      </c>
      <c r="T703" t="s">
        <v>396</v>
      </c>
      <c r="X703" t="s">
        <v>567</v>
      </c>
      <c r="Y703" t="s">
        <v>2273</v>
      </c>
      <c r="Z703" t="s">
        <v>249</v>
      </c>
      <c r="AA703" t="s">
        <v>2359</v>
      </c>
      <c r="AB703" t="s">
        <v>1419</v>
      </c>
      <c r="AC703" t="s">
        <v>152</v>
      </c>
      <c r="AD703" t="s">
        <v>137</v>
      </c>
      <c r="AE703" t="s">
        <v>570</v>
      </c>
    </row>
    <row r="704" spans="1:31" x14ac:dyDescent="0.2">
      <c r="A704" t="s">
        <v>545</v>
      </c>
      <c r="B704" t="s">
        <v>546</v>
      </c>
      <c r="C704">
        <v>2021</v>
      </c>
      <c r="D704" t="s">
        <v>44</v>
      </c>
      <c r="E704" t="s">
        <v>49</v>
      </c>
      <c r="F704" t="s">
        <v>83</v>
      </c>
      <c r="G704" t="s">
        <v>547</v>
      </c>
      <c r="H704" t="s">
        <v>350</v>
      </c>
      <c r="I704" t="s">
        <v>548</v>
      </c>
      <c r="J704">
        <f>(3*12+3)/12</f>
        <v>3.25</v>
      </c>
      <c r="K704" t="s">
        <v>101</v>
      </c>
      <c r="L704">
        <v>3200</v>
      </c>
      <c r="M704">
        <f>0.25*0.25</f>
        <v>6.25E-2</v>
      </c>
      <c r="N704" t="s">
        <v>132</v>
      </c>
      <c r="O704" t="s">
        <v>549</v>
      </c>
      <c r="Q704" s="1" t="s">
        <v>2276</v>
      </c>
      <c r="R704" s="1" t="s">
        <v>669</v>
      </c>
      <c r="S704" s="1" t="s">
        <v>168</v>
      </c>
      <c r="T704" t="s">
        <v>396</v>
      </c>
      <c r="X704" t="s">
        <v>568</v>
      </c>
      <c r="Y704" t="s">
        <v>2273</v>
      </c>
      <c r="Z704" t="s">
        <v>249</v>
      </c>
      <c r="AA704" t="s">
        <v>2274</v>
      </c>
      <c r="AB704" t="s">
        <v>2300</v>
      </c>
      <c r="AC704" t="s">
        <v>152</v>
      </c>
      <c r="AD704" t="s">
        <v>137</v>
      </c>
      <c r="AE704" t="s">
        <v>570</v>
      </c>
    </row>
    <row r="705" spans="1:31" x14ac:dyDescent="0.2">
      <c r="A705" t="s">
        <v>545</v>
      </c>
      <c r="B705" t="s">
        <v>546</v>
      </c>
      <c r="C705">
        <v>2021</v>
      </c>
      <c r="D705" t="s">
        <v>44</v>
      </c>
      <c r="E705" t="s">
        <v>49</v>
      </c>
      <c r="F705" t="s">
        <v>83</v>
      </c>
      <c r="G705" t="s">
        <v>547</v>
      </c>
      <c r="H705" t="s">
        <v>350</v>
      </c>
      <c r="I705" t="s">
        <v>548</v>
      </c>
      <c r="J705">
        <f t="shared" si="11"/>
        <v>3.25</v>
      </c>
      <c r="K705" t="s">
        <v>101</v>
      </c>
      <c r="L705">
        <v>3200</v>
      </c>
      <c r="M705">
        <f t="shared" si="12"/>
        <v>6.25E-2</v>
      </c>
      <c r="N705" t="s">
        <v>120</v>
      </c>
      <c r="O705" t="s">
        <v>550</v>
      </c>
      <c r="Q705" s="1" t="s">
        <v>2276</v>
      </c>
      <c r="R705" s="1" t="s">
        <v>669</v>
      </c>
      <c r="S705" s="1" t="s">
        <v>168</v>
      </c>
      <c r="T705" t="s">
        <v>396</v>
      </c>
      <c r="X705" t="s">
        <v>568</v>
      </c>
      <c r="Y705" t="s">
        <v>2273</v>
      </c>
      <c r="Z705" t="s">
        <v>249</v>
      </c>
      <c r="AA705" t="s">
        <v>2274</v>
      </c>
      <c r="AB705" t="s">
        <v>2300</v>
      </c>
      <c r="AC705" t="s">
        <v>152</v>
      </c>
      <c r="AD705" t="s">
        <v>137</v>
      </c>
      <c r="AE705" t="s">
        <v>570</v>
      </c>
    </row>
    <row r="706" spans="1:31" x14ac:dyDescent="0.2">
      <c r="A706" t="s">
        <v>545</v>
      </c>
      <c r="B706" t="s">
        <v>546</v>
      </c>
      <c r="C706">
        <v>2021</v>
      </c>
      <c r="D706" t="s">
        <v>44</v>
      </c>
      <c r="E706" t="s">
        <v>49</v>
      </c>
      <c r="F706" t="s">
        <v>83</v>
      </c>
      <c r="G706" t="s">
        <v>547</v>
      </c>
      <c r="H706" t="s">
        <v>350</v>
      </c>
      <c r="I706" t="s">
        <v>548</v>
      </c>
      <c r="J706">
        <f t="shared" si="11"/>
        <v>3.25</v>
      </c>
      <c r="K706" t="s">
        <v>101</v>
      </c>
      <c r="L706">
        <v>3200</v>
      </c>
      <c r="M706">
        <f t="shared" si="12"/>
        <v>6.25E-2</v>
      </c>
      <c r="N706" t="s">
        <v>128</v>
      </c>
      <c r="O706" t="s">
        <v>551</v>
      </c>
      <c r="Q706" s="1" t="s">
        <v>2276</v>
      </c>
      <c r="R706" s="1" t="s">
        <v>669</v>
      </c>
      <c r="S706" s="1" t="s">
        <v>2348</v>
      </c>
      <c r="T706" t="s">
        <v>396</v>
      </c>
      <c r="X706" t="s">
        <v>568</v>
      </c>
      <c r="Y706" t="s">
        <v>2273</v>
      </c>
      <c r="Z706" t="s">
        <v>249</v>
      </c>
      <c r="AA706" t="s">
        <v>2274</v>
      </c>
      <c r="AB706" t="s">
        <v>2300</v>
      </c>
      <c r="AC706" t="s">
        <v>152</v>
      </c>
      <c r="AD706" t="s">
        <v>137</v>
      </c>
      <c r="AE706" t="s">
        <v>570</v>
      </c>
    </row>
    <row r="707" spans="1:31" x14ac:dyDescent="0.2">
      <c r="A707" t="s">
        <v>545</v>
      </c>
      <c r="B707" t="s">
        <v>546</v>
      </c>
      <c r="C707">
        <v>2021</v>
      </c>
      <c r="D707" t="s">
        <v>44</v>
      </c>
      <c r="E707" t="s">
        <v>49</v>
      </c>
      <c r="F707" t="s">
        <v>83</v>
      </c>
      <c r="G707" t="s">
        <v>547</v>
      </c>
      <c r="H707" t="s">
        <v>350</v>
      </c>
      <c r="I707" t="s">
        <v>548</v>
      </c>
      <c r="J707">
        <f t="shared" si="11"/>
        <v>3.25</v>
      </c>
      <c r="K707" t="s">
        <v>101</v>
      </c>
      <c r="L707">
        <v>3200</v>
      </c>
      <c r="M707">
        <f t="shared" si="12"/>
        <v>6.25E-2</v>
      </c>
      <c r="N707" t="s">
        <v>128</v>
      </c>
      <c r="O707" t="s">
        <v>552</v>
      </c>
      <c r="Q707" s="1" t="s">
        <v>2276</v>
      </c>
      <c r="R707" s="1" t="s">
        <v>755</v>
      </c>
      <c r="S707" s="1" t="s">
        <v>2352</v>
      </c>
      <c r="T707" t="s">
        <v>396</v>
      </c>
      <c r="X707" t="s">
        <v>568</v>
      </c>
      <c r="Y707" t="s">
        <v>2273</v>
      </c>
      <c r="Z707" t="s">
        <v>249</v>
      </c>
      <c r="AA707" t="s">
        <v>2274</v>
      </c>
      <c r="AB707" t="s">
        <v>2300</v>
      </c>
      <c r="AC707" t="s">
        <v>152</v>
      </c>
      <c r="AD707" t="s">
        <v>137</v>
      </c>
      <c r="AE707" t="s">
        <v>570</v>
      </c>
    </row>
    <row r="708" spans="1:31" x14ac:dyDescent="0.2">
      <c r="A708" t="s">
        <v>545</v>
      </c>
      <c r="B708" t="s">
        <v>546</v>
      </c>
      <c r="C708">
        <v>2021</v>
      </c>
      <c r="D708" t="s">
        <v>44</v>
      </c>
      <c r="E708" t="s">
        <v>49</v>
      </c>
      <c r="F708" t="s">
        <v>83</v>
      </c>
      <c r="G708" t="s">
        <v>547</v>
      </c>
      <c r="H708" t="s">
        <v>350</v>
      </c>
      <c r="I708" t="s">
        <v>548</v>
      </c>
      <c r="J708">
        <f t="shared" si="11"/>
        <v>3.25</v>
      </c>
      <c r="K708" t="s">
        <v>101</v>
      </c>
      <c r="L708">
        <v>3200</v>
      </c>
      <c r="M708">
        <f t="shared" si="12"/>
        <v>6.25E-2</v>
      </c>
      <c r="N708" t="s">
        <v>128</v>
      </c>
      <c r="O708" t="s">
        <v>553</v>
      </c>
      <c r="Q708" s="1" t="s">
        <v>2276</v>
      </c>
      <c r="R708" s="1" t="s">
        <v>755</v>
      </c>
      <c r="S708" s="1" t="s">
        <v>2352</v>
      </c>
      <c r="T708" t="s">
        <v>396</v>
      </c>
      <c r="X708" t="s">
        <v>568</v>
      </c>
      <c r="Y708" t="s">
        <v>2273</v>
      </c>
      <c r="Z708" t="s">
        <v>249</v>
      </c>
      <c r="AA708" t="s">
        <v>2274</v>
      </c>
      <c r="AB708" t="s">
        <v>2300</v>
      </c>
      <c r="AC708" t="s">
        <v>152</v>
      </c>
      <c r="AD708" t="s">
        <v>137</v>
      </c>
      <c r="AE708" t="s">
        <v>570</v>
      </c>
    </row>
    <row r="709" spans="1:31" x14ac:dyDescent="0.2">
      <c r="A709" t="s">
        <v>545</v>
      </c>
      <c r="B709" t="s">
        <v>546</v>
      </c>
      <c r="C709">
        <v>2021</v>
      </c>
      <c r="D709" t="s">
        <v>44</v>
      </c>
      <c r="E709" t="s">
        <v>49</v>
      </c>
      <c r="F709" t="s">
        <v>83</v>
      </c>
      <c r="G709" t="s">
        <v>547</v>
      </c>
      <c r="H709" t="s">
        <v>350</v>
      </c>
      <c r="I709" t="s">
        <v>548</v>
      </c>
      <c r="J709">
        <f t="shared" ref="J709:J721" si="13">(3*12+3)/12</f>
        <v>3.25</v>
      </c>
      <c r="K709" t="s">
        <v>101</v>
      </c>
      <c r="L709">
        <v>3200</v>
      </c>
      <c r="M709">
        <f t="shared" ref="M709:M721" si="14">0.25*0.25</f>
        <v>6.25E-2</v>
      </c>
      <c r="N709" t="s">
        <v>128</v>
      </c>
      <c r="O709" t="s">
        <v>554</v>
      </c>
      <c r="Q709" s="1" t="s">
        <v>2276</v>
      </c>
      <c r="R709" s="1" t="s">
        <v>751</v>
      </c>
      <c r="S709" s="1" t="s">
        <v>2353</v>
      </c>
      <c r="T709" t="s">
        <v>396</v>
      </c>
      <c r="X709" t="s">
        <v>568</v>
      </c>
      <c r="Y709" t="s">
        <v>2273</v>
      </c>
      <c r="Z709" t="s">
        <v>249</v>
      </c>
      <c r="AA709" t="s">
        <v>2274</v>
      </c>
      <c r="AB709" t="s">
        <v>2300</v>
      </c>
      <c r="AC709" t="s">
        <v>152</v>
      </c>
      <c r="AD709" t="s">
        <v>137</v>
      </c>
      <c r="AE709" t="s">
        <v>570</v>
      </c>
    </row>
    <row r="710" spans="1:31" x14ac:dyDescent="0.2">
      <c r="A710" t="s">
        <v>545</v>
      </c>
      <c r="B710" t="s">
        <v>546</v>
      </c>
      <c r="C710">
        <v>2021</v>
      </c>
      <c r="D710" t="s">
        <v>44</v>
      </c>
      <c r="E710" t="s">
        <v>49</v>
      </c>
      <c r="F710" t="s">
        <v>83</v>
      </c>
      <c r="G710" t="s">
        <v>547</v>
      </c>
      <c r="H710" t="s">
        <v>350</v>
      </c>
      <c r="I710" t="s">
        <v>548</v>
      </c>
      <c r="J710">
        <f t="shared" si="13"/>
        <v>3.25</v>
      </c>
      <c r="K710" t="s">
        <v>101</v>
      </c>
      <c r="L710">
        <v>3200</v>
      </c>
      <c r="M710">
        <f t="shared" si="14"/>
        <v>6.25E-2</v>
      </c>
      <c r="N710" t="s">
        <v>128</v>
      </c>
      <c r="O710" t="s">
        <v>555</v>
      </c>
      <c r="Q710" s="1" t="s">
        <v>2276</v>
      </c>
      <c r="R710" s="1" t="s">
        <v>2284</v>
      </c>
      <c r="S710" s="1" t="s">
        <v>290</v>
      </c>
      <c r="T710" t="s">
        <v>396</v>
      </c>
      <c r="X710" t="s">
        <v>568</v>
      </c>
      <c r="Y710" t="s">
        <v>2273</v>
      </c>
      <c r="Z710" t="s">
        <v>249</v>
      </c>
      <c r="AA710" t="s">
        <v>2274</v>
      </c>
      <c r="AB710" t="s">
        <v>2300</v>
      </c>
      <c r="AC710" t="s">
        <v>152</v>
      </c>
      <c r="AD710" t="s">
        <v>137</v>
      </c>
      <c r="AE710" t="s">
        <v>570</v>
      </c>
    </row>
    <row r="711" spans="1:31" x14ac:dyDescent="0.2">
      <c r="A711" t="s">
        <v>545</v>
      </c>
      <c r="B711" t="s">
        <v>546</v>
      </c>
      <c r="C711">
        <v>2021</v>
      </c>
      <c r="D711" t="s">
        <v>44</v>
      </c>
      <c r="E711" t="s">
        <v>49</v>
      </c>
      <c r="F711" t="s">
        <v>83</v>
      </c>
      <c r="G711" t="s">
        <v>547</v>
      </c>
      <c r="H711" t="s">
        <v>350</v>
      </c>
      <c r="I711" t="s">
        <v>548</v>
      </c>
      <c r="J711">
        <f t="shared" si="13"/>
        <v>3.25</v>
      </c>
      <c r="K711" t="s">
        <v>101</v>
      </c>
      <c r="L711">
        <v>3200</v>
      </c>
      <c r="M711">
        <f t="shared" si="14"/>
        <v>6.25E-2</v>
      </c>
      <c r="N711" t="s">
        <v>128</v>
      </c>
      <c r="O711" t="s">
        <v>556</v>
      </c>
      <c r="Q711" s="1" t="s">
        <v>2276</v>
      </c>
      <c r="R711" s="1" t="s">
        <v>755</v>
      </c>
      <c r="S711" s="1" t="s">
        <v>2352</v>
      </c>
      <c r="T711" t="s">
        <v>396</v>
      </c>
      <c r="X711" t="s">
        <v>568</v>
      </c>
      <c r="Y711" t="s">
        <v>2273</v>
      </c>
      <c r="Z711" t="s">
        <v>249</v>
      </c>
      <c r="AA711" t="s">
        <v>2274</v>
      </c>
      <c r="AB711" t="s">
        <v>2300</v>
      </c>
      <c r="AC711" t="s">
        <v>152</v>
      </c>
      <c r="AD711" t="s">
        <v>137</v>
      </c>
      <c r="AE711" t="s">
        <v>570</v>
      </c>
    </row>
    <row r="712" spans="1:31" x14ac:dyDescent="0.2">
      <c r="A712" t="s">
        <v>545</v>
      </c>
      <c r="B712" t="s">
        <v>546</v>
      </c>
      <c r="C712">
        <v>2021</v>
      </c>
      <c r="D712" t="s">
        <v>44</v>
      </c>
      <c r="E712" t="s">
        <v>49</v>
      </c>
      <c r="F712" t="s">
        <v>83</v>
      </c>
      <c r="G712" t="s">
        <v>547</v>
      </c>
      <c r="H712" t="s">
        <v>350</v>
      </c>
      <c r="I712" t="s">
        <v>548</v>
      </c>
      <c r="J712">
        <f t="shared" si="13"/>
        <v>3.25</v>
      </c>
      <c r="K712" t="s">
        <v>101</v>
      </c>
      <c r="L712">
        <v>3200</v>
      </c>
      <c r="M712">
        <f t="shared" si="14"/>
        <v>6.25E-2</v>
      </c>
      <c r="N712" t="s">
        <v>129</v>
      </c>
      <c r="O712" t="s">
        <v>557</v>
      </c>
      <c r="Q712" s="1" t="s">
        <v>2276</v>
      </c>
      <c r="R712" s="1" t="s">
        <v>2350</v>
      </c>
      <c r="S712" s="1" t="s">
        <v>2350</v>
      </c>
      <c r="T712" t="s">
        <v>396</v>
      </c>
      <c r="X712" t="s">
        <v>568</v>
      </c>
      <c r="Y712" t="s">
        <v>2273</v>
      </c>
      <c r="Z712" t="s">
        <v>249</v>
      </c>
      <c r="AA712" t="s">
        <v>2274</v>
      </c>
      <c r="AB712" t="s">
        <v>2300</v>
      </c>
      <c r="AC712" t="s">
        <v>152</v>
      </c>
      <c r="AD712" t="s">
        <v>137</v>
      </c>
      <c r="AE712" t="s">
        <v>570</v>
      </c>
    </row>
    <row r="713" spans="1:31" x14ac:dyDescent="0.2">
      <c r="A713" t="s">
        <v>545</v>
      </c>
      <c r="B713" t="s">
        <v>546</v>
      </c>
      <c r="C713">
        <v>2021</v>
      </c>
      <c r="D713" t="s">
        <v>44</v>
      </c>
      <c r="E713" t="s">
        <v>49</v>
      </c>
      <c r="F713" t="s">
        <v>83</v>
      </c>
      <c r="G713" t="s">
        <v>547</v>
      </c>
      <c r="H713" t="s">
        <v>350</v>
      </c>
      <c r="I713" t="s">
        <v>548</v>
      </c>
      <c r="J713">
        <f t="shared" si="13"/>
        <v>3.25</v>
      </c>
      <c r="K713" t="s">
        <v>101</v>
      </c>
      <c r="L713">
        <v>3200</v>
      </c>
      <c r="M713">
        <f t="shared" si="14"/>
        <v>6.25E-2</v>
      </c>
      <c r="N713" t="s">
        <v>122</v>
      </c>
      <c r="O713" t="s">
        <v>247</v>
      </c>
      <c r="Q713" s="1" t="s">
        <v>2281</v>
      </c>
      <c r="R713" s="1" t="s">
        <v>122</v>
      </c>
      <c r="S713" s="1" t="s">
        <v>2293</v>
      </c>
      <c r="T713" t="s">
        <v>396</v>
      </c>
      <c r="X713" t="s">
        <v>568</v>
      </c>
      <c r="Y713" t="s">
        <v>2273</v>
      </c>
      <c r="Z713" t="s">
        <v>249</v>
      </c>
      <c r="AA713" t="s">
        <v>2274</v>
      </c>
      <c r="AB713" t="s">
        <v>2300</v>
      </c>
      <c r="AC713" t="s">
        <v>152</v>
      </c>
      <c r="AD713" t="s">
        <v>137</v>
      </c>
      <c r="AE713" t="s">
        <v>570</v>
      </c>
    </row>
    <row r="714" spans="1:31" x14ac:dyDescent="0.2">
      <c r="A714" t="s">
        <v>545</v>
      </c>
      <c r="B714" t="s">
        <v>546</v>
      </c>
      <c r="C714">
        <v>2021</v>
      </c>
      <c r="D714" t="s">
        <v>44</v>
      </c>
      <c r="E714" t="s">
        <v>49</v>
      </c>
      <c r="F714" t="s">
        <v>83</v>
      </c>
      <c r="G714" t="s">
        <v>547</v>
      </c>
      <c r="H714" t="s">
        <v>350</v>
      </c>
      <c r="I714" t="s">
        <v>548</v>
      </c>
      <c r="J714">
        <f t="shared" si="13"/>
        <v>3.25</v>
      </c>
      <c r="K714" t="s">
        <v>101</v>
      </c>
      <c r="L714">
        <v>3200</v>
      </c>
      <c r="M714">
        <f t="shared" si="14"/>
        <v>6.25E-2</v>
      </c>
      <c r="N714" t="s">
        <v>131</v>
      </c>
      <c r="O714" t="s">
        <v>558</v>
      </c>
      <c r="Q714" s="1" t="s">
        <v>2281</v>
      </c>
      <c r="R714" s="1" t="s">
        <v>2295</v>
      </c>
      <c r="S714" s="1" t="s">
        <v>2295</v>
      </c>
      <c r="T714" t="s">
        <v>396</v>
      </c>
      <c r="X714" t="s">
        <v>568</v>
      </c>
      <c r="Y714" t="s">
        <v>2273</v>
      </c>
      <c r="Z714" t="s">
        <v>249</v>
      </c>
      <c r="AA714" t="s">
        <v>2274</v>
      </c>
      <c r="AB714" t="s">
        <v>2300</v>
      </c>
      <c r="AC714" t="s">
        <v>152</v>
      </c>
      <c r="AD714" t="s">
        <v>137</v>
      </c>
      <c r="AE714" t="s">
        <v>570</v>
      </c>
    </row>
    <row r="715" spans="1:31" x14ac:dyDescent="0.2">
      <c r="A715" t="s">
        <v>545</v>
      </c>
      <c r="B715" t="s">
        <v>546</v>
      </c>
      <c r="C715">
        <v>2021</v>
      </c>
      <c r="D715" t="s">
        <v>44</v>
      </c>
      <c r="E715" t="s">
        <v>49</v>
      </c>
      <c r="F715" t="s">
        <v>83</v>
      </c>
      <c r="G715" t="s">
        <v>547</v>
      </c>
      <c r="H715" t="s">
        <v>350</v>
      </c>
      <c r="I715" t="s">
        <v>548</v>
      </c>
      <c r="J715">
        <f t="shared" si="13"/>
        <v>3.25</v>
      </c>
      <c r="K715" t="s">
        <v>101</v>
      </c>
      <c r="L715">
        <v>3200</v>
      </c>
      <c r="M715">
        <f t="shared" si="14"/>
        <v>6.25E-2</v>
      </c>
      <c r="N715" t="s">
        <v>131</v>
      </c>
      <c r="O715" t="s">
        <v>559</v>
      </c>
      <c r="Q715" s="1" t="s">
        <v>2281</v>
      </c>
      <c r="R715" s="1" t="s">
        <v>2295</v>
      </c>
      <c r="S715" s="1" t="s">
        <v>2295</v>
      </c>
      <c r="T715" t="s">
        <v>396</v>
      </c>
      <c r="X715" t="s">
        <v>568</v>
      </c>
      <c r="Y715" t="s">
        <v>2273</v>
      </c>
      <c r="Z715" t="s">
        <v>249</v>
      </c>
      <c r="AA715" t="s">
        <v>2274</v>
      </c>
      <c r="AB715" t="s">
        <v>2300</v>
      </c>
      <c r="AC715" t="s">
        <v>152</v>
      </c>
      <c r="AD715" t="s">
        <v>137</v>
      </c>
      <c r="AE715" t="s">
        <v>570</v>
      </c>
    </row>
    <row r="716" spans="1:31" x14ac:dyDescent="0.2">
      <c r="A716" t="s">
        <v>545</v>
      </c>
      <c r="B716" t="s">
        <v>546</v>
      </c>
      <c r="C716">
        <v>2021</v>
      </c>
      <c r="D716" t="s">
        <v>44</v>
      </c>
      <c r="E716" t="s">
        <v>49</v>
      </c>
      <c r="F716" t="s">
        <v>83</v>
      </c>
      <c r="G716" t="s">
        <v>547</v>
      </c>
      <c r="H716" t="s">
        <v>350</v>
      </c>
      <c r="I716" t="s">
        <v>548</v>
      </c>
      <c r="J716">
        <f t="shared" si="13"/>
        <v>3.25</v>
      </c>
      <c r="K716" t="s">
        <v>101</v>
      </c>
      <c r="L716">
        <v>3200</v>
      </c>
      <c r="M716">
        <f t="shared" si="14"/>
        <v>6.25E-2</v>
      </c>
      <c r="N716" t="s">
        <v>122</v>
      </c>
      <c r="O716" t="s">
        <v>560</v>
      </c>
      <c r="Q716" s="1" t="s">
        <v>2281</v>
      </c>
      <c r="R716" s="1" t="s">
        <v>122</v>
      </c>
      <c r="S716" s="1" t="s">
        <v>2293</v>
      </c>
      <c r="T716" t="s">
        <v>396</v>
      </c>
      <c r="X716" t="s">
        <v>568</v>
      </c>
      <c r="Y716" t="s">
        <v>2273</v>
      </c>
      <c r="Z716" t="s">
        <v>249</v>
      </c>
      <c r="AA716" t="s">
        <v>2274</v>
      </c>
      <c r="AB716" t="s">
        <v>2300</v>
      </c>
      <c r="AC716" t="s">
        <v>152</v>
      </c>
      <c r="AD716" t="s">
        <v>137</v>
      </c>
      <c r="AE716" t="s">
        <v>570</v>
      </c>
    </row>
    <row r="717" spans="1:31" x14ac:dyDescent="0.2">
      <c r="A717" t="s">
        <v>545</v>
      </c>
      <c r="B717" t="s">
        <v>546</v>
      </c>
      <c r="C717">
        <v>2021</v>
      </c>
      <c r="D717" t="s">
        <v>44</v>
      </c>
      <c r="E717" t="s">
        <v>49</v>
      </c>
      <c r="F717" t="s">
        <v>83</v>
      </c>
      <c r="G717" t="s">
        <v>547</v>
      </c>
      <c r="H717" t="s">
        <v>350</v>
      </c>
      <c r="I717" t="s">
        <v>548</v>
      </c>
      <c r="J717">
        <f t="shared" si="13"/>
        <v>3.25</v>
      </c>
      <c r="K717" t="s">
        <v>101</v>
      </c>
      <c r="L717">
        <v>3200</v>
      </c>
      <c r="M717">
        <f t="shared" si="14"/>
        <v>6.25E-2</v>
      </c>
      <c r="N717" t="s">
        <v>122</v>
      </c>
      <c r="O717" t="s">
        <v>561</v>
      </c>
      <c r="Q717" s="1" t="s">
        <v>2281</v>
      </c>
      <c r="R717" s="1" t="s">
        <v>122</v>
      </c>
      <c r="S717" s="1" t="s">
        <v>2294</v>
      </c>
      <c r="T717" t="s">
        <v>396</v>
      </c>
      <c r="X717" t="s">
        <v>568</v>
      </c>
      <c r="Y717" t="s">
        <v>2273</v>
      </c>
      <c r="Z717" t="s">
        <v>249</v>
      </c>
      <c r="AA717" t="s">
        <v>2274</v>
      </c>
      <c r="AB717" t="s">
        <v>2300</v>
      </c>
      <c r="AC717" t="s">
        <v>152</v>
      </c>
      <c r="AD717" t="s">
        <v>137</v>
      </c>
      <c r="AE717" t="s">
        <v>570</v>
      </c>
    </row>
    <row r="718" spans="1:31" x14ac:dyDescent="0.2">
      <c r="A718" t="s">
        <v>545</v>
      </c>
      <c r="B718" t="s">
        <v>546</v>
      </c>
      <c r="C718">
        <v>2021</v>
      </c>
      <c r="D718" t="s">
        <v>44</v>
      </c>
      <c r="E718" t="s">
        <v>49</v>
      </c>
      <c r="F718" t="s">
        <v>83</v>
      </c>
      <c r="G718" t="s">
        <v>547</v>
      </c>
      <c r="H718" t="s">
        <v>350</v>
      </c>
      <c r="I718" t="s">
        <v>548</v>
      </c>
      <c r="J718">
        <f t="shared" si="13"/>
        <v>3.25</v>
      </c>
      <c r="K718" t="s">
        <v>101</v>
      </c>
      <c r="L718">
        <v>3200</v>
      </c>
      <c r="M718">
        <f t="shared" si="14"/>
        <v>6.25E-2</v>
      </c>
      <c r="N718" t="s">
        <v>122</v>
      </c>
      <c r="O718" t="s">
        <v>562</v>
      </c>
      <c r="Q718" s="1" t="s">
        <v>2281</v>
      </c>
      <c r="R718" s="1" t="s">
        <v>122</v>
      </c>
      <c r="S718" s="1" t="s">
        <v>2294</v>
      </c>
      <c r="T718" t="s">
        <v>396</v>
      </c>
      <c r="X718" t="s">
        <v>568</v>
      </c>
      <c r="Y718" t="s">
        <v>2273</v>
      </c>
      <c r="Z718" t="s">
        <v>249</v>
      </c>
      <c r="AA718" t="s">
        <v>2274</v>
      </c>
      <c r="AB718" t="s">
        <v>2300</v>
      </c>
      <c r="AC718" t="s">
        <v>152</v>
      </c>
      <c r="AD718" t="s">
        <v>137</v>
      </c>
      <c r="AE718" t="s">
        <v>570</v>
      </c>
    </row>
    <row r="719" spans="1:31" x14ac:dyDescent="0.2">
      <c r="A719" t="s">
        <v>545</v>
      </c>
      <c r="B719" t="s">
        <v>546</v>
      </c>
      <c r="C719">
        <v>2021</v>
      </c>
      <c r="D719" t="s">
        <v>44</v>
      </c>
      <c r="E719" t="s">
        <v>49</v>
      </c>
      <c r="F719" t="s">
        <v>83</v>
      </c>
      <c r="G719" t="s">
        <v>547</v>
      </c>
      <c r="H719" t="s">
        <v>350</v>
      </c>
      <c r="I719" t="s">
        <v>548</v>
      </c>
      <c r="J719">
        <f t="shared" si="13"/>
        <v>3.25</v>
      </c>
      <c r="K719" t="s">
        <v>101</v>
      </c>
      <c r="L719">
        <v>3200</v>
      </c>
      <c r="M719">
        <f t="shared" si="14"/>
        <v>6.25E-2</v>
      </c>
      <c r="N719" t="s">
        <v>122</v>
      </c>
      <c r="O719" t="s">
        <v>563</v>
      </c>
      <c r="Q719" s="1" t="s">
        <v>2281</v>
      </c>
      <c r="R719" s="1" t="s">
        <v>122</v>
      </c>
      <c r="S719" s="1" t="s">
        <v>2294</v>
      </c>
      <c r="T719" t="s">
        <v>396</v>
      </c>
      <c r="X719" t="s">
        <v>568</v>
      </c>
      <c r="Y719" t="s">
        <v>2273</v>
      </c>
      <c r="Z719" t="s">
        <v>249</v>
      </c>
      <c r="AA719" t="s">
        <v>2274</v>
      </c>
      <c r="AB719" t="s">
        <v>2300</v>
      </c>
      <c r="AC719" t="s">
        <v>152</v>
      </c>
      <c r="AD719" t="s">
        <v>137</v>
      </c>
      <c r="AE719" t="s">
        <v>570</v>
      </c>
    </row>
    <row r="720" spans="1:31" x14ac:dyDescent="0.2">
      <c r="A720" t="s">
        <v>545</v>
      </c>
      <c r="B720" t="s">
        <v>546</v>
      </c>
      <c r="C720">
        <v>2021</v>
      </c>
      <c r="D720" t="s">
        <v>44</v>
      </c>
      <c r="E720" t="s">
        <v>49</v>
      </c>
      <c r="F720" t="s">
        <v>83</v>
      </c>
      <c r="G720" t="s">
        <v>547</v>
      </c>
      <c r="H720" t="s">
        <v>350</v>
      </c>
      <c r="I720" t="s">
        <v>548</v>
      </c>
      <c r="J720">
        <f t="shared" si="13"/>
        <v>3.25</v>
      </c>
      <c r="K720" t="s">
        <v>101</v>
      </c>
      <c r="L720">
        <v>3200</v>
      </c>
      <c r="M720">
        <f t="shared" si="14"/>
        <v>6.25E-2</v>
      </c>
      <c r="N720" t="s">
        <v>122</v>
      </c>
      <c r="O720" t="s">
        <v>564</v>
      </c>
      <c r="Q720" s="1" t="s">
        <v>2281</v>
      </c>
      <c r="R720" s="1" t="s">
        <v>122</v>
      </c>
      <c r="S720" s="1" t="s">
        <v>2294</v>
      </c>
      <c r="T720" t="s">
        <v>396</v>
      </c>
      <c r="X720" t="s">
        <v>568</v>
      </c>
      <c r="Y720" t="s">
        <v>2273</v>
      </c>
      <c r="Z720" t="s">
        <v>249</v>
      </c>
      <c r="AA720" t="s">
        <v>2274</v>
      </c>
      <c r="AB720" t="s">
        <v>2300</v>
      </c>
      <c r="AC720" t="s">
        <v>152</v>
      </c>
      <c r="AD720" t="s">
        <v>137</v>
      </c>
      <c r="AE720" t="s">
        <v>570</v>
      </c>
    </row>
    <row r="721" spans="1:31" x14ac:dyDescent="0.2">
      <c r="A721" t="s">
        <v>545</v>
      </c>
      <c r="B721" t="s">
        <v>546</v>
      </c>
      <c r="C721">
        <v>2021</v>
      </c>
      <c r="D721" t="s">
        <v>44</v>
      </c>
      <c r="E721" t="s">
        <v>49</v>
      </c>
      <c r="F721" t="s">
        <v>83</v>
      </c>
      <c r="G721" t="s">
        <v>547</v>
      </c>
      <c r="H721" t="s">
        <v>350</v>
      </c>
      <c r="I721" t="s">
        <v>548</v>
      </c>
      <c r="J721">
        <f t="shared" si="13"/>
        <v>3.25</v>
      </c>
      <c r="K721" t="s">
        <v>101</v>
      </c>
      <c r="L721">
        <v>3200</v>
      </c>
      <c r="M721">
        <f t="shared" si="14"/>
        <v>6.25E-2</v>
      </c>
      <c r="N721" t="s">
        <v>122</v>
      </c>
      <c r="O721" t="s">
        <v>565</v>
      </c>
      <c r="Q721" s="1" t="s">
        <v>2281</v>
      </c>
      <c r="R721" s="1" t="s">
        <v>122</v>
      </c>
      <c r="S721" s="1" t="s">
        <v>2294</v>
      </c>
      <c r="T721" t="s">
        <v>396</v>
      </c>
      <c r="X721" t="s">
        <v>568</v>
      </c>
      <c r="Y721" t="s">
        <v>2273</v>
      </c>
      <c r="Z721" t="s">
        <v>249</v>
      </c>
      <c r="AA721" t="s">
        <v>2274</v>
      </c>
      <c r="AB721" t="s">
        <v>2300</v>
      </c>
      <c r="AC721" t="s">
        <v>152</v>
      </c>
      <c r="AD721" t="s">
        <v>137</v>
      </c>
      <c r="AE721" t="s">
        <v>102</v>
      </c>
    </row>
    <row r="722" spans="1:31" x14ac:dyDescent="0.2">
      <c r="A722" t="s">
        <v>545</v>
      </c>
      <c r="B722" t="s">
        <v>546</v>
      </c>
      <c r="C722">
        <v>2021</v>
      </c>
      <c r="D722" t="s">
        <v>44</v>
      </c>
      <c r="E722" t="s">
        <v>49</v>
      </c>
      <c r="F722" t="s">
        <v>83</v>
      </c>
      <c r="G722" t="s">
        <v>547</v>
      </c>
      <c r="H722" t="s">
        <v>350</v>
      </c>
      <c r="I722" t="s">
        <v>548</v>
      </c>
      <c r="J722">
        <f>(3*12+3)/12</f>
        <v>3.25</v>
      </c>
      <c r="K722" t="s">
        <v>101</v>
      </c>
      <c r="L722">
        <v>3200</v>
      </c>
      <c r="M722">
        <f>0.25*0.25</f>
        <v>6.25E-2</v>
      </c>
      <c r="N722" t="s">
        <v>132</v>
      </c>
      <c r="O722" t="s">
        <v>549</v>
      </c>
      <c r="Q722" s="1" t="s">
        <v>2276</v>
      </c>
      <c r="R722" s="1" t="s">
        <v>669</v>
      </c>
      <c r="S722" s="1" t="s">
        <v>168</v>
      </c>
      <c r="T722" t="s">
        <v>396</v>
      </c>
      <c r="X722" t="s">
        <v>569</v>
      </c>
      <c r="Y722" t="s">
        <v>2273</v>
      </c>
      <c r="Z722" t="s">
        <v>249</v>
      </c>
      <c r="AA722" t="s">
        <v>2274</v>
      </c>
      <c r="AB722" t="s">
        <v>569</v>
      </c>
      <c r="AC722" t="s">
        <v>152</v>
      </c>
      <c r="AD722" t="s">
        <v>137</v>
      </c>
    </row>
    <row r="723" spans="1:31" x14ac:dyDescent="0.2">
      <c r="A723" t="s">
        <v>545</v>
      </c>
      <c r="B723" t="s">
        <v>546</v>
      </c>
      <c r="C723">
        <v>2021</v>
      </c>
      <c r="D723" t="s">
        <v>44</v>
      </c>
      <c r="E723" t="s">
        <v>49</v>
      </c>
      <c r="F723" t="s">
        <v>83</v>
      </c>
      <c r="G723" t="s">
        <v>547</v>
      </c>
      <c r="H723" t="s">
        <v>350</v>
      </c>
      <c r="I723" t="s">
        <v>548</v>
      </c>
      <c r="J723">
        <f t="shared" ref="J723:J757" si="15">(3*12+3)/12</f>
        <v>3.25</v>
      </c>
      <c r="K723" t="s">
        <v>101</v>
      </c>
      <c r="L723">
        <v>3200</v>
      </c>
      <c r="M723">
        <f t="shared" ref="M723:M757" si="16">0.25*0.25</f>
        <v>6.25E-2</v>
      </c>
      <c r="N723" t="s">
        <v>120</v>
      </c>
      <c r="O723" t="s">
        <v>550</v>
      </c>
      <c r="Q723" s="1" t="s">
        <v>2276</v>
      </c>
      <c r="R723" s="1" t="s">
        <v>669</v>
      </c>
      <c r="S723" s="1" t="s">
        <v>168</v>
      </c>
      <c r="T723" t="s">
        <v>396</v>
      </c>
      <c r="X723" t="s">
        <v>569</v>
      </c>
      <c r="Y723" t="s">
        <v>2273</v>
      </c>
      <c r="Z723" t="s">
        <v>249</v>
      </c>
      <c r="AA723" t="s">
        <v>2274</v>
      </c>
      <c r="AB723" t="s">
        <v>569</v>
      </c>
      <c r="AC723" t="s">
        <v>152</v>
      </c>
      <c r="AD723" t="s">
        <v>137</v>
      </c>
    </row>
    <row r="724" spans="1:31" x14ac:dyDescent="0.2">
      <c r="A724" t="s">
        <v>545</v>
      </c>
      <c r="B724" t="s">
        <v>546</v>
      </c>
      <c r="C724">
        <v>2021</v>
      </c>
      <c r="D724" t="s">
        <v>44</v>
      </c>
      <c r="E724" t="s">
        <v>49</v>
      </c>
      <c r="F724" t="s">
        <v>83</v>
      </c>
      <c r="G724" t="s">
        <v>547</v>
      </c>
      <c r="H724" t="s">
        <v>350</v>
      </c>
      <c r="I724" t="s">
        <v>548</v>
      </c>
      <c r="J724">
        <f t="shared" si="15"/>
        <v>3.25</v>
      </c>
      <c r="K724" t="s">
        <v>101</v>
      </c>
      <c r="L724">
        <v>3200</v>
      </c>
      <c r="M724">
        <f t="shared" si="16"/>
        <v>6.25E-2</v>
      </c>
      <c r="N724" t="s">
        <v>128</v>
      </c>
      <c r="O724" t="s">
        <v>551</v>
      </c>
      <c r="Q724" s="1" t="s">
        <v>2276</v>
      </c>
      <c r="R724" s="1" t="s">
        <v>669</v>
      </c>
      <c r="S724" s="1" t="s">
        <v>2348</v>
      </c>
      <c r="T724" t="s">
        <v>396</v>
      </c>
      <c r="X724" t="s">
        <v>569</v>
      </c>
      <c r="Y724" t="s">
        <v>2273</v>
      </c>
      <c r="Z724" t="s">
        <v>249</v>
      </c>
      <c r="AA724" t="s">
        <v>2274</v>
      </c>
      <c r="AB724" t="s">
        <v>569</v>
      </c>
      <c r="AC724" t="s">
        <v>152</v>
      </c>
      <c r="AD724" t="s">
        <v>137</v>
      </c>
    </row>
    <row r="725" spans="1:31" x14ac:dyDescent="0.2">
      <c r="A725" t="s">
        <v>545</v>
      </c>
      <c r="B725" t="s">
        <v>546</v>
      </c>
      <c r="C725">
        <v>2021</v>
      </c>
      <c r="D725" t="s">
        <v>44</v>
      </c>
      <c r="E725" t="s">
        <v>49</v>
      </c>
      <c r="F725" t="s">
        <v>83</v>
      </c>
      <c r="G725" t="s">
        <v>547</v>
      </c>
      <c r="H725" t="s">
        <v>350</v>
      </c>
      <c r="I725" t="s">
        <v>548</v>
      </c>
      <c r="J725">
        <f t="shared" si="15"/>
        <v>3.25</v>
      </c>
      <c r="K725" t="s">
        <v>101</v>
      </c>
      <c r="L725">
        <v>3200</v>
      </c>
      <c r="M725">
        <f t="shared" si="16"/>
        <v>6.25E-2</v>
      </c>
      <c r="N725" t="s">
        <v>128</v>
      </c>
      <c r="O725" t="s">
        <v>552</v>
      </c>
      <c r="Q725" s="1" t="s">
        <v>2276</v>
      </c>
      <c r="R725" s="1" t="s">
        <v>755</v>
      </c>
      <c r="S725" s="1" t="s">
        <v>2352</v>
      </c>
      <c r="T725" t="s">
        <v>396</v>
      </c>
      <c r="X725" t="s">
        <v>569</v>
      </c>
      <c r="Y725" t="s">
        <v>2273</v>
      </c>
      <c r="Z725" t="s">
        <v>249</v>
      </c>
      <c r="AA725" t="s">
        <v>2274</v>
      </c>
      <c r="AB725" t="s">
        <v>569</v>
      </c>
      <c r="AC725" t="s">
        <v>152</v>
      </c>
      <c r="AD725" t="s">
        <v>137</v>
      </c>
    </row>
    <row r="726" spans="1:31" x14ac:dyDescent="0.2">
      <c r="A726" t="s">
        <v>545</v>
      </c>
      <c r="B726" t="s">
        <v>546</v>
      </c>
      <c r="C726">
        <v>2021</v>
      </c>
      <c r="D726" t="s">
        <v>44</v>
      </c>
      <c r="E726" t="s">
        <v>49</v>
      </c>
      <c r="F726" t="s">
        <v>83</v>
      </c>
      <c r="G726" t="s">
        <v>547</v>
      </c>
      <c r="H726" t="s">
        <v>350</v>
      </c>
      <c r="I726" t="s">
        <v>548</v>
      </c>
      <c r="J726">
        <f t="shared" si="15"/>
        <v>3.25</v>
      </c>
      <c r="K726" t="s">
        <v>101</v>
      </c>
      <c r="L726">
        <v>3200</v>
      </c>
      <c r="M726">
        <f t="shared" si="16"/>
        <v>6.25E-2</v>
      </c>
      <c r="N726" t="s">
        <v>128</v>
      </c>
      <c r="O726" t="s">
        <v>553</v>
      </c>
      <c r="Q726" s="1" t="s">
        <v>2276</v>
      </c>
      <c r="R726" s="1" t="s">
        <v>755</v>
      </c>
      <c r="S726" s="1" t="s">
        <v>2352</v>
      </c>
      <c r="T726" t="s">
        <v>396</v>
      </c>
      <c r="X726" t="s">
        <v>569</v>
      </c>
      <c r="Y726" t="s">
        <v>2273</v>
      </c>
      <c r="Z726" t="s">
        <v>249</v>
      </c>
      <c r="AA726" t="s">
        <v>2274</v>
      </c>
      <c r="AB726" t="s">
        <v>569</v>
      </c>
      <c r="AC726" t="s">
        <v>152</v>
      </c>
      <c r="AD726" t="s">
        <v>137</v>
      </c>
    </row>
    <row r="727" spans="1:31" x14ac:dyDescent="0.2">
      <c r="A727" t="s">
        <v>545</v>
      </c>
      <c r="B727" t="s">
        <v>546</v>
      </c>
      <c r="C727">
        <v>2021</v>
      </c>
      <c r="D727" t="s">
        <v>44</v>
      </c>
      <c r="E727" t="s">
        <v>49</v>
      </c>
      <c r="F727" t="s">
        <v>83</v>
      </c>
      <c r="G727" t="s">
        <v>547</v>
      </c>
      <c r="H727" t="s">
        <v>350</v>
      </c>
      <c r="I727" t="s">
        <v>548</v>
      </c>
      <c r="J727">
        <f t="shared" si="15"/>
        <v>3.25</v>
      </c>
      <c r="K727" t="s">
        <v>101</v>
      </c>
      <c r="L727">
        <v>3200</v>
      </c>
      <c r="M727">
        <f t="shared" si="16"/>
        <v>6.25E-2</v>
      </c>
      <c r="N727" t="s">
        <v>128</v>
      </c>
      <c r="O727" t="s">
        <v>554</v>
      </c>
      <c r="Q727" s="1" t="s">
        <v>2276</v>
      </c>
      <c r="R727" s="1" t="s">
        <v>751</v>
      </c>
      <c r="S727" s="1" t="s">
        <v>2353</v>
      </c>
      <c r="T727" t="s">
        <v>396</v>
      </c>
      <c r="X727" t="s">
        <v>569</v>
      </c>
      <c r="Y727" t="s">
        <v>2273</v>
      </c>
      <c r="Z727" t="s">
        <v>249</v>
      </c>
      <c r="AA727" t="s">
        <v>2274</v>
      </c>
      <c r="AB727" t="s">
        <v>569</v>
      </c>
      <c r="AC727" t="s">
        <v>152</v>
      </c>
      <c r="AD727" t="s">
        <v>137</v>
      </c>
    </row>
    <row r="728" spans="1:31" x14ac:dyDescent="0.2">
      <c r="A728" t="s">
        <v>545</v>
      </c>
      <c r="B728" t="s">
        <v>546</v>
      </c>
      <c r="C728">
        <v>2021</v>
      </c>
      <c r="D728" t="s">
        <v>44</v>
      </c>
      <c r="E728" t="s">
        <v>49</v>
      </c>
      <c r="F728" t="s">
        <v>83</v>
      </c>
      <c r="G728" t="s">
        <v>547</v>
      </c>
      <c r="H728" t="s">
        <v>350</v>
      </c>
      <c r="I728" t="s">
        <v>548</v>
      </c>
      <c r="J728">
        <f t="shared" si="15"/>
        <v>3.25</v>
      </c>
      <c r="K728" t="s">
        <v>101</v>
      </c>
      <c r="L728">
        <v>3200</v>
      </c>
      <c r="M728">
        <f t="shared" si="16"/>
        <v>6.25E-2</v>
      </c>
      <c r="N728" t="s">
        <v>128</v>
      </c>
      <c r="O728" t="s">
        <v>555</v>
      </c>
      <c r="Q728" s="1" t="s">
        <v>2276</v>
      </c>
      <c r="R728" s="1" t="s">
        <v>2284</v>
      </c>
      <c r="S728" s="1" t="s">
        <v>290</v>
      </c>
      <c r="T728" t="s">
        <v>396</v>
      </c>
      <c r="X728" t="s">
        <v>569</v>
      </c>
      <c r="Y728" t="s">
        <v>2273</v>
      </c>
      <c r="Z728" t="s">
        <v>249</v>
      </c>
      <c r="AA728" t="s">
        <v>2274</v>
      </c>
      <c r="AB728" t="s">
        <v>569</v>
      </c>
      <c r="AC728" t="s">
        <v>152</v>
      </c>
      <c r="AD728" t="s">
        <v>137</v>
      </c>
    </row>
    <row r="729" spans="1:31" x14ac:dyDescent="0.2">
      <c r="A729" t="s">
        <v>545</v>
      </c>
      <c r="B729" t="s">
        <v>546</v>
      </c>
      <c r="C729">
        <v>2021</v>
      </c>
      <c r="D729" t="s">
        <v>44</v>
      </c>
      <c r="E729" t="s">
        <v>49</v>
      </c>
      <c r="F729" t="s">
        <v>83</v>
      </c>
      <c r="G729" t="s">
        <v>547</v>
      </c>
      <c r="H729" t="s">
        <v>350</v>
      </c>
      <c r="I729" t="s">
        <v>548</v>
      </c>
      <c r="J729">
        <f t="shared" si="15"/>
        <v>3.25</v>
      </c>
      <c r="K729" t="s">
        <v>101</v>
      </c>
      <c r="L729">
        <v>3200</v>
      </c>
      <c r="M729">
        <f t="shared" si="16"/>
        <v>6.25E-2</v>
      </c>
      <c r="N729" t="s">
        <v>128</v>
      </c>
      <c r="O729" t="s">
        <v>556</v>
      </c>
      <c r="Q729" s="1" t="s">
        <v>2276</v>
      </c>
      <c r="R729" s="1" t="s">
        <v>755</v>
      </c>
      <c r="S729" s="1" t="s">
        <v>2352</v>
      </c>
      <c r="T729" t="s">
        <v>396</v>
      </c>
      <c r="X729" t="s">
        <v>569</v>
      </c>
      <c r="Y729" t="s">
        <v>2273</v>
      </c>
      <c r="Z729" t="s">
        <v>249</v>
      </c>
      <c r="AA729" t="s">
        <v>2274</v>
      </c>
      <c r="AB729" t="s">
        <v>569</v>
      </c>
      <c r="AC729" t="s">
        <v>152</v>
      </c>
      <c r="AD729" t="s">
        <v>137</v>
      </c>
    </row>
    <row r="730" spans="1:31" x14ac:dyDescent="0.2">
      <c r="A730" t="s">
        <v>545</v>
      </c>
      <c r="B730" t="s">
        <v>546</v>
      </c>
      <c r="C730">
        <v>2021</v>
      </c>
      <c r="D730" t="s">
        <v>44</v>
      </c>
      <c r="E730" t="s">
        <v>49</v>
      </c>
      <c r="F730" t="s">
        <v>83</v>
      </c>
      <c r="G730" t="s">
        <v>547</v>
      </c>
      <c r="H730" t="s">
        <v>350</v>
      </c>
      <c r="I730" t="s">
        <v>548</v>
      </c>
      <c r="J730">
        <f t="shared" si="15"/>
        <v>3.25</v>
      </c>
      <c r="K730" t="s">
        <v>101</v>
      </c>
      <c r="L730">
        <v>3200</v>
      </c>
      <c r="M730">
        <f t="shared" si="16"/>
        <v>6.25E-2</v>
      </c>
      <c r="N730" t="s">
        <v>129</v>
      </c>
      <c r="O730" t="s">
        <v>557</v>
      </c>
      <c r="Q730" s="1" t="s">
        <v>2276</v>
      </c>
      <c r="R730" s="1" t="s">
        <v>2350</v>
      </c>
      <c r="S730" s="1" t="s">
        <v>2350</v>
      </c>
      <c r="T730" t="s">
        <v>396</v>
      </c>
      <c r="X730" t="s">
        <v>569</v>
      </c>
      <c r="Y730" t="s">
        <v>2273</v>
      </c>
      <c r="Z730" t="s">
        <v>249</v>
      </c>
      <c r="AA730" t="s">
        <v>2274</v>
      </c>
      <c r="AB730" t="s">
        <v>569</v>
      </c>
      <c r="AC730" t="s">
        <v>152</v>
      </c>
      <c r="AD730" t="s">
        <v>137</v>
      </c>
    </row>
    <row r="731" spans="1:31" x14ac:dyDescent="0.2">
      <c r="A731" t="s">
        <v>545</v>
      </c>
      <c r="B731" t="s">
        <v>546</v>
      </c>
      <c r="C731">
        <v>2021</v>
      </c>
      <c r="D731" t="s">
        <v>44</v>
      </c>
      <c r="E731" t="s">
        <v>49</v>
      </c>
      <c r="F731" t="s">
        <v>83</v>
      </c>
      <c r="G731" t="s">
        <v>547</v>
      </c>
      <c r="H731" t="s">
        <v>350</v>
      </c>
      <c r="I731" t="s">
        <v>548</v>
      </c>
      <c r="J731">
        <f t="shared" si="15"/>
        <v>3.25</v>
      </c>
      <c r="K731" t="s">
        <v>101</v>
      </c>
      <c r="L731">
        <v>3200</v>
      </c>
      <c r="M731">
        <f t="shared" si="16"/>
        <v>6.25E-2</v>
      </c>
      <c r="N731" t="s">
        <v>122</v>
      </c>
      <c r="O731" t="s">
        <v>247</v>
      </c>
      <c r="Q731" s="1" t="s">
        <v>2281</v>
      </c>
      <c r="R731" s="1" t="s">
        <v>122</v>
      </c>
      <c r="S731" s="1" t="s">
        <v>2293</v>
      </c>
      <c r="T731" t="s">
        <v>396</v>
      </c>
      <c r="X731" t="s">
        <v>569</v>
      </c>
      <c r="Y731" t="s">
        <v>2273</v>
      </c>
      <c r="Z731" t="s">
        <v>249</v>
      </c>
      <c r="AA731" t="s">
        <v>2274</v>
      </c>
      <c r="AB731" t="s">
        <v>569</v>
      </c>
      <c r="AC731" t="s">
        <v>152</v>
      </c>
      <c r="AD731" t="s">
        <v>137</v>
      </c>
    </row>
    <row r="732" spans="1:31" x14ac:dyDescent="0.2">
      <c r="A732" t="s">
        <v>545</v>
      </c>
      <c r="B732" t="s">
        <v>546</v>
      </c>
      <c r="C732">
        <v>2021</v>
      </c>
      <c r="D732" t="s">
        <v>44</v>
      </c>
      <c r="E732" t="s">
        <v>49</v>
      </c>
      <c r="F732" t="s">
        <v>83</v>
      </c>
      <c r="G732" t="s">
        <v>547</v>
      </c>
      <c r="H732" t="s">
        <v>350</v>
      </c>
      <c r="I732" t="s">
        <v>548</v>
      </c>
      <c r="J732">
        <f t="shared" si="15"/>
        <v>3.25</v>
      </c>
      <c r="K732" t="s">
        <v>101</v>
      </c>
      <c r="L732">
        <v>3200</v>
      </c>
      <c r="M732">
        <f t="shared" si="16"/>
        <v>6.25E-2</v>
      </c>
      <c r="N732" t="s">
        <v>131</v>
      </c>
      <c r="O732" t="s">
        <v>558</v>
      </c>
      <c r="Q732" s="1" t="s">
        <v>2281</v>
      </c>
      <c r="R732" s="1" t="s">
        <v>2295</v>
      </c>
      <c r="S732" s="1" t="s">
        <v>2295</v>
      </c>
      <c r="T732" t="s">
        <v>396</v>
      </c>
      <c r="X732" t="s">
        <v>569</v>
      </c>
      <c r="Y732" t="s">
        <v>2273</v>
      </c>
      <c r="Z732" t="s">
        <v>249</v>
      </c>
      <c r="AA732" t="s">
        <v>2274</v>
      </c>
      <c r="AB732" t="s">
        <v>569</v>
      </c>
      <c r="AC732" t="s">
        <v>152</v>
      </c>
      <c r="AD732" t="s">
        <v>137</v>
      </c>
    </row>
    <row r="733" spans="1:31" x14ac:dyDescent="0.2">
      <c r="A733" t="s">
        <v>545</v>
      </c>
      <c r="B733" t="s">
        <v>546</v>
      </c>
      <c r="C733">
        <v>2021</v>
      </c>
      <c r="D733" t="s">
        <v>44</v>
      </c>
      <c r="E733" t="s">
        <v>49</v>
      </c>
      <c r="F733" t="s">
        <v>83</v>
      </c>
      <c r="G733" t="s">
        <v>547</v>
      </c>
      <c r="H733" t="s">
        <v>350</v>
      </c>
      <c r="I733" t="s">
        <v>548</v>
      </c>
      <c r="J733">
        <f t="shared" si="15"/>
        <v>3.25</v>
      </c>
      <c r="K733" t="s">
        <v>101</v>
      </c>
      <c r="L733">
        <v>3200</v>
      </c>
      <c r="M733">
        <f t="shared" si="16"/>
        <v>6.25E-2</v>
      </c>
      <c r="N733" t="s">
        <v>131</v>
      </c>
      <c r="O733" t="s">
        <v>559</v>
      </c>
      <c r="Q733" s="1" t="s">
        <v>2281</v>
      </c>
      <c r="R733" s="1" t="s">
        <v>2295</v>
      </c>
      <c r="S733" s="1" t="s">
        <v>2295</v>
      </c>
      <c r="T733" t="s">
        <v>396</v>
      </c>
      <c r="X733" t="s">
        <v>569</v>
      </c>
      <c r="Y733" t="s">
        <v>2273</v>
      </c>
      <c r="Z733" t="s">
        <v>249</v>
      </c>
      <c r="AA733" t="s">
        <v>2274</v>
      </c>
      <c r="AB733" t="s">
        <v>569</v>
      </c>
      <c r="AC733" t="s">
        <v>152</v>
      </c>
      <c r="AD733" t="s">
        <v>137</v>
      </c>
    </row>
    <row r="734" spans="1:31" x14ac:dyDescent="0.2">
      <c r="A734" t="s">
        <v>545</v>
      </c>
      <c r="B734" t="s">
        <v>546</v>
      </c>
      <c r="C734">
        <v>2021</v>
      </c>
      <c r="D734" t="s">
        <v>44</v>
      </c>
      <c r="E734" t="s">
        <v>49</v>
      </c>
      <c r="F734" t="s">
        <v>83</v>
      </c>
      <c r="G734" t="s">
        <v>547</v>
      </c>
      <c r="H734" t="s">
        <v>350</v>
      </c>
      <c r="I734" t="s">
        <v>548</v>
      </c>
      <c r="J734">
        <f t="shared" si="15"/>
        <v>3.25</v>
      </c>
      <c r="K734" t="s">
        <v>101</v>
      </c>
      <c r="L734">
        <v>3200</v>
      </c>
      <c r="M734">
        <f t="shared" si="16"/>
        <v>6.25E-2</v>
      </c>
      <c r="N734" t="s">
        <v>122</v>
      </c>
      <c r="O734" t="s">
        <v>560</v>
      </c>
      <c r="Q734" s="1" t="s">
        <v>2281</v>
      </c>
      <c r="R734" s="1" t="s">
        <v>122</v>
      </c>
      <c r="S734" s="1" t="s">
        <v>2293</v>
      </c>
      <c r="T734" t="s">
        <v>396</v>
      </c>
      <c r="X734" t="s">
        <v>569</v>
      </c>
      <c r="Y734" t="s">
        <v>2273</v>
      </c>
      <c r="Z734" t="s">
        <v>249</v>
      </c>
      <c r="AA734" t="s">
        <v>2274</v>
      </c>
      <c r="AB734" t="s">
        <v>569</v>
      </c>
      <c r="AC734" t="s">
        <v>152</v>
      </c>
      <c r="AD734" t="s">
        <v>137</v>
      </c>
    </row>
    <row r="735" spans="1:31" x14ac:dyDescent="0.2">
      <c r="A735" t="s">
        <v>545</v>
      </c>
      <c r="B735" t="s">
        <v>546</v>
      </c>
      <c r="C735">
        <v>2021</v>
      </c>
      <c r="D735" t="s">
        <v>44</v>
      </c>
      <c r="E735" t="s">
        <v>49</v>
      </c>
      <c r="F735" t="s">
        <v>83</v>
      </c>
      <c r="G735" t="s">
        <v>547</v>
      </c>
      <c r="H735" t="s">
        <v>350</v>
      </c>
      <c r="I735" t="s">
        <v>548</v>
      </c>
      <c r="J735">
        <f t="shared" si="15"/>
        <v>3.25</v>
      </c>
      <c r="K735" t="s">
        <v>101</v>
      </c>
      <c r="L735">
        <v>3200</v>
      </c>
      <c r="M735">
        <f t="shared" si="16"/>
        <v>6.25E-2</v>
      </c>
      <c r="N735" t="s">
        <v>122</v>
      </c>
      <c r="O735" t="s">
        <v>561</v>
      </c>
      <c r="Q735" s="1" t="s">
        <v>2281</v>
      </c>
      <c r="R735" s="1" t="s">
        <v>122</v>
      </c>
      <c r="S735" s="1" t="s">
        <v>2294</v>
      </c>
      <c r="T735" t="s">
        <v>396</v>
      </c>
      <c r="X735" t="s">
        <v>569</v>
      </c>
      <c r="Y735" t="s">
        <v>2273</v>
      </c>
      <c r="Z735" t="s">
        <v>249</v>
      </c>
      <c r="AA735" t="s">
        <v>2274</v>
      </c>
      <c r="AB735" t="s">
        <v>569</v>
      </c>
      <c r="AC735" t="s">
        <v>152</v>
      </c>
      <c r="AD735" t="s">
        <v>137</v>
      </c>
    </row>
    <row r="736" spans="1:31" x14ac:dyDescent="0.2">
      <c r="A736" t="s">
        <v>545</v>
      </c>
      <c r="B736" t="s">
        <v>546</v>
      </c>
      <c r="C736">
        <v>2021</v>
      </c>
      <c r="D736" t="s">
        <v>44</v>
      </c>
      <c r="E736" t="s">
        <v>49</v>
      </c>
      <c r="F736" t="s">
        <v>83</v>
      </c>
      <c r="G736" t="s">
        <v>547</v>
      </c>
      <c r="H736" t="s">
        <v>350</v>
      </c>
      <c r="I736" t="s">
        <v>548</v>
      </c>
      <c r="J736">
        <f t="shared" si="15"/>
        <v>3.25</v>
      </c>
      <c r="K736" t="s">
        <v>101</v>
      </c>
      <c r="L736">
        <v>3200</v>
      </c>
      <c r="M736">
        <f t="shared" si="16"/>
        <v>6.25E-2</v>
      </c>
      <c r="N736" t="s">
        <v>122</v>
      </c>
      <c r="O736" t="s">
        <v>562</v>
      </c>
      <c r="Q736" s="1" t="s">
        <v>2281</v>
      </c>
      <c r="R736" s="1" t="s">
        <v>122</v>
      </c>
      <c r="S736" s="1" t="s">
        <v>2294</v>
      </c>
      <c r="T736" t="s">
        <v>396</v>
      </c>
      <c r="X736" t="s">
        <v>569</v>
      </c>
      <c r="Y736" t="s">
        <v>2273</v>
      </c>
      <c r="Z736" t="s">
        <v>249</v>
      </c>
      <c r="AA736" t="s">
        <v>2274</v>
      </c>
      <c r="AB736" t="s">
        <v>569</v>
      </c>
      <c r="AC736" t="s">
        <v>152</v>
      </c>
      <c r="AD736" t="s">
        <v>137</v>
      </c>
    </row>
    <row r="737" spans="1:30" x14ac:dyDescent="0.2">
      <c r="A737" t="s">
        <v>545</v>
      </c>
      <c r="B737" t="s">
        <v>546</v>
      </c>
      <c r="C737">
        <v>2021</v>
      </c>
      <c r="D737" t="s">
        <v>44</v>
      </c>
      <c r="E737" t="s">
        <v>49</v>
      </c>
      <c r="F737" t="s">
        <v>83</v>
      </c>
      <c r="G737" t="s">
        <v>547</v>
      </c>
      <c r="H737" t="s">
        <v>350</v>
      </c>
      <c r="I737" t="s">
        <v>548</v>
      </c>
      <c r="J737">
        <f t="shared" si="15"/>
        <v>3.25</v>
      </c>
      <c r="K737" t="s">
        <v>101</v>
      </c>
      <c r="L737">
        <v>3200</v>
      </c>
      <c r="M737">
        <f t="shared" si="16"/>
        <v>6.25E-2</v>
      </c>
      <c r="N737" t="s">
        <v>122</v>
      </c>
      <c r="O737" t="s">
        <v>563</v>
      </c>
      <c r="Q737" s="1" t="s">
        <v>2281</v>
      </c>
      <c r="R737" s="1" t="s">
        <v>122</v>
      </c>
      <c r="S737" s="1" t="s">
        <v>2294</v>
      </c>
      <c r="T737" t="s">
        <v>396</v>
      </c>
      <c r="X737" t="s">
        <v>569</v>
      </c>
      <c r="Y737" t="s">
        <v>2273</v>
      </c>
      <c r="Z737" t="s">
        <v>249</v>
      </c>
      <c r="AA737" t="s">
        <v>2274</v>
      </c>
      <c r="AB737" t="s">
        <v>569</v>
      </c>
      <c r="AC737" t="s">
        <v>152</v>
      </c>
      <c r="AD737" t="s">
        <v>137</v>
      </c>
    </row>
    <row r="738" spans="1:30" x14ac:dyDescent="0.2">
      <c r="A738" t="s">
        <v>545</v>
      </c>
      <c r="B738" t="s">
        <v>546</v>
      </c>
      <c r="C738">
        <v>2021</v>
      </c>
      <c r="D738" t="s">
        <v>44</v>
      </c>
      <c r="E738" t="s">
        <v>49</v>
      </c>
      <c r="F738" t="s">
        <v>83</v>
      </c>
      <c r="G738" t="s">
        <v>547</v>
      </c>
      <c r="H738" t="s">
        <v>350</v>
      </c>
      <c r="I738" t="s">
        <v>548</v>
      </c>
      <c r="J738">
        <f t="shared" si="15"/>
        <v>3.25</v>
      </c>
      <c r="K738" t="s">
        <v>101</v>
      </c>
      <c r="L738">
        <v>3200</v>
      </c>
      <c r="M738">
        <f t="shared" si="16"/>
        <v>6.25E-2</v>
      </c>
      <c r="N738" t="s">
        <v>122</v>
      </c>
      <c r="O738" t="s">
        <v>564</v>
      </c>
      <c r="Q738" s="1" t="s">
        <v>2281</v>
      </c>
      <c r="R738" s="1" t="s">
        <v>122</v>
      </c>
      <c r="S738" s="1" t="s">
        <v>2294</v>
      </c>
      <c r="T738" t="s">
        <v>396</v>
      </c>
      <c r="X738" t="s">
        <v>569</v>
      </c>
      <c r="Y738" t="s">
        <v>2273</v>
      </c>
      <c r="Z738" t="s">
        <v>249</v>
      </c>
      <c r="AA738" t="s">
        <v>2274</v>
      </c>
      <c r="AB738" t="s">
        <v>569</v>
      </c>
      <c r="AC738" t="s">
        <v>152</v>
      </c>
      <c r="AD738" t="s">
        <v>137</v>
      </c>
    </row>
    <row r="739" spans="1:30" x14ac:dyDescent="0.2">
      <c r="A739" t="s">
        <v>545</v>
      </c>
      <c r="B739" t="s">
        <v>546</v>
      </c>
      <c r="C739">
        <v>2021</v>
      </c>
      <c r="D739" t="s">
        <v>44</v>
      </c>
      <c r="E739" t="s">
        <v>49</v>
      </c>
      <c r="F739" t="s">
        <v>83</v>
      </c>
      <c r="G739" t="s">
        <v>547</v>
      </c>
      <c r="H739" t="s">
        <v>350</v>
      </c>
      <c r="I739" t="s">
        <v>548</v>
      </c>
      <c r="J739">
        <f t="shared" si="15"/>
        <v>3.25</v>
      </c>
      <c r="K739" t="s">
        <v>101</v>
      </c>
      <c r="L739">
        <v>3200</v>
      </c>
      <c r="M739">
        <f t="shared" si="16"/>
        <v>6.25E-2</v>
      </c>
      <c r="N739" t="s">
        <v>122</v>
      </c>
      <c r="O739" t="s">
        <v>565</v>
      </c>
      <c r="Q739" s="1" t="s">
        <v>2281</v>
      </c>
      <c r="R739" s="1" t="s">
        <v>122</v>
      </c>
      <c r="S739" s="1" t="s">
        <v>2294</v>
      </c>
      <c r="T739" t="s">
        <v>396</v>
      </c>
      <c r="X739" t="s">
        <v>569</v>
      </c>
      <c r="Y739" t="s">
        <v>2273</v>
      </c>
      <c r="Z739" t="s">
        <v>249</v>
      </c>
      <c r="AA739" t="s">
        <v>2274</v>
      </c>
      <c r="AB739" t="s">
        <v>569</v>
      </c>
      <c r="AC739" t="s">
        <v>152</v>
      </c>
      <c r="AD739" t="s">
        <v>137</v>
      </c>
    </row>
    <row r="740" spans="1:30" x14ac:dyDescent="0.2">
      <c r="A740" t="s">
        <v>545</v>
      </c>
      <c r="B740" t="s">
        <v>546</v>
      </c>
      <c r="C740">
        <v>2021</v>
      </c>
      <c r="D740" t="s">
        <v>44</v>
      </c>
      <c r="E740" t="s">
        <v>49</v>
      </c>
      <c r="F740" t="s">
        <v>83</v>
      </c>
      <c r="G740" t="s">
        <v>547</v>
      </c>
      <c r="H740" t="s">
        <v>350</v>
      </c>
      <c r="I740" t="s">
        <v>548</v>
      </c>
      <c r="J740">
        <f>(3*12+3)/12</f>
        <v>3.25</v>
      </c>
      <c r="K740" t="s">
        <v>101</v>
      </c>
      <c r="L740">
        <v>3200</v>
      </c>
      <c r="M740">
        <f>0.25*0.25</f>
        <v>6.25E-2</v>
      </c>
      <c r="N740" t="s">
        <v>132</v>
      </c>
      <c r="O740" t="s">
        <v>549</v>
      </c>
      <c r="Q740" s="1" t="s">
        <v>2276</v>
      </c>
      <c r="R740" s="1" t="s">
        <v>669</v>
      </c>
      <c r="S740" s="1" t="s">
        <v>168</v>
      </c>
      <c r="T740" t="s">
        <v>396</v>
      </c>
      <c r="X740" t="s">
        <v>569</v>
      </c>
      <c r="Y740" t="s">
        <v>2273</v>
      </c>
      <c r="Z740" t="s">
        <v>249</v>
      </c>
      <c r="AA740" t="s">
        <v>2274</v>
      </c>
      <c r="AB740" t="s">
        <v>569</v>
      </c>
      <c r="AC740" t="s">
        <v>152</v>
      </c>
      <c r="AD740" t="s">
        <v>137</v>
      </c>
    </row>
    <row r="741" spans="1:30" x14ac:dyDescent="0.2">
      <c r="A741" t="s">
        <v>545</v>
      </c>
      <c r="B741" t="s">
        <v>546</v>
      </c>
      <c r="C741">
        <v>2021</v>
      </c>
      <c r="D741" t="s">
        <v>44</v>
      </c>
      <c r="E741" t="s">
        <v>49</v>
      </c>
      <c r="F741" t="s">
        <v>83</v>
      </c>
      <c r="G741" t="s">
        <v>547</v>
      </c>
      <c r="H741" t="s">
        <v>350</v>
      </c>
      <c r="I741" t="s">
        <v>548</v>
      </c>
      <c r="J741">
        <f t="shared" si="15"/>
        <v>3.25</v>
      </c>
      <c r="K741" t="s">
        <v>101</v>
      </c>
      <c r="L741">
        <v>3200</v>
      </c>
      <c r="M741">
        <f t="shared" si="16"/>
        <v>6.25E-2</v>
      </c>
      <c r="N741" t="s">
        <v>120</v>
      </c>
      <c r="O741" t="s">
        <v>550</v>
      </c>
      <c r="Q741" s="1" t="s">
        <v>2276</v>
      </c>
      <c r="R741" s="1" t="s">
        <v>669</v>
      </c>
      <c r="S741" s="1" t="s">
        <v>168</v>
      </c>
      <c r="T741" t="s">
        <v>396</v>
      </c>
      <c r="X741" t="s">
        <v>569</v>
      </c>
      <c r="Y741" t="s">
        <v>2273</v>
      </c>
      <c r="Z741" t="s">
        <v>249</v>
      </c>
      <c r="AA741" t="s">
        <v>2274</v>
      </c>
      <c r="AB741" t="s">
        <v>569</v>
      </c>
      <c r="AC741" t="s">
        <v>152</v>
      </c>
      <c r="AD741" t="s">
        <v>137</v>
      </c>
    </row>
    <row r="742" spans="1:30" x14ac:dyDescent="0.2">
      <c r="A742" t="s">
        <v>545</v>
      </c>
      <c r="B742" t="s">
        <v>546</v>
      </c>
      <c r="C742">
        <v>2021</v>
      </c>
      <c r="D742" t="s">
        <v>44</v>
      </c>
      <c r="E742" t="s">
        <v>49</v>
      </c>
      <c r="F742" t="s">
        <v>83</v>
      </c>
      <c r="G742" t="s">
        <v>547</v>
      </c>
      <c r="H742" t="s">
        <v>350</v>
      </c>
      <c r="I742" t="s">
        <v>548</v>
      </c>
      <c r="J742">
        <f t="shared" si="15"/>
        <v>3.25</v>
      </c>
      <c r="K742" t="s">
        <v>101</v>
      </c>
      <c r="L742">
        <v>3200</v>
      </c>
      <c r="M742">
        <f t="shared" si="16"/>
        <v>6.25E-2</v>
      </c>
      <c r="N742" t="s">
        <v>128</v>
      </c>
      <c r="O742" t="s">
        <v>551</v>
      </c>
      <c r="Q742" s="1" t="s">
        <v>2276</v>
      </c>
      <c r="R742" s="1" t="s">
        <v>669</v>
      </c>
      <c r="S742" s="1" t="s">
        <v>2348</v>
      </c>
      <c r="T742" t="s">
        <v>396</v>
      </c>
      <c r="X742" t="s">
        <v>569</v>
      </c>
      <c r="Y742" t="s">
        <v>2273</v>
      </c>
      <c r="Z742" t="s">
        <v>249</v>
      </c>
      <c r="AA742" t="s">
        <v>2274</v>
      </c>
      <c r="AB742" t="s">
        <v>569</v>
      </c>
      <c r="AC742" t="s">
        <v>152</v>
      </c>
      <c r="AD742" t="s">
        <v>137</v>
      </c>
    </row>
    <row r="743" spans="1:30" x14ac:dyDescent="0.2">
      <c r="A743" t="s">
        <v>545</v>
      </c>
      <c r="B743" t="s">
        <v>546</v>
      </c>
      <c r="C743">
        <v>2021</v>
      </c>
      <c r="D743" t="s">
        <v>44</v>
      </c>
      <c r="E743" t="s">
        <v>49</v>
      </c>
      <c r="F743" t="s">
        <v>83</v>
      </c>
      <c r="G743" t="s">
        <v>547</v>
      </c>
      <c r="H743" t="s">
        <v>350</v>
      </c>
      <c r="I743" t="s">
        <v>548</v>
      </c>
      <c r="J743">
        <f t="shared" si="15"/>
        <v>3.25</v>
      </c>
      <c r="K743" t="s">
        <v>101</v>
      </c>
      <c r="L743">
        <v>3200</v>
      </c>
      <c r="M743">
        <f t="shared" si="16"/>
        <v>6.25E-2</v>
      </c>
      <c r="N743" t="s">
        <v>128</v>
      </c>
      <c r="O743" t="s">
        <v>552</v>
      </c>
      <c r="Q743" s="1" t="s">
        <v>2276</v>
      </c>
      <c r="R743" s="1" t="s">
        <v>755</v>
      </c>
      <c r="S743" s="1" t="s">
        <v>2352</v>
      </c>
      <c r="T743" t="s">
        <v>396</v>
      </c>
      <c r="X743" t="s">
        <v>569</v>
      </c>
      <c r="Y743" t="s">
        <v>2273</v>
      </c>
      <c r="Z743" t="s">
        <v>249</v>
      </c>
      <c r="AA743" t="s">
        <v>2274</v>
      </c>
      <c r="AB743" t="s">
        <v>569</v>
      </c>
      <c r="AC743" t="s">
        <v>152</v>
      </c>
      <c r="AD743" t="s">
        <v>137</v>
      </c>
    </row>
    <row r="744" spans="1:30" x14ac:dyDescent="0.2">
      <c r="A744" t="s">
        <v>545</v>
      </c>
      <c r="B744" t="s">
        <v>546</v>
      </c>
      <c r="C744">
        <v>2021</v>
      </c>
      <c r="D744" t="s">
        <v>44</v>
      </c>
      <c r="E744" t="s">
        <v>49</v>
      </c>
      <c r="F744" t="s">
        <v>83</v>
      </c>
      <c r="G744" t="s">
        <v>547</v>
      </c>
      <c r="H744" t="s">
        <v>350</v>
      </c>
      <c r="I744" t="s">
        <v>548</v>
      </c>
      <c r="J744">
        <f t="shared" si="15"/>
        <v>3.25</v>
      </c>
      <c r="K744" t="s">
        <v>101</v>
      </c>
      <c r="L744">
        <v>3200</v>
      </c>
      <c r="M744">
        <f t="shared" si="16"/>
        <v>6.25E-2</v>
      </c>
      <c r="N744" t="s">
        <v>128</v>
      </c>
      <c r="O744" t="s">
        <v>553</v>
      </c>
      <c r="Q744" s="1" t="s">
        <v>2276</v>
      </c>
      <c r="R744" s="1" t="s">
        <v>755</v>
      </c>
      <c r="S744" s="1" t="s">
        <v>2352</v>
      </c>
      <c r="T744" t="s">
        <v>396</v>
      </c>
      <c r="X744" t="s">
        <v>569</v>
      </c>
      <c r="Y744" t="s">
        <v>2273</v>
      </c>
      <c r="Z744" t="s">
        <v>249</v>
      </c>
      <c r="AA744" t="s">
        <v>2274</v>
      </c>
      <c r="AB744" t="s">
        <v>569</v>
      </c>
      <c r="AC744" t="s">
        <v>152</v>
      </c>
      <c r="AD744" t="s">
        <v>137</v>
      </c>
    </row>
    <row r="745" spans="1:30" x14ac:dyDescent="0.2">
      <c r="A745" t="s">
        <v>545</v>
      </c>
      <c r="B745" t="s">
        <v>546</v>
      </c>
      <c r="C745">
        <v>2021</v>
      </c>
      <c r="D745" t="s">
        <v>44</v>
      </c>
      <c r="E745" t="s">
        <v>49</v>
      </c>
      <c r="F745" t="s">
        <v>83</v>
      </c>
      <c r="G745" t="s">
        <v>547</v>
      </c>
      <c r="H745" t="s">
        <v>350</v>
      </c>
      <c r="I745" t="s">
        <v>548</v>
      </c>
      <c r="J745">
        <f t="shared" si="15"/>
        <v>3.25</v>
      </c>
      <c r="K745" t="s">
        <v>101</v>
      </c>
      <c r="L745">
        <v>3200</v>
      </c>
      <c r="M745">
        <f t="shared" si="16"/>
        <v>6.25E-2</v>
      </c>
      <c r="N745" t="s">
        <v>128</v>
      </c>
      <c r="O745" t="s">
        <v>554</v>
      </c>
      <c r="Q745" s="1" t="s">
        <v>2276</v>
      </c>
      <c r="R745" s="1" t="s">
        <v>751</v>
      </c>
      <c r="S745" s="1" t="s">
        <v>2353</v>
      </c>
      <c r="T745" t="s">
        <v>396</v>
      </c>
      <c r="X745" t="s">
        <v>569</v>
      </c>
      <c r="Y745" t="s">
        <v>2273</v>
      </c>
      <c r="Z745" t="s">
        <v>249</v>
      </c>
      <c r="AA745" t="s">
        <v>2274</v>
      </c>
      <c r="AB745" t="s">
        <v>569</v>
      </c>
      <c r="AC745" t="s">
        <v>152</v>
      </c>
      <c r="AD745" t="s">
        <v>137</v>
      </c>
    </row>
    <row r="746" spans="1:30" x14ac:dyDescent="0.2">
      <c r="A746" t="s">
        <v>545</v>
      </c>
      <c r="B746" t="s">
        <v>546</v>
      </c>
      <c r="C746">
        <v>2021</v>
      </c>
      <c r="D746" t="s">
        <v>44</v>
      </c>
      <c r="E746" t="s">
        <v>49</v>
      </c>
      <c r="F746" t="s">
        <v>83</v>
      </c>
      <c r="G746" t="s">
        <v>547</v>
      </c>
      <c r="H746" t="s">
        <v>350</v>
      </c>
      <c r="I746" t="s">
        <v>548</v>
      </c>
      <c r="J746">
        <f t="shared" si="15"/>
        <v>3.25</v>
      </c>
      <c r="K746" t="s">
        <v>101</v>
      </c>
      <c r="L746">
        <v>3200</v>
      </c>
      <c r="M746">
        <f t="shared" si="16"/>
        <v>6.25E-2</v>
      </c>
      <c r="N746" t="s">
        <v>128</v>
      </c>
      <c r="O746" t="s">
        <v>555</v>
      </c>
      <c r="Q746" s="1" t="s">
        <v>2276</v>
      </c>
      <c r="R746" s="1" t="s">
        <v>2284</v>
      </c>
      <c r="S746" s="1" t="s">
        <v>290</v>
      </c>
      <c r="T746" t="s">
        <v>396</v>
      </c>
      <c r="X746" t="s">
        <v>569</v>
      </c>
      <c r="Y746" t="s">
        <v>2273</v>
      </c>
      <c r="Z746" t="s">
        <v>249</v>
      </c>
      <c r="AA746" t="s">
        <v>2274</v>
      </c>
      <c r="AB746" t="s">
        <v>569</v>
      </c>
      <c r="AC746" t="s">
        <v>152</v>
      </c>
      <c r="AD746" t="s">
        <v>137</v>
      </c>
    </row>
    <row r="747" spans="1:30" x14ac:dyDescent="0.2">
      <c r="A747" t="s">
        <v>545</v>
      </c>
      <c r="B747" t="s">
        <v>546</v>
      </c>
      <c r="C747">
        <v>2021</v>
      </c>
      <c r="D747" t="s">
        <v>44</v>
      </c>
      <c r="E747" t="s">
        <v>49</v>
      </c>
      <c r="F747" t="s">
        <v>83</v>
      </c>
      <c r="G747" t="s">
        <v>547</v>
      </c>
      <c r="H747" t="s">
        <v>350</v>
      </c>
      <c r="I747" t="s">
        <v>548</v>
      </c>
      <c r="J747">
        <f t="shared" si="15"/>
        <v>3.25</v>
      </c>
      <c r="K747" t="s">
        <v>101</v>
      </c>
      <c r="L747">
        <v>3200</v>
      </c>
      <c r="M747">
        <f t="shared" si="16"/>
        <v>6.25E-2</v>
      </c>
      <c r="N747" t="s">
        <v>128</v>
      </c>
      <c r="O747" t="s">
        <v>556</v>
      </c>
      <c r="Q747" s="1" t="s">
        <v>2276</v>
      </c>
      <c r="R747" s="1" t="s">
        <v>755</v>
      </c>
      <c r="S747" s="1" t="s">
        <v>2352</v>
      </c>
      <c r="T747" t="s">
        <v>396</v>
      </c>
      <c r="X747" t="s">
        <v>569</v>
      </c>
      <c r="Y747" t="s">
        <v>2273</v>
      </c>
      <c r="Z747" t="s">
        <v>249</v>
      </c>
      <c r="AA747" t="s">
        <v>2274</v>
      </c>
      <c r="AB747" t="s">
        <v>569</v>
      </c>
      <c r="AC747" t="s">
        <v>152</v>
      </c>
      <c r="AD747" t="s">
        <v>137</v>
      </c>
    </row>
    <row r="748" spans="1:30" x14ac:dyDescent="0.2">
      <c r="A748" t="s">
        <v>545</v>
      </c>
      <c r="B748" t="s">
        <v>546</v>
      </c>
      <c r="C748">
        <v>2021</v>
      </c>
      <c r="D748" t="s">
        <v>44</v>
      </c>
      <c r="E748" t="s">
        <v>49</v>
      </c>
      <c r="F748" t="s">
        <v>83</v>
      </c>
      <c r="G748" t="s">
        <v>547</v>
      </c>
      <c r="H748" t="s">
        <v>350</v>
      </c>
      <c r="I748" t="s">
        <v>548</v>
      </c>
      <c r="J748">
        <f t="shared" si="15"/>
        <v>3.25</v>
      </c>
      <c r="K748" t="s">
        <v>101</v>
      </c>
      <c r="L748">
        <v>3200</v>
      </c>
      <c r="M748">
        <f t="shared" si="16"/>
        <v>6.25E-2</v>
      </c>
      <c r="N748" t="s">
        <v>129</v>
      </c>
      <c r="O748" t="s">
        <v>557</v>
      </c>
      <c r="Q748" s="1" t="s">
        <v>2276</v>
      </c>
      <c r="R748" s="1" t="s">
        <v>2350</v>
      </c>
      <c r="S748" s="1" t="s">
        <v>2350</v>
      </c>
      <c r="T748" t="s">
        <v>396</v>
      </c>
      <c r="X748" t="s">
        <v>569</v>
      </c>
      <c r="Y748" t="s">
        <v>2273</v>
      </c>
      <c r="Z748" t="s">
        <v>249</v>
      </c>
      <c r="AA748" t="s">
        <v>2274</v>
      </c>
      <c r="AB748" t="s">
        <v>569</v>
      </c>
      <c r="AC748" t="s">
        <v>152</v>
      </c>
      <c r="AD748" t="s">
        <v>137</v>
      </c>
    </row>
    <row r="749" spans="1:30" x14ac:dyDescent="0.2">
      <c r="A749" t="s">
        <v>545</v>
      </c>
      <c r="B749" t="s">
        <v>546</v>
      </c>
      <c r="C749">
        <v>2021</v>
      </c>
      <c r="D749" t="s">
        <v>44</v>
      </c>
      <c r="E749" t="s">
        <v>49</v>
      </c>
      <c r="F749" t="s">
        <v>83</v>
      </c>
      <c r="G749" t="s">
        <v>547</v>
      </c>
      <c r="H749" t="s">
        <v>350</v>
      </c>
      <c r="I749" t="s">
        <v>548</v>
      </c>
      <c r="J749">
        <f t="shared" si="15"/>
        <v>3.25</v>
      </c>
      <c r="K749" t="s">
        <v>101</v>
      </c>
      <c r="L749">
        <v>3200</v>
      </c>
      <c r="M749">
        <f t="shared" si="16"/>
        <v>6.25E-2</v>
      </c>
      <c r="N749" t="s">
        <v>122</v>
      </c>
      <c r="O749" t="s">
        <v>247</v>
      </c>
      <c r="Q749" s="1" t="s">
        <v>2281</v>
      </c>
      <c r="R749" s="1" t="s">
        <v>122</v>
      </c>
      <c r="S749" s="1" t="s">
        <v>2293</v>
      </c>
      <c r="T749" t="s">
        <v>396</v>
      </c>
      <c r="X749" t="s">
        <v>569</v>
      </c>
      <c r="Y749" t="s">
        <v>2273</v>
      </c>
      <c r="Z749" t="s">
        <v>249</v>
      </c>
      <c r="AA749" t="s">
        <v>2274</v>
      </c>
      <c r="AB749" t="s">
        <v>569</v>
      </c>
      <c r="AC749" t="s">
        <v>152</v>
      </c>
      <c r="AD749" t="s">
        <v>137</v>
      </c>
    </row>
    <row r="750" spans="1:30" x14ac:dyDescent="0.2">
      <c r="A750" t="s">
        <v>545</v>
      </c>
      <c r="B750" t="s">
        <v>546</v>
      </c>
      <c r="C750">
        <v>2021</v>
      </c>
      <c r="D750" t="s">
        <v>44</v>
      </c>
      <c r="E750" t="s">
        <v>49</v>
      </c>
      <c r="F750" t="s">
        <v>83</v>
      </c>
      <c r="G750" t="s">
        <v>547</v>
      </c>
      <c r="H750" t="s">
        <v>350</v>
      </c>
      <c r="I750" t="s">
        <v>548</v>
      </c>
      <c r="J750">
        <f t="shared" si="15"/>
        <v>3.25</v>
      </c>
      <c r="K750" t="s">
        <v>101</v>
      </c>
      <c r="L750">
        <v>3200</v>
      </c>
      <c r="M750">
        <f t="shared" si="16"/>
        <v>6.25E-2</v>
      </c>
      <c r="N750" t="s">
        <v>131</v>
      </c>
      <c r="O750" t="s">
        <v>558</v>
      </c>
      <c r="Q750" s="1" t="s">
        <v>2281</v>
      </c>
      <c r="R750" s="1" t="s">
        <v>2295</v>
      </c>
      <c r="S750" s="1" t="s">
        <v>2295</v>
      </c>
      <c r="T750" t="s">
        <v>396</v>
      </c>
      <c r="X750" t="s">
        <v>569</v>
      </c>
      <c r="Y750" t="s">
        <v>2273</v>
      </c>
      <c r="Z750" t="s">
        <v>249</v>
      </c>
      <c r="AA750" t="s">
        <v>2274</v>
      </c>
      <c r="AB750" t="s">
        <v>569</v>
      </c>
      <c r="AC750" t="s">
        <v>152</v>
      </c>
      <c r="AD750" t="s">
        <v>137</v>
      </c>
    </row>
    <row r="751" spans="1:30" x14ac:dyDescent="0.2">
      <c r="A751" t="s">
        <v>545</v>
      </c>
      <c r="B751" t="s">
        <v>546</v>
      </c>
      <c r="C751">
        <v>2021</v>
      </c>
      <c r="D751" t="s">
        <v>44</v>
      </c>
      <c r="E751" t="s">
        <v>49</v>
      </c>
      <c r="F751" t="s">
        <v>83</v>
      </c>
      <c r="G751" t="s">
        <v>547</v>
      </c>
      <c r="H751" t="s">
        <v>350</v>
      </c>
      <c r="I751" t="s">
        <v>548</v>
      </c>
      <c r="J751">
        <f t="shared" si="15"/>
        <v>3.25</v>
      </c>
      <c r="K751" t="s">
        <v>101</v>
      </c>
      <c r="L751">
        <v>3200</v>
      </c>
      <c r="M751">
        <f t="shared" si="16"/>
        <v>6.25E-2</v>
      </c>
      <c r="N751" t="s">
        <v>131</v>
      </c>
      <c r="O751" t="s">
        <v>559</v>
      </c>
      <c r="Q751" s="1" t="s">
        <v>2281</v>
      </c>
      <c r="R751" s="1" t="s">
        <v>2295</v>
      </c>
      <c r="S751" s="1" t="s">
        <v>2295</v>
      </c>
      <c r="T751" t="s">
        <v>396</v>
      </c>
      <c r="X751" t="s">
        <v>569</v>
      </c>
      <c r="Y751" t="s">
        <v>2273</v>
      </c>
      <c r="Z751" t="s">
        <v>249</v>
      </c>
      <c r="AA751" t="s">
        <v>2274</v>
      </c>
      <c r="AB751" t="s">
        <v>569</v>
      </c>
      <c r="AC751" t="s">
        <v>152</v>
      </c>
      <c r="AD751" t="s">
        <v>137</v>
      </c>
    </row>
    <row r="752" spans="1:30" x14ac:dyDescent="0.2">
      <c r="A752" t="s">
        <v>545</v>
      </c>
      <c r="B752" t="s">
        <v>546</v>
      </c>
      <c r="C752">
        <v>2021</v>
      </c>
      <c r="D752" t="s">
        <v>44</v>
      </c>
      <c r="E752" t="s">
        <v>49</v>
      </c>
      <c r="F752" t="s">
        <v>83</v>
      </c>
      <c r="G752" t="s">
        <v>547</v>
      </c>
      <c r="H752" t="s">
        <v>350</v>
      </c>
      <c r="I752" t="s">
        <v>548</v>
      </c>
      <c r="J752">
        <f t="shared" si="15"/>
        <v>3.25</v>
      </c>
      <c r="K752" t="s">
        <v>101</v>
      </c>
      <c r="L752">
        <v>3200</v>
      </c>
      <c r="M752">
        <f t="shared" si="16"/>
        <v>6.25E-2</v>
      </c>
      <c r="N752" t="s">
        <v>122</v>
      </c>
      <c r="O752" t="s">
        <v>560</v>
      </c>
      <c r="Q752" s="1" t="s">
        <v>2281</v>
      </c>
      <c r="R752" s="1" t="s">
        <v>122</v>
      </c>
      <c r="S752" s="1" t="s">
        <v>2293</v>
      </c>
      <c r="T752" t="s">
        <v>396</v>
      </c>
      <c r="X752" t="s">
        <v>569</v>
      </c>
      <c r="Y752" t="s">
        <v>2273</v>
      </c>
      <c r="Z752" t="s">
        <v>249</v>
      </c>
      <c r="AA752" t="s">
        <v>2274</v>
      </c>
      <c r="AB752" t="s">
        <v>569</v>
      </c>
      <c r="AC752" t="s">
        <v>152</v>
      </c>
      <c r="AD752" t="s">
        <v>137</v>
      </c>
    </row>
    <row r="753" spans="1:42" x14ac:dyDescent="0.2">
      <c r="A753" t="s">
        <v>545</v>
      </c>
      <c r="B753" t="s">
        <v>546</v>
      </c>
      <c r="C753">
        <v>2021</v>
      </c>
      <c r="D753" t="s">
        <v>44</v>
      </c>
      <c r="E753" t="s">
        <v>49</v>
      </c>
      <c r="F753" t="s">
        <v>83</v>
      </c>
      <c r="G753" t="s">
        <v>547</v>
      </c>
      <c r="H753" t="s">
        <v>350</v>
      </c>
      <c r="I753" t="s">
        <v>548</v>
      </c>
      <c r="J753">
        <f t="shared" si="15"/>
        <v>3.25</v>
      </c>
      <c r="K753" t="s">
        <v>101</v>
      </c>
      <c r="L753">
        <v>3200</v>
      </c>
      <c r="M753">
        <f t="shared" si="16"/>
        <v>6.25E-2</v>
      </c>
      <c r="N753" t="s">
        <v>122</v>
      </c>
      <c r="O753" t="s">
        <v>561</v>
      </c>
      <c r="Q753" s="1" t="s">
        <v>2281</v>
      </c>
      <c r="R753" s="1" t="s">
        <v>122</v>
      </c>
      <c r="S753" s="1" t="s">
        <v>2294</v>
      </c>
      <c r="T753" t="s">
        <v>396</v>
      </c>
      <c r="X753" t="s">
        <v>569</v>
      </c>
      <c r="Y753" t="s">
        <v>2273</v>
      </c>
      <c r="Z753" t="s">
        <v>249</v>
      </c>
      <c r="AA753" t="s">
        <v>2274</v>
      </c>
      <c r="AB753" t="s">
        <v>569</v>
      </c>
      <c r="AC753" t="s">
        <v>152</v>
      </c>
      <c r="AD753" t="s">
        <v>137</v>
      </c>
    </row>
    <row r="754" spans="1:42" x14ac:dyDescent="0.2">
      <c r="A754" t="s">
        <v>545</v>
      </c>
      <c r="B754" t="s">
        <v>546</v>
      </c>
      <c r="C754">
        <v>2021</v>
      </c>
      <c r="D754" t="s">
        <v>44</v>
      </c>
      <c r="E754" t="s">
        <v>49</v>
      </c>
      <c r="F754" t="s">
        <v>83</v>
      </c>
      <c r="G754" t="s">
        <v>547</v>
      </c>
      <c r="H754" t="s">
        <v>350</v>
      </c>
      <c r="I754" t="s">
        <v>548</v>
      </c>
      <c r="J754">
        <f t="shared" si="15"/>
        <v>3.25</v>
      </c>
      <c r="K754" t="s">
        <v>101</v>
      </c>
      <c r="L754">
        <v>3200</v>
      </c>
      <c r="M754">
        <f t="shared" si="16"/>
        <v>6.25E-2</v>
      </c>
      <c r="N754" t="s">
        <v>122</v>
      </c>
      <c r="O754" t="s">
        <v>562</v>
      </c>
      <c r="Q754" s="1" t="s">
        <v>2281</v>
      </c>
      <c r="R754" s="1" t="s">
        <v>122</v>
      </c>
      <c r="S754" s="1" t="s">
        <v>2294</v>
      </c>
      <c r="T754" t="s">
        <v>396</v>
      </c>
      <c r="X754" t="s">
        <v>569</v>
      </c>
      <c r="Y754" t="s">
        <v>2273</v>
      </c>
      <c r="Z754" t="s">
        <v>249</v>
      </c>
      <c r="AA754" t="s">
        <v>2274</v>
      </c>
      <c r="AB754" t="s">
        <v>569</v>
      </c>
      <c r="AC754" t="s">
        <v>152</v>
      </c>
      <c r="AD754" t="s">
        <v>137</v>
      </c>
    </row>
    <row r="755" spans="1:42" x14ac:dyDescent="0.2">
      <c r="A755" t="s">
        <v>545</v>
      </c>
      <c r="B755" t="s">
        <v>546</v>
      </c>
      <c r="C755">
        <v>2021</v>
      </c>
      <c r="D755" t="s">
        <v>44</v>
      </c>
      <c r="E755" t="s">
        <v>49</v>
      </c>
      <c r="F755" t="s">
        <v>83</v>
      </c>
      <c r="G755" t="s">
        <v>547</v>
      </c>
      <c r="H755" t="s">
        <v>350</v>
      </c>
      <c r="I755" t="s">
        <v>548</v>
      </c>
      <c r="J755">
        <f t="shared" si="15"/>
        <v>3.25</v>
      </c>
      <c r="K755" t="s">
        <v>101</v>
      </c>
      <c r="L755">
        <v>3200</v>
      </c>
      <c r="M755">
        <f t="shared" si="16"/>
        <v>6.25E-2</v>
      </c>
      <c r="N755" t="s">
        <v>122</v>
      </c>
      <c r="O755" t="s">
        <v>563</v>
      </c>
      <c r="Q755" s="1" t="s">
        <v>2281</v>
      </c>
      <c r="R755" s="1" t="s">
        <v>122</v>
      </c>
      <c r="S755" s="1" t="s">
        <v>2294</v>
      </c>
      <c r="T755" t="s">
        <v>396</v>
      </c>
      <c r="X755" t="s">
        <v>569</v>
      </c>
      <c r="Y755" t="s">
        <v>2273</v>
      </c>
      <c r="Z755" t="s">
        <v>249</v>
      </c>
      <c r="AA755" t="s">
        <v>2274</v>
      </c>
      <c r="AB755" t="s">
        <v>569</v>
      </c>
      <c r="AC755" t="s">
        <v>152</v>
      </c>
      <c r="AD755" t="s">
        <v>137</v>
      </c>
    </row>
    <row r="756" spans="1:42" x14ac:dyDescent="0.2">
      <c r="A756" t="s">
        <v>545</v>
      </c>
      <c r="B756" t="s">
        <v>546</v>
      </c>
      <c r="C756">
        <v>2021</v>
      </c>
      <c r="D756" t="s">
        <v>44</v>
      </c>
      <c r="E756" t="s">
        <v>49</v>
      </c>
      <c r="F756" t="s">
        <v>83</v>
      </c>
      <c r="G756" t="s">
        <v>547</v>
      </c>
      <c r="H756" t="s">
        <v>350</v>
      </c>
      <c r="I756" t="s">
        <v>548</v>
      </c>
      <c r="J756">
        <f t="shared" si="15"/>
        <v>3.25</v>
      </c>
      <c r="K756" t="s">
        <v>101</v>
      </c>
      <c r="L756">
        <v>3200</v>
      </c>
      <c r="M756">
        <f t="shared" si="16"/>
        <v>6.25E-2</v>
      </c>
      <c r="N756" t="s">
        <v>122</v>
      </c>
      <c r="O756" t="s">
        <v>564</v>
      </c>
      <c r="Q756" s="1" t="s">
        <v>2281</v>
      </c>
      <c r="R756" s="1" t="s">
        <v>122</v>
      </c>
      <c r="S756" s="1" t="s">
        <v>2294</v>
      </c>
      <c r="T756" t="s">
        <v>396</v>
      </c>
      <c r="X756" t="s">
        <v>569</v>
      </c>
      <c r="Y756" t="s">
        <v>2273</v>
      </c>
      <c r="Z756" t="s">
        <v>249</v>
      </c>
      <c r="AA756" t="s">
        <v>2274</v>
      </c>
      <c r="AB756" t="s">
        <v>569</v>
      </c>
      <c r="AC756" t="s">
        <v>152</v>
      </c>
      <c r="AD756" t="s">
        <v>137</v>
      </c>
    </row>
    <row r="757" spans="1:42" x14ac:dyDescent="0.2">
      <c r="A757" t="s">
        <v>545</v>
      </c>
      <c r="B757" t="s">
        <v>546</v>
      </c>
      <c r="C757">
        <v>2021</v>
      </c>
      <c r="D757" t="s">
        <v>44</v>
      </c>
      <c r="E757" t="s">
        <v>49</v>
      </c>
      <c r="F757" t="s">
        <v>83</v>
      </c>
      <c r="G757" t="s">
        <v>547</v>
      </c>
      <c r="H757" t="s">
        <v>350</v>
      </c>
      <c r="I757" t="s">
        <v>548</v>
      </c>
      <c r="J757">
        <f t="shared" si="15"/>
        <v>3.25</v>
      </c>
      <c r="K757" t="s">
        <v>101</v>
      </c>
      <c r="L757">
        <v>3200</v>
      </c>
      <c r="M757">
        <f t="shared" si="16"/>
        <v>6.25E-2</v>
      </c>
      <c r="N757" t="s">
        <v>122</v>
      </c>
      <c r="O757" t="s">
        <v>565</v>
      </c>
      <c r="Q757" s="1" t="s">
        <v>2281</v>
      </c>
      <c r="R757" s="1" t="s">
        <v>122</v>
      </c>
      <c r="S757" s="1" t="s">
        <v>2294</v>
      </c>
      <c r="T757" t="s">
        <v>396</v>
      </c>
      <c r="X757" t="s">
        <v>569</v>
      </c>
      <c r="Y757" t="s">
        <v>2273</v>
      </c>
      <c r="Z757" t="s">
        <v>249</v>
      </c>
      <c r="AA757" t="s">
        <v>2274</v>
      </c>
      <c r="AB757" t="s">
        <v>569</v>
      </c>
      <c r="AC757" t="s">
        <v>152</v>
      </c>
      <c r="AD757" t="s">
        <v>137</v>
      </c>
    </row>
    <row r="758" spans="1:42" x14ac:dyDescent="0.2">
      <c r="A758" t="s">
        <v>545</v>
      </c>
      <c r="B758" t="s">
        <v>546</v>
      </c>
      <c r="C758">
        <v>2021</v>
      </c>
      <c r="D758" t="s">
        <v>44</v>
      </c>
      <c r="E758" t="s">
        <v>49</v>
      </c>
      <c r="F758" t="s">
        <v>83</v>
      </c>
      <c r="G758" t="s">
        <v>547</v>
      </c>
      <c r="H758" t="s">
        <v>350</v>
      </c>
      <c r="I758" t="s">
        <v>548</v>
      </c>
      <c r="J758">
        <f>(3*12+3)/12</f>
        <v>3.25</v>
      </c>
      <c r="K758" t="s">
        <v>101</v>
      </c>
      <c r="L758">
        <v>3200</v>
      </c>
      <c r="M758">
        <f>0.25*0.25</f>
        <v>6.25E-2</v>
      </c>
      <c r="N758" t="s">
        <v>132</v>
      </c>
      <c r="O758" t="s">
        <v>549</v>
      </c>
      <c r="Q758" s="1" t="s">
        <v>2276</v>
      </c>
      <c r="R758" s="1" t="s">
        <v>669</v>
      </c>
      <c r="S758" s="1" t="s">
        <v>168</v>
      </c>
      <c r="T758" t="s">
        <v>396</v>
      </c>
      <c r="U758" s="1" t="s">
        <v>2375</v>
      </c>
      <c r="X758" t="s">
        <v>161</v>
      </c>
      <c r="Y758" t="s">
        <v>2272</v>
      </c>
      <c r="Z758" t="s">
        <v>2272</v>
      </c>
      <c r="AA758" t="s">
        <v>2272</v>
      </c>
      <c r="AB758" t="s">
        <v>2272</v>
      </c>
      <c r="AC758" t="s">
        <v>162</v>
      </c>
      <c r="AD758" t="s">
        <v>2272</v>
      </c>
      <c r="AF758" t="s">
        <v>49</v>
      </c>
      <c r="AI758" t="s">
        <v>49</v>
      </c>
      <c r="AM758" t="s">
        <v>201</v>
      </c>
      <c r="AN758" t="s">
        <v>165</v>
      </c>
      <c r="AP758" t="s">
        <v>49</v>
      </c>
    </row>
    <row r="759" spans="1:42" x14ac:dyDescent="0.2">
      <c r="A759" t="s">
        <v>545</v>
      </c>
      <c r="B759" t="s">
        <v>546</v>
      </c>
      <c r="C759">
        <v>2021</v>
      </c>
      <c r="D759" t="s">
        <v>44</v>
      </c>
      <c r="E759" t="s">
        <v>49</v>
      </c>
      <c r="F759" t="s">
        <v>83</v>
      </c>
      <c r="G759" t="s">
        <v>547</v>
      </c>
      <c r="H759" t="s">
        <v>350</v>
      </c>
      <c r="I759" t="s">
        <v>548</v>
      </c>
      <c r="J759">
        <f t="shared" ref="J759:J775" si="17">(3*12+3)/12</f>
        <v>3.25</v>
      </c>
      <c r="K759" t="s">
        <v>101</v>
      </c>
      <c r="L759">
        <v>3200</v>
      </c>
      <c r="M759">
        <f t="shared" ref="M759:M775" si="18">0.25*0.25</f>
        <v>6.25E-2</v>
      </c>
      <c r="N759" t="s">
        <v>120</v>
      </c>
      <c r="O759" t="s">
        <v>550</v>
      </c>
      <c r="Q759" s="1" t="s">
        <v>2276</v>
      </c>
      <c r="R759" s="1" t="s">
        <v>669</v>
      </c>
      <c r="S759" s="1" t="s">
        <v>168</v>
      </c>
      <c r="T759" t="s">
        <v>396</v>
      </c>
      <c r="U759" s="1" t="s">
        <v>2375</v>
      </c>
      <c r="X759" t="s">
        <v>161</v>
      </c>
      <c r="Y759" t="s">
        <v>2272</v>
      </c>
      <c r="Z759" t="s">
        <v>2272</v>
      </c>
      <c r="AA759" t="s">
        <v>2272</v>
      </c>
      <c r="AB759" t="s">
        <v>2272</v>
      </c>
      <c r="AC759" t="s">
        <v>162</v>
      </c>
      <c r="AD759" t="s">
        <v>2272</v>
      </c>
      <c r="AF759" t="s">
        <v>49</v>
      </c>
      <c r="AI759" t="s">
        <v>49</v>
      </c>
      <c r="AM759" t="s">
        <v>201</v>
      </c>
      <c r="AN759" t="s">
        <v>165</v>
      </c>
      <c r="AP759" t="s">
        <v>49</v>
      </c>
    </row>
    <row r="760" spans="1:42" x14ac:dyDescent="0.2">
      <c r="A760" t="s">
        <v>545</v>
      </c>
      <c r="B760" t="s">
        <v>546</v>
      </c>
      <c r="C760">
        <v>2021</v>
      </c>
      <c r="D760" t="s">
        <v>44</v>
      </c>
      <c r="E760" t="s">
        <v>49</v>
      </c>
      <c r="F760" t="s">
        <v>83</v>
      </c>
      <c r="G760" t="s">
        <v>547</v>
      </c>
      <c r="H760" t="s">
        <v>350</v>
      </c>
      <c r="I760" t="s">
        <v>548</v>
      </c>
      <c r="J760">
        <f t="shared" si="17"/>
        <v>3.25</v>
      </c>
      <c r="K760" t="s">
        <v>101</v>
      </c>
      <c r="L760">
        <v>3200</v>
      </c>
      <c r="M760">
        <f t="shared" si="18"/>
        <v>6.25E-2</v>
      </c>
      <c r="N760" t="s">
        <v>128</v>
      </c>
      <c r="O760" t="s">
        <v>551</v>
      </c>
      <c r="Q760" s="1" t="s">
        <v>2276</v>
      </c>
      <c r="R760" s="1" t="s">
        <v>669</v>
      </c>
      <c r="S760" s="1" t="s">
        <v>2348</v>
      </c>
      <c r="T760" t="s">
        <v>396</v>
      </c>
      <c r="U760" s="1" t="s">
        <v>2376</v>
      </c>
      <c r="X760" t="s">
        <v>161</v>
      </c>
      <c r="Y760" t="s">
        <v>2272</v>
      </c>
      <c r="Z760" t="s">
        <v>2272</v>
      </c>
      <c r="AA760" t="s">
        <v>2272</v>
      </c>
      <c r="AB760" t="s">
        <v>2272</v>
      </c>
      <c r="AC760" t="s">
        <v>162</v>
      </c>
      <c r="AD760" t="s">
        <v>2272</v>
      </c>
      <c r="AF760" t="s">
        <v>49</v>
      </c>
      <c r="AI760" t="s">
        <v>49</v>
      </c>
      <c r="AM760" t="s">
        <v>201</v>
      </c>
      <c r="AN760" t="s">
        <v>165</v>
      </c>
      <c r="AP760" t="s">
        <v>49</v>
      </c>
    </row>
    <row r="761" spans="1:42" x14ac:dyDescent="0.2">
      <c r="A761" t="s">
        <v>545</v>
      </c>
      <c r="B761" t="s">
        <v>546</v>
      </c>
      <c r="C761">
        <v>2021</v>
      </c>
      <c r="D761" t="s">
        <v>44</v>
      </c>
      <c r="E761" t="s">
        <v>49</v>
      </c>
      <c r="F761" t="s">
        <v>83</v>
      </c>
      <c r="G761" t="s">
        <v>547</v>
      </c>
      <c r="H761" t="s">
        <v>350</v>
      </c>
      <c r="I761" t="s">
        <v>548</v>
      </c>
      <c r="J761">
        <f t="shared" si="17"/>
        <v>3.25</v>
      </c>
      <c r="K761" t="s">
        <v>101</v>
      </c>
      <c r="L761">
        <v>3200</v>
      </c>
      <c r="M761">
        <f t="shared" si="18"/>
        <v>6.25E-2</v>
      </c>
      <c r="N761" t="s">
        <v>128</v>
      </c>
      <c r="O761" t="s">
        <v>552</v>
      </c>
      <c r="Q761" s="1" t="s">
        <v>2276</v>
      </c>
      <c r="R761" s="1" t="s">
        <v>755</v>
      </c>
      <c r="S761" s="1" t="s">
        <v>2352</v>
      </c>
      <c r="T761" t="s">
        <v>396</v>
      </c>
      <c r="U761" s="1" t="s">
        <v>2377</v>
      </c>
      <c r="X761" t="s">
        <v>161</v>
      </c>
      <c r="Y761" t="s">
        <v>2272</v>
      </c>
      <c r="Z761" t="s">
        <v>2272</v>
      </c>
      <c r="AA761" t="s">
        <v>2272</v>
      </c>
      <c r="AB761" t="s">
        <v>2272</v>
      </c>
      <c r="AC761" t="s">
        <v>162</v>
      </c>
      <c r="AD761" t="s">
        <v>2272</v>
      </c>
      <c r="AF761" t="s">
        <v>49</v>
      </c>
      <c r="AI761" t="s">
        <v>49</v>
      </c>
      <c r="AM761" t="s">
        <v>201</v>
      </c>
      <c r="AN761" t="s">
        <v>165</v>
      </c>
      <c r="AP761" t="s">
        <v>49</v>
      </c>
    </row>
    <row r="762" spans="1:42" x14ac:dyDescent="0.2">
      <c r="A762" t="s">
        <v>545</v>
      </c>
      <c r="B762" t="s">
        <v>546</v>
      </c>
      <c r="C762">
        <v>2021</v>
      </c>
      <c r="D762" t="s">
        <v>44</v>
      </c>
      <c r="E762" t="s">
        <v>49</v>
      </c>
      <c r="F762" t="s">
        <v>83</v>
      </c>
      <c r="G762" t="s">
        <v>547</v>
      </c>
      <c r="H762" t="s">
        <v>350</v>
      </c>
      <c r="I762" t="s">
        <v>548</v>
      </c>
      <c r="J762">
        <f t="shared" si="17"/>
        <v>3.25</v>
      </c>
      <c r="K762" t="s">
        <v>101</v>
      </c>
      <c r="L762">
        <v>3200</v>
      </c>
      <c r="M762">
        <f t="shared" si="18"/>
        <v>6.25E-2</v>
      </c>
      <c r="N762" t="s">
        <v>128</v>
      </c>
      <c r="O762" t="s">
        <v>553</v>
      </c>
      <c r="Q762" s="1" t="s">
        <v>2276</v>
      </c>
      <c r="R762" s="1" t="s">
        <v>755</v>
      </c>
      <c r="S762" s="1" t="s">
        <v>2352</v>
      </c>
      <c r="T762" t="s">
        <v>396</v>
      </c>
      <c r="U762" s="1" t="s">
        <v>2377</v>
      </c>
      <c r="X762" t="s">
        <v>161</v>
      </c>
      <c r="Y762" t="s">
        <v>2272</v>
      </c>
      <c r="Z762" t="s">
        <v>2272</v>
      </c>
      <c r="AA762" t="s">
        <v>2272</v>
      </c>
      <c r="AB762" t="s">
        <v>2272</v>
      </c>
      <c r="AC762" t="s">
        <v>162</v>
      </c>
      <c r="AD762" t="s">
        <v>2272</v>
      </c>
      <c r="AF762" t="s">
        <v>49</v>
      </c>
      <c r="AI762" t="s">
        <v>49</v>
      </c>
      <c r="AM762" t="s">
        <v>201</v>
      </c>
      <c r="AN762" t="s">
        <v>165</v>
      </c>
      <c r="AP762" t="s">
        <v>49</v>
      </c>
    </row>
    <row r="763" spans="1:42" x14ac:dyDescent="0.2">
      <c r="A763" t="s">
        <v>545</v>
      </c>
      <c r="B763" t="s">
        <v>546</v>
      </c>
      <c r="C763">
        <v>2021</v>
      </c>
      <c r="D763" t="s">
        <v>44</v>
      </c>
      <c r="E763" t="s">
        <v>49</v>
      </c>
      <c r="F763" t="s">
        <v>83</v>
      </c>
      <c r="G763" t="s">
        <v>547</v>
      </c>
      <c r="H763" t="s">
        <v>350</v>
      </c>
      <c r="I763" t="s">
        <v>548</v>
      </c>
      <c r="J763">
        <f t="shared" si="17"/>
        <v>3.25</v>
      </c>
      <c r="K763" t="s">
        <v>101</v>
      </c>
      <c r="L763">
        <v>3200</v>
      </c>
      <c r="M763">
        <f t="shared" si="18"/>
        <v>6.25E-2</v>
      </c>
      <c r="N763" t="s">
        <v>128</v>
      </c>
      <c r="O763" t="s">
        <v>554</v>
      </c>
      <c r="Q763" s="1" t="s">
        <v>2276</v>
      </c>
      <c r="R763" s="1" t="s">
        <v>751</v>
      </c>
      <c r="S763" s="1" t="s">
        <v>2353</v>
      </c>
      <c r="T763" t="s">
        <v>396</v>
      </c>
      <c r="U763" s="1" t="s">
        <v>2378</v>
      </c>
      <c r="X763" t="s">
        <v>161</v>
      </c>
      <c r="Y763" t="s">
        <v>2272</v>
      </c>
      <c r="Z763" t="s">
        <v>2272</v>
      </c>
      <c r="AA763" t="s">
        <v>2272</v>
      </c>
      <c r="AB763" t="s">
        <v>2272</v>
      </c>
      <c r="AC763" t="s">
        <v>162</v>
      </c>
      <c r="AD763" t="s">
        <v>2272</v>
      </c>
      <c r="AF763" t="s">
        <v>49</v>
      </c>
      <c r="AI763" t="s">
        <v>49</v>
      </c>
      <c r="AM763" t="s">
        <v>201</v>
      </c>
      <c r="AN763" t="s">
        <v>165</v>
      </c>
      <c r="AP763" t="s">
        <v>49</v>
      </c>
    </row>
    <row r="764" spans="1:42" x14ac:dyDescent="0.2">
      <c r="A764" t="s">
        <v>545</v>
      </c>
      <c r="B764" t="s">
        <v>546</v>
      </c>
      <c r="C764">
        <v>2021</v>
      </c>
      <c r="D764" t="s">
        <v>44</v>
      </c>
      <c r="E764" t="s">
        <v>49</v>
      </c>
      <c r="F764" t="s">
        <v>83</v>
      </c>
      <c r="G764" t="s">
        <v>547</v>
      </c>
      <c r="H764" t="s">
        <v>350</v>
      </c>
      <c r="I764" t="s">
        <v>548</v>
      </c>
      <c r="J764">
        <f t="shared" si="17"/>
        <v>3.25</v>
      </c>
      <c r="K764" t="s">
        <v>101</v>
      </c>
      <c r="L764">
        <v>3200</v>
      </c>
      <c r="M764">
        <f t="shared" si="18"/>
        <v>6.25E-2</v>
      </c>
      <c r="N764" t="s">
        <v>128</v>
      </c>
      <c r="O764" t="s">
        <v>555</v>
      </c>
      <c r="Q764" s="1" t="s">
        <v>2276</v>
      </c>
      <c r="R764" s="1" t="s">
        <v>2284</v>
      </c>
      <c r="S764" s="1" t="s">
        <v>290</v>
      </c>
      <c r="T764" t="s">
        <v>396</v>
      </c>
      <c r="U764" s="1" t="s">
        <v>2379</v>
      </c>
      <c r="X764" t="s">
        <v>161</v>
      </c>
      <c r="Y764" t="s">
        <v>2272</v>
      </c>
      <c r="Z764" t="s">
        <v>2272</v>
      </c>
      <c r="AA764" t="s">
        <v>2272</v>
      </c>
      <c r="AB764" t="s">
        <v>2272</v>
      </c>
      <c r="AC764" t="s">
        <v>162</v>
      </c>
      <c r="AD764" t="s">
        <v>2272</v>
      </c>
      <c r="AF764" t="s">
        <v>49</v>
      </c>
      <c r="AI764" t="s">
        <v>49</v>
      </c>
      <c r="AM764" t="s">
        <v>201</v>
      </c>
      <c r="AN764" t="s">
        <v>165</v>
      </c>
      <c r="AP764" t="s">
        <v>49</v>
      </c>
    </row>
    <row r="765" spans="1:42" x14ac:dyDescent="0.2">
      <c r="A765" t="s">
        <v>545</v>
      </c>
      <c r="B765" t="s">
        <v>546</v>
      </c>
      <c r="C765">
        <v>2021</v>
      </c>
      <c r="D765" t="s">
        <v>44</v>
      </c>
      <c r="E765" t="s">
        <v>49</v>
      </c>
      <c r="F765" t="s">
        <v>83</v>
      </c>
      <c r="G765" t="s">
        <v>547</v>
      </c>
      <c r="H765" t="s">
        <v>350</v>
      </c>
      <c r="I765" t="s">
        <v>548</v>
      </c>
      <c r="J765">
        <f t="shared" si="17"/>
        <v>3.25</v>
      </c>
      <c r="K765" t="s">
        <v>101</v>
      </c>
      <c r="L765">
        <v>3200</v>
      </c>
      <c r="M765">
        <f t="shared" si="18"/>
        <v>6.25E-2</v>
      </c>
      <c r="N765" t="s">
        <v>128</v>
      </c>
      <c r="O765" t="s">
        <v>556</v>
      </c>
      <c r="Q765" s="1" t="s">
        <v>2276</v>
      </c>
      <c r="R765" s="1" t="s">
        <v>755</v>
      </c>
      <c r="S765" s="1" t="s">
        <v>2352</v>
      </c>
      <c r="T765" t="s">
        <v>396</v>
      </c>
      <c r="U765" s="1" t="s">
        <v>2380</v>
      </c>
      <c r="X765" t="s">
        <v>161</v>
      </c>
      <c r="Y765" t="s">
        <v>2272</v>
      </c>
      <c r="Z765" t="s">
        <v>2272</v>
      </c>
      <c r="AA765" t="s">
        <v>2272</v>
      </c>
      <c r="AB765" t="s">
        <v>2272</v>
      </c>
      <c r="AC765" t="s">
        <v>162</v>
      </c>
      <c r="AD765" t="s">
        <v>2272</v>
      </c>
      <c r="AF765" t="s">
        <v>49</v>
      </c>
      <c r="AI765" t="s">
        <v>49</v>
      </c>
      <c r="AM765" t="s">
        <v>201</v>
      </c>
      <c r="AN765" t="s">
        <v>165</v>
      </c>
      <c r="AP765" t="s">
        <v>49</v>
      </c>
    </row>
    <row r="766" spans="1:42" x14ac:dyDescent="0.2">
      <c r="A766" t="s">
        <v>545</v>
      </c>
      <c r="B766" t="s">
        <v>546</v>
      </c>
      <c r="C766">
        <v>2021</v>
      </c>
      <c r="D766" t="s">
        <v>44</v>
      </c>
      <c r="E766" t="s">
        <v>49</v>
      </c>
      <c r="F766" t="s">
        <v>83</v>
      </c>
      <c r="G766" t="s">
        <v>547</v>
      </c>
      <c r="H766" t="s">
        <v>350</v>
      </c>
      <c r="I766" t="s">
        <v>548</v>
      </c>
      <c r="J766">
        <f t="shared" si="17"/>
        <v>3.25</v>
      </c>
      <c r="K766" t="s">
        <v>101</v>
      </c>
      <c r="L766">
        <v>3200</v>
      </c>
      <c r="M766">
        <f t="shared" si="18"/>
        <v>6.25E-2</v>
      </c>
      <c r="N766" t="s">
        <v>129</v>
      </c>
      <c r="O766" t="s">
        <v>557</v>
      </c>
      <c r="Q766" s="1" t="s">
        <v>2276</v>
      </c>
      <c r="R766" s="1" t="s">
        <v>2350</v>
      </c>
      <c r="S766" s="1" t="s">
        <v>2350</v>
      </c>
      <c r="T766" t="s">
        <v>396</v>
      </c>
      <c r="U766" s="1" t="s">
        <v>2381</v>
      </c>
      <c r="X766" t="s">
        <v>161</v>
      </c>
      <c r="Y766" t="s">
        <v>2272</v>
      </c>
      <c r="Z766" t="s">
        <v>2272</v>
      </c>
      <c r="AA766" t="s">
        <v>2272</v>
      </c>
      <c r="AB766" t="s">
        <v>2272</v>
      </c>
      <c r="AC766" t="s">
        <v>162</v>
      </c>
      <c r="AD766" t="s">
        <v>2272</v>
      </c>
      <c r="AF766" t="s">
        <v>49</v>
      </c>
      <c r="AI766" t="s">
        <v>49</v>
      </c>
      <c r="AM766" t="s">
        <v>201</v>
      </c>
      <c r="AN766" t="s">
        <v>165</v>
      </c>
      <c r="AP766" t="s">
        <v>49</v>
      </c>
    </row>
    <row r="767" spans="1:42" x14ac:dyDescent="0.2">
      <c r="A767" t="s">
        <v>545</v>
      </c>
      <c r="B767" t="s">
        <v>546</v>
      </c>
      <c r="C767">
        <v>2021</v>
      </c>
      <c r="D767" t="s">
        <v>44</v>
      </c>
      <c r="E767" t="s">
        <v>49</v>
      </c>
      <c r="F767" t="s">
        <v>83</v>
      </c>
      <c r="G767" t="s">
        <v>547</v>
      </c>
      <c r="H767" t="s">
        <v>350</v>
      </c>
      <c r="I767" t="s">
        <v>548</v>
      </c>
      <c r="J767">
        <f t="shared" si="17"/>
        <v>3.25</v>
      </c>
      <c r="K767" t="s">
        <v>101</v>
      </c>
      <c r="L767">
        <v>3200</v>
      </c>
      <c r="M767">
        <f t="shared" si="18"/>
        <v>6.25E-2</v>
      </c>
      <c r="N767" t="s">
        <v>122</v>
      </c>
      <c r="O767" t="s">
        <v>247</v>
      </c>
      <c r="Q767" s="1" t="s">
        <v>2281</v>
      </c>
      <c r="R767" s="1" t="s">
        <v>122</v>
      </c>
      <c r="S767" s="1" t="s">
        <v>2293</v>
      </c>
      <c r="T767" t="s">
        <v>396</v>
      </c>
      <c r="U767" s="1" t="s">
        <v>2383</v>
      </c>
      <c r="X767" t="s">
        <v>161</v>
      </c>
      <c r="Y767" t="s">
        <v>2272</v>
      </c>
      <c r="Z767" t="s">
        <v>2272</v>
      </c>
      <c r="AA767" t="s">
        <v>2272</v>
      </c>
      <c r="AB767" t="s">
        <v>2272</v>
      </c>
      <c r="AC767" t="s">
        <v>162</v>
      </c>
      <c r="AD767" t="s">
        <v>2272</v>
      </c>
      <c r="AF767" t="s">
        <v>49</v>
      </c>
      <c r="AI767" t="s">
        <v>49</v>
      </c>
      <c r="AM767" t="s">
        <v>201</v>
      </c>
      <c r="AN767" t="s">
        <v>165</v>
      </c>
      <c r="AP767" t="s">
        <v>49</v>
      </c>
    </row>
    <row r="768" spans="1:42" x14ac:dyDescent="0.2">
      <c r="A768" t="s">
        <v>545</v>
      </c>
      <c r="B768" t="s">
        <v>546</v>
      </c>
      <c r="C768">
        <v>2021</v>
      </c>
      <c r="D768" t="s">
        <v>44</v>
      </c>
      <c r="E768" t="s">
        <v>49</v>
      </c>
      <c r="F768" t="s">
        <v>83</v>
      </c>
      <c r="G768" t="s">
        <v>547</v>
      </c>
      <c r="H768" t="s">
        <v>350</v>
      </c>
      <c r="I768" t="s">
        <v>548</v>
      </c>
      <c r="J768">
        <f t="shared" si="17"/>
        <v>3.25</v>
      </c>
      <c r="K768" t="s">
        <v>101</v>
      </c>
      <c r="L768">
        <v>3200</v>
      </c>
      <c r="M768">
        <f t="shared" si="18"/>
        <v>6.25E-2</v>
      </c>
      <c r="N768" t="s">
        <v>131</v>
      </c>
      <c r="O768" t="s">
        <v>558</v>
      </c>
      <c r="Q768" s="1" t="s">
        <v>2281</v>
      </c>
      <c r="R768" s="1" t="s">
        <v>2295</v>
      </c>
      <c r="S768" s="1" t="s">
        <v>2295</v>
      </c>
      <c r="T768" t="s">
        <v>396</v>
      </c>
      <c r="U768" s="1" t="s">
        <v>2382</v>
      </c>
      <c r="X768" t="s">
        <v>161</v>
      </c>
      <c r="Y768" t="s">
        <v>2272</v>
      </c>
      <c r="Z768" t="s">
        <v>2272</v>
      </c>
      <c r="AA768" t="s">
        <v>2272</v>
      </c>
      <c r="AB768" t="s">
        <v>2272</v>
      </c>
      <c r="AC768" t="s">
        <v>162</v>
      </c>
      <c r="AD768" t="s">
        <v>2272</v>
      </c>
      <c r="AF768" t="s">
        <v>49</v>
      </c>
      <c r="AI768" t="s">
        <v>49</v>
      </c>
      <c r="AM768" t="s">
        <v>201</v>
      </c>
      <c r="AN768" t="s">
        <v>165</v>
      </c>
      <c r="AP768" t="s">
        <v>49</v>
      </c>
    </row>
    <row r="769" spans="1:45" x14ac:dyDescent="0.2">
      <c r="A769" t="s">
        <v>545</v>
      </c>
      <c r="B769" t="s">
        <v>546</v>
      </c>
      <c r="C769">
        <v>2021</v>
      </c>
      <c r="D769" t="s">
        <v>44</v>
      </c>
      <c r="E769" t="s">
        <v>49</v>
      </c>
      <c r="F769" t="s">
        <v>83</v>
      </c>
      <c r="G769" t="s">
        <v>547</v>
      </c>
      <c r="H769" t="s">
        <v>350</v>
      </c>
      <c r="I769" t="s">
        <v>548</v>
      </c>
      <c r="J769">
        <f t="shared" si="17"/>
        <v>3.25</v>
      </c>
      <c r="K769" t="s">
        <v>101</v>
      </c>
      <c r="L769">
        <v>3200</v>
      </c>
      <c r="M769">
        <f t="shared" si="18"/>
        <v>6.25E-2</v>
      </c>
      <c r="N769" t="s">
        <v>131</v>
      </c>
      <c r="O769" t="s">
        <v>559</v>
      </c>
      <c r="Q769" s="1" t="s">
        <v>2281</v>
      </c>
      <c r="R769" s="1" t="s">
        <v>2295</v>
      </c>
      <c r="S769" s="1" t="s">
        <v>2295</v>
      </c>
      <c r="T769" t="s">
        <v>396</v>
      </c>
      <c r="U769" s="1" t="s">
        <v>2382</v>
      </c>
      <c r="X769" t="s">
        <v>161</v>
      </c>
      <c r="Y769" t="s">
        <v>2272</v>
      </c>
      <c r="Z769" t="s">
        <v>2272</v>
      </c>
      <c r="AA769" t="s">
        <v>2272</v>
      </c>
      <c r="AB769" t="s">
        <v>2272</v>
      </c>
      <c r="AC769" t="s">
        <v>162</v>
      </c>
      <c r="AD769" t="s">
        <v>2272</v>
      </c>
      <c r="AF769" t="s">
        <v>49</v>
      </c>
      <c r="AI769" t="s">
        <v>49</v>
      </c>
      <c r="AM769" t="s">
        <v>201</v>
      </c>
      <c r="AN769" t="s">
        <v>165</v>
      </c>
      <c r="AP769" t="s">
        <v>49</v>
      </c>
    </row>
    <row r="770" spans="1:45" x14ac:dyDescent="0.2">
      <c r="A770" t="s">
        <v>545</v>
      </c>
      <c r="B770" t="s">
        <v>546</v>
      </c>
      <c r="C770">
        <v>2021</v>
      </c>
      <c r="D770" t="s">
        <v>44</v>
      </c>
      <c r="E770" t="s">
        <v>49</v>
      </c>
      <c r="F770" t="s">
        <v>83</v>
      </c>
      <c r="G770" t="s">
        <v>547</v>
      </c>
      <c r="H770" t="s">
        <v>350</v>
      </c>
      <c r="I770" t="s">
        <v>548</v>
      </c>
      <c r="J770">
        <f t="shared" si="17"/>
        <v>3.25</v>
      </c>
      <c r="K770" t="s">
        <v>101</v>
      </c>
      <c r="L770">
        <v>3200</v>
      </c>
      <c r="M770">
        <f t="shared" si="18"/>
        <v>6.25E-2</v>
      </c>
      <c r="N770" t="s">
        <v>122</v>
      </c>
      <c r="O770" t="s">
        <v>560</v>
      </c>
      <c r="Q770" s="1" t="s">
        <v>2281</v>
      </c>
      <c r="R770" s="1" t="s">
        <v>122</v>
      </c>
      <c r="S770" s="1" t="s">
        <v>2293</v>
      </c>
      <c r="T770" t="s">
        <v>396</v>
      </c>
      <c r="U770" s="1" t="s">
        <v>2384</v>
      </c>
      <c r="X770" t="s">
        <v>161</v>
      </c>
      <c r="Y770" t="s">
        <v>2272</v>
      </c>
      <c r="Z770" t="s">
        <v>2272</v>
      </c>
      <c r="AA770" t="s">
        <v>2272</v>
      </c>
      <c r="AB770" t="s">
        <v>2272</v>
      </c>
      <c r="AC770" t="s">
        <v>162</v>
      </c>
      <c r="AD770" t="s">
        <v>2272</v>
      </c>
      <c r="AF770" t="s">
        <v>49</v>
      </c>
      <c r="AI770" t="s">
        <v>49</v>
      </c>
      <c r="AM770" t="s">
        <v>201</v>
      </c>
      <c r="AN770" t="s">
        <v>165</v>
      </c>
      <c r="AP770" t="s">
        <v>49</v>
      </c>
    </row>
    <row r="771" spans="1:45" x14ac:dyDescent="0.2">
      <c r="A771" t="s">
        <v>545</v>
      </c>
      <c r="B771" t="s">
        <v>546</v>
      </c>
      <c r="C771">
        <v>2021</v>
      </c>
      <c r="D771" t="s">
        <v>44</v>
      </c>
      <c r="E771" t="s">
        <v>49</v>
      </c>
      <c r="F771" t="s">
        <v>83</v>
      </c>
      <c r="G771" t="s">
        <v>547</v>
      </c>
      <c r="H771" t="s">
        <v>350</v>
      </c>
      <c r="I771" t="s">
        <v>548</v>
      </c>
      <c r="J771">
        <f t="shared" si="17"/>
        <v>3.25</v>
      </c>
      <c r="K771" t="s">
        <v>101</v>
      </c>
      <c r="L771">
        <v>3200</v>
      </c>
      <c r="M771">
        <f t="shared" si="18"/>
        <v>6.25E-2</v>
      </c>
      <c r="N771" t="s">
        <v>122</v>
      </c>
      <c r="O771" t="s">
        <v>561</v>
      </c>
      <c r="Q771" s="1" t="s">
        <v>2281</v>
      </c>
      <c r="R771" s="1" t="s">
        <v>122</v>
      </c>
      <c r="S771" s="1" t="s">
        <v>2294</v>
      </c>
      <c r="T771" t="s">
        <v>396</v>
      </c>
      <c r="U771" s="1" t="s">
        <v>2385</v>
      </c>
      <c r="X771" t="s">
        <v>161</v>
      </c>
      <c r="Y771" t="s">
        <v>2272</v>
      </c>
      <c r="Z771" t="s">
        <v>2272</v>
      </c>
      <c r="AA771" t="s">
        <v>2272</v>
      </c>
      <c r="AB771" t="s">
        <v>2272</v>
      </c>
      <c r="AC771" t="s">
        <v>162</v>
      </c>
      <c r="AD771" t="s">
        <v>2272</v>
      </c>
      <c r="AF771" t="s">
        <v>49</v>
      </c>
      <c r="AI771" t="s">
        <v>49</v>
      </c>
      <c r="AM771" t="s">
        <v>201</v>
      </c>
      <c r="AN771" t="s">
        <v>165</v>
      </c>
      <c r="AP771" t="s">
        <v>49</v>
      </c>
    </row>
    <row r="772" spans="1:45" x14ac:dyDescent="0.2">
      <c r="A772" t="s">
        <v>545</v>
      </c>
      <c r="B772" t="s">
        <v>546</v>
      </c>
      <c r="C772">
        <v>2021</v>
      </c>
      <c r="D772" t="s">
        <v>44</v>
      </c>
      <c r="E772" t="s">
        <v>49</v>
      </c>
      <c r="F772" t="s">
        <v>83</v>
      </c>
      <c r="G772" t="s">
        <v>547</v>
      </c>
      <c r="H772" t="s">
        <v>350</v>
      </c>
      <c r="I772" t="s">
        <v>548</v>
      </c>
      <c r="J772">
        <f t="shared" si="17"/>
        <v>3.25</v>
      </c>
      <c r="K772" t="s">
        <v>101</v>
      </c>
      <c r="L772">
        <v>3200</v>
      </c>
      <c r="M772">
        <f t="shared" si="18"/>
        <v>6.25E-2</v>
      </c>
      <c r="N772" t="s">
        <v>122</v>
      </c>
      <c r="O772" t="s">
        <v>562</v>
      </c>
      <c r="Q772" s="1" t="s">
        <v>2281</v>
      </c>
      <c r="R772" s="1" t="s">
        <v>122</v>
      </c>
      <c r="S772" s="1" t="s">
        <v>2294</v>
      </c>
      <c r="T772" t="s">
        <v>396</v>
      </c>
      <c r="U772" s="1" t="s">
        <v>2385</v>
      </c>
      <c r="X772" t="s">
        <v>161</v>
      </c>
      <c r="Y772" t="s">
        <v>2272</v>
      </c>
      <c r="Z772" t="s">
        <v>2272</v>
      </c>
      <c r="AA772" t="s">
        <v>2272</v>
      </c>
      <c r="AB772" t="s">
        <v>2272</v>
      </c>
      <c r="AC772" t="s">
        <v>162</v>
      </c>
      <c r="AD772" t="s">
        <v>2272</v>
      </c>
      <c r="AF772" t="s">
        <v>49</v>
      </c>
      <c r="AI772" t="s">
        <v>49</v>
      </c>
      <c r="AM772" t="s">
        <v>201</v>
      </c>
      <c r="AN772" t="s">
        <v>165</v>
      </c>
      <c r="AP772" t="s">
        <v>49</v>
      </c>
    </row>
    <row r="773" spans="1:45" x14ac:dyDescent="0.2">
      <c r="A773" t="s">
        <v>545</v>
      </c>
      <c r="B773" t="s">
        <v>546</v>
      </c>
      <c r="C773">
        <v>2021</v>
      </c>
      <c r="D773" t="s">
        <v>44</v>
      </c>
      <c r="E773" t="s">
        <v>49</v>
      </c>
      <c r="F773" t="s">
        <v>83</v>
      </c>
      <c r="G773" t="s">
        <v>547</v>
      </c>
      <c r="H773" t="s">
        <v>350</v>
      </c>
      <c r="I773" t="s">
        <v>548</v>
      </c>
      <c r="J773">
        <f t="shared" si="17"/>
        <v>3.25</v>
      </c>
      <c r="K773" t="s">
        <v>101</v>
      </c>
      <c r="L773">
        <v>3200</v>
      </c>
      <c r="M773">
        <f t="shared" si="18"/>
        <v>6.25E-2</v>
      </c>
      <c r="N773" t="s">
        <v>122</v>
      </c>
      <c r="O773" t="s">
        <v>563</v>
      </c>
      <c r="Q773" s="1" t="s">
        <v>2281</v>
      </c>
      <c r="R773" s="1" t="s">
        <v>122</v>
      </c>
      <c r="S773" s="1" t="s">
        <v>2294</v>
      </c>
      <c r="T773" t="s">
        <v>396</v>
      </c>
      <c r="U773" s="1" t="s">
        <v>2385</v>
      </c>
      <c r="X773" t="s">
        <v>161</v>
      </c>
      <c r="Y773" t="s">
        <v>2272</v>
      </c>
      <c r="Z773" t="s">
        <v>2272</v>
      </c>
      <c r="AA773" t="s">
        <v>2272</v>
      </c>
      <c r="AB773" t="s">
        <v>2272</v>
      </c>
      <c r="AC773" t="s">
        <v>162</v>
      </c>
      <c r="AD773" t="s">
        <v>2272</v>
      </c>
      <c r="AF773" t="s">
        <v>49</v>
      </c>
      <c r="AI773" t="s">
        <v>49</v>
      </c>
      <c r="AM773" t="s">
        <v>201</v>
      </c>
      <c r="AN773" t="s">
        <v>165</v>
      </c>
      <c r="AP773" t="s">
        <v>49</v>
      </c>
    </row>
    <row r="774" spans="1:45" x14ac:dyDescent="0.2">
      <c r="A774" t="s">
        <v>545</v>
      </c>
      <c r="B774" t="s">
        <v>546</v>
      </c>
      <c r="C774">
        <v>2021</v>
      </c>
      <c r="D774" t="s">
        <v>44</v>
      </c>
      <c r="E774" t="s">
        <v>49</v>
      </c>
      <c r="F774" t="s">
        <v>83</v>
      </c>
      <c r="G774" t="s">
        <v>547</v>
      </c>
      <c r="H774" t="s">
        <v>350</v>
      </c>
      <c r="I774" t="s">
        <v>548</v>
      </c>
      <c r="J774">
        <f t="shared" si="17"/>
        <v>3.25</v>
      </c>
      <c r="K774" t="s">
        <v>101</v>
      </c>
      <c r="L774">
        <v>3200</v>
      </c>
      <c r="M774">
        <f t="shared" si="18"/>
        <v>6.25E-2</v>
      </c>
      <c r="N774" t="s">
        <v>122</v>
      </c>
      <c r="O774" t="s">
        <v>564</v>
      </c>
      <c r="Q774" s="1" t="s">
        <v>2281</v>
      </c>
      <c r="R774" s="1" t="s">
        <v>122</v>
      </c>
      <c r="S774" s="1" t="s">
        <v>2294</v>
      </c>
      <c r="T774" t="s">
        <v>396</v>
      </c>
      <c r="U774" s="1" t="s">
        <v>2385</v>
      </c>
      <c r="X774" t="s">
        <v>161</v>
      </c>
      <c r="Y774" t="s">
        <v>2272</v>
      </c>
      <c r="Z774" t="s">
        <v>2272</v>
      </c>
      <c r="AA774" t="s">
        <v>2272</v>
      </c>
      <c r="AB774" t="s">
        <v>2272</v>
      </c>
      <c r="AC774" t="s">
        <v>162</v>
      </c>
      <c r="AD774" t="s">
        <v>2272</v>
      </c>
      <c r="AF774" t="s">
        <v>49</v>
      </c>
      <c r="AI774" t="s">
        <v>49</v>
      </c>
      <c r="AM774" t="s">
        <v>201</v>
      </c>
      <c r="AN774" t="s">
        <v>165</v>
      </c>
      <c r="AP774" t="s">
        <v>49</v>
      </c>
    </row>
    <row r="775" spans="1:45" x14ac:dyDescent="0.2">
      <c r="A775" t="s">
        <v>545</v>
      </c>
      <c r="B775" t="s">
        <v>546</v>
      </c>
      <c r="C775">
        <v>2021</v>
      </c>
      <c r="D775" t="s">
        <v>44</v>
      </c>
      <c r="E775" t="s">
        <v>49</v>
      </c>
      <c r="F775" t="s">
        <v>83</v>
      </c>
      <c r="G775" t="s">
        <v>547</v>
      </c>
      <c r="H775" t="s">
        <v>350</v>
      </c>
      <c r="I775" t="s">
        <v>548</v>
      </c>
      <c r="J775">
        <f t="shared" si="17"/>
        <v>3.25</v>
      </c>
      <c r="K775" t="s">
        <v>101</v>
      </c>
      <c r="L775">
        <v>3200</v>
      </c>
      <c r="M775">
        <f t="shared" si="18"/>
        <v>6.25E-2</v>
      </c>
      <c r="N775" t="s">
        <v>122</v>
      </c>
      <c r="O775" t="s">
        <v>565</v>
      </c>
      <c r="Q775" s="1" t="s">
        <v>2281</v>
      </c>
      <c r="R775" s="1" t="s">
        <v>122</v>
      </c>
      <c r="S775" s="1" t="s">
        <v>2294</v>
      </c>
      <c r="T775" t="s">
        <v>396</v>
      </c>
      <c r="U775" s="1" t="s">
        <v>2385</v>
      </c>
      <c r="X775" t="s">
        <v>161</v>
      </c>
      <c r="Y775" t="s">
        <v>2272</v>
      </c>
      <c r="Z775" t="s">
        <v>2272</v>
      </c>
      <c r="AA775" t="s">
        <v>2272</v>
      </c>
      <c r="AB775" t="s">
        <v>2272</v>
      </c>
      <c r="AC775" t="s">
        <v>162</v>
      </c>
      <c r="AD775" t="s">
        <v>2272</v>
      </c>
      <c r="AF775" t="s">
        <v>49</v>
      </c>
      <c r="AI775" t="s">
        <v>49</v>
      </c>
      <c r="AM775" t="s">
        <v>201</v>
      </c>
      <c r="AN775" t="s">
        <v>165</v>
      </c>
      <c r="AP775" t="s">
        <v>49</v>
      </c>
    </row>
    <row r="776" spans="1:45" x14ac:dyDescent="0.2">
      <c r="A776" t="s">
        <v>571</v>
      </c>
      <c r="B776" t="s">
        <v>572</v>
      </c>
      <c r="C776">
        <v>2021</v>
      </c>
      <c r="D776" t="s">
        <v>44</v>
      </c>
      <c r="E776" t="s">
        <v>49</v>
      </c>
      <c r="F776" t="s">
        <v>511</v>
      </c>
      <c r="G776" t="s">
        <v>86</v>
      </c>
      <c r="H776" t="s">
        <v>96</v>
      </c>
      <c r="N776" t="s">
        <v>466</v>
      </c>
      <c r="O776" t="s">
        <v>468</v>
      </c>
      <c r="P776" t="s">
        <v>573</v>
      </c>
      <c r="Q776" s="1" t="s">
        <v>2281</v>
      </c>
      <c r="R776" s="1" t="s">
        <v>2301</v>
      </c>
      <c r="S776" s="1" t="s">
        <v>2302</v>
      </c>
      <c r="T776" t="s">
        <v>421</v>
      </c>
      <c r="U776" t="s">
        <v>421</v>
      </c>
      <c r="X776" t="s">
        <v>161</v>
      </c>
      <c r="Y776" t="s">
        <v>2272</v>
      </c>
      <c r="Z776" t="s">
        <v>2272</v>
      </c>
      <c r="AA776" t="s">
        <v>2272</v>
      </c>
      <c r="AB776" t="s">
        <v>2272</v>
      </c>
      <c r="AC776" t="s">
        <v>162</v>
      </c>
      <c r="AD776" t="s">
        <v>2272</v>
      </c>
      <c r="AF776" t="s">
        <v>49</v>
      </c>
      <c r="AK776" t="s">
        <v>49</v>
      </c>
      <c r="AM776" t="s">
        <v>574</v>
      </c>
      <c r="AN776" t="s">
        <v>166</v>
      </c>
      <c r="AQ776" s="5">
        <v>2</v>
      </c>
    </row>
    <row r="777" spans="1:45" x14ac:dyDescent="0.2">
      <c r="A777" t="s">
        <v>571</v>
      </c>
      <c r="B777" t="s">
        <v>572</v>
      </c>
      <c r="C777">
        <v>2021</v>
      </c>
      <c r="D777" t="s">
        <v>44</v>
      </c>
      <c r="E777" t="s">
        <v>49</v>
      </c>
      <c r="F777" t="s">
        <v>511</v>
      </c>
      <c r="G777" t="s">
        <v>86</v>
      </c>
      <c r="H777" t="s">
        <v>96</v>
      </c>
      <c r="N777" t="s">
        <v>466</v>
      </c>
      <c r="O777" t="s">
        <v>468</v>
      </c>
      <c r="P777" t="s">
        <v>573</v>
      </c>
      <c r="Q777" s="1" t="s">
        <v>2281</v>
      </c>
      <c r="R777" s="1" t="s">
        <v>2301</v>
      </c>
      <c r="S777" s="1" t="s">
        <v>2302</v>
      </c>
      <c r="T777" t="s">
        <v>421</v>
      </c>
      <c r="U777" t="s">
        <v>421</v>
      </c>
      <c r="X777" t="s">
        <v>161</v>
      </c>
      <c r="Y777" t="s">
        <v>2272</v>
      </c>
      <c r="Z777" t="s">
        <v>2272</v>
      </c>
      <c r="AA777" t="s">
        <v>2272</v>
      </c>
      <c r="AB777" t="s">
        <v>2272</v>
      </c>
      <c r="AC777" t="s">
        <v>162</v>
      </c>
      <c r="AD777" t="s">
        <v>2272</v>
      </c>
      <c r="AF777" t="s">
        <v>49</v>
      </c>
      <c r="AK777" t="s">
        <v>49</v>
      </c>
      <c r="AM777" t="s">
        <v>574</v>
      </c>
      <c r="AN777" t="s">
        <v>154</v>
      </c>
      <c r="AQ777" s="5">
        <v>2</v>
      </c>
    </row>
    <row r="778" spans="1:45" x14ac:dyDescent="0.2">
      <c r="A778" t="s">
        <v>571</v>
      </c>
      <c r="B778" t="s">
        <v>572</v>
      </c>
      <c r="C778">
        <v>2021</v>
      </c>
      <c r="D778" t="s">
        <v>44</v>
      </c>
      <c r="E778" t="s">
        <v>49</v>
      </c>
      <c r="F778" t="s">
        <v>511</v>
      </c>
      <c r="G778" t="s">
        <v>86</v>
      </c>
      <c r="H778" t="s">
        <v>96</v>
      </c>
      <c r="N778" t="s">
        <v>466</v>
      </c>
      <c r="O778" t="s">
        <v>468</v>
      </c>
      <c r="P778" t="s">
        <v>573</v>
      </c>
      <c r="Q778" s="1" t="s">
        <v>2281</v>
      </c>
      <c r="R778" s="1" t="s">
        <v>2301</v>
      </c>
      <c r="S778" s="1" t="s">
        <v>2302</v>
      </c>
      <c r="X778" t="s">
        <v>575</v>
      </c>
      <c r="Y778" t="s">
        <v>2279</v>
      </c>
      <c r="Z778" t="s">
        <v>2361</v>
      </c>
      <c r="AA778" t="s">
        <v>2362</v>
      </c>
      <c r="AB778" t="s">
        <v>2296</v>
      </c>
      <c r="AC778" t="s">
        <v>162</v>
      </c>
      <c r="AD778" t="s">
        <v>2278</v>
      </c>
      <c r="AF778" t="s">
        <v>49</v>
      </c>
      <c r="AG778" t="s">
        <v>49</v>
      </c>
      <c r="AI778" t="s">
        <v>49</v>
      </c>
      <c r="AM778" t="s">
        <v>377</v>
      </c>
      <c r="AN778" t="s">
        <v>166</v>
      </c>
      <c r="AQ778" s="5">
        <v>1</v>
      </c>
    </row>
    <row r="779" spans="1:45" x14ac:dyDescent="0.2">
      <c r="A779" t="s">
        <v>571</v>
      </c>
      <c r="B779" t="s">
        <v>572</v>
      </c>
      <c r="C779">
        <v>2021</v>
      </c>
      <c r="D779" t="s">
        <v>44</v>
      </c>
      <c r="E779" t="s">
        <v>49</v>
      </c>
      <c r="F779" t="s">
        <v>511</v>
      </c>
      <c r="G779" t="s">
        <v>86</v>
      </c>
      <c r="H779" t="s">
        <v>96</v>
      </c>
      <c r="N779" t="s">
        <v>466</v>
      </c>
      <c r="O779" t="s">
        <v>468</v>
      </c>
      <c r="P779" t="s">
        <v>573</v>
      </c>
      <c r="Q779" s="1" t="s">
        <v>2281</v>
      </c>
      <c r="R779" s="1" t="s">
        <v>2301</v>
      </c>
      <c r="S779" s="1" t="s">
        <v>2302</v>
      </c>
      <c r="X779" t="s">
        <v>575</v>
      </c>
      <c r="Y779" t="s">
        <v>2279</v>
      </c>
      <c r="Z779" t="s">
        <v>2361</v>
      </c>
      <c r="AA779" t="s">
        <v>2362</v>
      </c>
      <c r="AB779" t="s">
        <v>2296</v>
      </c>
      <c r="AC779" t="s">
        <v>162</v>
      </c>
      <c r="AD779" t="s">
        <v>2278</v>
      </c>
      <c r="AF779" t="s">
        <v>49</v>
      </c>
      <c r="AG779" t="s">
        <v>49</v>
      </c>
      <c r="AI779" t="s">
        <v>49</v>
      </c>
      <c r="AM779" t="s">
        <v>377</v>
      </c>
      <c r="AN779" t="s">
        <v>154</v>
      </c>
      <c r="AQ779" s="5">
        <v>1</v>
      </c>
    </row>
    <row r="780" spans="1:45" x14ac:dyDescent="0.2">
      <c r="A780" t="s">
        <v>571</v>
      </c>
      <c r="B780" t="s">
        <v>572</v>
      </c>
      <c r="C780">
        <v>2021</v>
      </c>
      <c r="D780" t="s">
        <v>44</v>
      </c>
      <c r="E780" t="s">
        <v>49</v>
      </c>
      <c r="F780" t="s">
        <v>511</v>
      </c>
      <c r="G780" t="s">
        <v>86</v>
      </c>
      <c r="H780" t="s">
        <v>96</v>
      </c>
      <c r="N780" t="s">
        <v>466</v>
      </c>
      <c r="O780" t="s">
        <v>468</v>
      </c>
      <c r="P780" t="s">
        <v>573</v>
      </c>
      <c r="Q780" s="1" t="s">
        <v>2281</v>
      </c>
      <c r="R780" s="1" t="s">
        <v>2301</v>
      </c>
      <c r="S780" s="1" t="s">
        <v>2302</v>
      </c>
      <c r="T780" t="s">
        <v>421</v>
      </c>
      <c r="U780" t="s">
        <v>421</v>
      </c>
      <c r="X780" t="s">
        <v>161</v>
      </c>
      <c r="Y780" t="s">
        <v>2272</v>
      </c>
      <c r="Z780" t="s">
        <v>2272</v>
      </c>
      <c r="AA780" t="s">
        <v>2272</v>
      </c>
      <c r="AB780" t="s">
        <v>2272</v>
      </c>
      <c r="AC780" t="s">
        <v>162</v>
      </c>
      <c r="AD780" t="s">
        <v>2272</v>
      </c>
      <c r="AG780" t="s">
        <v>49</v>
      </c>
      <c r="AI780" t="s">
        <v>49</v>
      </c>
      <c r="AM780" t="s">
        <v>442</v>
      </c>
      <c r="AN780" t="s">
        <v>165</v>
      </c>
    </row>
    <row r="781" spans="1:45" x14ac:dyDescent="0.2">
      <c r="A781" t="s">
        <v>571</v>
      </c>
      <c r="B781" t="s">
        <v>572</v>
      </c>
      <c r="C781">
        <v>2021</v>
      </c>
      <c r="D781" t="s">
        <v>44</v>
      </c>
      <c r="E781" t="s">
        <v>49</v>
      </c>
      <c r="F781" t="s">
        <v>511</v>
      </c>
      <c r="G781" t="s">
        <v>86</v>
      </c>
      <c r="H781" t="s">
        <v>96</v>
      </c>
      <c r="N781" t="s">
        <v>466</v>
      </c>
      <c r="O781" t="s">
        <v>468</v>
      </c>
      <c r="P781" t="s">
        <v>573</v>
      </c>
      <c r="Q781" s="1" t="s">
        <v>2281</v>
      </c>
      <c r="R781" s="1" t="s">
        <v>2301</v>
      </c>
      <c r="S781" s="1" t="s">
        <v>2302</v>
      </c>
      <c r="T781" t="s">
        <v>421</v>
      </c>
      <c r="U781" t="s">
        <v>421</v>
      </c>
      <c r="X781" t="s">
        <v>161</v>
      </c>
      <c r="Y781" t="s">
        <v>2272</v>
      </c>
      <c r="Z781" t="s">
        <v>2272</v>
      </c>
      <c r="AA781" t="s">
        <v>2272</v>
      </c>
      <c r="AB781" t="s">
        <v>2272</v>
      </c>
      <c r="AC781" t="s">
        <v>162</v>
      </c>
      <c r="AD781" t="s">
        <v>2272</v>
      </c>
      <c r="AG781" t="s">
        <v>49</v>
      </c>
      <c r="AI781" t="s">
        <v>49</v>
      </c>
      <c r="AM781" t="s">
        <v>442</v>
      </c>
      <c r="AN781" t="s">
        <v>165</v>
      </c>
    </row>
    <row r="782" spans="1:45" x14ac:dyDescent="0.2">
      <c r="A782" t="s">
        <v>571</v>
      </c>
      <c r="B782" t="s">
        <v>572</v>
      </c>
      <c r="C782">
        <v>2021</v>
      </c>
      <c r="D782" t="s">
        <v>44</v>
      </c>
      <c r="E782" t="s">
        <v>49</v>
      </c>
      <c r="F782" t="s">
        <v>511</v>
      </c>
      <c r="G782" t="s">
        <v>86</v>
      </c>
      <c r="H782" t="s">
        <v>96</v>
      </c>
      <c r="N782" t="s">
        <v>466</v>
      </c>
      <c r="O782" t="s">
        <v>468</v>
      </c>
      <c r="P782" t="s">
        <v>573</v>
      </c>
      <c r="Q782" s="1" t="s">
        <v>2281</v>
      </c>
      <c r="R782" s="1" t="s">
        <v>2301</v>
      </c>
      <c r="S782" s="1" t="s">
        <v>2302</v>
      </c>
      <c r="T782" t="s">
        <v>421</v>
      </c>
      <c r="U782" t="s">
        <v>421</v>
      </c>
      <c r="X782" t="s">
        <v>161</v>
      </c>
      <c r="Y782" t="s">
        <v>2272</v>
      </c>
      <c r="Z782" t="s">
        <v>2272</v>
      </c>
      <c r="AA782" t="s">
        <v>2272</v>
      </c>
      <c r="AB782" t="s">
        <v>2272</v>
      </c>
      <c r="AC782" t="s">
        <v>162</v>
      </c>
      <c r="AD782" t="s">
        <v>2272</v>
      </c>
      <c r="AG782" t="s">
        <v>49</v>
      </c>
      <c r="AI782" t="s">
        <v>49</v>
      </c>
      <c r="AM782" t="s">
        <v>442</v>
      </c>
      <c r="AN782" t="s">
        <v>166</v>
      </c>
      <c r="AQ782" s="5">
        <v>1</v>
      </c>
    </row>
    <row r="783" spans="1:45" x14ac:dyDescent="0.2">
      <c r="A783" t="s">
        <v>571</v>
      </c>
      <c r="B783" t="s">
        <v>572</v>
      </c>
      <c r="C783">
        <v>2021</v>
      </c>
      <c r="D783" t="s">
        <v>44</v>
      </c>
      <c r="E783" t="s">
        <v>49</v>
      </c>
      <c r="F783" t="s">
        <v>511</v>
      </c>
      <c r="G783" t="s">
        <v>86</v>
      </c>
      <c r="H783" t="s">
        <v>96</v>
      </c>
      <c r="N783" t="s">
        <v>466</v>
      </c>
      <c r="O783" t="s">
        <v>468</v>
      </c>
      <c r="P783" t="s">
        <v>573</v>
      </c>
      <c r="Q783" s="1" t="s">
        <v>2281</v>
      </c>
      <c r="R783" s="1" t="s">
        <v>2301</v>
      </c>
      <c r="S783" s="1" t="s">
        <v>2302</v>
      </c>
      <c r="T783" t="s">
        <v>421</v>
      </c>
      <c r="U783" t="s">
        <v>421</v>
      </c>
      <c r="X783" t="s">
        <v>161</v>
      </c>
      <c r="Y783" t="s">
        <v>2272</v>
      </c>
      <c r="Z783" t="s">
        <v>2272</v>
      </c>
      <c r="AA783" t="s">
        <v>2272</v>
      </c>
      <c r="AB783" t="s">
        <v>2272</v>
      </c>
      <c r="AC783" t="s">
        <v>162</v>
      </c>
      <c r="AD783" t="s">
        <v>2272</v>
      </c>
      <c r="AG783" t="s">
        <v>49</v>
      </c>
      <c r="AI783" t="s">
        <v>49</v>
      </c>
      <c r="AM783" t="s">
        <v>442</v>
      </c>
      <c r="AN783" t="s">
        <v>154</v>
      </c>
      <c r="AQ783" s="5">
        <v>1</v>
      </c>
    </row>
    <row r="784" spans="1:45" x14ac:dyDescent="0.2">
      <c r="A784" t="s">
        <v>576</v>
      </c>
      <c r="B784" t="s">
        <v>577</v>
      </c>
      <c r="C784">
        <v>2021</v>
      </c>
      <c r="D784" t="s">
        <v>44</v>
      </c>
      <c r="F784" t="s">
        <v>82</v>
      </c>
      <c r="G784" t="s">
        <v>86</v>
      </c>
      <c r="H784" t="s">
        <v>350</v>
      </c>
      <c r="I784" t="s">
        <v>330</v>
      </c>
      <c r="L784">
        <v>520</v>
      </c>
      <c r="N784" t="s">
        <v>127</v>
      </c>
      <c r="O784" t="s">
        <v>578</v>
      </c>
      <c r="Q784" s="1" t="s">
        <v>2351</v>
      </c>
      <c r="R784" s="1" t="s">
        <v>2351</v>
      </c>
      <c r="S784" s="1" t="s">
        <v>2351</v>
      </c>
      <c r="T784" t="s">
        <v>421</v>
      </c>
      <c r="Y784" t="s">
        <v>2272</v>
      </c>
      <c r="Z784" t="s">
        <v>2272</v>
      </c>
      <c r="AA784" t="s">
        <v>2272</v>
      </c>
      <c r="AB784" t="s">
        <v>2272</v>
      </c>
      <c r="AD784" t="s">
        <v>2272</v>
      </c>
      <c r="AR784" t="s">
        <v>144</v>
      </c>
      <c r="AS784" t="s">
        <v>2583</v>
      </c>
    </row>
    <row r="785" spans="1:45" x14ac:dyDescent="0.2">
      <c r="A785" t="s">
        <v>579</v>
      </c>
      <c r="B785" t="s">
        <v>580</v>
      </c>
      <c r="C785">
        <v>2021</v>
      </c>
      <c r="D785" t="s">
        <v>46</v>
      </c>
      <c r="F785" t="s">
        <v>447</v>
      </c>
      <c r="G785" t="s">
        <v>91</v>
      </c>
      <c r="H785" t="s">
        <v>350</v>
      </c>
      <c r="I785" t="s">
        <v>582</v>
      </c>
      <c r="J785">
        <v>11</v>
      </c>
      <c r="K785" t="s">
        <v>104</v>
      </c>
      <c r="N785" t="s">
        <v>120</v>
      </c>
      <c r="O785" t="s">
        <v>216</v>
      </c>
      <c r="P785" t="s">
        <v>581</v>
      </c>
      <c r="Q785" s="1" t="s">
        <v>2276</v>
      </c>
      <c r="R785" s="1" t="s">
        <v>669</v>
      </c>
      <c r="S785" s="1" t="s">
        <v>168</v>
      </c>
      <c r="Y785" t="s">
        <v>2272</v>
      </c>
      <c r="Z785" t="s">
        <v>2272</v>
      </c>
      <c r="AA785" t="s">
        <v>2272</v>
      </c>
      <c r="AB785" t="s">
        <v>2272</v>
      </c>
      <c r="AD785" t="s">
        <v>2272</v>
      </c>
      <c r="AR785" t="s">
        <v>144</v>
      </c>
      <c r="AS785" t="s">
        <v>2583</v>
      </c>
    </row>
    <row r="786" spans="1:45" x14ac:dyDescent="0.2">
      <c r="A786" t="s">
        <v>583</v>
      </c>
      <c r="B786" t="s">
        <v>584</v>
      </c>
      <c r="C786">
        <v>2021</v>
      </c>
      <c r="D786" t="s">
        <v>585</v>
      </c>
      <c r="E786" t="s">
        <v>49</v>
      </c>
      <c r="F786" t="s">
        <v>81</v>
      </c>
      <c r="G786" t="s">
        <v>473</v>
      </c>
      <c r="H786" t="s">
        <v>96</v>
      </c>
      <c r="L786">
        <v>2500</v>
      </c>
      <c r="N786" t="s">
        <v>126</v>
      </c>
      <c r="O786" t="s">
        <v>126</v>
      </c>
      <c r="P786" t="s">
        <v>188</v>
      </c>
      <c r="Q786" s="1" t="s">
        <v>2281</v>
      </c>
      <c r="R786" s="1" t="s">
        <v>2282</v>
      </c>
      <c r="S786" s="1" t="s">
        <v>126</v>
      </c>
      <c r="X786" t="s">
        <v>1185</v>
      </c>
      <c r="Y786" t="s">
        <v>2279</v>
      </c>
      <c r="Z786" t="s">
        <v>2280</v>
      </c>
      <c r="AA786" t="s">
        <v>2358</v>
      </c>
      <c r="AB786" t="s">
        <v>2459</v>
      </c>
      <c r="AC786" t="s">
        <v>152</v>
      </c>
      <c r="AD786" t="s">
        <v>2278</v>
      </c>
      <c r="AH786" s="4" t="s">
        <v>49</v>
      </c>
      <c r="AK786" t="s">
        <v>49</v>
      </c>
      <c r="AM786" t="s">
        <v>2477</v>
      </c>
      <c r="AN786" t="s">
        <v>166</v>
      </c>
      <c r="AP786" t="s">
        <v>51</v>
      </c>
    </row>
    <row r="787" spans="1:45" x14ac:dyDescent="0.2">
      <c r="A787" t="s">
        <v>583</v>
      </c>
      <c r="B787" t="s">
        <v>584</v>
      </c>
      <c r="C787">
        <v>2021</v>
      </c>
      <c r="D787" t="s">
        <v>585</v>
      </c>
      <c r="E787" t="s">
        <v>49</v>
      </c>
      <c r="F787" t="s">
        <v>81</v>
      </c>
      <c r="G787" t="s">
        <v>473</v>
      </c>
      <c r="H787" t="s">
        <v>96</v>
      </c>
      <c r="L787">
        <v>2500</v>
      </c>
      <c r="N787" t="s">
        <v>126</v>
      </c>
      <c r="O787" t="s">
        <v>126</v>
      </c>
      <c r="P787" t="s">
        <v>188</v>
      </c>
      <c r="Q787" s="1" t="s">
        <v>2281</v>
      </c>
      <c r="R787" s="1" t="s">
        <v>2282</v>
      </c>
      <c r="S787" s="1" t="s">
        <v>126</v>
      </c>
      <c r="X787" t="s">
        <v>2475</v>
      </c>
      <c r="Y787" t="s">
        <v>2279</v>
      </c>
      <c r="Z787" t="s">
        <v>2280</v>
      </c>
      <c r="AA787" t="s">
        <v>2358</v>
      </c>
      <c r="AB787" t="s">
        <v>2009</v>
      </c>
      <c r="AC787" t="s">
        <v>152</v>
      </c>
      <c r="AD787" t="s">
        <v>2278</v>
      </c>
      <c r="AH787" s="4" t="s">
        <v>49</v>
      </c>
      <c r="AK787" t="s">
        <v>49</v>
      </c>
      <c r="AM787" t="s">
        <v>2477</v>
      </c>
      <c r="AN787" t="s">
        <v>166</v>
      </c>
      <c r="AP787" t="s">
        <v>51</v>
      </c>
    </row>
    <row r="788" spans="1:45" x14ac:dyDescent="0.2">
      <c r="A788" t="s">
        <v>583</v>
      </c>
      <c r="B788" t="s">
        <v>584</v>
      </c>
      <c r="C788">
        <v>2021</v>
      </c>
      <c r="D788" t="s">
        <v>585</v>
      </c>
      <c r="E788" t="s">
        <v>49</v>
      </c>
      <c r="F788" t="s">
        <v>81</v>
      </c>
      <c r="G788" t="s">
        <v>473</v>
      </c>
      <c r="H788" t="s">
        <v>96</v>
      </c>
      <c r="L788">
        <v>2500</v>
      </c>
      <c r="N788" t="s">
        <v>126</v>
      </c>
      <c r="O788" t="s">
        <v>126</v>
      </c>
      <c r="P788" t="s">
        <v>188</v>
      </c>
      <c r="Q788" s="1" t="s">
        <v>2281</v>
      </c>
      <c r="R788" s="1" t="s">
        <v>2282</v>
      </c>
      <c r="S788" s="1" t="s">
        <v>126</v>
      </c>
      <c r="X788" t="s">
        <v>2476</v>
      </c>
      <c r="Y788" t="s">
        <v>2279</v>
      </c>
      <c r="Z788" t="s">
        <v>2361</v>
      </c>
      <c r="AA788" t="s">
        <v>2296</v>
      </c>
      <c r="AB788" t="s">
        <v>2296</v>
      </c>
      <c r="AC788" t="s">
        <v>152</v>
      </c>
      <c r="AD788" t="s">
        <v>2278</v>
      </c>
      <c r="AH788" s="4" t="s">
        <v>49</v>
      </c>
      <c r="AK788" t="s">
        <v>49</v>
      </c>
      <c r="AM788" t="s">
        <v>2477</v>
      </c>
      <c r="AN788" t="s">
        <v>166</v>
      </c>
      <c r="AP788" t="s">
        <v>51</v>
      </c>
    </row>
    <row r="789" spans="1:45" x14ac:dyDescent="0.2">
      <c r="A789" t="s">
        <v>583</v>
      </c>
      <c r="B789" t="s">
        <v>584</v>
      </c>
      <c r="C789">
        <v>2021</v>
      </c>
      <c r="D789" t="s">
        <v>585</v>
      </c>
      <c r="E789" t="s">
        <v>49</v>
      </c>
      <c r="F789" t="s">
        <v>81</v>
      </c>
      <c r="G789" t="s">
        <v>473</v>
      </c>
      <c r="H789" t="s">
        <v>96</v>
      </c>
      <c r="L789">
        <v>2500</v>
      </c>
      <c r="N789" t="s">
        <v>126</v>
      </c>
      <c r="O789" t="s">
        <v>126</v>
      </c>
      <c r="P789" t="s">
        <v>188</v>
      </c>
      <c r="Q789" s="1" t="s">
        <v>2281</v>
      </c>
      <c r="R789" s="1" t="s">
        <v>2282</v>
      </c>
      <c r="S789" s="1" t="s">
        <v>126</v>
      </c>
      <c r="X789" t="s">
        <v>1185</v>
      </c>
      <c r="Y789" t="s">
        <v>2279</v>
      </c>
      <c r="Z789" t="s">
        <v>2280</v>
      </c>
      <c r="AA789" t="s">
        <v>2358</v>
      </c>
      <c r="AB789" t="s">
        <v>2459</v>
      </c>
      <c r="AC789" t="s">
        <v>152</v>
      </c>
      <c r="AD789" t="s">
        <v>2278</v>
      </c>
      <c r="AH789" s="4" t="s">
        <v>49</v>
      </c>
      <c r="AK789" t="s">
        <v>49</v>
      </c>
      <c r="AM789" t="s">
        <v>2484</v>
      </c>
      <c r="AN789" t="s">
        <v>166</v>
      </c>
      <c r="AP789" t="s">
        <v>51</v>
      </c>
    </row>
    <row r="790" spans="1:45" x14ac:dyDescent="0.2">
      <c r="A790" t="s">
        <v>583</v>
      </c>
      <c r="B790" t="s">
        <v>584</v>
      </c>
      <c r="C790">
        <v>2021</v>
      </c>
      <c r="D790" t="s">
        <v>585</v>
      </c>
      <c r="E790" t="s">
        <v>49</v>
      </c>
      <c r="F790" t="s">
        <v>81</v>
      </c>
      <c r="G790" t="s">
        <v>473</v>
      </c>
      <c r="H790" t="s">
        <v>96</v>
      </c>
      <c r="L790">
        <v>2500</v>
      </c>
      <c r="N790" t="s">
        <v>126</v>
      </c>
      <c r="O790" t="s">
        <v>126</v>
      </c>
      <c r="P790" t="s">
        <v>188</v>
      </c>
      <c r="Q790" s="1" t="s">
        <v>2281</v>
      </c>
      <c r="R790" s="1" t="s">
        <v>2282</v>
      </c>
      <c r="S790" s="1" t="s">
        <v>126</v>
      </c>
      <c r="X790" t="s">
        <v>2475</v>
      </c>
      <c r="Y790" t="s">
        <v>2279</v>
      </c>
      <c r="Z790" t="s">
        <v>2280</v>
      </c>
      <c r="AA790" t="s">
        <v>2358</v>
      </c>
      <c r="AB790" t="s">
        <v>2009</v>
      </c>
      <c r="AC790" t="s">
        <v>152</v>
      </c>
      <c r="AD790" t="s">
        <v>2278</v>
      </c>
      <c r="AH790" s="4" t="s">
        <v>49</v>
      </c>
      <c r="AK790" t="s">
        <v>49</v>
      </c>
      <c r="AM790" t="s">
        <v>2484</v>
      </c>
      <c r="AN790" t="s">
        <v>166</v>
      </c>
    </row>
    <row r="791" spans="1:45" x14ac:dyDescent="0.2">
      <c r="A791" t="s">
        <v>583</v>
      </c>
      <c r="B791" t="s">
        <v>584</v>
      </c>
      <c r="C791">
        <v>2021</v>
      </c>
      <c r="D791" t="s">
        <v>585</v>
      </c>
      <c r="E791" t="s">
        <v>49</v>
      </c>
      <c r="F791" t="s">
        <v>81</v>
      </c>
      <c r="G791" t="s">
        <v>473</v>
      </c>
      <c r="H791" t="s">
        <v>96</v>
      </c>
      <c r="L791">
        <v>2500</v>
      </c>
      <c r="N791" t="s">
        <v>126</v>
      </c>
      <c r="O791" t="s">
        <v>126</v>
      </c>
      <c r="P791" t="s">
        <v>188</v>
      </c>
      <c r="Q791" s="1" t="s">
        <v>2281</v>
      </c>
      <c r="R791" s="1" t="s">
        <v>2282</v>
      </c>
      <c r="S791" s="1" t="s">
        <v>126</v>
      </c>
      <c r="X791" t="s">
        <v>2476</v>
      </c>
      <c r="Y791" t="s">
        <v>2279</v>
      </c>
      <c r="Z791" t="s">
        <v>2361</v>
      </c>
      <c r="AA791" t="s">
        <v>2296</v>
      </c>
      <c r="AB791" t="s">
        <v>2296</v>
      </c>
      <c r="AC791" t="s">
        <v>152</v>
      </c>
      <c r="AD791" t="s">
        <v>2278</v>
      </c>
      <c r="AH791" s="4" t="s">
        <v>49</v>
      </c>
      <c r="AK791" t="s">
        <v>49</v>
      </c>
      <c r="AM791" t="s">
        <v>2484</v>
      </c>
      <c r="AN791" t="s">
        <v>166</v>
      </c>
      <c r="AP791" t="s">
        <v>51</v>
      </c>
    </row>
    <row r="792" spans="1:45" x14ac:dyDescent="0.2">
      <c r="A792" t="s">
        <v>583</v>
      </c>
      <c r="B792" t="s">
        <v>584</v>
      </c>
      <c r="C792">
        <v>2021</v>
      </c>
      <c r="D792" t="s">
        <v>585</v>
      </c>
      <c r="E792" t="s">
        <v>49</v>
      </c>
      <c r="F792" t="s">
        <v>81</v>
      </c>
      <c r="G792" t="s">
        <v>473</v>
      </c>
      <c r="H792" t="s">
        <v>96</v>
      </c>
      <c r="L792">
        <v>2500</v>
      </c>
      <c r="N792" t="s">
        <v>126</v>
      </c>
      <c r="O792" t="s">
        <v>126</v>
      </c>
      <c r="P792" t="s">
        <v>188</v>
      </c>
      <c r="Q792" s="1" t="s">
        <v>2281</v>
      </c>
      <c r="R792" s="1" t="s">
        <v>2282</v>
      </c>
      <c r="S792" s="1" t="s">
        <v>126</v>
      </c>
      <c r="X792" t="s">
        <v>1185</v>
      </c>
      <c r="Y792" t="s">
        <v>2279</v>
      </c>
      <c r="Z792" t="s">
        <v>2280</v>
      </c>
      <c r="AA792" t="s">
        <v>2358</v>
      </c>
      <c r="AB792" t="s">
        <v>2459</v>
      </c>
      <c r="AC792" t="s">
        <v>152</v>
      </c>
      <c r="AD792" t="s">
        <v>2278</v>
      </c>
      <c r="AH792" s="4" t="s">
        <v>49</v>
      </c>
      <c r="AK792" t="s">
        <v>49</v>
      </c>
      <c r="AM792" t="s">
        <v>2478</v>
      </c>
      <c r="AN792" t="s">
        <v>166</v>
      </c>
      <c r="AP792" t="s">
        <v>51</v>
      </c>
    </row>
    <row r="793" spans="1:45" x14ac:dyDescent="0.2">
      <c r="A793" t="s">
        <v>583</v>
      </c>
      <c r="B793" t="s">
        <v>584</v>
      </c>
      <c r="C793">
        <v>2021</v>
      </c>
      <c r="D793" t="s">
        <v>585</v>
      </c>
      <c r="E793" t="s">
        <v>49</v>
      </c>
      <c r="F793" t="s">
        <v>81</v>
      </c>
      <c r="G793" t="s">
        <v>473</v>
      </c>
      <c r="H793" t="s">
        <v>96</v>
      </c>
      <c r="L793">
        <v>2500</v>
      </c>
      <c r="N793" t="s">
        <v>126</v>
      </c>
      <c r="O793" t="s">
        <v>126</v>
      </c>
      <c r="P793" t="s">
        <v>188</v>
      </c>
      <c r="Q793" s="1" t="s">
        <v>2281</v>
      </c>
      <c r="R793" s="1" t="s">
        <v>2282</v>
      </c>
      <c r="S793" s="1" t="s">
        <v>126</v>
      </c>
      <c r="X793" t="s">
        <v>2475</v>
      </c>
      <c r="Y793" t="s">
        <v>2279</v>
      </c>
      <c r="Z793" t="s">
        <v>2280</v>
      </c>
      <c r="AA793" t="s">
        <v>2358</v>
      </c>
      <c r="AB793" t="s">
        <v>2009</v>
      </c>
      <c r="AC793" t="s">
        <v>152</v>
      </c>
      <c r="AD793" t="s">
        <v>2278</v>
      </c>
      <c r="AH793" s="4" t="s">
        <v>49</v>
      </c>
      <c r="AK793" t="s">
        <v>49</v>
      </c>
      <c r="AM793" t="s">
        <v>2478</v>
      </c>
      <c r="AN793" t="s">
        <v>166</v>
      </c>
      <c r="AP793" t="s">
        <v>51</v>
      </c>
    </row>
    <row r="794" spans="1:45" x14ac:dyDescent="0.2">
      <c r="A794" t="s">
        <v>583</v>
      </c>
      <c r="B794" t="s">
        <v>584</v>
      </c>
      <c r="C794">
        <v>2021</v>
      </c>
      <c r="D794" t="s">
        <v>585</v>
      </c>
      <c r="E794" t="s">
        <v>49</v>
      </c>
      <c r="F794" t="s">
        <v>81</v>
      </c>
      <c r="G794" t="s">
        <v>473</v>
      </c>
      <c r="H794" t="s">
        <v>96</v>
      </c>
      <c r="L794">
        <v>2500</v>
      </c>
      <c r="N794" t="s">
        <v>126</v>
      </c>
      <c r="O794" t="s">
        <v>126</v>
      </c>
      <c r="P794" t="s">
        <v>188</v>
      </c>
      <c r="Q794" s="1" t="s">
        <v>2281</v>
      </c>
      <c r="R794" s="1" t="s">
        <v>2282</v>
      </c>
      <c r="S794" s="1" t="s">
        <v>126</v>
      </c>
      <c r="X794" t="s">
        <v>2476</v>
      </c>
      <c r="Y794" t="s">
        <v>2279</v>
      </c>
      <c r="Z794" t="s">
        <v>2361</v>
      </c>
      <c r="AA794" t="s">
        <v>2296</v>
      </c>
      <c r="AB794" t="s">
        <v>2296</v>
      </c>
      <c r="AC794" t="s">
        <v>152</v>
      </c>
      <c r="AD794" t="s">
        <v>2278</v>
      </c>
      <c r="AH794" s="4" t="s">
        <v>49</v>
      </c>
      <c r="AK794" t="s">
        <v>49</v>
      </c>
      <c r="AM794" t="s">
        <v>2478</v>
      </c>
      <c r="AN794" t="s">
        <v>166</v>
      </c>
      <c r="AP794" t="s">
        <v>51</v>
      </c>
    </row>
    <row r="795" spans="1:45" x14ac:dyDescent="0.2">
      <c r="A795" t="s">
        <v>583</v>
      </c>
      <c r="B795" t="s">
        <v>584</v>
      </c>
      <c r="C795">
        <v>2021</v>
      </c>
      <c r="D795" t="s">
        <v>585</v>
      </c>
      <c r="E795" t="s">
        <v>49</v>
      </c>
      <c r="F795" t="s">
        <v>81</v>
      </c>
      <c r="G795" t="s">
        <v>473</v>
      </c>
      <c r="H795" t="s">
        <v>96</v>
      </c>
      <c r="L795">
        <v>2500</v>
      </c>
      <c r="N795" t="s">
        <v>126</v>
      </c>
      <c r="O795" t="s">
        <v>126</v>
      </c>
      <c r="P795" t="s">
        <v>188</v>
      </c>
      <c r="Q795" s="1" t="s">
        <v>2281</v>
      </c>
      <c r="R795" s="1" t="s">
        <v>2282</v>
      </c>
      <c r="S795" s="1" t="s">
        <v>126</v>
      </c>
      <c r="X795" t="s">
        <v>1185</v>
      </c>
      <c r="Y795" t="s">
        <v>2279</v>
      </c>
      <c r="Z795" t="s">
        <v>2280</v>
      </c>
      <c r="AA795" t="s">
        <v>2358</v>
      </c>
      <c r="AB795" t="s">
        <v>2459</v>
      </c>
      <c r="AC795" t="s">
        <v>152</v>
      </c>
      <c r="AD795" t="s">
        <v>2278</v>
      </c>
      <c r="AH795" s="4" t="s">
        <v>49</v>
      </c>
      <c r="AK795" t="s">
        <v>49</v>
      </c>
      <c r="AM795" t="s">
        <v>2479</v>
      </c>
      <c r="AN795" t="s">
        <v>166</v>
      </c>
      <c r="AP795" t="s">
        <v>51</v>
      </c>
    </row>
    <row r="796" spans="1:45" x14ac:dyDescent="0.2">
      <c r="A796" t="s">
        <v>583</v>
      </c>
      <c r="B796" t="s">
        <v>584</v>
      </c>
      <c r="C796">
        <v>2021</v>
      </c>
      <c r="D796" t="s">
        <v>585</v>
      </c>
      <c r="E796" t="s">
        <v>49</v>
      </c>
      <c r="F796" t="s">
        <v>81</v>
      </c>
      <c r="G796" t="s">
        <v>473</v>
      </c>
      <c r="H796" t="s">
        <v>96</v>
      </c>
      <c r="L796">
        <v>2500</v>
      </c>
      <c r="N796" t="s">
        <v>126</v>
      </c>
      <c r="O796" t="s">
        <v>126</v>
      </c>
      <c r="P796" t="s">
        <v>188</v>
      </c>
      <c r="Q796" s="1" t="s">
        <v>2281</v>
      </c>
      <c r="R796" s="1" t="s">
        <v>2282</v>
      </c>
      <c r="S796" s="1" t="s">
        <v>126</v>
      </c>
      <c r="X796" t="s">
        <v>2475</v>
      </c>
      <c r="Y796" t="s">
        <v>2279</v>
      </c>
      <c r="Z796" t="s">
        <v>2280</v>
      </c>
      <c r="AA796" t="s">
        <v>2358</v>
      </c>
      <c r="AB796" t="s">
        <v>2009</v>
      </c>
      <c r="AC796" t="s">
        <v>152</v>
      </c>
      <c r="AD796" t="s">
        <v>2278</v>
      </c>
      <c r="AH796" s="4" t="s">
        <v>49</v>
      </c>
      <c r="AK796" t="s">
        <v>49</v>
      </c>
      <c r="AM796" t="s">
        <v>2479</v>
      </c>
      <c r="AN796" t="s">
        <v>166</v>
      </c>
      <c r="AP796" t="s">
        <v>51</v>
      </c>
    </row>
    <row r="797" spans="1:45" x14ac:dyDescent="0.2">
      <c r="A797" t="s">
        <v>583</v>
      </c>
      <c r="B797" t="s">
        <v>584</v>
      </c>
      <c r="C797">
        <v>2021</v>
      </c>
      <c r="D797" t="s">
        <v>585</v>
      </c>
      <c r="E797" t="s">
        <v>49</v>
      </c>
      <c r="F797" t="s">
        <v>81</v>
      </c>
      <c r="G797" t="s">
        <v>473</v>
      </c>
      <c r="H797" t="s">
        <v>96</v>
      </c>
      <c r="L797">
        <v>2500</v>
      </c>
      <c r="N797" t="s">
        <v>126</v>
      </c>
      <c r="O797" t="s">
        <v>126</v>
      </c>
      <c r="P797" t="s">
        <v>188</v>
      </c>
      <c r="Q797" s="1" t="s">
        <v>2281</v>
      </c>
      <c r="R797" s="1" t="s">
        <v>2282</v>
      </c>
      <c r="S797" s="1" t="s">
        <v>126</v>
      </c>
      <c r="X797" t="s">
        <v>2476</v>
      </c>
      <c r="Y797" t="s">
        <v>2279</v>
      </c>
      <c r="Z797" t="s">
        <v>2361</v>
      </c>
      <c r="AA797" t="s">
        <v>2296</v>
      </c>
      <c r="AB797" t="s">
        <v>2296</v>
      </c>
      <c r="AC797" t="s">
        <v>152</v>
      </c>
      <c r="AD797" t="s">
        <v>2278</v>
      </c>
      <c r="AH797" s="4" t="s">
        <v>49</v>
      </c>
      <c r="AK797" t="s">
        <v>49</v>
      </c>
      <c r="AM797" t="s">
        <v>2479</v>
      </c>
      <c r="AN797" t="s">
        <v>166</v>
      </c>
      <c r="AP797" t="s">
        <v>51</v>
      </c>
    </row>
    <row r="798" spans="1:45" x14ac:dyDescent="0.2">
      <c r="A798" t="s">
        <v>583</v>
      </c>
      <c r="B798" t="s">
        <v>584</v>
      </c>
      <c r="C798">
        <v>2021</v>
      </c>
      <c r="D798" t="s">
        <v>585</v>
      </c>
      <c r="E798" t="s">
        <v>49</v>
      </c>
      <c r="F798" t="s">
        <v>81</v>
      </c>
      <c r="G798" t="s">
        <v>473</v>
      </c>
      <c r="H798" t="s">
        <v>96</v>
      </c>
      <c r="L798">
        <v>2500</v>
      </c>
      <c r="N798" t="s">
        <v>126</v>
      </c>
      <c r="O798" t="s">
        <v>126</v>
      </c>
      <c r="P798" t="s">
        <v>188</v>
      </c>
      <c r="Q798" s="1" t="s">
        <v>2281</v>
      </c>
      <c r="R798" s="1" t="s">
        <v>2282</v>
      </c>
      <c r="S798" s="1" t="s">
        <v>126</v>
      </c>
      <c r="X798" t="s">
        <v>1185</v>
      </c>
      <c r="Y798" t="s">
        <v>2279</v>
      </c>
      <c r="Z798" t="s">
        <v>2280</v>
      </c>
      <c r="AA798" t="s">
        <v>2358</v>
      </c>
      <c r="AB798" t="s">
        <v>2459</v>
      </c>
      <c r="AC798" t="s">
        <v>152</v>
      </c>
      <c r="AD798" t="s">
        <v>2278</v>
      </c>
      <c r="AH798" s="4" t="s">
        <v>49</v>
      </c>
      <c r="AK798" t="s">
        <v>49</v>
      </c>
      <c r="AM798" t="s">
        <v>2480</v>
      </c>
      <c r="AN798" t="s">
        <v>166</v>
      </c>
      <c r="AP798" t="s">
        <v>51</v>
      </c>
    </row>
    <row r="799" spans="1:45" x14ac:dyDescent="0.2">
      <c r="A799" t="s">
        <v>583</v>
      </c>
      <c r="B799" t="s">
        <v>584</v>
      </c>
      <c r="C799">
        <v>2021</v>
      </c>
      <c r="D799" t="s">
        <v>585</v>
      </c>
      <c r="E799" t="s">
        <v>49</v>
      </c>
      <c r="F799" t="s">
        <v>81</v>
      </c>
      <c r="G799" t="s">
        <v>473</v>
      </c>
      <c r="H799" t="s">
        <v>96</v>
      </c>
      <c r="L799">
        <v>2500</v>
      </c>
      <c r="N799" t="s">
        <v>126</v>
      </c>
      <c r="O799" t="s">
        <v>126</v>
      </c>
      <c r="P799" t="s">
        <v>188</v>
      </c>
      <c r="Q799" s="1" t="s">
        <v>2281</v>
      </c>
      <c r="R799" s="1" t="s">
        <v>2282</v>
      </c>
      <c r="S799" s="1" t="s">
        <v>126</v>
      </c>
      <c r="X799" t="s">
        <v>2475</v>
      </c>
      <c r="Y799" t="s">
        <v>2279</v>
      </c>
      <c r="Z799" t="s">
        <v>2280</v>
      </c>
      <c r="AA799" t="s">
        <v>2358</v>
      </c>
      <c r="AB799" t="s">
        <v>2009</v>
      </c>
      <c r="AC799" t="s">
        <v>152</v>
      </c>
      <c r="AD799" t="s">
        <v>2278</v>
      </c>
      <c r="AH799" s="4" t="s">
        <v>49</v>
      </c>
      <c r="AK799" t="s">
        <v>49</v>
      </c>
      <c r="AM799" t="s">
        <v>2480</v>
      </c>
      <c r="AN799" t="s">
        <v>166</v>
      </c>
    </row>
    <row r="800" spans="1:45" x14ac:dyDescent="0.2">
      <c r="A800" t="s">
        <v>583</v>
      </c>
      <c r="B800" t="s">
        <v>584</v>
      </c>
      <c r="C800">
        <v>2021</v>
      </c>
      <c r="D800" t="s">
        <v>585</v>
      </c>
      <c r="E800" t="s">
        <v>49</v>
      </c>
      <c r="F800" t="s">
        <v>81</v>
      </c>
      <c r="G800" t="s">
        <v>473</v>
      </c>
      <c r="H800" t="s">
        <v>96</v>
      </c>
      <c r="L800">
        <v>2500</v>
      </c>
      <c r="N800" t="s">
        <v>126</v>
      </c>
      <c r="O800" t="s">
        <v>126</v>
      </c>
      <c r="P800" t="s">
        <v>188</v>
      </c>
      <c r="Q800" s="1" t="s">
        <v>2281</v>
      </c>
      <c r="R800" s="1" t="s">
        <v>2282</v>
      </c>
      <c r="S800" s="1" t="s">
        <v>126</v>
      </c>
      <c r="X800" t="s">
        <v>2476</v>
      </c>
      <c r="Y800" t="s">
        <v>2279</v>
      </c>
      <c r="Z800" t="s">
        <v>2361</v>
      </c>
      <c r="AA800" t="s">
        <v>2296</v>
      </c>
      <c r="AB800" t="s">
        <v>2296</v>
      </c>
      <c r="AC800" t="s">
        <v>152</v>
      </c>
      <c r="AD800" t="s">
        <v>2278</v>
      </c>
      <c r="AH800" s="4" t="s">
        <v>49</v>
      </c>
      <c r="AK800" t="s">
        <v>49</v>
      </c>
      <c r="AM800" t="s">
        <v>2480</v>
      </c>
      <c r="AN800" t="s">
        <v>166</v>
      </c>
      <c r="AP800" t="s">
        <v>51</v>
      </c>
    </row>
    <row r="801" spans="1:42" x14ac:dyDescent="0.2">
      <c r="A801" t="s">
        <v>583</v>
      </c>
      <c r="B801" t="s">
        <v>584</v>
      </c>
      <c r="C801">
        <v>2021</v>
      </c>
      <c r="D801" t="s">
        <v>585</v>
      </c>
      <c r="E801" t="s">
        <v>49</v>
      </c>
      <c r="F801" t="s">
        <v>81</v>
      </c>
      <c r="G801" t="s">
        <v>473</v>
      </c>
      <c r="H801" t="s">
        <v>96</v>
      </c>
      <c r="L801">
        <v>2500</v>
      </c>
      <c r="N801" t="s">
        <v>126</v>
      </c>
      <c r="O801" t="s">
        <v>126</v>
      </c>
      <c r="P801" t="s">
        <v>188</v>
      </c>
      <c r="Q801" s="1" t="s">
        <v>2281</v>
      </c>
      <c r="R801" s="1" t="s">
        <v>2282</v>
      </c>
      <c r="S801" s="1" t="s">
        <v>126</v>
      </c>
      <c r="X801" t="s">
        <v>1185</v>
      </c>
      <c r="Y801" t="s">
        <v>2279</v>
      </c>
      <c r="Z801" t="s">
        <v>2280</v>
      </c>
      <c r="AA801" t="s">
        <v>2358</v>
      </c>
      <c r="AB801" t="s">
        <v>2459</v>
      </c>
      <c r="AC801" t="s">
        <v>152</v>
      </c>
      <c r="AD801" t="s">
        <v>2278</v>
      </c>
      <c r="AF801" t="s">
        <v>49</v>
      </c>
      <c r="AK801" t="s">
        <v>49</v>
      </c>
      <c r="AM801" t="s">
        <v>2481</v>
      </c>
      <c r="AN801" t="s">
        <v>166</v>
      </c>
      <c r="AP801" t="s">
        <v>51</v>
      </c>
    </row>
    <row r="802" spans="1:42" x14ac:dyDescent="0.2">
      <c r="A802" t="s">
        <v>583</v>
      </c>
      <c r="B802" t="s">
        <v>584</v>
      </c>
      <c r="C802">
        <v>2021</v>
      </c>
      <c r="D802" t="s">
        <v>585</v>
      </c>
      <c r="E802" t="s">
        <v>49</v>
      </c>
      <c r="F802" t="s">
        <v>81</v>
      </c>
      <c r="G802" t="s">
        <v>473</v>
      </c>
      <c r="H802" t="s">
        <v>96</v>
      </c>
      <c r="L802">
        <v>2500</v>
      </c>
      <c r="N802" t="s">
        <v>126</v>
      </c>
      <c r="O802" t="s">
        <v>126</v>
      </c>
      <c r="P802" t="s">
        <v>188</v>
      </c>
      <c r="Q802" s="1" t="s">
        <v>2281</v>
      </c>
      <c r="R802" s="1" t="s">
        <v>2282</v>
      </c>
      <c r="S802" s="1" t="s">
        <v>126</v>
      </c>
      <c r="X802" t="s">
        <v>2475</v>
      </c>
      <c r="Y802" t="s">
        <v>2279</v>
      </c>
      <c r="Z802" t="s">
        <v>2280</v>
      </c>
      <c r="AA802" t="s">
        <v>2358</v>
      </c>
      <c r="AB802" t="s">
        <v>2009</v>
      </c>
      <c r="AC802" t="s">
        <v>152</v>
      </c>
      <c r="AD802" t="s">
        <v>2278</v>
      </c>
      <c r="AF802" t="s">
        <v>49</v>
      </c>
      <c r="AK802" t="s">
        <v>49</v>
      </c>
      <c r="AM802" t="s">
        <v>2481</v>
      </c>
      <c r="AN802" t="s">
        <v>166</v>
      </c>
      <c r="AP802" t="s">
        <v>51</v>
      </c>
    </row>
    <row r="803" spans="1:42" x14ac:dyDescent="0.2">
      <c r="A803" t="s">
        <v>583</v>
      </c>
      <c r="B803" t="s">
        <v>584</v>
      </c>
      <c r="C803">
        <v>2021</v>
      </c>
      <c r="D803" t="s">
        <v>585</v>
      </c>
      <c r="E803" t="s">
        <v>49</v>
      </c>
      <c r="F803" t="s">
        <v>81</v>
      </c>
      <c r="G803" t="s">
        <v>473</v>
      </c>
      <c r="H803" t="s">
        <v>96</v>
      </c>
      <c r="L803">
        <v>2500</v>
      </c>
      <c r="N803" t="s">
        <v>126</v>
      </c>
      <c r="O803" t="s">
        <v>126</v>
      </c>
      <c r="P803" t="s">
        <v>188</v>
      </c>
      <c r="Q803" s="1" t="s">
        <v>2281</v>
      </c>
      <c r="R803" s="1" t="s">
        <v>2282</v>
      </c>
      <c r="S803" s="1" t="s">
        <v>126</v>
      </c>
      <c r="X803" t="s">
        <v>2476</v>
      </c>
      <c r="Y803" t="s">
        <v>2279</v>
      </c>
      <c r="Z803" t="s">
        <v>2361</v>
      </c>
      <c r="AA803" t="s">
        <v>2296</v>
      </c>
      <c r="AB803" t="s">
        <v>2296</v>
      </c>
      <c r="AC803" t="s">
        <v>152</v>
      </c>
      <c r="AD803" t="s">
        <v>2278</v>
      </c>
      <c r="AF803" t="s">
        <v>49</v>
      </c>
      <c r="AK803" t="s">
        <v>49</v>
      </c>
      <c r="AM803" t="s">
        <v>2481</v>
      </c>
      <c r="AN803" t="s">
        <v>166</v>
      </c>
      <c r="AP803" t="s">
        <v>51</v>
      </c>
    </row>
    <row r="804" spans="1:42" x14ac:dyDescent="0.2">
      <c r="A804" t="s">
        <v>583</v>
      </c>
      <c r="B804" t="s">
        <v>584</v>
      </c>
      <c r="C804">
        <v>2021</v>
      </c>
      <c r="D804" t="s">
        <v>585</v>
      </c>
      <c r="E804" t="s">
        <v>49</v>
      </c>
      <c r="F804" t="s">
        <v>81</v>
      </c>
      <c r="G804" t="s">
        <v>473</v>
      </c>
      <c r="H804" t="s">
        <v>96</v>
      </c>
      <c r="L804">
        <v>2500</v>
      </c>
      <c r="N804" t="s">
        <v>126</v>
      </c>
      <c r="O804" t="s">
        <v>126</v>
      </c>
      <c r="P804" t="s">
        <v>188</v>
      </c>
      <c r="Q804" s="1" t="s">
        <v>2281</v>
      </c>
      <c r="R804" s="1" t="s">
        <v>2282</v>
      </c>
      <c r="S804" s="1" t="s">
        <v>126</v>
      </c>
      <c r="X804" t="s">
        <v>1185</v>
      </c>
      <c r="Y804" t="s">
        <v>2279</v>
      </c>
      <c r="Z804" t="s">
        <v>2280</v>
      </c>
      <c r="AA804" t="s">
        <v>2358</v>
      </c>
      <c r="AB804" t="s">
        <v>2459</v>
      </c>
      <c r="AC804" t="s">
        <v>152</v>
      </c>
      <c r="AD804" t="s">
        <v>2278</v>
      </c>
      <c r="AH804" s="4" t="s">
        <v>49</v>
      </c>
      <c r="AK804" t="s">
        <v>49</v>
      </c>
      <c r="AM804" t="s">
        <v>2482</v>
      </c>
      <c r="AN804" t="s">
        <v>166</v>
      </c>
      <c r="AP804" t="s">
        <v>51</v>
      </c>
    </row>
    <row r="805" spans="1:42" x14ac:dyDescent="0.2">
      <c r="A805" t="s">
        <v>583</v>
      </c>
      <c r="B805" t="s">
        <v>584</v>
      </c>
      <c r="C805">
        <v>2021</v>
      </c>
      <c r="D805" t="s">
        <v>585</v>
      </c>
      <c r="E805" t="s">
        <v>49</v>
      </c>
      <c r="F805" t="s">
        <v>81</v>
      </c>
      <c r="G805" t="s">
        <v>473</v>
      </c>
      <c r="H805" t="s">
        <v>96</v>
      </c>
      <c r="L805">
        <v>2500</v>
      </c>
      <c r="N805" t="s">
        <v>126</v>
      </c>
      <c r="O805" t="s">
        <v>126</v>
      </c>
      <c r="P805" t="s">
        <v>188</v>
      </c>
      <c r="Q805" s="1" t="s">
        <v>2281</v>
      </c>
      <c r="R805" s="1" t="s">
        <v>2282</v>
      </c>
      <c r="S805" s="1" t="s">
        <v>126</v>
      </c>
      <c r="X805" t="s">
        <v>2475</v>
      </c>
      <c r="Y805" t="s">
        <v>2279</v>
      </c>
      <c r="Z805" t="s">
        <v>2280</v>
      </c>
      <c r="AA805" t="s">
        <v>2358</v>
      </c>
      <c r="AB805" t="s">
        <v>2009</v>
      </c>
      <c r="AC805" t="s">
        <v>152</v>
      </c>
      <c r="AD805" t="s">
        <v>2278</v>
      </c>
      <c r="AH805" s="4" t="s">
        <v>49</v>
      </c>
      <c r="AK805" t="s">
        <v>49</v>
      </c>
      <c r="AM805" t="s">
        <v>2482</v>
      </c>
      <c r="AN805" t="s">
        <v>166</v>
      </c>
      <c r="AP805" t="s">
        <v>158</v>
      </c>
    </row>
    <row r="806" spans="1:42" x14ac:dyDescent="0.2">
      <c r="A806" t="s">
        <v>583</v>
      </c>
      <c r="B806" t="s">
        <v>584</v>
      </c>
      <c r="C806">
        <v>2021</v>
      </c>
      <c r="D806" t="s">
        <v>585</v>
      </c>
      <c r="E806" t="s">
        <v>49</v>
      </c>
      <c r="F806" t="s">
        <v>81</v>
      </c>
      <c r="G806" t="s">
        <v>473</v>
      </c>
      <c r="H806" t="s">
        <v>96</v>
      </c>
      <c r="L806">
        <v>2500</v>
      </c>
      <c r="N806" t="s">
        <v>126</v>
      </c>
      <c r="O806" t="s">
        <v>126</v>
      </c>
      <c r="P806" t="s">
        <v>188</v>
      </c>
      <c r="Q806" s="1" t="s">
        <v>2281</v>
      </c>
      <c r="R806" s="1" t="s">
        <v>2282</v>
      </c>
      <c r="S806" s="1" t="s">
        <v>126</v>
      </c>
      <c r="X806" t="s">
        <v>2476</v>
      </c>
      <c r="Y806" t="s">
        <v>2279</v>
      </c>
      <c r="Z806" t="s">
        <v>2361</v>
      </c>
      <c r="AA806" t="s">
        <v>2296</v>
      </c>
      <c r="AB806" t="s">
        <v>2296</v>
      </c>
      <c r="AC806" t="s">
        <v>152</v>
      </c>
      <c r="AD806" t="s">
        <v>2278</v>
      </c>
      <c r="AH806" s="4" t="s">
        <v>49</v>
      </c>
      <c r="AK806" t="s">
        <v>49</v>
      </c>
      <c r="AM806" t="s">
        <v>2482</v>
      </c>
      <c r="AN806" t="s">
        <v>166</v>
      </c>
      <c r="AP806" t="s">
        <v>51</v>
      </c>
    </row>
    <row r="807" spans="1:42" x14ac:dyDescent="0.2">
      <c r="A807" t="s">
        <v>583</v>
      </c>
      <c r="B807" t="s">
        <v>584</v>
      </c>
      <c r="C807">
        <v>2021</v>
      </c>
      <c r="D807" t="s">
        <v>585</v>
      </c>
      <c r="E807" t="s">
        <v>49</v>
      </c>
      <c r="F807" t="s">
        <v>81</v>
      </c>
      <c r="G807" t="s">
        <v>473</v>
      </c>
      <c r="H807" t="s">
        <v>96</v>
      </c>
      <c r="L807">
        <v>2500</v>
      </c>
      <c r="N807" t="s">
        <v>126</v>
      </c>
      <c r="O807" t="s">
        <v>126</v>
      </c>
      <c r="P807" t="s">
        <v>188</v>
      </c>
      <c r="Q807" s="1" t="s">
        <v>2281</v>
      </c>
      <c r="R807" s="1" t="s">
        <v>2282</v>
      </c>
      <c r="S807" s="1" t="s">
        <v>126</v>
      </c>
      <c r="X807" t="s">
        <v>1185</v>
      </c>
      <c r="Y807" t="s">
        <v>2279</v>
      </c>
      <c r="Z807" t="s">
        <v>2280</v>
      </c>
      <c r="AA807" t="s">
        <v>2358</v>
      </c>
      <c r="AB807" t="s">
        <v>2459</v>
      </c>
      <c r="AC807" t="s">
        <v>152</v>
      </c>
      <c r="AD807" t="s">
        <v>2278</v>
      </c>
      <c r="AH807" s="4" t="s">
        <v>49</v>
      </c>
      <c r="AK807" t="s">
        <v>49</v>
      </c>
      <c r="AM807" t="s">
        <v>2483</v>
      </c>
      <c r="AN807" t="s">
        <v>166</v>
      </c>
      <c r="AP807" t="s">
        <v>51</v>
      </c>
    </row>
    <row r="808" spans="1:42" x14ac:dyDescent="0.2">
      <c r="A808" t="s">
        <v>583</v>
      </c>
      <c r="B808" t="s">
        <v>584</v>
      </c>
      <c r="C808">
        <v>2021</v>
      </c>
      <c r="D808" t="s">
        <v>585</v>
      </c>
      <c r="E808" t="s">
        <v>49</v>
      </c>
      <c r="F808" t="s">
        <v>81</v>
      </c>
      <c r="G808" t="s">
        <v>473</v>
      </c>
      <c r="H808" t="s">
        <v>96</v>
      </c>
      <c r="L808">
        <v>2500</v>
      </c>
      <c r="N808" t="s">
        <v>126</v>
      </c>
      <c r="O808" t="s">
        <v>126</v>
      </c>
      <c r="P808" t="s">
        <v>188</v>
      </c>
      <c r="Q808" s="1" t="s">
        <v>2281</v>
      </c>
      <c r="R808" s="1" t="s">
        <v>2282</v>
      </c>
      <c r="S808" s="1" t="s">
        <v>126</v>
      </c>
      <c r="X808" t="s">
        <v>2475</v>
      </c>
      <c r="Y808" t="s">
        <v>2279</v>
      </c>
      <c r="Z808" t="s">
        <v>2280</v>
      </c>
      <c r="AA808" t="s">
        <v>2358</v>
      </c>
      <c r="AB808" t="s">
        <v>2009</v>
      </c>
      <c r="AC808" t="s">
        <v>152</v>
      </c>
      <c r="AD808" t="s">
        <v>2278</v>
      </c>
      <c r="AH808" s="4" t="s">
        <v>49</v>
      </c>
      <c r="AK808" t="s">
        <v>49</v>
      </c>
      <c r="AM808" t="s">
        <v>2483</v>
      </c>
      <c r="AN808" t="s">
        <v>166</v>
      </c>
      <c r="AP808" t="s">
        <v>51</v>
      </c>
    </row>
    <row r="809" spans="1:42" x14ac:dyDescent="0.2">
      <c r="A809" t="s">
        <v>583</v>
      </c>
      <c r="B809" t="s">
        <v>584</v>
      </c>
      <c r="C809">
        <v>2021</v>
      </c>
      <c r="D809" t="s">
        <v>585</v>
      </c>
      <c r="E809" t="s">
        <v>49</v>
      </c>
      <c r="F809" t="s">
        <v>81</v>
      </c>
      <c r="G809" t="s">
        <v>473</v>
      </c>
      <c r="H809" t="s">
        <v>96</v>
      </c>
      <c r="L809">
        <v>2500</v>
      </c>
      <c r="N809" t="s">
        <v>126</v>
      </c>
      <c r="O809" t="s">
        <v>126</v>
      </c>
      <c r="P809" t="s">
        <v>188</v>
      </c>
      <c r="Q809" s="1" t="s">
        <v>2281</v>
      </c>
      <c r="R809" s="1" t="s">
        <v>2282</v>
      </c>
      <c r="S809" s="1" t="s">
        <v>126</v>
      </c>
      <c r="X809" t="s">
        <v>2476</v>
      </c>
      <c r="Y809" t="s">
        <v>2279</v>
      </c>
      <c r="Z809" t="s">
        <v>2361</v>
      </c>
      <c r="AA809" t="s">
        <v>2296</v>
      </c>
      <c r="AB809" t="s">
        <v>2296</v>
      </c>
      <c r="AC809" t="s">
        <v>152</v>
      </c>
      <c r="AD809" t="s">
        <v>2278</v>
      </c>
      <c r="AH809" s="4" t="s">
        <v>49</v>
      </c>
      <c r="AK809" t="s">
        <v>49</v>
      </c>
      <c r="AM809" t="s">
        <v>2483</v>
      </c>
      <c r="AN809" t="s">
        <v>166</v>
      </c>
      <c r="AP809" t="s">
        <v>158</v>
      </c>
    </row>
    <row r="810" spans="1:42" x14ac:dyDescent="0.2">
      <c r="A810" t="s">
        <v>583</v>
      </c>
      <c r="B810" t="s">
        <v>584</v>
      </c>
      <c r="C810">
        <v>2021</v>
      </c>
      <c r="D810" t="s">
        <v>585</v>
      </c>
      <c r="E810" t="s">
        <v>49</v>
      </c>
      <c r="F810" t="s">
        <v>81</v>
      </c>
      <c r="G810" t="s">
        <v>473</v>
      </c>
      <c r="H810" t="s">
        <v>350</v>
      </c>
      <c r="L810">
        <v>2500</v>
      </c>
      <c r="N810" t="s">
        <v>126</v>
      </c>
      <c r="O810" t="s">
        <v>126</v>
      </c>
      <c r="P810" t="s">
        <v>188</v>
      </c>
      <c r="Q810" s="1" t="s">
        <v>2281</v>
      </c>
      <c r="R810" s="1" t="s">
        <v>2282</v>
      </c>
      <c r="S810" s="1" t="s">
        <v>126</v>
      </c>
      <c r="X810" t="s">
        <v>1185</v>
      </c>
      <c r="Y810" t="s">
        <v>2279</v>
      </c>
      <c r="Z810" t="s">
        <v>2280</v>
      </c>
      <c r="AA810" t="s">
        <v>2358</v>
      </c>
      <c r="AB810" t="s">
        <v>2459</v>
      </c>
      <c r="AC810" t="s">
        <v>152</v>
      </c>
      <c r="AD810" t="s">
        <v>2278</v>
      </c>
      <c r="AH810" s="4" t="s">
        <v>49</v>
      </c>
      <c r="AK810" t="s">
        <v>49</v>
      </c>
      <c r="AM810" t="s">
        <v>2477</v>
      </c>
      <c r="AN810" t="s">
        <v>166</v>
      </c>
      <c r="AP810" t="s">
        <v>51</v>
      </c>
    </row>
    <row r="811" spans="1:42" x14ac:dyDescent="0.2">
      <c r="A811" t="s">
        <v>583</v>
      </c>
      <c r="B811" t="s">
        <v>584</v>
      </c>
      <c r="C811">
        <v>2021</v>
      </c>
      <c r="D811" t="s">
        <v>585</v>
      </c>
      <c r="E811" t="s">
        <v>49</v>
      </c>
      <c r="F811" t="s">
        <v>81</v>
      </c>
      <c r="G811" t="s">
        <v>473</v>
      </c>
      <c r="H811" t="s">
        <v>350</v>
      </c>
      <c r="L811">
        <v>2500</v>
      </c>
      <c r="N811" t="s">
        <v>126</v>
      </c>
      <c r="O811" t="s">
        <v>126</v>
      </c>
      <c r="P811" t="s">
        <v>188</v>
      </c>
      <c r="Q811" s="1" t="s">
        <v>2281</v>
      </c>
      <c r="R811" s="1" t="s">
        <v>2282</v>
      </c>
      <c r="S811" s="1" t="s">
        <v>126</v>
      </c>
      <c r="X811" t="s">
        <v>2475</v>
      </c>
      <c r="Y811" t="s">
        <v>2279</v>
      </c>
      <c r="Z811" t="s">
        <v>2280</v>
      </c>
      <c r="AA811" t="s">
        <v>2358</v>
      </c>
      <c r="AB811" t="s">
        <v>2009</v>
      </c>
      <c r="AC811" t="s">
        <v>152</v>
      </c>
      <c r="AD811" t="s">
        <v>2278</v>
      </c>
      <c r="AH811" s="4" t="s">
        <v>49</v>
      </c>
      <c r="AK811" t="s">
        <v>49</v>
      </c>
      <c r="AM811" t="s">
        <v>2477</v>
      </c>
      <c r="AN811" t="s">
        <v>166</v>
      </c>
      <c r="AP811" t="s">
        <v>51</v>
      </c>
    </row>
    <row r="812" spans="1:42" x14ac:dyDescent="0.2">
      <c r="A812" t="s">
        <v>583</v>
      </c>
      <c r="B812" t="s">
        <v>584</v>
      </c>
      <c r="C812">
        <v>2021</v>
      </c>
      <c r="D812" t="s">
        <v>585</v>
      </c>
      <c r="E812" t="s">
        <v>49</v>
      </c>
      <c r="F812" t="s">
        <v>81</v>
      </c>
      <c r="G812" t="s">
        <v>473</v>
      </c>
      <c r="H812" t="s">
        <v>350</v>
      </c>
      <c r="L812">
        <v>2500</v>
      </c>
      <c r="N812" t="s">
        <v>126</v>
      </c>
      <c r="O812" t="s">
        <v>126</v>
      </c>
      <c r="P812" t="s">
        <v>188</v>
      </c>
      <c r="Q812" s="1" t="s">
        <v>2281</v>
      </c>
      <c r="R812" s="1" t="s">
        <v>2282</v>
      </c>
      <c r="S812" s="1" t="s">
        <v>126</v>
      </c>
      <c r="X812" t="s">
        <v>2476</v>
      </c>
      <c r="Y812" t="s">
        <v>2279</v>
      </c>
      <c r="Z812" t="s">
        <v>2361</v>
      </c>
      <c r="AA812" t="s">
        <v>2296</v>
      </c>
      <c r="AB812" t="s">
        <v>2296</v>
      </c>
      <c r="AC812" t="s">
        <v>152</v>
      </c>
      <c r="AD812" t="s">
        <v>2278</v>
      </c>
      <c r="AH812" s="4" t="s">
        <v>49</v>
      </c>
      <c r="AK812" t="s">
        <v>49</v>
      </c>
      <c r="AM812" t="s">
        <v>2477</v>
      </c>
      <c r="AN812" t="s">
        <v>166</v>
      </c>
      <c r="AP812" t="s">
        <v>158</v>
      </c>
    </row>
    <row r="813" spans="1:42" x14ac:dyDescent="0.2">
      <c r="A813" t="s">
        <v>583</v>
      </c>
      <c r="B813" t="s">
        <v>584</v>
      </c>
      <c r="C813">
        <v>2021</v>
      </c>
      <c r="D813" t="s">
        <v>585</v>
      </c>
      <c r="E813" t="s">
        <v>49</v>
      </c>
      <c r="F813" t="s">
        <v>81</v>
      </c>
      <c r="G813" t="s">
        <v>473</v>
      </c>
      <c r="H813" t="s">
        <v>350</v>
      </c>
      <c r="L813">
        <v>2500</v>
      </c>
      <c r="N813" t="s">
        <v>126</v>
      </c>
      <c r="O813" t="s">
        <v>126</v>
      </c>
      <c r="P813" t="s">
        <v>188</v>
      </c>
      <c r="Q813" s="1" t="s">
        <v>2281</v>
      </c>
      <c r="R813" s="1" t="s">
        <v>2282</v>
      </c>
      <c r="S813" s="1" t="s">
        <v>126</v>
      </c>
      <c r="X813" t="s">
        <v>1185</v>
      </c>
      <c r="Y813" t="s">
        <v>2279</v>
      </c>
      <c r="Z813" t="s">
        <v>2280</v>
      </c>
      <c r="AA813" t="s">
        <v>2358</v>
      </c>
      <c r="AB813" t="s">
        <v>2459</v>
      </c>
      <c r="AC813" t="s">
        <v>152</v>
      </c>
      <c r="AD813" t="s">
        <v>2278</v>
      </c>
      <c r="AH813" s="4" t="s">
        <v>49</v>
      </c>
      <c r="AK813" t="s">
        <v>49</v>
      </c>
      <c r="AM813" t="s">
        <v>2484</v>
      </c>
      <c r="AN813" t="s">
        <v>166</v>
      </c>
      <c r="AP813" t="s">
        <v>51</v>
      </c>
    </row>
    <row r="814" spans="1:42" x14ac:dyDescent="0.2">
      <c r="A814" t="s">
        <v>583</v>
      </c>
      <c r="B814" t="s">
        <v>584</v>
      </c>
      <c r="C814">
        <v>2021</v>
      </c>
      <c r="D814" t="s">
        <v>585</v>
      </c>
      <c r="E814" t="s">
        <v>49</v>
      </c>
      <c r="F814" t="s">
        <v>81</v>
      </c>
      <c r="G814" t="s">
        <v>473</v>
      </c>
      <c r="H814" t="s">
        <v>350</v>
      </c>
      <c r="L814">
        <v>2500</v>
      </c>
      <c r="N814" t="s">
        <v>126</v>
      </c>
      <c r="O814" t="s">
        <v>126</v>
      </c>
      <c r="P814" t="s">
        <v>188</v>
      </c>
      <c r="Q814" s="1" t="s">
        <v>2281</v>
      </c>
      <c r="R814" s="1" t="s">
        <v>2282</v>
      </c>
      <c r="S814" s="1" t="s">
        <v>126</v>
      </c>
      <c r="X814" t="s">
        <v>2475</v>
      </c>
      <c r="Y814" t="s">
        <v>2279</v>
      </c>
      <c r="Z814" t="s">
        <v>2280</v>
      </c>
      <c r="AA814" t="s">
        <v>2358</v>
      </c>
      <c r="AB814" t="s">
        <v>2009</v>
      </c>
      <c r="AC814" t="s">
        <v>152</v>
      </c>
      <c r="AD814" t="s">
        <v>2278</v>
      </c>
      <c r="AH814" s="4" t="s">
        <v>49</v>
      </c>
      <c r="AK814" t="s">
        <v>49</v>
      </c>
      <c r="AM814" t="s">
        <v>2484</v>
      </c>
      <c r="AN814" t="s">
        <v>166</v>
      </c>
      <c r="AP814" t="s">
        <v>173</v>
      </c>
    </row>
    <row r="815" spans="1:42" x14ac:dyDescent="0.2">
      <c r="A815" t="s">
        <v>583</v>
      </c>
      <c r="B815" t="s">
        <v>584</v>
      </c>
      <c r="C815">
        <v>2021</v>
      </c>
      <c r="D815" t="s">
        <v>585</v>
      </c>
      <c r="E815" t="s">
        <v>49</v>
      </c>
      <c r="F815" t="s">
        <v>81</v>
      </c>
      <c r="G815" t="s">
        <v>473</v>
      </c>
      <c r="H815" t="s">
        <v>350</v>
      </c>
      <c r="L815">
        <v>2500</v>
      </c>
      <c r="N815" t="s">
        <v>126</v>
      </c>
      <c r="O815" t="s">
        <v>126</v>
      </c>
      <c r="P815" t="s">
        <v>188</v>
      </c>
      <c r="Q815" s="1" t="s">
        <v>2281</v>
      </c>
      <c r="R815" s="1" t="s">
        <v>2282</v>
      </c>
      <c r="S815" s="1" t="s">
        <v>126</v>
      </c>
      <c r="X815" t="s">
        <v>2476</v>
      </c>
      <c r="Y815" t="s">
        <v>2279</v>
      </c>
      <c r="Z815" t="s">
        <v>2361</v>
      </c>
      <c r="AA815" t="s">
        <v>2296</v>
      </c>
      <c r="AB815" t="s">
        <v>2296</v>
      </c>
      <c r="AC815" t="s">
        <v>152</v>
      </c>
      <c r="AD815" t="s">
        <v>2278</v>
      </c>
      <c r="AH815" s="4" t="s">
        <v>49</v>
      </c>
      <c r="AK815" t="s">
        <v>49</v>
      </c>
      <c r="AM815" t="s">
        <v>2484</v>
      </c>
      <c r="AN815" t="s">
        <v>166</v>
      </c>
    </row>
    <row r="816" spans="1:42" x14ac:dyDescent="0.2">
      <c r="A816" t="s">
        <v>583</v>
      </c>
      <c r="B816" t="s">
        <v>584</v>
      </c>
      <c r="C816">
        <v>2021</v>
      </c>
      <c r="D816" t="s">
        <v>585</v>
      </c>
      <c r="E816" t="s">
        <v>49</v>
      </c>
      <c r="F816" t="s">
        <v>81</v>
      </c>
      <c r="G816" t="s">
        <v>473</v>
      </c>
      <c r="H816" t="s">
        <v>350</v>
      </c>
      <c r="L816">
        <v>2500</v>
      </c>
      <c r="N816" t="s">
        <v>126</v>
      </c>
      <c r="O816" t="s">
        <v>126</v>
      </c>
      <c r="P816" t="s">
        <v>188</v>
      </c>
      <c r="Q816" s="1" t="s">
        <v>2281</v>
      </c>
      <c r="R816" s="1" t="s">
        <v>2282</v>
      </c>
      <c r="S816" s="1" t="s">
        <v>126</v>
      </c>
      <c r="X816" t="s">
        <v>1185</v>
      </c>
      <c r="Y816" t="s">
        <v>2279</v>
      </c>
      <c r="Z816" t="s">
        <v>2280</v>
      </c>
      <c r="AA816" t="s">
        <v>2358</v>
      </c>
      <c r="AB816" t="s">
        <v>2459</v>
      </c>
      <c r="AC816" t="s">
        <v>152</v>
      </c>
      <c r="AD816" t="s">
        <v>2278</v>
      </c>
      <c r="AH816" s="4" t="s">
        <v>49</v>
      </c>
      <c r="AK816" t="s">
        <v>49</v>
      </c>
      <c r="AM816" t="s">
        <v>2478</v>
      </c>
      <c r="AN816" t="s">
        <v>166</v>
      </c>
      <c r="AP816" t="s">
        <v>51</v>
      </c>
    </row>
    <row r="817" spans="1:42" x14ac:dyDescent="0.2">
      <c r="A817" t="s">
        <v>583</v>
      </c>
      <c r="B817" t="s">
        <v>584</v>
      </c>
      <c r="C817">
        <v>2021</v>
      </c>
      <c r="D817" t="s">
        <v>585</v>
      </c>
      <c r="E817" t="s">
        <v>49</v>
      </c>
      <c r="F817" t="s">
        <v>81</v>
      </c>
      <c r="G817" t="s">
        <v>473</v>
      </c>
      <c r="H817" t="s">
        <v>350</v>
      </c>
      <c r="L817">
        <v>2500</v>
      </c>
      <c r="N817" t="s">
        <v>126</v>
      </c>
      <c r="O817" t="s">
        <v>126</v>
      </c>
      <c r="P817" t="s">
        <v>188</v>
      </c>
      <c r="Q817" s="1" t="s">
        <v>2281</v>
      </c>
      <c r="R817" s="1" t="s">
        <v>2282</v>
      </c>
      <c r="S817" s="1" t="s">
        <v>126</v>
      </c>
      <c r="X817" t="s">
        <v>2475</v>
      </c>
      <c r="Y817" t="s">
        <v>2279</v>
      </c>
      <c r="Z817" t="s">
        <v>2280</v>
      </c>
      <c r="AA817" t="s">
        <v>2358</v>
      </c>
      <c r="AB817" t="s">
        <v>2009</v>
      </c>
      <c r="AC817" t="s">
        <v>152</v>
      </c>
      <c r="AD817" t="s">
        <v>2278</v>
      </c>
      <c r="AH817" s="4" t="s">
        <v>49</v>
      </c>
      <c r="AK817" t="s">
        <v>49</v>
      </c>
      <c r="AM817" t="s">
        <v>2478</v>
      </c>
      <c r="AN817" t="s">
        <v>166</v>
      </c>
      <c r="AP817" t="s">
        <v>51</v>
      </c>
    </row>
    <row r="818" spans="1:42" x14ac:dyDescent="0.2">
      <c r="A818" t="s">
        <v>583</v>
      </c>
      <c r="B818" t="s">
        <v>584</v>
      </c>
      <c r="C818">
        <v>2021</v>
      </c>
      <c r="D818" t="s">
        <v>585</v>
      </c>
      <c r="E818" t="s">
        <v>49</v>
      </c>
      <c r="F818" t="s">
        <v>81</v>
      </c>
      <c r="G818" t="s">
        <v>473</v>
      </c>
      <c r="H818" t="s">
        <v>350</v>
      </c>
      <c r="L818">
        <v>2500</v>
      </c>
      <c r="N818" t="s">
        <v>126</v>
      </c>
      <c r="O818" t="s">
        <v>126</v>
      </c>
      <c r="P818" t="s">
        <v>188</v>
      </c>
      <c r="Q818" s="1" t="s">
        <v>2281</v>
      </c>
      <c r="R818" s="1" t="s">
        <v>2282</v>
      </c>
      <c r="S818" s="1" t="s">
        <v>126</v>
      </c>
      <c r="X818" t="s">
        <v>2476</v>
      </c>
      <c r="Y818" t="s">
        <v>2279</v>
      </c>
      <c r="Z818" t="s">
        <v>2361</v>
      </c>
      <c r="AA818" t="s">
        <v>2296</v>
      </c>
      <c r="AB818" t="s">
        <v>2296</v>
      </c>
      <c r="AC818" t="s">
        <v>152</v>
      </c>
      <c r="AD818" t="s">
        <v>2278</v>
      </c>
      <c r="AH818" s="4" t="s">
        <v>49</v>
      </c>
      <c r="AK818" t="s">
        <v>49</v>
      </c>
      <c r="AM818" t="s">
        <v>2478</v>
      </c>
      <c r="AN818" t="s">
        <v>166</v>
      </c>
    </row>
    <row r="819" spans="1:42" x14ac:dyDescent="0.2">
      <c r="A819" t="s">
        <v>583</v>
      </c>
      <c r="B819" t="s">
        <v>584</v>
      </c>
      <c r="C819">
        <v>2021</v>
      </c>
      <c r="D819" t="s">
        <v>585</v>
      </c>
      <c r="E819" t="s">
        <v>49</v>
      </c>
      <c r="F819" t="s">
        <v>81</v>
      </c>
      <c r="G819" t="s">
        <v>473</v>
      </c>
      <c r="H819" t="s">
        <v>350</v>
      </c>
      <c r="L819">
        <v>2500</v>
      </c>
      <c r="N819" t="s">
        <v>126</v>
      </c>
      <c r="O819" t="s">
        <v>126</v>
      </c>
      <c r="P819" t="s">
        <v>188</v>
      </c>
      <c r="Q819" s="1" t="s">
        <v>2281</v>
      </c>
      <c r="R819" s="1" t="s">
        <v>2282</v>
      </c>
      <c r="S819" s="1" t="s">
        <v>126</v>
      </c>
      <c r="X819" t="s">
        <v>1185</v>
      </c>
      <c r="Y819" t="s">
        <v>2279</v>
      </c>
      <c r="Z819" t="s">
        <v>2280</v>
      </c>
      <c r="AA819" t="s">
        <v>2358</v>
      </c>
      <c r="AB819" t="s">
        <v>2459</v>
      </c>
      <c r="AC819" t="s">
        <v>152</v>
      </c>
      <c r="AD819" t="s">
        <v>2278</v>
      </c>
      <c r="AH819" s="4" t="s">
        <v>49</v>
      </c>
      <c r="AK819" t="s">
        <v>49</v>
      </c>
      <c r="AM819" t="s">
        <v>2479</v>
      </c>
      <c r="AN819" t="s">
        <v>166</v>
      </c>
    </row>
    <row r="820" spans="1:42" x14ac:dyDescent="0.2">
      <c r="A820" t="s">
        <v>583</v>
      </c>
      <c r="B820" t="s">
        <v>584</v>
      </c>
      <c r="C820">
        <v>2021</v>
      </c>
      <c r="D820" t="s">
        <v>585</v>
      </c>
      <c r="E820" t="s">
        <v>49</v>
      </c>
      <c r="F820" t="s">
        <v>81</v>
      </c>
      <c r="G820" t="s">
        <v>473</v>
      </c>
      <c r="H820" t="s">
        <v>350</v>
      </c>
      <c r="L820">
        <v>2500</v>
      </c>
      <c r="N820" t="s">
        <v>126</v>
      </c>
      <c r="O820" t="s">
        <v>126</v>
      </c>
      <c r="P820" t="s">
        <v>188</v>
      </c>
      <c r="Q820" s="1" t="s">
        <v>2281</v>
      </c>
      <c r="R820" s="1" t="s">
        <v>2282</v>
      </c>
      <c r="S820" s="1" t="s">
        <v>126</v>
      </c>
      <c r="X820" t="s">
        <v>2475</v>
      </c>
      <c r="Y820" t="s">
        <v>2279</v>
      </c>
      <c r="Z820" t="s">
        <v>2280</v>
      </c>
      <c r="AA820" t="s">
        <v>2358</v>
      </c>
      <c r="AB820" t="s">
        <v>2009</v>
      </c>
      <c r="AC820" t="s">
        <v>152</v>
      </c>
      <c r="AD820" t="s">
        <v>2278</v>
      </c>
      <c r="AH820" s="4" t="s">
        <v>49</v>
      </c>
      <c r="AK820" t="s">
        <v>49</v>
      </c>
      <c r="AM820" t="s">
        <v>2479</v>
      </c>
      <c r="AN820" t="s">
        <v>166</v>
      </c>
      <c r="AP820" t="s">
        <v>51</v>
      </c>
    </row>
    <row r="821" spans="1:42" x14ac:dyDescent="0.2">
      <c r="A821" t="s">
        <v>583</v>
      </c>
      <c r="B821" t="s">
        <v>584</v>
      </c>
      <c r="C821">
        <v>2021</v>
      </c>
      <c r="D821" t="s">
        <v>585</v>
      </c>
      <c r="E821" t="s">
        <v>49</v>
      </c>
      <c r="F821" t="s">
        <v>81</v>
      </c>
      <c r="G821" t="s">
        <v>473</v>
      </c>
      <c r="H821" t="s">
        <v>350</v>
      </c>
      <c r="L821">
        <v>2500</v>
      </c>
      <c r="N821" t="s">
        <v>126</v>
      </c>
      <c r="O821" t="s">
        <v>126</v>
      </c>
      <c r="P821" t="s">
        <v>188</v>
      </c>
      <c r="Q821" s="1" t="s">
        <v>2281</v>
      </c>
      <c r="R821" s="1" t="s">
        <v>2282</v>
      </c>
      <c r="S821" s="1" t="s">
        <v>126</v>
      </c>
      <c r="X821" t="s">
        <v>2476</v>
      </c>
      <c r="Y821" t="s">
        <v>2279</v>
      </c>
      <c r="Z821" t="s">
        <v>2361</v>
      </c>
      <c r="AA821" t="s">
        <v>2296</v>
      </c>
      <c r="AB821" t="s">
        <v>2296</v>
      </c>
      <c r="AC821" t="s">
        <v>152</v>
      </c>
      <c r="AD821" t="s">
        <v>2278</v>
      </c>
      <c r="AH821" s="4" t="s">
        <v>49</v>
      </c>
      <c r="AK821" t="s">
        <v>49</v>
      </c>
      <c r="AM821" t="s">
        <v>2479</v>
      </c>
      <c r="AN821" t="s">
        <v>166</v>
      </c>
    </row>
    <row r="822" spans="1:42" x14ac:dyDescent="0.2">
      <c r="A822" t="s">
        <v>583</v>
      </c>
      <c r="B822" t="s">
        <v>584</v>
      </c>
      <c r="C822">
        <v>2021</v>
      </c>
      <c r="D822" t="s">
        <v>585</v>
      </c>
      <c r="E822" t="s">
        <v>49</v>
      </c>
      <c r="F822" t="s">
        <v>81</v>
      </c>
      <c r="G822" t="s">
        <v>473</v>
      </c>
      <c r="H822" t="s">
        <v>350</v>
      </c>
      <c r="L822">
        <v>2500</v>
      </c>
      <c r="N822" t="s">
        <v>126</v>
      </c>
      <c r="O822" t="s">
        <v>126</v>
      </c>
      <c r="P822" t="s">
        <v>188</v>
      </c>
      <c r="Q822" s="1" t="s">
        <v>2281</v>
      </c>
      <c r="R822" s="1" t="s">
        <v>2282</v>
      </c>
      <c r="S822" s="1" t="s">
        <v>126</v>
      </c>
      <c r="X822" t="s">
        <v>1185</v>
      </c>
      <c r="Y822" t="s">
        <v>2279</v>
      </c>
      <c r="Z822" t="s">
        <v>2280</v>
      </c>
      <c r="AA822" t="s">
        <v>2358</v>
      </c>
      <c r="AB822" t="s">
        <v>2459</v>
      </c>
      <c r="AC822" t="s">
        <v>152</v>
      </c>
      <c r="AD822" t="s">
        <v>2278</v>
      </c>
      <c r="AH822" s="4" t="s">
        <v>49</v>
      </c>
      <c r="AK822" t="s">
        <v>49</v>
      </c>
      <c r="AM822" t="s">
        <v>2480</v>
      </c>
      <c r="AN822" t="s">
        <v>166</v>
      </c>
    </row>
    <row r="823" spans="1:42" x14ac:dyDescent="0.2">
      <c r="A823" t="s">
        <v>583</v>
      </c>
      <c r="B823" t="s">
        <v>584</v>
      </c>
      <c r="C823">
        <v>2021</v>
      </c>
      <c r="D823" t="s">
        <v>585</v>
      </c>
      <c r="E823" t="s">
        <v>49</v>
      </c>
      <c r="F823" t="s">
        <v>81</v>
      </c>
      <c r="G823" t="s">
        <v>473</v>
      </c>
      <c r="H823" t="s">
        <v>350</v>
      </c>
      <c r="L823">
        <v>2500</v>
      </c>
      <c r="N823" t="s">
        <v>126</v>
      </c>
      <c r="O823" t="s">
        <v>126</v>
      </c>
      <c r="P823" t="s">
        <v>188</v>
      </c>
      <c r="Q823" s="1" t="s">
        <v>2281</v>
      </c>
      <c r="R823" s="1" t="s">
        <v>2282</v>
      </c>
      <c r="S823" s="1" t="s">
        <v>126</v>
      </c>
      <c r="X823" t="s">
        <v>2475</v>
      </c>
      <c r="Y823" t="s">
        <v>2279</v>
      </c>
      <c r="Z823" t="s">
        <v>2280</v>
      </c>
      <c r="AA823" t="s">
        <v>2358</v>
      </c>
      <c r="AB823" t="s">
        <v>2009</v>
      </c>
      <c r="AC823" t="s">
        <v>152</v>
      </c>
      <c r="AD823" t="s">
        <v>2278</v>
      </c>
      <c r="AH823" s="4" t="s">
        <v>49</v>
      </c>
      <c r="AK823" t="s">
        <v>49</v>
      </c>
      <c r="AM823" t="s">
        <v>2480</v>
      </c>
      <c r="AN823" t="s">
        <v>166</v>
      </c>
    </row>
    <row r="824" spans="1:42" x14ac:dyDescent="0.2">
      <c r="A824" t="s">
        <v>583</v>
      </c>
      <c r="B824" t="s">
        <v>584</v>
      </c>
      <c r="C824">
        <v>2021</v>
      </c>
      <c r="D824" t="s">
        <v>585</v>
      </c>
      <c r="E824" t="s">
        <v>49</v>
      </c>
      <c r="F824" t="s">
        <v>81</v>
      </c>
      <c r="G824" t="s">
        <v>473</v>
      </c>
      <c r="H824" t="s">
        <v>350</v>
      </c>
      <c r="L824">
        <v>2500</v>
      </c>
      <c r="N824" t="s">
        <v>126</v>
      </c>
      <c r="O824" t="s">
        <v>126</v>
      </c>
      <c r="P824" t="s">
        <v>188</v>
      </c>
      <c r="Q824" s="1" t="s">
        <v>2281</v>
      </c>
      <c r="R824" s="1" t="s">
        <v>2282</v>
      </c>
      <c r="S824" s="1" t="s">
        <v>126</v>
      </c>
      <c r="X824" t="s">
        <v>2476</v>
      </c>
      <c r="Y824" t="s">
        <v>2279</v>
      </c>
      <c r="Z824" t="s">
        <v>2361</v>
      </c>
      <c r="AA824" t="s">
        <v>2296</v>
      </c>
      <c r="AB824" t="s">
        <v>2296</v>
      </c>
      <c r="AC824" t="s">
        <v>152</v>
      </c>
      <c r="AD824" t="s">
        <v>2278</v>
      </c>
      <c r="AH824" s="4" t="s">
        <v>49</v>
      </c>
      <c r="AK824" t="s">
        <v>49</v>
      </c>
      <c r="AM824" t="s">
        <v>2480</v>
      </c>
      <c r="AN824" t="s">
        <v>166</v>
      </c>
    </row>
    <row r="825" spans="1:42" x14ac:dyDescent="0.2">
      <c r="A825" t="s">
        <v>583</v>
      </c>
      <c r="B825" t="s">
        <v>584</v>
      </c>
      <c r="C825">
        <v>2021</v>
      </c>
      <c r="D825" t="s">
        <v>585</v>
      </c>
      <c r="E825" t="s">
        <v>49</v>
      </c>
      <c r="F825" t="s">
        <v>81</v>
      </c>
      <c r="G825" t="s">
        <v>473</v>
      </c>
      <c r="H825" t="s">
        <v>350</v>
      </c>
      <c r="L825">
        <v>2500</v>
      </c>
      <c r="N825" t="s">
        <v>126</v>
      </c>
      <c r="O825" t="s">
        <v>126</v>
      </c>
      <c r="P825" t="s">
        <v>188</v>
      </c>
      <c r="Q825" s="1" t="s">
        <v>2281</v>
      </c>
      <c r="R825" s="1" t="s">
        <v>2282</v>
      </c>
      <c r="S825" s="1" t="s">
        <v>126</v>
      </c>
      <c r="X825" t="s">
        <v>1185</v>
      </c>
      <c r="Y825" t="s">
        <v>2279</v>
      </c>
      <c r="Z825" t="s">
        <v>2280</v>
      </c>
      <c r="AA825" t="s">
        <v>2358</v>
      </c>
      <c r="AB825" t="s">
        <v>2459</v>
      </c>
      <c r="AC825" t="s">
        <v>152</v>
      </c>
      <c r="AD825" t="s">
        <v>2278</v>
      </c>
      <c r="AF825" t="s">
        <v>49</v>
      </c>
      <c r="AK825" t="s">
        <v>49</v>
      </c>
      <c r="AM825" t="s">
        <v>2481</v>
      </c>
      <c r="AN825" t="s">
        <v>166</v>
      </c>
      <c r="AP825" t="s">
        <v>51</v>
      </c>
    </row>
    <row r="826" spans="1:42" x14ac:dyDescent="0.2">
      <c r="A826" t="s">
        <v>583</v>
      </c>
      <c r="B826" t="s">
        <v>584</v>
      </c>
      <c r="C826">
        <v>2021</v>
      </c>
      <c r="D826" t="s">
        <v>585</v>
      </c>
      <c r="E826" t="s">
        <v>49</v>
      </c>
      <c r="F826" t="s">
        <v>81</v>
      </c>
      <c r="G826" t="s">
        <v>473</v>
      </c>
      <c r="H826" t="s">
        <v>350</v>
      </c>
      <c r="L826">
        <v>2500</v>
      </c>
      <c r="N826" t="s">
        <v>126</v>
      </c>
      <c r="O826" t="s">
        <v>126</v>
      </c>
      <c r="P826" t="s">
        <v>188</v>
      </c>
      <c r="Q826" s="1" t="s">
        <v>2281</v>
      </c>
      <c r="R826" s="1" t="s">
        <v>2282</v>
      </c>
      <c r="S826" s="1" t="s">
        <v>126</v>
      </c>
      <c r="X826" t="s">
        <v>2475</v>
      </c>
      <c r="Y826" t="s">
        <v>2279</v>
      </c>
      <c r="Z826" t="s">
        <v>2280</v>
      </c>
      <c r="AA826" t="s">
        <v>2358</v>
      </c>
      <c r="AB826" t="s">
        <v>2009</v>
      </c>
      <c r="AC826" t="s">
        <v>152</v>
      </c>
      <c r="AD826" t="s">
        <v>2278</v>
      </c>
      <c r="AF826" t="s">
        <v>49</v>
      </c>
      <c r="AK826" t="s">
        <v>49</v>
      </c>
      <c r="AM826" t="s">
        <v>2481</v>
      </c>
      <c r="AN826" t="s">
        <v>166</v>
      </c>
      <c r="AP826" t="s">
        <v>51</v>
      </c>
    </row>
    <row r="827" spans="1:42" x14ac:dyDescent="0.2">
      <c r="A827" t="s">
        <v>583</v>
      </c>
      <c r="B827" t="s">
        <v>584</v>
      </c>
      <c r="C827">
        <v>2021</v>
      </c>
      <c r="D827" t="s">
        <v>585</v>
      </c>
      <c r="E827" t="s">
        <v>49</v>
      </c>
      <c r="F827" t="s">
        <v>81</v>
      </c>
      <c r="G827" t="s">
        <v>473</v>
      </c>
      <c r="H827" t="s">
        <v>350</v>
      </c>
      <c r="L827">
        <v>2500</v>
      </c>
      <c r="N827" t="s">
        <v>126</v>
      </c>
      <c r="O827" t="s">
        <v>126</v>
      </c>
      <c r="P827" t="s">
        <v>188</v>
      </c>
      <c r="Q827" s="1" t="s">
        <v>2281</v>
      </c>
      <c r="R827" s="1" t="s">
        <v>2282</v>
      </c>
      <c r="S827" s="1" t="s">
        <v>126</v>
      </c>
      <c r="X827" t="s">
        <v>2476</v>
      </c>
      <c r="Y827" t="s">
        <v>2279</v>
      </c>
      <c r="Z827" t="s">
        <v>2361</v>
      </c>
      <c r="AA827" t="s">
        <v>2296</v>
      </c>
      <c r="AB827" t="s">
        <v>2296</v>
      </c>
      <c r="AC827" t="s">
        <v>152</v>
      </c>
      <c r="AD827" t="s">
        <v>2278</v>
      </c>
      <c r="AF827" t="s">
        <v>49</v>
      </c>
      <c r="AK827" t="s">
        <v>49</v>
      </c>
      <c r="AM827" t="s">
        <v>2481</v>
      </c>
      <c r="AN827" t="s">
        <v>166</v>
      </c>
    </row>
    <row r="828" spans="1:42" x14ac:dyDescent="0.2">
      <c r="A828" t="s">
        <v>583</v>
      </c>
      <c r="B828" t="s">
        <v>584</v>
      </c>
      <c r="C828">
        <v>2021</v>
      </c>
      <c r="D828" t="s">
        <v>585</v>
      </c>
      <c r="E828" t="s">
        <v>49</v>
      </c>
      <c r="F828" t="s">
        <v>81</v>
      </c>
      <c r="G828" t="s">
        <v>473</v>
      </c>
      <c r="H828" t="s">
        <v>350</v>
      </c>
      <c r="L828">
        <v>2500</v>
      </c>
      <c r="N828" t="s">
        <v>126</v>
      </c>
      <c r="O828" t="s">
        <v>126</v>
      </c>
      <c r="P828" t="s">
        <v>188</v>
      </c>
      <c r="Q828" s="1" t="s">
        <v>2281</v>
      </c>
      <c r="R828" s="1" t="s">
        <v>2282</v>
      </c>
      <c r="S828" s="1" t="s">
        <v>126</v>
      </c>
      <c r="X828" t="s">
        <v>1185</v>
      </c>
      <c r="Y828" t="s">
        <v>2279</v>
      </c>
      <c r="Z828" t="s">
        <v>2280</v>
      </c>
      <c r="AA828" t="s">
        <v>2358</v>
      </c>
      <c r="AB828" t="s">
        <v>2459</v>
      </c>
      <c r="AC828" t="s">
        <v>152</v>
      </c>
      <c r="AD828" t="s">
        <v>2278</v>
      </c>
      <c r="AH828" s="4" t="s">
        <v>49</v>
      </c>
      <c r="AK828" t="s">
        <v>49</v>
      </c>
      <c r="AM828" t="s">
        <v>2482</v>
      </c>
      <c r="AN828" t="s">
        <v>166</v>
      </c>
      <c r="AP828" t="s">
        <v>51</v>
      </c>
    </row>
    <row r="829" spans="1:42" x14ac:dyDescent="0.2">
      <c r="A829" t="s">
        <v>583</v>
      </c>
      <c r="B829" t="s">
        <v>584</v>
      </c>
      <c r="C829">
        <v>2021</v>
      </c>
      <c r="D829" t="s">
        <v>585</v>
      </c>
      <c r="E829" t="s">
        <v>49</v>
      </c>
      <c r="F829" t="s">
        <v>81</v>
      </c>
      <c r="G829" t="s">
        <v>473</v>
      </c>
      <c r="H829" t="s">
        <v>350</v>
      </c>
      <c r="L829">
        <v>2500</v>
      </c>
      <c r="N829" t="s">
        <v>126</v>
      </c>
      <c r="O829" t="s">
        <v>126</v>
      </c>
      <c r="P829" t="s">
        <v>188</v>
      </c>
      <c r="Q829" s="1" t="s">
        <v>2281</v>
      </c>
      <c r="R829" s="1" t="s">
        <v>2282</v>
      </c>
      <c r="S829" s="1" t="s">
        <v>126</v>
      </c>
      <c r="X829" t="s">
        <v>2475</v>
      </c>
      <c r="Y829" t="s">
        <v>2279</v>
      </c>
      <c r="Z829" t="s">
        <v>2280</v>
      </c>
      <c r="AA829" t="s">
        <v>2358</v>
      </c>
      <c r="AB829" t="s">
        <v>2009</v>
      </c>
      <c r="AC829" t="s">
        <v>152</v>
      </c>
      <c r="AD829" t="s">
        <v>2278</v>
      </c>
      <c r="AH829" s="4" t="s">
        <v>49</v>
      </c>
      <c r="AK829" t="s">
        <v>49</v>
      </c>
      <c r="AM829" t="s">
        <v>2482</v>
      </c>
      <c r="AN829" t="s">
        <v>166</v>
      </c>
      <c r="AP829" t="s">
        <v>51</v>
      </c>
    </row>
    <row r="830" spans="1:42" x14ac:dyDescent="0.2">
      <c r="A830" t="s">
        <v>583</v>
      </c>
      <c r="B830" t="s">
        <v>584</v>
      </c>
      <c r="C830">
        <v>2021</v>
      </c>
      <c r="D830" t="s">
        <v>585</v>
      </c>
      <c r="E830" t="s">
        <v>49</v>
      </c>
      <c r="F830" t="s">
        <v>81</v>
      </c>
      <c r="G830" t="s">
        <v>473</v>
      </c>
      <c r="H830" t="s">
        <v>350</v>
      </c>
      <c r="L830">
        <v>2500</v>
      </c>
      <c r="N830" t="s">
        <v>126</v>
      </c>
      <c r="O830" t="s">
        <v>126</v>
      </c>
      <c r="P830" t="s">
        <v>188</v>
      </c>
      <c r="Q830" s="1" t="s">
        <v>2281</v>
      </c>
      <c r="R830" s="1" t="s">
        <v>2282</v>
      </c>
      <c r="S830" s="1" t="s">
        <v>126</v>
      </c>
      <c r="X830" t="s">
        <v>2476</v>
      </c>
      <c r="Y830" t="s">
        <v>2279</v>
      </c>
      <c r="Z830" t="s">
        <v>2361</v>
      </c>
      <c r="AA830" t="s">
        <v>2296</v>
      </c>
      <c r="AB830" t="s">
        <v>2296</v>
      </c>
      <c r="AC830" t="s">
        <v>152</v>
      </c>
      <c r="AD830" t="s">
        <v>2278</v>
      </c>
      <c r="AH830" s="4" t="s">
        <v>49</v>
      </c>
      <c r="AK830" t="s">
        <v>49</v>
      </c>
      <c r="AM830" t="s">
        <v>2482</v>
      </c>
      <c r="AN830" t="s">
        <v>166</v>
      </c>
      <c r="AP830" t="s">
        <v>158</v>
      </c>
    </row>
    <row r="831" spans="1:42" x14ac:dyDescent="0.2">
      <c r="A831" t="s">
        <v>583</v>
      </c>
      <c r="B831" t="s">
        <v>584</v>
      </c>
      <c r="C831">
        <v>2021</v>
      </c>
      <c r="D831" t="s">
        <v>585</v>
      </c>
      <c r="E831" t="s">
        <v>49</v>
      </c>
      <c r="F831" t="s">
        <v>81</v>
      </c>
      <c r="G831" t="s">
        <v>473</v>
      </c>
      <c r="H831" t="s">
        <v>350</v>
      </c>
      <c r="L831">
        <v>2500</v>
      </c>
      <c r="N831" t="s">
        <v>126</v>
      </c>
      <c r="O831" t="s">
        <v>126</v>
      </c>
      <c r="P831" t="s">
        <v>188</v>
      </c>
      <c r="Q831" s="1" t="s">
        <v>2281</v>
      </c>
      <c r="R831" s="1" t="s">
        <v>2282</v>
      </c>
      <c r="S831" s="1" t="s">
        <v>126</v>
      </c>
      <c r="X831" t="s">
        <v>1185</v>
      </c>
      <c r="Y831" t="s">
        <v>2279</v>
      </c>
      <c r="Z831" t="s">
        <v>2280</v>
      </c>
      <c r="AA831" t="s">
        <v>2358</v>
      </c>
      <c r="AB831" t="s">
        <v>2459</v>
      </c>
      <c r="AC831" t="s">
        <v>152</v>
      </c>
      <c r="AD831" t="s">
        <v>2278</v>
      </c>
      <c r="AH831" s="4" t="s">
        <v>49</v>
      </c>
      <c r="AK831" t="s">
        <v>49</v>
      </c>
      <c r="AM831" t="s">
        <v>2483</v>
      </c>
      <c r="AN831" t="s">
        <v>166</v>
      </c>
      <c r="AP831" t="s">
        <v>51</v>
      </c>
    </row>
    <row r="832" spans="1:42" x14ac:dyDescent="0.2">
      <c r="A832" t="s">
        <v>583</v>
      </c>
      <c r="B832" t="s">
        <v>584</v>
      </c>
      <c r="C832">
        <v>2021</v>
      </c>
      <c r="D832" t="s">
        <v>585</v>
      </c>
      <c r="E832" t="s">
        <v>49</v>
      </c>
      <c r="F832" t="s">
        <v>81</v>
      </c>
      <c r="G832" t="s">
        <v>473</v>
      </c>
      <c r="H832" t="s">
        <v>350</v>
      </c>
      <c r="L832">
        <v>2500</v>
      </c>
      <c r="N832" t="s">
        <v>126</v>
      </c>
      <c r="O832" t="s">
        <v>126</v>
      </c>
      <c r="P832" t="s">
        <v>188</v>
      </c>
      <c r="Q832" s="1" t="s">
        <v>2281</v>
      </c>
      <c r="R832" s="1" t="s">
        <v>2282</v>
      </c>
      <c r="S832" s="1" t="s">
        <v>126</v>
      </c>
      <c r="X832" t="s">
        <v>2475</v>
      </c>
      <c r="Y832" t="s">
        <v>2279</v>
      </c>
      <c r="Z832" t="s">
        <v>2280</v>
      </c>
      <c r="AA832" t="s">
        <v>2358</v>
      </c>
      <c r="AB832" t="s">
        <v>2009</v>
      </c>
      <c r="AC832" t="s">
        <v>152</v>
      </c>
      <c r="AD832" t="s">
        <v>2278</v>
      </c>
      <c r="AH832" s="4" t="s">
        <v>49</v>
      </c>
      <c r="AK832" t="s">
        <v>49</v>
      </c>
      <c r="AM832" t="s">
        <v>2483</v>
      </c>
      <c r="AN832" t="s">
        <v>166</v>
      </c>
      <c r="AP832" t="s">
        <v>51</v>
      </c>
    </row>
    <row r="833" spans="1:45" x14ac:dyDescent="0.2">
      <c r="A833" t="s">
        <v>583</v>
      </c>
      <c r="B833" t="s">
        <v>584</v>
      </c>
      <c r="C833">
        <v>2021</v>
      </c>
      <c r="D833" t="s">
        <v>585</v>
      </c>
      <c r="E833" t="s">
        <v>49</v>
      </c>
      <c r="F833" t="s">
        <v>81</v>
      </c>
      <c r="G833" t="s">
        <v>473</v>
      </c>
      <c r="H833" t="s">
        <v>350</v>
      </c>
      <c r="L833">
        <v>2500</v>
      </c>
      <c r="N833" t="s">
        <v>126</v>
      </c>
      <c r="O833" t="s">
        <v>126</v>
      </c>
      <c r="P833" t="s">
        <v>188</v>
      </c>
      <c r="Q833" s="1" t="s">
        <v>2281</v>
      </c>
      <c r="R833" s="1" t="s">
        <v>2282</v>
      </c>
      <c r="S833" s="1" t="s">
        <v>126</v>
      </c>
      <c r="X833" t="s">
        <v>2476</v>
      </c>
      <c r="Y833" t="s">
        <v>2279</v>
      </c>
      <c r="Z833" t="s">
        <v>2361</v>
      </c>
      <c r="AA833" t="s">
        <v>2296</v>
      </c>
      <c r="AB833" t="s">
        <v>2296</v>
      </c>
      <c r="AC833" t="s">
        <v>152</v>
      </c>
      <c r="AD833" t="s">
        <v>2278</v>
      </c>
      <c r="AH833" s="4" t="s">
        <v>49</v>
      </c>
      <c r="AK833" t="s">
        <v>49</v>
      </c>
      <c r="AM833" t="s">
        <v>2483</v>
      </c>
      <c r="AN833" t="s">
        <v>166</v>
      </c>
      <c r="AP833" t="s">
        <v>158</v>
      </c>
    </row>
    <row r="834" spans="1:45" x14ac:dyDescent="0.2">
      <c r="A834" t="s">
        <v>586</v>
      </c>
      <c r="B834" t="s">
        <v>587</v>
      </c>
      <c r="C834">
        <v>2021</v>
      </c>
      <c r="D834" t="s">
        <v>45</v>
      </c>
      <c r="E834" t="s">
        <v>49</v>
      </c>
      <c r="F834" t="s">
        <v>588</v>
      </c>
      <c r="G834" t="s">
        <v>86</v>
      </c>
      <c r="H834" t="s">
        <v>350</v>
      </c>
      <c r="I834">
        <v>2017</v>
      </c>
      <c r="J834">
        <v>0.33</v>
      </c>
      <c r="N834" t="s">
        <v>121</v>
      </c>
      <c r="O834" t="s">
        <v>121</v>
      </c>
      <c r="P834" t="s">
        <v>286</v>
      </c>
      <c r="Q834" s="1" t="s">
        <v>2292</v>
      </c>
      <c r="R834" s="1" t="s">
        <v>264</v>
      </c>
      <c r="S834" s="1" t="s">
        <v>264</v>
      </c>
      <c r="T834" t="s">
        <v>421</v>
      </c>
      <c r="U834" t="s">
        <v>421</v>
      </c>
      <c r="X834" t="s">
        <v>161</v>
      </c>
      <c r="Y834" t="s">
        <v>2272</v>
      </c>
      <c r="Z834" t="s">
        <v>2272</v>
      </c>
      <c r="AA834" t="s">
        <v>2272</v>
      </c>
      <c r="AB834" t="s">
        <v>2272</v>
      </c>
      <c r="AC834" t="s">
        <v>162</v>
      </c>
      <c r="AD834" t="s">
        <v>2272</v>
      </c>
      <c r="AH834" s="4" t="s">
        <v>49</v>
      </c>
      <c r="AK834" t="s">
        <v>49</v>
      </c>
      <c r="AM834" t="s">
        <v>589</v>
      </c>
      <c r="AN834" t="s">
        <v>109</v>
      </c>
      <c r="AO834" t="s">
        <v>591</v>
      </c>
      <c r="AP834" t="s">
        <v>157</v>
      </c>
      <c r="AR834">
        <v>1</v>
      </c>
    </row>
    <row r="835" spans="1:45" x14ac:dyDescent="0.2">
      <c r="A835" t="s">
        <v>586</v>
      </c>
      <c r="B835" t="s">
        <v>587</v>
      </c>
      <c r="C835">
        <v>2021</v>
      </c>
      <c r="D835" t="s">
        <v>45</v>
      </c>
      <c r="E835" t="s">
        <v>49</v>
      </c>
      <c r="F835" t="s">
        <v>588</v>
      </c>
      <c r="G835" t="s">
        <v>86</v>
      </c>
      <c r="H835" t="s">
        <v>350</v>
      </c>
      <c r="I835">
        <v>2017</v>
      </c>
      <c r="J835">
        <v>0.33</v>
      </c>
      <c r="N835" t="s">
        <v>121</v>
      </c>
      <c r="O835" t="s">
        <v>121</v>
      </c>
      <c r="P835" t="s">
        <v>286</v>
      </c>
      <c r="Q835" s="1" t="s">
        <v>2292</v>
      </c>
      <c r="R835" s="1" t="s">
        <v>264</v>
      </c>
      <c r="S835" s="1" t="s">
        <v>264</v>
      </c>
      <c r="T835" t="s">
        <v>421</v>
      </c>
      <c r="U835" t="s">
        <v>421</v>
      </c>
      <c r="X835" t="s">
        <v>161</v>
      </c>
      <c r="Y835" t="s">
        <v>2272</v>
      </c>
      <c r="Z835" t="s">
        <v>2272</v>
      </c>
      <c r="AA835" t="s">
        <v>2272</v>
      </c>
      <c r="AB835" t="s">
        <v>2272</v>
      </c>
      <c r="AC835" t="s">
        <v>162</v>
      </c>
      <c r="AD835" t="s">
        <v>2272</v>
      </c>
      <c r="AH835" s="4" t="s">
        <v>49</v>
      </c>
      <c r="AK835" t="s">
        <v>49</v>
      </c>
      <c r="AM835" t="s">
        <v>589</v>
      </c>
      <c r="AN835" t="s">
        <v>109</v>
      </c>
      <c r="AO835" t="s">
        <v>590</v>
      </c>
      <c r="AP835" t="s">
        <v>157</v>
      </c>
      <c r="AR835">
        <v>1</v>
      </c>
    </row>
    <row r="836" spans="1:45" x14ac:dyDescent="0.2">
      <c r="A836" t="s">
        <v>592</v>
      </c>
      <c r="B836" t="s">
        <v>593</v>
      </c>
      <c r="C836">
        <v>2021</v>
      </c>
      <c r="D836" t="s">
        <v>44</v>
      </c>
      <c r="Q836" s="1" t="s">
        <v>2272</v>
      </c>
      <c r="R836" s="1" t="s">
        <v>2272</v>
      </c>
      <c r="S836" s="1" t="s">
        <v>2272</v>
      </c>
      <c r="Y836" t="s">
        <v>2272</v>
      </c>
      <c r="Z836" t="s">
        <v>2272</v>
      </c>
      <c r="AA836" t="s">
        <v>2272</v>
      </c>
      <c r="AB836" t="s">
        <v>2272</v>
      </c>
      <c r="AD836" t="s">
        <v>2272</v>
      </c>
      <c r="AR836" t="s">
        <v>144</v>
      </c>
      <c r="AS836" t="s">
        <v>2583</v>
      </c>
    </row>
    <row r="837" spans="1:45" x14ac:dyDescent="0.2">
      <c r="A837" t="s">
        <v>594</v>
      </c>
      <c r="B837" t="s">
        <v>595</v>
      </c>
      <c r="C837">
        <v>2021</v>
      </c>
      <c r="Q837" s="1" t="s">
        <v>2272</v>
      </c>
      <c r="R837" s="1" t="s">
        <v>2272</v>
      </c>
      <c r="S837" s="1" t="s">
        <v>2272</v>
      </c>
      <c r="Y837" t="s">
        <v>2272</v>
      </c>
      <c r="Z837" t="s">
        <v>2272</v>
      </c>
      <c r="AA837" t="s">
        <v>2272</v>
      </c>
      <c r="AB837" t="s">
        <v>2272</v>
      </c>
      <c r="AD837" t="s">
        <v>2272</v>
      </c>
      <c r="AR837" t="s">
        <v>144</v>
      </c>
      <c r="AS837" t="s">
        <v>2583</v>
      </c>
    </row>
    <row r="838" spans="1:45" x14ac:dyDescent="0.2">
      <c r="A838" t="s">
        <v>596</v>
      </c>
      <c r="B838" t="s">
        <v>597</v>
      </c>
      <c r="C838">
        <v>2021</v>
      </c>
      <c r="Q838" s="1" t="s">
        <v>2272</v>
      </c>
      <c r="R838" s="1" t="s">
        <v>2272</v>
      </c>
      <c r="S838" s="1" t="s">
        <v>2272</v>
      </c>
      <c r="Y838" t="s">
        <v>2272</v>
      </c>
      <c r="Z838" t="s">
        <v>2272</v>
      </c>
      <c r="AA838" t="s">
        <v>2272</v>
      </c>
      <c r="AB838" t="s">
        <v>2272</v>
      </c>
      <c r="AD838" t="s">
        <v>2272</v>
      </c>
      <c r="AR838" t="s">
        <v>144</v>
      </c>
      <c r="AS838" t="s">
        <v>2583</v>
      </c>
    </row>
    <row r="839" spans="1:45" x14ac:dyDescent="0.2">
      <c r="A839" t="s">
        <v>598</v>
      </c>
      <c r="B839" t="s">
        <v>599</v>
      </c>
      <c r="C839">
        <v>2020</v>
      </c>
      <c r="D839" t="s">
        <v>45</v>
      </c>
      <c r="F839" t="s">
        <v>82</v>
      </c>
      <c r="G839" t="s">
        <v>86</v>
      </c>
      <c r="H839" t="s">
        <v>350</v>
      </c>
      <c r="M839">
        <v>0</v>
      </c>
      <c r="N839" t="s">
        <v>130</v>
      </c>
      <c r="O839" t="s">
        <v>255</v>
      </c>
      <c r="P839" t="s">
        <v>600</v>
      </c>
      <c r="Q839" s="1" t="s">
        <v>2276</v>
      </c>
      <c r="R839" s="1" t="s">
        <v>751</v>
      </c>
      <c r="S839" s="1" t="s">
        <v>2345</v>
      </c>
      <c r="T839" t="s">
        <v>421</v>
      </c>
      <c r="U839" t="s">
        <v>421</v>
      </c>
      <c r="X839" t="s">
        <v>161</v>
      </c>
      <c r="Y839" t="s">
        <v>2272</v>
      </c>
      <c r="Z839" t="s">
        <v>2272</v>
      </c>
      <c r="AA839" t="s">
        <v>2272</v>
      </c>
      <c r="AB839" t="s">
        <v>2272</v>
      </c>
      <c r="AC839" t="s">
        <v>162</v>
      </c>
      <c r="AD839" t="s">
        <v>2272</v>
      </c>
      <c r="AF839" t="s">
        <v>49</v>
      </c>
      <c r="AL839" t="s">
        <v>49</v>
      </c>
      <c r="AM839" t="s">
        <v>603</v>
      </c>
      <c r="AN839" t="s">
        <v>109</v>
      </c>
      <c r="AO839" t="s">
        <v>602</v>
      </c>
      <c r="AQ839" s="5">
        <v>1</v>
      </c>
    </row>
    <row r="840" spans="1:45" x14ac:dyDescent="0.2">
      <c r="A840" t="s">
        <v>598</v>
      </c>
      <c r="B840" t="s">
        <v>599</v>
      </c>
      <c r="C840">
        <v>2020</v>
      </c>
      <c r="D840" t="s">
        <v>45</v>
      </c>
      <c r="F840" t="s">
        <v>82</v>
      </c>
      <c r="G840" t="s">
        <v>86</v>
      </c>
      <c r="H840" t="s">
        <v>350</v>
      </c>
      <c r="M840">
        <v>0</v>
      </c>
      <c r="N840" t="s">
        <v>130</v>
      </c>
      <c r="O840" t="s">
        <v>255</v>
      </c>
      <c r="P840" t="s">
        <v>601</v>
      </c>
      <c r="Q840" s="1" t="s">
        <v>2276</v>
      </c>
      <c r="R840" s="1" t="s">
        <v>751</v>
      </c>
      <c r="S840" s="1" t="s">
        <v>2345</v>
      </c>
      <c r="T840" t="s">
        <v>421</v>
      </c>
      <c r="U840" t="s">
        <v>421</v>
      </c>
      <c r="X840" t="s">
        <v>161</v>
      </c>
      <c r="Y840" t="s">
        <v>2272</v>
      </c>
      <c r="Z840" t="s">
        <v>2272</v>
      </c>
      <c r="AA840" t="s">
        <v>2272</v>
      </c>
      <c r="AB840" t="s">
        <v>2272</v>
      </c>
      <c r="AC840" t="s">
        <v>162</v>
      </c>
      <c r="AD840" t="s">
        <v>2272</v>
      </c>
      <c r="AF840" t="s">
        <v>49</v>
      </c>
      <c r="AL840" t="s">
        <v>49</v>
      </c>
      <c r="AM840" t="s">
        <v>603</v>
      </c>
      <c r="AN840" t="s">
        <v>109</v>
      </c>
      <c r="AO840" t="s">
        <v>602</v>
      </c>
      <c r="AQ840" s="5">
        <v>1</v>
      </c>
    </row>
    <row r="841" spans="1:45" x14ac:dyDescent="0.2">
      <c r="A841" t="s">
        <v>598</v>
      </c>
      <c r="B841" t="s">
        <v>599</v>
      </c>
      <c r="C841">
        <v>2020</v>
      </c>
      <c r="D841" t="s">
        <v>45</v>
      </c>
      <c r="F841" t="s">
        <v>82</v>
      </c>
      <c r="G841" t="s">
        <v>86</v>
      </c>
      <c r="H841" t="s">
        <v>350</v>
      </c>
      <c r="M841">
        <v>0</v>
      </c>
      <c r="N841" t="s">
        <v>130</v>
      </c>
      <c r="O841" t="s">
        <v>255</v>
      </c>
      <c r="P841" t="s">
        <v>600</v>
      </c>
      <c r="Q841" s="1" t="s">
        <v>2276</v>
      </c>
      <c r="R841" s="1" t="s">
        <v>751</v>
      </c>
      <c r="S841" s="1" t="s">
        <v>2345</v>
      </c>
      <c r="T841" t="s">
        <v>396</v>
      </c>
      <c r="U841" s="1" t="s">
        <v>2345</v>
      </c>
      <c r="X841" t="s">
        <v>161</v>
      </c>
      <c r="Y841" t="s">
        <v>2272</v>
      </c>
      <c r="Z841" t="s">
        <v>2272</v>
      </c>
      <c r="AA841" t="s">
        <v>2272</v>
      </c>
      <c r="AB841" t="s">
        <v>2272</v>
      </c>
      <c r="AC841" t="s">
        <v>162</v>
      </c>
      <c r="AD841" t="s">
        <v>2272</v>
      </c>
      <c r="AF841" t="s">
        <v>49</v>
      </c>
      <c r="AL841" t="s">
        <v>49</v>
      </c>
      <c r="AM841" t="s">
        <v>603</v>
      </c>
      <c r="AN841" t="s">
        <v>109</v>
      </c>
      <c r="AO841" t="s">
        <v>602</v>
      </c>
      <c r="AQ841" s="5">
        <v>0</v>
      </c>
    </row>
    <row r="842" spans="1:45" x14ac:dyDescent="0.2">
      <c r="A842" t="s">
        <v>598</v>
      </c>
      <c r="B842" t="s">
        <v>599</v>
      </c>
      <c r="C842">
        <v>2020</v>
      </c>
      <c r="D842" t="s">
        <v>45</v>
      </c>
      <c r="F842" t="s">
        <v>82</v>
      </c>
      <c r="G842" t="s">
        <v>86</v>
      </c>
      <c r="H842" t="s">
        <v>350</v>
      </c>
      <c r="M842">
        <v>0</v>
      </c>
      <c r="N842" t="s">
        <v>130</v>
      </c>
      <c r="O842" t="s">
        <v>255</v>
      </c>
      <c r="P842" t="s">
        <v>601</v>
      </c>
      <c r="Q842" s="1" t="s">
        <v>2276</v>
      </c>
      <c r="R842" s="1" t="s">
        <v>751</v>
      </c>
      <c r="S842" s="1" t="s">
        <v>2345</v>
      </c>
      <c r="T842" t="s">
        <v>396</v>
      </c>
      <c r="U842" s="1" t="s">
        <v>2345</v>
      </c>
      <c r="X842" t="s">
        <v>161</v>
      </c>
      <c r="Y842" t="s">
        <v>2272</v>
      </c>
      <c r="Z842" t="s">
        <v>2272</v>
      </c>
      <c r="AA842" t="s">
        <v>2272</v>
      </c>
      <c r="AB842" t="s">
        <v>2272</v>
      </c>
      <c r="AC842" t="s">
        <v>162</v>
      </c>
      <c r="AD842" t="s">
        <v>2272</v>
      </c>
      <c r="AF842" t="s">
        <v>49</v>
      </c>
      <c r="AL842" t="s">
        <v>49</v>
      </c>
      <c r="AM842" t="s">
        <v>603</v>
      </c>
      <c r="AN842" t="s">
        <v>109</v>
      </c>
      <c r="AO842" t="s">
        <v>602</v>
      </c>
      <c r="AQ842" s="5">
        <v>0</v>
      </c>
    </row>
    <row r="843" spans="1:45" x14ac:dyDescent="0.2">
      <c r="A843" t="s">
        <v>598</v>
      </c>
      <c r="B843" t="s">
        <v>599</v>
      </c>
      <c r="C843">
        <v>2020</v>
      </c>
      <c r="D843" t="s">
        <v>45</v>
      </c>
      <c r="F843" t="s">
        <v>82</v>
      </c>
      <c r="G843" t="s">
        <v>86</v>
      </c>
      <c r="H843" t="s">
        <v>350</v>
      </c>
      <c r="M843">
        <v>0</v>
      </c>
      <c r="N843" t="s">
        <v>130</v>
      </c>
      <c r="O843" t="s">
        <v>255</v>
      </c>
      <c r="P843" t="s">
        <v>600</v>
      </c>
      <c r="Q843" s="1" t="s">
        <v>2276</v>
      </c>
      <c r="R843" s="1" t="s">
        <v>751</v>
      </c>
      <c r="S843" s="1" t="s">
        <v>2345</v>
      </c>
      <c r="T843" t="s">
        <v>421</v>
      </c>
      <c r="U843" t="s">
        <v>421</v>
      </c>
      <c r="X843" t="s">
        <v>161</v>
      </c>
      <c r="Y843" t="s">
        <v>2272</v>
      </c>
      <c r="Z843" t="s">
        <v>2272</v>
      </c>
      <c r="AA843" t="s">
        <v>2272</v>
      </c>
      <c r="AB843" t="s">
        <v>2272</v>
      </c>
      <c r="AC843" t="s">
        <v>162</v>
      </c>
      <c r="AD843" t="s">
        <v>2272</v>
      </c>
      <c r="AF843" t="s">
        <v>49</v>
      </c>
      <c r="AL843" t="s">
        <v>49</v>
      </c>
      <c r="AM843" t="s">
        <v>604</v>
      </c>
      <c r="AN843" t="s">
        <v>109</v>
      </c>
      <c r="AO843" t="s">
        <v>602</v>
      </c>
      <c r="AQ843" s="5">
        <v>1</v>
      </c>
    </row>
    <row r="844" spans="1:45" x14ac:dyDescent="0.2">
      <c r="A844" t="s">
        <v>598</v>
      </c>
      <c r="B844" t="s">
        <v>599</v>
      </c>
      <c r="C844">
        <v>2020</v>
      </c>
      <c r="D844" t="s">
        <v>45</v>
      </c>
      <c r="F844" t="s">
        <v>82</v>
      </c>
      <c r="G844" t="s">
        <v>86</v>
      </c>
      <c r="H844" t="s">
        <v>350</v>
      </c>
      <c r="M844">
        <v>0</v>
      </c>
      <c r="N844" t="s">
        <v>130</v>
      </c>
      <c r="O844" t="s">
        <v>255</v>
      </c>
      <c r="P844" t="s">
        <v>601</v>
      </c>
      <c r="Q844" s="1" t="s">
        <v>2276</v>
      </c>
      <c r="R844" s="1" t="s">
        <v>751</v>
      </c>
      <c r="S844" s="1" t="s">
        <v>2345</v>
      </c>
      <c r="T844" t="s">
        <v>421</v>
      </c>
      <c r="U844" t="s">
        <v>421</v>
      </c>
      <c r="X844" t="s">
        <v>161</v>
      </c>
      <c r="Y844" t="s">
        <v>2272</v>
      </c>
      <c r="Z844" t="s">
        <v>2272</v>
      </c>
      <c r="AA844" t="s">
        <v>2272</v>
      </c>
      <c r="AB844" t="s">
        <v>2272</v>
      </c>
      <c r="AC844" t="s">
        <v>162</v>
      </c>
      <c r="AD844" t="s">
        <v>2272</v>
      </c>
      <c r="AF844" t="s">
        <v>49</v>
      </c>
      <c r="AL844" t="s">
        <v>49</v>
      </c>
      <c r="AM844" t="s">
        <v>604</v>
      </c>
      <c r="AN844" t="s">
        <v>109</v>
      </c>
      <c r="AO844" t="s">
        <v>602</v>
      </c>
      <c r="AQ844" s="5">
        <v>1</v>
      </c>
    </row>
    <row r="845" spans="1:45" x14ac:dyDescent="0.2">
      <c r="A845" t="s">
        <v>598</v>
      </c>
      <c r="B845" t="s">
        <v>599</v>
      </c>
      <c r="C845">
        <v>2020</v>
      </c>
      <c r="D845" t="s">
        <v>45</v>
      </c>
      <c r="F845" t="s">
        <v>82</v>
      </c>
      <c r="G845" t="s">
        <v>86</v>
      </c>
      <c r="H845" t="s">
        <v>350</v>
      </c>
      <c r="M845">
        <v>0</v>
      </c>
      <c r="N845" t="s">
        <v>130</v>
      </c>
      <c r="O845" t="s">
        <v>255</v>
      </c>
      <c r="P845" t="s">
        <v>600</v>
      </c>
      <c r="Q845" s="1" t="s">
        <v>2276</v>
      </c>
      <c r="R845" s="1" t="s">
        <v>751</v>
      </c>
      <c r="S845" s="1" t="s">
        <v>2345</v>
      </c>
      <c r="T845" t="s">
        <v>396</v>
      </c>
      <c r="U845" s="1" t="s">
        <v>2345</v>
      </c>
      <c r="X845" t="s">
        <v>161</v>
      </c>
      <c r="Y845" t="s">
        <v>2272</v>
      </c>
      <c r="Z845" t="s">
        <v>2272</v>
      </c>
      <c r="AA845" t="s">
        <v>2272</v>
      </c>
      <c r="AB845" t="s">
        <v>2272</v>
      </c>
      <c r="AC845" t="s">
        <v>162</v>
      </c>
      <c r="AD845" t="s">
        <v>2272</v>
      </c>
      <c r="AF845" t="s">
        <v>49</v>
      </c>
      <c r="AL845" t="s">
        <v>49</v>
      </c>
      <c r="AM845" t="s">
        <v>604</v>
      </c>
      <c r="AN845" t="s">
        <v>109</v>
      </c>
      <c r="AO845" t="s">
        <v>602</v>
      </c>
      <c r="AQ845" s="5">
        <v>0</v>
      </c>
    </row>
    <row r="846" spans="1:45" x14ac:dyDescent="0.2">
      <c r="A846" t="s">
        <v>598</v>
      </c>
      <c r="B846" t="s">
        <v>599</v>
      </c>
      <c r="C846">
        <v>2020</v>
      </c>
      <c r="D846" t="s">
        <v>45</v>
      </c>
      <c r="F846" t="s">
        <v>82</v>
      </c>
      <c r="G846" t="s">
        <v>86</v>
      </c>
      <c r="H846" t="s">
        <v>350</v>
      </c>
      <c r="M846">
        <v>0</v>
      </c>
      <c r="N846" t="s">
        <v>130</v>
      </c>
      <c r="O846" t="s">
        <v>255</v>
      </c>
      <c r="P846" t="s">
        <v>601</v>
      </c>
      <c r="Q846" s="1" t="s">
        <v>2276</v>
      </c>
      <c r="R846" s="1" t="s">
        <v>751</v>
      </c>
      <c r="S846" s="1" t="s">
        <v>2345</v>
      </c>
      <c r="T846" t="s">
        <v>396</v>
      </c>
      <c r="U846" s="1" t="s">
        <v>2345</v>
      </c>
      <c r="X846" t="s">
        <v>161</v>
      </c>
      <c r="Y846" t="s">
        <v>2272</v>
      </c>
      <c r="Z846" t="s">
        <v>2272</v>
      </c>
      <c r="AA846" t="s">
        <v>2272</v>
      </c>
      <c r="AB846" t="s">
        <v>2272</v>
      </c>
      <c r="AC846" t="s">
        <v>162</v>
      </c>
      <c r="AD846" t="s">
        <v>2272</v>
      </c>
      <c r="AF846" t="s">
        <v>49</v>
      </c>
      <c r="AL846" t="s">
        <v>49</v>
      </c>
      <c r="AM846" t="s">
        <v>604</v>
      </c>
      <c r="AN846" t="s">
        <v>109</v>
      </c>
      <c r="AO846" t="s">
        <v>602</v>
      </c>
      <c r="AQ846" s="5">
        <v>0</v>
      </c>
    </row>
    <row r="847" spans="1:45" x14ac:dyDescent="0.2">
      <c r="A847" t="s">
        <v>598</v>
      </c>
      <c r="B847" t="s">
        <v>599</v>
      </c>
      <c r="C847">
        <v>2020</v>
      </c>
      <c r="D847" t="s">
        <v>45</v>
      </c>
      <c r="F847" t="s">
        <v>82</v>
      </c>
      <c r="G847" t="s">
        <v>86</v>
      </c>
      <c r="H847" t="s">
        <v>350</v>
      </c>
      <c r="M847">
        <v>0</v>
      </c>
      <c r="N847" t="s">
        <v>130</v>
      </c>
      <c r="O847" t="s">
        <v>255</v>
      </c>
      <c r="P847" t="s">
        <v>600</v>
      </c>
      <c r="Q847" s="1" t="s">
        <v>2276</v>
      </c>
      <c r="R847" s="1" t="s">
        <v>751</v>
      </c>
      <c r="S847" s="1" t="s">
        <v>2345</v>
      </c>
      <c r="T847" t="s">
        <v>421</v>
      </c>
      <c r="U847" t="s">
        <v>421</v>
      </c>
      <c r="X847" t="s">
        <v>161</v>
      </c>
      <c r="Y847" t="s">
        <v>2272</v>
      </c>
      <c r="Z847" t="s">
        <v>2272</v>
      </c>
      <c r="AA847" t="s">
        <v>2272</v>
      </c>
      <c r="AB847" t="s">
        <v>2272</v>
      </c>
      <c r="AC847" t="s">
        <v>162</v>
      </c>
      <c r="AD847" t="s">
        <v>2272</v>
      </c>
      <c r="AF847" t="s">
        <v>49</v>
      </c>
      <c r="AL847" t="s">
        <v>49</v>
      </c>
      <c r="AM847" t="s">
        <v>605</v>
      </c>
      <c r="AN847" t="s">
        <v>109</v>
      </c>
      <c r="AO847" t="s">
        <v>602</v>
      </c>
      <c r="AQ847" s="5">
        <v>0</v>
      </c>
    </row>
    <row r="848" spans="1:45" x14ac:dyDescent="0.2">
      <c r="A848" t="s">
        <v>598</v>
      </c>
      <c r="B848" t="s">
        <v>599</v>
      </c>
      <c r="C848">
        <v>2020</v>
      </c>
      <c r="D848" t="s">
        <v>45</v>
      </c>
      <c r="F848" t="s">
        <v>82</v>
      </c>
      <c r="G848" t="s">
        <v>86</v>
      </c>
      <c r="H848" t="s">
        <v>350</v>
      </c>
      <c r="M848">
        <v>0</v>
      </c>
      <c r="N848" t="s">
        <v>130</v>
      </c>
      <c r="O848" t="s">
        <v>255</v>
      </c>
      <c r="P848" t="s">
        <v>601</v>
      </c>
      <c r="Q848" s="1" t="s">
        <v>2276</v>
      </c>
      <c r="R848" s="1" t="s">
        <v>751</v>
      </c>
      <c r="S848" s="1" t="s">
        <v>2345</v>
      </c>
      <c r="T848" t="s">
        <v>421</v>
      </c>
      <c r="U848" t="s">
        <v>421</v>
      </c>
      <c r="X848" t="s">
        <v>161</v>
      </c>
      <c r="Y848" t="s">
        <v>2272</v>
      </c>
      <c r="Z848" t="s">
        <v>2272</v>
      </c>
      <c r="AA848" t="s">
        <v>2272</v>
      </c>
      <c r="AB848" t="s">
        <v>2272</v>
      </c>
      <c r="AC848" t="s">
        <v>162</v>
      </c>
      <c r="AD848" t="s">
        <v>2272</v>
      </c>
      <c r="AF848" t="s">
        <v>49</v>
      </c>
      <c r="AL848" t="s">
        <v>49</v>
      </c>
      <c r="AM848" t="s">
        <v>605</v>
      </c>
      <c r="AN848" t="s">
        <v>109</v>
      </c>
      <c r="AO848" t="s">
        <v>602</v>
      </c>
      <c r="AQ848" s="5">
        <v>2</v>
      </c>
    </row>
    <row r="849" spans="1:44" x14ac:dyDescent="0.2">
      <c r="A849" t="s">
        <v>598</v>
      </c>
      <c r="B849" t="s">
        <v>599</v>
      </c>
      <c r="C849">
        <v>2020</v>
      </c>
      <c r="D849" t="s">
        <v>45</v>
      </c>
      <c r="F849" t="s">
        <v>82</v>
      </c>
      <c r="G849" t="s">
        <v>86</v>
      </c>
      <c r="H849" t="s">
        <v>350</v>
      </c>
      <c r="M849">
        <v>0</v>
      </c>
      <c r="N849" t="s">
        <v>130</v>
      </c>
      <c r="O849" t="s">
        <v>255</v>
      </c>
      <c r="P849" t="s">
        <v>600</v>
      </c>
      <c r="Q849" s="1" t="s">
        <v>2276</v>
      </c>
      <c r="R849" s="1" t="s">
        <v>751</v>
      </c>
      <c r="S849" s="1" t="s">
        <v>2345</v>
      </c>
      <c r="T849" t="s">
        <v>396</v>
      </c>
      <c r="U849" s="1" t="s">
        <v>2345</v>
      </c>
      <c r="X849" t="s">
        <v>161</v>
      </c>
      <c r="Y849" t="s">
        <v>2272</v>
      </c>
      <c r="Z849" t="s">
        <v>2272</v>
      </c>
      <c r="AA849" t="s">
        <v>2272</v>
      </c>
      <c r="AB849" t="s">
        <v>2272</v>
      </c>
      <c r="AC849" t="s">
        <v>162</v>
      </c>
      <c r="AD849" t="s">
        <v>2272</v>
      </c>
      <c r="AF849" t="s">
        <v>49</v>
      </c>
      <c r="AL849" t="s">
        <v>49</v>
      </c>
      <c r="AM849" t="s">
        <v>605</v>
      </c>
      <c r="AN849" t="s">
        <v>109</v>
      </c>
      <c r="AO849" t="s">
        <v>602</v>
      </c>
      <c r="AQ849" s="5">
        <v>1</v>
      </c>
    </row>
    <row r="850" spans="1:44" x14ac:dyDescent="0.2">
      <c r="A850" t="s">
        <v>598</v>
      </c>
      <c r="B850" t="s">
        <v>599</v>
      </c>
      <c r="C850">
        <v>2020</v>
      </c>
      <c r="D850" t="s">
        <v>45</v>
      </c>
      <c r="F850" t="s">
        <v>82</v>
      </c>
      <c r="G850" t="s">
        <v>86</v>
      </c>
      <c r="H850" t="s">
        <v>350</v>
      </c>
      <c r="M850">
        <v>0</v>
      </c>
      <c r="N850" t="s">
        <v>130</v>
      </c>
      <c r="O850" t="s">
        <v>255</v>
      </c>
      <c r="P850" t="s">
        <v>601</v>
      </c>
      <c r="Q850" s="1" t="s">
        <v>2276</v>
      </c>
      <c r="R850" s="1" t="s">
        <v>751</v>
      </c>
      <c r="S850" s="1" t="s">
        <v>2345</v>
      </c>
      <c r="T850" t="s">
        <v>396</v>
      </c>
      <c r="U850" s="1" t="s">
        <v>2345</v>
      </c>
      <c r="X850" t="s">
        <v>161</v>
      </c>
      <c r="Y850" t="s">
        <v>2272</v>
      </c>
      <c r="Z850" t="s">
        <v>2272</v>
      </c>
      <c r="AA850" t="s">
        <v>2272</v>
      </c>
      <c r="AB850" t="s">
        <v>2272</v>
      </c>
      <c r="AC850" t="s">
        <v>162</v>
      </c>
      <c r="AD850" t="s">
        <v>2272</v>
      </c>
      <c r="AF850" t="s">
        <v>49</v>
      </c>
      <c r="AL850" t="s">
        <v>49</v>
      </c>
      <c r="AM850" t="s">
        <v>605</v>
      </c>
      <c r="AN850" t="s">
        <v>109</v>
      </c>
      <c r="AO850" t="s">
        <v>602</v>
      </c>
      <c r="AQ850" s="5">
        <v>2</v>
      </c>
    </row>
    <row r="851" spans="1:44" x14ac:dyDescent="0.2">
      <c r="A851" t="s">
        <v>606</v>
      </c>
      <c r="B851" t="s">
        <v>607</v>
      </c>
      <c r="C851">
        <v>2020</v>
      </c>
      <c r="D851" t="s">
        <v>44</v>
      </c>
      <c r="E851" t="s">
        <v>49</v>
      </c>
      <c r="F851" t="s">
        <v>608</v>
      </c>
      <c r="G851" t="s">
        <v>91</v>
      </c>
      <c r="H851" t="s">
        <v>96</v>
      </c>
      <c r="I851">
        <v>2018</v>
      </c>
      <c r="J851">
        <v>0.08</v>
      </c>
      <c r="K851" t="s">
        <v>101</v>
      </c>
      <c r="M851">
        <f t="shared" ref="M851:M860" si="19">0.25*0.25</f>
        <v>6.25E-2</v>
      </c>
      <c r="N851" t="s">
        <v>124</v>
      </c>
      <c r="O851" t="s">
        <v>359</v>
      </c>
      <c r="P851" t="s">
        <v>279</v>
      </c>
      <c r="Q851" s="1" t="s">
        <v>2292</v>
      </c>
      <c r="R851" s="1" t="s">
        <v>124</v>
      </c>
      <c r="S851" s="1" t="s">
        <v>124</v>
      </c>
      <c r="T851" t="s">
        <v>421</v>
      </c>
      <c r="U851" t="s">
        <v>421</v>
      </c>
      <c r="V851" t="s">
        <v>194</v>
      </c>
      <c r="W851" t="s">
        <v>279</v>
      </c>
      <c r="X851" t="s">
        <v>161</v>
      </c>
      <c r="Y851" t="s">
        <v>2272</v>
      </c>
      <c r="Z851" t="s">
        <v>2272</v>
      </c>
      <c r="AA851" t="s">
        <v>2272</v>
      </c>
      <c r="AB851" t="s">
        <v>2272</v>
      </c>
      <c r="AC851" t="s">
        <v>162</v>
      </c>
      <c r="AD851" t="s">
        <v>2272</v>
      </c>
      <c r="AG851" t="s">
        <v>49</v>
      </c>
      <c r="AK851" t="s">
        <v>49</v>
      </c>
      <c r="AM851" t="s">
        <v>306</v>
      </c>
      <c r="AN851" t="s">
        <v>166</v>
      </c>
      <c r="AQ851" s="5">
        <v>1</v>
      </c>
    </row>
    <row r="852" spans="1:44" x14ac:dyDescent="0.2">
      <c r="A852" t="s">
        <v>606</v>
      </c>
      <c r="B852" t="s">
        <v>607</v>
      </c>
      <c r="C852">
        <v>2020</v>
      </c>
      <c r="D852" t="s">
        <v>44</v>
      </c>
      <c r="E852" t="s">
        <v>49</v>
      </c>
      <c r="F852" t="s">
        <v>608</v>
      </c>
      <c r="G852" t="s">
        <v>91</v>
      </c>
      <c r="H852" t="s">
        <v>96</v>
      </c>
      <c r="I852">
        <v>2018</v>
      </c>
      <c r="J852">
        <v>0.08</v>
      </c>
      <c r="K852" t="s">
        <v>101</v>
      </c>
      <c r="M852">
        <f t="shared" si="19"/>
        <v>6.25E-2</v>
      </c>
      <c r="N852" t="s">
        <v>124</v>
      </c>
      <c r="O852" t="s">
        <v>359</v>
      </c>
      <c r="P852" t="s">
        <v>279</v>
      </c>
      <c r="Q852" s="1" t="s">
        <v>2292</v>
      </c>
      <c r="R852" s="1" t="s">
        <v>124</v>
      </c>
      <c r="S852" s="1" t="s">
        <v>124</v>
      </c>
      <c r="T852" t="s">
        <v>421</v>
      </c>
      <c r="U852" t="s">
        <v>421</v>
      </c>
      <c r="V852" t="s">
        <v>194</v>
      </c>
      <c r="W852" t="s">
        <v>279</v>
      </c>
      <c r="X852" t="s">
        <v>161</v>
      </c>
      <c r="Y852" t="s">
        <v>2272</v>
      </c>
      <c r="Z852" t="s">
        <v>2272</v>
      </c>
      <c r="AA852" t="s">
        <v>2272</v>
      </c>
      <c r="AB852" t="s">
        <v>2272</v>
      </c>
      <c r="AC852" t="s">
        <v>162</v>
      </c>
      <c r="AD852" t="s">
        <v>2272</v>
      </c>
      <c r="AG852" t="s">
        <v>49</v>
      </c>
      <c r="AK852" t="s">
        <v>49</v>
      </c>
      <c r="AM852" t="s">
        <v>609</v>
      </c>
      <c r="AN852" t="s">
        <v>166</v>
      </c>
      <c r="AQ852" s="5">
        <v>2</v>
      </c>
    </row>
    <row r="853" spans="1:44" x14ac:dyDescent="0.2">
      <c r="A853" t="s">
        <v>606</v>
      </c>
      <c r="B853" t="s">
        <v>607</v>
      </c>
      <c r="C853">
        <v>2020</v>
      </c>
      <c r="D853" t="s">
        <v>44</v>
      </c>
      <c r="E853" t="s">
        <v>49</v>
      </c>
      <c r="F853" t="s">
        <v>608</v>
      </c>
      <c r="G853" t="s">
        <v>91</v>
      </c>
      <c r="H853" t="s">
        <v>96</v>
      </c>
      <c r="I853">
        <v>2018</v>
      </c>
      <c r="J853">
        <v>0.08</v>
      </c>
      <c r="K853" t="s">
        <v>101</v>
      </c>
      <c r="M853">
        <f t="shared" si="19"/>
        <v>6.25E-2</v>
      </c>
      <c r="N853" t="s">
        <v>124</v>
      </c>
      <c r="O853" t="s">
        <v>359</v>
      </c>
      <c r="P853" t="s">
        <v>279</v>
      </c>
      <c r="Q853" s="1" t="s">
        <v>2292</v>
      </c>
      <c r="R853" s="1" t="s">
        <v>124</v>
      </c>
      <c r="S853" s="1" t="s">
        <v>124</v>
      </c>
      <c r="T853" t="s">
        <v>421</v>
      </c>
      <c r="U853" t="s">
        <v>421</v>
      </c>
      <c r="V853" t="s">
        <v>194</v>
      </c>
      <c r="W853" t="s">
        <v>279</v>
      </c>
      <c r="X853" t="s">
        <v>161</v>
      </c>
      <c r="Y853" t="s">
        <v>2272</v>
      </c>
      <c r="Z853" t="s">
        <v>2272</v>
      </c>
      <c r="AA853" t="s">
        <v>2272</v>
      </c>
      <c r="AB853" t="s">
        <v>2272</v>
      </c>
      <c r="AC853" t="s">
        <v>162</v>
      </c>
      <c r="AD853" t="s">
        <v>2272</v>
      </c>
      <c r="AG853" t="s">
        <v>49</v>
      </c>
      <c r="AI853" t="s">
        <v>49</v>
      </c>
      <c r="AM853" t="s">
        <v>610</v>
      </c>
      <c r="AN853" t="s">
        <v>166</v>
      </c>
      <c r="AQ853" s="5">
        <v>2</v>
      </c>
    </row>
    <row r="854" spans="1:44" x14ac:dyDescent="0.2">
      <c r="A854" t="s">
        <v>606</v>
      </c>
      <c r="B854" t="s">
        <v>607</v>
      </c>
      <c r="C854">
        <v>2020</v>
      </c>
      <c r="D854" t="s">
        <v>44</v>
      </c>
      <c r="E854" t="s">
        <v>49</v>
      </c>
      <c r="F854" t="s">
        <v>608</v>
      </c>
      <c r="G854" t="s">
        <v>91</v>
      </c>
      <c r="H854" t="s">
        <v>96</v>
      </c>
      <c r="I854">
        <v>2018</v>
      </c>
      <c r="J854">
        <v>0.08</v>
      </c>
      <c r="K854" t="s">
        <v>101</v>
      </c>
      <c r="M854">
        <f t="shared" si="19"/>
        <v>6.25E-2</v>
      </c>
      <c r="N854" t="s">
        <v>124</v>
      </c>
      <c r="O854" t="s">
        <v>359</v>
      </c>
      <c r="P854" t="s">
        <v>279</v>
      </c>
      <c r="Q854" s="1" t="s">
        <v>2292</v>
      </c>
      <c r="R854" s="1" t="s">
        <v>124</v>
      </c>
      <c r="S854" s="1" t="s">
        <v>124</v>
      </c>
      <c r="T854" t="s">
        <v>421</v>
      </c>
      <c r="U854" t="s">
        <v>421</v>
      </c>
      <c r="V854" t="s">
        <v>194</v>
      </c>
      <c r="W854" t="s">
        <v>279</v>
      </c>
      <c r="X854" t="s">
        <v>161</v>
      </c>
      <c r="Y854" t="s">
        <v>2272</v>
      </c>
      <c r="Z854" t="s">
        <v>2272</v>
      </c>
      <c r="AA854" t="s">
        <v>2272</v>
      </c>
      <c r="AB854" t="s">
        <v>2272</v>
      </c>
      <c r="AC854" t="s">
        <v>162</v>
      </c>
      <c r="AD854" t="s">
        <v>2272</v>
      </c>
      <c r="AG854" t="s">
        <v>49</v>
      </c>
      <c r="AK854" t="s">
        <v>49</v>
      </c>
      <c r="AM854" t="s">
        <v>306</v>
      </c>
      <c r="AN854" t="s">
        <v>171</v>
      </c>
      <c r="AQ854" s="5">
        <v>1</v>
      </c>
    </row>
    <row r="855" spans="1:44" x14ac:dyDescent="0.2">
      <c r="A855" t="s">
        <v>606</v>
      </c>
      <c r="B855" t="s">
        <v>607</v>
      </c>
      <c r="C855">
        <v>2020</v>
      </c>
      <c r="D855" t="s">
        <v>44</v>
      </c>
      <c r="E855" t="s">
        <v>49</v>
      </c>
      <c r="F855" t="s">
        <v>608</v>
      </c>
      <c r="G855" t="s">
        <v>91</v>
      </c>
      <c r="H855" t="s">
        <v>96</v>
      </c>
      <c r="I855">
        <v>2018</v>
      </c>
      <c r="J855">
        <v>0.08</v>
      </c>
      <c r="K855" t="s">
        <v>101</v>
      </c>
      <c r="M855">
        <f t="shared" si="19"/>
        <v>6.25E-2</v>
      </c>
      <c r="N855" t="s">
        <v>124</v>
      </c>
      <c r="O855" t="s">
        <v>359</v>
      </c>
      <c r="P855" t="s">
        <v>279</v>
      </c>
      <c r="Q855" s="1" t="s">
        <v>2292</v>
      </c>
      <c r="R855" s="1" t="s">
        <v>124</v>
      </c>
      <c r="S855" s="1" t="s">
        <v>124</v>
      </c>
      <c r="T855" t="s">
        <v>421</v>
      </c>
      <c r="U855" t="s">
        <v>421</v>
      </c>
      <c r="V855" t="s">
        <v>194</v>
      </c>
      <c r="W855" t="s">
        <v>279</v>
      </c>
      <c r="X855" t="s">
        <v>161</v>
      </c>
      <c r="Y855" t="s">
        <v>2272</v>
      </c>
      <c r="Z855" t="s">
        <v>2272</v>
      </c>
      <c r="AA855" t="s">
        <v>2272</v>
      </c>
      <c r="AB855" t="s">
        <v>2272</v>
      </c>
      <c r="AC855" t="s">
        <v>162</v>
      </c>
      <c r="AD855" t="s">
        <v>2272</v>
      </c>
      <c r="AG855" t="s">
        <v>49</v>
      </c>
      <c r="AK855" t="s">
        <v>49</v>
      </c>
      <c r="AM855" t="s">
        <v>609</v>
      </c>
      <c r="AN855" t="s">
        <v>171</v>
      </c>
      <c r="AQ855" s="5">
        <v>2</v>
      </c>
    </row>
    <row r="856" spans="1:44" x14ac:dyDescent="0.2">
      <c r="A856" t="s">
        <v>606</v>
      </c>
      <c r="B856" t="s">
        <v>607</v>
      </c>
      <c r="C856">
        <v>2020</v>
      </c>
      <c r="D856" t="s">
        <v>44</v>
      </c>
      <c r="E856" t="s">
        <v>49</v>
      </c>
      <c r="F856" t="s">
        <v>608</v>
      </c>
      <c r="G856" t="s">
        <v>91</v>
      </c>
      <c r="H856" t="s">
        <v>96</v>
      </c>
      <c r="I856">
        <v>2018</v>
      </c>
      <c r="J856">
        <v>0.08</v>
      </c>
      <c r="K856" t="s">
        <v>101</v>
      </c>
      <c r="M856">
        <f t="shared" si="19"/>
        <v>6.25E-2</v>
      </c>
      <c r="N856" t="s">
        <v>124</v>
      </c>
      <c r="O856" t="s">
        <v>359</v>
      </c>
      <c r="P856" t="s">
        <v>279</v>
      </c>
      <c r="Q856" s="1" t="s">
        <v>2292</v>
      </c>
      <c r="R856" s="1" t="s">
        <v>124</v>
      </c>
      <c r="S856" s="1" t="s">
        <v>124</v>
      </c>
      <c r="T856" t="s">
        <v>421</v>
      </c>
      <c r="U856" t="s">
        <v>421</v>
      </c>
      <c r="V856" t="s">
        <v>194</v>
      </c>
      <c r="W856" t="s">
        <v>279</v>
      </c>
      <c r="X856" t="s">
        <v>161</v>
      </c>
      <c r="Y856" t="s">
        <v>2272</v>
      </c>
      <c r="Z856" t="s">
        <v>2272</v>
      </c>
      <c r="AA856" t="s">
        <v>2272</v>
      </c>
      <c r="AB856" t="s">
        <v>2272</v>
      </c>
      <c r="AC856" t="s">
        <v>162</v>
      </c>
      <c r="AD856" t="s">
        <v>2272</v>
      </c>
      <c r="AG856" t="s">
        <v>49</v>
      </c>
      <c r="AI856" t="s">
        <v>49</v>
      </c>
      <c r="AM856" t="s">
        <v>610</v>
      </c>
      <c r="AN856" t="s">
        <v>171</v>
      </c>
      <c r="AQ856" s="5">
        <v>2</v>
      </c>
    </row>
    <row r="857" spans="1:44" x14ac:dyDescent="0.2">
      <c r="A857" t="s">
        <v>606</v>
      </c>
      <c r="B857" t="s">
        <v>607</v>
      </c>
      <c r="C857">
        <v>2020</v>
      </c>
      <c r="D857" t="s">
        <v>44</v>
      </c>
      <c r="E857" t="s">
        <v>49</v>
      </c>
      <c r="F857" t="s">
        <v>608</v>
      </c>
      <c r="G857" t="s">
        <v>91</v>
      </c>
      <c r="H857" t="s">
        <v>96</v>
      </c>
      <c r="I857">
        <v>2018</v>
      </c>
      <c r="J857">
        <v>0.08</v>
      </c>
      <c r="K857" t="s">
        <v>101</v>
      </c>
      <c r="M857">
        <f t="shared" si="19"/>
        <v>6.25E-2</v>
      </c>
      <c r="N857" t="s">
        <v>124</v>
      </c>
      <c r="O857" t="s">
        <v>359</v>
      </c>
      <c r="P857" t="s">
        <v>279</v>
      </c>
      <c r="Q857" s="1" t="s">
        <v>2292</v>
      </c>
      <c r="R857" s="1" t="s">
        <v>124</v>
      </c>
      <c r="S857" s="1" t="s">
        <v>124</v>
      </c>
      <c r="T857" t="s">
        <v>421</v>
      </c>
      <c r="U857" t="s">
        <v>421</v>
      </c>
      <c r="V857" t="s">
        <v>194</v>
      </c>
      <c r="W857" t="s">
        <v>279</v>
      </c>
      <c r="X857" t="s">
        <v>161</v>
      </c>
      <c r="Y857" t="s">
        <v>2272</v>
      </c>
      <c r="Z857" t="s">
        <v>2272</v>
      </c>
      <c r="AA857" t="s">
        <v>2272</v>
      </c>
      <c r="AB857" t="s">
        <v>2272</v>
      </c>
      <c r="AC857" t="s">
        <v>162</v>
      </c>
      <c r="AD857" t="s">
        <v>2272</v>
      </c>
      <c r="AG857" t="s">
        <v>49</v>
      </c>
      <c r="AK857" t="s">
        <v>49</v>
      </c>
      <c r="AM857" t="s">
        <v>306</v>
      </c>
      <c r="AN857" t="s">
        <v>154</v>
      </c>
      <c r="AQ857" s="5">
        <v>1</v>
      </c>
    </row>
    <row r="858" spans="1:44" x14ac:dyDescent="0.2">
      <c r="A858" t="s">
        <v>606</v>
      </c>
      <c r="B858" t="s">
        <v>607</v>
      </c>
      <c r="C858">
        <v>2020</v>
      </c>
      <c r="D858" t="s">
        <v>44</v>
      </c>
      <c r="E858" t="s">
        <v>49</v>
      </c>
      <c r="F858" t="s">
        <v>608</v>
      </c>
      <c r="G858" t="s">
        <v>91</v>
      </c>
      <c r="H858" t="s">
        <v>96</v>
      </c>
      <c r="I858">
        <v>2018</v>
      </c>
      <c r="J858">
        <v>0.08</v>
      </c>
      <c r="K858" t="s">
        <v>101</v>
      </c>
      <c r="M858">
        <f t="shared" si="19"/>
        <v>6.25E-2</v>
      </c>
      <c r="N858" t="s">
        <v>124</v>
      </c>
      <c r="O858" t="s">
        <v>359</v>
      </c>
      <c r="P858" t="s">
        <v>279</v>
      </c>
      <c r="Q858" s="1" t="s">
        <v>2292</v>
      </c>
      <c r="R858" s="1" t="s">
        <v>124</v>
      </c>
      <c r="S858" s="1" t="s">
        <v>124</v>
      </c>
      <c r="T858" t="s">
        <v>421</v>
      </c>
      <c r="U858" t="s">
        <v>421</v>
      </c>
      <c r="V858" t="s">
        <v>194</v>
      </c>
      <c r="W858" t="s">
        <v>279</v>
      </c>
      <c r="X858" t="s">
        <v>161</v>
      </c>
      <c r="Y858" t="s">
        <v>2272</v>
      </c>
      <c r="Z858" t="s">
        <v>2272</v>
      </c>
      <c r="AA858" t="s">
        <v>2272</v>
      </c>
      <c r="AB858" t="s">
        <v>2272</v>
      </c>
      <c r="AC858" t="s">
        <v>162</v>
      </c>
      <c r="AD858" t="s">
        <v>2272</v>
      </c>
      <c r="AG858" t="s">
        <v>49</v>
      </c>
      <c r="AK858" t="s">
        <v>49</v>
      </c>
      <c r="AM858" t="s">
        <v>609</v>
      </c>
      <c r="AN858" t="s">
        <v>154</v>
      </c>
      <c r="AQ858" s="5">
        <v>1</v>
      </c>
    </row>
    <row r="859" spans="1:44" x14ac:dyDescent="0.2">
      <c r="A859" t="s">
        <v>606</v>
      </c>
      <c r="B859" t="s">
        <v>607</v>
      </c>
      <c r="C859">
        <v>2020</v>
      </c>
      <c r="D859" t="s">
        <v>44</v>
      </c>
      <c r="E859" t="s">
        <v>49</v>
      </c>
      <c r="F859" t="s">
        <v>608</v>
      </c>
      <c r="G859" t="s">
        <v>91</v>
      </c>
      <c r="H859" t="s">
        <v>96</v>
      </c>
      <c r="I859">
        <v>2018</v>
      </c>
      <c r="J859">
        <v>0.08</v>
      </c>
      <c r="K859" t="s">
        <v>101</v>
      </c>
      <c r="M859">
        <f t="shared" si="19"/>
        <v>6.25E-2</v>
      </c>
      <c r="N859" t="s">
        <v>124</v>
      </c>
      <c r="O859" t="s">
        <v>359</v>
      </c>
      <c r="P859" t="s">
        <v>279</v>
      </c>
      <c r="Q859" s="1" t="s">
        <v>2292</v>
      </c>
      <c r="R859" s="1" t="s">
        <v>124</v>
      </c>
      <c r="S859" s="1" t="s">
        <v>124</v>
      </c>
      <c r="T859" t="s">
        <v>421</v>
      </c>
      <c r="U859" t="s">
        <v>421</v>
      </c>
      <c r="V859" t="s">
        <v>194</v>
      </c>
      <c r="W859" t="s">
        <v>279</v>
      </c>
      <c r="X859" t="s">
        <v>161</v>
      </c>
      <c r="Y859" t="s">
        <v>2272</v>
      </c>
      <c r="Z859" t="s">
        <v>2272</v>
      </c>
      <c r="AA859" t="s">
        <v>2272</v>
      </c>
      <c r="AB859" t="s">
        <v>2272</v>
      </c>
      <c r="AC859" t="s">
        <v>162</v>
      </c>
      <c r="AD859" t="s">
        <v>2272</v>
      </c>
      <c r="AG859" t="s">
        <v>49</v>
      </c>
      <c r="AI859" t="s">
        <v>49</v>
      </c>
      <c r="AM859" t="s">
        <v>610</v>
      </c>
      <c r="AN859" t="s">
        <v>154</v>
      </c>
      <c r="AQ859" s="5">
        <v>1</v>
      </c>
    </row>
    <row r="860" spans="1:44" x14ac:dyDescent="0.2">
      <c r="A860" t="s">
        <v>606</v>
      </c>
      <c r="B860" t="s">
        <v>607</v>
      </c>
      <c r="C860">
        <v>2020</v>
      </c>
      <c r="D860" t="s">
        <v>44</v>
      </c>
      <c r="E860" t="s">
        <v>49</v>
      </c>
      <c r="F860" t="s">
        <v>608</v>
      </c>
      <c r="G860" t="s">
        <v>91</v>
      </c>
      <c r="H860" t="s">
        <v>96</v>
      </c>
      <c r="I860">
        <v>2018</v>
      </c>
      <c r="J860">
        <v>0.08</v>
      </c>
      <c r="K860" t="s">
        <v>101</v>
      </c>
      <c r="M860">
        <f t="shared" si="19"/>
        <v>6.25E-2</v>
      </c>
      <c r="N860" t="s">
        <v>124</v>
      </c>
      <c r="O860" t="s">
        <v>359</v>
      </c>
      <c r="P860" t="s">
        <v>279</v>
      </c>
      <c r="Q860" s="1" t="s">
        <v>2292</v>
      </c>
      <c r="R860" s="1" t="s">
        <v>124</v>
      </c>
      <c r="S860" s="1" t="s">
        <v>124</v>
      </c>
      <c r="T860" t="s">
        <v>421</v>
      </c>
      <c r="U860" t="s">
        <v>421</v>
      </c>
      <c r="V860" t="s">
        <v>194</v>
      </c>
      <c r="W860" t="s">
        <v>279</v>
      </c>
      <c r="X860" t="s">
        <v>161</v>
      </c>
      <c r="Y860" t="s">
        <v>2272</v>
      </c>
      <c r="Z860" t="s">
        <v>2272</v>
      </c>
      <c r="AA860" t="s">
        <v>2272</v>
      </c>
      <c r="AB860" t="s">
        <v>2272</v>
      </c>
      <c r="AC860" t="s">
        <v>162</v>
      </c>
      <c r="AD860" t="s">
        <v>2272</v>
      </c>
      <c r="AG860" t="s">
        <v>49</v>
      </c>
      <c r="AI860" t="s">
        <v>49</v>
      </c>
      <c r="AM860" t="s">
        <v>610</v>
      </c>
      <c r="AN860" t="s">
        <v>165</v>
      </c>
      <c r="AP860" t="s">
        <v>49</v>
      </c>
    </row>
    <row r="861" spans="1:44" x14ac:dyDescent="0.2">
      <c r="A861" t="s">
        <v>611</v>
      </c>
      <c r="B861" t="s">
        <v>612</v>
      </c>
      <c r="C861">
        <v>2020</v>
      </c>
      <c r="D861" t="s">
        <v>44</v>
      </c>
      <c r="E861" t="s">
        <v>49</v>
      </c>
      <c r="F861" t="s">
        <v>83</v>
      </c>
      <c r="G861" t="s">
        <v>85</v>
      </c>
      <c r="H861" t="s">
        <v>350</v>
      </c>
      <c r="I861" t="s">
        <v>614</v>
      </c>
      <c r="J861">
        <v>0.57999999999999996</v>
      </c>
      <c r="K861" t="s">
        <v>109</v>
      </c>
      <c r="M861">
        <v>0</v>
      </c>
      <c r="N861" t="s">
        <v>128</v>
      </c>
      <c r="O861" t="s">
        <v>221</v>
      </c>
      <c r="P861" t="s">
        <v>613</v>
      </c>
      <c r="Q861" s="1" t="s">
        <v>2276</v>
      </c>
      <c r="R861" s="1" t="s">
        <v>2350</v>
      </c>
      <c r="S861" s="1" t="s">
        <v>2350</v>
      </c>
      <c r="X861" t="s">
        <v>615</v>
      </c>
      <c r="Y861" t="s">
        <v>2273</v>
      </c>
      <c r="Z861" t="s">
        <v>249</v>
      </c>
      <c r="AA861" t="s">
        <v>2359</v>
      </c>
      <c r="AB861" t="s">
        <v>2285</v>
      </c>
      <c r="AC861" t="s">
        <v>152</v>
      </c>
      <c r="AD861" t="s">
        <v>137</v>
      </c>
      <c r="AF861" t="s">
        <v>49</v>
      </c>
      <c r="AJ861" t="s">
        <v>49</v>
      </c>
      <c r="AM861" t="s">
        <v>201</v>
      </c>
      <c r="AN861" t="s">
        <v>166</v>
      </c>
      <c r="AR861">
        <v>1</v>
      </c>
    </row>
    <row r="862" spans="1:44" x14ac:dyDescent="0.2">
      <c r="A862" t="s">
        <v>611</v>
      </c>
      <c r="B862" t="s">
        <v>612</v>
      </c>
      <c r="C862">
        <v>2020</v>
      </c>
      <c r="D862" t="s">
        <v>44</v>
      </c>
      <c r="E862" t="s">
        <v>49</v>
      </c>
      <c r="F862" t="s">
        <v>83</v>
      </c>
      <c r="G862" t="s">
        <v>85</v>
      </c>
      <c r="H862" t="s">
        <v>350</v>
      </c>
      <c r="I862" t="s">
        <v>614</v>
      </c>
      <c r="J862">
        <v>0.57999999999999996</v>
      </c>
      <c r="K862" t="s">
        <v>109</v>
      </c>
      <c r="M862">
        <v>0</v>
      </c>
      <c r="N862" t="s">
        <v>128</v>
      </c>
      <c r="O862" t="s">
        <v>221</v>
      </c>
      <c r="P862" t="s">
        <v>613</v>
      </c>
      <c r="Q862" s="1" t="s">
        <v>2276</v>
      </c>
      <c r="R862" s="1" t="s">
        <v>2350</v>
      </c>
      <c r="S862" s="1" t="s">
        <v>2350</v>
      </c>
      <c r="X862" t="s">
        <v>171</v>
      </c>
      <c r="Y862" t="s">
        <v>2273</v>
      </c>
      <c r="Z862" t="s">
        <v>249</v>
      </c>
      <c r="AA862" t="s">
        <v>2359</v>
      </c>
      <c r="AB862" t="s">
        <v>1979</v>
      </c>
      <c r="AC862" t="s">
        <v>152</v>
      </c>
      <c r="AD862" t="s">
        <v>137</v>
      </c>
      <c r="AF862" t="s">
        <v>49</v>
      </c>
      <c r="AJ862" t="s">
        <v>49</v>
      </c>
      <c r="AM862" t="s">
        <v>201</v>
      </c>
      <c r="AN862" t="s">
        <v>166</v>
      </c>
      <c r="AP862" t="s">
        <v>157</v>
      </c>
      <c r="AR862">
        <v>1</v>
      </c>
    </row>
    <row r="863" spans="1:44" x14ac:dyDescent="0.2">
      <c r="A863" t="s">
        <v>611</v>
      </c>
      <c r="B863" t="s">
        <v>612</v>
      </c>
      <c r="C863">
        <v>2020</v>
      </c>
      <c r="D863" t="s">
        <v>44</v>
      </c>
      <c r="E863" t="s">
        <v>49</v>
      </c>
      <c r="F863" t="s">
        <v>83</v>
      </c>
      <c r="G863" t="s">
        <v>85</v>
      </c>
      <c r="H863" t="s">
        <v>350</v>
      </c>
      <c r="I863" t="s">
        <v>614</v>
      </c>
      <c r="J863">
        <v>0.57999999999999996</v>
      </c>
      <c r="K863" t="s">
        <v>109</v>
      </c>
      <c r="M863">
        <v>0</v>
      </c>
      <c r="N863" t="s">
        <v>128</v>
      </c>
      <c r="O863" t="s">
        <v>221</v>
      </c>
      <c r="P863" t="s">
        <v>613</v>
      </c>
      <c r="Q863" s="1" t="s">
        <v>2276</v>
      </c>
      <c r="R863" s="1" t="s">
        <v>2350</v>
      </c>
      <c r="S863" s="1" t="s">
        <v>2350</v>
      </c>
      <c r="X863" t="s">
        <v>616</v>
      </c>
      <c r="Y863" t="s">
        <v>2273</v>
      </c>
      <c r="Z863" t="s">
        <v>249</v>
      </c>
      <c r="AA863" t="s">
        <v>2359</v>
      </c>
      <c r="AB863" t="s">
        <v>1419</v>
      </c>
      <c r="AC863" t="s">
        <v>152</v>
      </c>
      <c r="AD863" t="s">
        <v>137</v>
      </c>
      <c r="AF863" t="s">
        <v>49</v>
      </c>
      <c r="AJ863" t="s">
        <v>49</v>
      </c>
      <c r="AM863" t="s">
        <v>201</v>
      </c>
      <c r="AN863" t="s">
        <v>166</v>
      </c>
      <c r="AP863" t="s">
        <v>158</v>
      </c>
      <c r="AR863">
        <v>1</v>
      </c>
    </row>
    <row r="864" spans="1:44" x14ac:dyDescent="0.2">
      <c r="A864" t="s">
        <v>611</v>
      </c>
      <c r="B864" t="s">
        <v>612</v>
      </c>
      <c r="C864">
        <v>2020</v>
      </c>
      <c r="D864" t="s">
        <v>44</v>
      </c>
      <c r="E864" t="s">
        <v>49</v>
      </c>
      <c r="F864" t="s">
        <v>83</v>
      </c>
      <c r="G864" t="s">
        <v>85</v>
      </c>
      <c r="H864" t="s">
        <v>350</v>
      </c>
      <c r="I864" t="s">
        <v>614</v>
      </c>
      <c r="J864">
        <v>0.57999999999999996</v>
      </c>
      <c r="K864" t="s">
        <v>109</v>
      </c>
      <c r="M864">
        <v>0</v>
      </c>
      <c r="N864" t="s">
        <v>128</v>
      </c>
      <c r="O864" t="s">
        <v>221</v>
      </c>
      <c r="P864" t="s">
        <v>613</v>
      </c>
      <c r="Q864" s="1" t="s">
        <v>2276</v>
      </c>
      <c r="R864" s="1" t="s">
        <v>2350</v>
      </c>
      <c r="S864" s="1" t="s">
        <v>2350</v>
      </c>
      <c r="X864" t="s">
        <v>617</v>
      </c>
      <c r="Y864" t="s">
        <v>2273</v>
      </c>
      <c r="Z864" t="s">
        <v>249</v>
      </c>
      <c r="AA864" t="s">
        <v>2359</v>
      </c>
      <c r="AB864" t="s">
        <v>1419</v>
      </c>
      <c r="AC864" t="s">
        <v>152</v>
      </c>
      <c r="AD864" t="s">
        <v>2288</v>
      </c>
      <c r="AF864" t="s">
        <v>49</v>
      </c>
      <c r="AJ864" t="s">
        <v>49</v>
      </c>
      <c r="AM864" t="s">
        <v>201</v>
      </c>
      <c r="AN864" t="s">
        <v>166</v>
      </c>
      <c r="AP864" t="s">
        <v>173</v>
      </c>
      <c r="AR864">
        <v>1</v>
      </c>
    </row>
    <row r="865" spans="1:45" x14ac:dyDescent="0.2">
      <c r="A865" t="s">
        <v>611</v>
      </c>
      <c r="B865" t="s">
        <v>612</v>
      </c>
      <c r="C865">
        <v>2020</v>
      </c>
      <c r="D865" t="s">
        <v>44</v>
      </c>
      <c r="E865" t="s">
        <v>49</v>
      </c>
      <c r="F865" t="s">
        <v>83</v>
      </c>
      <c r="G865" t="s">
        <v>85</v>
      </c>
      <c r="H865" t="s">
        <v>350</v>
      </c>
      <c r="I865" t="s">
        <v>614</v>
      </c>
      <c r="J865">
        <v>0.57999999999999996</v>
      </c>
      <c r="K865" t="s">
        <v>109</v>
      </c>
      <c r="M865">
        <v>0</v>
      </c>
      <c r="N865" t="s">
        <v>128</v>
      </c>
      <c r="O865" t="s">
        <v>221</v>
      </c>
      <c r="P865" t="s">
        <v>613</v>
      </c>
      <c r="Q865" s="1" t="s">
        <v>2276</v>
      </c>
      <c r="R865" s="1" t="s">
        <v>2350</v>
      </c>
      <c r="S865" s="1" t="s">
        <v>2350</v>
      </c>
      <c r="X865" t="s">
        <v>618</v>
      </c>
      <c r="Y865" t="s">
        <v>2273</v>
      </c>
      <c r="Z865" t="s">
        <v>249</v>
      </c>
      <c r="AA865" t="s">
        <v>2359</v>
      </c>
      <c r="AB865" t="s">
        <v>2289</v>
      </c>
      <c r="AC865" t="s">
        <v>152</v>
      </c>
      <c r="AD865" t="s">
        <v>2288</v>
      </c>
      <c r="AF865" t="s">
        <v>49</v>
      </c>
      <c r="AJ865" t="s">
        <v>49</v>
      </c>
      <c r="AM865" t="s">
        <v>201</v>
      </c>
      <c r="AN865" t="s">
        <v>166</v>
      </c>
      <c r="AP865" t="s">
        <v>51</v>
      </c>
      <c r="AR865">
        <v>1</v>
      </c>
    </row>
    <row r="866" spans="1:45" x14ac:dyDescent="0.2">
      <c r="A866" t="s">
        <v>611</v>
      </c>
      <c r="B866" t="s">
        <v>612</v>
      </c>
      <c r="C866">
        <v>2020</v>
      </c>
      <c r="D866" t="s">
        <v>44</v>
      </c>
      <c r="E866" t="s">
        <v>49</v>
      </c>
      <c r="F866" t="s">
        <v>83</v>
      </c>
      <c r="G866" t="s">
        <v>85</v>
      </c>
      <c r="H866" t="s">
        <v>350</v>
      </c>
      <c r="I866" t="s">
        <v>614</v>
      </c>
      <c r="J866">
        <v>0.57999999999999996</v>
      </c>
      <c r="K866" t="s">
        <v>109</v>
      </c>
      <c r="M866">
        <v>0</v>
      </c>
      <c r="N866" t="s">
        <v>128</v>
      </c>
      <c r="O866" t="s">
        <v>221</v>
      </c>
      <c r="P866" t="s">
        <v>613</v>
      </c>
      <c r="Q866" s="1" t="s">
        <v>2276</v>
      </c>
      <c r="R866" s="1" t="s">
        <v>2350</v>
      </c>
      <c r="S866" s="1" t="s">
        <v>2350</v>
      </c>
      <c r="X866" t="s">
        <v>619</v>
      </c>
      <c r="Y866" t="s">
        <v>2273</v>
      </c>
      <c r="Z866" t="s">
        <v>249</v>
      </c>
      <c r="AA866" t="s">
        <v>2359</v>
      </c>
      <c r="AB866" t="s">
        <v>1419</v>
      </c>
      <c r="AC866" t="s">
        <v>152</v>
      </c>
      <c r="AD866" t="s">
        <v>2288</v>
      </c>
      <c r="AF866" t="s">
        <v>49</v>
      </c>
      <c r="AJ866" t="s">
        <v>49</v>
      </c>
      <c r="AM866" t="s">
        <v>201</v>
      </c>
      <c r="AN866" t="s">
        <v>166</v>
      </c>
      <c r="AR866">
        <v>1</v>
      </c>
    </row>
    <row r="867" spans="1:45" x14ac:dyDescent="0.2">
      <c r="A867" t="s">
        <v>611</v>
      </c>
      <c r="B867" t="s">
        <v>612</v>
      </c>
      <c r="C867">
        <v>2020</v>
      </c>
      <c r="D867" t="s">
        <v>44</v>
      </c>
      <c r="E867" t="s">
        <v>49</v>
      </c>
      <c r="F867" t="s">
        <v>83</v>
      </c>
      <c r="G867" t="s">
        <v>85</v>
      </c>
      <c r="H867" t="s">
        <v>350</v>
      </c>
      <c r="I867" t="s">
        <v>614</v>
      </c>
      <c r="J867">
        <v>0.57999999999999996</v>
      </c>
      <c r="K867" t="s">
        <v>109</v>
      </c>
      <c r="M867">
        <v>0</v>
      </c>
      <c r="N867" t="s">
        <v>128</v>
      </c>
      <c r="O867" t="s">
        <v>221</v>
      </c>
      <c r="P867" t="s">
        <v>613</v>
      </c>
      <c r="Q867" s="1" t="s">
        <v>2276</v>
      </c>
      <c r="R867" s="1" t="s">
        <v>2350</v>
      </c>
      <c r="S867" s="1" t="s">
        <v>2350</v>
      </c>
      <c r="X867" t="s">
        <v>620</v>
      </c>
      <c r="Y867" t="s">
        <v>2273</v>
      </c>
      <c r="Z867" t="s">
        <v>249</v>
      </c>
      <c r="AA867" t="s">
        <v>2274</v>
      </c>
      <c r="AB867" t="s">
        <v>2283</v>
      </c>
      <c r="AC867" t="s">
        <v>315</v>
      </c>
      <c r="AD867" t="s">
        <v>2288</v>
      </c>
      <c r="AF867" t="s">
        <v>49</v>
      </c>
      <c r="AJ867" t="s">
        <v>49</v>
      </c>
      <c r="AM867" t="s">
        <v>201</v>
      </c>
      <c r="AN867" t="s">
        <v>166</v>
      </c>
      <c r="AR867">
        <v>1</v>
      </c>
    </row>
    <row r="868" spans="1:45" x14ac:dyDescent="0.2">
      <c r="A868" t="s">
        <v>611</v>
      </c>
      <c r="B868" t="s">
        <v>612</v>
      </c>
      <c r="C868">
        <v>2020</v>
      </c>
      <c r="D868" t="s">
        <v>44</v>
      </c>
      <c r="E868" t="s">
        <v>49</v>
      </c>
      <c r="F868" t="s">
        <v>83</v>
      </c>
      <c r="G868" t="s">
        <v>85</v>
      </c>
      <c r="H868" t="s">
        <v>350</v>
      </c>
      <c r="I868" t="s">
        <v>614</v>
      </c>
      <c r="J868">
        <v>0.57999999999999996</v>
      </c>
      <c r="K868" t="s">
        <v>109</v>
      </c>
      <c r="M868">
        <v>0</v>
      </c>
      <c r="N868" t="s">
        <v>128</v>
      </c>
      <c r="O868" t="s">
        <v>221</v>
      </c>
      <c r="P868" t="s">
        <v>613</v>
      </c>
      <c r="Q868" s="1" t="s">
        <v>2276</v>
      </c>
      <c r="R868" s="1" t="s">
        <v>2350</v>
      </c>
      <c r="S868" s="1" t="s">
        <v>2350</v>
      </c>
      <c r="X868" t="s">
        <v>621</v>
      </c>
      <c r="Y868" t="s">
        <v>2273</v>
      </c>
      <c r="Z868" t="s">
        <v>249</v>
      </c>
      <c r="AA868" t="s">
        <v>2359</v>
      </c>
      <c r="AB868" t="s">
        <v>2289</v>
      </c>
      <c r="AC868" t="s">
        <v>315</v>
      </c>
      <c r="AD868" t="s">
        <v>137</v>
      </c>
      <c r="AF868" t="s">
        <v>49</v>
      </c>
      <c r="AJ868" t="s">
        <v>49</v>
      </c>
      <c r="AM868" t="s">
        <v>201</v>
      </c>
      <c r="AN868" t="s">
        <v>166</v>
      </c>
      <c r="AP868" t="s">
        <v>157</v>
      </c>
      <c r="AR868">
        <v>1</v>
      </c>
    </row>
    <row r="869" spans="1:45" x14ac:dyDescent="0.2">
      <c r="A869" t="s">
        <v>611</v>
      </c>
      <c r="B869" t="s">
        <v>612</v>
      </c>
      <c r="C869">
        <v>2020</v>
      </c>
      <c r="D869" t="s">
        <v>44</v>
      </c>
      <c r="E869" t="s">
        <v>49</v>
      </c>
      <c r="F869" t="s">
        <v>83</v>
      </c>
      <c r="G869" t="s">
        <v>85</v>
      </c>
      <c r="H869" t="s">
        <v>350</v>
      </c>
      <c r="I869" t="s">
        <v>614</v>
      </c>
      <c r="J869">
        <v>0.57999999999999996</v>
      </c>
      <c r="K869" t="s">
        <v>109</v>
      </c>
      <c r="M869">
        <v>0</v>
      </c>
      <c r="N869" t="s">
        <v>128</v>
      </c>
      <c r="O869" t="s">
        <v>221</v>
      </c>
      <c r="P869" t="s">
        <v>613</v>
      </c>
      <c r="Q869" s="1" t="s">
        <v>2276</v>
      </c>
      <c r="R869" s="1" t="s">
        <v>2350</v>
      </c>
      <c r="S869" s="1" t="s">
        <v>2350</v>
      </c>
      <c r="X869" t="s">
        <v>161</v>
      </c>
      <c r="Y869" t="s">
        <v>2272</v>
      </c>
      <c r="Z869" t="s">
        <v>2272</v>
      </c>
      <c r="AA869" t="s">
        <v>2272</v>
      </c>
      <c r="AB869" t="s">
        <v>2272</v>
      </c>
      <c r="AC869" t="s">
        <v>162</v>
      </c>
      <c r="AD869" t="s">
        <v>2272</v>
      </c>
      <c r="AF869" t="s">
        <v>49</v>
      </c>
      <c r="AJ869" t="s">
        <v>49</v>
      </c>
      <c r="AM869" t="s">
        <v>201</v>
      </c>
      <c r="AN869" t="s">
        <v>166</v>
      </c>
      <c r="AR869">
        <v>1</v>
      </c>
    </row>
    <row r="870" spans="1:45" x14ac:dyDescent="0.2">
      <c r="A870" t="s">
        <v>611</v>
      </c>
      <c r="B870" t="s">
        <v>612</v>
      </c>
      <c r="C870">
        <v>2020</v>
      </c>
      <c r="D870" t="s">
        <v>44</v>
      </c>
      <c r="E870" t="s">
        <v>49</v>
      </c>
      <c r="F870" t="s">
        <v>83</v>
      </c>
      <c r="G870" t="s">
        <v>85</v>
      </c>
      <c r="H870" t="s">
        <v>350</v>
      </c>
      <c r="I870" t="s">
        <v>614</v>
      </c>
      <c r="J870">
        <v>0.57999999999999996</v>
      </c>
      <c r="K870" t="s">
        <v>109</v>
      </c>
      <c r="M870">
        <v>0</v>
      </c>
      <c r="N870" t="s">
        <v>128</v>
      </c>
      <c r="O870" t="s">
        <v>221</v>
      </c>
      <c r="P870" t="s">
        <v>613</v>
      </c>
      <c r="Q870" s="1" t="s">
        <v>2276</v>
      </c>
      <c r="R870" s="1" t="s">
        <v>2350</v>
      </c>
      <c r="S870" s="1" t="s">
        <v>2350</v>
      </c>
      <c r="X870" t="s">
        <v>615</v>
      </c>
      <c r="Y870" t="s">
        <v>2273</v>
      </c>
      <c r="Z870" t="s">
        <v>249</v>
      </c>
      <c r="AA870" t="s">
        <v>2359</v>
      </c>
      <c r="AB870" t="s">
        <v>2285</v>
      </c>
      <c r="AC870" t="s">
        <v>152</v>
      </c>
      <c r="AD870" t="s">
        <v>137</v>
      </c>
      <c r="AF870" t="s">
        <v>49</v>
      </c>
      <c r="AJ870" t="s">
        <v>49</v>
      </c>
      <c r="AM870" t="s">
        <v>201</v>
      </c>
      <c r="AN870" t="s">
        <v>109</v>
      </c>
      <c r="AO870" t="s">
        <v>622</v>
      </c>
      <c r="AR870">
        <v>1</v>
      </c>
    </row>
    <row r="871" spans="1:45" x14ac:dyDescent="0.2">
      <c r="A871" t="s">
        <v>611</v>
      </c>
      <c r="B871" t="s">
        <v>612</v>
      </c>
      <c r="C871">
        <v>2020</v>
      </c>
      <c r="D871" t="s">
        <v>44</v>
      </c>
      <c r="E871" t="s">
        <v>49</v>
      </c>
      <c r="F871" t="s">
        <v>83</v>
      </c>
      <c r="G871" t="s">
        <v>85</v>
      </c>
      <c r="H871" t="s">
        <v>350</v>
      </c>
      <c r="I871" t="s">
        <v>614</v>
      </c>
      <c r="J871">
        <v>0.57999999999999996</v>
      </c>
      <c r="K871" t="s">
        <v>109</v>
      </c>
      <c r="M871">
        <v>0</v>
      </c>
      <c r="N871" t="s">
        <v>128</v>
      </c>
      <c r="O871" t="s">
        <v>221</v>
      </c>
      <c r="P871" t="s">
        <v>613</v>
      </c>
      <c r="Q871" s="1" t="s">
        <v>2276</v>
      </c>
      <c r="R871" s="1" t="s">
        <v>2350</v>
      </c>
      <c r="S871" s="1" t="s">
        <v>2350</v>
      </c>
      <c r="X871" t="s">
        <v>171</v>
      </c>
      <c r="Y871" t="s">
        <v>2273</v>
      </c>
      <c r="Z871" t="s">
        <v>249</v>
      </c>
      <c r="AA871" t="s">
        <v>2359</v>
      </c>
      <c r="AB871" t="s">
        <v>1979</v>
      </c>
      <c r="AC871" t="s">
        <v>152</v>
      </c>
      <c r="AD871" t="s">
        <v>137</v>
      </c>
      <c r="AF871" t="s">
        <v>49</v>
      </c>
      <c r="AJ871" t="s">
        <v>49</v>
      </c>
      <c r="AM871" t="s">
        <v>201</v>
      </c>
      <c r="AN871" t="s">
        <v>109</v>
      </c>
      <c r="AO871" t="s">
        <v>622</v>
      </c>
      <c r="AP871" t="s">
        <v>157</v>
      </c>
      <c r="AR871">
        <v>1</v>
      </c>
    </row>
    <row r="872" spans="1:45" x14ac:dyDescent="0.2">
      <c r="A872" t="s">
        <v>611</v>
      </c>
      <c r="B872" t="s">
        <v>612</v>
      </c>
      <c r="C872">
        <v>2020</v>
      </c>
      <c r="D872" t="s">
        <v>44</v>
      </c>
      <c r="E872" t="s">
        <v>49</v>
      </c>
      <c r="F872" t="s">
        <v>83</v>
      </c>
      <c r="G872" t="s">
        <v>85</v>
      </c>
      <c r="H872" t="s">
        <v>350</v>
      </c>
      <c r="I872" t="s">
        <v>614</v>
      </c>
      <c r="J872">
        <v>0.57999999999999996</v>
      </c>
      <c r="K872" t="s">
        <v>109</v>
      </c>
      <c r="M872">
        <v>0</v>
      </c>
      <c r="N872" t="s">
        <v>128</v>
      </c>
      <c r="O872" t="s">
        <v>221</v>
      </c>
      <c r="P872" t="s">
        <v>613</v>
      </c>
      <c r="Q872" s="1" t="s">
        <v>2276</v>
      </c>
      <c r="R872" s="1" t="s">
        <v>2350</v>
      </c>
      <c r="S872" s="1" t="s">
        <v>2350</v>
      </c>
      <c r="X872" t="s">
        <v>616</v>
      </c>
      <c r="Y872" t="s">
        <v>2273</v>
      </c>
      <c r="Z872" t="s">
        <v>249</v>
      </c>
      <c r="AA872" t="s">
        <v>2359</v>
      </c>
      <c r="AB872" t="s">
        <v>1419</v>
      </c>
      <c r="AC872" t="s">
        <v>152</v>
      </c>
      <c r="AD872" t="s">
        <v>137</v>
      </c>
      <c r="AF872" t="s">
        <v>49</v>
      </c>
      <c r="AJ872" t="s">
        <v>49</v>
      </c>
      <c r="AM872" t="s">
        <v>201</v>
      </c>
      <c r="AN872" t="s">
        <v>109</v>
      </c>
      <c r="AO872" t="s">
        <v>622</v>
      </c>
      <c r="AP872" t="s">
        <v>157</v>
      </c>
      <c r="AR872">
        <v>1</v>
      </c>
    </row>
    <row r="873" spans="1:45" x14ac:dyDescent="0.2">
      <c r="A873" t="s">
        <v>611</v>
      </c>
      <c r="B873" t="s">
        <v>612</v>
      </c>
      <c r="C873">
        <v>2020</v>
      </c>
      <c r="D873" t="s">
        <v>44</v>
      </c>
      <c r="E873" t="s">
        <v>49</v>
      </c>
      <c r="F873" t="s">
        <v>83</v>
      </c>
      <c r="G873" t="s">
        <v>85</v>
      </c>
      <c r="H873" t="s">
        <v>350</v>
      </c>
      <c r="I873" t="s">
        <v>614</v>
      </c>
      <c r="J873">
        <v>0.57999999999999996</v>
      </c>
      <c r="K873" t="s">
        <v>109</v>
      </c>
      <c r="M873">
        <v>0</v>
      </c>
      <c r="N873" t="s">
        <v>128</v>
      </c>
      <c r="O873" t="s">
        <v>221</v>
      </c>
      <c r="P873" t="s">
        <v>613</v>
      </c>
      <c r="Q873" s="1" t="s">
        <v>2276</v>
      </c>
      <c r="R873" s="1" t="s">
        <v>2350</v>
      </c>
      <c r="S873" s="1" t="s">
        <v>2350</v>
      </c>
      <c r="X873" t="s">
        <v>617</v>
      </c>
      <c r="Y873" t="s">
        <v>2273</v>
      </c>
      <c r="Z873" t="s">
        <v>249</v>
      </c>
      <c r="AA873" t="s">
        <v>2359</v>
      </c>
      <c r="AB873" t="s">
        <v>1419</v>
      </c>
      <c r="AC873" t="s">
        <v>152</v>
      </c>
      <c r="AD873" t="s">
        <v>2288</v>
      </c>
      <c r="AF873" t="s">
        <v>49</v>
      </c>
      <c r="AJ873" t="s">
        <v>49</v>
      </c>
      <c r="AM873" t="s">
        <v>201</v>
      </c>
      <c r="AN873" t="s">
        <v>109</v>
      </c>
      <c r="AO873" t="s">
        <v>622</v>
      </c>
      <c r="AP873" t="s">
        <v>158</v>
      </c>
      <c r="AR873">
        <v>1</v>
      </c>
    </row>
    <row r="874" spans="1:45" x14ac:dyDescent="0.2">
      <c r="A874" t="s">
        <v>611</v>
      </c>
      <c r="B874" t="s">
        <v>612</v>
      </c>
      <c r="C874">
        <v>2020</v>
      </c>
      <c r="D874" t="s">
        <v>44</v>
      </c>
      <c r="E874" t="s">
        <v>49</v>
      </c>
      <c r="F874" t="s">
        <v>83</v>
      </c>
      <c r="G874" t="s">
        <v>85</v>
      </c>
      <c r="H874" t="s">
        <v>350</v>
      </c>
      <c r="I874" t="s">
        <v>614</v>
      </c>
      <c r="J874">
        <v>0.57999999999999996</v>
      </c>
      <c r="K874" t="s">
        <v>109</v>
      </c>
      <c r="M874">
        <v>0</v>
      </c>
      <c r="N874" t="s">
        <v>128</v>
      </c>
      <c r="O874" t="s">
        <v>221</v>
      </c>
      <c r="P874" t="s">
        <v>613</v>
      </c>
      <c r="Q874" s="1" t="s">
        <v>2276</v>
      </c>
      <c r="R874" s="1" t="s">
        <v>2350</v>
      </c>
      <c r="S874" s="1" t="s">
        <v>2350</v>
      </c>
      <c r="X874" t="s">
        <v>618</v>
      </c>
      <c r="Y874" t="s">
        <v>2273</v>
      </c>
      <c r="Z874" t="s">
        <v>249</v>
      </c>
      <c r="AA874" t="s">
        <v>2359</v>
      </c>
      <c r="AB874" t="s">
        <v>2289</v>
      </c>
      <c r="AC874" t="s">
        <v>152</v>
      </c>
      <c r="AD874" t="s">
        <v>2288</v>
      </c>
      <c r="AF874" t="s">
        <v>49</v>
      </c>
      <c r="AJ874" t="s">
        <v>49</v>
      </c>
      <c r="AM874" t="s">
        <v>201</v>
      </c>
      <c r="AN874" t="s">
        <v>109</v>
      </c>
      <c r="AO874" t="s">
        <v>622</v>
      </c>
      <c r="AP874" t="s">
        <v>51</v>
      </c>
      <c r="AR874">
        <v>1</v>
      </c>
    </row>
    <row r="875" spans="1:45" x14ac:dyDescent="0.2">
      <c r="A875" t="s">
        <v>611</v>
      </c>
      <c r="B875" t="s">
        <v>612</v>
      </c>
      <c r="C875">
        <v>2020</v>
      </c>
      <c r="D875" t="s">
        <v>44</v>
      </c>
      <c r="E875" t="s">
        <v>49</v>
      </c>
      <c r="F875" t="s">
        <v>83</v>
      </c>
      <c r="G875" t="s">
        <v>85</v>
      </c>
      <c r="H875" t="s">
        <v>350</v>
      </c>
      <c r="I875" t="s">
        <v>614</v>
      </c>
      <c r="J875">
        <v>0.57999999999999996</v>
      </c>
      <c r="K875" t="s">
        <v>109</v>
      </c>
      <c r="M875">
        <v>0</v>
      </c>
      <c r="N875" t="s">
        <v>128</v>
      </c>
      <c r="O875" t="s">
        <v>221</v>
      </c>
      <c r="P875" t="s">
        <v>613</v>
      </c>
      <c r="Q875" s="1" t="s">
        <v>2276</v>
      </c>
      <c r="R875" s="1" t="s">
        <v>2350</v>
      </c>
      <c r="S875" s="1" t="s">
        <v>2350</v>
      </c>
      <c r="X875" t="s">
        <v>619</v>
      </c>
      <c r="Y875" t="s">
        <v>2273</v>
      </c>
      <c r="Z875" t="s">
        <v>249</v>
      </c>
      <c r="AA875" t="s">
        <v>2359</v>
      </c>
      <c r="AB875" t="s">
        <v>1419</v>
      </c>
      <c r="AC875" t="s">
        <v>152</v>
      </c>
      <c r="AD875" t="s">
        <v>2288</v>
      </c>
      <c r="AF875" t="s">
        <v>49</v>
      </c>
      <c r="AJ875" t="s">
        <v>49</v>
      </c>
      <c r="AM875" t="s">
        <v>201</v>
      </c>
      <c r="AN875" t="s">
        <v>109</v>
      </c>
      <c r="AO875" t="s">
        <v>622</v>
      </c>
      <c r="AR875">
        <v>1</v>
      </c>
    </row>
    <row r="876" spans="1:45" x14ac:dyDescent="0.2">
      <c r="A876" t="s">
        <v>611</v>
      </c>
      <c r="B876" t="s">
        <v>612</v>
      </c>
      <c r="C876">
        <v>2020</v>
      </c>
      <c r="D876" t="s">
        <v>44</v>
      </c>
      <c r="E876" t="s">
        <v>49</v>
      </c>
      <c r="F876" t="s">
        <v>83</v>
      </c>
      <c r="G876" t="s">
        <v>85</v>
      </c>
      <c r="H876" t="s">
        <v>350</v>
      </c>
      <c r="I876" t="s">
        <v>614</v>
      </c>
      <c r="J876">
        <v>0.57999999999999996</v>
      </c>
      <c r="K876" t="s">
        <v>109</v>
      </c>
      <c r="M876">
        <v>0</v>
      </c>
      <c r="N876" t="s">
        <v>128</v>
      </c>
      <c r="O876" t="s">
        <v>221</v>
      </c>
      <c r="P876" t="s">
        <v>613</v>
      </c>
      <c r="Q876" s="1" t="s">
        <v>2276</v>
      </c>
      <c r="R876" s="1" t="s">
        <v>2350</v>
      </c>
      <c r="S876" s="1" t="s">
        <v>2350</v>
      </c>
      <c r="X876" t="s">
        <v>620</v>
      </c>
      <c r="Y876" t="s">
        <v>2273</v>
      </c>
      <c r="Z876" t="s">
        <v>249</v>
      </c>
      <c r="AA876" t="s">
        <v>2274</v>
      </c>
      <c r="AB876" t="s">
        <v>2283</v>
      </c>
      <c r="AC876" t="s">
        <v>315</v>
      </c>
      <c r="AD876" t="s">
        <v>2288</v>
      </c>
      <c r="AF876" t="s">
        <v>49</v>
      </c>
      <c r="AJ876" t="s">
        <v>49</v>
      </c>
      <c r="AM876" t="s">
        <v>201</v>
      </c>
      <c r="AN876" t="s">
        <v>109</v>
      </c>
      <c r="AO876" t="s">
        <v>622</v>
      </c>
      <c r="AR876">
        <v>1</v>
      </c>
    </row>
    <row r="877" spans="1:45" x14ac:dyDescent="0.2">
      <c r="A877" t="s">
        <v>611</v>
      </c>
      <c r="B877" t="s">
        <v>612</v>
      </c>
      <c r="C877">
        <v>2020</v>
      </c>
      <c r="D877" t="s">
        <v>44</v>
      </c>
      <c r="E877" t="s">
        <v>49</v>
      </c>
      <c r="F877" t="s">
        <v>83</v>
      </c>
      <c r="G877" t="s">
        <v>85</v>
      </c>
      <c r="H877" t="s">
        <v>350</v>
      </c>
      <c r="I877" t="s">
        <v>614</v>
      </c>
      <c r="J877">
        <v>0.57999999999999996</v>
      </c>
      <c r="K877" t="s">
        <v>109</v>
      </c>
      <c r="M877">
        <v>0</v>
      </c>
      <c r="N877" t="s">
        <v>128</v>
      </c>
      <c r="O877" t="s">
        <v>221</v>
      </c>
      <c r="P877" t="s">
        <v>613</v>
      </c>
      <c r="Q877" s="1" t="s">
        <v>2276</v>
      </c>
      <c r="R877" s="1" t="s">
        <v>2350</v>
      </c>
      <c r="S877" s="1" t="s">
        <v>2350</v>
      </c>
      <c r="X877" t="s">
        <v>621</v>
      </c>
      <c r="Y877" t="s">
        <v>2273</v>
      </c>
      <c r="Z877" t="s">
        <v>249</v>
      </c>
      <c r="AA877" t="s">
        <v>2359</v>
      </c>
      <c r="AB877" t="s">
        <v>2289</v>
      </c>
      <c r="AC877" t="s">
        <v>315</v>
      </c>
      <c r="AD877" t="s">
        <v>137</v>
      </c>
      <c r="AF877" t="s">
        <v>49</v>
      </c>
      <c r="AJ877" t="s">
        <v>49</v>
      </c>
      <c r="AM877" t="s">
        <v>201</v>
      </c>
      <c r="AN877" t="s">
        <v>109</v>
      </c>
      <c r="AO877" t="s">
        <v>622</v>
      </c>
      <c r="AP877" t="s">
        <v>157</v>
      </c>
      <c r="AR877">
        <v>1</v>
      </c>
    </row>
    <row r="878" spans="1:45" x14ac:dyDescent="0.2">
      <c r="A878" t="s">
        <v>611</v>
      </c>
      <c r="B878" t="s">
        <v>612</v>
      </c>
      <c r="C878">
        <v>2020</v>
      </c>
      <c r="D878" t="s">
        <v>44</v>
      </c>
      <c r="E878" t="s">
        <v>49</v>
      </c>
      <c r="F878" t="s">
        <v>83</v>
      </c>
      <c r="G878" t="s">
        <v>85</v>
      </c>
      <c r="H878" t="s">
        <v>350</v>
      </c>
      <c r="I878" t="s">
        <v>614</v>
      </c>
      <c r="J878">
        <v>0.57999999999999996</v>
      </c>
      <c r="K878" t="s">
        <v>109</v>
      </c>
      <c r="M878">
        <v>0</v>
      </c>
      <c r="N878" t="s">
        <v>128</v>
      </c>
      <c r="O878" t="s">
        <v>221</v>
      </c>
      <c r="P878" t="s">
        <v>613</v>
      </c>
      <c r="Q878" s="1" t="s">
        <v>2276</v>
      </c>
      <c r="R878" s="1" t="s">
        <v>2350</v>
      </c>
      <c r="S878" s="1" t="s">
        <v>2350</v>
      </c>
      <c r="X878" t="s">
        <v>161</v>
      </c>
      <c r="Y878" t="s">
        <v>2272</v>
      </c>
      <c r="Z878" t="s">
        <v>2272</v>
      </c>
      <c r="AA878" t="s">
        <v>2272</v>
      </c>
      <c r="AB878" t="s">
        <v>2272</v>
      </c>
      <c r="AC878" t="s">
        <v>162</v>
      </c>
      <c r="AD878" t="s">
        <v>2272</v>
      </c>
      <c r="AF878" t="s">
        <v>49</v>
      </c>
      <c r="AJ878" t="s">
        <v>49</v>
      </c>
      <c r="AM878" t="s">
        <v>201</v>
      </c>
      <c r="AN878" t="s">
        <v>109</v>
      </c>
      <c r="AO878" t="s">
        <v>622</v>
      </c>
      <c r="AR878">
        <v>1</v>
      </c>
    </row>
    <row r="879" spans="1:45" x14ac:dyDescent="0.2">
      <c r="A879" t="s">
        <v>623</v>
      </c>
      <c r="B879" t="s">
        <v>198</v>
      </c>
      <c r="C879">
        <v>2020</v>
      </c>
      <c r="Q879" s="1" t="s">
        <v>2272</v>
      </c>
      <c r="R879" s="1" t="s">
        <v>2272</v>
      </c>
      <c r="S879" s="1" t="s">
        <v>2272</v>
      </c>
      <c r="Y879" t="s">
        <v>2272</v>
      </c>
      <c r="Z879" t="s">
        <v>2272</v>
      </c>
      <c r="AA879" t="s">
        <v>2272</v>
      </c>
      <c r="AB879" t="s">
        <v>2272</v>
      </c>
      <c r="AD879" t="s">
        <v>2272</v>
      </c>
      <c r="AR879" t="s">
        <v>144</v>
      </c>
      <c r="AS879" t="s">
        <v>2583</v>
      </c>
    </row>
    <row r="880" spans="1:45" x14ac:dyDescent="0.2">
      <c r="A880" t="s">
        <v>624</v>
      </c>
      <c r="B880" t="s">
        <v>198</v>
      </c>
      <c r="C880">
        <v>2020</v>
      </c>
      <c r="Q880" s="1" t="s">
        <v>2272</v>
      </c>
      <c r="R880" s="1" t="s">
        <v>2272</v>
      </c>
      <c r="S880" s="1" t="s">
        <v>2272</v>
      </c>
      <c r="Y880" t="s">
        <v>2272</v>
      </c>
      <c r="Z880" t="s">
        <v>2272</v>
      </c>
      <c r="AA880" t="s">
        <v>2272</v>
      </c>
      <c r="AB880" t="s">
        <v>2272</v>
      </c>
      <c r="AD880" t="s">
        <v>2272</v>
      </c>
      <c r="AR880" t="s">
        <v>144</v>
      </c>
      <c r="AS880" t="s">
        <v>2583</v>
      </c>
    </row>
    <row r="881" spans="1:45" x14ac:dyDescent="0.2">
      <c r="A881" t="s">
        <v>625</v>
      </c>
      <c r="B881" t="s">
        <v>626</v>
      </c>
      <c r="C881">
        <v>2020</v>
      </c>
      <c r="D881" t="s">
        <v>811</v>
      </c>
      <c r="F881" t="s">
        <v>83</v>
      </c>
      <c r="G881" t="s">
        <v>85</v>
      </c>
      <c r="H881" t="s">
        <v>350</v>
      </c>
      <c r="P881" t="s">
        <v>244</v>
      </c>
      <c r="Q881" s="1" t="s">
        <v>2272</v>
      </c>
      <c r="R881" s="1" t="s">
        <v>2272</v>
      </c>
      <c r="S881" s="1" t="s">
        <v>2272</v>
      </c>
      <c r="Y881" t="s">
        <v>2272</v>
      </c>
      <c r="Z881" t="s">
        <v>2272</v>
      </c>
      <c r="AA881" t="s">
        <v>2272</v>
      </c>
      <c r="AB881" t="s">
        <v>2272</v>
      </c>
      <c r="AD881" t="s">
        <v>2272</v>
      </c>
      <c r="AR881" t="s">
        <v>144</v>
      </c>
      <c r="AS881" t="s">
        <v>2583</v>
      </c>
    </row>
    <row r="882" spans="1:45" x14ac:dyDescent="0.2">
      <c r="A882" s="1" t="s">
        <v>85</v>
      </c>
      <c r="B882" t="s">
        <v>203</v>
      </c>
      <c r="C882">
        <v>2020</v>
      </c>
      <c r="D882" t="s">
        <v>627</v>
      </c>
      <c r="E882" t="s">
        <v>49</v>
      </c>
      <c r="F882" t="s">
        <v>628</v>
      </c>
      <c r="G882" t="s">
        <v>86</v>
      </c>
      <c r="H882" t="s">
        <v>96</v>
      </c>
      <c r="N882" t="s">
        <v>123</v>
      </c>
      <c r="O882" t="s">
        <v>123</v>
      </c>
      <c r="Q882" s="1" t="s">
        <v>2272</v>
      </c>
      <c r="R882" s="1" t="s">
        <v>2272</v>
      </c>
      <c r="S882" s="1" t="s">
        <v>2272</v>
      </c>
      <c r="Y882" t="s">
        <v>2272</v>
      </c>
      <c r="Z882" t="s">
        <v>2272</v>
      </c>
      <c r="AA882" t="s">
        <v>2272</v>
      </c>
      <c r="AB882" t="s">
        <v>2272</v>
      </c>
      <c r="AD882" t="s">
        <v>2272</v>
      </c>
      <c r="AR882" t="s">
        <v>144</v>
      </c>
      <c r="AS882" t="s">
        <v>2583</v>
      </c>
    </row>
    <row r="883" spans="1:45" x14ac:dyDescent="0.2">
      <c r="A883" t="s">
        <v>629</v>
      </c>
      <c r="B883" t="s">
        <v>630</v>
      </c>
      <c r="C883">
        <v>2020</v>
      </c>
      <c r="D883" t="s">
        <v>44</v>
      </c>
      <c r="F883" t="s">
        <v>608</v>
      </c>
      <c r="G883" t="s">
        <v>91</v>
      </c>
      <c r="H883" t="s">
        <v>96</v>
      </c>
      <c r="I883" t="s">
        <v>536</v>
      </c>
      <c r="J883">
        <v>5</v>
      </c>
      <c r="K883" t="s">
        <v>109</v>
      </c>
      <c r="N883" t="s">
        <v>126</v>
      </c>
      <c r="O883" t="s">
        <v>126</v>
      </c>
      <c r="P883" t="s">
        <v>631</v>
      </c>
      <c r="Q883" s="1" t="s">
        <v>2281</v>
      </c>
      <c r="R883" s="1" t="s">
        <v>2282</v>
      </c>
      <c r="S883" s="1" t="s">
        <v>126</v>
      </c>
      <c r="X883" t="s">
        <v>293</v>
      </c>
      <c r="Y883" t="s">
        <v>2273</v>
      </c>
      <c r="Z883" t="s">
        <v>249</v>
      </c>
      <c r="AA883" t="s">
        <v>2359</v>
      </c>
      <c r="AB883" t="s">
        <v>1419</v>
      </c>
      <c r="AC883" t="s">
        <v>152</v>
      </c>
      <c r="AD883" t="s">
        <v>137</v>
      </c>
      <c r="AE883" t="s">
        <v>102</v>
      </c>
      <c r="AF883" t="s">
        <v>49</v>
      </c>
      <c r="AI883" t="s">
        <v>49</v>
      </c>
      <c r="AM883" t="s">
        <v>632</v>
      </c>
    </row>
    <row r="884" spans="1:45" x14ac:dyDescent="0.2">
      <c r="A884" t="s">
        <v>629</v>
      </c>
      <c r="B884" t="s">
        <v>630</v>
      </c>
      <c r="C884">
        <v>2020</v>
      </c>
      <c r="D884" t="s">
        <v>44</v>
      </c>
      <c r="F884" t="s">
        <v>608</v>
      </c>
      <c r="G884" t="s">
        <v>91</v>
      </c>
      <c r="H884" t="s">
        <v>96</v>
      </c>
      <c r="I884" t="s">
        <v>536</v>
      </c>
      <c r="J884">
        <v>5</v>
      </c>
      <c r="K884" t="s">
        <v>109</v>
      </c>
      <c r="N884" t="s">
        <v>126</v>
      </c>
      <c r="O884" t="s">
        <v>126</v>
      </c>
      <c r="P884" t="s">
        <v>631</v>
      </c>
      <c r="Q884" s="1" t="s">
        <v>2281</v>
      </c>
      <c r="R884" s="1" t="s">
        <v>2282</v>
      </c>
      <c r="S884" s="1" t="s">
        <v>126</v>
      </c>
      <c r="X884" t="s">
        <v>189</v>
      </c>
      <c r="Y884" t="s">
        <v>2279</v>
      </c>
      <c r="Z884" t="s">
        <v>2280</v>
      </c>
      <c r="AA884" t="s">
        <v>2358</v>
      </c>
      <c r="AB884" t="s">
        <v>189</v>
      </c>
      <c r="AC884" t="s">
        <v>152</v>
      </c>
      <c r="AD884" t="s">
        <v>2278</v>
      </c>
      <c r="AE884" t="s">
        <v>102</v>
      </c>
      <c r="AF884" t="s">
        <v>49</v>
      </c>
      <c r="AI884" t="s">
        <v>49</v>
      </c>
      <c r="AM884" t="s">
        <v>632</v>
      </c>
      <c r="AN884" t="s">
        <v>166</v>
      </c>
      <c r="AP884" t="s">
        <v>157</v>
      </c>
    </row>
    <row r="885" spans="1:45" x14ac:dyDescent="0.2">
      <c r="A885" t="s">
        <v>629</v>
      </c>
      <c r="B885" t="s">
        <v>630</v>
      </c>
      <c r="C885">
        <v>2020</v>
      </c>
      <c r="D885" t="s">
        <v>44</v>
      </c>
      <c r="F885" t="s">
        <v>608</v>
      </c>
      <c r="G885" t="s">
        <v>91</v>
      </c>
      <c r="H885" t="s">
        <v>96</v>
      </c>
      <c r="I885" t="s">
        <v>536</v>
      </c>
      <c r="J885">
        <v>5</v>
      </c>
      <c r="K885" t="s">
        <v>109</v>
      </c>
      <c r="N885" t="s">
        <v>126</v>
      </c>
      <c r="O885" t="s">
        <v>126</v>
      </c>
      <c r="P885" t="s">
        <v>631</v>
      </c>
      <c r="Q885" s="1" t="s">
        <v>2281</v>
      </c>
      <c r="R885" s="1" t="s">
        <v>2282</v>
      </c>
      <c r="S885" s="1" t="s">
        <v>126</v>
      </c>
      <c r="X885" t="s">
        <v>189</v>
      </c>
      <c r="Y885" t="s">
        <v>2279</v>
      </c>
      <c r="Z885" t="s">
        <v>2280</v>
      </c>
      <c r="AA885" t="s">
        <v>2358</v>
      </c>
      <c r="AB885" t="s">
        <v>189</v>
      </c>
      <c r="AC885" t="s">
        <v>152</v>
      </c>
      <c r="AD885" t="s">
        <v>2278</v>
      </c>
      <c r="AE885" t="s">
        <v>102</v>
      </c>
      <c r="AF885" t="s">
        <v>49</v>
      </c>
      <c r="AI885" t="s">
        <v>49</v>
      </c>
      <c r="AM885" t="s">
        <v>632</v>
      </c>
      <c r="AN885" t="s">
        <v>154</v>
      </c>
      <c r="AP885" t="s">
        <v>157</v>
      </c>
    </row>
    <row r="886" spans="1:45" x14ac:dyDescent="0.2">
      <c r="A886" t="s">
        <v>629</v>
      </c>
      <c r="B886" t="s">
        <v>630</v>
      </c>
      <c r="C886">
        <v>2020</v>
      </c>
      <c r="D886" t="s">
        <v>44</v>
      </c>
      <c r="F886" t="s">
        <v>608</v>
      </c>
      <c r="G886" t="s">
        <v>91</v>
      </c>
      <c r="H886" t="s">
        <v>96</v>
      </c>
      <c r="I886" t="s">
        <v>536</v>
      </c>
      <c r="J886">
        <v>5</v>
      </c>
      <c r="K886" t="s">
        <v>109</v>
      </c>
      <c r="N886" t="s">
        <v>126</v>
      </c>
      <c r="O886" t="s">
        <v>126</v>
      </c>
      <c r="P886" t="s">
        <v>631</v>
      </c>
      <c r="Q886" s="1" t="s">
        <v>2281</v>
      </c>
      <c r="R886" s="1" t="s">
        <v>2282</v>
      </c>
      <c r="S886" s="1" t="s">
        <v>126</v>
      </c>
      <c r="X886" t="s">
        <v>633</v>
      </c>
      <c r="Y886" t="s">
        <v>2279</v>
      </c>
      <c r="Z886" t="s">
        <v>2361</v>
      </c>
      <c r="AA886" t="s">
        <v>2362</v>
      </c>
      <c r="AB886" t="s">
        <v>2296</v>
      </c>
      <c r="AC886" t="s">
        <v>162</v>
      </c>
      <c r="AD886" t="s">
        <v>2278</v>
      </c>
      <c r="AF886" t="s">
        <v>49</v>
      </c>
      <c r="AI886" t="s">
        <v>49</v>
      </c>
      <c r="AM886" t="s">
        <v>632</v>
      </c>
      <c r="AN886" t="s">
        <v>166</v>
      </c>
      <c r="AP886" t="s">
        <v>157</v>
      </c>
    </row>
    <row r="887" spans="1:45" x14ac:dyDescent="0.2">
      <c r="A887" t="s">
        <v>629</v>
      </c>
      <c r="B887" t="s">
        <v>630</v>
      </c>
      <c r="C887">
        <v>2020</v>
      </c>
      <c r="D887" t="s">
        <v>44</v>
      </c>
      <c r="F887" t="s">
        <v>608</v>
      </c>
      <c r="G887" t="s">
        <v>91</v>
      </c>
      <c r="H887" t="s">
        <v>96</v>
      </c>
      <c r="I887" t="s">
        <v>536</v>
      </c>
      <c r="J887">
        <v>5</v>
      </c>
      <c r="K887" t="s">
        <v>109</v>
      </c>
      <c r="N887" t="s">
        <v>126</v>
      </c>
      <c r="O887" t="s">
        <v>126</v>
      </c>
      <c r="P887" t="s">
        <v>631</v>
      </c>
      <c r="Q887" s="1" t="s">
        <v>2281</v>
      </c>
      <c r="R887" s="1" t="s">
        <v>2282</v>
      </c>
      <c r="S887" s="1" t="s">
        <v>126</v>
      </c>
      <c r="X887" t="s">
        <v>633</v>
      </c>
      <c r="Y887" t="s">
        <v>2279</v>
      </c>
      <c r="Z887" t="s">
        <v>2361</v>
      </c>
      <c r="AA887" t="s">
        <v>2362</v>
      </c>
      <c r="AB887" t="s">
        <v>2296</v>
      </c>
      <c r="AC887" t="s">
        <v>162</v>
      </c>
      <c r="AD887" t="s">
        <v>2278</v>
      </c>
      <c r="AF887" t="s">
        <v>49</v>
      </c>
      <c r="AI887" t="s">
        <v>49</v>
      </c>
      <c r="AM887" t="s">
        <v>632</v>
      </c>
      <c r="AN887" t="s">
        <v>154</v>
      </c>
      <c r="AP887" t="s">
        <v>157</v>
      </c>
    </row>
    <row r="888" spans="1:45" x14ac:dyDescent="0.2">
      <c r="A888" t="s">
        <v>629</v>
      </c>
      <c r="B888" t="s">
        <v>630</v>
      </c>
      <c r="C888">
        <v>2020</v>
      </c>
      <c r="D888" t="s">
        <v>44</v>
      </c>
      <c r="F888" t="s">
        <v>608</v>
      </c>
      <c r="G888" t="s">
        <v>91</v>
      </c>
      <c r="H888" t="s">
        <v>96</v>
      </c>
      <c r="I888" t="s">
        <v>536</v>
      </c>
      <c r="J888">
        <v>5</v>
      </c>
      <c r="K888" t="s">
        <v>109</v>
      </c>
      <c r="N888" t="s">
        <v>126</v>
      </c>
      <c r="O888" t="s">
        <v>126</v>
      </c>
      <c r="P888" t="s">
        <v>631</v>
      </c>
      <c r="Q888" s="1" t="s">
        <v>2281</v>
      </c>
      <c r="R888" s="1" t="s">
        <v>2282</v>
      </c>
      <c r="S888" s="1" t="s">
        <v>126</v>
      </c>
      <c r="X888" t="s">
        <v>633</v>
      </c>
      <c r="Y888" t="s">
        <v>2279</v>
      </c>
      <c r="Z888" t="s">
        <v>2361</v>
      </c>
      <c r="AA888" t="s">
        <v>2362</v>
      </c>
      <c r="AB888" t="s">
        <v>2296</v>
      </c>
      <c r="AC888" t="s">
        <v>162</v>
      </c>
      <c r="AD888" t="s">
        <v>2278</v>
      </c>
      <c r="AF888" t="s">
        <v>49</v>
      </c>
      <c r="AI888" t="s">
        <v>49</v>
      </c>
      <c r="AM888" t="s">
        <v>632</v>
      </c>
      <c r="AN888" t="s">
        <v>165</v>
      </c>
      <c r="AP888" t="s">
        <v>49</v>
      </c>
    </row>
    <row r="889" spans="1:45" x14ac:dyDescent="0.2">
      <c r="A889" t="s">
        <v>634</v>
      </c>
      <c r="B889" t="s">
        <v>635</v>
      </c>
      <c r="C889">
        <v>2020</v>
      </c>
      <c r="D889" t="s">
        <v>44</v>
      </c>
      <c r="Q889" s="1" t="s">
        <v>2272</v>
      </c>
      <c r="R889" s="1" t="s">
        <v>2272</v>
      </c>
      <c r="S889" s="1" t="s">
        <v>2272</v>
      </c>
      <c r="Y889" t="s">
        <v>2272</v>
      </c>
      <c r="Z889" t="s">
        <v>2272</v>
      </c>
      <c r="AA889" t="s">
        <v>2272</v>
      </c>
      <c r="AB889" t="s">
        <v>2272</v>
      </c>
      <c r="AD889" t="s">
        <v>2272</v>
      </c>
      <c r="AR889" t="s">
        <v>144</v>
      </c>
      <c r="AS889" t="s">
        <v>2583</v>
      </c>
    </row>
    <row r="890" spans="1:45" x14ac:dyDescent="0.2">
      <c r="A890" t="s">
        <v>636</v>
      </c>
      <c r="B890" t="s">
        <v>637</v>
      </c>
      <c r="C890">
        <v>2020</v>
      </c>
      <c r="D890" t="s">
        <v>44</v>
      </c>
      <c r="E890" t="s">
        <v>49</v>
      </c>
      <c r="F890" t="s">
        <v>638</v>
      </c>
      <c r="G890" t="s">
        <v>90</v>
      </c>
      <c r="H890" t="s">
        <v>96</v>
      </c>
      <c r="I890">
        <v>2018</v>
      </c>
      <c r="J890">
        <f t="shared" ref="J890:J899" si="20">3/12</f>
        <v>0.25</v>
      </c>
      <c r="K890" t="s">
        <v>101</v>
      </c>
      <c r="L890">
        <v>70</v>
      </c>
      <c r="M890">
        <f t="shared" ref="M890:M899" si="21">0.35*0.35</f>
        <v>0.12249999999999998</v>
      </c>
      <c r="N890" t="s">
        <v>127</v>
      </c>
      <c r="O890" t="s">
        <v>639</v>
      </c>
      <c r="P890" t="s">
        <v>640</v>
      </c>
      <c r="Q890" s="1" t="s">
        <v>2281</v>
      </c>
      <c r="R890" s="1" t="s">
        <v>2291</v>
      </c>
      <c r="S890" s="1" t="s">
        <v>2291</v>
      </c>
      <c r="T890" t="s">
        <v>396</v>
      </c>
      <c r="V890" t="s">
        <v>194</v>
      </c>
      <c r="W890" t="s">
        <v>640</v>
      </c>
      <c r="X890" t="s">
        <v>189</v>
      </c>
      <c r="Y890" t="s">
        <v>2279</v>
      </c>
      <c r="Z890" t="s">
        <v>2280</v>
      </c>
      <c r="AA890" t="s">
        <v>2358</v>
      </c>
      <c r="AB890" t="s">
        <v>189</v>
      </c>
      <c r="AC890" t="s">
        <v>152</v>
      </c>
      <c r="AD890" t="s">
        <v>2278</v>
      </c>
    </row>
    <row r="891" spans="1:45" x14ac:dyDescent="0.2">
      <c r="A891" t="s">
        <v>636</v>
      </c>
      <c r="B891" t="s">
        <v>637</v>
      </c>
      <c r="C891">
        <v>2020</v>
      </c>
      <c r="D891" t="s">
        <v>44</v>
      </c>
      <c r="E891" t="s">
        <v>49</v>
      </c>
      <c r="F891" t="s">
        <v>638</v>
      </c>
      <c r="G891" t="s">
        <v>90</v>
      </c>
      <c r="H891" t="s">
        <v>96</v>
      </c>
      <c r="I891">
        <v>2018</v>
      </c>
      <c r="J891">
        <f t="shared" si="20"/>
        <v>0.25</v>
      </c>
      <c r="K891" t="s">
        <v>101</v>
      </c>
      <c r="L891">
        <v>70</v>
      </c>
      <c r="M891">
        <f t="shared" si="21"/>
        <v>0.12249999999999998</v>
      </c>
      <c r="N891" t="s">
        <v>123</v>
      </c>
      <c r="O891" t="s">
        <v>123</v>
      </c>
      <c r="P891" t="s">
        <v>641</v>
      </c>
      <c r="Q891" s="1" t="s">
        <v>2281</v>
      </c>
      <c r="R891" s="1" t="s">
        <v>2282</v>
      </c>
      <c r="S891" s="1" t="s">
        <v>123</v>
      </c>
      <c r="T891" t="s">
        <v>396</v>
      </c>
      <c r="X891" t="s">
        <v>189</v>
      </c>
      <c r="Y891" t="s">
        <v>2279</v>
      </c>
      <c r="Z891" t="s">
        <v>2280</v>
      </c>
      <c r="AA891" t="s">
        <v>2358</v>
      </c>
      <c r="AB891" t="s">
        <v>189</v>
      </c>
      <c r="AC891" t="s">
        <v>152</v>
      </c>
      <c r="AD891" t="s">
        <v>2278</v>
      </c>
    </row>
    <row r="892" spans="1:45" x14ac:dyDescent="0.2">
      <c r="A892" t="s">
        <v>636</v>
      </c>
      <c r="B892" t="s">
        <v>637</v>
      </c>
      <c r="C892">
        <v>2020</v>
      </c>
      <c r="D892" t="s">
        <v>44</v>
      </c>
      <c r="E892" t="s">
        <v>49</v>
      </c>
      <c r="F892" t="s">
        <v>638</v>
      </c>
      <c r="G892" t="s">
        <v>90</v>
      </c>
      <c r="H892" t="s">
        <v>96</v>
      </c>
      <c r="I892">
        <v>2018</v>
      </c>
      <c r="J892">
        <f t="shared" si="20"/>
        <v>0.25</v>
      </c>
      <c r="K892" t="s">
        <v>101</v>
      </c>
      <c r="L892">
        <v>70</v>
      </c>
      <c r="M892">
        <f t="shared" si="21"/>
        <v>0.12249999999999998</v>
      </c>
      <c r="N892" t="s">
        <v>127</v>
      </c>
      <c r="O892" t="s">
        <v>639</v>
      </c>
      <c r="P892" t="s">
        <v>640</v>
      </c>
      <c r="Q892" s="1" t="s">
        <v>2281</v>
      </c>
      <c r="R892" s="1" t="s">
        <v>2291</v>
      </c>
      <c r="S892" s="1" t="s">
        <v>2291</v>
      </c>
      <c r="T892" t="s">
        <v>396</v>
      </c>
      <c r="V892" t="s">
        <v>194</v>
      </c>
      <c r="W892" t="s">
        <v>640</v>
      </c>
      <c r="X892" t="s">
        <v>293</v>
      </c>
      <c r="Y892" t="s">
        <v>2273</v>
      </c>
      <c r="Z892" t="s">
        <v>249</v>
      </c>
      <c r="AA892" t="s">
        <v>2359</v>
      </c>
      <c r="AB892" t="s">
        <v>1419</v>
      </c>
      <c r="AC892" t="s">
        <v>152</v>
      </c>
      <c r="AD892" t="s">
        <v>137</v>
      </c>
    </row>
    <row r="893" spans="1:45" x14ac:dyDescent="0.2">
      <c r="A893" t="s">
        <v>636</v>
      </c>
      <c r="B893" t="s">
        <v>637</v>
      </c>
      <c r="C893">
        <v>2020</v>
      </c>
      <c r="D893" t="s">
        <v>44</v>
      </c>
      <c r="E893" t="s">
        <v>49</v>
      </c>
      <c r="F893" t="s">
        <v>638</v>
      </c>
      <c r="G893" t="s">
        <v>90</v>
      </c>
      <c r="H893" t="s">
        <v>96</v>
      </c>
      <c r="I893">
        <v>2018</v>
      </c>
      <c r="J893">
        <f t="shared" si="20"/>
        <v>0.25</v>
      </c>
      <c r="K893" t="s">
        <v>101</v>
      </c>
      <c r="L893">
        <v>70</v>
      </c>
      <c r="M893">
        <f t="shared" si="21"/>
        <v>0.12249999999999998</v>
      </c>
      <c r="N893" t="s">
        <v>123</v>
      </c>
      <c r="O893" t="s">
        <v>123</v>
      </c>
      <c r="P893" t="s">
        <v>641</v>
      </c>
      <c r="Q893" s="1" t="s">
        <v>2281</v>
      </c>
      <c r="R893" s="1" t="s">
        <v>2282</v>
      </c>
      <c r="S893" s="1" t="s">
        <v>123</v>
      </c>
      <c r="T893" t="s">
        <v>396</v>
      </c>
      <c r="X893" t="s">
        <v>293</v>
      </c>
      <c r="Y893" t="s">
        <v>2273</v>
      </c>
      <c r="Z893" t="s">
        <v>249</v>
      </c>
      <c r="AA893" t="s">
        <v>2359</v>
      </c>
      <c r="AB893" t="s">
        <v>1419</v>
      </c>
      <c r="AC893" t="s">
        <v>152</v>
      </c>
      <c r="AD893" t="s">
        <v>137</v>
      </c>
    </row>
    <row r="894" spans="1:45" x14ac:dyDescent="0.2">
      <c r="A894" t="s">
        <v>636</v>
      </c>
      <c r="B894" t="s">
        <v>637</v>
      </c>
      <c r="C894">
        <v>2020</v>
      </c>
      <c r="D894" t="s">
        <v>44</v>
      </c>
      <c r="E894" t="s">
        <v>49</v>
      </c>
      <c r="F894" t="s">
        <v>638</v>
      </c>
      <c r="G894" t="s">
        <v>90</v>
      </c>
      <c r="H894" t="s">
        <v>96</v>
      </c>
      <c r="I894">
        <v>2018</v>
      </c>
      <c r="J894">
        <f t="shared" si="20"/>
        <v>0.25</v>
      </c>
      <c r="K894" t="s">
        <v>101</v>
      </c>
      <c r="L894">
        <v>70</v>
      </c>
      <c r="M894">
        <f t="shared" si="21"/>
        <v>0.12249999999999998</v>
      </c>
      <c r="N894" t="s">
        <v>127</v>
      </c>
      <c r="O894" t="s">
        <v>639</v>
      </c>
      <c r="P894" t="s">
        <v>640</v>
      </c>
      <c r="Q894" s="1" t="s">
        <v>2281</v>
      </c>
      <c r="R894" s="1" t="s">
        <v>2291</v>
      </c>
      <c r="S894" s="1" t="s">
        <v>2291</v>
      </c>
      <c r="T894" t="s">
        <v>396</v>
      </c>
      <c r="V894" t="s">
        <v>194</v>
      </c>
      <c r="W894" t="s">
        <v>640</v>
      </c>
      <c r="X894" t="s">
        <v>642</v>
      </c>
      <c r="Y894" t="s">
        <v>2273</v>
      </c>
      <c r="Z894" t="s">
        <v>249</v>
      </c>
      <c r="AA894" t="s">
        <v>2359</v>
      </c>
      <c r="AB894" t="s">
        <v>1979</v>
      </c>
      <c r="AC894" t="s">
        <v>152</v>
      </c>
      <c r="AD894" t="s">
        <v>137</v>
      </c>
    </row>
    <row r="895" spans="1:45" x14ac:dyDescent="0.2">
      <c r="A895" t="s">
        <v>636</v>
      </c>
      <c r="B895" t="s">
        <v>637</v>
      </c>
      <c r="C895">
        <v>2020</v>
      </c>
      <c r="D895" t="s">
        <v>44</v>
      </c>
      <c r="E895" t="s">
        <v>49</v>
      </c>
      <c r="F895" t="s">
        <v>638</v>
      </c>
      <c r="G895" t="s">
        <v>90</v>
      </c>
      <c r="H895" t="s">
        <v>96</v>
      </c>
      <c r="I895">
        <v>2018</v>
      </c>
      <c r="J895">
        <f t="shared" si="20"/>
        <v>0.25</v>
      </c>
      <c r="K895" t="s">
        <v>101</v>
      </c>
      <c r="L895">
        <v>70</v>
      </c>
      <c r="M895">
        <f t="shared" si="21"/>
        <v>0.12249999999999998</v>
      </c>
      <c r="N895" t="s">
        <v>123</v>
      </c>
      <c r="O895" t="s">
        <v>123</v>
      </c>
      <c r="P895" t="s">
        <v>641</v>
      </c>
      <c r="Q895" s="1" t="s">
        <v>2281</v>
      </c>
      <c r="R895" s="1" t="s">
        <v>2282</v>
      </c>
      <c r="S895" s="1" t="s">
        <v>123</v>
      </c>
      <c r="T895" t="s">
        <v>396</v>
      </c>
      <c r="X895" t="s">
        <v>166</v>
      </c>
      <c r="Y895" t="s">
        <v>2279</v>
      </c>
      <c r="Z895" t="s">
        <v>2280</v>
      </c>
      <c r="AA895" t="s">
        <v>2358</v>
      </c>
      <c r="AB895" t="s">
        <v>189</v>
      </c>
      <c r="AC895" t="s">
        <v>152</v>
      </c>
      <c r="AD895" t="s">
        <v>2278</v>
      </c>
    </row>
    <row r="896" spans="1:45" x14ac:dyDescent="0.2">
      <c r="A896" t="s">
        <v>636</v>
      </c>
      <c r="B896" t="s">
        <v>637</v>
      </c>
      <c r="C896">
        <v>2020</v>
      </c>
      <c r="D896" t="s">
        <v>44</v>
      </c>
      <c r="E896" t="s">
        <v>49</v>
      </c>
      <c r="F896" t="s">
        <v>638</v>
      </c>
      <c r="G896" t="s">
        <v>90</v>
      </c>
      <c r="H896" t="s">
        <v>96</v>
      </c>
      <c r="I896">
        <v>2018</v>
      </c>
      <c r="J896">
        <f t="shared" si="20"/>
        <v>0.25</v>
      </c>
      <c r="K896" t="s">
        <v>101</v>
      </c>
      <c r="L896">
        <v>70</v>
      </c>
      <c r="M896">
        <f t="shared" si="21"/>
        <v>0.12249999999999998</v>
      </c>
      <c r="N896" t="s">
        <v>127</v>
      </c>
      <c r="O896" t="s">
        <v>639</v>
      </c>
      <c r="P896" t="s">
        <v>640</v>
      </c>
      <c r="Q896" s="1" t="s">
        <v>2281</v>
      </c>
      <c r="R896" s="1" t="s">
        <v>2291</v>
      </c>
      <c r="S896" s="1" t="s">
        <v>2291</v>
      </c>
      <c r="T896" t="s">
        <v>396</v>
      </c>
      <c r="U896" s="1" t="s">
        <v>123</v>
      </c>
      <c r="V896" t="s">
        <v>194</v>
      </c>
      <c r="W896" t="s">
        <v>640</v>
      </c>
      <c r="X896" t="s">
        <v>161</v>
      </c>
      <c r="Y896" t="s">
        <v>2272</v>
      </c>
      <c r="Z896" t="s">
        <v>2272</v>
      </c>
      <c r="AA896" t="s">
        <v>2272</v>
      </c>
      <c r="AB896" t="s">
        <v>2272</v>
      </c>
      <c r="AC896" t="s">
        <v>162</v>
      </c>
      <c r="AD896" t="s">
        <v>2272</v>
      </c>
      <c r="AF896" t="s">
        <v>49</v>
      </c>
      <c r="AI896" t="s">
        <v>49</v>
      </c>
      <c r="AM896" t="s">
        <v>192</v>
      </c>
      <c r="AN896" t="s">
        <v>165</v>
      </c>
      <c r="AP896" t="s">
        <v>49</v>
      </c>
    </row>
    <row r="897" spans="1:45" x14ac:dyDescent="0.2">
      <c r="A897" t="s">
        <v>636</v>
      </c>
      <c r="B897" t="s">
        <v>637</v>
      </c>
      <c r="C897">
        <v>2020</v>
      </c>
      <c r="D897" t="s">
        <v>44</v>
      </c>
      <c r="E897" t="s">
        <v>49</v>
      </c>
      <c r="F897" t="s">
        <v>638</v>
      </c>
      <c r="G897" t="s">
        <v>90</v>
      </c>
      <c r="H897" t="s">
        <v>96</v>
      </c>
      <c r="I897">
        <v>2018</v>
      </c>
      <c r="J897">
        <f t="shared" si="20"/>
        <v>0.25</v>
      </c>
      <c r="K897" t="s">
        <v>101</v>
      </c>
      <c r="L897">
        <v>70</v>
      </c>
      <c r="M897">
        <f t="shared" si="21"/>
        <v>0.12249999999999998</v>
      </c>
      <c r="N897" t="s">
        <v>123</v>
      </c>
      <c r="O897" t="s">
        <v>123</v>
      </c>
      <c r="P897" t="s">
        <v>641</v>
      </c>
      <c r="Q897" s="1" t="s">
        <v>2281</v>
      </c>
      <c r="R897" s="1" t="s">
        <v>2282</v>
      </c>
      <c r="S897" s="1" t="s">
        <v>123</v>
      </c>
      <c r="T897" t="s">
        <v>396</v>
      </c>
      <c r="U897" s="1" t="s">
        <v>2291</v>
      </c>
      <c r="X897" t="s">
        <v>161</v>
      </c>
      <c r="Y897" t="s">
        <v>2272</v>
      </c>
      <c r="Z897" t="s">
        <v>2272</v>
      </c>
      <c r="AA897" t="s">
        <v>2272</v>
      </c>
      <c r="AB897" t="s">
        <v>2272</v>
      </c>
      <c r="AC897" t="s">
        <v>162</v>
      </c>
      <c r="AD897" t="s">
        <v>2272</v>
      </c>
      <c r="AF897" t="s">
        <v>49</v>
      </c>
      <c r="AI897" t="s">
        <v>49</v>
      </c>
      <c r="AM897" t="s">
        <v>192</v>
      </c>
      <c r="AN897" t="s">
        <v>165</v>
      </c>
      <c r="AP897" t="s">
        <v>49</v>
      </c>
    </row>
    <row r="898" spans="1:45" x14ac:dyDescent="0.2">
      <c r="A898" t="s">
        <v>636</v>
      </c>
      <c r="B898" t="s">
        <v>637</v>
      </c>
      <c r="C898">
        <v>2020</v>
      </c>
      <c r="D898" t="s">
        <v>44</v>
      </c>
      <c r="E898" t="s">
        <v>49</v>
      </c>
      <c r="F898" t="s">
        <v>638</v>
      </c>
      <c r="G898" t="s">
        <v>90</v>
      </c>
      <c r="H898" t="s">
        <v>96</v>
      </c>
      <c r="I898">
        <v>2018</v>
      </c>
      <c r="J898">
        <f t="shared" si="20"/>
        <v>0.25</v>
      </c>
      <c r="K898" t="s">
        <v>101</v>
      </c>
      <c r="L898">
        <v>70</v>
      </c>
      <c r="M898">
        <f t="shared" si="21"/>
        <v>0.12249999999999998</v>
      </c>
      <c r="N898" t="s">
        <v>127</v>
      </c>
      <c r="O898" t="s">
        <v>639</v>
      </c>
      <c r="P898" t="s">
        <v>640</v>
      </c>
      <c r="Q898" s="1" t="s">
        <v>2281</v>
      </c>
      <c r="R898" s="1" t="s">
        <v>2291</v>
      </c>
      <c r="S898" s="1" t="s">
        <v>2291</v>
      </c>
      <c r="T898" t="s">
        <v>396</v>
      </c>
      <c r="U898" t="s">
        <v>123</v>
      </c>
      <c r="V898" t="s">
        <v>194</v>
      </c>
      <c r="W898" t="s">
        <v>640</v>
      </c>
      <c r="X898" t="s">
        <v>161</v>
      </c>
      <c r="Y898" t="s">
        <v>2272</v>
      </c>
      <c r="Z898" t="s">
        <v>2272</v>
      </c>
      <c r="AA898" t="s">
        <v>2272</v>
      </c>
      <c r="AB898" t="s">
        <v>2272</v>
      </c>
      <c r="AC898" t="s">
        <v>162</v>
      </c>
      <c r="AD898" t="s">
        <v>2272</v>
      </c>
      <c r="AF898" t="s">
        <v>49</v>
      </c>
      <c r="AI898" t="s">
        <v>49</v>
      </c>
      <c r="AM898" t="s">
        <v>192</v>
      </c>
      <c r="AN898" t="s">
        <v>154</v>
      </c>
      <c r="AQ898" s="5">
        <v>1</v>
      </c>
    </row>
    <row r="899" spans="1:45" x14ac:dyDescent="0.2">
      <c r="A899" t="s">
        <v>636</v>
      </c>
      <c r="B899" t="s">
        <v>637</v>
      </c>
      <c r="C899">
        <v>2020</v>
      </c>
      <c r="D899" t="s">
        <v>44</v>
      </c>
      <c r="E899" t="s">
        <v>49</v>
      </c>
      <c r="F899" t="s">
        <v>638</v>
      </c>
      <c r="G899" t="s">
        <v>90</v>
      </c>
      <c r="H899" t="s">
        <v>96</v>
      </c>
      <c r="I899">
        <v>2018</v>
      </c>
      <c r="J899">
        <f t="shared" si="20"/>
        <v>0.25</v>
      </c>
      <c r="K899" t="s">
        <v>101</v>
      </c>
      <c r="L899">
        <v>70</v>
      </c>
      <c r="M899">
        <f t="shared" si="21"/>
        <v>0.12249999999999998</v>
      </c>
      <c r="N899" t="s">
        <v>123</v>
      </c>
      <c r="O899" t="s">
        <v>123</v>
      </c>
      <c r="P899" t="s">
        <v>641</v>
      </c>
      <c r="Q899" s="1" t="s">
        <v>2281</v>
      </c>
      <c r="R899" s="1" t="s">
        <v>2282</v>
      </c>
      <c r="S899" s="1" t="s">
        <v>123</v>
      </c>
      <c r="T899" t="s">
        <v>396</v>
      </c>
      <c r="U899" s="1" t="s">
        <v>2291</v>
      </c>
      <c r="X899" t="s">
        <v>161</v>
      </c>
      <c r="Y899" t="s">
        <v>2272</v>
      </c>
      <c r="Z899" t="s">
        <v>2272</v>
      </c>
      <c r="AA899" t="s">
        <v>2272</v>
      </c>
      <c r="AB899" t="s">
        <v>2272</v>
      </c>
      <c r="AC899" t="s">
        <v>162</v>
      </c>
      <c r="AD899" t="s">
        <v>2272</v>
      </c>
      <c r="AF899" t="s">
        <v>49</v>
      </c>
      <c r="AI899" t="s">
        <v>49</v>
      </c>
      <c r="AM899" t="s">
        <v>192</v>
      </c>
      <c r="AN899" t="s">
        <v>154</v>
      </c>
      <c r="AQ899" s="5">
        <v>2</v>
      </c>
    </row>
    <row r="900" spans="1:45" x14ac:dyDescent="0.2">
      <c r="A900" t="s">
        <v>643</v>
      </c>
      <c r="B900" t="s">
        <v>644</v>
      </c>
      <c r="C900">
        <v>2020</v>
      </c>
      <c r="D900" t="s">
        <v>44</v>
      </c>
      <c r="F900" t="s">
        <v>645</v>
      </c>
      <c r="G900" t="s">
        <v>86</v>
      </c>
      <c r="H900" t="s">
        <v>350</v>
      </c>
      <c r="I900" t="s">
        <v>114</v>
      </c>
      <c r="J900">
        <v>1</v>
      </c>
      <c r="K900" t="s">
        <v>42</v>
      </c>
      <c r="L900">
        <v>8</v>
      </c>
      <c r="N900" t="s">
        <v>120</v>
      </c>
      <c r="O900" t="s">
        <v>216</v>
      </c>
      <c r="P900" t="s">
        <v>196</v>
      </c>
      <c r="Q900" s="1" t="s">
        <v>2276</v>
      </c>
      <c r="R900" s="1" t="s">
        <v>669</v>
      </c>
      <c r="S900" s="1" t="s">
        <v>168</v>
      </c>
      <c r="X900" t="s">
        <v>646</v>
      </c>
      <c r="Y900" t="s">
        <v>2279</v>
      </c>
      <c r="Z900" t="s">
        <v>2280</v>
      </c>
      <c r="AA900" t="s">
        <v>2358</v>
      </c>
      <c r="AB900" t="s">
        <v>2290</v>
      </c>
      <c r="AC900" t="s">
        <v>152</v>
      </c>
      <c r="AD900" t="s">
        <v>2278</v>
      </c>
      <c r="AE900" t="s">
        <v>649</v>
      </c>
      <c r="AR900" t="s">
        <v>144</v>
      </c>
      <c r="AS900" t="s">
        <v>2583</v>
      </c>
    </row>
    <row r="901" spans="1:45" x14ac:dyDescent="0.2">
      <c r="A901" t="s">
        <v>650</v>
      </c>
      <c r="B901" t="s">
        <v>651</v>
      </c>
      <c r="C901">
        <v>2020</v>
      </c>
      <c r="D901" t="s">
        <v>44</v>
      </c>
      <c r="F901" t="s">
        <v>652</v>
      </c>
      <c r="G901" t="s">
        <v>91</v>
      </c>
      <c r="H901" t="s">
        <v>350</v>
      </c>
      <c r="I901">
        <v>2016</v>
      </c>
      <c r="J901">
        <v>5.7000000000000002E-2</v>
      </c>
      <c r="K901" t="s">
        <v>101</v>
      </c>
      <c r="L901">
        <v>160</v>
      </c>
      <c r="M901">
        <v>0.314</v>
      </c>
      <c r="N901" t="s">
        <v>121</v>
      </c>
      <c r="O901" t="s">
        <v>121</v>
      </c>
      <c r="P901" t="s">
        <v>286</v>
      </c>
      <c r="Q901" s="1" t="s">
        <v>2292</v>
      </c>
      <c r="R901" s="1" t="s">
        <v>264</v>
      </c>
      <c r="S901" s="1" t="s">
        <v>264</v>
      </c>
      <c r="X901" t="s">
        <v>267</v>
      </c>
      <c r="Y901" t="s">
        <v>2279</v>
      </c>
      <c r="Z901" t="s">
        <v>2280</v>
      </c>
      <c r="AA901" t="s">
        <v>2358</v>
      </c>
      <c r="AB901" t="s">
        <v>189</v>
      </c>
      <c r="AC901" t="s">
        <v>152</v>
      </c>
      <c r="AD901" t="s">
        <v>2278</v>
      </c>
      <c r="AF901" t="s">
        <v>49</v>
      </c>
      <c r="AI901" t="s">
        <v>49</v>
      </c>
      <c r="AM901" t="s">
        <v>201</v>
      </c>
      <c r="AN901" t="s">
        <v>109</v>
      </c>
      <c r="AO901" t="s">
        <v>161</v>
      </c>
      <c r="AP901" t="s">
        <v>51</v>
      </c>
    </row>
    <row r="902" spans="1:45" x14ac:dyDescent="0.2">
      <c r="A902" t="s">
        <v>650</v>
      </c>
      <c r="B902" t="s">
        <v>651</v>
      </c>
      <c r="C902">
        <v>2020</v>
      </c>
      <c r="D902" t="s">
        <v>44</v>
      </c>
      <c r="F902" t="s">
        <v>652</v>
      </c>
      <c r="G902" t="s">
        <v>91</v>
      </c>
      <c r="H902" t="s">
        <v>350</v>
      </c>
      <c r="I902">
        <v>2016</v>
      </c>
      <c r="J902">
        <v>5.7000000000000002E-2</v>
      </c>
      <c r="K902" t="s">
        <v>101</v>
      </c>
      <c r="L902">
        <v>160</v>
      </c>
      <c r="M902">
        <v>0.314</v>
      </c>
      <c r="N902" t="s">
        <v>121</v>
      </c>
      <c r="O902" t="s">
        <v>121</v>
      </c>
      <c r="P902" t="s">
        <v>286</v>
      </c>
      <c r="Q902" s="1" t="s">
        <v>2292</v>
      </c>
      <c r="R902" s="1" t="s">
        <v>264</v>
      </c>
      <c r="S902" s="1" t="s">
        <v>264</v>
      </c>
      <c r="X902" t="s">
        <v>527</v>
      </c>
      <c r="Y902" t="s">
        <v>2273</v>
      </c>
      <c r="Z902" t="s">
        <v>249</v>
      </c>
      <c r="AA902" t="s">
        <v>2359</v>
      </c>
      <c r="AB902" t="s">
        <v>1419</v>
      </c>
      <c r="AC902" t="s">
        <v>152</v>
      </c>
      <c r="AD902" t="s">
        <v>2288</v>
      </c>
      <c r="AF902" t="s">
        <v>49</v>
      </c>
      <c r="AI902" t="s">
        <v>49</v>
      </c>
      <c r="AM902" t="s">
        <v>201</v>
      </c>
      <c r="AN902" t="s">
        <v>109</v>
      </c>
      <c r="AO902" t="s">
        <v>161</v>
      </c>
      <c r="AP902" t="s">
        <v>51</v>
      </c>
    </row>
    <row r="903" spans="1:45" x14ac:dyDescent="0.2">
      <c r="A903" t="s">
        <v>650</v>
      </c>
      <c r="B903" t="s">
        <v>651</v>
      </c>
      <c r="C903">
        <v>2020</v>
      </c>
      <c r="D903" t="s">
        <v>44</v>
      </c>
      <c r="F903" t="s">
        <v>652</v>
      </c>
      <c r="G903" t="s">
        <v>91</v>
      </c>
      <c r="H903" t="s">
        <v>350</v>
      </c>
      <c r="I903">
        <v>2016</v>
      </c>
      <c r="J903">
        <v>5.7000000000000002E-2</v>
      </c>
      <c r="K903" t="s">
        <v>101</v>
      </c>
      <c r="L903">
        <v>160</v>
      </c>
      <c r="M903">
        <v>0.314</v>
      </c>
      <c r="N903" t="s">
        <v>121</v>
      </c>
      <c r="O903" t="s">
        <v>121</v>
      </c>
      <c r="P903" t="s">
        <v>286</v>
      </c>
      <c r="Q903" s="1" t="s">
        <v>2292</v>
      </c>
      <c r="R903" s="1" t="s">
        <v>264</v>
      </c>
      <c r="S903" s="1" t="s">
        <v>264</v>
      </c>
      <c r="X903" t="s">
        <v>305</v>
      </c>
      <c r="Y903" t="s">
        <v>2273</v>
      </c>
      <c r="Z903" t="s">
        <v>249</v>
      </c>
      <c r="AA903" t="s">
        <v>2359</v>
      </c>
      <c r="AB903" t="s">
        <v>1979</v>
      </c>
      <c r="AC903" t="s">
        <v>152</v>
      </c>
      <c r="AD903" t="s">
        <v>2288</v>
      </c>
      <c r="AF903" t="s">
        <v>49</v>
      </c>
      <c r="AI903" t="s">
        <v>49</v>
      </c>
      <c r="AM903" t="s">
        <v>201</v>
      </c>
      <c r="AN903" t="s">
        <v>109</v>
      </c>
      <c r="AO903" t="s">
        <v>161</v>
      </c>
      <c r="AP903" t="s">
        <v>49</v>
      </c>
    </row>
    <row r="904" spans="1:45" x14ac:dyDescent="0.2">
      <c r="A904" t="s">
        <v>650</v>
      </c>
      <c r="B904" t="s">
        <v>651</v>
      </c>
      <c r="C904">
        <v>2020</v>
      </c>
      <c r="D904" t="s">
        <v>44</v>
      </c>
      <c r="F904" t="s">
        <v>652</v>
      </c>
      <c r="G904" t="s">
        <v>91</v>
      </c>
      <c r="H904" t="s">
        <v>350</v>
      </c>
      <c r="I904">
        <v>2016</v>
      </c>
      <c r="J904">
        <v>5.7000000000000002E-2</v>
      </c>
      <c r="K904" t="s">
        <v>101</v>
      </c>
      <c r="L904">
        <v>160</v>
      </c>
      <c r="M904">
        <v>0.314</v>
      </c>
      <c r="N904" t="s">
        <v>121</v>
      </c>
      <c r="O904" t="s">
        <v>121</v>
      </c>
      <c r="P904" t="s">
        <v>286</v>
      </c>
      <c r="Q904" s="1" t="s">
        <v>2292</v>
      </c>
      <c r="R904" s="1" t="s">
        <v>264</v>
      </c>
      <c r="S904" s="1" t="s">
        <v>264</v>
      </c>
      <c r="X904" t="s">
        <v>304</v>
      </c>
      <c r="Y904" t="s">
        <v>2273</v>
      </c>
      <c r="Z904" t="s">
        <v>249</v>
      </c>
      <c r="AA904" t="s">
        <v>2359</v>
      </c>
      <c r="AB904" t="s">
        <v>1979</v>
      </c>
      <c r="AC904" t="s">
        <v>152</v>
      </c>
      <c r="AD904" t="s">
        <v>2288</v>
      </c>
      <c r="AF904" t="s">
        <v>49</v>
      </c>
      <c r="AI904" t="s">
        <v>49</v>
      </c>
      <c r="AM904" t="s">
        <v>201</v>
      </c>
      <c r="AN904" t="s">
        <v>109</v>
      </c>
      <c r="AO904" t="s">
        <v>161</v>
      </c>
      <c r="AP904" t="s">
        <v>51</v>
      </c>
    </row>
    <row r="905" spans="1:45" x14ac:dyDescent="0.2">
      <c r="A905" t="s">
        <v>650</v>
      </c>
      <c r="B905" t="s">
        <v>651</v>
      </c>
      <c r="C905">
        <v>2020</v>
      </c>
      <c r="D905" t="s">
        <v>44</v>
      </c>
      <c r="F905" t="s">
        <v>652</v>
      </c>
      <c r="G905" t="s">
        <v>91</v>
      </c>
      <c r="H905" t="s">
        <v>350</v>
      </c>
      <c r="I905">
        <v>2016</v>
      </c>
      <c r="J905">
        <v>5.7000000000000002E-2</v>
      </c>
      <c r="K905" t="s">
        <v>101</v>
      </c>
      <c r="L905">
        <v>160</v>
      </c>
      <c r="M905">
        <v>0.314</v>
      </c>
      <c r="N905" t="s">
        <v>121</v>
      </c>
      <c r="O905" t="s">
        <v>121</v>
      </c>
      <c r="P905" t="s">
        <v>286</v>
      </c>
      <c r="Q905" s="1" t="s">
        <v>2292</v>
      </c>
      <c r="R905" s="1" t="s">
        <v>264</v>
      </c>
      <c r="S905" s="1" t="s">
        <v>264</v>
      </c>
      <c r="X905" t="s">
        <v>161</v>
      </c>
      <c r="Y905" t="s">
        <v>2272</v>
      </c>
      <c r="Z905" t="s">
        <v>2272</v>
      </c>
      <c r="AA905" t="s">
        <v>2272</v>
      </c>
      <c r="AB905" t="s">
        <v>2272</v>
      </c>
      <c r="AC905" t="s">
        <v>162</v>
      </c>
      <c r="AD905" t="s">
        <v>2272</v>
      </c>
      <c r="AF905" t="s">
        <v>49</v>
      </c>
      <c r="AG905" t="s">
        <v>49</v>
      </c>
      <c r="AI905" t="s">
        <v>49</v>
      </c>
      <c r="AM905" t="s">
        <v>368</v>
      </c>
      <c r="AN905" t="s">
        <v>154</v>
      </c>
    </row>
    <row r="906" spans="1:45" x14ac:dyDescent="0.2">
      <c r="A906" t="s">
        <v>650</v>
      </c>
      <c r="B906" t="s">
        <v>651</v>
      </c>
      <c r="C906">
        <v>2020</v>
      </c>
      <c r="D906" t="s">
        <v>44</v>
      </c>
      <c r="F906" t="s">
        <v>652</v>
      </c>
      <c r="G906" t="s">
        <v>91</v>
      </c>
      <c r="H906" t="s">
        <v>350</v>
      </c>
      <c r="I906">
        <v>2016</v>
      </c>
      <c r="J906">
        <v>5.7000000000000002E-2</v>
      </c>
      <c r="K906" t="s">
        <v>101</v>
      </c>
      <c r="L906">
        <v>160</v>
      </c>
      <c r="M906">
        <v>0.314</v>
      </c>
      <c r="N906" t="s">
        <v>121</v>
      </c>
      <c r="O906" t="s">
        <v>121</v>
      </c>
      <c r="P906" t="s">
        <v>286</v>
      </c>
      <c r="Q906" s="1" t="s">
        <v>2292</v>
      </c>
      <c r="R906" s="1" t="s">
        <v>264</v>
      </c>
      <c r="S906" s="1" t="s">
        <v>264</v>
      </c>
      <c r="X906" t="s">
        <v>161</v>
      </c>
      <c r="Y906" t="s">
        <v>2272</v>
      </c>
      <c r="Z906" t="s">
        <v>2272</v>
      </c>
      <c r="AA906" t="s">
        <v>2272</v>
      </c>
      <c r="AB906" t="s">
        <v>2272</v>
      </c>
      <c r="AC906" t="s">
        <v>162</v>
      </c>
      <c r="AD906" t="s">
        <v>2272</v>
      </c>
      <c r="AF906" t="s">
        <v>49</v>
      </c>
      <c r="AG906" t="s">
        <v>49</v>
      </c>
      <c r="AI906" t="s">
        <v>49</v>
      </c>
      <c r="AM906" t="s">
        <v>368</v>
      </c>
      <c r="AN906" t="s">
        <v>166</v>
      </c>
    </row>
    <row r="907" spans="1:45" x14ac:dyDescent="0.2">
      <c r="A907" t="s">
        <v>650</v>
      </c>
      <c r="B907" t="s">
        <v>651</v>
      </c>
      <c r="C907">
        <v>2020</v>
      </c>
      <c r="D907" t="s">
        <v>44</v>
      </c>
      <c r="F907" t="s">
        <v>652</v>
      </c>
      <c r="G907" t="s">
        <v>91</v>
      </c>
      <c r="H907" t="s">
        <v>350</v>
      </c>
      <c r="I907">
        <v>2016</v>
      </c>
      <c r="J907">
        <v>5.7000000000000002E-2</v>
      </c>
      <c r="K907" t="s">
        <v>101</v>
      </c>
      <c r="L907">
        <v>160</v>
      </c>
      <c r="M907">
        <v>0.314</v>
      </c>
      <c r="N907" t="s">
        <v>121</v>
      </c>
      <c r="O907" t="s">
        <v>121</v>
      </c>
      <c r="P907" t="s">
        <v>286</v>
      </c>
      <c r="Q907" s="1" t="s">
        <v>2292</v>
      </c>
      <c r="R907" s="1" t="s">
        <v>264</v>
      </c>
      <c r="S907" s="1" t="s">
        <v>264</v>
      </c>
      <c r="X907" t="s">
        <v>161</v>
      </c>
      <c r="Y907" t="s">
        <v>2272</v>
      </c>
      <c r="Z907" t="s">
        <v>2272</v>
      </c>
      <c r="AA907" t="s">
        <v>2272</v>
      </c>
      <c r="AB907" t="s">
        <v>2272</v>
      </c>
      <c r="AC907" t="s">
        <v>162</v>
      </c>
      <c r="AD907" t="s">
        <v>2272</v>
      </c>
      <c r="AF907" t="s">
        <v>49</v>
      </c>
      <c r="AG907" t="s">
        <v>49</v>
      </c>
      <c r="AI907" t="s">
        <v>49</v>
      </c>
      <c r="AM907" t="s">
        <v>368</v>
      </c>
      <c r="AN907" t="s">
        <v>165</v>
      </c>
    </row>
    <row r="908" spans="1:45" x14ac:dyDescent="0.2">
      <c r="A908" t="s">
        <v>650</v>
      </c>
      <c r="B908" t="s">
        <v>651</v>
      </c>
      <c r="C908">
        <v>2020</v>
      </c>
      <c r="D908" t="s">
        <v>44</v>
      </c>
      <c r="F908" t="s">
        <v>652</v>
      </c>
      <c r="G908" t="s">
        <v>91</v>
      </c>
      <c r="H908" t="s">
        <v>350</v>
      </c>
      <c r="I908">
        <v>2016</v>
      </c>
      <c r="J908">
        <v>5.7000000000000002E-2</v>
      </c>
      <c r="K908" t="s">
        <v>101</v>
      </c>
      <c r="L908">
        <v>160</v>
      </c>
      <c r="M908">
        <v>0.314</v>
      </c>
      <c r="N908" t="s">
        <v>121</v>
      </c>
      <c r="O908" t="s">
        <v>121</v>
      </c>
      <c r="P908" t="s">
        <v>286</v>
      </c>
      <c r="Q908" s="1" t="s">
        <v>2292</v>
      </c>
      <c r="R908" s="1" t="s">
        <v>264</v>
      </c>
      <c r="S908" s="1" t="s">
        <v>264</v>
      </c>
      <c r="X908" t="s">
        <v>267</v>
      </c>
      <c r="Y908" t="s">
        <v>2279</v>
      </c>
      <c r="Z908" t="s">
        <v>2280</v>
      </c>
      <c r="AA908" t="s">
        <v>2358</v>
      </c>
      <c r="AB908" t="s">
        <v>189</v>
      </c>
      <c r="AC908" t="s">
        <v>152</v>
      </c>
      <c r="AD908" t="s">
        <v>2278</v>
      </c>
      <c r="AG908" t="s">
        <v>49</v>
      </c>
      <c r="AI908" t="s">
        <v>49</v>
      </c>
      <c r="AM908" t="s">
        <v>442</v>
      </c>
      <c r="AN908" t="s">
        <v>109</v>
      </c>
      <c r="AO908" t="s">
        <v>161</v>
      </c>
      <c r="AP908" t="s">
        <v>51</v>
      </c>
    </row>
    <row r="909" spans="1:45" x14ac:dyDescent="0.2">
      <c r="A909" t="s">
        <v>650</v>
      </c>
      <c r="B909" t="s">
        <v>651</v>
      </c>
      <c r="C909">
        <v>2020</v>
      </c>
      <c r="D909" t="s">
        <v>44</v>
      </c>
      <c r="F909" t="s">
        <v>652</v>
      </c>
      <c r="G909" t="s">
        <v>91</v>
      </c>
      <c r="H909" t="s">
        <v>350</v>
      </c>
      <c r="I909">
        <v>2016</v>
      </c>
      <c r="J909">
        <v>5.7000000000000002E-2</v>
      </c>
      <c r="K909" t="s">
        <v>101</v>
      </c>
      <c r="L909">
        <v>160</v>
      </c>
      <c r="M909">
        <v>0.314</v>
      </c>
      <c r="N909" t="s">
        <v>121</v>
      </c>
      <c r="O909" t="s">
        <v>121</v>
      </c>
      <c r="P909" t="s">
        <v>286</v>
      </c>
      <c r="Q909" s="1" t="s">
        <v>2292</v>
      </c>
      <c r="R909" s="1" t="s">
        <v>264</v>
      </c>
      <c r="S909" s="1" t="s">
        <v>264</v>
      </c>
      <c r="X909" t="s">
        <v>527</v>
      </c>
      <c r="Y909" t="s">
        <v>2273</v>
      </c>
      <c r="Z909" t="s">
        <v>249</v>
      </c>
      <c r="AA909" t="s">
        <v>2359</v>
      </c>
      <c r="AB909" t="s">
        <v>1419</v>
      </c>
      <c r="AC909" t="s">
        <v>152</v>
      </c>
      <c r="AD909" t="s">
        <v>2288</v>
      </c>
      <c r="AG909" t="s">
        <v>49</v>
      </c>
      <c r="AI909" t="s">
        <v>49</v>
      </c>
      <c r="AM909" t="s">
        <v>442</v>
      </c>
      <c r="AN909" t="s">
        <v>109</v>
      </c>
      <c r="AO909" t="s">
        <v>161</v>
      </c>
      <c r="AP909" t="s">
        <v>51</v>
      </c>
    </row>
    <row r="910" spans="1:45" x14ac:dyDescent="0.2">
      <c r="A910" t="s">
        <v>650</v>
      </c>
      <c r="B910" t="s">
        <v>651</v>
      </c>
      <c r="C910">
        <v>2020</v>
      </c>
      <c r="D910" t="s">
        <v>44</v>
      </c>
      <c r="F910" t="s">
        <v>652</v>
      </c>
      <c r="G910" t="s">
        <v>91</v>
      </c>
      <c r="H910" t="s">
        <v>350</v>
      </c>
      <c r="I910">
        <v>2016</v>
      </c>
      <c r="J910">
        <v>5.7000000000000002E-2</v>
      </c>
      <c r="K910" t="s">
        <v>101</v>
      </c>
      <c r="L910">
        <v>160</v>
      </c>
      <c r="M910">
        <v>0.314</v>
      </c>
      <c r="N910" t="s">
        <v>121</v>
      </c>
      <c r="O910" t="s">
        <v>121</v>
      </c>
      <c r="P910" t="s">
        <v>286</v>
      </c>
      <c r="Q910" s="1" t="s">
        <v>2292</v>
      </c>
      <c r="R910" s="1" t="s">
        <v>264</v>
      </c>
      <c r="S910" s="1" t="s">
        <v>264</v>
      </c>
      <c r="X910" t="s">
        <v>305</v>
      </c>
      <c r="Y910" t="s">
        <v>2273</v>
      </c>
      <c r="Z910" t="s">
        <v>249</v>
      </c>
      <c r="AA910" t="s">
        <v>2359</v>
      </c>
      <c r="AB910" t="s">
        <v>1979</v>
      </c>
      <c r="AC910" t="s">
        <v>152</v>
      </c>
      <c r="AD910" t="s">
        <v>2288</v>
      </c>
      <c r="AG910" t="s">
        <v>49</v>
      </c>
      <c r="AI910" t="s">
        <v>49</v>
      </c>
      <c r="AM910" t="s">
        <v>442</v>
      </c>
      <c r="AN910" t="s">
        <v>109</v>
      </c>
      <c r="AO910" t="s">
        <v>161</v>
      </c>
      <c r="AP910" t="s">
        <v>51</v>
      </c>
    </row>
    <row r="911" spans="1:45" x14ac:dyDescent="0.2">
      <c r="A911" t="s">
        <v>650</v>
      </c>
      <c r="B911" t="s">
        <v>651</v>
      </c>
      <c r="C911">
        <v>2020</v>
      </c>
      <c r="D911" t="s">
        <v>44</v>
      </c>
      <c r="F911" t="s">
        <v>652</v>
      </c>
      <c r="G911" t="s">
        <v>91</v>
      </c>
      <c r="H911" t="s">
        <v>350</v>
      </c>
      <c r="I911">
        <v>2016</v>
      </c>
      <c r="J911">
        <v>5.7000000000000002E-2</v>
      </c>
      <c r="K911" t="s">
        <v>101</v>
      </c>
      <c r="L911">
        <v>160</v>
      </c>
      <c r="M911">
        <v>0.314</v>
      </c>
      <c r="N911" t="s">
        <v>121</v>
      </c>
      <c r="O911" t="s">
        <v>121</v>
      </c>
      <c r="P911" t="s">
        <v>286</v>
      </c>
      <c r="Q911" s="1" t="s">
        <v>2292</v>
      </c>
      <c r="R911" s="1" t="s">
        <v>264</v>
      </c>
      <c r="S911" s="1" t="s">
        <v>264</v>
      </c>
      <c r="X911" t="s">
        <v>304</v>
      </c>
      <c r="Y911" t="s">
        <v>2273</v>
      </c>
      <c r="Z911" t="s">
        <v>249</v>
      </c>
      <c r="AA911" t="s">
        <v>2359</v>
      </c>
      <c r="AB911" t="s">
        <v>1979</v>
      </c>
      <c r="AC911" t="s">
        <v>152</v>
      </c>
      <c r="AD911" t="s">
        <v>2288</v>
      </c>
      <c r="AG911" t="s">
        <v>49</v>
      </c>
      <c r="AI911" t="s">
        <v>49</v>
      </c>
      <c r="AM911" t="s">
        <v>442</v>
      </c>
      <c r="AN911" t="s">
        <v>109</v>
      </c>
      <c r="AO911" t="s">
        <v>161</v>
      </c>
      <c r="AP911" t="s">
        <v>49</v>
      </c>
    </row>
    <row r="912" spans="1:45" x14ac:dyDescent="0.2">
      <c r="A912" t="s">
        <v>650</v>
      </c>
      <c r="B912" t="s">
        <v>651</v>
      </c>
      <c r="C912">
        <v>2020</v>
      </c>
      <c r="D912" t="s">
        <v>44</v>
      </c>
      <c r="F912" t="s">
        <v>652</v>
      </c>
      <c r="G912" t="s">
        <v>91</v>
      </c>
      <c r="H912" t="s">
        <v>350</v>
      </c>
      <c r="I912">
        <v>2016</v>
      </c>
      <c r="J912">
        <v>5.7000000000000002E-2</v>
      </c>
      <c r="K912" t="s">
        <v>101</v>
      </c>
      <c r="L912">
        <v>160</v>
      </c>
      <c r="M912">
        <v>0.314</v>
      </c>
      <c r="N912" t="s">
        <v>121</v>
      </c>
      <c r="O912" t="s">
        <v>121</v>
      </c>
      <c r="P912" t="s">
        <v>286</v>
      </c>
      <c r="Q912" s="1" t="s">
        <v>2292</v>
      </c>
      <c r="R912" s="1" t="s">
        <v>264</v>
      </c>
      <c r="S912" s="1" t="s">
        <v>264</v>
      </c>
      <c r="X912" t="s">
        <v>267</v>
      </c>
      <c r="Y912" t="s">
        <v>2279</v>
      </c>
      <c r="Z912" t="s">
        <v>2280</v>
      </c>
      <c r="AA912" t="s">
        <v>2358</v>
      </c>
      <c r="AB912" t="s">
        <v>189</v>
      </c>
      <c r="AC912" t="s">
        <v>152</v>
      </c>
      <c r="AD912" t="s">
        <v>2278</v>
      </c>
      <c r="AF912" t="s">
        <v>49</v>
      </c>
      <c r="AI912" t="s">
        <v>49</v>
      </c>
      <c r="AM912" t="s">
        <v>201</v>
      </c>
      <c r="AN912" t="s">
        <v>166</v>
      </c>
      <c r="AP912" t="s">
        <v>49</v>
      </c>
    </row>
    <row r="913" spans="1:45" x14ac:dyDescent="0.2">
      <c r="A913" t="s">
        <v>650</v>
      </c>
      <c r="B913" t="s">
        <v>651</v>
      </c>
      <c r="C913">
        <v>2020</v>
      </c>
      <c r="D913" t="s">
        <v>44</v>
      </c>
      <c r="F913" t="s">
        <v>652</v>
      </c>
      <c r="G913" t="s">
        <v>91</v>
      </c>
      <c r="H913" t="s">
        <v>350</v>
      </c>
      <c r="I913">
        <v>2016</v>
      </c>
      <c r="J913">
        <v>5.7000000000000002E-2</v>
      </c>
      <c r="K913" t="s">
        <v>101</v>
      </c>
      <c r="L913">
        <v>160</v>
      </c>
      <c r="M913">
        <v>0.314</v>
      </c>
      <c r="N913" t="s">
        <v>121</v>
      </c>
      <c r="O913" t="s">
        <v>121</v>
      </c>
      <c r="P913" t="s">
        <v>286</v>
      </c>
      <c r="Q913" s="1" t="s">
        <v>2292</v>
      </c>
      <c r="R913" s="1" t="s">
        <v>264</v>
      </c>
      <c r="S913" s="1" t="s">
        <v>264</v>
      </c>
      <c r="X913" t="s">
        <v>527</v>
      </c>
      <c r="Y913" t="s">
        <v>2273</v>
      </c>
      <c r="Z913" t="s">
        <v>249</v>
      </c>
      <c r="AA913" t="s">
        <v>2359</v>
      </c>
      <c r="AB913" t="s">
        <v>1419</v>
      </c>
      <c r="AC913" t="s">
        <v>152</v>
      </c>
      <c r="AD913" t="s">
        <v>2288</v>
      </c>
      <c r="AF913" t="s">
        <v>49</v>
      </c>
      <c r="AI913" t="s">
        <v>49</v>
      </c>
      <c r="AM913" t="s">
        <v>201</v>
      </c>
      <c r="AN913" t="s">
        <v>166</v>
      </c>
      <c r="AP913" t="s">
        <v>51</v>
      </c>
    </row>
    <row r="914" spans="1:45" x14ac:dyDescent="0.2">
      <c r="A914" t="s">
        <v>650</v>
      </c>
      <c r="B914" t="s">
        <v>651</v>
      </c>
      <c r="C914">
        <v>2020</v>
      </c>
      <c r="D914" t="s">
        <v>44</v>
      </c>
      <c r="F914" t="s">
        <v>652</v>
      </c>
      <c r="G914" t="s">
        <v>91</v>
      </c>
      <c r="H914" t="s">
        <v>350</v>
      </c>
      <c r="I914">
        <v>2016</v>
      </c>
      <c r="J914">
        <v>5.7000000000000002E-2</v>
      </c>
      <c r="K914" t="s">
        <v>101</v>
      </c>
      <c r="L914">
        <v>160</v>
      </c>
      <c r="M914">
        <v>0.314</v>
      </c>
      <c r="N914" t="s">
        <v>121</v>
      </c>
      <c r="O914" t="s">
        <v>121</v>
      </c>
      <c r="P914" t="s">
        <v>286</v>
      </c>
      <c r="Q914" s="1" t="s">
        <v>2292</v>
      </c>
      <c r="R914" s="1" t="s">
        <v>264</v>
      </c>
      <c r="S914" s="1" t="s">
        <v>264</v>
      </c>
      <c r="X914" t="s">
        <v>305</v>
      </c>
      <c r="Y914" t="s">
        <v>2273</v>
      </c>
      <c r="Z914" t="s">
        <v>249</v>
      </c>
      <c r="AA914" t="s">
        <v>2359</v>
      </c>
      <c r="AB914" t="s">
        <v>1979</v>
      </c>
      <c r="AC914" t="s">
        <v>152</v>
      </c>
      <c r="AD914" t="s">
        <v>2288</v>
      </c>
      <c r="AF914" t="s">
        <v>49</v>
      </c>
      <c r="AI914" t="s">
        <v>49</v>
      </c>
      <c r="AM914" t="s">
        <v>201</v>
      </c>
      <c r="AN914" t="s">
        <v>166</v>
      </c>
      <c r="AP914" t="s">
        <v>49</v>
      </c>
    </row>
    <row r="915" spans="1:45" x14ac:dyDescent="0.2">
      <c r="A915" t="s">
        <v>650</v>
      </c>
      <c r="B915" t="s">
        <v>651</v>
      </c>
      <c r="C915">
        <v>2020</v>
      </c>
      <c r="D915" t="s">
        <v>44</v>
      </c>
      <c r="F915" t="s">
        <v>652</v>
      </c>
      <c r="G915" t="s">
        <v>91</v>
      </c>
      <c r="H915" t="s">
        <v>350</v>
      </c>
      <c r="I915">
        <v>2016</v>
      </c>
      <c r="J915">
        <v>5.7000000000000002E-2</v>
      </c>
      <c r="K915" t="s">
        <v>101</v>
      </c>
      <c r="L915">
        <v>160</v>
      </c>
      <c r="M915">
        <v>0.314</v>
      </c>
      <c r="N915" t="s">
        <v>121</v>
      </c>
      <c r="O915" t="s">
        <v>121</v>
      </c>
      <c r="P915" t="s">
        <v>286</v>
      </c>
      <c r="Q915" s="1" t="s">
        <v>2292</v>
      </c>
      <c r="R915" s="1" t="s">
        <v>264</v>
      </c>
      <c r="S915" s="1" t="s">
        <v>264</v>
      </c>
      <c r="X915" t="s">
        <v>304</v>
      </c>
      <c r="Y915" t="s">
        <v>2273</v>
      </c>
      <c r="Z915" t="s">
        <v>249</v>
      </c>
      <c r="AA915" t="s">
        <v>2359</v>
      </c>
      <c r="AB915" t="s">
        <v>1979</v>
      </c>
      <c r="AC915" t="s">
        <v>152</v>
      </c>
      <c r="AD915" t="s">
        <v>2288</v>
      </c>
      <c r="AF915" t="s">
        <v>49</v>
      </c>
      <c r="AI915" t="s">
        <v>49</v>
      </c>
      <c r="AM915" t="s">
        <v>201</v>
      </c>
      <c r="AN915" t="s">
        <v>166</v>
      </c>
      <c r="AP915" t="s">
        <v>51</v>
      </c>
    </row>
    <row r="916" spans="1:45" x14ac:dyDescent="0.2">
      <c r="A916" t="s">
        <v>650</v>
      </c>
      <c r="B916" t="s">
        <v>651</v>
      </c>
      <c r="C916">
        <v>2020</v>
      </c>
      <c r="D916" t="s">
        <v>44</v>
      </c>
      <c r="F916" t="s">
        <v>652</v>
      </c>
      <c r="G916" t="s">
        <v>91</v>
      </c>
      <c r="H916" t="s">
        <v>350</v>
      </c>
      <c r="I916">
        <v>2016</v>
      </c>
      <c r="J916">
        <v>5.7000000000000002E-2</v>
      </c>
      <c r="K916" t="s">
        <v>101</v>
      </c>
      <c r="L916">
        <v>160</v>
      </c>
      <c r="M916">
        <v>0.314</v>
      </c>
      <c r="N916" t="s">
        <v>121</v>
      </c>
      <c r="O916" t="s">
        <v>121</v>
      </c>
      <c r="P916" t="s">
        <v>286</v>
      </c>
      <c r="Q916" s="1" t="s">
        <v>2292</v>
      </c>
      <c r="R916" s="1" t="s">
        <v>264</v>
      </c>
      <c r="S916" s="1" t="s">
        <v>264</v>
      </c>
      <c r="X916" t="s">
        <v>267</v>
      </c>
      <c r="Y916" t="s">
        <v>2279</v>
      </c>
      <c r="Z916" t="s">
        <v>2280</v>
      </c>
      <c r="AA916" t="s">
        <v>2358</v>
      </c>
      <c r="AB916" t="s">
        <v>189</v>
      </c>
      <c r="AC916" t="s">
        <v>152</v>
      </c>
      <c r="AD916" t="s">
        <v>2278</v>
      </c>
      <c r="AG916" t="s">
        <v>49</v>
      </c>
      <c r="AI916" t="s">
        <v>49</v>
      </c>
      <c r="AM916" t="s">
        <v>442</v>
      </c>
      <c r="AN916" t="s">
        <v>166</v>
      </c>
      <c r="AP916" t="s">
        <v>51</v>
      </c>
    </row>
    <row r="917" spans="1:45" x14ac:dyDescent="0.2">
      <c r="A917" t="s">
        <v>650</v>
      </c>
      <c r="B917" t="s">
        <v>651</v>
      </c>
      <c r="C917">
        <v>2020</v>
      </c>
      <c r="D917" t="s">
        <v>44</v>
      </c>
      <c r="F917" t="s">
        <v>652</v>
      </c>
      <c r="G917" t="s">
        <v>91</v>
      </c>
      <c r="H917" t="s">
        <v>350</v>
      </c>
      <c r="I917">
        <v>2016</v>
      </c>
      <c r="J917">
        <v>5.7000000000000002E-2</v>
      </c>
      <c r="K917" t="s">
        <v>101</v>
      </c>
      <c r="L917">
        <v>160</v>
      </c>
      <c r="M917">
        <v>0.314</v>
      </c>
      <c r="N917" t="s">
        <v>121</v>
      </c>
      <c r="O917" t="s">
        <v>121</v>
      </c>
      <c r="P917" t="s">
        <v>286</v>
      </c>
      <c r="Q917" s="1" t="s">
        <v>2292</v>
      </c>
      <c r="R917" s="1" t="s">
        <v>264</v>
      </c>
      <c r="S917" s="1" t="s">
        <v>264</v>
      </c>
      <c r="X917" t="s">
        <v>527</v>
      </c>
      <c r="Y917" t="s">
        <v>2273</v>
      </c>
      <c r="Z917" t="s">
        <v>249</v>
      </c>
      <c r="AA917" t="s">
        <v>2359</v>
      </c>
      <c r="AB917" t="s">
        <v>1419</v>
      </c>
      <c r="AC917" t="s">
        <v>152</v>
      </c>
      <c r="AD917" t="s">
        <v>2288</v>
      </c>
      <c r="AG917" t="s">
        <v>49</v>
      </c>
      <c r="AI917" t="s">
        <v>49</v>
      </c>
      <c r="AM917" t="s">
        <v>442</v>
      </c>
      <c r="AN917" t="s">
        <v>166</v>
      </c>
      <c r="AP917" t="s">
        <v>51</v>
      </c>
    </row>
    <row r="918" spans="1:45" x14ac:dyDescent="0.2">
      <c r="A918" t="s">
        <v>650</v>
      </c>
      <c r="B918" t="s">
        <v>651</v>
      </c>
      <c r="C918">
        <v>2020</v>
      </c>
      <c r="D918" t="s">
        <v>44</v>
      </c>
      <c r="F918" t="s">
        <v>652</v>
      </c>
      <c r="G918" t="s">
        <v>91</v>
      </c>
      <c r="H918" t="s">
        <v>350</v>
      </c>
      <c r="I918">
        <v>2016</v>
      </c>
      <c r="J918">
        <v>5.7000000000000002E-2</v>
      </c>
      <c r="K918" t="s">
        <v>101</v>
      </c>
      <c r="L918">
        <v>160</v>
      </c>
      <c r="M918">
        <v>0.314</v>
      </c>
      <c r="N918" t="s">
        <v>121</v>
      </c>
      <c r="O918" t="s">
        <v>121</v>
      </c>
      <c r="P918" t="s">
        <v>286</v>
      </c>
      <c r="Q918" s="1" t="s">
        <v>2292</v>
      </c>
      <c r="R918" s="1" t="s">
        <v>264</v>
      </c>
      <c r="S918" s="1" t="s">
        <v>264</v>
      </c>
      <c r="X918" t="s">
        <v>305</v>
      </c>
      <c r="Y918" t="s">
        <v>2273</v>
      </c>
      <c r="Z918" t="s">
        <v>249</v>
      </c>
      <c r="AA918" t="s">
        <v>2359</v>
      </c>
      <c r="AB918" t="s">
        <v>1979</v>
      </c>
      <c r="AC918" t="s">
        <v>152</v>
      </c>
      <c r="AD918" t="s">
        <v>2288</v>
      </c>
      <c r="AG918" t="s">
        <v>49</v>
      </c>
      <c r="AI918" t="s">
        <v>49</v>
      </c>
      <c r="AM918" t="s">
        <v>442</v>
      </c>
      <c r="AN918" t="s">
        <v>166</v>
      </c>
      <c r="AP918" t="s">
        <v>51</v>
      </c>
    </row>
    <row r="919" spans="1:45" x14ac:dyDescent="0.2">
      <c r="A919" t="s">
        <v>650</v>
      </c>
      <c r="B919" t="s">
        <v>651</v>
      </c>
      <c r="C919">
        <v>2020</v>
      </c>
      <c r="D919" t="s">
        <v>44</v>
      </c>
      <c r="F919" t="s">
        <v>652</v>
      </c>
      <c r="G919" t="s">
        <v>91</v>
      </c>
      <c r="H919" t="s">
        <v>350</v>
      </c>
      <c r="I919">
        <v>2016</v>
      </c>
      <c r="J919">
        <v>5.7000000000000002E-2</v>
      </c>
      <c r="K919" t="s">
        <v>101</v>
      </c>
      <c r="L919">
        <v>160</v>
      </c>
      <c r="M919">
        <v>0.314</v>
      </c>
      <c r="N919" t="s">
        <v>121</v>
      </c>
      <c r="O919" t="s">
        <v>121</v>
      </c>
      <c r="P919" t="s">
        <v>286</v>
      </c>
      <c r="Q919" s="1" t="s">
        <v>2292</v>
      </c>
      <c r="R919" s="1" t="s">
        <v>264</v>
      </c>
      <c r="S919" s="1" t="s">
        <v>264</v>
      </c>
      <c r="X919" t="s">
        <v>304</v>
      </c>
      <c r="Y919" t="s">
        <v>2273</v>
      </c>
      <c r="Z919" t="s">
        <v>249</v>
      </c>
      <c r="AA919" t="s">
        <v>2359</v>
      </c>
      <c r="AB919" t="s">
        <v>1979</v>
      </c>
      <c r="AC919" t="s">
        <v>152</v>
      </c>
      <c r="AD919" t="s">
        <v>2288</v>
      </c>
      <c r="AG919" t="s">
        <v>49</v>
      </c>
      <c r="AI919" t="s">
        <v>49</v>
      </c>
      <c r="AM919" t="s">
        <v>442</v>
      </c>
      <c r="AN919" t="s">
        <v>166</v>
      </c>
      <c r="AP919" t="s">
        <v>51</v>
      </c>
    </row>
    <row r="920" spans="1:45" x14ac:dyDescent="0.2">
      <c r="A920" t="s">
        <v>653</v>
      </c>
      <c r="B920" t="s">
        <v>654</v>
      </c>
      <c r="C920">
        <v>2020</v>
      </c>
      <c r="D920" t="s">
        <v>44</v>
      </c>
      <c r="E920" t="s">
        <v>50</v>
      </c>
      <c r="F920" t="s">
        <v>80</v>
      </c>
      <c r="G920" t="s">
        <v>86</v>
      </c>
      <c r="H920" t="s">
        <v>350</v>
      </c>
      <c r="I920" t="s">
        <v>655</v>
      </c>
      <c r="J920">
        <v>21</v>
      </c>
      <c r="K920" t="s">
        <v>42</v>
      </c>
      <c r="L920">
        <v>0.9</v>
      </c>
      <c r="M920">
        <f>0.5*0.5</f>
        <v>0.25</v>
      </c>
      <c r="Q920" s="1" t="s">
        <v>2351</v>
      </c>
      <c r="R920" s="1" t="s">
        <v>2351</v>
      </c>
      <c r="S920" s="1" t="s">
        <v>2351</v>
      </c>
      <c r="Y920" t="s">
        <v>2272</v>
      </c>
      <c r="Z920" t="s">
        <v>2272</v>
      </c>
      <c r="AA920" t="s">
        <v>2272</v>
      </c>
      <c r="AB920" t="s">
        <v>2272</v>
      </c>
      <c r="AD920" t="s">
        <v>2272</v>
      </c>
      <c r="AR920" t="s">
        <v>144</v>
      </c>
      <c r="AS920" t="s">
        <v>2583</v>
      </c>
    </row>
    <row r="921" spans="1:45" x14ac:dyDescent="0.2">
      <c r="A921" t="s">
        <v>656</v>
      </c>
      <c r="B921" t="s">
        <v>657</v>
      </c>
      <c r="C921">
        <v>2020</v>
      </c>
      <c r="D921" t="s">
        <v>44</v>
      </c>
      <c r="F921" t="s">
        <v>357</v>
      </c>
      <c r="G921" t="s">
        <v>91</v>
      </c>
      <c r="H921" t="s">
        <v>96</v>
      </c>
      <c r="I921" t="s">
        <v>106</v>
      </c>
      <c r="J921">
        <v>1</v>
      </c>
      <c r="K921" t="s">
        <v>104</v>
      </c>
      <c r="L921">
        <v>0.05</v>
      </c>
      <c r="M921">
        <v>5.0000000000000001E-3</v>
      </c>
      <c r="N921" t="s">
        <v>466</v>
      </c>
      <c r="O921" t="s">
        <v>659</v>
      </c>
      <c r="P921" t="s">
        <v>658</v>
      </c>
      <c r="Q921" s="1" t="s">
        <v>2281</v>
      </c>
      <c r="R921" s="1" t="s">
        <v>2301</v>
      </c>
      <c r="S921" s="1" t="s">
        <v>2302</v>
      </c>
      <c r="T921" t="s">
        <v>421</v>
      </c>
      <c r="U921" t="s">
        <v>421</v>
      </c>
      <c r="V921" t="s">
        <v>194</v>
      </c>
      <c r="W921" t="s">
        <v>658</v>
      </c>
      <c r="X921" t="s">
        <v>161</v>
      </c>
      <c r="Y921" t="s">
        <v>2272</v>
      </c>
      <c r="Z921" t="s">
        <v>2272</v>
      </c>
      <c r="AA921" t="s">
        <v>2272</v>
      </c>
      <c r="AB921" t="s">
        <v>2272</v>
      </c>
      <c r="AC921" t="s">
        <v>162</v>
      </c>
      <c r="AD921" t="s">
        <v>2272</v>
      </c>
      <c r="AG921" t="s">
        <v>49</v>
      </c>
      <c r="AI921" t="s">
        <v>49</v>
      </c>
      <c r="AM921" t="s">
        <v>202</v>
      </c>
      <c r="AN921" t="s">
        <v>165</v>
      </c>
      <c r="AP921" t="s">
        <v>49</v>
      </c>
    </row>
    <row r="922" spans="1:45" x14ac:dyDescent="0.2">
      <c r="A922" t="s">
        <v>656</v>
      </c>
      <c r="B922" t="s">
        <v>657</v>
      </c>
      <c r="C922">
        <v>2020</v>
      </c>
      <c r="D922" t="s">
        <v>44</v>
      </c>
      <c r="F922" t="s">
        <v>357</v>
      </c>
      <c r="G922" t="s">
        <v>91</v>
      </c>
      <c r="H922" t="s">
        <v>96</v>
      </c>
      <c r="I922" t="s">
        <v>106</v>
      </c>
      <c r="J922">
        <v>1</v>
      </c>
      <c r="K922" t="s">
        <v>104</v>
      </c>
      <c r="L922">
        <v>0.05</v>
      </c>
      <c r="M922">
        <v>5.0000000000000001E-3</v>
      </c>
      <c r="N922" t="s">
        <v>466</v>
      </c>
      <c r="O922" t="s">
        <v>659</v>
      </c>
      <c r="P922" t="s">
        <v>658</v>
      </c>
      <c r="Q922" s="1" t="s">
        <v>2281</v>
      </c>
      <c r="R922" s="1" t="s">
        <v>2301</v>
      </c>
      <c r="S922" s="1" t="s">
        <v>2302</v>
      </c>
      <c r="T922" t="s">
        <v>421</v>
      </c>
      <c r="U922" t="s">
        <v>421</v>
      </c>
      <c r="V922" t="s">
        <v>194</v>
      </c>
      <c r="W922" t="s">
        <v>658</v>
      </c>
      <c r="X922" t="s">
        <v>161</v>
      </c>
      <c r="Y922" t="s">
        <v>2272</v>
      </c>
      <c r="Z922" t="s">
        <v>2272</v>
      </c>
      <c r="AA922" t="s">
        <v>2272</v>
      </c>
      <c r="AB922" t="s">
        <v>2272</v>
      </c>
      <c r="AC922" t="s">
        <v>162</v>
      </c>
      <c r="AD922" t="s">
        <v>2272</v>
      </c>
      <c r="AG922" t="s">
        <v>49</v>
      </c>
      <c r="AI922" t="s">
        <v>49</v>
      </c>
      <c r="AM922" t="s">
        <v>202</v>
      </c>
      <c r="AN922" t="s">
        <v>166</v>
      </c>
      <c r="AQ922" s="5">
        <v>1</v>
      </c>
    </row>
    <row r="923" spans="1:45" x14ac:dyDescent="0.2">
      <c r="A923" t="s">
        <v>656</v>
      </c>
      <c r="B923" t="s">
        <v>657</v>
      </c>
      <c r="C923">
        <v>2020</v>
      </c>
      <c r="D923" t="s">
        <v>44</v>
      </c>
      <c r="F923" t="s">
        <v>357</v>
      </c>
      <c r="G923" t="s">
        <v>91</v>
      </c>
      <c r="H923" t="s">
        <v>96</v>
      </c>
      <c r="I923" t="s">
        <v>106</v>
      </c>
      <c r="J923">
        <v>1</v>
      </c>
      <c r="K923" t="s">
        <v>104</v>
      </c>
      <c r="L923">
        <v>0.05</v>
      </c>
      <c r="M923">
        <v>5.0000000000000001E-3</v>
      </c>
      <c r="N923" t="s">
        <v>466</v>
      </c>
      <c r="O923" t="s">
        <v>659</v>
      </c>
      <c r="P923" t="s">
        <v>658</v>
      </c>
      <c r="Q923" s="1" t="s">
        <v>2281</v>
      </c>
      <c r="R923" s="1" t="s">
        <v>2301</v>
      </c>
      <c r="S923" s="1" t="s">
        <v>2302</v>
      </c>
      <c r="T923" t="s">
        <v>421</v>
      </c>
      <c r="U923" t="s">
        <v>421</v>
      </c>
      <c r="V923" t="s">
        <v>194</v>
      </c>
      <c r="W923" t="s">
        <v>658</v>
      </c>
      <c r="X923" t="s">
        <v>161</v>
      </c>
      <c r="Y923" t="s">
        <v>2272</v>
      </c>
      <c r="Z923" t="s">
        <v>2272</v>
      </c>
      <c r="AA923" t="s">
        <v>2272</v>
      </c>
      <c r="AB923" t="s">
        <v>2272</v>
      </c>
      <c r="AC923" t="s">
        <v>162</v>
      </c>
      <c r="AD923" t="s">
        <v>2272</v>
      </c>
      <c r="AG923" t="s">
        <v>49</v>
      </c>
      <c r="AI923" t="s">
        <v>49</v>
      </c>
      <c r="AM923" t="s">
        <v>202</v>
      </c>
      <c r="AN923" t="s">
        <v>154</v>
      </c>
      <c r="AQ923" s="5">
        <v>1</v>
      </c>
    </row>
    <row r="924" spans="1:45" x14ac:dyDescent="0.2">
      <c r="A924" t="s">
        <v>660</v>
      </c>
      <c r="B924" t="s">
        <v>661</v>
      </c>
      <c r="C924">
        <v>2020</v>
      </c>
      <c r="D924" t="s">
        <v>44</v>
      </c>
      <c r="F924" t="s">
        <v>628</v>
      </c>
      <c r="G924" t="s">
        <v>86</v>
      </c>
      <c r="H924" t="s">
        <v>96</v>
      </c>
      <c r="I924">
        <v>2007</v>
      </c>
      <c r="J924">
        <v>0.17</v>
      </c>
      <c r="K924" t="s">
        <v>101</v>
      </c>
      <c r="L924">
        <v>10</v>
      </c>
      <c r="M924">
        <f t="shared" ref="M924:M932" si="22">0.25*0.25</f>
        <v>6.25E-2</v>
      </c>
      <c r="N924" t="s">
        <v>123</v>
      </c>
      <c r="O924" t="s">
        <v>662</v>
      </c>
      <c r="P924" t="s">
        <v>518</v>
      </c>
      <c r="Q924" s="1" t="s">
        <v>2281</v>
      </c>
      <c r="R924" s="1" t="s">
        <v>2282</v>
      </c>
      <c r="S924" s="1" t="s">
        <v>123</v>
      </c>
      <c r="T924" t="s">
        <v>421</v>
      </c>
      <c r="U924" t="s">
        <v>421</v>
      </c>
      <c r="X924" t="s">
        <v>161</v>
      </c>
      <c r="Y924" t="s">
        <v>2272</v>
      </c>
      <c r="Z924" t="s">
        <v>2272</v>
      </c>
      <c r="AA924" t="s">
        <v>2272</v>
      </c>
      <c r="AB924" t="s">
        <v>2272</v>
      </c>
      <c r="AC924" t="s">
        <v>162</v>
      </c>
      <c r="AD924" t="s">
        <v>2272</v>
      </c>
      <c r="AG924" t="s">
        <v>49</v>
      </c>
      <c r="AI924" t="s">
        <v>49</v>
      </c>
      <c r="AM924" t="s">
        <v>202</v>
      </c>
      <c r="AN924" t="s">
        <v>154</v>
      </c>
      <c r="AQ924" s="5">
        <v>1</v>
      </c>
    </row>
    <row r="925" spans="1:45" x14ac:dyDescent="0.2">
      <c r="A925" t="s">
        <v>660</v>
      </c>
      <c r="B925" t="s">
        <v>661</v>
      </c>
      <c r="C925">
        <v>2020</v>
      </c>
      <c r="D925" t="s">
        <v>44</v>
      </c>
      <c r="F925" t="s">
        <v>628</v>
      </c>
      <c r="G925" t="s">
        <v>86</v>
      </c>
      <c r="H925" t="s">
        <v>96</v>
      </c>
      <c r="I925">
        <v>2007</v>
      </c>
      <c r="J925">
        <v>0.17</v>
      </c>
      <c r="K925" t="s">
        <v>101</v>
      </c>
      <c r="L925">
        <v>10</v>
      </c>
      <c r="M925">
        <f t="shared" si="22"/>
        <v>6.25E-2</v>
      </c>
      <c r="N925" t="s">
        <v>123</v>
      </c>
      <c r="O925" t="s">
        <v>662</v>
      </c>
      <c r="P925" t="s">
        <v>518</v>
      </c>
      <c r="Q925" s="1" t="s">
        <v>2281</v>
      </c>
      <c r="R925" s="1" t="s">
        <v>2282</v>
      </c>
      <c r="S925" s="1" t="s">
        <v>123</v>
      </c>
      <c r="T925" t="s">
        <v>421</v>
      </c>
      <c r="U925" t="s">
        <v>421</v>
      </c>
      <c r="X925" t="s">
        <v>161</v>
      </c>
      <c r="Y925" t="s">
        <v>2272</v>
      </c>
      <c r="Z925" t="s">
        <v>2272</v>
      </c>
      <c r="AA925" t="s">
        <v>2272</v>
      </c>
      <c r="AB925" t="s">
        <v>2272</v>
      </c>
      <c r="AC925" t="s">
        <v>162</v>
      </c>
      <c r="AD925" t="s">
        <v>2272</v>
      </c>
      <c r="AG925" t="s">
        <v>49</v>
      </c>
      <c r="AI925" t="s">
        <v>49</v>
      </c>
      <c r="AM925" t="s">
        <v>202</v>
      </c>
      <c r="AN925" t="s">
        <v>166</v>
      </c>
      <c r="AQ925" s="5">
        <v>1</v>
      </c>
    </row>
    <row r="926" spans="1:45" x14ac:dyDescent="0.2">
      <c r="A926" t="s">
        <v>660</v>
      </c>
      <c r="B926" t="s">
        <v>661</v>
      </c>
      <c r="C926">
        <v>2020</v>
      </c>
      <c r="D926" t="s">
        <v>44</v>
      </c>
      <c r="F926" t="s">
        <v>628</v>
      </c>
      <c r="G926" t="s">
        <v>86</v>
      </c>
      <c r="H926" t="s">
        <v>96</v>
      </c>
      <c r="I926">
        <v>2007</v>
      </c>
      <c r="J926">
        <v>0.17</v>
      </c>
      <c r="K926" t="s">
        <v>101</v>
      </c>
      <c r="L926">
        <v>10</v>
      </c>
      <c r="M926">
        <f t="shared" si="22"/>
        <v>6.25E-2</v>
      </c>
      <c r="N926" t="s">
        <v>123</v>
      </c>
      <c r="O926" t="s">
        <v>662</v>
      </c>
      <c r="P926" t="s">
        <v>518</v>
      </c>
      <c r="Q926" s="1" t="s">
        <v>2281</v>
      </c>
      <c r="R926" s="1" t="s">
        <v>2282</v>
      </c>
      <c r="S926" s="1" t="s">
        <v>123</v>
      </c>
      <c r="T926" t="s">
        <v>421</v>
      </c>
      <c r="U926" t="s">
        <v>421</v>
      </c>
      <c r="X926" t="s">
        <v>161</v>
      </c>
      <c r="Y926" t="s">
        <v>2272</v>
      </c>
      <c r="Z926" t="s">
        <v>2272</v>
      </c>
      <c r="AA926" t="s">
        <v>2272</v>
      </c>
      <c r="AB926" t="s">
        <v>2272</v>
      </c>
      <c r="AC926" t="s">
        <v>162</v>
      </c>
      <c r="AD926" t="s">
        <v>2272</v>
      </c>
      <c r="AG926" t="s">
        <v>49</v>
      </c>
      <c r="AK926" t="s">
        <v>49</v>
      </c>
      <c r="AM926" t="s">
        <v>663</v>
      </c>
      <c r="AN926" t="s">
        <v>166</v>
      </c>
      <c r="AQ926" s="5">
        <v>1</v>
      </c>
    </row>
    <row r="927" spans="1:45" x14ac:dyDescent="0.2">
      <c r="A927" t="s">
        <v>660</v>
      </c>
      <c r="B927" t="s">
        <v>661</v>
      </c>
      <c r="C927">
        <v>2020</v>
      </c>
      <c r="D927" t="s">
        <v>44</v>
      </c>
      <c r="F927" t="s">
        <v>628</v>
      </c>
      <c r="G927" t="s">
        <v>86</v>
      </c>
      <c r="H927" t="s">
        <v>96</v>
      </c>
      <c r="I927">
        <v>2007</v>
      </c>
      <c r="J927">
        <v>0.17</v>
      </c>
      <c r="K927" t="s">
        <v>101</v>
      </c>
      <c r="L927">
        <v>10</v>
      </c>
      <c r="M927">
        <f t="shared" si="22"/>
        <v>6.25E-2</v>
      </c>
      <c r="N927" t="s">
        <v>123</v>
      </c>
      <c r="O927" t="s">
        <v>662</v>
      </c>
      <c r="P927" t="s">
        <v>518</v>
      </c>
      <c r="Q927" s="1" t="s">
        <v>2281</v>
      </c>
      <c r="R927" s="1" t="s">
        <v>2282</v>
      </c>
      <c r="S927" s="1" t="s">
        <v>123</v>
      </c>
      <c r="T927" t="s">
        <v>421</v>
      </c>
      <c r="U927" t="s">
        <v>421</v>
      </c>
      <c r="X927" t="s">
        <v>161</v>
      </c>
      <c r="Y927" t="s">
        <v>2272</v>
      </c>
      <c r="Z927" t="s">
        <v>2272</v>
      </c>
      <c r="AA927" t="s">
        <v>2272</v>
      </c>
      <c r="AB927" t="s">
        <v>2272</v>
      </c>
      <c r="AC927" t="s">
        <v>162</v>
      </c>
      <c r="AD927" t="s">
        <v>2272</v>
      </c>
      <c r="AG927" t="s">
        <v>49</v>
      </c>
      <c r="AK927" t="s">
        <v>49</v>
      </c>
      <c r="AM927" t="s">
        <v>664</v>
      </c>
      <c r="AN927" t="s">
        <v>166</v>
      </c>
      <c r="AQ927" s="5">
        <v>1</v>
      </c>
    </row>
    <row r="928" spans="1:45" x14ac:dyDescent="0.2">
      <c r="A928" t="s">
        <v>660</v>
      </c>
      <c r="B928" t="s">
        <v>661</v>
      </c>
      <c r="C928">
        <v>2020</v>
      </c>
      <c r="D928" t="s">
        <v>44</v>
      </c>
      <c r="F928" t="s">
        <v>628</v>
      </c>
      <c r="G928" t="s">
        <v>86</v>
      </c>
      <c r="H928" t="s">
        <v>96</v>
      </c>
      <c r="I928">
        <v>2007</v>
      </c>
      <c r="J928">
        <v>0.17</v>
      </c>
      <c r="K928" t="s">
        <v>101</v>
      </c>
      <c r="L928">
        <v>10</v>
      </c>
      <c r="M928">
        <f t="shared" si="22"/>
        <v>6.25E-2</v>
      </c>
      <c r="N928" t="s">
        <v>123</v>
      </c>
      <c r="O928" t="s">
        <v>662</v>
      </c>
      <c r="P928" t="s">
        <v>518</v>
      </c>
      <c r="Q928" s="1" t="s">
        <v>2281</v>
      </c>
      <c r="R928" s="1" t="s">
        <v>2282</v>
      </c>
      <c r="S928" s="1" t="s">
        <v>123</v>
      </c>
      <c r="T928" t="s">
        <v>421</v>
      </c>
      <c r="U928" t="s">
        <v>421</v>
      </c>
      <c r="X928" t="s">
        <v>161</v>
      </c>
      <c r="Y928" t="s">
        <v>2272</v>
      </c>
      <c r="Z928" t="s">
        <v>2272</v>
      </c>
      <c r="AA928" t="s">
        <v>2272</v>
      </c>
      <c r="AB928" t="s">
        <v>2272</v>
      </c>
      <c r="AC928" t="s">
        <v>162</v>
      </c>
      <c r="AD928" t="s">
        <v>2272</v>
      </c>
      <c r="AG928" t="s">
        <v>49</v>
      </c>
      <c r="AL928" t="s">
        <v>49</v>
      </c>
      <c r="AM928" t="s">
        <v>2319</v>
      </c>
      <c r="AN928" t="s">
        <v>166</v>
      </c>
      <c r="AQ928" s="5">
        <v>1</v>
      </c>
    </row>
    <row r="929" spans="1:43" x14ac:dyDescent="0.2">
      <c r="A929" t="s">
        <v>660</v>
      </c>
      <c r="B929" t="s">
        <v>661</v>
      </c>
      <c r="C929">
        <v>2020</v>
      </c>
      <c r="D929" t="s">
        <v>44</v>
      </c>
      <c r="F929" t="s">
        <v>628</v>
      </c>
      <c r="G929" t="s">
        <v>86</v>
      </c>
      <c r="H929" t="s">
        <v>96</v>
      </c>
      <c r="I929">
        <v>2007</v>
      </c>
      <c r="J929">
        <v>0.17</v>
      </c>
      <c r="K929" t="s">
        <v>101</v>
      </c>
      <c r="L929">
        <v>10</v>
      </c>
      <c r="M929">
        <f t="shared" si="22"/>
        <v>6.25E-2</v>
      </c>
      <c r="N929" t="s">
        <v>123</v>
      </c>
      <c r="O929" t="s">
        <v>662</v>
      </c>
      <c r="P929" t="s">
        <v>518</v>
      </c>
      <c r="Q929" s="1" t="s">
        <v>2281</v>
      </c>
      <c r="R929" s="1" t="s">
        <v>2282</v>
      </c>
      <c r="S929" s="1" t="s">
        <v>123</v>
      </c>
      <c r="T929" t="s">
        <v>421</v>
      </c>
      <c r="U929" t="s">
        <v>421</v>
      </c>
      <c r="X929" t="s">
        <v>161</v>
      </c>
      <c r="Y929" t="s">
        <v>2272</v>
      </c>
      <c r="Z929" t="s">
        <v>2272</v>
      </c>
      <c r="AA929" t="s">
        <v>2272</v>
      </c>
      <c r="AB929" t="s">
        <v>2272</v>
      </c>
      <c r="AC929" t="s">
        <v>162</v>
      </c>
      <c r="AD929" t="s">
        <v>2272</v>
      </c>
      <c r="AG929" t="s">
        <v>49</v>
      </c>
      <c r="AL929" t="s">
        <v>49</v>
      </c>
      <c r="AM929" t="s">
        <v>2222</v>
      </c>
      <c r="AN929" t="s">
        <v>166</v>
      </c>
      <c r="AQ929" s="5">
        <v>1</v>
      </c>
    </row>
    <row r="930" spans="1:43" x14ac:dyDescent="0.2">
      <c r="A930" t="s">
        <v>660</v>
      </c>
      <c r="B930" t="s">
        <v>661</v>
      </c>
      <c r="C930">
        <v>2020</v>
      </c>
      <c r="D930" t="s">
        <v>44</v>
      </c>
      <c r="F930" t="s">
        <v>628</v>
      </c>
      <c r="G930" t="s">
        <v>86</v>
      </c>
      <c r="H930" t="s">
        <v>96</v>
      </c>
      <c r="I930">
        <v>2007</v>
      </c>
      <c r="J930">
        <v>0.17</v>
      </c>
      <c r="K930" t="s">
        <v>101</v>
      </c>
      <c r="L930">
        <v>10</v>
      </c>
      <c r="M930">
        <f t="shared" si="22"/>
        <v>6.25E-2</v>
      </c>
      <c r="N930" t="s">
        <v>123</v>
      </c>
      <c r="O930" t="s">
        <v>662</v>
      </c>
      <c r="P930" t="s">
        <v>518</v>
      </c>
      <c r="Q930" s="1" t="s">
        <v>2281</v>
      </c>
      <c r="R930" s="1" t="s">
        <v>2282</v>
      </c>
      <c r="S930" s="1" t="s">
        <v>123</v>
      </c>
      <c r="T930" t="s">
        <v>421</v>
      </c>
      <c r="U930" t="s">
        <v>421</v>
      </c>
      <c r="X930" t="s">
        <v>161</v>
      </c>
      <c r="Y930" t="s">
        <v>2272</v>
      </c>
      <c r="Z930" t="s">
        <v>2272</v>
      </c>
      <c r="AA930" t="s">
        <v>2272</v>
      </c>
      <c r="AB930" t="s">
        <v>2272</v>
      </c>
      <c r="AC930" t="s">
        <v>162</v>
      </c>
      <c r="AD930" t="s">
        <v>2272</v>
      </c>
      <c r="AG930" t="s">
        <v>49</v>
      </c>
      <c r="AL930" t="s">
        <v>49</v>
      </c>
      <c r="AM930" t="s">
        <v>2320</v>
      </c>
      <c r="AN930" t="s">
        <v>166</v>
      </c>
      <c r="AQ930" s="5">
        <v>0</v>
      </c>
    </row>
    <row r="931" spans="1:43" x14ac:dyDescent="0.2">
      <c r="A931" t="s">
        <v>660</v>
      </c>
      <c r="B931" t="s">
        <v>661</v>
      </c>
      <c r="C931">
        <v>2020</v>
      </c>
      <c r="D931" t="s">
        <v>44</v>
      </c>
      <c r="F931" t="s">
        <v>628</v>
      </c>
      <c r="G931" t="s">
        <v>86</v>
      </c>
      <c r="H931" t="s">
        <v>96</v>
      </c>
      <c r="I931">
        <v>2007</v>
      </c>
      <c r="J931">
        <v>0.17</v>
      </c>
      <c r="K931" t="s">
        <v>101</v>
      </c>
      <c r="L931">
        <v>10</v>
      </c>
      <c r="M931">
        <f t="shared" si="22"/>
        <v>6.25E-2</v>
      </c>
      <c r="N931" t="s">
        <v>123</v>
      </c>
      <c r="O931" t="s">
        <v>662</v>
      </c>
      <c r="P931" t="s">
        <v>518</v>
      </c>
      <c r="Q931" s="1" t="s">
        <v>2281</v>
      </c>
      <c r="R931" s="1" t="s">
        <v>2282</v>
      </c>
      <c r="S931" s="1" t="s">
        <v>123</v>
      </c>
      <c r="T931" t="s">
        <v>421</v>
      </c>
      <c r="U931" t="s">
        <v>421</v>
      </c>
      <c r="X931" t="s">
        <v>161</v>
      </c>
      <c r="Y931" t="s">
        <v>2272</v>
      </c>
      <c r="Z931" t="s">
        <v>2272</v>
      </c>
      <c r="AA931" t="s">
        <v>2272</v>
      </c>
      <c r="AB931" t="s">
        <v>2272</v>
      </c>
      <c r="AC931" t="s">
        <v>162</v>
      </c>
      <c r="AD931" t="s">
        <v>2272</v>
      </c>
      <c r="AG931" t="s">
        <v>49</v>
      </c>
      <c r="AL931" t="s">
        <v>49</v>
      </c>
      <c r="AM931" t="s">
        <v>2321</v>
      </c>
      <c r="AN931" t="s">
        <v>166</v>
      </c>
      <c r="AQ931" s="5">
        <v>1</v>
      </c>
    </row>
    <row r="932" spans="1:43" x14ac:dyDescent="0.2">
      <c r="A932" t="s">
        <v>660</v>
      </c>
      <c r="B932" t="s">
        <v>661</v>
      </c>
      <c r="C932">
        <v>2020</v>
      </c>
      <c r="D932" t="s">
        <v>44</v>
      </c>
      <c r="F932" t="s">
        <v>628</v>
      </c>
      <c r="G932" t="s">
        <v>86</v>
      </c>
      <c r="H932" t="s">
        <v>96</v>
      </c>
      <c r="I932">
        <v>2007</v>
      </c>
      <c r="J932">
        <v>0.17</v>
      </c>
      <c r="K932" t="s">
        <v>101</v>
      </c>
      <c r="L932">
        <v>10</v>
      </c>
      <c r="M932">
        <f t="shared" si="22"/>
        <v>6.25E-2</v>
      </c>
      <c r="N932" t="s">
        <v>123</v>
      </c>
      <c r="O932" t="s">
        <v>662</v>
      </c>
      <c r="P932" t="s">
        <v>518</v>
      </c>
      <c r="Q932" s="1" t="s">
        <v>2281</v>
      </c>
      <c r="R932" s="1" t="s">
        <v>2282</v>
      </c>
      <c r="S932" s="1" t="s">
        <v>123</v>
      </c>
      <c r="T932" t="s">
        <v>421</v>
      </c>
      <c r="U932" t="s">
        <v>421</v>
      </c>
      <c r="X932" t="s">
        <v>161</v>
      </c>
      <c r="Y932" t="s">
        <v>2272</v>
      </c>
      <c r="Z932" t="s">
        <v>2272</v>
      </c>
      <c r="AA932" t="s">
        <v>2272</v>
      </c>
      <c r="AB932" t="s">
        <v>2272</v>
      </c>
      <c r="AC932" t="s">
        <v>162</v>
      </c>
      <c r="AD932" t="s">
        <v>2272</v>
      </c>
      <c r="AG932" t="s">
        <v>49</v>
      </c>
      <c r="AI932" t="s">
        <v>49</v>
      </c>
      <c r="AM932" t="s">
        <v>202</v>
      </c>
      <c r="AN932" t="s">
        <v>165</v>
      </c>
      <c r="AP932" t="s">
        <v>49</v>
      </c>
    </row>
    <row r="933" spans="1:43" x14ac:dyDescent="0.2">
      <c r="A933" t="s">
        <v>665</v>
      </c>
      <c r="B933" t="s">
        <v>666</v>
      </c>
      <c r="C933">
        <v>2020</v>
      </c>
      <c r="D933" t="s">
        <v>44</v>
      </c>
      <c r="E933" t="s">
        <v>49</v>
      </c>
      <c r="F933" t="s">
        <v>957</v>
      </c>
      <c r="G933" t="s">
        <v>85</v>
      </c>
      <c r="H933" t="s">
        <v>96</v>
      </c>
      <c r="I933">
        <v>2012</v>
      </c>
      <c r="J933">
        <v>0.3</v>
      </c>
      <c r="K933" t="s">
        <v>101</v>
      </c>
      <c r="L933">
        <v>2200</v>
      </c>
      <c r="M933">
        <v>0</v>
      </c>
      <c r="N933" t="s">
        <v>127</v>
      </c>
      <c r="O933" t="s">
        <v>669</v>
      </c>
      <c r="P933" t="s">
        <v>667</v>
      </c>
      <c r="Q933" s="1" t="s">
        <v>2276</v>
      </c>
      <c r="R933" s="1" t="s">
        <v>669</v>
      </c>
      <c r="S933" s="1" t="s">
        <v>168</v>
      </c>
      <c r="X933" t="s">
        <v>502</v>
      </c>
      <c r="Y933" t="s">
        <v>2279</v>
      </c>
      <c r="Z933" t="s">
        <v>2280</v>
      </c>
      <c r="AA933" t="s">
        <v>2358</v>
      </c>
      <c r="AB933" t="s">
        <v>2459</v>
      </c>
      <c r="AC933" t="s">
        <v>152</v>
      </c>
      <c r="AD933" t="s">
        <v>2278</v>
      </c>
      <c r="AE933" t="s">
        <v>676</v>
      </c>
      <c r="AF933" t="s">
        <v>49</v>
      </c>
      <c r="AG933" t="s">
        <v>49</v>
      </c>
      <c r="AI933" t="s">
        <v>49</v>
      </c>
      <c r="AM933" t="s">
        <v>202</v>
      </c>
      <c r="AN933" t="s">
        <v>165</v>
      </c>
    </row>
    <row r="934" spans="1:43" x14ac:dyDescent="0.2">
      <c r="A934" t="s">
        <v>665</v>
      </c>
      <c r="B934" t="s">
        <v>666</v>
      </c>
      <c r="C934">
        <v>2020</v>
      </c>
      <c r="D934" t="s">
        <v>44</v>
      </c>
      <c r="E934" t="s">
        <v>49</v>
      </c>
      <c r="F934" t="s">
        <v>957</v>
      </c>
      <c r="G934" t="s">
        <v>85</v>
      </c>
      <c r="H934" t="s">
        <v>96</v>
      </c>
      <c r="I934">
        <v>2012</v>
      </c>
      <c r="J934">
        <v>0.3</v>
      </c>
      <c r="K934" t="s">
        <v>101</v>
      </c>
      <c r="L934">
        <v>2200</v>
      </c>
      <c r="M934">
        <v>0</v>
      </c>
      <c r="N934" t="s">
        <v>127</v>
      </c>
      <c r="O934" t="s">
        <v>670</v>
      </c>
      <c r="P934" t="s">
        <v>671</v>
      </c>
      <c r="Q934" s="1" t="s">
        <v>2276</v>
      </c>
      <c r="R934" s="1" t="s">
        <v>751</v>
      </c>
      <c r="S934" s="1" t="s">
        <v>2345</v>
      </c>
      <c r="X934" t="s">
        <v>502</v>
      </c>
      <c r="Y934" t="s">
        <v>2279</v>
      </c>
      <c r="Z934" t="s">
        <v>2280</v>
      </c>
      <c r="AA934" t="s">
        <v>2358</v>
      </c>
      <c r="AB934" t="s">
        <v>2459</v>
      </c>
      <c r="AC934" t="s">
        <v>152</v>
      </c>
      <c r="AD934" t="s">
        <v>2278</v>
      </c>
      <c r="AE934" t="s">
        <v>674</v>
      </c>
      <c r="AF934" t="s">
        <v>49</v>
      </c>
      <c r="AG934" t="s">
        <v>49</v>
      </c>
      <c r="AI934" t="s">
        <v>49</v>
      </c>
      <c r="AM934" t="s">
        <v>202</v>
      </c>
      <c r="AN934" t="s">
        <v>165</v>
      </c>
    </row>
    <row r="935" spans="1:43" x14ac:dyDescent="0.2">
      <c r="A935" t="s">
        <v>665</v>
      </c>
      <c r="B935" t="s">
        <v>666</v>
      </c>
      <c r="C935">
        <v>2020</v>
      </c>
      <c r="D935" t="s">
        <v>44</v>
      </c>
      <c r="E935" t="s">
        <v>49</v>
      </c>
      <c r="F935" t="s">
        <v>957</v>
      </c>
      <c r="G935" t="s">
        <v>85</v>
      </c>
      <c r="H935" t="s">
        <v>96</v>
      </c>
      <c r="I935">
        <v>2012</v>
      </c>
      <c r="J935">
        <v>0.3</v>
      </c>
      <c r="K935" t="s">
        <v>101</v>
      </c>
      <c r="L935">
        <v>470</v>
      </c>
      <c r="M935">
        <v>0</v>
      </c>
      <c r="N935" t="s">
        <v>127</v>
      </c>
      <c r="O935" t="s">
        <v>669</v>
      </c>
      <c r="P935" t="s">
        <v>672</v>
      </c>
      <c r="Q935" s="1" t="s">
        <v>2276</v>
      </c>
      <c r="R935" s="1" t="s">
        <v>669</v>
      </c>
      <c r="S935" s="1" t="s">
        <v>168</v>
      </c>
      <c r="X935" t="s">
        <v>502</v>
      </c>
      <c r="Y935" t="s">
        <v>2279</v>
      </c>
      <c r="Z935" t="s">
        <v>2280</v>
      </c>
      <c r="AA935" t="s">
        <v>2358</v>
      </c>
      <c r="AB935" t="s">
        <v>2459</v>
      </c>
      <c r="AC935" t="s">
        <v>152</v>
      </c>
      <c r="AD935" t="s">
        <v>2278</v>
      </c>
      <c r="AE935" t="s">
        <v>2316</v>
      </c>
      <c r="AF935" t="s">
        <v>49</v>
      </c>
      <c r="AG935" t="s">
        <v>49</v>
      </c>
      <c r="AI935" t="s">
        <v>49</v>
      </c>
      <c r="AM935" t="s">
        <v>202</v>
      </c>
      <c r="AN935" t="s">
        <v>165</v>
      </c>
    </row>
    <row r="936" spans="1:43" x14ac:dyDescent="0.2">
      <c r="A936" t="s">
        <v>665</v>
      </c>
      <c r="B936" t="s">
        <v>666</v>
      </c>
      <c r="C936">
        <v>2020</v>
      </c>
      <c r="D936" t="s">
        <v>44</v>
      </c>
      <c r="E936" t="s">
        <v>49</v>
      </c>
      <c r="F936" t="s">
        <v>957</v>
      </c>
      <c r="G936" t="s">
        <v>85</v>
      </c>
      <c r="H936" t="s">
        <v>96</v>
      </c>
      <c r="I936">
        <v>2012</v>
      </c>
      <c r="J936">
        <v>0.3</v>
      </c>
      <c r="K936" t="s">
        <v>101</v>
      </c>
      <c r="L936">
        <v>1000</v>
      </c>
      <c r="M936">
        <v>0</v>
      </c>
      <c r="N936" t="s">
        <v>127</v>
      </c>
      <c r="O936" t="s">
        <v>669</v>
      </c>
      <c r="P936" t="s">
        <v>668</v>
      </c>
      <c r="Q936" s="1" t="s">
        <v>2276</v>
      </c>
      <c r="R936" s="1" t="s">
        <v>669</v>
      </c>
      <c r="S936" s="1" t="s">
        <v>168</v>
      </c>
      <c r="X936" t="s">
        <v>502</v>
      </c>
      <c r="Y936" t="s">
        <v>2279</v>
      </c>
      <c r="Z936" t="s">
        <v>2280</v>
      </c>
      <c r="AA936" t="s">
        <v>2358</v>
      </c>
      <c r="AB936" t="s">
        <v>2459</v>
      </c>
      <c r="AC936" t="s">
        <v>152</v>
      </c>
      <c r="AD936" t="s">
        <v>2278</v>
      </c>
      <c r="AE936" t="s">
        <v>2316</v>
      </c>
      <c r="AF936" t="s">
        <v>49</v>
      </c>
      <c r="AG936" t="s">
        <v>49</v>
      </c>
      <c r="AI936" t="s">
        <v>49</v>
      </c>
      <c r="AM936" t="s">
        <v>202</v>
      </c>
      <c r="AN936" t="s">
        <v>165</v>
      </c>
    </row>
    <row r="937" spans="1:43" x14ac:dyDescent="0.2">
      <c r="A937" t="s">
        <v>665</v>
      </c>
      <c r="B937" t="s">
        <v>666</v>
      </c>
      <c r="C937">
        <v>2020</v>
      </c>
      <c r="D937" t="s">
        <v>44</v>
      </c>
      <c r="E937" t="s">
        <v>49</v>
      </c>
      <c r="F937" t="s">
        <v>957</v>
      </c>
      <c r="G937" t="s">
        <v>85</v>
      </c>
      <c r="H937" t="s">
        <v>96</v>
      </c>
      <c r="I937">
        <v>2012</v>
      </c>
      <c r="J937">
        <v>0.3</v>
      </c>
      <c r="K937" t="s">
        <v>101</v>
      </c>
      <c r="L937">
        <v>2200</v>
      </c>
      <c r="M937">
        <f>0.25*0.25</f>
        <v>6.25E-2</v>
      </c>
      <c r="N937" t="s">
        <v>127</v>
      </c>
      <c r="O937" t="s">
        <v>669</v>
      </c>
      <c r="P937" t="s">
        <v>667</v>
      </c>
      <c r="Q937" s="1" t="s">
        <v>2276</v>
      </c>
      <c r="R937" s="1" t="s">
        <v>669</v>
      </c>
      <c r="S937" s="1" t="s">
        <v>168</v>
      </c>
      <c r="X937" t="s">
        <v>211</v>
      </c>
      <c r="Y937" t="s">
        <v>2279</v>
      </c>
      <c r="Z937" t="s">
        <v>2280</v>
      </c>
      <c r="AA937" t="s">
        <v>2358</v>
      </c>
      <c r="AB937" t="s">
        <v>2290</v>
      </c>
      <c r="AC937" t="s">
        <v>152</v>
      </c>
      <c r="AD937" t="s">
        <v>2278</v>
      </c>
      <c r="AE937" t="s">
        <v>676</v>
      </c>
      <c r="AF937" t="s">
        <v>49</v>
      </c>
      <c r="AG937" t="s">
        <v>49</v>
      </c>
      <c r="AI937" t="s">
        <v>49</v>
      </c>
      <c r="AM937" t="s">
        <v>202</v>
      </c>
      <c r="AN937" t="s">
        <v>165</v>
      </c>
    </row>
    <row r="938" spans="1:43" x14ac:dyDescent="0.2">
      <c r="A938" t="s">
        <v>665</v>
      </c>
      <c r="B938" t="s">
        <v>666</v>
      </c>
      <c r="C938">
        <v>2020</v>
      </c>
      <c r="D938" t="s">
        <v>44</v>
      </c>
      <c r="E938" t="s">
        <v>49</v>
      </c>
      <c r="F938" t="s">
        <v>957</v>
      </c>
      <c r="G938" t="s">
        <v>85</v>
      </c>
      <c r="H938" t="s">
        <v>96</v>
      </c>
      <c r="I938">
        <v>2012</v>
      </c>
      <c r="J938">
        <v>0.3</v>
      </c>
      <c r="K938" t="s">
        <v>101</v>
      </c>
      <c r="L938">
        <v>2200</v>
      </c>
      <c r="M938">
        <f>0.25*0.25</f>
        <v>6.25E-2</v>
      </c>
      <c r="N938" t="s">
        <v>127</v>
      </c>
      <c r="O938" t="s">
        <v>670</v>
      </c>
      <c r="P938" t="s">
        <v>671</v>
      </c>
      <c r="Q938" s="1" t="s">
        <v>2276</v>
      </c>
      <c r="R938" s="1" t="s">
        <v>751</v>
      </c>
      <c r="S938" s="1" t="s">
        <v>2345</v>
      </c>
      <c r="X938" t="s">
        <v>211</v>
      </c>
      <c r="Y938" t="s">
        <v>2279</v>
      </c>
      <c r="Z938" t="s">
        <v>2280</v>
      </c>
      <c r="AA938" t="s">
        <v>2358</v>
      </c>
      <c r="AB938" t="s">
        <v>2290</v>
      </c>
      <c r="AC938" t="s">
        <v>152</v>
      </c>
      <c r="AD938" t="s">
        <v>2278</v>
      </c>
      <c r="AE938" t="s">
        <v>674</v>
      </c>
      <c r="AF938" t="s">
        <v>49</v>
      </c>
      <c r="AG938" t="s">
        <v>49</v>
      </c>
      <c r="AI938" t="s">
        <v>49</v>
      </c>
      <c r="AM938" t="s">
        <v>202</v>
      </c>
      <c r="AN938" t="s">
        <v>165</v>
      </c>
    </row>
    <row r="939" spans="1:43" x14ac:dyDescent="0.2">
      <c r="A939" t="s">
        <v>665</v>
      </c>
      <c r="B939" t="s">
        <v>666</v>
      </c>
      <c r="C939">
        <v>2020</v>
      </c>
      <c r="D939" t="s">
        <v>44</v>
      </c>
      <c r="E939" t="s">
        <v>49</v>
      </c>
      <c r="F939" t="s">
        <v>957</v>
      </c>
      <c r="G939" t="s">
        <v>85</v>
      </c>
      <c r="H939" t="s">
        <v>96</v>
      </c>
      <c r="I939">
        <v>2012</v>
      </c>
      <c r="J939">
        <v>0.3</v>
      </c>
      <c r="K939" t="s">
        <v>101</v>
      </c>
      <c r="L939">
        <v>470</v>
      </c>
      <c r="M939">
        <f>0.25*0.25</f>
        <v>6.25E-2</v>
      </c>
      <c r="N939" t="s">
        <v>127</v>
      </c>
      <c r="O939" t="s">
        <v>669</v>
      </c>
      <c r="P939" t="s">
        <v>672</v>
      </c>
      <c r="Q939" s="1" t="s">
        <v>2276</v>
      </c>
      <c r="R939" s="1" t="s">
        <v>669</v>
      </c>
      <c r="S939" s="1" t="s">
        <v>168</v>
      </c>
      <c r="X939" t="s">
        <v>211</v>
      </c>
      <c r="Y939" t="s">
        <v>2279</v>
      </c>
      <c r="Z939" t="s">
        <v>2280</v>
      </c>
      <c r="AA939" t="s">
        <v>2358</v>
      </c>
      <c r="AB939" t="s">
        <v>2290</v>
      </c>
      <c r="AC939" t="s">
        <v>152</v>
      </c>
      <c r="AD939" t="s">
        <v>2278</v>
      </c>
      <c r="AE939" t="s">
        <v>2316</v>
      </c>
      <c r="AF939" t="s">
        <v>49</v>
      </c>
      <c r="AG939" t="s">
        <v>49</v>
      </c>
      <c r="AI939" t="s">
        <v>49</v>
      </c>
      <c r="AM939" t="s">
        <v>202</v>
      </c>
      <c r="AN939" t="s">
        <v>165</v>
      </c>
    </row>
    <row r="940" spans="1:43" x14ac:dyDescent="0.2">
      <c r="A940" t="s">
        <v>665</v>
      </c>
      <c r="B940" t="s">
        <v>666</v>
      </c>
      <c r="C940">
        <v>2020</v>
      </c>
      <c r="D940" t="s">
        <v>44</v>
      </c>
      <c r="E940" t="s">
        <v>49</v>
      </c>
      <c r="F940" t="s">
        <v>957</v>
      </c>
      <c r="G940" t="s">
        <v>85</v>
      </c>
      <c r="H940" t="s">
        <v>96</v>
      </c>
      <c r="I940">
        <v>2012</v>
      </c>
      <c r="J940">
        <v>0.3</v>
      </c>
      <c r="K940" t="s">
        <v>101</v>
      </c>
      <c r="L940">
        <v>1000</v>
      </c>
      <c r="M940">
        <f>0.25*0.25</f>
        <v>6.25E-2</v>
      </c>
      <c r="N940" t="s">
        <v>127</v>
      </c>
      <c r="O940" t="s">
        <v>669</v>
      </c>
      <c r="P940" t="s">
        <v>668</v>
      </c>
      <c r="Q940" s="1" t="s">
        <v>2276</v>
      </c>
      <c r="R940" s="1" t="s">
        <v>669</v>
      </c>
      <c r="S940" s="1" t="s">
        <v>168</v>
      </c>
      <c r="X940" t="s">
        <v>211</v>
      </c>
      <c r="Y940" t="s">
        <v>2279</v>
      </c>
      <c r="Z940" t="s">
        <v>2280</v>
      </c>
      <c r="AA940" t="s">
        <v>2358</v>
      </c>
      <c r="AB940" t="s">
        <v>2290</v>
      </c>
      <c r="AC940" t="s">
        <v>152</v>
      </c>
      <c r="AD940" t="s">
        <v>2278</v>
      </c>
      <c r="AE940" t="s">
        <v>2316</v>
      </c>
      <c r="AF940" t="s">
        <v>49</v>
      </c>
      <c r="AG940" t="s">
        <v>49</v>
      </c>
      <c r="AI940" t="s">
        <v>49</v>
      </c>
      <c r="AM940" t="s">
        <v>202</v>
      </c>
      <c r="AN940" t="s">
        <v>165</v>
      </c>
    </row>
    <row r="941" spans="1:43" x14ac:dyDescent="0.2">
      <c r="A941" t="s">
        <v>665</v>
      </c>
      <c r="B941" t="s">
        <v>666</v>
      </c>
      <c r="C941">
        <v>2020</v>
      </c>
      <c r="D941" t="s">
        <v>44</v>
      </c>
      <c r="E941" t="s">
        <v>49</v>
      </c>
      <c r="F941" t="s">
        <v>957</v>
      </c>
      <c r="G941" t="s">
        <v>85</v>
      </c>
      <c r="H941" t="s">
        <v>96</v>
      </c>
      <c r="I941">
        <v>2012</v>
      </c>
      <c r="J941">
        <v>0.3</v>
      </c>
      <c r="K941" t="s">
        <v>101</v>
      </c>
      <c r="L941">
        <v>2200</v>
      </c>
      <c r="M941">
        <v>7.9000000000000008E-3</v>
      </c>
      <c r="N941" t="s">
        <v>127</v>
      </c>
      <c r="O941" t="s">
        <v>669</v>
      </c>
      <c r="P941" t="s">
        <v>667</v>
      </c>
      <c r="Q941" s="1" t="s">
        <v>2276</v>
      </c>
      <c r="R941" s="1" t="s">
        <v>669</v>
      </c>
      <c r="S941" s="1" t="s">
        <v>168</v>
      </c>
      <c r="X941" t="s">
        <v>171</v>
      </c>
      <c r="Y941" t="s">
        <v>2273</v>
      </c>
      <c r="Z941" t="s">
        <v>249</v>
      </c>
      <c r="AA941" t="s">
        <v>2359</v>
      </c>
      <c r="AB941" t="s">
        <v>1979</v>
      </c>
      <c r="AC941" t="s">
        <v>152</v>
      </c>
      <c r="AD941" t="s">
        <v>137</v>
      </c>
      <c r="AE941" t="s">
        <v>676</v>
      </c>
      <c r="AF941" t="s">
        <v>49</v>
      </c>
      <c r="AG941" t="s">
        <v>49</v>
      </c>
      <c r="AI941" t="s">
        <v>49</v>
      </c>
      <c r="AM941" t="s">
        <v>202</v>
      </c>
      <c r="AN941" t="s">
        <v>165</v>
      </c>
    </row>
    <row r="942" spans="1:43" x14ac:dyDescent="0.2">
      <c r="A942" t="s">
        <v>665</v>
      </c>
      <c r="B942" t="s">
        <v>666</v>
      </c>
      <c r="C942">
        <v>2020</v>
      </c>
      <c r="D942" t="s">
        <v>44</v>
      </c>
      <c r="E942" t="s">
        <v>49</v>
      </c>
      <c r="F942" t="s">
        <v>957</v>
      </c>
      <c r="G942" t="s">
        <v>85</v>
      </c>
      <c r="H942" t="s">
        <v>96</v>
      </c>
      <c r="I942">
        <v>2012</v>
      </c>
      <c r="J942">
        <v>0.3</v>
      </c>
      <c r="K942" t="s">
        <v>101</v>
      </c>
      <c r="L942">
        <v>2200</v>
      </c>
      <c r="M942">
        <v>7.9000000000000008E-3</v>
      </c>
      <c r="N942" t="s">
        <v>127</v>
      </c>
      <c r="O942" t="s">
        <v>670</v>
      </c>
      <c r="P942" t="s">
        <v>671</v>
      </c>
      <c r="Q942" s="1" t="s">
        <v>2276</v>
      </c>
      <c r="R942" s="1" t="s">
        <v>751</v>
      </c>
      <c r="S942" s="1" t="s">
        <v>2345</v>
      </c>
      <c r="X942" t="s">
        <v>171</v>
      </c>
      <c r="Y942" t="s">
        <v>2273</v>
      </c>
      <c r="Z942" t="s">
        <v>249</v>
      </c>
      <c r="AA942" t="s">
        <v>2359</v>
      </c>
      <c r="AB942" t="s">
        <v>1979</v>
      </c>
      <c r="AC942" t="s">
        <v>152</v>
      </c>
      <c r="AD942" t="s">
        <v>137</v>
      </c>
      <c r="AE942" t="s">
        <v>674</v>
      </c>
      <c r="AF942" t="s">
        <v>49</v>
      </c>
      <c r="AG942" t="s">
        <v>49</v>
      </c>
      <c r="AI942" t="s">
        <v>49</v>
      </c>
      <c r="AM942" t="s">
        <v>202</v>
      </c>
      <c r="AN942" t="s">
        <v>165</v>
      </c>
    </row>
    <row r="943" spans="1:43" x14ac:dyDescent="0.2">
      <c r="A943" t="s">
        <v>665</v>
      </c>
      <c r="B943" t="s">
        <v>666</v>
      </c>
      <c r="C943">
        <v>2020</v>
      </c>
      <c r="D943" t="s">
        <v>44</v>
      </c>
      <c r="E943" t="s">
        <v>49</v>
      </c>
      <c r="F943" t="s">
        <v>957</v>
      </c>
      <c r="G943" t="s">
        <v>85</v>
      </c>
      <c r="H943" t="s">
        <v>96</v>
      </c>
      <c r="I943">
        <v>2012</v>
      </c>
      <c r="J943">
        <v>0.3</v>
      </c>
      <c r="K943" t="s">
        <v>101</v>
      </c>
      <c r="L943">
        <v>470</v>
      </c>
      <c r="M943">
        <v>7.9000000000000008E-3</v>
      </c>
      <c r="N943" t="s">
        <v>127</v>
      </c>
      <c r="O943" t="s">
        <v>669</v>
      </c>
      <c r="P943" t="s">
        <v>672</v>
      </c>
      <c r="Q943" s="1" t="s">
        <v>2276</v>
      </c>
      <c r="R943" s="1" t="s">
        <v>669</v>
      </c>
      <c r="S943" s="1" t="s">
        <v>168</v>
      </c>
      <c r="X943" t="s">
        <v>171</v>
      </c>
      <c r="Y943" t="s">
        <v>2273</v>
      </c>
      <c r="Z943" t="s">
        <v>249</v>
      </c>
      <c r="AA943" t="s">
        <v>2359</v>
      </c>
      <c r="AB943" t="s">
        <v>1979</v>
      </c>
      <c r="AC943" t="s">
        <v>152</v>
      </c>
      <c r="AD943" t="s">
        <v>137</v>
      </c>
      <c r="AE943" t="s">
        <v>2316</v>
      </c>
      <c r="AF943" t="s">
        <v>49</v>
      </c>
      <c r="AG943" t="s">
        <v>49</v>
      </c>
      <c r="AI943" t="s">
        <v>49</v>
      </c>
      <c r="AM943" t="s">
        <v>202</v>
      </c>
      <c r="AN943" t="s">
        <v>165</v>
      </c>
    </row>
    <row r="944" spans="1:43" x14ac:dyDescent="0.2">
      <c r="A944" t="s">
        <v>665</v>
      </c>
      <c r="B944" t="s">
        <v>666</v>
      </c>
      <c r="C944">
        <v>2020</v>
      </c>
      <c r="D944" t="s">
        <v>44</v>
      </c>
      <c r="E944" t="s">
        <v>49</v>
      </c>
      <c r="F944" t="s">
        <v>957</v>
      </c>
      <c r="G944" t="s">
        <v>85</v>
      </c>
      <c r="H944" t="s">
        <v>96</v>
      </c>
      <c r="I944">
        <v>2012</v>
      </c>
      <c r="J944">
        <v>0.3</v>
      </c>
      <c r="K944" t="s">
        <v>101</v>
      </c>
      <c r="L944">
        <v>1000</v>
      </c>
      <c r="M944">
        <v>7.9000000000000008E-3</v>
      </c>
      <c r="N944" t="s">
        <v>127</v>
      </c>
      <c r="O944" t="s">
        <v>669</v>
      </c>
      <c r="P944" t="s">
        <v>668</v>
      </c>
      <c r="Q944" s="1" t="s">
        <v>2276</v>
      </c>
      <c r="R944" s="1" t="s">
        <v>669</v>
      </c>
      <c r="S944" s="1" t="s">
        <v>168</v>
      </c>
      <c r="X944" t="s">
        <v>171</v>
      </c>
      <c r="Y944" t="s">
        <v>2273</v>
      </c>
      <c r="Z944" t="s">
        <v>249</v>
      </c>
      <c r="AA944" t="s">
        <v>2359</v>
      </c>
      <c r="AB944" t="s">
        <v>1979</v>
      </c>
      <c r="AC944" t="s">
        <v>152</v>
      </c>
      <c r="AD944" t="s">
        <v>137</v>
      </c>
      <c r="AE944" t="s">
        <v>2316</v>
      </c>
      <c r="AF944" t="s">
        <v>49</v>
      </c>
      <c r="AG944" t="s">
        <v>49</v>
      </c>
      <c r="AI944" t="s">
        <v>49</v>
      </c>
      <c r="AM944" t="s">
        <v>202</v>
      </c>
      <c r="AN944" t="s">
        <v>165</v>
      </c>
    </row>
    <row r="945" spans="1:40" x14ac:dyDescent="0.2">
      <c r="A945" t="s">
        <v>665</v>
      </c>
      <c r="B945" t="s">
        <v>666</v>
      </c>
      <c r="C945">
        <v>2020</v>
      </c>
      <c r="D945" t="s">
        <v>44</v>
      </c>
      <c r="E945" t="s">
        <v>49</v>
      </c>
      <c r="F945" t="s">
        <v>957</v>
      </c>
      <c r="G945" t="s">
        <v>85</v>
      </c>
      <c r="H945" t="s">
        <v>96</v>
      </c>
      <c r="I945">
        <v>2012</v>
      </c>
      <c r="J945">
        <v>0.3</v>
      </c>
      <c r="K945" t="s">
        <v>101</v>
      </c>
      <c r="L945">
        <v>2200</v>
      </c>
      <c r="M945">
        <v>0</v>
      </c>
      <c r="N945" t="s">
        <v>127</v>
      </c>
      <c r="O945" t="s">
        <v>669</v>
      </c>
      <c r="P945" t="s">
        <v>667</v>
      </c>
      <c r="Q945" s="1" t="s">
        <v>2276</v>
      </c>
      <c r="R945" s="1" t="s">
        <v>669</v>
      </c>
      <c r="S945" s="1" t="s">
        <v>168</v>
      </c>
      <c r="X945" t="s">
        <v>617</v>
      </c>
      <c r="Y945" t="s">
        <v>2273</v>
      </c>
      <c r="Z945" t="s">
        <v>249</v>
      </c>
      <c r="AA945" t="s">
        <v>2359</v>
      </c>
      <c r="AB945" t="s">
        <v>1419</v>
      </c>
      <c r="AC945" t="s">
        <v>152</v>
      </c>
      <c r="AD945" t="s">
        <v>2288</v>
      </c>
      <c r="AE945" t="s">
        <v>676</v>
      </c>
      <c r="AF945" t="s">
        <v>49</v>
      </c>
      <c r="AG945" t="s">
        <v>49</v>
      </c>
      <c r="AI945" t="s">
        <v>49</v>
      </c>
      <c r="AM945" t="s">
        <v>202</v>
      </c>
      <c r="AN945" t="s">
        <v>165</v>
      </c>
    </row>
    <row r="946" spans="1:40" x14ac:dyDescent="0.2">
      <c r="A946" t="s">
        <v>665</v>
      </c>
      <c r="B946" t="s">
        <v>666</v>
      </c>
      <c r="C946">
        <v>2020</v>
      </c>
      <c r="D946" t="s">
        <v>44</v>
      </c>
      <c r="E946" t="s">
        <v>49</v>
      </c>
      <c r="F946" t="s">
        <v>957</v>
      </c>
      <c r="G946" t="s">
        <v>85</v>
      </c>
      <c r="H946" t="s">
        <v>96</v>
      </c>
      <c r="I946">
        <v>2012</v>
      </c>
      <c r="J946">
        <v>0.3</v>
      </c>
      <c r="K946" t="s">
        <v>101</v>
      </c>
      <c r="L946">
        <v>2200</v>
      </c>
      <c r="M946">
        <v>0</v>
      </c>
      <c r="N946" t="s">
        <v>127</v>
      </c>
      <c r="O946" t="s">
        <v>670</v>
      </c>
      <c r="P946" t="s">
        <v>671</v>
      </c>
      <c r="Q946" s="1" t="s">
        <v>2276</v>
      </c>
      <c r="R946" s="1" t="s">
        <v>751</v>
      </c>
      <c r="S946" s="1" t="s">
        <v>2345</v>
      </c>
      <c r="X946" t="s">
        <v>617</v>
      </c>
      <c r="Y946" t="s">
        <v>2273</v>
      </c>
      <c r="Z946" t="s">
        <v>249</v>
      </c>
      <c r="AA946" t="s">
        <v>2359</v>
      </c>
      <c r="AB946" t="s">
        <v>1419</v>
      </c>
      <c r="AC946" t="s">
        <v>152</v>
      </c>
      <c r="AD946" t="s">
        <v>2288</v>
      </c>
      <c r="AE946" t="s">
        <v>674</v>
      </c>
      <c r="AF946" t="s">
        <v>49</v>
      </c>
      <c r="AG946" t="s">
        <v>49</v>
      </c>
      <c r="AI946" t="s">
        <v>49</v>
      </c>
      <c r="AM946" t="s">
        <v>202</v>
      </c>
      <c r="AN946" t="s">
        <v>165</v>
      </c>
    </row>
    <row r="947" spans="1:40" x14ac:dyDescent="0.2">
      <c r="A947" t="s">
        <v>665</v>
      </c>
      <c r="B947" t="s">
        <v>666</v>
      </c>
      <c r="C947">
        <v>2020</v>
      </c>
      <c r="D947" t="s">
        <v>44</v>
      </c>
      <c r="E947" t="s">
        <v>49</v>
      </c>
      <c r="F947" t="s">
        <v>957</v>
      </c>
      <c r="G947" t="s">
        <v>85</v>
      </c>
      <c r="H947" t="s">
        <v>96</v>
      </c>
      <c r="I947">
        <v>2012</v>
      </c>
      <c r="J947">
        <v>0.3</v>
      </c>
      <c r="K947" t="s">
        <v>101</v>
      </c>
      <c r="L947">
        <v>470</v>
      </c>
      <c r="M947">
        <v>0</v>
      </c>
      <c r="N947" t="s">
        <v>127</v>
      </c>
      <c r="O947" t="s">
        <v>669</v>
      </c>
      <c r="P947" t="s">
        <v>672</v>
      </c>
      <c r="Q947" s="1" t="s">
        <v>2276</v>
      </c>
      <c r="R947" s="1" t="s">
        <v>669</v>
      </c>
      <c r="S947" s="1" t="s">
        <v>168</v>
      </c>
      <c r="X947" t="s">
        <v>617</v>
      </c>
      <c r="Y947" t="s">
        <v>2273</v>
      </c>
      <c r="Z947" t="s">
        <v>249</v>
      </c>
      <c r="AA947" t="s">
        <v>2359</v>
      </c>
      <c r="AB947" t="s">
        <v>1419</v>
      </c>
      <c r="AC947" t="s">
        <v>152</v>
      </c>
      <c r="AD947" t="s">
        <v>2288</v>
      </c>
      <c r="AE947" t="s">
        <v>2316</v>
      </c>
      <c r="AF947" t="s">
        <v>49</v>
      </c>
      <c r="AG947" t="s">
        <v>49</v>
      </c>
      <c r="AI947" t="s">
        <v>49</v>
      </c>
      <c r="AM947" t="s">
        <v>202</v>
      </c>
      <c r="AN947" t="s">
        <v>165</v>
      </c>
    </row>
    <row r="948" spans="1:40" x14ac:dyDescent="0.2">
      <c r="A948" t="s">
        <v>665</v>
      </c>
      <c r="B948" t="s">
        <v>666</v>
      </c>
      <c r="C948">
        <v>2020</v>
      </c>
      <c r="D948" t="s">
        <v>44</v>
      </c>
      <c r="E948" t="s">
        <v>49</v>
      </c>
      <c r="F948" t="s">
        <v>957</v>
      </c>
      <c r="G948" t="s">
        <v>85</v>
      </c>
      <c r="H948" t="s">
        <v>96</v>
      </c>
      <c r="I948">
        <v>2012</v>
      </c>
      <c r="J948">
        <v>0.3</v>
      </c>
      <c r="K948" t="s">
        <v>101</v>
      </c>
      <c r="L948">
        <v>1000</v>
      </c>
      <c r="M948">
        <v>0</v>
      </c>
      <c r="N948" t="s">
        <v>127</v>
      </c>
      <c r="O948" t="s">
        <v>669</v>
      </c>
      <c r="P948" t="s">
        <v>668</v>
      </c>
      <c r="Q948" s="1" t="s">
        <v>2276</v>
      </c>
      <c r="R948" s="1" t="s">
        <v>669</v>
      </c>
      <c r="S948" s="1" t="s">
        <v>168</v>
      </c>
      <c r="X948" t="s">
        <v>617</v>
      </c>
      <c r="Y948" t="s">
        <v>2273</v>
      </c>
      <c r="Z948" t="s">
        <v>249</v>
      </c>
      <c r="AA948" t="s">
        <v>2359</v>
      </c>
      <c r="AB948" t="s">
        <v>1419</v>
      </c>
      <c r="AC948" t="s">
        <v>152</v>
      </c>
      <c r="AD948" t="s">
        <v>2288</v>
      </c>
      <c r="AE948" t="s">
        <v>2316</v>
      </c>
      <c r="AF948" t="s">
        <v>49</v>
      </c>
      <c r="AG948" t="s">
        <v>49</v>
      </c>
      <c r="AI948" t="s">
        <v>49</v>
      </c>
      <c r="AM948" t="s">
        <v>202</v>
      </c>
      <c r="AN948" t="s">
        <v>165</v>
      </c>
    </row>
    <row r="949" spans="1:40" x14ac:dyDescent="0.2">
      <c r="A949" t="s">
        <v>665</v>
      </c>
      <c r="B949" t="s">
        <v>666</v>
      </c>
      <c r="C949">
        <v>2020</v>
      </c>
      <c r="D949" t="s">
        <v>44</v>
      </c>
      <c r="E949" t="s">
        <v>49</v>
      </c>
      <c r="F949" t="s">
        <v>957</v>
      </c>
      <c r="G949" t="s">
        <v>85</v>
      </c>
      <c r="H949" t="s">
        <v>96</v>
      </c>
      <c r="I949">
        <v>2012</v>
      </c>
      <c r="J949">
        <v>0.3</v>
      </c>
      <c r="K949" t="s">
        <v>101</v>
      </c>
      <c r="L949">
        <v>2200</v>
      </c>
      <c r="M949">
        <f t="shared" ref="M949:M959" si="23">0.25*0.25</f>
        <v>6.25E-2</v>
      </c>
      <c r="N949" t="s">
        <v>127</v>
      </c>
      <c r="O949" t="s">
        <v>669</v>
      </c>
      <c r="P949" t="s">
        <v>667</v>
      </c>
      <c r="Q949" s="1" t="s">
        <v>2276</v>
      </c>
      <c r="R949" s="1" t="s">
        <v>669</v>
      </c>
      <c r="S949" s="1" t="s">
        <v>168</v>
      </c>
      <c r="T949" t="s">
        <v>396</v>
      </c>
      <c r="X949" t="s">
        <v>161</v>
      </c>
      <c r="Y949" t="s">
        <v>2272</v>
      </c>
      <c r="Z949" t="s">
        <v>2272</v>
      </c>
      <c r="AA949" t="s">
        <v>2272</v>
      </c>
      <c r="AB949" t="s">
        <v>2272</v>
      </c>
      <c r="AC949" t="s">
        <v>162</v>
      </c>
      <c r="AD949" t="s">
        <v>2272</v>
      </c>
      <c r="AF949" t="s">
        <v>49</v>
      </c>
      <c r="AG949" t="s">
        <v>49</v>
      </c>
      <c r="AI949" t="s">
        <v>49</v>
      </c>
      <c r="AM949" t="s">
        <v>202</v>
      </c>
      <c r="AN949" t="s">
        <v>154</v>
      </c>
    </row>
    <row r="950" spans="1:40" x14ac:dyDescent="0.2">
      <c r="A950" t="s">
        <v>665</v>
      </c>
      <c r="B950" t="s">
        <v>666</v>
      </c>
      <c r="C950">
        <v>2020</v>
      </c>
      <c r="D950" t="s">
        <v>44</v>
      </c>
      <c r="E950" t="s">
        <v>49</v>
      </c>
      <c r="F950" t="s">
        <v>957</v>
      </c>
      <c r="G950" t="s">
        <v>85</v>
      </c>
      <c r="H950" t="s">
        <v>96</v>
      </c>
      <c r="I950">
        <v>2012</v>
      </c>
      <c r="J950">
        <v>0.3</v>
      </c>
      <c r="K950" t="s">
        <v>101</v>
      </c>
      <c r="L950">
        <v>2200</v>
      </c>
      <c r="M950">
        <f t="shared" si="23"/>
        <v>6.25E-2</v>
      </c>
      <c r="N950" t="s">
        <v>127</v>
      </c>
      <c r="O950" t="s">
        <v>670</v>
      </c>
      <c r="P950" t="s">
        <v>671</v>
      </c>
      <c r="Q950" s="1" t="s">
        <v>2276</v>
      </c>
      <c r="R950" s="1" t="s">
        <v>751</v>
      </c>
      <c r="S950" s="1" t="s">
        <v>2345</v>
      </c>
      <c r="T950" t="s">
        <v>396</v>
      </c>
      <c r="X950" t="s">
        <v>161</v>
      </c>
      <c r="Y950" t="s">
        <v>2272</v>
      </c>
      <c r="Z950" t="s">
        <v>2272</v>
      </c>
      <c r="AA950" t="s">
        <v>2272</v>
      </c>
      <c r="AB950" t="s">
        <v>2272</v>
      </c>
      <c r="AC950" t="s">
        <v>162</v>
      </c>
      <c r="AD950" t="s">
        <v>2272</v>
      </c>
      <c r="AF950" t="s">
        <v>49</v>
      </c>
      <c r="AG950" t="s">
        <v>49</v>
      </c>
      <c r="AI950" t="s">
        <v>49</v>
      </c>
      <c r="AM950" t="s">
        <v>202</v>
      </c>
      <c r="AN950" t="s">
        <v>154</v>
      </c>
    </row>
    <row r="951" spans="1:40" x14ac:dyDescent="0.2">
      <c r="A951" t="s">
        <v>665</v>
      </c>
      <c r="B951" t="s">
        <v>666</v>
      </c>
      <c r="C951">
        <v>2020</v>
      </c>
      <c r="D951" t="s">
        <v>44</v>
      </c>
      <c r="E951" t="s">
        <v>49</v>
      </c>
      <c r="F951" t="s">
        <v>957</v>
      </c>
      <c r="G951" t="s">
        <v>85</v>
      </c>
      <c r="H951" t="s">
        <v>96</v>
      </c>
      <c r="I951">
        <v>2012</v>
      </c>
      <c r="J951">
        <v>0.3</v>
      </c>
      <c r="K951" t="s">
        <v>101</v>
      </c>
      <c r="L951">
        <v>470</v>
      </c>
      <c r="M951">
        <f t="shared" si="23"/>
        <v>6.25E-2</v>
      </c>
      <c r="N951" t="s">
        <v>127</v>
      </c>
      <c r="O951" t="s">
        <v>669</v>
      </c>
      <c r="P951" t="s">
        <v>672</v>
      </c>
      <c r="Q951" s="1" t="s">
        <v>2276</v>
      </c>
      <c r="R951" s="1" t="s">
        <v>669</v>
      </c>
      <c r="S951" s="1" t="s">
        <v>168</v>
      </c>
      <c r="T951" t="s">
        <v>396</v>
      </c>
      <c r="X951" t="s">
        <v>161</v>
      </c>
      <c r="Y951" t="s">
        <v>2272</v>
      </c>
      <c r="Z951" t="s">
        <v>2272</v>
      </c>
      <c r="AA951" t="s">
        <v>2272</v>
      </c>
      <c r="AB951" t="s">
        <v>2272</v>
      </c>
      <c r="AC951" t="s">
        <v>162</v>
      </c>
      <c r="AD951" t="s">
        <v>2272</v>
      </c>
      <c r="AF951" t="s">
        <v>49</v>
      </c>
      <c r="AG951" t="s">
        <v>49</v>
      </c>
      <c r="AI951" t="s">
        <v>49</v>
      </c>
      <c r="AM951" t="s">
        <v>202</v>
      </c>
      <c r="AN951" t="s">
        <v>154</v>
      </c>
    </row>
    <row r="952" spans="1:40" x14ac:dyDescent="0.2">
      <c r="A952" t="s">
        <v>665</v>
      </c>
      <c r="B952" t="s">
        <v>666</v>
      </c>
      <c r="C952">
        <v>2020</v>
      </c>
      <c r="D952" t="s">
        <v>44</v>
      </c>
      <c r="E952" t="s">
        <v>49</v>
      </c>
      <c r="F952" t="s">
        <v>957</v>
      </c>
      <c r="G952" t="s">
        <v>85</v>
      </c>
      <c r="H952" t="s">
        <v>96</v>
      </c>
      <c r="I952">
        <v>2012</v>
      </c>
      <c r="J952">
        <v>0.3</v>
      </c>
      <c r="K952" t="s">
        <v>101</v>
      </c>
      <c r="L952">
        <v>1000</v>
      </c>
      <c r="M952">
        <f>0.25*0.25</f>
        <v>6.25E-2</v>
      </c>
      <c r="N952" t="s">
        <v>127</v>
      </c>
      <c r="O952" t="s">
        <v>669</v>
      </c>
      <c r="P952" t="s">
        <v>668</v>
      </c>
      <c r="Q952" s="1" t="s">
        <v>2276</v>
      </c>
      <c r="R952" s="1" t="s">
        <v>669</v>
      </c>
      <c r="S952" s="1" t="s">
        <v>168</v>
      </c>
      <c r="T952" t="s">
        <v>396</v>
      </c>
      <c r="X952" t="s">
        <v>161</v>
      </c>
      <c r="Y952" t="s">
        <v>2272</v>
      </c>
      <c r="Z952" t="s">
        <v>2272</v>
      </c>
      <c r="AA952" t="s">
        <v>2272</v>
      </c>
      <c r="AB952" t="s">
        <v>2272</v>
      </c>
      <c r="AC952" t="s">
        <v>162</v>
      </c>
      <c r="AD952" t="s">
        <v>2272</v>
      </c>
      <c r="AF952" t="s">
        <v>49</v>
      </c>
      <c r="AG952" t="s">
        <v>49</v>
      </c>
      <c r="AI952" t="s">
        <v>49</v>
      </c>
      <c r="AM952" t="s">
        <v>202</v>
      </c>
      <c r="AN952" t="s">
        <v>154</v>
      </c>
    </row>
    <row r="953" spans="1:40" x14ac:dyDescent="0.2">
      <c r="A953" t="s">
        <v>665</v>
      </c>
      <c r="B953" t="s">
        <v>666</v>
      </c>
      <c r="C953">
        <v>2020</v>
      </c>
      <c r="D953" t="s">
        <v>44</v>
      </c>
      <c r="E953" t="s">
        <v>49</v>
      </c>
      <c r="F953" t="s">
        <v>957</v>
      </c>
      <c r="G953" t="s">
        <v>85</v>
      </c>
      <c r="H953" t="s">
        <v>96</v>
      </c>
      <c r="I953">
        <v>2012</v>
      </c>
      <c r="J953">
        <v>0.3</v>
      </c>
      <c r="K953" t="s">
        <v>101</v>
      </c>
      <c r="L953">
        <v>2200</v>
      </c>
      <c r="M953">
        <f t="shared" si="23"/>
        <v>6.25E-2</v>
      </c>
      <c r="N953" t="s">
        <v>127</v>
      </c>
      <c r="O953" t="s">
        <v>669</v>
      </c>
      <c r="P953" t="s">
        <v>667</v>
      </c>
      <c r="Q953" s="1" t="s">
        <v>2276</v>
      </c>
      <c r="R953" s="1" t="s">
        <v>669</v>
      </c>
      <c r="S953" s="1" t="s">
        <v>168</v>
      </c>
      <c r="T953" t="s">
        <v>396</v>
      </c>
      <c r="X953" t="s">
        <v>161</v>
      </c>
      <c r="Y953" t="s">
        <v>2272</v>
      </c>
      <c r="Z953" t="s">
        <v>2272</v>
      </c>
      <c r="AA953" t="s">
        <v>2272</v>
      </c>
      <c r="AB953" t="s">
        <v>2272</v>
      </c>
      <c r="AC953" t="s">
        <v>162</v>
      </c>
      <c r="AD953" t="s">
        <v>2272</v>
      </c>
      <c r="AF953" t="s">
        <v>49</v>
      </c>
      <c r="AG953" t="s">
        <v>49</v>
      </c>
      <c r="AI953" t="s">
        <v>49</v>
      </c>
      <c r="AM953" t="s">
        <v>202</v>
      </c>
      <c r="AN953" t="s">
        <v>166</v>
      </c>
    </row>
    <row r="954" spans="1:40" x14ac:dyDescent="0.2">
      <c r="A954" t="s">
        <v>665</v>
      </c>
      <c r="B954" t="s">
        <v>666</v>
      </c>
      <c r="C954">
        <v>2020</v>
      </c>
      <c r="D954" t="s">
        <v>44</v>
      </c>
      <c r="E954" t="s">
        <v>49</v>
      </c>
      <c r="F954" t="s">
        <v>957</v>
      </c>
      <c r="G954" t="s">
        <v>85</v>
      </c>
      <c r="H954" t="s">
        <v>96</v>
      </c>
      <c r="I954">
        <v>2012</v>
      </c>
      <c r="J954">
        <v>0.3</v>
      </c>
      <c r="K954" t="s">
        <v>101</v>
      </c>
      <c r="L954">
        <v>2200</v>
      </c>
      <c r="M954">
        <f t="shared" si="23"/>
        <v>6.25E-2</v>
      </c>
      <c r="N954" t="s">
        <v>127</v>
      </c>
      <c r="O954" t="s">
        <v>670</v>
      </c>
      <c r="P954" t="s">
        <v>671</v>
      </c>
      <c r="Q954" s="1" t="s">
        <v>2276</v>
      </c>
      <c r="R954" s="1" t="s">
        <v>751</v>
      </c>
      <c r="S954" s="1" t="s">
        <v>2345</v>
      </c>
      <c r="T954" t="s">
        <v>396</v>
      </c>
      <c r="X954" t="s">
        <v>161</v>
      </c>
      <c r="Y954" t="s">
        <v>2272</v>
      </c>
      <c r="Z954" t="s">
        <v>2272</v>
      </c>
      <c r="AA954" t="s">
        <v>2272</v>
      </c>
      <c r="AB954" t="s">
        <v>2272</v>
      </c>
      <c r="AC954" t="s">
        <v>162</v>
      </c>
      <c r="AD954" t="s">
        <v>2272</v>
      </c>
      <c r="AF954" t="s">
        <v>49</v>
      </c>
      <c r="AG954" t="s">
        <v>49</v>
      </c>
      <c r="AI954" t="s">
        <v>49</v>
      </c>
      <c r="AM954" t="s">
        <v>202</v>
      </c>
      <c r="AN954" t="s">
        <v>166</v>
      </c>
    </row>
    <row r="955" spans="1:40" x14ac:dyDescent="0.2">
      <c r="A955" t="s">
        <v>665</v>
      </c>
      <c r="B955" t="s">
        <v>666</v>
      </c>
      <c r="C955">
        <v>2020</v>
      </c>
      <c r="D955" t="s">
        <v>44</v>
      </c>
      <c r="E955" t="s">
        <v>49</v>
      </c>
      <c r="F955" t="s">
        <v>957</v>
      </c>
      <c r="G955" t="s">
        <v>85</v>
      </c>
      <c r="H955" t="s">
        <v>96</v>
      </c>
      <c r="I955">
        <v>2012</v>
      </c>
      <c r="J955">
        <v>0.3</v>
      </c>
      <c r="K955" t="s">
        <v>101</v>
      </c>
      <c r="L955">
        <v>470</v>
      </c>
      <c r="M955">
        <f t="shared" si="23"/>
        <v>6.25E-2</v>
      </c>
      <c r="N955" t="s">
        <v>127</v>
      </c>
      <c r="O955" t="s">
        <v>669</v>
      </c>
      <c r="P955" t="s">
        <v>672</v>
      </c>
      <c r="Q955" s="1" t="s">
        <v>2276</v>
      </c>
      <c r="R955" s="1" t="s">
        <v>669</v>
      </c>
      <c r="S955" s="1" t="s">
        <v>168</v>
      </c>
      <c r="T955" t="s">
        <v>396</v>
      </c>
      <c r="X955" t="s">
        <v>161</v>
      </c>
      <c r="Y955" t="s">
        <v>2272</v>
      </c>
      <c r="Z955" t="s">
        <v>2272</v>
      </c>
      <c r="AA955" t="s">
        <v>2272</v>
      </c>
      <c r="AB955" t="s">
        <v>2272</v>
      </c>
      <c r="AC955" t="s">
        <v>162</v>
      </c>
      <c r="AD955" t="s">
        <v>2272</v>
      </c>
      <c r="AF955" t="s">
        <v>49</v>
      </c>
      <c r="AG955" t="s">
        <v>49</v>
      </c>
      <c r="AI955" t="s">
        <v>49</v>
      </c>
      <c r="AM955" t="s">
        <v>202</v>
      </c>
      <c r="AN955" t="s">
        <v>166</v>
      </c>
    </row>
    <row r="956" spans="1:40" x14ac:dyDescent="0.2">
      <c r="A956" t="s">
        <v>665</v>
      </c>
      <c r="B956" t="s">
        <v>666</v>
      </c>
      <c r="C956">
        <v>2020</v>
      </c>
      <c r="D956" t="s">
        <v>44</v>
      </c>
      <c r="E956" t="s">
        <v>49</v>
      </c>
      <c r="F956" t="s">
        <v>957</v>
      </c>
      <c r="G956" t="s">
        <v>85</v>
      </c>
      <c r="H956" t="s">
        <v>96</v>
      </c>
      <c r="I956">
        <v>2012</v>
      </c>
      <c r="J956">
        <v>0.3</v>
      </c>
      <c r="K956" t="s">
        <v>101</v>
      </c>
      <c r="L956">
        <v>1000</v>
      </c>
      <c r="M956">
        <f>0.25*0.25</f>
        <v>6.25E-2</v>
      </c>
      <c r="N956" t="s">
        <v>127</v>
      </c>
      <c r="O956" t="s">
        <v>669</v>
      </c>
      <c r="P956" t="s">
        <v>668</v>
      </c>
      <c r="Q956" s="1" t="s">
        <v>2276</v>
      </c>
      <c r="R956" s="1" t="s">
        <v>669</v>
      </c>
      <c r="S956" s="1" t="s">
        <v>168</v>
      </c>
      <c r="T956" t="s">
        <v>396</v>
      </c>
      <c r="X956" t="s">
        <v>161</v>
      </c>
      <c r="Y956" t="s">
        <v>2272</v>
      </c>
      <c r="Z956" t="s">
        <v>2272</v>
      </c>
      <c r="AA956" t="s">
        <v>2272</v>
      </c>
      <c r="AB956" t="s">
        <v>2272</v>
      </c>
      <c r="AC956" t="s">
        <v>162</v>
      </c>
      <c r="AD956" t="s">
        <v>2272</v>
      </c>
      <c r="AF956" t="s">
        <v>49</v>
      </c>
      <c r="AG956" t="s">
        <v>49</v>
      </c>
      <c r="AI956" t="s">
        <v>49</v>
      </c>
      <c r="AM956" t="s">
        <v>202</v>
      </c>
      <c r="AN956" t="s">
        <v>166</v>
      </c>
    </row>
    <row r="957" spans="1:40" x14ac:dyDescent="0.2">
      <c r="A957" t="s">
        <v>665</v>
      </c>
      <c r="B957" t="s">
        <v>666</v>
      </c>
      <c r="C957">
        <v>2020</v>
      </c>
      <c r="D957" t="s">
        <v>44</v>
      </c>
      <c r="E957" t="s">
        <v>49</v>
      </c>
      <c r="F957" t="s">
        <v>957</v>
      </c>
      <c r="G957" t="s">
        <v>85</v>
      </c>
      <c r="H957" t="s">
        <v>96</v>
      </c>
      <c r="I957">
        <v>2012</v>
      </c>
      <c r="J957">
        <v>0.3</v>
      </c>
      <c r="K957" t="s">
        <v>101</v>
      </c>
      <c r="L957">
        <v>2200</v>
      </c>
      <c r="M957">
        <f t="shared" si="23"/>
        <v>6.25E-2</v>
      </c>
      <c r="N957" t="s">
        <v>127</v>
      </c>
      <c r="O957" t="s">
        <v>669</v>
      </c>
      <c r="P957" t="s">
        <v>667</v>
      </c>
      <c r="Q957" s="1" t="s">
        <v>2276</v>
      </c>
      <c r="R957" s="1" t="s">
        <v>669</v>
      </c>
      <c r="S957" s="1" t="s">
        <v>168</v>
      </c>
      <c r="T957" t="s">
        <v>396</v>
      </c>
      <c r="X957" t="s">
        <v>161</v>
      </c>
      <c r="Y957" t="s">
        <v>2272</v>
      </c>
      <c r="Z957" t="s">
        <v>2272</v>
      </c>
      <c r="AA957" t="s">
        <v>2272</v>
      </c>
      <c r="AB957" t="s">
        <v>2272</v>
      </c>
      <c r="AC957" t="s">
        <v>162</v>
      </c>
      <c r="AD957" t="s">
        <v>2272</v>
      </c>
      <c r="AF957" t="s">
        <v>49</v>
      </c>
      <c r="AG957" t="s">
        <v>49</v>
      </c>
      <c r="AI957" t="s">
        <v>49</v>
      </c>
      <c r="AM957" t="s">
        <v>202</v>
      </c>
      <c r="AN957" t="s">
        <v>165</v>
      </c>
    </row>
    <row r="958" spans="1:40" x14ac:dyDescent="0.2">
      <c r="A958" t="s">
        <v>665</v>
      </c>
      <c r="B958" t="s">
        <v>666</v>
      </c>
      <c r="C958">
        <v>2020</v>
      </c>
      <c r="D958" t="s">
        <v>44</v>
      </c>
      <c r="E958" t="s">
        <v>49</v>
      </c>
      <c r="F958" t="s">
        <v>957</v>
      </c>
      <c r="G958" t="s">
        <v>85</v>
      </c>
      <c r="H958" t="s">
        <v>96</v>
      </c>
      <c r="I958">
        <v>2012</v>
      </c>
      <c r="J958">
        <v>0.3</v>
      </c>
      <c r="K958" t="s">
        <v>101</v>
      </c>
      <c r="L958">
        <v>2200</v>
      </c>
      <c r="M958">
        <f t="shared" si="23"/>
        <v>6.25E-2</v>
      </c>
      <c r="N958" t="s">
        <v>127</v>
      </c>
      <c r="O958" t="s">
        <v>670</v>
      </c>
      <c r="P958" t="s">
        <v>671</v>
      </c>
      <c r="Q958" s="1" t="s">
        <v>2276</v>
      </c>
      <c r="R958" s="1" t="s">
        <v>751</v>
      </c>
      <c r="S958" s="1" t="s">
        <v>2345</v>
      </c>
      <c r="T958" t="s">
        <v>396</v>
      </c>
      <c r="X958" t="s">
        <v>161</v>
      </c>
      <c r="Y958" t="s">
        <v>2272</v>
      </c>
      <c r="Z958" t="s">
        <v>2272</v>
      </c>
      <c r="AA958" t="s">
        <v>2272</v>
      </c>
      <c r="AB958" t="s">
        <v>2272</v>
      </c>
      <c r="AC958" t="s">
        <v>162</v>
      </c>
      <c r="AD958" t="s">
        <v>2272</v>
      </c>
      <c r="AF958" t="s">
        <v>49</v>
      </c>
      <c r="AG958" t="s">
        <v>49</v>
      </c>
      <c r="AI958" t="s">
        <v>49</v>
      </c>
      <c r="AM958" t="s">
        <v>202</v>
      </c>
      <c r="AN958" t="s">
        <v>165</v>
      </c>
    </row>
    <row r="959" spans="1:40" x14ac:dyDescent="0.2">
      <c r="A959" t="s">
        <v>665</v>
      </c>
      <c r="B959" t="s">
        <v>666</v>
      </c>
      <c r="C959">
        <v>2020</v>
      </c>
      <c r="D959" t="s">
        <v>44</v>
      </c>
      <c r="E959" t="s">
        <v>49</v>
      </c>
      <c r="F959" t="s">
        <v>957</v>
      </c>
      <c r="G959" t="s">
        <v>85</v>
      </c>
      <c r="H959" t="s">
        <v>96</v>
      </c>
      <c r="I959">
        <v>2012</v>
      </c>
      <c r="J959">
        <v>0.3</v>
      </c>
      <c r="K959" t="s">
        <v>101</v>
      </c>
      <c r="L959">
        <v>470</v>
      </c>
      <c r="M959">
        <f t="shared" si="23"/>
        <v>6.25E-2</v>
      </c>
      <c r="N959" t="s">
        <v>127</v>
      </c>
      <c r="O959" t="s">
        <v>669</v>
      </c>
      <c r="P959" t="s">
        <v>672</v>
      </c>
      <c r="Q959" s="1" t="s">
        <v>2276</v>
      </c>
      <c r="R959" s="1" t="s">
        <v>669</v>
      </c>
      <c r="S959" s="1" t="s">
        <v>168</v>
      </c>
      <c r="T959" t="s">
        <v>396</v>
      </c>
      <c r="X959" t="s">
        <v>161</v>
      </c>
      <c r="Y959" t="s">
        <v>2272</v>
      </c>
      <c r="Z959" t="s">
        <v>2272</v>
      </c>
      <c r="AA959" t="s">
        <v>2272</v>
      </c>
      <c r="AB959" t="s">
        <v>2272</v>
      </c>
      <c r="AC959" t="s">
        <v>162</v>
      </c>
      <c r="AD959" t="s">
        <v>2272</v>
      </c>
      <c r="AF959" t="s">
        <v>49</v>
      </c>
      <c r="AG959" t="s">
        <v>49</v>
      </c>
      <c r="AI959" t="s">
        <v>49</v>
      </c>
      <c r="AM959" t="s">
        <v>202</v>
      </c>
      <c r="AN959" t="s">
        <v>165</v>
      </c>
    </row>
    <row r="960" spans="1:40" x14ac:dyDescent="0.2">
      <c r="A960" t="s">
        <v>665</v>
      </c>
      <c r="B960" t="s">
        <v>666</v>
      </c>
      <c r="C960">
        <v>2020</v>
      </c>
      <c r="D960" t="s">
        <v>44</v>
      </c>
      <c r="E960" t="s">
        <v>49</v>
      </c>
      <c r="F960" t="s">
        <v>957</v>
      </c>
      <c r="G960" t="s">
        <v>85</v>
      </c>
      <c r="H960" t="s">
        <v>96</v>
      </c>
      <c r="I960">
        <v>2012</v>
      </c>
      <c r="J960">
        <v>0.3</v>
      </c>
      <c r="K960" t="s">
        <v>101</v>
      </c>
      <c r="L960">
        <v>1000</v>
      </c>
      <c r="M960">
        <f>0.25*0.25</f>
        <v>6.25E-2</v>
      </c>
      <c r="N960" t="s">
        <v>127</v>
      </c>
      <c r="O960" t="s">
        <v>669</v>
      </c>
      <c r="P960" t="s">
        <v>668</v>
      </c>
      <c r="Q960" s="1" t="s">
        <v>2276</v>
      </c>
      <c r="R960" s="1" t="s">
        <v>669</v>
      </c>
      <c r="S960" s="1" t="s">
        <v>168</v>
      </c>
      <c r="T960" t="s">
        <v>396</v>
      </c>
      <c r="X960" t="s">
        <v>161</v>
      </c>
      <c r="Y960" t="s">
        <v>2272</v>
      </c>
      <c r="Z960" t="s">
        <v>2272</v>
      </c>
      <c r="AA960" t="s">
        <v>2272</v>
      </c>
      <c r="AB960" t="s">
        <v>2272</v>
      </c>
      <c r="AC960" t="s">
        <v>162</v>
      </c>
      <c r="AD960" t="s">
        <v>2272</v>
      </c>
      <c r="AF960" t="s">
        <v>49</v>
      </c>
      <c r="AG960" t="s">
        <v>49</v>
      </c>
      <c r="AI960" t="s">
        <v>49</v>
      </c>
      <c r="AM960" t="s">
        <v>202</v>
      </c>
      <c r="AN960" t="s">
        <v>165</v>
      </c>
    </row>
    <row r="961" spans="1:45" x14ac:dyDescent="0.2">
      <c r="A961" t="s">
        <v>677</v>
      </c>
      <c r="B961" t="s">
        <v>678</v>
      </c>
      <c r="C961">
        <v>2020</v>
      </c>
      <c r="Q961" s="1" t="s">
        <v>2272</v>
      </c>
      <c r="R961" s="1" t="s">
        <v>2272</v>
      </c>
      <c r="S961" s="1" t="s">
        <v>2272</v>
      </c>
      <c r="Y961" t="s">
        <v>2272</v>
      </c>
      <c r="Z961" t="s">
        <v>2272</v>
      </c>
      <c r="AA961" t="s">
        <v>2272</v>
      </c>
      <c r="AB961" t="s">
        <v>2272</v>
      </c>
      <c r="AD961" t="s">
        <v>2272</v>
      </c>
      <c r="AR961" t="s">
        <v>144</v>
      </c>
      <c r="AS961" t="s">
        <v>2588</v>
      </c>
    </row>
    <row r="962" spans="1:45" x14ac:dyDescent="0.2">
      <c r="A962" t="s">
        <v>679</v>
      </c>
      <c r="B962" t="s">
        <v>680</v>
      </c>
      <c r="C962">
        <v>2020</v>
      </c>
      <c r="D962" t="s">
        <v>44</v>
      </c>
      <c r="F962" t="s">
        <v>83</v>
      </c>
      <c r="G962" t="s">
        <v>85</v>
      </c>
      <c r="H962" t="s">
        <v>350</v>
      </c>
      <c r="K962" t="s">
        <v>101</v>
      </c>
      <c r="M962">
        <f>50*20</f>
        <v>1000</v>
      </c>
      <c r="N962" t="s">
        <v>132</v>
      </c>
      <c r="O962" t="s">
        <v>120</v>
      </c>
      <c r="P962" t="s">
        <v>2485</v>
      </c>
      <c r="Q962" s="1" t="s">
        <v>2276</v>
      </c>
      <c r="R962" s="1" t="s">
        <v>669</v>
      </c>
      <c r="S962" s="1" t="s">
        <v>168</v>
      </c>
      <c r="X962" t="s">
        <v>189</v>
      </c>
      <c r="Y962" t="s">
        <v>2279</v>
      </c>
      <c r="Z962" t="s">
        <v>2280</v>
      </c>
      <c r="AA962" t="s">
        <v>2358</v>
      </c>
      <c r="AB962" t="s">
        <v>189</v>
      </c>
      <c r="AC962" t="s">
        <v>152</v>
      </c>
      <c r="AD962" t="s">
        <v>2278</v>
      </c>
      <c r="AE962" t="s">
        <v>2489</v>
      </c>
    </row>
    <row r="963" spans="1:45" x14ac:dyDescent="0.2">
      <c r="A963" t="s">
        <v>679</v>
      </c>
      <c r="B963" t="s">
        <v>680</v>
      </c>
      <c r="C963">
        <v>2020</v>
      </c>
      <c r="D963" t="s">
        <v>44</v>
      </c>
      <c r="F963" t="s">
        <v>83</v>
      </c>
      <c r="G963" t="s">
        <v>85</v>
      </c>
      <c r="H963" t="s">
        <v>350</v>
      </c>
      <c r="I963">
        <v>2015</v>
      </c>
      <c r="J963">
        <f t="shared" ref="J963:J969" si="24">3/12</f>
        <v>0.25</v>
      </c>
      <c r="K963" t="s">
        <v>102</v>
      </c>
      <c r="M963">
        <v>0</v>
      </c>
      <c r="N963" t="s">
        <v>132</v>
      </c>
      <c r="O963" t="s">
        <v>120</v>
      </c>
      <c r="P963" t="s">
        <v>2485</v>
      </c>
      <c r="Q963" s="1" t="s">
        <v>2276</v>
      </c>
      <c r="R963" s="1" t="s">
        <v>669</v>
      </c>
      <c r="S963" s="1" t="s">
        <v>168</v>
      </c>
      <c r="X963" t="s">
        <v>1391</v>
      </c>
      <c r="Y963" t="s">
        <v>2273</v>
      </c>
      <c r="Z963" t="s">
        <v>249</v>
      </c>
      <c r="AA963" t="s">
        <v>2359</v>
      </c>
      <c r="AB963" t="s">
        <v>1979</v>
      </c>
      <c r="AC963" t="s">
        <v>152</v>
      </c>
      <c r="AD963" t="s">
        <v>137</v>
      </c>
    </row>
    <row r="964" spans="1:45" x14ac:dyDescent="0.2">
      <c r="A964" t="s">
        <v>679</v>
      </c>
      <c r="B964" t="s">
        <v>680</v>
      </c>
      <c r="C964">
        <v>2020</v>
      </c>
      <c r="D964" t="s">
        <v>44</v>
      </c>
      <c r="F964" t="s">
        <v>83</v>
      </c>
      <c r="G964" t="s">
        <v>85</v>
      </c>
      <c r="H964" t="s">
        <v>350</v>
      </c>
      <c r="I964">
        <v>2015</v>
      </c>
      <c r="J964">
        <f t="shared" si="24"/>
        <v>0.25</v>
      </c>
      <c r="K964" t="s">
        <v>102</v>
      </c>
      <c r="M964">
        <v>0</v>
      </c>
      <c r="N964" t="s">
        <v>132</v>
      </c>
      <c r="O964" t="s">
        <v>120</v>
      </c>
      <c r="P964" t="s">
        <v>2485</v>
      </c>
      <c r="Q964" s="1" t="s">
        <v>2276</v>
      </c>
      <c r="R964" s="1" t="s">
        <v>669</v>
      </c>
      <c r="S964" s="1" t="s">
        <v>168</v>
      </c>
      <c r="X964" t="s">
        <v>1390</v>
      </c>
      <c r="Y964" t="s">
        <v>2273</v>
      </c>
      <c r="Z964" t="s">
        <v>249</v>
      </c>
      <c r="AA964" t="s">
        <v>2359</v>
      </c>
      <c r="AB964" t="s">
        <v>1419</v>
      </c>
      <c r="AC964" t="s">
        <v>152</v>
      </c>
      <c r="AD964" t="s">
        <v>137</v>
      </c>
      <c r="AE964" t="s">
        <v>102</v>
      </c>
    </row>
    <row r="965" spans="1:45" x14ac:dyDescent="0.2">
      <c r="A965" t="s">
        <v>679</v>
      </c>
      <c r="B965" t="s">
        <v>680</v>
      </c>
      <c r="C965">
        <v>2020</v>
      </c>
      <c r="D965" t="s">
        <v>44</v>
      </c>
      <c r="F965" t="s">
        <v>83</v>
      </c>
      <c r="G965" t="s">
        <v>85</v>
      </c>
      <c r="H965" t="s">
        <v>350</v>
      </c>
      <c r="I965">
        <v>2015</v>
      </c>
      <c r="J965">
        <f t="shared" si="24"/>
        <v>0.25</v>
      </c>
      <c r="K965" t="s">
        <v>102</v>
      </c>
      <c r="M965">
        <v>0</v>
      </c>
      <c r="N965" t="s">
        <v>132</v>
      </c>
      <c r="O965" t="s">
        <v>120</v>
      </c>
      <c r="P965" t="s">
        <v>2485</v>
      </c>
      <c r="Q965" s="1" t="s">
        <v>2276</v>
      </c>
      <c r="R965" s="1" t="s">
        <v>669</v>
      </c>
      <c r="S965" s="1" t="s">
        <v>168</v>
      </c>
      <c r="X965" t="s">
        <v>773</v>
      </c>
      <c r="Y965" t="s">
        <v>2273</v>
      </c>
      <c r="Z965" t="s">
        <v>249</v>
      </c>
      <c r="AA965" t="s">
        <v>2274</v>
      </c>
      <c r="AB965" t="s">
        <v>2300</v>
      </c>
      <c r="AC965" t="s">
        <v>152</v>
      </c>
      <c r="AD965" t="s">
        <v>137</v>
      </c>
      <c r="AE965" t="s">
        <v>2489</v>
      </c>
    </row>
    <row r="966" spans="1:45" x14ac:dyDescent="0.2">
      <c r="A966" t="s">
        <v>679</v>
      </c>
      <c r="B966" t="s">
        <v>680</v>
      </c>
      <c r="C966">
        <v>2020</v>
      </c>
      <c r="D966" t="s">
        <v>44</v>
      </c>
      <c r="F966" t="s">
        <v>83</v>
      </c>
      <c r="G966" t="s">
        <v>85</v>
      </c>
      <c r="H966" t="s">
        <v>350</v>
      </c>
      <c r="I966">
        <v>2015</v>
      </c>
      <c r="J966">
        <f t="shared" si="24"/>
        <v>0.25</v>
      </c>
      <c r="K966" t="s">
        <v>102</v>
      </c>
      <c r="M966">
        <v>0</v>
      </c>
      <c r="N966" t="s">
        <v>132</v>
      </c>
      <c r="O966" t="s">
        <v>120</v>
      </c>
      <c r="P966" t="s">
        <v>2485</v>
      </c>
      <c r="Q966" s="1" t="s">
        <v>2276</v>
      </c>
      <c r="R966" s="1" t="s">
        <v>669</v>
      </c>
      <c r="S966" s="1" t="s">
        <v>168</v>
      </c>
      <c r="X966" t="s">
        <v>2486</v>
      </c>
      <c r="Y966" t="s">
        <v>2273</v>
      </c>
      <c r="Z966" t="s">
        <v>249</v>
      </c>
      <c r="AA966" t="s">
        <v>2359</v>
      </c>
      <c r="AB966" t="s">
        <v>1419</v>
      </c>
      <c r="AC966" t="s">
        <v>152</v>
      </c>
      <c r="AD966" t="s">
        <v>2288</v>
      </c>
      <c r="AE966" t="s">
        <v>2489</v>
      </c>
    </row>
    <row r="967" spans="1:45" x14ac:dyDescent="0.2">
      <c r="A967" t="s">
        <v>679</v>
      </c>
      <c r="B967" t="s">
        <v>680</v>
      </c>
      <c r="C967">
        <v>2020</v>
      </c>
      <c r="D967" t="s">
        <v>44</v>
      </c>
      <c r="F967" t="s">
        <v>83</v>
      </c>
      <c r="G967" t="s">
        <v>85</v>
      </c>
      <c r="H967" t="s">
        <v>350</v>
      </c>
      <c r="I967">
        <v>2015</v>
      </c>
      <c r="J967">
        <f t="shared" si="24"/>
        <v>0.25</v>
      </c>
      <c r="K967" t="s">
        <v>102</v>
      </c>
      <c r="M967">
        <v>0</v>
      </c>
      <c r="N967" t="s">
        <v>132</v>
      </c>
      <c r="O967" t="s">
        <v>120</v>
      </c>
      <c r="P967" t="s">
        <v>2485</v>
      </c>
      <c r="Q967" s="1" t="s">
        <v>2276</v>
      </c>
      <c r="R967" s="1" t="s">
        <v>669</v>
      </c>
      <c r="S967" s="1" t="s">
        <v>168</v>
      </c>
      <c r="X967" t="s">
        <v>1410</v>
      </c>
      <c r="Y967" t="s">
        <v>2273</v>
      </c>
      <c r="Z967" t="s">
        <v>249</v>
      </c>
      <c r="AA967" t="s">
        <v>2274</v>
      </c>
      <c r="AB967" t="s">
        <v>2300</v>
      </c>
      <c r="AC967" t="s">
        <v>152</v>
      </c>
      <c r="AD967" t="s">
        <v>137</v>
      </c>
      <c r="AE967" t="s">
        <v>2489</v>
      </c>
    </row>
    <row r="968" spans="1:45" x14ac:dyDescent="0.2">
      <c r="A968" t="s">
        <v>679</v>
      </c>
      <c r="B968" t="s">
        <v>680</v>
      </c>
      <c r="C968">
        <v>2020</v>
      </c>
      <c r="D968" t="s">
        <v>44</v>
      </c>
      <c r="F968" t="s">
        <v>83</v>
      </c>
      <c r="G968" t="s">
        <v>85</v>
      </c>
      <c r="H968" t="s">
        <v>350</v>
      </c>
      <c r="I968">
        <v>2015</v>
      </c>
      <c r="J968">
        <f t="shared" si="24"/>
        <v>0.25</v>
      </c>
      <c r="K968" t="s">
        <v>102</v>
      </c>
      <c r="M968">
        <v>0</v>
      </c>
      <c r="N968" t="s">
        <v>132</v>
      </c>
      <c r="O968" t="s">
        <v>120</v>
      </c>
      <c r="P968" t="s">
        <v>2485</v>
      </c>
      <c r="Q968" s="1" t="s">
        <v>2276</v>
      </c>
      <c r="R968" s="1" t="s">
        <v>669</v>
      </c>
      <c r="S968" s="1" t="s">
        <v>168</v>
      </c>
      <c r="X968" t="s">
        <v>2487</v>
      </c>
      <c r="Y968" t="s">
        <v>2273</v>
      </c>
      <c r="Z968" t="s">
        <v>249</v>
      </c>
      <c r="AA968" t="s">
        <v>2359</v>
      </c>
      <c r="AB968" t="s">
        <v>1419</v>
      </c>
      <c r="AC968" t="s">
        <v>152</v>
      </c>
      <c r="AD968" t="s">
        <v>2288</v>
      </c>
    </row>
    <row r="969" spans="1:45" x14ac:dyDescent="0.2">
      <c r="A969" t="s">
        <v>679</v>
      </c>
      <c r="B969" t="s">
        <v>680</v>
      </c>
      <c r="C969">
        <v>2020</v>
      </c>
      <c r="D969" t="s">
        <v>44</v>
      </c>
      <c r="F969" t="s">
        <v>83</v>
      </c>
      <c r="G969" t="s">
        <v>85</v>
      </c>
      <c r="H969" t="s">
        <v>350</v>
      </c>
      <c r="I969">
        <v>2015</v>
      </c>
      <c r="J969">
        <f t="shared" si="24"/>
        <v>0.25</v>
      </c>
      <c r="K969" t="s">
        <v>102</v>
      </c>
      <c r="M969">
        <v>0</v>
      </c>
      <c r="N969" t="s">
        <v>132</v>
      </c>
      <c r="O969" t="s">
        <v>120</v>
      </c>
      <c r="P969" t="s">
        <v>2485</v>
      </c>
      <c r="Q969" s="1" t="s">
        <v>2276</v>
      </c>
      <c r="R969" s="1" t="s">
        <v>669</v>
      </c>
      <c r="S969" s="1" t="s">
        <v>168</v>
      </c>
      <c r="X969" t="s">
        <v>2488</v>
      </c>
      <c r="Y969" t="s">
        <v>2273</v>
      </c>
      <c r="Z969" t="s">
        <v>249</v>
      </c>
      <c r="AA969" t="s">
        <v>2274</v>
      </c>
      <c r="AB969" t="s">
        <v>2300</v>
      </c>
      <c r="AC969" t="s">
        <v>152</v>
      </c>
      <c r="AD969" t="s">
        <v>137</v>
      </c>
    </row>
    <row r="970" spans="1:45" x14ac:dyDescent="0.2">
      <c r="A970" t="s">
        <v>679</v>
      </c>
      <c r="B970" t="s">
        <v>680</v>
      </c>
      <c r="C970">
        <v>2020</v>
      </c>
      <c r="D970" t="s">
        <v>811</v>
      </c>
      <c r="F970" t="s">
        <v>83</v>
      </c>
      <c r="G970" t="s">
        <v>85</v>
      </c>
      <c r="H970" t="s">
        <v>350</v>
      </c>
      <c r="J970">
        <f>3*7/365</f>
        <v>5.7534246575342465E-2</v>
      </c>
      <c r="K970" t="s">
        <v>101</v>
      </c>
      <c r="M970">
        <v>0</v>
      </c>
      <c r="N970" t="s">
        <v>132</v>
      </c>
      <c r="O970" t="s">
        <v>120</v>
      </c>
      <c r="P970" t="s">
        <v>2485</v>
      </c>
      <c r="Q970" s="1" t="s">
        <v>2276</v>
      </c>
      <c r="R970" s="1" t="s">
        <v>669</v>
      </c>
      <c r="S970" s="1" t="s">
        <v>168</v>
      </c>
      <c r="X970" t="s">
        <v>1391</v>
      </c>
      <c r="Y970" t="s">
        <v>2273</v>
      </c>
      <c r="Z970" t="s">
        <v>249</v>
      </c>
      <c r="AA970" t="s">
        <v>2359</v>
      </c>
      <c r="AB970" t="s">
        <v>1979</v>
      </c>
      <c r="AC970" t="s">
        <v>152</v>
      </c>
      <c r="AD970" t="s">
        <v>137</v>
      </c>
      <c r="AF970" t="s">
        <v>49</v>
      </c>
      <c r="AJ970" t="s">
        <v>49</v>
      </c>
      <c r="AR970">
        <v>1</v>
      </c>
    </row>
    <row r="971" spans="1:45" x14ac:dyDescent="0.2">
      <c r="A971" t="s">
        <v>679</v>
      </c>
      <c r="B971" t="s">
        <v>680</v>
      </c>
      <c r="C971">
        <v>2020</v>
      </c>
      <c r="D971" t="s">
        <v>811</v>
      </c>
      <c r="F971" t="s">
        <v>83</v>
      </c>
      <c r="G971" t="s">
        <v>85</v>
      </c>
      <c r="H971" t="s">
        <v>350</v>
      </c>
      <c r="J971">
        <f>3*7/365</f>
        <v>5.7534246575342465E-2</v>
      </c>
      <c r="K971" t="s">
        <v>101</v>
      </c>
      <c r="M971">
        <v>0</v>
      </c>
      <c r="N971" t="s">
        <v>132</v>
      </c>
      <c r="O971" t="s">
        <v>120</v>
      </c>
      <c r="P971" t="s">
        <v>2485</v>
      </c>
      <c r="Q971" s="1" t="s">
        <v>2276</v>
      </c>
      <c r="R971" s="1" t="s">
        <v>669</v>
      </c>
      <c r="S971" s="1" t="s">
        <v>168</v>
      </c>
      <c r="X971" t="s">
        <v>1390</v>
      </c>
      <c r="Y971" t="s">
        <v>2273</v>
      </c>
      <c r="Z971" t="s">
        <v>249</v>
      </c>
      <c r="AA971" t="s">
        <v>2359</v>
      </c>
      <c r="AB971" t="s">
        <v>1419</v>
      </c>
      <c r="AC971" t="s">
        <v>152</v>
      </c>
      <c r="AD971" t="s">
        <v>137</v>
      </c>
      <c r="AE971" t="s">
        <v>2489</v>
      </c>
      <c r="AF971" t="s">
        <v>49</v>
      </c>
      <c r="AJ971" t="s">
        <v>49</v>
      </c>
      <c r="AR971">
        <v>1</v>
      </c>
    </row>
    <row r="972" spans="1:45" x14ac:dyDescent="0.2">
      <c r="A972" t="s">
        <v>679</v>
      </c>
      <c r="B972" t="s">
        <v>680</v>
      </c>
      <c r="C972">
        <v>2020</v>
      </c>
      <c r="D972" t="s">
        <v>811</v>
      </c>
      <c r="F972" t="s">
        <v>83</v>
      </c>
      <c r="G972" t="s">
        <v>85</v>
      </c>
      <c r="H972" t="s">
        <v>350</v>
      </c>
      <c r="J972">
        <f>3*7/365</f>
        <v>5.7534246575342465E-2</v>
      </c>
      <c r="K972" t="s">
        <v>101</v>
      </c>
      <c r="M972">
        <v>0</v>
      </c>
      <c r="N972" t="s">
        <v>132</v>
      </c>
      <c r="O972" t="s">
        <v>120</v>
      </c>
      <c r="P972" t="s">
        <v>2485</v>
      </c>
      <c r="Q972" s="1" t="s">
        <v>2276</v>
      </c>
      <c r="R972" s="1" t="s">
        <v>669</v>
      </c>
      <c r="S972" s="1" t="s">
        <v>168</v>
      </c>
      <c r="X972" t="s">
        <v>773</v>
      </c>
      <c r="Y972" t="s">
        <v>2273</v>
      </c>
      <c r="Z972" t="s">
        <v>249</v>
      </c>
      <c r="AA972" t="s">
        <v>2274</v>
      </c>
      <c r="AB972" t="s">
        <v>2300</v>
      </c>
      <c r="AC972" t="s">
        <v>152</v>
      </c>
      <c r="AD972" t="s">
        <v>137</v>
      </c>
      <c r="AE972" t="s">
        <v>2489</v>
      </c>
      <c r="AF972" t="s">
        <v>49</v>
      </c>
      <c r="AJ972" t="s">
        <v>49</v>
      </c>
      <c r="AR972">
        <v>1</v>
      </c>
    </row>
    <row r="973" spans="1:45" x14ac:dyDescent="0.2">
      <c r="A973" t="s">
        <v>679</v>
      </c>
      <c r="B973" t="s">
        <v>680</v>
      </c>
      <c r="C973">
        <v>2020</v>
      </c>
      <c r="D973" t="s">
        <v>811</v>
      </c>
      <c r="F973" t="s">
        <v>83</v>
      </c>
      <c r="G973" t="s">
        <v>85</v>
      </c>
      <c r="H973" t="s">
        <v>350</v>
      </c>
      <c r="J973">
        <f>3*7/365</f>
        <v>5.7534246575342465E-2</v>
      </c>
      <c r="K973" t="s">
        <v>101</v>
      </c>
      <c r="M973">
        <v>0</v>
      </c>
      <c r="N973" t="s">
        <v>132</v>
      </c>
      <c r="O973" t="s">
        <v>120</v>
      </c>
      <c r="P973" t="s">
        <v>2485</v>
      </c>
      <c r="Q973" s="1" t="s">
        <v>2276</v>
      </c>
      <c r="R973" s="1" t="s">
        <v>669</v>
      </c>
      <c r="S973" s="1" t="s">
        <v>168</v>
      </c>
      <c r="X973" t="s">
        <v>2486</v>
      </c>
      <c r="Y973" t="s">
        <v>2273</v>
      </c>
      <c r="Z973" t="s">
        <v>249</v>
      </c>
      <c r="AA973" t="s">
        <v>2359</v>
      </c>
      <c r="AB973" t="s">
        <v>1419</v>
      </c>
      <c r="AC973" t="s">
        <v>152</v>
      </c>
      <c r="AD973" t="s">
        <v>2288</v>
      </c>
      <c r="AF973" t="s">
        <v>49</v>
      </c>
      <c r="AJ973" t="s">
        <v>49</v>
      </c>
      <c r="AR973">
        <v>1</v>
      </c>
    </row>
    <row r="974" spans="1:45" x14ac:dyDescent="0.2">
      <c r="A974" t="s">
        <v>681</v>
      </c>
      <c r="B974" t="s">
        <v>682</v>
      </c>
      <c r="C974">
        <v>2020</v>
      </c>
      <c r="D974" t="s">
        <v>44</v>
      </c>
      <c r="E974" t="s">
        <v>49</v>
      </c>
      <c r="F974" t="s">
        <v>683</v>
      </c>
      <c r="G974" t="s">
        <v>91</v>
      </c>
      <c r="H974" t="s">
        <v>350</v>
      </c>
      <c r="I974" t="s">
        <v>684</v>
      </c>
      <c r="J974">
        <v>18</v>
      </c>
      <c r="K974" t="s">
        <v>42</v>
      </c>
      <c r="L974">
        <v>25</v>
      </c>
      <c r="M974">
        <f>80</f>
        <v>80</v>
      </c>
      <c r="N974" t="s">
        <v>120</v>
      </c>
      <c r="O974" t="s">
        <v>120</v>
      </c>
      <c r="P974" t="s">
        <v>581</v>
      </c>
      <c r="Q974" s="1" t="s">
        <v>2276</v>
      </c>
      <c r="R974" s="1" t="s">
        <v>669</v>
      </c>
      <c r="S974" s="1" t="s">
        <v>168</v>
      </c>
      <c r="X974" t="s">
        <v>189</v>
      </c>
      <c r="Y974" t="s">
        <v>2279</v>
      </c>
      <c r="Z974" t="s">
        <v>2280</v>
      </c>
      <c r="AA974" t="s">
        <v>2358</v>
      </c>
      <c r="AB974" t="s">
        <v>189</v>
      </c>
      <c r="AC974" t="s">
        <v>152</v>
      </c>
      <c r="AD974" t="s">
        <v>2278</v>
      </c>
      <c r="AF974" t="s">
        <v>49</v>
      </c>
      <c r="AJ974" t="s">
        <v>49</v>
      </c>
      <c r="AM974" t="s">
        <v>257</v>
      </c>
    </row>
    <row r="975" spans="1:45" x14ac:dyDescent="0.2">
      <c r="A975" t="s">
        <v>681</v>
      </c>
      <c r="B975" t="s">
        <v>682</v>
      </c>
      <c r="C975">
        <v>2020</v>
      </c>
      <c r="D975" t="s">
        <v>44</v>
      </c>
      <c r="E975" t="s">
        <v>49</v>
      </c>
      <c r="F975" t="s">
        <v>683</v>
      </c>
      <c r="G975" t="s">
        <v>91</v>
      </c>
      <c r="H975" t="s">
        <v>350</v>
      </c>
      <c r="I975" t="s">
        <v>684</v>
      </c>
      <c r="J975">
        <v>18</v>
      </c>
      <c r="K975" t="s">
        <v>42</v>
      </c>
      <c r="L975">
        <v>25</v>
      </c>
      <c r="M975">
        <f>80</f>
        <v>80</v>
      </c>
      <c r="N975" t="s">
        <v>120</v>
      </c>
      <c r="O975" t="s">
        <v>120</v>
      </c>
      <c r="P975" t="s">
        <v>581</v>
      </c>
      <c r="Q975" s="1" t="s">
        <v>2276</v>
      </c>
      <c r="R975" s="1" t="s">
        <v>669</v>
      </c>
      <c r="S975" s="1" t="s">
        <v>168</v>
      </c>
      <c r="X975" t="s">
        <v>171</v>
      </c>
      <c r="Y975" t="s">
        <v>2279</v>
      </c>
      <c r="Z975" t="s">
        <v>2280</v>
      </c>
      <c r="AA975" t="s">
        <v>2358</v>
      </c>
      <c r="AB975" t="s">
        <v>2580</v>
      </c>
      <c r="AC975" t="s">
        <v>315</v>
      </c>
      <c r="AD975" t="s">
        <v>2278</v>
      </c>
      <c r="AF975" t="s">
        <v>49</v>
      </c>
      <c r="AJ975" t="s">
        <v>49</v>
      </c>
      <c r="AM975" t="s">
        <v>257</v>
      </c>
    </row>
    <row r="976" spans="1:45" x14ac:dyDescent="0.2">
      <c r="A976" t="s">
        <v>681</v>
      </c>
      <c r="B976" t="s">
        <v>682</v>
      </c>
      <c r="C976">
        <v>2020</v>
      </c>
      <c r="D976" t="s">
        <v>44</v>
      </c>
      <c r="E976" t="s">
        <v>49</v>
      </c>
      <c r="F976" t="s">
        <v>683</v>
      </c>
      <c r="G976" t="s">
        <v>91</v>
      </c>
      <c r="H976" t="s">
        <v>350</v>
      </c>
      <c r="I976" t="s">
        <v>684</v>
      </c>
      <c r="J976">
        <v>18</v>
      </c>
      <c r="K976" t="s">
        <v>42</v>
      </c>
      <c r="L976">
        <v>25</v>
      </c>
      <c r="M976">
        <f>80</f>
        <v>80</v>
      </c>
      <c r="N976" t="s">
        <v>120</v>
      </c>
      <c r="O976" t="s">
        <v>120</v>
      </c>
      <c r="P976" t="s">
        <v>581</v>
      </c>
      <c r="Q976" s="1" t="s">
        <v>2276</v>
      </c>
      <c r="R976" s="1" t="s">
        <v>669</v>
      </c>
      <c r="S976" s="1" t="s">
        <v>168</v>
      </c>
      <c r="X976" t="s">
        <v>2490</v>
      </c>
      <c r="Y976" t="s">
        <v>2279</v>
      </c>
      <c r="Z976" t="s">
        <v>2361</v>
      </c>
      <c r="AA976" t="s">
        <v>2296</v>
      </c>
      <c r="AB976" t="s">
        <v>2490</v>
      </c>
      <c r="AC976" t="s">
        <v>315</v>
      </c>
      <c r="AD976" t="s">
        <v>2278</v>
      </c>
      <c r="AE976" t="s">
        <v>298</v>
      </c>
      <c r="AF976" t="s">
        <v>49</v>
      </c>
      <c r="AJ976" t="s">
        <v>49</v>
      </c>
      <c r="AM976" t="s">
        <v>257</v>
      </c>
      <c r="AN976" t="s">
        <v>109</v>
      </c>
      <c r="AO976" t="s">
        <v>2491</v>
      </c>
      <c r="AP976" t="s">
        <v>51</v>
      </c>
    </row>
    <row r="977" spans="1:45" x14ac:dyDescent="0.2">
      <c r="A977" t="s">
        <v>681</v>
      </c>
      <c r="B977" t="s">
        <v>682</v>
      </c>
      <c r="C977">
        <v>2020</v>
      </c>
      <c r="D977" t="s">
        <v>44</v>
      </c>
      <c r="E977" t="s">
        <v>49</v>
      </c>
      <c r="F977" t="s">
        <v>683</v>
      </c>
      <c r="G977" t="s">
        <v>91</v>
      </c>
      <c r="H977" t="s">
        <v>350</v>
      </c>
      <c r="I977" t="s">
        <v>684</v>
      </c>
      <c r="J977">
        <v>18</v>
      </c>
      <c r="K977" t="s">
        <v>42</v>
      </c>
      <c r="L977">
        <v>25</v>
      </c>
      <c r="M977">
        <f>80</f>
        <v>80</v>
      </c>
      <c r="N977" t="s">
        <v>120</v>
      </c>
      <c r="O977" t="s">
        <v>120</v>
      </c>
      <c r="P977" t="s">
        <v>581</v>
      </c>
      <c r="Q977" s="1" t="s">
        <v>2276</v>
      </c>
      <c r="R977" s="1" t="s">
        <v>669</v>
      </c>
      <c r="S977" s="1" t="s">
        <v>168</v>
      </c>
      <c r="X977" t="s">
        <v>2490</v>
      </c>
      <c r="Y977" t="s">
        <v>2279</v>
      </c>
      <c r="Z977" t="s">
        <v>2361</v>
      </c>
      <c r="AA977" t="s">
        <v>2296</v>
      </c>
      <c r="AB977" t="s">
        <v>2490</v>
      </c>
      <c r="AC977" t="s">
        <v>315</v>
      </c>
      <c r="AD977" t="s">
        <v>2278</v>
      </c>
      <c r="AE977" t="s">
        <v>298</v>
      </c>
      <c r="AF977" t="s">
        <v>49</v>
      </c>
      <c r="AJ977" t="s">
        <v>49</v>
      </c>
      <c r="AM977" t="s">
        <v>257</v>
      </c>
      <c r="AN977" t="s">
        <v>154</v>
      </c>
      <c r="AP977" t="s">
        <v>51</v>
      </c>
    </row>
    <row r="978" spans="1:45" x14ac:dyDescent="0.2">
      <c r="A978" t="s">
        <v>681</v>
      </c>
      <c r="B978" t="s">
        <v>682</v>
      </c>
      <c r="C978">
        <v>2020</v>
      </c>
      <c r="D978" t="s">
        <v>44</v>
      </c>
      <c r="E978" t="s">
        <v>49</v>
      </c>
      <c r="F978" t="s">
        <v>683</v>
      </c>
      <c r="G978" t="s">
        <v>91</v>
      </c>
      <c r="H978" t="s">
        <v>350</v>
      </c>
      <c r="I978" t="s">
        <v>684</v>
      </c>
      <c r="J978">
        <v>18</v>
      </c>
      <c r="K978" t="s">
        <v>42</v>
      </c>
      <c r="L978">
        <v>25</v>
      </c>
      <c r="M978">
        <f>80</f>
        <v>80</v>
      </c>
      <c r="N978" t="s">
        <v>120</v>
      </c>
      <c r="O978" t="s">
        <v>120</v>
      </c>
      <c r="P978" t="s">
        <v>581</v>
      </c>
      <c r="Q978" s="1" t="s">
        <v>2276</v>
      </c>
      <c r="R978" s="1" t="s">
        <v>669</v>
      </c>
      <c r="S978" s="1" t="s">
        <v>168</v>
      </c>
      <c r="X978" t="s">
        <v>2490</v>
      </c>
      <c r="Y978" t="s">
        <v>2279</v>
      </c>
      <c r="Z978" t="s">
        <v>2361</v>
      </c>
      <c r="AA978" t="s">
        <v>2296</v>
      </c>
      <c r="AB978" t="s">
        <v>2490</v>
      </c>
      <c r="AC978" t="s">
        <v>315</v>
      </c>
      <c r="AD978" t="s">
        <v>2278</v>
      </c>
      <c r="AE978" t="s">
        <v>298</v>
      </c>
      <c r="AF978" t="s">
        <v>49</v>
      </c>
      <c r="AJ978" t="s">
        <v>49</v>
      </c>
      <c r="AM978" t="s">
        <v>257</v>
      </c>
      <c r="AN978" t="s">
        <v>154</v>
      </c>
      <c r="AP978" t="s">
        <v>157</v>
      </c>
    </row>
    <row r="979" spans="1:45" x14ac:dyDescent="0.2">
      <c r="A979" t="s">
        <v>685</v>
      </c>
      <c r="B979" t="s">
        <v>686</v>
      </c>
      <c r="C979">
        <v>2020</v>
      </c>
      <c r="D979" t="s">
        <v>44</v>
      </c>
      <c r="F979" t="s">
        <v>683</v>
      </c>
      <c r="G979" t="s">
        <v>86</v>
      </c>
      <c r="H979" t="s">
        <v>96</v>
      </c>
      <c r="I979" t="s">
        <v>614</v>
      </c>
      <c r="J979">
        <v>1.08</v>
      </c>
      <c r="K979" t="s">
        <v>104</v>
      </c>
      <c r="M979">
        <v>1</v>
      </c>
      <c r="N979" t="s">
        <v>123</v>
      </c>
      <c r="O979" t="s">
        <v>517</v>
      </c>
      <c r="P979" t="s">
        <v>687</v>
      </c>
      <c r="Q979" s="1" t="s">
        <v>2281</v>
      </c>
      <c r="R979" s="1" t="s">
        <v>2282</v>
      </c>
      <c r="S979" s="1" t="s">
        <v>123</v>
      </c>
      <c r="T979" t="s">
        <v>396</v>
      </c>
      <c r="U979" s="1" t="s">
        <v>124</v>
      </c>
      <c r="X979" t="s">
        <v>161</v>
      </c>
      <c r="Y979" t="s">
        <v>2272</v>
      </c>
      <c r="Z979" t="s">
        <v>2272</v>
      </c>
      <c r="AA979" t="s">
        <v>2272</v>
      </c>
      <c r="AB979" t="s">
        <v>2272</v>
      </c>
      <c r="AC979" t="s">
        <v>162</v>
      </c>
      <c r="AD979" t="s">
        <v>2272</v>
      </c>
      <c r="AF979" t="s">
        <v>49</v>
      </c>
      <c r="AH979" s="4" t="s">
        <v>49</v>
      </c>
      <c r="AJ979" t="s">
        <v>49</v>
      </c>
      <c r="AM979" t="s">
        <v>688</v>
      </c>
      <c r="AN979" t="s">
        <v>166</v>
      </c>
      <c r="AQ979" s="5">
        <v>0</v>
      </c>
    </row>
    <row r="980" spans="1:45" x14ac:dyDescent="0.2">
      <c r="A980" t="s">
        <v>685</v>
      </c>
      <c r="B980" t="s">
        <v>686</v>
      </c>
      <c r="C980">
        <v>2020</v>
      </c>
      <c r="D980" t="s">
        <v>44</v>
      </c>
      <c r="F980" t="s">
        <v>683</v>
      </c>
      <c r="G980" t="s">
        <v>86</v>
      </c>
      <c r="H980" t="s">
        <v>96</v>
      </c>
      <c r="I980" t="s">
        <v>614</v>
      </c>
      <c r="J980">
        <v>1.08</v>
      </c>
      <c r="K980" t="s">
        <v>104</v>
      </c>
      <c r="N980" t="s">
        <v>124</v>
      </c>
      <c r="O980" t="s">
        <v>359</v>
      </c>
      <c r="P980" t="s">
        <v>279</v>
      </c>
      <c r="Q980" s="1" t="s">
        <v>2292</v>
      </c>
      <c r="R980" s="1" t="s">
        <v>124</v>
      </c>
      <c r="S980" s="1" t="s">
        <v>124</v>
      </c>
      <c r="T980" t="s">
        <v>396</v>
      </c>
      <c r="U980" s="1" t="s">
        <v>123</v>
      </c>
      <c r="X980" t="s">
        <v>161</v>
      </c>
      <c r="Y980" t="s">
        <v>2272</v>
      </c>
      <c r="Z980" t="s">
        <v>2272</v>
      </c>
      <c r="AA980" t="s">
        <v>2272</v>
      </c>
      <c r="AB980" t="s">
        <v>2272</v>
      </c>
      <c r="AC980" t="s">
        <v>162</v>
      </c>
      <c r="AD980" t="s">
        <v>2272</v>
      </c>
      <c r="AF980" t="s">
        <v>49</v>
      </c>
      <c r="AH980" s="4" t="s">
        <v>49</v>
      </c>
      <c r="AJ980" t="s">
        <v>49</v>
      </c>
      <c r="AM980" t="s">
        <v>688</v>
      </c>
      <c r="AN980" t="s">
        <v>166</v>
      </c>
      <c r="AQ980" s="5">
        <v>0</v>
      </c>
    </row>
    <row r="981" spans="1:45" x14ac:dyDescent="0.2">
      <c r="A981" t="s">
        <v>685</v>
      </c>
      <c r="B981" t="s">
        <v>686</v>
      </c>
      <c r="C981">
        <v>2020</v>
      </c>
      <c r="D981" t="s">
        <v>44</v>
      </c>
      <c r="F981" t="s">
        <v>683</v>
      </c>
      <c r="G981" t="s">
        <v>86</v>
      </c>
      <c r="H981" t="s">
        <v>96</v>
      </c>
      <c r="I981" t="s">
        <v>614</v>
      </c>
      <c r="J981">
        <v>1.08</v>
      </c>
      <c r="K981" t="s">
        <v>104</v>
      </c>
      <c r="M981">
        <v>1</v>
      </c>
      <c r="N981" t="s">
        <v>123</v>
      </c>
      <c r="O981" t="s">
        <v>517</v>
      </c>
      <c r="P981" t="s">
        <v>687</v>
      </c>
      <c r="Q981" s="1" t="s">
        <v>2281</v>
      </c>
      <c r="R981" s="1" t="s">
        <v>2282</v>
      </c>
      <c r="S981" s="1" t="s">
        <v>123</v>
      </c>
      <c r="T981" t="s">
        <v>396</v>
      </c>
      <c r="U981" s="1" t="s">
        <v>124</v>
      </c>
      <c r="X981" t="s">
        <v>161</v>
      </c>
      <c r="Y981" t="s">
        <v>2272</v>
      </c>
      <c r="Z981" t="s">
        <v>2272</v>
      </c>
      <c r="AA981" t="s">
        <v>2272</v>
      </c>
      <c r="AB981" t="s">
        <v>2272</v>
      </c>
      <c r="AC981" t="s">
        <v>162</v>
      </c>
      <c r="AD981" t="s">
        <v>2272</v>
      </c>
      <c r="AF981" t="s">
        <v>49</v>
      </c>
      <c r="AH981" s="4" t="s">
        <v>49</v>
      </c>
      <c r="AJ981" t="s">
        <v>49</v>
      </c>
      <c r="AM981" t="s">
        <v>688</v>
      </c>
      <c r="AN981" t="s">
        <v>154</v>
      </c>
      <c r="AQ981" s="5">
        <v>0</v>
      </c>
    </row>
    <row r="982" spans="1:45" x14ac:dyDescent="0.2">
      <c r="A982" t="s">
        <v>685</v>
      </c>
      <c r="B982" t="s">
        <v>686</v>
      </c>
      <c r="C982">
        <v>2020</v>
      </c>
      <c r="D982" t="s">
        <v>44</v>
      </c>
      <c r="F982" t="s">
        <v>683</v>
      </c>
      <c r="G982" t="s">
        <v>86</v>
      </c>
      <c r="H982" t="s">
        <v>96</v>
      </c>
      <c r="I982" t="s">
        <v>614</v>
      </c>
      <c r="J982">
        <v>1.08</v>
      </c>
      <c r="K982" t="s">
        <v>104</v>
      </c>
      <c r="N982" t="s">
        <v>124</v>
      </c>
      <c r="O982" t="s">
        <v>359</v>
      </c>
      <c r="P982" t="s">
        <v>279</v>
      </c>
      <c r="Q982" s="1" t="s">
        <v>2292</v>
      </c>
      <c r="R982" s="1" t="s">
        <v>124</v>
      </c>
      <c r="S982" s="1" t="s">
        <v>124</v>
      </c>
      <c r="T982" t="s">
        <v>396</v>
      </c>
      <c r="U982" s="1" t="s">
        <v>123</v>
      </c>
      <c r="X982" t="s">
        <v>161</v>
      </c>
      <c r="Y982" t="s">
        <v>2272</v>
      </c>
      <c r="Z982" t="s">
        <v>2272</v>
      </c>
      <c r="AA982" t="s">
        <v>2272</v>
      </c>
      <c r="AB982" t="s">
        <v>2272</v>
      </c>
      <c r="AC982" t="s">
        <v>162</v>
      </c>
      <c r="AD982" t="s">
        <v>2272</v>
      </c>
      <c r="AF982" t="s">
        <v>49</v>
      </c>
      <c r="AH982" s="4" t="s">
        <v>49</v>
      </c>
      <c r="AJ982" t="s">
        <v>49</v>
      </c>
      <c r="AM982" t="s">
        <v>688</v>
      </c>
      <c r="AN982" t="s">
        <v>154</v>
      </c>
      <c r="AQ982" s="5">
        <v>0</v>
      </c>
    </row>
    <row r="983" spans="1:45" x14ac:dyDescent="0.2">
      <c r="A983" t="s">
        <v>685</v>
      </c>
      <c r="B983" t="s">
        <v>686</v>
      </c>
      <c r="C983">
        <v>2020</v>
      </c>
      <c r="D983" t="s">
        <v>44</v>
      </c>
      <c r="F983" t="s">
        <v>683</v>
      </c>
      <c r="G983" t="s">
        <v>86</v>
      </c>
      <c r="H983" t="s">
        <v>96</v>
      </c>
      <c r="I983" t="s">
        <v>614</v>
      </c>
      <c r="J983">
        <v>1.08</v>
      </c>
      <c r="K983" t="s">
        <v>104</v>
      </c>
      <c r="M983">
        <v>1</v>
      </c>
      <c r="N983" t="s">
        <v>123</v>
      </c>
      <c r="O983" t="s">
        <v>517</v>
      </c>
      <c r="P983" t="s">
        <v>687</v>
      </c>
      <c r="Q983" s="1" t="s">
        <v>2281</v>
      </c>
      <c r="R983" s="1" t="s">
        <v>2282</v>
      </c>
      <c r="S983" s="1" t="s">
        <v>123</v>
      </c>
      <c r="T983" t="s">
        <v>396</v>
      </c>
      <c r="U983" s="1" t="s">
        <v>124</v>
      </c>
      <c r="X983" t="s">
        <v>161</v>
      </c>
      <c r="Y983" t="s">
        <v>2272</v>
      </c>
      <c r="Z983" t="s">
        <v>2272</v>
      </c>
      <c r="AA983" t="s">
        <v>2272</v>
      </c>
      <c r="AB983" t="s">
        <v>2272</v>
      </c>
      <c r="AC983" t="s">
        <v>162</v>
      </c>
      <c r="AD983" t="s">
        <v>2272</v>
      </c>
      <c r="AF983" t="s">
        <v>49</v>
      </c>
      <c r="AH983" s="4" t="s">
        <v>49</v>
      </c>
      <c r="AJ983" t="s">
        <v>49</v>
      </c>
      <c r="AM983" t="s">
        <v>688</v>
      </c>
      <c r="AN983" t="s">
        <v>165</v>
      </c>
      <c r="AP983" t="s">
        <v>49</v>
      </c>
    </row>
    <row r="984" spans="1:45" x14ac:dyDescent="0.2">
      <c r="A984" t="s">
        <v>685</v>
      </c>
      <c r="B984" t="s">
        <v>686</v>
      </c>
      <c r="C984">
        <v>2020</v>
      </c>
      <c r="D984" t="s">
        <v>44</v>
      </c>
      <c r="F984" t="s">
        <v>683</v>
      </c>
      <c r="G984" t="s">
        <v>86</v>
      </c>
      <c r="H984" t="s">
        <v>96</v>
      </c>
      <c r="I984" t="s">
        <v>614</v>
      </c>
      <c r="J984">
        <v>1.08</v>
      </c>
      <c r="K984" t="s">
        <v>104</v>
      </c>
      <c r="N984" t="s">
        <v>124</v>
      </c>
      <c r="O984" t="s">
        <v>359</v>
      </c>
      <c r="P984" t="s">
        <v>279</v>
      </c>
      <c r="Q984" s="1" t="s">
        <v>2292</v>
      </c>
      <c r="R984" s="1" t="s">
        <v>124</v>
      </c>
      <c r="S984" s="1" t="s">
        <v>124</v>
      </c>
      <c r="T984" t="s">
        <v>396</v>
      </c>
      <c r="U984" s="1" t="s">
        <v>123</v>
      </c>
      <c r="X984" t="s">
        <v>161</v>
      </c>
      <c r="Y984" t="s">
        <v>2272</v>
      </c>
      <c r="Z984" t="s">
        <v>2272</v>
      </c>
      <c r="AA984" t="s">
        <v>2272</v>
      </c>
      <c r="AB984" t="s">
        <v>2272</v>
      </c>
      <c r="AC984" t="s">
        <v>162</v>
      </c>
      <c r="AD984" t="s">
        <v>2272</v>
      </c>
      <c r="AF984" t="s">
        <v>49</v>
      </c>
      <c r="AH984" s="4" t="s">
        <v>49</v>
      </c>
      <c r="AJ984" t="s">
        <v>49</v>
      </c>
      <c r="AM984" t="s">
        <v>688</v>
      </c>
      <c r="AN984" t="s">
        <v>165</v>
      </c>
      <c r="AP984" t="s">
        <v>49</v>
      </c>
    </row>
    <row r="985" spans="1:45" x14ac:dyDescent="0.2">
      <c r="A985" t="s">
        <v>689</v>
      </c>
      <c r="B985" t="s">
        <v>690</v>
      </c>
      <c r="C985">
        <v>2020</v>
      </c>
      <c r="D985" t="s">
        <v>44</v>
      </c>
      <c r="F985" t="s">
        <v>957</v>
      </c>
      <c r="G985" t="s">
        <v>85</v>
      </c>
      <c r="N985" t="s">
        <v>466</v>
      </c>
      <c r="P985" t="s">
        <v>691</v>
      </c>
      <c r="Q985" s="1" t="s">
        <v>2272</v>
      </c>
      <c r="R985" s="1" t="s">
        <v>2272</v>
      </c>
      <c r="S985" s="1" t="s">
        <v>2272</v>
      </c>
      <c r="Y985" t="s">
        <v>2272</v>
      </c>
      <c r="Z985" t="s">
        <v>2272</v>
      </c>
      <c r="AA985" t="s">
        <v>2272</v>
      </c>
      <c r="AB985" t="s">
        <v>2272</v>
      </c>
      <c r="AD985" t="s">
        <v>2272</v>
      </c>
      <c r="AR985" t="s">
        <v>692</v>
      </c>
      <c r="AS985" t="s">
        <v>2583</v>
      </c>
    </row>
    <row r="986" spans="1:45" x14ac:dyDescent="0.2">
      <c r="A986" t="s">
        <v>693</v>
      </c>
      <c r="B986" t="s">
        <v>694</v>
      </c>
      <c r="C986">
        <v>2020</v>
      </c>
      <c r="D986" t="s">
        <v>44</v>
      </c>
      <c r="E986" t="s">
        <v>49</v>
      </c>
      <c r="F986" t="s">
        <v>696</v>
      </c>
      <c r="G986" t="s">
        <v>86</v>
      </c>
      <c r="H986" t="s">
        <v>350</v>
      </c>
      <c r="K986" t="s">
        <v>101</v>
      </c>
      <c r="L986">
        <v>100</v>
      </c>
      <c r="M986">
        <v>0</v>
      </c>
      <c r="N986" t="s">
        <v>131</v>
      </c>
      <c r="O986" t="s">
        <v>695</v>
      </c>
      <c r="P986" t="s">
        <v>697</v>
      </c>
      <c r="Q986" s="1" t="s">
        <v>2281</v>
      </c>
      <c r="R986" s="1" t="s">
        <v>2295</v>
      </c>
      <c r="S986" s="1" t="s">
        <v>2295</v>
      </c>
      <c r="X986" t="s">
        <v>615</v>
      </c>
      <c r="Y986" t="s">
        <v>2273</v>
      </c>
      <c r="Z986" t="s">
        <v>249</v>
      </c>
      <c r="AA986" t="s">
        <v>2359</v>
      </c>
      <c r="AB986" t="s">
        <v>2285</v>
      </c>
      <c r="AC986" t="s">
        <v>152</v>
      </c>
      <c r="AD986" t="s">
        <v>137</v>
      </c>
      <c r="AF986" t="s">
        <v>49</v>
      </c>
      <c r="AI986" t="s">
        <v>49</v>
      </c>
      <c r="AM986" t="s">
        <v>706</v>
      </c>
      <c r="AN986" t="s">
        <v>166</v>
      </c>
      <c r="AP986" t="s">
        <v>51</v>
      </c>
    </row>
    <row r="987" spans="1:45" x14ac:dyDescent="0.2">
      <c r="A987" t="s">
        <v>693</v>
      </c>
      <c r="B987" t="s">
        <v>694</v>
      </c>
      <c r="C987">
        <v>2020</v>
      </c>
      <c r="D987" t="s">
        <v>44</v>
      </c>
      <c r="E987" t="s">
        <v>49</v>
      </c>
      <c r="F987" t="s">
        <v>696</v>
      </c>
      <c r="G987" t="s">
        <v>86</v>
      </c>
      <c r="H987" t="s">
        <v>350</v>
      </c>
      <c r="K987" t="s">
        <v>101</v>
      </c>
      <c r="L987">
        <v>100</v>
      </c>
      <c r="M987">
        <v>0</v>
      </c>
      <c r="N987" t="s">
        <v>131</v>
      </c>
      <c r="O987" t="s">
        <v>695</v>
      </c>
      <c r="P987" t="s">
        <v>705</v>
      </c>
      <c r="Q987" s="1" t="s">
        <v>2281</v>
      </c>
      <c r="R987" s="1" t="s">
        <v>2295</v>
      </c>
      <c r="S987" s="1" t="s">
        <v>2295</v>
      </c>
      <c r="X987" t="s">
        <v>615</v>
      </c>
      <c r="Y987" t="s">
        <v>2273</v>
      </c>
      <c r="Z987" t="s">
        <v>249</v>
      </c>
      <c r="AA987" t="s">
        <v>2359</v>
      </c>
      <c r="AB987" t="s">
        <v>2285</v>
      </c>
      <c r="AC987" t="s">
        <v>152</v>
      </c>
      <c r="AD987" t="s">
        <v>137</v>
      </c>
      <c r="AF987" t="s">
        <v>49</v>
      </c>
      <c r="AI987" t="s">
        <v>49</v>
      </c>
      <c r="AM987" t="s">
        <v>706</v>
      </c>
      <c r="AN987" t="s">
        <v>166</v>
      </c>
      <c r="AP987" t="s">
        <v>157</v>
      </c>
    </row>
    <row r="988" spans="1:45" x14ac:dyDescent="0.2">
      <c r="A988" t="s">
        <v>693</v>
      </c>
      <c r="B988" t="s">
        <v>694</v>
      </c>
      <c r="C988">
        <v>2020</v>
      </c>
      <c r="D988" t="s">
        <v>44</v>
      </c>
      <c r="E988" t="s">
        <v>49</v>
      </c>
      <c r="F988" t="s">
        <v>696</v>
      </c>
      <c r="G988" t="s">
        <v>86</v>
      </c>
      <c r="H988" t="s">
        <v>350</v>
      </c>
      <c r="K988" t="s">
        <v>101</v>
      </c>
      <c r="L988">
        <v>100</v>
      </c>
      <c r="M988">
        <v>0</v>
      </c>
      <c r="N988" t="s">
        <v>131</v>
      </c>
      <c r="O988" t="s">
        <v>695</v>
      </c>
      <c r="P988" t="s">
        <v>704</v>
      </c>
      <c r="Q988" s="1" t="s">
        <v>2281</v>
      </c>
      <c r="R988" s="1" t="s">
        <v>2295</v>
      </c>
      <c r="S988" s="1" t="s">
        <v>2295</v>
      </c>
      <c r="X988" t="s">
        <v>615</v>
      </c>
      <c r="Y988" t="s">
        <v>2273</v>
      </c>
      <c r="Z988" t="s">
        <v>249</v>
      </c>
      <c r="AA988" t="s">
        <v>2359</v>
      </c>
      <c r="AB988" t="s">
        <v>2285</v>
      </c>
      <c r="AC988" t="s">
        <v>152</v>
      </c>
      <c r="AD988" t="s">
        <v>137</v>
      </c>
    </row>
    <row r="989" spans="1:45" x14ac:dyDescent="0.2">
      <c r="A989" t="s">
        <v>693</v>
      </c>
      <c r="B989" t="s">
        <v>694</v>
      </c>
      <c r="C989">
        <v>2020</v>
      </c>
      <c r="D989" t="s">
        <v>44</v>
      </c>
      <c r="E989" t="s">
        <v>49</v>
      </c>
      <c r="F989" t="s">
        <v>696</v>
      </c>
      <c r="G989" t="s">
        <v>86</v>
      </c>
      <c r="H989" t="s">
        <v>350</v>
      </c>
      <c r="K989" t="s">
        <v>101</v>
      </c>
      <c r="L989">
        <v>100</v>
      </c>
      <c r="M989">
        <v>0</v>
      </c>
      <c r="N989" t="s">
        <v>131</v>
      </c>
      <c r="O989" t="s">
        <v>695</v>
      </c>
      <c r="P989" t="s">
        <v>2576</v>
      </c>
      <c r="Q989" s="1" t="s">
        <v>2281</v>
      </c>
      <c r="R989" s="1" t="s">
        <v>2295</v>
      </c>
      <c r="S989" s="1" t="s">
        <v>2295</v>
      </c>
      <c r="X989" t="s">
        <v>615</v>
      </c>
      <c r="Y989" t="s">
        <v>2273</v>
      </c>
      <c r="Z989" t="s">
        <v>249</v>
      </c>
      <c r="AA989" t="s">
        <v>2359</v>
      </c>
      <c r="AB989" t="s">
        <v>2285</v>
      </c>
      <c r="AC989" t="s">
        <v>152</v>
      </c>
      <c r="AD989" t="s">
        <v>137</v>
      </c>
      <c r="AF989" t="s">
        <v>49</v>
      </c>
      <c r="AI989" t="s">
        <v>49</v>
      </c>
      <c r="AM989" t="s">
        <v>706</v>
      </c>
      <c r="AN989" t="s">
        <v>166</v>
      </c>
      <c r="AP989" t="s">
        <v>51</v>
      </c>
    </row>
    <row r="990" spans="1:45" x14ac:dyDescent="0.2">
      <c r="A990" t="s">
        <v>693</v>
      </c>
      <c r="B990" t="s">
        <v>694</v>
      </c>
      <c r="C990">
        <v>2020</v>
      </c>
      <c r="D990" t="s">
        <v>44</v>
      </c>
      <c r="E990" t="s">
        <v>49</v>
      </c>
      <c r="F990" t="s">
        <v>696</v>
      </c>
      <c r="G990" t="s">
        <v>86</v>
      </c>
      <c r="H990" t="s">
        <v>350</v>
      </c>
      <c r="K990" t="s">
        <v>101</v>
      </c>
      <c r="L990">
        <v>100</v>
      </c>
      <c r="M990">
        <v>0</v>
      </c>
      <c r="N990" t="s">
        <v>131</v>
      </c>
      <c r="O990" t="s">
        <v>695</v>
      </c>
      <c r="P990" t="s">
        <v>703</v>
      </c>
      <c r="Q990" s="1" t="s">
        <v>2281</v>
      </c>
      <c r="R990" s="1" t="s">
        <v>2295</v>
      </c>
      <c r="S990" s="1" t="s">
        <v>2295</v>
      </c>
      <c r="X990" t="s">
        <v>615</v>
      </c>
      <c r="Y990" t="s">
        <v>2273</v>
      </c>
      <c r="Z990" t="s">
        <v>249</v>
      </c>
      <c r="AA990" t="s">
        <v>2359</v>
      </c>
      <c r="AB990" t="s">
        <v>2285</v>
      </c>
      <c r="AC990" t="s">
        <v>152</v>
      </c>
      <c r="AD990" t="s">
        <v>137</v>
      </c>
    </row>
    <row r="991" spans="1:45" x14ac:dyDescent="0.2">
      <c r="A991" t="s">
        <v>693</v>
      </c>
      <c r="B991" t="s">
        <v>694</v>
      </c>
      <c r="C991">
        <v>2020</v>
      </c>
      <c r="D991" t="s">
        <v>44</v>
      </c>
      <c r="E991" t="s">
        <v>49</v>
      </c>
      <c r="F991" t="s">
        <v>696</v>
      </c>
      <c r="G991" t="s">
        <v>86</v>
      </c>
      <c r="H991" t="s">
        <v>350</v>
      </c>
      <c r="K991" t="s">
        <v>101</v>
      </c>
      <c r="L991">
        <v>100</v>
      </c>
      <c r="M991">
        <v>0</v>
      </c>
      <c r="N991" t="s">
        <v>131</v>
      </c>
      <c r="O991" t="s">
        <v>695</v>
      </c>
      <c r="P991" t="s">
        <v>702</v>
      </c>
      <c r="Q991" s="1" t="s">
        <v>2281</v>
      </c>
      <c r="R991" s="1" t="s">
        <v>2295</v>
      </c>
      <c r="S991" s="1" t="s">
        <v>2295</v>
      </c>
      <c r="X991" t="s">
        <v>615</v>
      </c>
      <c r="Y991" t="s">
        <v>2273</v>
      </c>
      <c r="Z991" t="s">
        <v>249</v>
      </c>
      <c r="AA991" t="s">
        <v>2359</v>
      </c>
      <c r="AB991" t="s">
        <v>2285</v>
      </c>
      <c r="AC991" t="s">
        <v>152</v>
      </c>
      <c r="AD991" t="s">
        <v>137</v>
      </c>
    </row>
    <row r="992" spans="1:45" x14ac:dyDescent="0.2">
      <c r="A992" t="s">
        <v>693</v>
      </c>
      <c r="B992" t="s">
        <v>694</v>
      </c>
      <c r="C992">
        <v>2020</v>
      </c>
      <c r="D992" t="s">
        <v>44</v>
      </c>
      <c r="E992" t="s">
        <v>49</v>
      </c>
      <c r="F992" t="s">
        <v>696</v>
      </c>
      <c r="G992" t="s">
        <v>86</v>
      </c>
      <c r="H992" t="s">
        <v>350</v>
      </c>
      <c r="K992" t="s">
        <v>101</v>
      </c>
      <c r="L992">
        <v>100</v>
      </c>
      <c r="M992">
        <v>0</v>
      </c>
      <c r="N992" t="s">
        <v>131</v>
      </c>
      <c r="O992" t="s">
        <v>695</v>
      </c>
      <c r="P992" t="s">
        <v>701</v>
      </c>
      <c r="Q992" s="1" t="s">
        <v>2281</v>
      </c>
      <c r="R992" s="1" t="s">
        <v>2295</v>
      </c>
      <c r="S992" s="1" t="s">
        <v>2295</v>
      </c>
      <c r="X992" t="s">
        <v>615</v>
      </c>
      <c r="Y992" t="s">
        <v>2273</v>
      </c>
      <c r="Z992" t="s">
        <v>249</v>
      </c>
      <c r="AA992" t="s">
        <v>2359</v>
      </c>
      <c r="AB992" t="s">
        <v>2285</v>
      </c>
      <c r="AC992" t="s">
        <v>152</v>
      </c>
      <c r="AD992" t="s">
        <v>137</v>
      </c>
      <c r="AF992" t="s">
        <v>49</v>
      </c>
      <c r="AI992" t="s">
        <v>49</v>
      </c>
      <c r="AM992" t="s">
        <v>706</v>
      </c>
      <c r="AN992" t="s">
        <v>166</v>
      </c>
      <c r="AP992" t="s">
        <v>51</v>
      </c>
    </row>
    <row r="993" spans="1:43" x14ac:dyDescent="0.2">
      <c r="A993" t="s">
        <v>693</v>
      </c>
      <c r="B993" t="s">
        <v>694</v>
      </c>
      <c r="C993">
        <v>2020</v>
      </c>
      <c r="D993" t="s">
        <v>44</v>
      </c>
      <c r="E993" t="s">
        <v>49</v>
      </c>
      <c r="F993" t="s">
        <v>696</v>
      </c>
      <c r="G993" t="s">
        <v>86</v>
      </c>
      <c r="H993" t="s">
        <v>350</v>
      </c>
      <c r="K993" t="s">
        <v>101</v>
      </c>
      <c r="L993">
        <v>100</v>
      </c>
      <c r="M993">
        <v>0</v>
      </c>
      <c r="N993" t="s">
        <v>131</v>
      </c>
      <c r="O993" t="s">
        <v>695</v>
      </c>
      <c r="P993" t="s">
        <v>700</v>
      </c>
      <c r="Q993" s="1" t="s">
        <v>2281</v>
      </c>
      <c r="R993" s="1" t="s">
        <v>2295</v>
      </c>
      <c r="S993" s="1" t="s">
        <v>2295</v>
      </c>
      <c r="X993" t="s">
        <v>615</v>
      </c>
      <c r="Y993" t="s">
        <v>2273</v>
      </c>
      <c r="Z993" t="s">
        <v>249</v>
      </c>
      <c r="AA993" t="s">
        <v>2359</v>
      </c>
      <c r="AB993" t="s">
        <v>2285</v>
      </c>
      <c r="AC993" t="s">
        <v>152</v>
      </c>
      <c r="AD993" t="s">
        <v>137</v>
      </c>
    </row>
    <row r="994" spans="1:43" x14ac:dyDescent="0.2">
      <c r="A994" t="s">
        <v>693</v>
      </c>
      <c r="B994" t="s">
        <v>694</v>
      </c>
      <c r="C994">
        <v>2020</v>
      </c>
      <c r="D994" t="s">
        <v>44</v>
      </c>
      <c r="E994" t="s">
        <v>49</v>
      </c>
      <c r="F994" t="s">
        <v>696</v>
      </c>
      <c r="G994" t="s">
        <v>86</v>
      </c>
      <c r="H994" t="s">
        <v>350</v>
      </c>
      <c r="K994" t="s">
        <v>101</v>
      </c>
      <c r="L994">
        <v>100</v>
      </c>
      <c r="M994">
        <v>0</v>
      </c>
      <c r="N994" t="s">
        <v>131</v>
      </c>
      <c r="O994" t="s">
        <v>695</v>
      </c>
      <c r="P994" t="s">
        <v>699</v>
      </c>
      <c r="Q994" s="1" t="s">
        <v>2281</v>
      </c>
      <c r="R994" s="1" t="s">
        <v>2295</v>
      </c>
      <c r="S994" s="1" t="s">
        <v>2295</v>
      </c>
      <c r="X994" t="s">
        <v>615</v>
      </c>
      <c r="Y994" t="s">
        <v>2273</v>
      </c>
      <c r="Z994" t="s">
        <v>249</v>
      </c>
      <c r="AA994" t="s">
        <v>2359</v>
      </c>
      <c r="AB994" t="s">
        <v>2285</v>
      </c>
      <c r="AC994" t="s">
        <v>152</v>
      </c>
      <c r="AD994" t="s">
        <v>137</v>
      </c>
      <c r="AF994" t="s">
        <v>49</v>
      </c>
      <c r="AI994" t="s">
        <v>49</v>
      </c>
      <c r="AM994" t="s">
        <v>706</v>
      </c>
      <c r="AN994" t="s">
        <v>166</v>
      </c>
      <c r="AP994" t="s">
        <v>51</v>
      </c>
    </row>
    <row r="995" spans="1:43" x14ac:dyDescent="0.2">
      <c r="A995" t="s">
        <v>693</v>
      </c>
      <c r="B995" t="s">
        <v>694</v>
      </c>
      <c r="C995">
        <v>2020</v>
      </c>
      <c r="D995" t="s">
        <v>44</v>
      </c>
      <c r="E995" t="s">
        <v>49</v>
      </c>
      <c r="F995" t="s">
        <v>696</v>
      </c>
      <c r="G995" t="s">
        <v>86</v>
      </c>
      <c r="H995" t="s">
        <v>350</v>
      </c>
      <c r="K995" t="s">
        <v>101</v>
      </c>
      <c r="L995">
        <v>100</v>
      </c>
      <c r="M995">
        <v>0</v>
      </c>
      <c r="N995" t="s">
        <v>131</v>
      </c>
      <c r="O995" t="s">
        <v>695</v>
      </c>
      <c r="P995" t="s">
        <v>698</v>
      </c>
      <c r="Q995" s="1" t="s">
        <v>2281</v>
      </c>
      <c r="R995" s="1" t="s">
        <v>2295</v>
      </c>
      <c r="S995" s="1" t="s">
        <v>2295</v>
      </c>
      <c r="X995" t="s">
        <v>615</v>
      </c>
      <c r="Y995" t="s">
        <v>2273</v>
      </c>
      <c r="Z995" t="s">
        <v>249</v>
      </c>
      <c r="AA995" t="s">
        <v>2359</v>
      </c>
      <c r="AB995" t="s">
        <v>2285</v>
      </c>
      <c r="AC995" t="s">
        <v>152</v>
      </c>
      <c r="AD995" t="s">
        <v>137</v>
      </c>
    </row>
    <row r="996" spans="1:43" x14ac:dyDescent="0.2">
      <c r="A996" t="s">
        <v>693</v>
      </c>
      <c r="B996" t="s">
        <v>694</v>
      </c>
      <c r="C996">
        <v>2020</v>
      </c>
      <c r="D996" t="s">
        <v>44</v>
      </c>
      <c r="E996" t="s">
        <v>49</v>
      </c>
      <c r="F996" t="s">
        <v>696</v>
      </c>
      <c r="G996" t="s">
        <v>86</v>
      </c>
      <c r="H996" t="s">
        <v>350</v>
      </c>
      <c r="K996" t="s">
        <v>101</v>
      </c>
      <c r="L996">
        <v>100</v>
      </c>
      <c r="M996">
        <v>0</v>
      </c>
      <c r="N996" t="s">
        <v>131</v>
      </c>
      <c r="O996" t="s">
        <v>695</v>
      </c>
      <c r="P996" t="s">
        <v>697</v>
      </c>
      <c r="Q996" s="1" t="s">
        <v>2281</v>
      </c>
      <c r="R996" s="1" t="s">
        <v>2295</v>
      </c>
      <c r="S996" s="1" t="s">
        <v>2295</v>
      </c>
      <c r="T996" t="s">
        <v>396</v>
      </c>
      <c r="U996" s="1" t="s">
        <v>2386</v>
      </c>
      <c r="X996" t="s">
        <v>161</v>
      </c>
      <c r="Y996" t="s">
        <v>2272</v>
      </c>
      <c r="Z996" t="s">
        <v>2272</v>
      </c>
      <c r="AA996" t="s">
        <v>2272</v>
      </c>
      <c r="AB996" t="s">
        <v>2272</v>
      </c>
      <c r="AC996" t="s">
        <v>162</v>
      </c>
      <c r="AD996" t="s">
        <v>2272</v>
      </c>
      <c r="AF996" t="s">
        <v>49</v>
      </c>
      <c r="AI996" t="s">
        <v>49</v>
      </c>
      <c r="AM996" t="s">
        <v>706</v>
      </c>
      <c r="AN996" t="s">
        <v>166</v>
      </c>
      <c r="AQ996" s="5">
        <v>0</v>
      </c>
    </row>
    <row r="997" spans="1:43" x14ac:dyDescent="0.2">
      <c r="A997" t="s">
        <v>693</v>
      </c>
      <c r="B997" t="s">
        <v>694</v>
      </c>
      <c r="C997">
        <v>2020</v>
      </c>
      <c r="D997" t="s">
        <v>44</v>
      </c>
      <c r="E997" t="s">
        <v>49</v>
      </c>
      <c r="F997" t="s">
        <v>696</v>
      </c>
      <c r="G997" t="s">
        <v>86</v>
      </c>
      <c r="H997" t="s">
        <v>350</v>
      </c>
      <c r="K997" t="s">
        <v>101</v>
      </c>
      <c r="L997">
        <v>100</v>
      </c>
      <c r="M997">
        <v>0</v>
      </c>
      <c r="N997" t="s">
        <v>131</v>
      </c>
      <c r="O997" t="s">
        <v>695</v>
      </c>
      <c r="P997" t="s">
        <v>705</v>
      </c>
      <c r="Q997" s="1" t="s">
        <v>2281</v>
      </c>
      <c r="R997" s="1" t="s">
        <v>2295</v>
      </c>
      <c r="S997" s="1" t="s">
        <v>2295</v>
      </c>
      <c r="T997" t="s">
        <v>396</v>
      </c>
      <c r="U997" s="1" t="s">
        <v>2386</v>
      </c>
      <c r="X997" t="s">
        <v>161</v>
      </c>
      <c r="Y997" t="s">
        <v>2272</v>
      </c>
      <c r="Z997" t="s">
        <v>2272</v>
      </c>
      <c r="AA997" t="s">
        <v>2272</v>
      </c>
      <c r="AB997" t="s">
        <v>2272</v>
      </c>
      <c r="AC997" t="s">
        <v>162</v>
      </c>
      <c r="AD997" t="s">
        <v>2272</v>
      </c>
      <c r="AF997" t="s">
        <v>49</v>
      </c>
      <c r="AI997" t="s">
        <v>49</v>
      </c>
      <c r="AM997" t="s">
        <v>706</v>
      </c>
      <c r="AN997" t="s">
        <v>166</v>
      </c>
      <c r="AQ997" s="5">
        <v>0</v>
      </c>
    </row>
    <row r="998" spans="1:43" x14ac:dyDescent="0.2">
      <c r="A998" t="s">
        <v>693</v>
      </c>
      <c r="B998" t="s">
        <v>694</v>
      </c>
      <c r="C998">
        <v>2020</v>
      </c>
      <c r="D998" t="s">
        <v>44</v>
      </c>
      <c r="E998" t="s">
        <v>49</v>
      </c>
      <c r="F998" t="s">
        <v>696</v>
      </c>
      <c r="G998" t="s">
        <v>86</v>
      </c>
      <c r="H998" t="s">
        <v>350</v>
      </c>
      <c r="K998" t="s">
        <v>101</v>
      </c>
      <c r="L998">
        <v>100</v>
      </c>
      <c r="M998">
        <v>0</v>
      </c>
      <c r="N998" t="s">
        <v>131</v>
      </c>
      <c r="O998" t="s">
        <v>695</v>
      </c>
      <c r="P998" t="s">
        <v>2576</v>
      </c>
      <c r="Q998" s="1" t="s">
        <v>2281</v>
      </c>
      <c r="R998" s="1" t="s">
        <v>2295</v>
      </c>
      <c r="S998" s="1" t="s">
        <v>2295</v>
      </c>
      <c r="T998" t="s">
        <v>396</v>
      </c>
      <c r="U998" s="1" t="s">
        <v>2386</v>
      </c>
      <c r="X998" t="s">
        <v>161</v>
      </c>
      <c r="Y998" t="s">
        <v>2272</v>
      </c>
      <c r="Z998" t="s">
        <v>2272</v>
      </c>
      <c r="AA998" t="s">
        <v>2272</v>
      </c>
      <c r="AB998" t="s">
        <v>2272</v>
      </c>
      <c r="AC998" t="s">
        <v>162</v>
      </c>
      <c r="AD998" t="s">
        <v>2272</v>
      </c>
      <c r="AF998" t="s">
        <v>49</v>
      </c>
      <c r="AI998" t="s">
        <v>49</v>
      </c>
      <c r="AM998" t="s">
        <v>706</v>
      </c>
      <c r="AN998" t="s">
        <v>166</v>
      </c>
      <c r="AQ998" s="5">
        <v>0</v>
      </c>
    </row>
    <row r="999" spans="1:43" x14ac:dyDescent="0.2">
      <c r="A999" t="s">
        <v>693</v>
      </c>
      <c r="B999" t="s">
        <v>694</v>
      </c>
      <c r="C999">
        <v>2020</v>
      </c>
      <c r="D999" t="s">
        <v>44</v>
      </c>
      <c r="E999" t="s">
        <v>49</v>
      </c>
      <c r="F999" t="s">
        <v>696</v>
      </c>
      <c r="G999" t="s">
        <v>86</v>
      </c>
      <c r="H999" t="s">
        <v>350</v>
      </c>
      <c r="K999" t="s">
        <v>101</v>
      </c>
      <c r="L999">
        <v>100</v>
      </c>
      <c r="M999">
        <v>0</v>
      </c>
      <c r="N999" t="s">
        <v>131</v>
      </c>
      <c r="O999" t="s">
        <v>695</v>
      </c>
      <c r="P999" t="s">
        <v>701</v>
      </c>
      <c r="Q999" s="1" t="s">
        <v>2281</v>
      </c>
      <c r="R999" s="1" t="s">
        <v>2295</v>
      </c>
      <c r="S999" s="1" t="s">
        <v>2295</v>
      </c>
      <c r="T999" t="s">
        <v>396</v>
      </c>
      <c r="U999" s="1" t="s">
        <v>2386</v>
      </c>
      <c r="X999" t="s">
        <v>161</v>
      </c>
      <c r="Y999" t="s">
        <v>2272</v>
      </c>
      <c r="Z999" t="s">
        <v>2272</v>
      </c>
      <c r="AA999" t="s">
        <v>2272</v>
      </c>
      <c r="AB999" t="s">
        <v>2272</v>
      </c>
      <c r="AC999" t="s">
        <v>162</v>
      </c>
      <c r="AD999" t="s">
        <v>2272</v>
      </c>
      <c r="AF999" t="s">
        <v>49</v>
      </c>
      <c r="AI999" t="s">
        <v>49</v>
      </c>
      <c r="AM999" t="s">
        <v>706</v>
      </c>
      <c r="AN999" t="s">
        <v>166</v>
      </c>
      <c r="AQ999" s="5">
        <v>0</v>
      </c>
    </row>
    <row r="1000" spans="1:43" x14ac:dyDescent="0.2">
      <c r="A1000" t="s">
        <v>693</v>
      </c>
      <c r="B1000" t="s">
        <v>694</v>
      </c>
      <c r="C1000">
        <v>2020</v>
      </c>
      <c r="D1000" t="s">
        <v>44</v>
      </c>
      <c r="E1000" t="s">
        <v>49</v>
      </c>
      <c r="F1000" t="s">
        <v>696</v>
      </c>
      <c r="G1000" t="s">
        <v>86</v>
      </c>
      <c r="H1000" t="s">
        <v>350</v>
      </c>
      <c r="K1000" t="s">
        <v>101</v>
      </c>
      <c r="L1000">
        <v>100</v>
      </c>
      <c r="M1000">
        <v>0</v>
      </c>
      <c r="N1000" t="s">
        <v>131</v>
      </c>
      <c r="O1000" t="s">
        <v>695</v>
      </c>
      <c r="P1000" t="s">
        <v>699</v>
      </c>
      <c r="Q1000" s="1" t="s">
        <v>2281</v>
      </c>
      <c r="R1000" s="1" t="s">
        <v>2295</v>
      </c>
      <c r="S1000" s="1" t="s">
        <v>2295</v>
      </c>
      <c r="T1000" t="s">
        <v>396</v>
      </c>
      <c r="U1000" s="1" t="s">
        <v>2386</v>
      </c>
      <c r="X1000" t="s">
        <v>161</v>
      </c>
      <c r="Y1000" t="s">
        <v>2272</v>
      </c>
      <c r="Z1000" t="s">
        <v>2272</v>
      </c>
      <c r="AA1000" t="s">
        <v>2272</v>
      </c>
      <c r="AB1000" t="s">
        <v>2272</v>
      </c>
      <c r="AC1000" t="s">
        <v>162</v>
      </c>
      <c r="AD1000" t="s">
        <v>2272</v>
      </c>
      <c r="AF1000" t="s">
        <v>49</v>
      </c>
      <c r="AI1000" t="s">
        <v>49</v>
      </c>
      <c r="AM1000" t="s">
        <v>706</v>
      </c>
      <c r="AN1000" t="s">
        <v>166</v>
      </c>
      <c r="AQ1000" s="5">
        <v>0</v>
      </c>
    </row>
    <row r="1001" spans="1:43" x14ac:dyDescent="0.2">
      <c r="A1001" t="s">
        <v>693</v>
      </c>
      <c r="B1001" t="s">
        <v>694</v>
      </c>
      <c r="C1001">
        <v>2020</v>
      </c>
      <c r="D1001" t="s">
        <v>44</v>
      </c>
      <c r="E1001" t="s">
        <v>49</v>
      </c>
      <c r="F1001" t="s">
        <v>696</v>
      </c>
      <c r="G1001" t="s">
        <v>86</v>
      </c>
      <c r="H1001" t="s">
        <v>350</v>
      </c>
      <c r="K1001" t="s">
        <v>101</v>
      </c>
      <c r="L1001">
        <v>100</v>
      </c>
      <c r="M1001">
        <v>0</v>
      </c>
      <c r="N1001" t="s">
        <v>131</v>
      </c>
      <c r="O1001" t="s">
        <v>695</v>
      </c>
      <c r="P1001" t="s">
        <v>697</v>
      </c>
      <c r="Q1001" s="1" t="s">
        <v>2281</v>
      </c>
      <c r="R1001" s="1" t="s">
        <v>2295</v>
      </c>
      <c r="S1001" s="1" t="s">
        <v>2295</v>
      </c>
      <c r="T1001" t="s">
        <v>396</v>
      </c>
      <c r="U1001" s="1" t="s">
        <v>2386</v>
      </c>
      <c r="X1001" t="s">
        <v>161</v>
      </c>
      <c r="Y1001" t="s">
        <v>2272</v>
      </c>
      <c r="Z1001" t="s">
        <v>2272</v>
      </c>
      <c r="AA1001" t="s">
        <v>2272</v>
      </c>
      <c r="AB1001" t="s">
        <v>2272</v>
      </c>
      <c r="AC1001" t="s">
        <v>162</v>
      </c>
      <c r="AD1001" t="s">
        <v>2272</v>
      </c>
      <c r="AF1001" t="s">
        <v>49</v>
      </c>
      <c r="AI1001" t="s">
        <v>49</v>
      </c>
      <c r="AM1001" t="s">
        <v>706</v>
      </c>
      <c r="AN1001" t="s">
        <v>154</v>
      </c>
      <c r="AQ1001" s="5">
        <v>0</v>
      </c>
    </row>
    <row r="1002" spans="1:43" x14ac:dyDescent="0.2">
      <c r="A1002" t="s">
        <v>693</v>
      </c>
      <c r="B1002" t="s">
        <v>694</v>
      </c>
      <c r="C1002">
        <v>2020</v>
      </c>
      <c r="D1002" t="s">
        <v>44</v>
      </c>
      <c r="E1002" t="s">
        <v>49</v>
      </c>
      <c r="F1002" t="s">
        <v>696</v>
      </c>
      <c r="G1002" t="s">
        <v>86</v>
      </c>
      <c r="H1002" t="s">
        <v>350</v>
      </c>
      <c r="K1002" t="s">
        <v>101</v>
      </c>
      <c r="L1002">
        <v>100</v>
      </c>
      <c r="M1002">
        <v>0</v>
      </c>
      <c r="N1002" t="s">
        <v>131</v>
      </c>
      <c r="O1002" t="s">
        <v>695</v>
      </c>
      <c r="P1002" t="s">
        <v>705</v>
      </c>
      <c r="Q1002" s="1" t="s">
        <v>2281</v>
      </c>
      <c r="R1002" s="1" t="s">
        <v>2295</v>
      </c>
      <c r="S1002" s="1" t="s">
        <v>2295</v>
      </c>
      <c r="T1002" t="s">
        <v>396</v>
      </c>
      <c r="U1002" s="1" t="s">
        <v>2386</v>
      </c>
      <c r="X1002" t="s">
        <v>161</v>
      </c>
      <c r="Y1002" t="s">
        <v>2272</v>
      </c>
      <c r="Z1002" t="s">
        <v>2272</v>
      </c>
      <c r="AA1002" t="s">
        <v>2272</v>
      </c>
      <c r="AB1002" t="s">
        <v>2272</v>
      </c>
      <c r="AC1002" t="s">
        <v>162</v>
      </c>
      <c r="AD1002" t="s">
        <v>2272</v>
      </c>
      <c r="AF1002" t="s">
        <v>49</v>
      </c>
      <c r="AI1002" t="s">
        <v>49</v>
      </c>
      <c r="AM1002" t="s">
        <v>706</v>
      </c>
      <c r="AN1002" t="s">
        <v>154</v>
      </c>
      <c r="AQ1002" s="5">
        <v>0</v>
      </c>
    </row>
    <row r="1003" spans="1:43" x14ac:dyDescent="0.2">
      <c r="A1003" t="s">
        <v>693</v>
      </c>
      <c r="B1003" t="s">
        <v>694</v>
      </c>
      <c r="C1003">
        <v>2020</v>
      </c>
      <c r="D1003" t="s">
        <v>44</v>
      </c>
      <c r="E1003" t="s">
        <v>49</v>
      </c>
      <c r="F1003" t="s">
        <v>696</v>
      </c>
      <c r="G1003" t="s">
        <v>86</v>
      </c>
      <c r="H1003" t="s">
        <v>350</v>
      </c>
      <c r="K1003" t="s">
        <v>101</v>
      </c>
      <c r="L1003">
        <v>100</v>
      </c>
      <c r="M1003">
        <v>0</v>
      </c>
      <c r="N1003" t="s">
        <v>131</v>
      </c>
      <c r="O1003" t="s">
        <v>695</v>
      </c>
      <c r="P1003" t="s">
        <v>2576</v>
      </c>
      <c r="Q1003" s="1" t="s">
        <v>2281</v>
      </c>
      <c r="R1003" s="1" t="s">
        <v>2295</v>
      </c>
      <c r="S1003" s="1" t="s">
        <v>2295</v>
      </c>
      <c r="T1003" t="s">
        <v>396</v>
      </c>
      <c r="U1003" s="1" t="s">
        <v>2386</v>
      </c>
      <c r="X1003" t="s">
        <v>161</v>
      </c>
      <c r="Y1003" t="s">
        <v>2272</v>
      </c>
      <c r="Z1003" t="s">
        <v>2272</v>
      </c>
      <c r="AA1003" t="s">
        <v>2272</v>
      </c>
      <c r="AB1003" t="s">
        <v>2272</v>
      </c>
      <c r="AC1003" t="s">
        <v>162</v>
      </c>
      <c r="AD1003" t="s">
        <v>2272</v>
      </c>
      <c r="AF1003" t="s">
        <v>49</v>
      </c>
      <c r="AI1003" t="s">
        <v>49</v>
      </c>
      <c r="AM1003" t="s">
        <v>706</v>
      </c>
      <c r="AN1003" t="s">
        <v>154</v>
      </c>
      <c r="AQ1003" s="5">
        <v>0</v>
      </c>
    </row>
    <row r="1004" spans="1:43" x14ac:dyDescent="0.2">
      <c r="A1004" t="s">
        <v>693</v>
      </c>
      <c r="B1004" t="s">
        <v>694</v>
      </c>
      <c r="C1004">
        <v>2020</v>
      </c>
      <c r="D1004" t="s">
        <v>44</v>
      </c>
      <c r="E1004" t="s">
        <v>49</v>
      </c>
      <c r="F1004" t="s">
        <v>696</v>
      </c>
      <c r="G1004" t="s">
        <v>86</v>
      </c>
      <c r="H1004" t="s">
        <v>350</v>
      </c>
      <c r="K1004" t="s">
        <v>101</v>
      </c>
      <c r="L1004">
        <v>100</v>
      </c>
      <c r="M1004">
        <v>0</v>
      </c>
      <c r="N1004" t="s">
        <v>131</v>
      </c>
      <c r="O1004" t="s">
        <v>695</v>
      </c>
      <c r="P1004" t="s">
        <v>701</v>
      </c>
      <c r="Q1004" s="1" t="s">
        <v>2281</v>
      </c>
      <c r="R1004" s="1" t="s">
        <v>2295</v>
      </c>
      <c r="S1004" s="1" t="s">
        <v>2295</v>
      </c>
      <c r="T1004" t="s">
        <v>396</v>
      </c>
      <c r="U1004" s="1" t="s">
        <v>2386</v>
      </c>
      <c r="X1004" t="s">
        <v>161</v>
      </c>
      <c r="Y1004" t="s">
        <v>2272</v>
      </c>
      <c r="Z1004" t="s">
        <v>2272</v>
      </c>
      <c r="AA1004" t="s">
        <v>2272</v>
      </c>
      <c r="AB1004" t="s">
        <v>2272</v>
      </c>
      <c r="AC1004" t="s">
        <v>162</v>
      </c>
      <c r="AD1004" t="s">
        <v>2272</v>
      </c>
      <c r="AF1004" t="s">
        <v>49</v>
      </c>
      <c r="AI1004" t="s">
        <v>49</v>
      </c>
      <c r="AM1004" t="s">
        <v>706</v>
      </c>
      <c r="AN1004" t="s">
        <v>154</v>
      </c>
      <c r="AQ1004" s="5">
        <v>0</v>
      </c>
    </row>
    <row r="1005" spans="1:43" x14ac:dyDescent="0.2">
      <c r="A1005" t="s">
        <v>693</v>
      </c>
      <c r="B1005" t="s">
        <v>694</v>
      </c>
      <c r="C1005">
        <v>2020</v>
      </c>
      <c r="D1005" t="s">
        <v>44</v>
      </c>
      <c r="E1005" t="s">
        <v>49</v>
      </c>
      <c r="F1005" t="s">
        <v>696</v>
      </c>
      <c r="G1005" t="s">
        <v>86</v>
      </c>
      <c r="H1005" t="s">
        <v>350</v>
      </c>
      <c r="K1005" t="s">
        <v>101</v>
      </c>
      <c r="L1005">
        <v>100</v>
      </c>
      <c r="M1005">
        <v>0</v>
      </c>
      <c r="N1005" t="s">
        <v>131</v>
      </c>
      <c r="O1005" t="s">
        <v>695</v>
      </c>
      <c r="P1005" t="s">
        <v>699</v>
      </c>
      <c r="Q1005" s="1" t="s">
        <v>2281</v>
      </c>
      <c r="R1005" s="1" t="s">
        <v>2295</v>
      </c>
      <c r="S1005" s="1" t="s">
        <v>2295</v>
      </c>
      <c r="T1005" t="s">
        <v>396</v>
      </c>
      <c r="U1005" s="1" t="s">
        <v>2386</v>
      </c>
      <c r="X1005" t="s">
        <v>161</v>
      </c>
      <c r="Y1005" t="s">
        <v>2272</v>
      </c>
      <c r="Z1005" t="s">
        <v>2272</v>
      </c>
      <c r="AA1005" t="s">
        <v>2272</v>
      </c>
      <c r="AB1005" t="s">
        <v>2272</v>
      </c>
      <c r="AC1005" t="s">
        <v>162</v>
      </c>
      <c r="AD1005" t="s">
        <v>2272</v>
      </c>
      <c r="AF1005" t="s">
        <v>49</v>
      </c>
      <c r="AI1005" t="s">
        <v>49</v>
      </c>
      <c r="AM1005" t="s">
        <v>706</v>
      </c>
      <c r="AN1005" t="s">
        <v>154</v>
      </c>
      <c r="AQ1005" s="5">
        <v>0</v>
      </c>
    </row>
    <row r="1006" spans="1:43" x14ac:dyDescent="0.2">
      <c r="A1006" t="s">
        <v>693</v>
      </c>
      <c r="B1006" t="s">
        <v>694</v>
      </c>
      <c r="C1006">
        <v>2020</v>
      </c>
      <c r="D1006" t="s">
        <v>44</v>
      </c>
      <c r="E1006" t="s">
        <v>49</v>
      </c>
      <c r="F1006" t="s">
        <v>696</v>
      </c>
      <c r="G1006" t="s">
        <v>86</v>
      </c>
      <c r="H1006" t="s">
        <v>350</v>
      </c>
      <c r="K1006" t="s">
        <v>101</v>
      </c>
      <c r="L1006">
        <v>100</v>
      </c>
      <c r="M1006">
        <v>0</v>
      </c>
      <c r="N1006" t="s">
        <v>131</v>
      </c>
      <c r="O1006" t="s">
        <v>695</v>
      </c>
      <c r="P1006" t="s">
        <v>697</v>
      </c>
      <c r="Q1006" s="1" t="s">
        <v>2281</v>
      </c>
      <c r="R1006" s="1" t="s">
        <v>2295</v>
      </c>
      <c r="S1006" s="1" t="s">
        <v>2295</v>
      </c>
      <c r="T1006" t="s">
        <v>396</v>
      </c>
      <c r="U1006" s="1"/>
      <c r="X1006" t="s">
        <v>615</v>
      </c>
      <c r="Y1006" t="s">
        <v>2273</v>
      </c>
      <c r="Z1006" t="s">
        <v>249</v>
      </c>
      <c r="AA1006" t="s">
        <v>2359</v>
      </c>
      <c r="AB1006" t="s">
        <v>2285</v>
      </c>
      <c r="AC1006" t="s">
        <v>152</v>
      </c>
      <c r="AD1006" t="s">
        <v>137</v>
      </c>
      <c r="AF1006" t="s">
        <v>49</v>
      </c>
      <c r="AI1006" t="s">
        <v>49</v>
      </c>
      <c r="AM1006" t="s">
        <v>706</v>
      </c>
      <c r="AN1006" t="s">
        <v>154</v>
      </c>
      <c r="AQ1006" s="5">
        <v>0</v>
      </c>
    </row>
    <row r="1007" spans="1:43" x14ac:dyDescent="0.2">
      <c r="A1007" t="s">
        <v>693</v>
      </c>
      <c r="B1007" t="s">
        <v>694</v>
      </c>
      <c r="C1007">
        <v>2020</v>
      </c>
      <c r="D1007" t="s">
        <v>44</v>
      </c>
      <c r="E1007" t="s">
        <v>49</v>
      </c>
      <c r="F1007" t="s">
        <v>696</v>
      </c>
      <c r="G1007" t="s">
        <v>86</v>
      </c>
      <c r="H1007" t="s">
        <v>350</v>
      </c>
      <c r="K1007" t="s">
        <v>101</v>
      </c>
      <c r="L1007">
        <v>100</v>
      </c>
      <c r="M1007">
        <v>0</v>
      </c>
      <c r="N1007" t="s">
        <v>131</v>
      </c>
      <c r="O1007" t="s">
        <v>695</v>
      </c>
      <c r="P1007" t="s">
        <v>705</v>
      </c>
      <c r="Q1007" s="1" t="s">
        <v>2281</v>
      </c>
      <c r="R1007" s="1" t="s">
        <v>2295</v>
      </c>
      <c r="S1007" s="1" t="s">
        <v>2295</v>
      </c>
      <c r="T1007" t="s">
        <v>396</v>
      </c>
      <c r="U1007" s="1"/>
      <c r="X1007" t="s">
        <v>615</v>
      </c>
      <c r="Y1007" t="s">
        <v>2273</v>
      </c>
      <c r="Z1007" t="s">
        <v>249</v>
      </c>
      <c r="AA1007" t="s">
        <v>2359</v>
      </c>
      <c r="AB1007" t="s">
        <v>2285</v>
      </c>
      <c r="AC1007" t="s">
        <v>152</v>
      </c>
      <c r="AD1007" t="s">
        <v>137</v>
      </c>
      <c r="AF1007" t="s">
        <v>49</v>
      </c>
      <c r="AI1007" t="s">
        <v>49</v>
      </c>
      <c r="AM1007" t="s">
        <v>706</v>
      </c>
      <c r="AN1007" t="s">
        <v>154</v>
      </c>
      <c r="AQ1007" s="5">
        <v>0</v>
      </c>
    </row>
    <row r="1008" spans="1:43" x14ac:dyDescent="0.2">
      <c r="A1008" t="s">
        <v>693</v>
      </c>
      <c r="B1008" t="s">
        <v>694</v>
      </c>
      <c r="C1008">
        <v>2020</v>
      </c>
      <c r="D1008" t="s">
        <v>44</v>
      </c>
      <c r="E1008" t="s">
        <v>49</v>
      </c>
      <c r="F1008" t="s">
        <v>696</v>
      </c>
      <c r="G1008" t="s">
        <v>86</v>
      </c>
      <c r="H1008" t="s">
        <v>350</v>
      </c>
      <c r="K1008" t="s">
        <v>101</v>
      </c>
      <c r="L1008">
        <v>100</v>
      </c>
      <c r="M1008">
        <v>0</v>
      </c>
      <c r="N1008" t="s">
        <v>131</v>
      </c>
      <c r="O1008" t="s">
        <v>695</v>
      </c>
      <c r="P1008" t="s">
        <v>2576</v>
      </c>
      <c r="Q1008" s="1" t="s">
        <v>2281</v>
      </c>
      <c r="R1008" s="1" t="s">
        <v>2295</v>
      </c>
      <c r="S1008" s="1" t="s">
        <v>2295</v>
      </c>
      <c r="T1008" t="s">
        <v>396</v>
      </c>
      <c r="U1008" s="1"/>
      <c r="X1008" t="s">
        <v>615</v>
      </c>
      <c r="Y1008" t="s">
        <v>2273</v>
      </c>
      <c r="Z1008" t="s">
        <v>249</v>
      </c>
      <c r="AA1008" t="s">
        <v>2359</v>
      </c>
      <c r="AB1008" t="s">
        <v>2285</v>
      </c>
      <c r="AC1008" t="s">
        <v>152</v>
      </c>
      <c r="AD1008" t="s">
        <v>137</v>
      </c>
      <c r="AF1008" t="s">
        <v>49</v>
      </c>
      <c r="AI1008" t="s">
        <v>49</v>
      </c>
      <c r="AM1008" t="s">
        <v>706</v>
      </c>
      <c r="AN1008" t="s">
        <v>154</v>
      </c>
      <c r="AQ1008" s="5">
        <v>0</v>
      </c>
    </row>
    <row r="1009" spans="1:44" x14ac:dyDescent="0.2">
      <c r="A1009" t="s">
        <v>693</v>
      </c>
      <c r="B1009" t="s">
        <v>694</v>
      </c>
      <c r="C1009">
        <v>2020</v>
      </c>
      <c r="D1009" t="s">
        <v>44</v>
      </c>
      <c r="E1009" t="s">
        <v>49</v>
      </c>
      <c r="F1009" t="s">
        <v>696</v>
      </c>
      <c r="G1009" t="s">
        <v>86</v>
      </c>
      <c r="H1009" t="s">
        <v>350</v>
      </c>
      <c r="K1009" t="s">
        <v>101</v>
      </c>
      <c r="L1009">
        <v>100</v>
      </c>
      <c r="M1009">
        <v>0</v>
      </c>
      <c r="N1009" t="s">
        <v>131</v>
      </c>
      <c r="O1009" t="s">
        <v>695</v>
      </c>
      <c r="P1009" t="s">
        <v>701</v>
      </c>
      <c r="Q1009" s="1" t="s">
        <v>2281</v>
      </c>
      <c r="R1009" s="1" t="s">
        <v>2295</v>
      </c>
      <c r="S1009" s="1" t="s">
        <v>2295</v>
      </c>
      <c r="T1009" t="s">
        <v>396</v>
      </c>
      <c r="U1009" s="1"/>
      <c r="X1009" t="s">
        <v>615</v>
      </c>
      <c r="Y1009" t="s">
        <v>2273</v>
      </c>
      <c r="Z1009" t="s">
        <v>249</v>
      </c>
      <c r="AA1009" t="s">
        <v>2359</v>
      </c>
      <c r="AB1009" t="s">
        <v>2285</v>
      </c>
      <c r="AC1009" t="s">
        <v>152</v>
      </c>
      <c r="AD1009" t="s">
        <v>137</v>
      </c>
      <c r="AF1009" t="s">
        <v>49</v>
      </c>
      <c r="AI1009" t="s">
        <v>49</v>
      </c>
      <c r="AM1009" t="s">
        <v>706</v>
      </c>
      <c r="AN1009" t="s">
        <v>154</v>
      </c>
      <c r="AQ1009" s="5">
        <v>0</v>
      </c>
    </row>
    <row r="1010" spans="1:44" x14ac:dyDescent="0.2">
      <c r="A1010" t="s">
        <v>693</v>
      </c>
      <c r="B1010" t="s">
        <v>694</v>
      </c>
      <c r="C1010">
        <v>2020</v>
      </c>
      <c r="D1010" t="s">
        <v>44</v>
      </c>
      <c r="E1010" t="s">
        <v>49</v>
      </c>
      <c r="F1010" t="s">
        <v>696</v>
      </c>
      <c r="G1010" t="s">
        <v>86</v>
      </c>
      <c r="H1010" t="s">
        <v>350</v>
      </c>
      <c r="K1010" t="s">
        <v>101</v>
      </c>
      <c r="L1010">
        <v>100</v>
      </c>
      <c r="M1010">
        <v>0</v>
      </c>
      <c r="N1010" t="s">
        <v>131</v>
      </c>
      <c r="O1010" t="s">
        <v>695</v>
      </c>
      <c r="P1010" t="s">
        <v>699</v>
      </c>
      <c r="Q1010" s="1" t="s">
        <v>2281</v>
      </c>
      <c r="R1010" s="1" t="s">
        <v>2295</v>
      </c>
      <c r="S1010" s="1" t="s">
        <v>2295</v>
      </c>
      <c r="T1010" t="s">
        <v>396</v>
      </c>
      <c r="U1010" s="1"/>
      <c r="X1010" t="s">
        <v>615</v>
      </c>
      <c r="Y1010" t="s">
        <v>2273</v>
      </c>
      <c r="Z1010" t="s">
        <v>249</v>
      </c>
      <c r="AA1010" t="s">
        <v>2359</v>
      </c>
      <c r="AB1010" t="s">
        <v>2285</v>
      </c>
      <c r="AC1010" t="s">
        <v>152</v>
      </c>
      <c r="AD1010" t="s">
        <v>137</v>
      </c>
      <c r="AF1010" t="s">
        <v>49</v>
      </c>
      <c r="AI1010" t="s">
        <v>49</v>
      </c>
      <c r="AM1010" t="s">
        <v>706</v>
      </c>
      <c r="AN1010" t="s">
        <v>154</v>
      </c>
      <c r="AQ1010" s="5">
        <v>0</v>
      </c>
    </row>
    <row r="1011" spans="1:44" x14ac:dyDescent="0.2">
      <c r="A1011" t="s">
        <v>693</v>
      </c>
      <c r="B1011" t="s">
        <v>694</v>
      </c>
      <c r="C1011">
        <v>2020</v>
      </c>
      <c r="D1011" t="s">
        <v>44</v>
      </c>
      <c r="E1011" t="s">
        <v>49</v>
      </c>
      <c r="F1011" t="s">
        <v>696</v>
      </c>
      <c r="G1011" t="s">
        <v>86</v>
      </c>
      <c r="H1011" t="s">
        <v>350</v>
      </c>
      <c r="K1011" t="s">
        <v>101</v>
      </c>
      <c r="L1011">
        <v>100</v>
      </c>
      <c r="M1011">
        <v>0</v>
      </c>
      <c r="N1011" t="s">
        <v>131</v>
      </c>
      <c r="O1011" t="s">
        <v>695</v>
      </c>
      <c r="P1011" t="s">
        <v>707</v>
      </c>
      <c r="Q1011" s="1" t="s">
        <v>2281</v>
      </c>
      <c r="R1011" s="1" t="s">
        <v>2295</v>
      </c>
      <c r="S1011" s="1" t="s">
        <v>2295</v>
      </c>
      <c r="T1011" t="s">
        <v>396</v>
      </c>
      <c r="U1011" s="1" t="s">
        <v>2386</v>
      </c>
      <c r="X1011" t="s">
        <v>161</v>
      </c>
      <c r="Y1011" t="s">
        <v>2272</v>
      </c>
      <c r="Z1011" t="s">
        <v>2272</v>
      </c>
      <c r="AA1011" t="s">
        <v>2272</v>
      </c>
      <c r="AB1011" t="s">
        <v>2272</v>
      </c>
      <c r="AC1011" t="s">
        <v>162</v>
      </c>
      <c r="AD1011" t="s">
        <v>2272</v>
      </c>
      <c r="AF1011" t="s">
        <v>49</v>
      </c>
      <c r="AI1011" t="s">
        <v>49</v>
      </c>
      <c r="AM1011" t="s">
        <v>706</v>
      </c>
      <c r="AN1011" t="s">
        <v>165</v>
      </c>
      <c r="AP1011" t="s">
        <v>49</v>
      </c>
    </row>
    <row r="1012" spans="1:44" x14ac:dyDescent="0.2">
      <c r="A1012" t="s">
        <v>693</v>
      </c>
      <c r="B1012" t="s">
        <v>694</v>
      </c>
      <c r="C1012">
        <v>2020</v>
      </c>
      <c r="D1012" t="s">
        <v>44</v>
      </c>
      <c r="E1012" t="s">
        <v>49</v>
      </c>
      <c r="F1012" t="s">
        <v>696</v>
      </c>
      <c r="G1012" t="s">
        <v>86</v>
      </c>
      <c r="H1012" t="s">
        <v>350</v>
      </c>
      <c r="K1012" t="s">
        <v>101</v>
      </c>
      <c r="L1012">
        <v>100</v>
      </c>
      <c r="M1012">
        <v>0</v>
      </c>
      <c r="N1012" t="s">
        <v>131</v>
      </c>
      <c r="O1012" t="s">
        <v>695</v>
      </c>
      <c r="P1012" t="s">
        <v>2577</v>
      </c>
      <c r="Q1012" s="1" t="s">
        <v>2281</v>
      </c>
      <c r="R1012" s="1" t="s">
        <v>2295</v>
      </c>
      <c r="S1012" s="1" t="s">
        <v>2295</v>
      </c>
      <c r="T1012" t="s">
        <v>396</v>
      </c>
      <c r="U1012" s="1" t="s">
        <v>2386</v>
      </c>
      <c r="X1012" t="s">
        <v>161</v>
      </c>
      <c r="Y1012" t="s">
        <v>2272</v>
      </c>
      <c r="Z1012" t="s">
        <v>2272</v>
      </c>
      <c r="AA1012" t="s">
        <v>2272</v>
      </c>
      <c r="AB1012" t="s">
        <v>2272</v>
      </c>
      <c r="AC1012" t="s">
        <v>162</v>
      </c>
      <c r="AD1012" t="s">
        <v>2272</v>
      </c>
      <c r="AF1012" t="s">
        <v>49</v>
      </c>
      <c r="AI1012" t="s">
        <v>49</v>
      </c>
      <c r="AM1012" t="s">
        <v>706</v>
      </c>
      <c r="AN1012" t="s">
        <v>165</v>
      </c>
      <c r="AP1012" t="s">
        <v>49</v>
      </c>
    </row>
    <row r="1013" spans="1:44" x14ac:dyDescent="0.2">
      <c r="A1013" t="s">
        <v>693</v>
      </c>
      <c r="B1013" t="s">
        <v>694</v>
      </c>
      <c r="C1013">
        <v>2020</v>
      </c>
      <c r="D1013" t="s">
        <v>44</v>
      </c>
      <c r="E1013" t="s">
        <v>49</v>
      </c>
      <c r="F1013" t="s">
        <v>696</v>
      </c>
      <c r="G1013" t="s">
        <v>86</v>
      </c>
      <c r="H1013" t="s">
        <v>350</v>
      </c>
      <c r="K1013" t="s">
        <v>101</v>
      </c>
      <c r="L1013">
        <v>100</v>
      </c>
      <c r="M1013">
        <v>0</v>
      </c>
      <c r="N1013" t="s">
        <v>131</v>
      </c>
      <c r="O1013" t="s">
        <v>695</v>
      </c>
      <c r="P1013" t="s">
        <v>707</v>
      </c>
      <c r="Q1013" s="1" t="s">
        <v>2281</v>
      </c>
      <c r="R1013" s="1" t="s">
        <v>2295</v>
      </c>
      <c r="S1013" s="1" t="s">
        <v>2295</v>
      </c>
      <c r="T1013" t="s">
        <v>396</v>
      </c>
      <c r="U1013" s="1" t="s">
        <v>2386</v>
      </c>
      <c r="X1013" t="s">
        <v>161</v>
      </c>
      <c r="Y1013" t="s">
        <v>2272</v>
      </c>
      <c r="Z1013" t="s">
        <v>2272</v>
      </c>
      <c r="AA1013" t="s">
        <v>2272</v>
      </c>
      <c r="AB1013" t="s">
        <v>2272</v>
      </c>
      <c r="AC1013" t="s">
        <v>162</v>
      </c>
      <c r="AD1013" t="s">
        <v>2272</v>
      </c>
      <c r="AF1013" t="s">
        <v>49</v>
      </c>
      <c r="AI1013" t="s">
        <v>49</v>
      </c>
      <c r="AM1013" t="s">
        <v>706</v>
      </c>
      <c r="AN1013" t="s">
        <v>191</v>
      </c>
      <c r="AQ1013" s="5">
        <v>0</v>
      </c>
    </row>
    <row r="1014" spans="1:44" x14ac:dyDescent="0.2">
      <c r="A1014" t="s">
        <v>693</v>
      </c>
      <c r="B1014" t="s">
        <v>694</v>
      </c>
      <c r="C1014">
        <v>2020</v>
      </c>
      <c r="D1014" t="s">
        <v>44</v>
      </c>
      <c r="E1014" t="s">
        <v>49</v>
      </c>
      <c r="F1014" t="s">
        <v>696</v>
      </c>
      <c r="G1014" t="s">
        <v>86</v>
      </c>
      <c r="H1014" t="s">
        <v>350</v>
      </c>
      <c r="K1014" t="s">
        <v>101</v>
      </c>
      <c r="L1014">
        <v>100</v>
      </c>
      <c r="M1014">
        <v>0</v>
      </c>
      <c r="N1014" t="s">
        <v>131</v>
      </c>
      <c r="O1014" t="s">
        <v>695</v>
      </c>
      <c r="P1014" t="s">
        <v>2577</v>
      </c>
      <c r="Q1014" s="1" t="s">
        <v>2281</v>
      </c>
      <c r="R1014" s="1" t="s">
        <v>2295</v>
      </c>
      <c r="S1014" s="1" t="s">
        <v>2295</v>
      </c>
      <c r="T1014" t="s">
        <v>396</v>
      </c>
      <c r="U1014" s="1" t="s">
        <v>2386</v>
      </c>
      <c r="X1014" t="s">
        <v>161</v>
      </c>
      <c r="Y1014" t="s">
        <v>2272</v>
      </c>
      <c r="Z1014" t="s">
        <v>2272</v>
      </c>
      <c r="AA1014" t="s">
        <v>2272</v>
      </c>
      <c r="AB1014" t="s">
        <v>2272</v>
      </c>
      <c r="AC1014" t="s">
        <v>162</v>
      </c>
      <c r="AD1014" t="s">
        <v>2272</v>
      </c>
      <c r="AF1014" t="s">
        <v>49</v>
      </c>
      <c r="AI1014" t="s">
        <v>49</v>
      </c>
      <c r="AM1014" t="s">
        <v>706</v>
      </c>
      <c r="AN1014" t="s">
        <v>191</v>
      </c>
      <c r="AQ1014" s="5">
        <v>0</v>
      </c>
    </row>
    <row r="1015" spans="1:44" x14ac:dyDescent="0.2">
      <c r="A1015" t="s">
        <v>693</v>
      </c>
      <c r="B1015" t="s">
        <v>694</v>
      </c>
      <c r="C1015">
        <v>2020</v>
      </c>
      <c r="D1015" t="s">
        <v>44</v>
      </c>
      <c r="E1015" t="s">
        <v>49</v>
      </c>
      <c r="F1015" t="s">
        <v>696</v>
      </c>
      <c r="G1015" t="s">
        <v>86</v>
      </c>
      <c r="H1015" t="s">
        <v>350</v>
      </c>
      <c r="K1015" t="s">
        <v>101</v>
      </c>
      <c r="L1015">
        <v>100</v>
      </c>
      <c r="M1015">
        <v>0</v>
      </c>
      <c r="N1015" t="s">
        <v>131</v>
      </c>
      <c r="O1015" t="s">
        <v>695</v>
      </c>
      <c r="P1015" t="s">
        <v>707</v>
      </c>
      <c r="Q1015" s="1" t="s">
        <v>2281</v>
      </c>
      <c r="R1015" s="1" t="s">
        <v>2295</v>
      </c>
      <c r="S1015" s="1" t="s">
        <v>2295</v>
      </c>
      <c r="T1015" t="s">
        <v>396</v>
      </c>
      <c r="U1015" s="1" t="s">
        <v>2386</v>
      </c>
      <c r="X1015" t="s">
        <v>161</v>
      </c>
      <c r="Y1015" t="s">
        <v>2272</v>
      </c>
      <c r="Z1015" t="s">
        <v>2272</v>
      </c>
      <c r="AA1015" t="s">
        <v>2272</v>
      </c>
      <c r="AB1015" t="s">
        <v>2272</v>
      </c>
      <c r="AC1015" t="s">
        <v>162</v>
      </c>
      <c r="AD1015" t="s">
        <v>2272</v>
      </c>
      <c r="AF1015" t="s">
        <v>49</v>
      </c>
      <c r="AI1015" t="s">
        <v>49</v>
      </c>
      <c r="AM1015" t="s">
        <v>706</v>
      </c>
      <c r="AN1015" t="s">
        <v>155</v>
      </c>
      <c r="AQ1015" s="5">
        <v>0</v>
      </c>
    </row>
    <row r="1016" spans="1:44" x14ac:dyDescent="0.2">
      <c r="A1016" t="s">
        <v>693</v>
      </c>
      <c r="B1016" t="s">
        <v>694</v>
      </c>
      <c r="C1016">
        <v>2020</v>
      </c>
      <c r="D1016" t="s">
        <v>44</v>
      </c>
      <c r="E1016" t="s">
        <v>49</v>
      </c>
      <c r="F1016" t="s">
        <v>696</v>
      </c>
      <c r="G1016" t="s">
        <v>86</v>
      </c>
      <c r="H1016" t="s">
        <v>350</v>
      </c>
      <c r="K1016" t="s">
        <v>101</v>
      </c>
      <c r="L1016">
        <v>100</v>
      </c>
      <c r="M1016">
        <v>0</v>
      </c>
      <c r="N1016" t="s">
        <v>131</v>
      </c>
      <c r="O1016" t="s">
        <v>695</v>
      </c>
      <c r="P1016" t="s">
        <v>2577</v>
      </c>
      <c r="Q1016" s="1" t="s">
        <v>2281</v>
      </c>
      <c r="R1016" s="1" t="s">
        <v>2295</v>
      </c>
      <c r="S1016" s="1" t="s">
        <v>2295</v>
      </c>
      <c r="T1016" t="s">
        <v>396</v>
      </c>
      <c r="U1016" s="1" t="s">
        <v>2386</v>
      </c>
      <c r="X1016" t="s">
        <v>161</v>
      </c>
      <c r="Y1016" t="s">
        <v>2272</v>
      </c>
      <c r="Z1016" t="s">
        <v>2272</v>
      </c>
      <c r="AA1016" t="s">
        <v>2272</v>
      </c>
      <c r="AB1016" t="s">
        <v>2272</v>
      </c>
      <c r="AC1016" t="s">
        <v>162</v>
      </c>
      <c r="AD1016" t="s">
        <v>2272</v>
      </c>
      <c r="AF1016" t="s">
        <v>49</v>
      </c>
      <c r="AI1016" t="s">
        <v>49</v>
      </c>
      <c r="AM1016" t="s">
        <v>706</v>
      </c>
      <c r="AN1016" t="s">
        <v>155</v>
      </c>
      <c r="AQ1016" s="5">
        <v>0</v>
      </c>
    </row>
    <row r="1017" spans="1:44" x14ac:dyDescent="0.2">
      <c r="A1017" t="s">
        <v>708</v>
      </c>
      <c r="B1017" t="s">
        <v>709</v>
      </c>
      <c r="C1017">
        <v>2020</v>
      </c>
      <c r="D1017" t="s">
        <v>44</v>
      </c>
      <c r="F1017" t="s">
        <v>710</v>
      </c>
      <c r="G1017" t="s">
        <v>86</v>
      </c>
      <c r="H1017" t="s">
        <v>96</v>
      </c>
      <c r="I1017" t="s">
        <v>458</v>
      </c>
      <c r="J1017">
        <v>0.57999999999999996</v>
      </c>
      <c r="K1017" t="s">
        <v>109</v>
      </c>
      <c r="L1017">
        <v>1.6</v>
      </c>
      <c r="N1017" t="s">
        <v>120</v>
      </c>
      <c r="O1017" t="s">
        <v>120</v>
      </c>
      <c r="P1017" t="s">
        <v>711</v>
      </c>
      <c r="Q1017" s="1" t="s">
        <v>2276</v>
      </c>
      <c r="R1017" s="1" t="s">
        <v>669</v>
      </c>
      <c r="S1017" s="1" t="s">
        <v>168</v>
      </c>
      <c r="X1017" t="s">
        <v>646</v>
      </c>
      <c r="Y1017" t="s">
        <v>2273</v>
      </c>
      <c r="Z1017" t="s">
        <v>249</v>
      </c>
      <c r="AA1017" t="s">
        <v>2359</v>
      </c>
      <c r="AB1017" t="s">
        <v>2289</v>
      </c>
      <c r="AC1017" t="s">
        <v>152</v>
      </c>
      <c r="AD1017" t="s">
        <v>2288</v>
      </c>
      <c r="AE1017" t="s">
        <v>415</v>
      </c>
    </row>
    <row r="1018" spans="1:44" x14ac:dyDescent="0.2">
      <c r="A1018" t="s">
        <v>708</v>
      </c>
      <c r="B1018" t="s">
        <v>709</v>
      </c>
      <c r="C1018">
        <v>2020</v>
      </c>
      <c r="D1018" t="s">
        <v>44</v>
      </c>
      <c r="F1018" t="s">
        <v>710</v>
      </c>
      <c r="G1018" t="s">
        <v>86</v>
      </c>
      <c r="H1018" t="s">
        <v>96</v>
      </c>
      <c r="I1018" t="s">
        <v>458</v>
      </c>
      <c r="J1018">
        <v>0.57999999999999996</v>
      </c>
      <c r="K1018" t="s">
        <v>109</v>
      </c>
      <c r="L1018">
        <v>1.6</v>
      </c>
      <c r="N1018" t="s">
        <v>120</v>
      </c>
      <c r="O1018" t="s">
        <v>120</v>
      </c>
      <c r="P1018" t="s">
        <v>711</v>
      </c>
      <c r="Q1018" s="1" t="s">
        <v>2276</v>
      </c>
      <c r="R1018" s="1" t="s">
        <v>669</v>
      </c>
      <c r="S1018" s="1" t="s">
        <v>168</v>
      </c>
      <c r="X1018" t="s">
        <v>478</v>
      </c>
      <c r="Y1018" t="s">
        <v>2273</v>
      </c>
      <c r="Z1018" t="s">
        <v>249</v>
      </c>
      <c r="AA1018" t="s">
        <v>2359</v>
      </c>
      <c r="AB1018" t="s">
        <v>2285</v>
      </c>
      <c r="AC1018" t="s">
        <v>315</v>
      </c>
      <c r="AD1018" t="s">
        <v>2288</v>
      </c>
      <c r="AE1018" t="s">
        <v>415</v>
      </c>
    </row>
    <row r="1019" spans="1:44" x14ac:dyDescent="0.2">
      <c r="A1019" t="s">
        <v>708</v>
      </c>
      <c r="B1019" t="s">
        <v>709</v>
      </c>
      <c r="C1019">
        <v>2020</v>
      </c>
      <c r="D1019" t="s">
        <v>44</v>
      </c>
      <c r="F1019" t="s">
        <v>710</v>
      </c>
      <c r="G1019" t="s">
        <v>86</v>
      </c>
      <c r="H1019" t="s">
        <v>96</v>
      </c>
      <c r="I1019" t="s">
        <v>458</v>
      </c>
      <c r="J1019">
        <v>0.57999999999999996</v>
      </c>
      <c r="K1019" t="s">
        <v>109</v>
      </c>
      <c r="L1019">
        <v>1.6</v>
      </c>
      <c r="N1019" t="s">
        <v>120</v>
      </c>
      <c r="O1019" t="s">
        <v>120</v>
      </c>
      <c r="P1019" t="s">
        <v>711</v>
      </c>
      <c r="Q1019" s="1" t="s">
        <v>2276</v>
      </c>
      <c r="R1019" s="1" t="s">
        <v>669</v>
      </c>
      <c r="S1019" s="1" t="s">
        <v>168</v>
      </c>
      <c r="X1019" t="s">
        <v>293</v>
      </c>
      <c r="Y1019" t="s">
        <v>2273</v>
      </c>
      <c r="Z1019" t="s">
        <v>249</v>
      </c>
      <c r="AA1019" t="s">
        <v>2359</v>
      </c>
      <c r="AB1019" t="s">
        <v>1419</v>
      </c>
      <c r="AC1019" t="s">
        <v>152</v>
      </c>
      <c r="AD1019" t="s">
        <v>137</v>
      </c>
      <c r="AE1019" t="s">
        <v>415</v>
      </c>
    </row>
    <row r="1020" spans="1:44" x14ac:dyDescent="0.2">
      <c r="A1020" t="s">
        <v>708</v>
      </c>
      <c r="B1020" t="s">
        <v>709</v>
      </c>
      <c r="C1020">
        <v>2020</v>
      </c>
      <c r="D1020" t="s">
        <v>44</v>
      </c>
      <c r="F1020" t="s">
        <v>710</v>
      </c>
      <c r="G1020" t="s">
        <v>86</v>
      </c>
      <c r="H1020" t="s">
        <v>96</v>
      </c>
      <c r="I1020" t="s">
        <v>458</v>
      </c>
      <c r="J1020">
        <v>0.57999999999999996</v>
      </c>
      <c r="K1020" t="s">
        <v>109</v>
      </c>
      <c r="L1020">
        <v>1.6</v>
      </c>
      <c r="N1020" t="s">
        <v>120</v>
      </c>
      <c r="O1020" t="s">
        <v>120</v>
      </c>
      <c r="P1020" t="s">
        <v>711</v>
      </c>
      <c r="Q1020" s="1" t="s">
        <v>2276</v>
      </c>
      <c r="R1020" s="1" t="s">
        <v>669</v>
      </c>
      <c r="S1020" s="1" t="s">
        <v>168</v>
      </c>
      <c r="X1020" t="s">
        <v>712</v>
      </c>
      <c r="Y1020" t="s">
        <v>2273</v>
      </c>
      <c r="Z1020" t="s">
        <v>249</v>
      </c>
      <c r="AA1020" t="s">
        <v>2359</v>
      </c>
      <c r="AB1020" t="s">
        <v>1419</v>
      </c>
      <c r="AC1020" t="s">
        <v>152</v>
      </c>
      <c r="AD1020" t="s">
        <v>137</v>
      </c>
      <c r="AE1020" t="s">
        <v>415</v>
      </c>
    </row>
    <row r="1021" spans="1:44" x14ac:dyDescent="0.2">
      <c r="A1021" t="s">
        <v>708</v>
      </c>
      <c r="B1021" t="s">
        <v>709</v>
      </c>
      <c r="C1021">
        <v>2020</v>
      </c>
      <c r="D1021" t="s">
        <v>44</v>
      </c>
      <c r="F1021" t="s">
        <v>710</v>
      </c>
      <c r="G1021" t="s">
        <v>86</v>
      </c>
      <c r="H1021" t="s">
        <v>96</v>
      </c>
      <c r="I1021" t="s">
        <v>458</v>
      </c>
      <c r="J1021">
        <v>0.57999999999999996</v>
      </c>
      <c r="K1021" t="s">
        <v>109</v>
      </c>
      <c r="L1021">
        <v>1.6</v>
      </c>
      <c r="M1021">
        <v>0.02</v>
      </c>
      <c r="N1021" t="s">
        <v>120</v>
      </c>
      <c r="O1021" t="s">
        <v>120</v>
      </c>
      <c r="P1021" t="s">
        <v>711</v>
      </c>
      <c r="Q1021" s="1" t="s">
        <v>2276</v>
      </c>
      <c r="R1021" s="1" t="s">
        <v>669</v>
      </c>
      <c r="S1021" s="1" t="s">
        <v>168</v>
      </c>
      <c r="T1021" t="s">
        <v>421</v>
      </c>
      <c r="U1021" t="s">
        <v>421</v>
      </c>
      <c r="X1021" t="s">
        <v>161</v>
      </c>
      <c r="Y1021" t="s">
        <v>2272</v>
      </c>
      <c r="Z1021" t="s">
        <v>2272</v>
      </c>
      <c r="AA1021" t="s">
        <v>2272</v>
      </c>
      <c r="AB1021" t="s">
        <v>2272</v>
      </c>
      <c r="AC1021" t="s">
        <v>162</v>
      </c>
      <c r="AD1021" t="s">
        <v>2272</v>
      </c>
      <c r="AG1021" t="s">
        <v>49</v>
      </c>
      <c r="AI1021" t="s">
        <v>49</v>
      </c>
      <c r="AM1021" t="s">
        <v>202</v>
      </c>
      <c r="AN1021" t="s">
        <v>166</v>
      </c>
      <c r="AQ1021" s="5">
        <v>0</v>
      </c>
      <c r="AR1021">
        <v>1</v>
      </c>
    </row>
    <row r="1022" spans="1:44" x14ac:dyDescent="0.2">
      <c r="A1022" t="s">
        <v>708</v>
      </c>
      <c r="B1022" t="s">
        <v>709</v>
      </c>
      <c r="C1022">
        <v>2020</v>
      </c>
      <c r="D1022" t="s">
        <v>44</v>
      </c>
      <c r="F1022" t="s">
        <v>710</v>
      </c>
      <c r="G1022" t="s">
        <v>86</v>
      </c>
      <c r="H1022" t="s">
        <v>96</v>
      </c>
      <c r="I1022" t="s">
        <v>458</v>
      </c>
      <c r="J1022">
        <v>0.57999999999999996</v>
      </c>
      <c r="K1022" t="s">
        <v>109</v>
      </c>
      <c r="L1022">
        <v>1.6</v>
      </c>
      <c r="M1022">
        <v>0.02</v>
      </c>
      <c r="N1022" t="s">
        <v>120</v>
      </c>
      <c r="O1022" t="s">
        <v>120</v>
      </c>
      <c r="P1022" t="s">
        <v>711</v>
      </c>
      <c r="Q1022" s="1" t="s">
        <v>2276</v>
      </c>
      <c r="R1022" s="1" t="s">
        <v>669</v>
      </c>
      <c r="S1022" s="1" t="s">
        <v>168</v>
      </c>
      <c r="T1022" t="s">
        <v>421</v>
      </c>
      <c r="U1022" t="s">
        <v>421</v>
      </c>
      <c r="X1022" t="s">
        <v>161</v>
      </c>
      <c r="Y1022" t="s">
        <v>2272</v>
      </c>
      <c r="Z1022" t="s">
        <v>2272</v>
      </c>
      <c r="AA1022" t="s">
        <v>2272</v>
      </c>
      <c r="AB1022" t="s">
        <v>2272</v>
      </c>
      <c r="AC1022" t="s">
        <v>162</v>
      </c>
      <c r="AD1022" t="s">
        <v>2272</v>
      </c>
      <c r="AG1022" t="s">
        <v>49</v>
      </c>
      <c r="AI1022" t="s">
        <v>49</v>
      </c>
      <c r="AM1022" t="s">
        <v>202</v>
      </c>
      <c r="AN1022" t="s">
        <v>171</v>
      </c>
      <c r="AQ1022" s="5">
        <v>1</v>
      </c>
      <c r="AR1022">
        <v>1</v>
      </c>
    </row>
    <row r="1023" spans="1:44" x14ac:dyDescent="0.2">
      <c r="A1023" t="s">
        <v>708</v>
      </c>
      <c r="B1023" t="s">
        <v>709</v>
      </c>
      <c r="C1023">
        <v>2020</v>
      </c>
      <c r="D1023" t="s">
        <v>44</v>
      </c>
      <c r="F1023" t="s">
        <v>710</v>
      </c>
      <c r="G1023" t="s">
        <v>86</v>
      </c>
      <c r="H1023" t="s">
        <v>96</v>
      </c>
      <c r="I1023" t="s">
        <v>458</v>
      </c>
      <c r="J1023">
        <v>0.57999999999999996</v>
      </c>
      <c r="K1023" t="s">
        <v>109</v>
      </c>
      <c r="L1023">
        <v>1.6</v>
      </c>
      <c r="M1023">
        <v>0.02</v>
      </c>
      <c r="N1023" t="s">
        <v>120</v>
      </c>
      <c r="O1023" t="s">
        <v>120</v>
      </c>
      <c r="P1023" t="s">
        <v>711</v>
      </c>
      <c r="Q1023" s="1" t="s">
        <v>2276</v>
      </c>
      <c r="R1023" s="1" t="s">
        <v>669</v>
      </c>
      <c r="S1023" s="1" t="s">
        <v>168</v>
      </c>
      <c r="T1023" t="s">
        <v>421</v>
      </c>
      <c r="U1023" t="s">
        <v>421</v>
      </c>
      <c r="X1023" t="s">
        <v>161</v>
      </c>
      <c r="Y1023" t="s">
        <v>2272</v>
      </c>
      <c r="Z1023" t="s">
        <v>2272</v>
      </c>
      <c r="AA1023" t="s">
        <v>2272</v>
      </c>
      <c r="AB1023" t="s">
        <v>2272</v>
      </c>
      <c r="AC1023" t="s">
        <v>162</v>
      </c>
      <c r="AD1023" t="s">
        <v>2272</v>
      </c>
      <c r="AG1023" t="s">
        <v>49</v>
      </c>
      <c r="AI1023" t="s">
        <v>49</v>
      </c>
      <c r="AM1023" t="s">
        <v>202</v>
      </c>
      <c r="AN1023" t="s">
        <v>154</v>
      </c>
      <c r="AQ1023" s="5">
        <v>1</v>
      </c>
      <c r="AR1023">
        <v>1</v>
      </c>
    </row>
    <row r="1024" spans="1:44" x14ac:dyDescent="0.2">
      <c r="A1024" t="s">
        <v>708</v>
      </c>
      <c r="B1024" t="s">
        <v>709</v>
      </c>
      <c r="C1024">
        <v>2020</v>
      </c>
      <c r="D1024" t="s">
        <v>44</v>
      </c>
      <c r="F1024" t="s">
        <v>710</v>
      </c>
      <c r="G1024" t="s">
        <v>86</v>
      </c>
      <c r="H1024" t="s">
        <v>96</v>
      </c>
      <c r="I1024" t="s">
        <v>458</v>
      </c>
      <c r="J1024">
        <v>0.57999999999999996</v>
      </c>
      <c r="K1024" t="s">
        <v>109</v>
      </c>
      <c r="L1024">
        <v>1.6</v>
      </c>
      <c r="M1024">
        <v>0.02</v>
      </c>
      <c r="N1024" t="s">
        <v>120</v>
      </c>
      <c r="O1024" t="s">
        <v>120</v>
      </c>
      <c r="P1024" t="s">
        <v>711</v>
      </c>
      <c r="Q1024" s="1" t="s">
        <v>2276</v>
      </c>
      <c r="R1024" s="1" t="s">
        <v>669</v>
      </c>
      <c r="S1024" s="1" t="s">
        <v>168</v>
      </c>
      <c r="T1024" t="s">
        <v>421</v>
      </c>
      <c r="U1024" t="s">
        <v>421</v>
      </c>
      <c r="X1024" t="s">
        <v>161</v>
      </c>
      <c r="Y1024" t="s">
        <v>2272</v>
      </c>
      <c r="Z1024" t="s">
        <v>2272</v>
      </c>
      <c r="AA1024" t="s">
        <v>2272</v>
      </c>
      <c r="AB1024" t="s">
        <v>2272</v>
      </c>
      <c r="AC1024" t="s">
        <v>162</v>
      </c>
      <c r="AD1024" t="s">
        <v>2272</v>
      </c>
      <c r="AG1024" t="s">
        <v>49</v>
      </c>
      <c r="AI1024" t="s">
        <v>49</v>
      </c>
      <c r="AM1024" t="s">
        <v>202</v>
      </c>
      <c r="AN1024" t="s">
        <v>165</v>
      </c>
      <c r="AP1024" t="s">
        <v>49</v>
      </c>
      <c r="AR1024">
        <v>1</v>
      </c>
    </row>
    <row r="1025" spans="1:45" x14ac:dyDescent="0.2">
      <c r="A1025" t="s">
        <v>713</v>
      </c>
      <c r="B1025" t="s">
        <v>714</v>
      </c>
      <c r="C1025">
        <v>2020</v>
      </c>
      <c r="D1025" t="s">
        <v>44</v>
      </c>
      <c r="F1025" t="s">
        <v>715</v>
      </c>
      <c r="G1025" t="s">
        <v>85</v>
      </c>
      <c r="H1025" t="s">
        <v>96</v>
      </c>
      <c r="J1025">
        <v>0.83</v>
      </c>
      <c r="K1025" t="s">
        <v>109</v>
      </c>
      <c r="L1025">
        <v>220</v>
      </c>
      <c r="M1025">
        <f t="shared" ref="M1025:M1038" si="25">0.5*0.5</f>
        <v>0.25</v>
      </c>
      <c r="N1025" t="s">
        <v>120</v>
      </c>
      <c r="O1025" t="s">
        <v>120</v>
      </c>
      <c r="P1025" t="s">
        <v>667</v>
      </c>
      <c r="Q1025" s="1" t="s">
        <v>2276</v>
      </c>
      <c r="R1025" s="1" t="s">
        <v>669</v>
      </c>
      <c r="S1025" s="1" t="s">
        <v>168</v>
      </c>
      <c r="X1025" t="s">
        <v>716</v>
      </c>
      <c r="Y1025" t="s">
        <v>2273</v>
      </c>
      <c r="Z1025" t="s">
        <v>249</v>
      </c>
      <c r="AA1025" t="s">
        <v>2359</v>
      </c>
      <c r="AB1025" t="s">
        <v>1419</v>
      </c>
      <c r="AC1025" t="s">
        <v>152</v>
      </c>
      <c r="AD1025" t="s">
        <v>137</v>
      </c>
      <c r="AE1025" t="s">
        <v>724</v>
      </c>
      <c r="AF1025" t="s">
        <v>49</v>
      </c>
      <c r="AL1025" t="s">
        <v>49</v>
      </c>
      <c r="AM1025" t="s">
        <v>2322</v>
      </c>
      <c r="AN1025" t="s">
        <v>109</v>
      </c>
      <c r="AO1025" t="s">
        <v>249</v>
      </c>
      <c r="AP1025" t="s">
        <v>51</v>
      </c>
    </row>
    <row r="1026" spans="1:45" x14ac:dyDescent="0.2">
      <c r="A1026" t="s">
        <v>713</v>
      </c>
      <c r="B1026" t="s">
        <v>714</v>
      </c>
      <c r="C1026">
        <v>2020</v>
      </c>
      <c r="D1026" t="s">
        <v>44</v>
      </c>
      <c r="F1026" t="s">
        <v>715</v>
      </c>
      <c r="G1026" t="s">
        <v>85</v>
      </c>
      <c r="H1026" t="s">
        <v>96</v>
      </c>
      <c r="J1026">
        <v>0.83</v>
      </c>
      <c r="K1026" t="s">
        <v>109</v>
      </c>
      <c r="L1026">
        <v>220</v>
      </c>
      <c r="M1026">
        <f t="shared" si="25"/>
        <v>0.25</v>
      </c>
      <c r="N1026" t="s">
        <v>120</v>
      </c>
      <c r="O1026" t="s">
        <v>120</v>
      </c>
      <c r="P1026" t="s">
        <v>667</v>
      </c>
      <c r="Q1026" s="1" t="s">
        <v>2276</v>
      </c>
      <c r="R1026" s="1" t="s">
        <v>669</v>
      </c>
      <c r="S1026" s="1" t="s">
        <v>168</v>
      </c>
      <c r="X1026" t="s">
        <v>717</v>
      </c>
      <c r="Y1026" t="s">
        <v>2273</v>
      </c>
      <c r="Z1026" t="s">
        <v>249</v>
      </c>
      <c r="AA1026" t="s">
        <v>2274</v>
      </c>
      <c r="AB1026" t="s">
        <v>2300</v>
      </c>
      <c r="AC1026" t="s">
        <v>152</v>
      </c>
      <c r="AD1026" t="s">
        <v>137</v>
      </c>
      <c r="AE1026" t="s">
        <v>724</v>
      </c>
      <c r="AF1026" t="s">
        <v>49</v>
      </c>
      <c r="AL1026" t="s">
        <v>49</v>
      </c>
      <c r="AM1026" t="s">
        <v>2322</v>
      </c>
      <c r="AN1026" t="s">
        <v>109</v>
      </c>
      <c r="AO1026" t="s">
        <v>249</v>
      </c>
      <c r="AP1026" t="s">
        <v>51</v>
      </c>
    </row>
    <row r="1027" spans="1:45" x14ac:dyDescent="0.2">
      <c r="A1027" t="s">
        <v>713</v>
      </c>
      <c r="B1027" t="s">
        <v>714</v>
      </c>
      <c r="C1027">
        <v>2020</v>
      </c>
      <c r="D1027" t="s">
        <v>44</v>
      </c>
      <c r="F1027" t="s">
        <v>715</v>
      </c>
      <c r="G1027" t="s">
        <v>85</v>
      </c>
      <c r="H1027" t="s">
        <v>96</v>
      </c>
      <c r="J1027">
        <v>0.83</v>
      </c>
      <c r="K1027" t="s">
        <v>109</v>
      </c>
      <c r="L1027">
        <v>220</v>
      </c>
      <c r="M1027">
        <f t="shared" si="25"/>
        <v>0.25</v>
      </c>
      <c r="N1027" t="s">
        <v>120</v>
      </c>
      <c r="O1027" t="s">
        <v>120</v>
      </c>
      <c r="P1027" t="s">
        <v>667</v>
      </c>
      <c r="Q1027" s="1" t="s">
        <v>2276</v>
      </c>
      <c r="R1027" s="1" t="s">
        <v>669</v>
      </c>
      <c r="S1027" s="1" t="s">
        <v>168</v>
      </c>
      <c r="X1027" t="s">
        <v>718</v>
      </c>
      <c r="Y1027" t="s">
        <v>2273</v>
      </c>
      <c r="Z1027" t="s">
        <v>249</v>
      </c>
      <c r="AA1027" t="s">
        <v>2274</v>
      </c>
      <c r="AB1027" t="s">
        <v>2300</v>
      </c>
      <c r="AC1027" t="s">
        <v>152</v>
      </c>
      <c r="AD1027" t="s">
        <v>137</v>
      </c>
      <c r="AE1027" t="s">
        <v>724</v>
      </c>
      <c r="AF1027" t="s">
        <v>49</v>
      </c>
      <c r="AL1027" t="s">
        <v>49</v>
      </c>
      <c r="AM1027" t="s">
        <v>2322</v>
      </c>
      <c r="AN1027" t="s">
        <v>109</v>
      </c>
      <c r="AO1027" t="s">
        <v>249</v>
      </c>
      <c r="AP1027" t="s">
        <v>51</v>
      </c>
    </row>
    <row r="1028" spans="1:45" x14ac:dyDescent="0.2">
      <c r="A1028" t="s">
        <v>713</v>
      </c>
      <c r="B1028" t="s">
        <v>714</v>
      </c>
      <c r="C1028">
        <v>2020</v>
      </c>
      <c r="D1028" t="s">
        <v>44</v>
      </c>
      <c r="F1028" t="s">
        <v>715</v>
      </c>
      <c r="G1028" t="s">
        <v>85</v>
      </c>
      <c r="H1028" t="s">
        <v>96</v>
      </c>
      <c r="J1028">
        <v>0.83</v>
      </c>
      <c r="K1028" t="s">
        <v>109</v>
      </c>
      <c r="L1028">
        <v>220</v>
      </c>
      <c r="M1028">
        <f t="shared" si="25"/>
        <v>0.25</v>
      </c>
      <c r="N1028" t="s">
        <v>120</v>
      </c>
      <c r="O1028" t="s">
        <v>120</v>
      </c>
      <c r="P1028" t="s">
        <v>667</v>
      </c>
      <c r="Q1028" s="1" t="s">
        <v>2276</v>
      </c>
      <c r="R1028" s="1" t="s">
        <v>669</v>
      </c>
      <c r="S1028" s="1" t="s">
        <v>168</v>
      </c>
      <c r="X1028" t="s">
        <v>719</v>
      </c>
      <c r="Y1028" t="s">
        <v>2273</v>
      </c>
      <c r="Z1028" t="s">
        <v>249</v>
      </c>
      <c r="AA1028" t="s">
        <v>2274</v>
      </c>
      <c r="AB1028" t="s">
        <v>2300</v>
      </c>
      <c r="AC1028" t="s">
        <v>152</v>
      </c>
      <c r="AD1028" t="s">
        <v>2288</v>
      </c>
      <c r="AE1028" t="s">
        <v>724</v>
      </c>
      <c r="AF1028" t="s">
        <v>49</v>
      </c>
      <c r="AL1028" t="s">
        <v>49</v>
      </c>
      <c r="AM1028" t="s">
        <v>2322</v>
      </c>
      <c r="AN1028" t="s">
        <v>109</v>
      </c>
      <c r="AO1028" t="s">
        <v>249</v>
      </c>
      <c r="AP1028" t="s">
        <v>51</v>
      </c>
    </row>
    <row r="1029" spans="1:45" x14ac:dyDescent="0.2">
      <c r="A1029" t="s">
        <v>713</v>
      </c>
      <c r="B1029" t="s">
        <v>714</v>
      </c>
      <c r="C1029">
        <v>2020</v>
      </c>
      <c r="D1029" t="s">
        <v>44</v>
      </c>
      <c r="F1029" t="s">
        <v>715</v>
      </c>
      <c r="G1029" t="s">
        <v>85</v>
      </c>
      <c r="H1029" t="s">
        <v>96</v>
      </c>
      <c r="J1029">
        <v>0.83</v>
      </c>
      <c r="K1029" t="s">
        <v>109</v>
      </c>
      <c r="L1029">
        <v>220</v>
      </c>
      <c r="M1029">
        <f t="shared" si="25"/>
        <v>0.25</v>
      </c>
      <c r="N1029" t="s">
        <v>120</v>
      </c>
      <c r="O1029" t="s">
        <v>120</v>
      </c>
      <c r="P1029" t="s">
        <v>667</v>
      </c>
      <c r="Q1029" s="1" t="s">
        <v>2276</v>
      </c>
      <c r="R1029" s="1" t="s">
        <v>669</v>
      </c>
      <c r="S1029" s="1" t="s">
        <v>168</v>
      </c>
      <c r="X1029" t="s">
        <v>720</v>
      </c>
      <c r="Y1029" t="s">
        <v>2273</v>
      </c>
      <c r="Z1029" t="s">
        <v>249</v>
      </c>
      <c r="AA1029" t="s">
        <v>2359</v>
      </c>
      <c r="AB1029" t="s">
        <v>1419</v>
      </c>
      <c r="AC1029" t="s">
        <v>152</v>
      </c>
      <c r="AD1029" t="s">
        <v>2288</v>
      </c>
      <c r="AE1029" t="s">
        <v>724</v>
      </c>
      <c r="AF1029" t="s">
        <v>49</v>
      </c>
      <c r="AL1029" t="s">
        <v>49</v>
      </c>
      <c r="AM1029" t="s">
        <v>2322</v>
      </c>
      <c r="AN1029" t="s">
        <v>109</v>
      </c>
      <c r="AO1029" t="s">
        <v>249</v>
      </c>
      <c r="AP1029" t="s">
        <v>49</v>
      </c>
    </row>
    <row r="1030" spans="1:45" x14ac:dyDescent="0.2">
      <c r="A1030" t="s">
        <v>713</v>
      </c>
      <c r="B1030" t="s">
        <v>714</v>
      </c>
      <c r="C1030">
        <v>2020</v>
      </c>
      <c r="D1030" t="s">
        <v>44</v>
      </c>
      <c r="F1030" t="s">
        <v>715</v>
      </c>
      <c r="G1030" t="s">
        <v>85</v>
      </c>
      <c r="H1030" t="s">
        <v>96</v>
      </c>
      <c r="J1030">
        <v>0.83</v>
      </c>
      <c r="K1030" t="s">
        <v>109</v>
      </c>
      <c r="L1030">
        <v>220</v>
      </c>
      <c r="M1030">
        <f t="shared" si="25"/>
        <v>0.25</v>
      </c>
      <c r="N1030" t="s">
        <v>120</v>
      </c>
      <c r="O1030" t="s">
        <v>120</v>
      </c>
      <c r="P1030" t="s">
        <v>667</v>
      </c>
      <c r="Q1030" s="1" t="s">
        <v>2276</v>
      </c>
      <c r="R1030" s="1" t="s">
        <v>669</v>
      </c>
      <c r="S1030" s="1" t="s">
        <v>168</v>
      </c>
      <c r="X1030" t="s">
        <v>721</v>
      </c>
      <c r="Y1030" t="s">
        <v>2273</v>
      </c>
      <c r="Z1030" t="s">
        <v>249</v>
      </c>
      <c r="AA1030" t="s">
        <v>2359</v>
      </c>
      <c r="AB1030" t="s">
        <v>1419</v>
      </c>
      <c r="AC1030" t="s">
        <v>152</v>
      </c>
      <c r="AD1030" t="s">
        <v>2288</v>
      </c>
      <c r="AE1030" t="s">
        <v>724</v>
      </c>
      <c r="AF1030" t="s">
        <v>49</v>
      </c>
      <c r="AL1030" t="s">
        <v>49</v>
      </c>
      <c r="AM1030" t="s">
        <v>2322</v>
      </c>
      <c r="AN1030" t="s">
        <v>109</v>
      </c>
      <c r="AO1030" t="s">
        <v>249</v>
      </c>
      <c r="AP1030" t="s">
        <v>49</v>
      </c>
    </row>
    <row r="1031" spans="1:45" x14ac:dyDescent="0.2">
      <c r="A1031" t="s">
        <v>713</v>
      </c>
      <c r="B1031" t="s">
        <v>714</v>
      </c>
      <c r="C1031">
        <v>2020</v>
      </c>
      <c r="D1031" t="s">
        <v>44</v>
      </c>
      <c r="F1031" t="s">
        <v>715</v>
      </c>
      <c r="G1031" t="s">
        <v>85</v>
      </c>
      <c r="H1031" t="s">
        <v>96</v>
      </c>
      <c r="J1031">
        <v>0.83</v>
      </c>
      <c r="K1031" t="s">
        <v>109</v>
      </c>
      <c r="L1031">
        <v>220</v>
      </c>
      <c r="M1031">
        <f t="shared" si="25"/>
        <v>0.25</v>
      </c>
      <c r="N1031" t="s">
        <v>120</v>
      </c>
      <c r="O1031" t="s">
        <v>120</v>
      </c>
      <c r="P1031" t="s">
        <v>667</v>
      </c>
      <c r="Q1031" s="1" t="s">
        <v>2276</v>
      </c>
      <c r="R1031" s="1" t="s">
        <v>669</v>
      </c>
      <c r="S1031" s="1" t="s">
        <v>168</v>
      </c>
      <c r="X1031" t="s">
        <v>722</v>
      </c>
      <c r="Y1031" t="s">
        <v>2273</v>
      </c>
      <c r="Z1031" t="s">
        <v>249</v>
      </c>
      <c r="AA1031" t="s">
        <v>2274</v>
      </c>
      <c r="AB1031" t="s">
        <v>2300</v>
      </c>
      <c r="AC1031" t="s">
        <v>315</v>
      </c>
      <c r="AD1031" t="s">
        <v>137</v>
      </c>
      <c r="AE1031" t="s">
        <v>724</v>
      </c>
      <c r="AF1031" t="s">
        <v>49</v>
      </c>
      <c r="AL1031" t="s">
        <v>49</v>
      </c>
      <c r="AM1031" t="s">
        <v>2322</v>
      </c>
      <c r="AN1031" t="s">
        <v>109</v>
      </c>
      <c r="AO1031" t="s">
        <v>249</v>
      </c>
      <c r="AP1031" t="s">
        <v>51</v>
      </c>
    </row>
    <row r="1032" spans="1:45" x14ac:dyDescent="0.2">
      <c r="A1032" t="s">
        <v>713</v>
      </c>
      <c r="B1032" t="s">
        <v>714</v>
      </c>
      <c r="C1032">
        <v>2020</v>
      </c>
      <c r="D1032" t="s">
        <v>44</v>
      </c>
      <c r="F1032" t="s">
        <v>715</v>
      </c>
      <c r="G1032" t="s">
        <v>85</v>
      </c>
      <c r="H1032" t="s">
        <v>96</v>
      </c>
      <c r="J1032">
        <v>0.83</v>
      </c>
      <c r="K1032" t="s">
        <v>109</v>
      </c>
      <c r="L1032">
        <v>220</v>
      </c>
      <c r="M1032">
        <f t="shared" si="25"/>
        <v>0.25</v>
      </c>
      <c r="N1032" t="s">
        <v>120</v>
      </c>
      <c r="O1032" t="s">
        <v>120</v>
      </c>
      <c r="P1032" t="s">
        <v>667</v>
      </c>
      <c r="Q1032" s="1" t="s">
        <v>2276</v>
      </c>
      <c r="R1032" s="1" t="s">
        <v>669</v>
      </c>
      <c r="S1032" s="1" t="s">
        <v>168</v>
      </c>
      <c r="X1032" t="s">
        <v>716</v>
      </c>
      <c r="Y1032" t="s">
        <v>2273</v>
      </c>
      <c r="Z1032" t="s">
        <v>249</v>
      </c>
      <c r="AA1032" t="s">
        <v>2359</v>
      </c>
      <c r="AB1032" t="s">
        <v>1419</v>
      </c>
      <c r="AC1032" t="s">
        <v>152</v>
      </c>
      <c r="AD1032" t="s">
        <v>137</v>
      </c>
      <c r="AE1032" t="s">
        <v>724</v>
      </c>
      <c r="AF1032" t="s">
        <v>49</v>
      </c>
      <c r="AL1032" t="s">
        <v>49</v>
      </c>
      <c r="AM1032" t="s">
        <v>2323</v>
      </c>
      <c r="AN1032" t="s">
        <v>109</v>
      </c>
      <c r="AO1032" t="s">
        <v>249</v>
      </c>
      <c r="AP1032" t="s">
        <v>49</v>
      </c>
    </row>
    <row r="1033" spans="1:45" x14ac:dyDescent="0.2">
      <c r="A1033" t="s">
        <v>713</v>
      </c>
      <c r="B1033" t="s">
        <v>714</v>
      </c>
      <c r="C1033">
        <v>2020</v>
      </c>
      <c r="D1033" t="s">
        <v>44</v>
      </c>
      <c r="F1033" t="s">
        <v>715</v>
      </c>
      <c r="G1033" t="s">
        <v>85</v>
      </c>
      <c r="H1033" t="s">
        <v>96</v>
      </c>
      <c r="J1033">
        <v>0.83</v>
      </c>
      <c r="K1033" t="s">
        <v>109</v>
      </c>
      <c r="L1033">
        <v>220</v>
      </c>
      <c r="M1033">
        <f t="shared" si="25"/>
        <v>0.25</v>
      </c>
      <c r="N1033" t="s">
        <v>120</v>
      </c>
      <c r="O1033" t="s">
        <v>120</v>
      </c>
      <c r="P1033" t="s">
        <v>667</v>
      </c>
      <c r="Q1033" s="1" t="s">
        <v>2276</v>
      </c>
      <c r="R1033" s="1" t="s">
        <v>669</v>
      </c>
      <c r="S1033" s="1" t="s">
        <v>168</v>
      </c>
      <c r="X1033" t="s">
        <v>717</v>
      </c>
      <c r="Y1033" t="s">
        <v>2273</v>
      </c>
      <c r="Z1033" t="s">
        <v>249</v>
      </c>
      <c r="AA1033" t="s">
        <v>2274</v>
      </c>
      <c r="AB1033" t="s">
        <v>2300</v>
      </c>
      <c r="AC1033" t="s">
        <v>152</v>
      </c>
      <c r="AD1033" t="s">
        <v>137</v>
      </c>
      <c r="AE1033" t="s">
        <v>724</v>
      </c>
      <c r="AF1033" t="s">
        <v>49</v>
      </c>
      <c r="AL1033" t="s">
        <v>49</v>
      </c>
      <c r="AM1033" t="s">
        <v>2323</v>
      </c>
      <c r="AN1033" t="s">
        <v>109</v>
      </c>
      <c r="AO1033" t="s">
        <v>249</v>
      </c>
      <c r="AP1033" t="s">
        <v>51</v>
      </c>
    </row>
    <row r="1034" spans="1:45" x14ac:dyDescent="0.2">
      <c r="A1034" t="s">
        <v>713</v>
      </c>
      <c r="B1034" t="s">
        <v>714</v>
      </c>
      <c r="C1034">
        <v>2020</v>
      </c>
      <c r="D1034" t="s">
        <v>44</v>
      </c>
      <c r="F1034" t="s">
        <v>715</v>
      </c>
      <c r="G1034" t="s">
        <v>85</v>
      </c>
      <c r="H1034" t="s">
        <v>96</v>
      </c>
      <c r="J1034">
        <v>0.83</v>
      </c>
      <c r="K1034" t="s">
        <v>109</v>
      </c>
      <c r="L1034">
        <v>220</v>
      </c>
      <c r="M1034">
        <f t="shared" si="25"/>
        <v>0.25</v>
      </c>
      <c r="N1034" t="s">
        <v>120</v>
      </c>
      <c r="O1034" t="s">
        <v>120</v>
      </c>
      <c r="P1034" t="s">
        <v>667</v>
      </c>
      <c r="Q1034" s="1" t="s">
        <v>2276</v>
      </c>
      <c r="R1034" s="1" t="s">
        <v>669</v>
      </c>
      <c r="S1034" s="1" t="s">
        <v>168</v>
      </c>
      <c r="X1034" t="s">
        <v>718</v>
      </c>
      <c r="Y1034" t="s">
        <v>2273</v>
      </c>
      <c r="Z1034" t="s">
        <v>249</v>
      </c>
      <c r="AA1034" t="s">
        <v>2274</v>
      </c>
      <c r="AB1034" t="s">
        <v>2300</v>
      </c>
      <c r="AC1034" t="s">
        <v>152</v>
      </c>
      <c r="AD1034" t="s">
        <v>137</v>
      </c>
      <c r="AE1034" t="s">
        <v>724</v>
      </c>
      <c r="AF1034" t="s">
        <v>49</v>
      </c>
      <c r="AL1034" t="s">
        <v>49</v>
      </c>
      <c r="AM1034" t="s">
        <v>2323</v>
      </c>
      <c r="AN1034" t="s">
        <v>109</v>
      </c>
      <c r="AO1034" t="s">
        <v>249</v>
      </c>
      <c r="AP1034" t="s">
        <v>51</v>
      </c>
    </row>
    <row r="1035" spans="1:45" x14ac:dyDescent="0.2">
      <c r="A1035" t="s">
        <v>713</v>
      </c>
      <c r="B1035" t="s">
        <v>714</v>
      </c>
      <c r="C1035">
        <v>2020</v>
      </c>
      <c r="D1035" t="s">
        <v>44</v>
      </c>
      <c r="F1035" t="s">
        <v>715</v>
      </c>
      <c r="G1035" t="s">
        <v>85</v>
      </c>
      <c r="H1035" t="s">
        <v>96</v>
      </c>
      <c r="J1035">
        <v>0.83</v>
      </c>
      <c r="K1035" t="s">
        <v>109</v>
      </c>
      <c r="L1035">
        <v>220</v>
      </c>
      <c r="M1035">
        <f t="shared" si="25"/>
        <v>0.25</v>
      </c>
      <c r="N1035" t="s">
        <v>120</v>
      </c>
      <c r="O1035" t="s">
        <v>120</v>
      </c>
      <c r="P1035" t="s">
        <v>667</v>
      </c>
      <c r="Q1035" s="1" t="s">
        <v>2276</v>
      </c>
      <c r="R1035" s="1" t="s">
        <v>669</v>
      </c>
      <c r="S1035" s="1" t="s">
        <v>168</v>
      </c>
      <c r="X1035" t="s">
        <v>719</v>
      </c>
      <c r="Y1035" t="s">
        <v>2273</v>
      </c>
      <c r="Z1035" t="s">
        <v>249</v>
      </c>
      <c r="AA1035" t="s">
        <v>2274</v>
      </c>
      <c r="AB1035" t="s">
        <v>2300</v>
      </c>
      <c r="AC1035" t="s">
        <v>152</v>
      </c>
      <c r="AD1035" t="s">
        <v>2288</v>
      </c>
      <c r="AE1035" t="s">
        <v>724</v>
      </c>
      <c r="AF1035" t="s">
        <v>49</v>
      </c>
      <c r="AL1035" t="s">
        <v>49</v>
      </c>
      <c r="AM1035" t="s">
        <v>2323</v>
      </c>
      <c r="AN1035" t="s">
        <v>109</v>
      </c>
      <c r="AO1035" t="s">
        <v>249</v>
      </c>
      <c r="AP1035" t="s">
        <v>51</v>
      </c>
    </row>
    <row r="1036" spans="1:45" x14ac:dyDescent="0.2">
      <c r="A1036" t="s">
        <v>713</v>
      </c>
      <c r="B1036" t="s">
        <v>714</v>
      </c>
      <c r="C1036">
        <v>2020</v>
      </c>
      <c r="D1036" t="s">
        <v>44</v>
      </c>
      <c r="F1036" t="s">
        <v>715</v>
      </c>
      <c r="G1036" t="s">
        <v>85</v>
      </c>
      <c r="H1036" t="s">
        <v>96</v>
      </c>
      <c r="J1036">
        <v>0.83</v>
      </c>
      <c r="K1036" t="s">
        <v>109</v>
      </c>
      <c r="L1036">
        <v>220</v>
      </c>
      <c r="M1036">
        <f t="shared" si="25"/>
        <v>0.25</v>
      </c>
      <c r="N1036" t="s">
        <v>120</v>
      </c>
      <c r="O1036" t="s">
        <v>120</v>
      </c>
      <c r="P1036" t="s">
        <v>667</v>
      </c>
      <c r="Q1036" s="1" t="s">
        <v>2276</v>
      </c>
      <c r="R1036" s="1" t="s">
        <v>669</v>
      </c>
      <c r="S1036" s="1" t="s">
        <v>168</v>
      </c>
      <c r="X1036" t="s">
        <v>720</v>
      </c>
      <c r="Y1036" t="s">
        <v>2273</v>
      </c>
      <c r="Z1036" t="s">
        <v>249</v>
      </c>
      <c r="AA1036" t="s">
        <v>2359</v>
      </c>
      <c r="AB1036" t="s">
        <v>1419</v>
      </c>
      <c r="AC1036" t="s">
        <v>152</v>
      </c>
      <c r="AD1036" t="s">
        <v>2288</v>
      </c>
      <c r="AE1036" t="s">
        <v>724</v>
      </c>
      <c r="AF1036" t="s">
        <v>49</v>
      </c>
      <c r="AL1036" t="s">
        <v>49</v>
      </c>
      <c r="AM1036" t="s">
        <v>2323</v>
      </c>
      <c r="AN1036" t="s">
        <v>109</v>
      </c>
      <c r="AO1036" t="s">
        <v>249</v>
      </c>
      <c r="AP1036" t="s">
        <v>51</v>
      </c>
    </row>
    <row r="1037" spans="1:45" x14ac:dyDescent="0.2">
      <c r="A1037" t="s">
        <v>713</v>
      </c>
      <c r="B1037" t="s">
        <v>714</v>
      </c>
      <c r="C1037">
        <v>2020</v>
      </c>
      <c r="D1037" t="s">
        <v>44</v>
      </c>
      <c r="F1037" t="s">
        <v>715</v>
      </c>
      <c r="G1037" t="s">
        <v>85</v>
      </c>
      <c r="H1037" t="s">
        <v>96</v>
      </c>
      <c r="J1037">
        <v>0.83</v>
      </c>
      <c r="K1037" t="s">
        <v>109</v>
      </c>
      <c r="L1037">
        <v>220</v>
      </c>
      <c r="M1037">
        <f t="shared" si="25"/>
        <v>0.25</v>
      </c>
      <c r="N1037" t="s">
        <v>120</v>
      </c>
      <c r="O1037" t="s">
        <v>120</v>
      </c>
      <c r="P1037" t="s">
        <v>667</v>
      </c>
      <c r="Q1037" s="1" t="s">
        <v>2276</v>
      </c>
      <c r="R1037" s="1" t="s">
        <v>669</v>
      </c>
      <c r="S1037" s="1" t="s">
        <v>168</v>
      </c>
      <c r="X1037" t="s">
        <v>721</v>
      </c>
      <c r="Y1037" t="s">
        <v>2273</v>
      </c>
      <c r="Z1037" t="s">
        <v>249</v>
      </c>
      <c r="AA1037" t="s">
        <v>2359</v>
      </c>
      <c r="AB1037" t="s">
        <v>1419</v>
      </c>
      <c r="AC1037" t="s">
        <v>152</v>
      </c>
      <c r="AD1037" t="s">
        <v>2288</v>
      </c>
      <c r="AE1037" t="s">
        <v>724</v>
      </c>
      <c r="AF1037" t="s">
        <v>49</v>
      </c>
      <c r="AL1037" t="s">
        <v>49</v>
      </c>
      <c r="AM1037" t="s">
        <v>2323</v>
      </c>
      <c r="AN1037" t="s">
        <v>109</v>
      </c>
      <c r="AO1037" t="s">
        <v>249</v>
      </c>
      <c r="AP1037" t="s">
        <v>49</v>
      </c>
    </row>
    <row r="1038" spans="1:45" x14ac:dyDescent="0.2">
      <c r="A1038" t="s">
        <v>713</v>
      </c>
      <c r="B1038" t="s">
        <v>714</v>
      </c>
      <c r="C1038">
        <v>2020</v>
      </c>
      <c r="D1038" t="s">
        <v>44</v>
      </c>
      <c r="F1038" t="s">
        <v>715</v>
      </c>
      <c r="G1038" t="s">
        <v>85</v>
      </c>
      <c r="H1038" t="s">
        <v>96</v>
      </c>
      <c r="J1038">
        <v>0.83</v>
      </c>
      <c r="K1038" t="s">
        <v>109</v>
      </c>
      <c r="L1038">
        <v>220</v>
      </c>
      <c r="M1038">
        <f t="shared" si="25"/>
        <v>0.25</v>
      </c>
      <c r="N1038" t="s">
        <v>120</v>
      </c>
      <c r="O1038" t="s">
        <v>120</v>
      </c>
      <c r="P1038" t="s">
        <v>667</v>
      </c>
      <c r="Q1038" s="1" t="s">
        <v>2276</v>
      </c>
      <c r="R1038" s="1" t="s">
        <v>669</v>
      </c>
      <c r="S1038" s="1" t="s">
        <v>168</v>
      </c>
      <c r="X1038" t="s">
        <v>722</v>
      </c>
      <c r="Y1038" t="s">
        <v>2273</v>
      </c>
      <c r="Z1038" t="s">
        <v>249</v>
      </c>
      <c r="AA1038" t="s">
        <v>2274</v>
      </c>
      <c r="AB1038" t="s">
        <v>2300</v>
      </c>
      <c r="AC1038" t="s">
        <v>315</v>
      </c>
      <c r="AD1038" t="s">
        <v>137</v>
      </c>
      <c r="AE1038" t="s">
        <v>724</v>
      </c>
      <c r="AF1038" t="s">
        <v>49</v>
      </c>
      <c r="AL1038" t="s">
        <v>49</v>
      </c>
      <c r="AM1038" t="s">
        <v>2323</v>
      </c>
      <c r="AN1038" t="s">
        <v>109</v>
      </c>
      <c r="AO1038" t="s">
        <v>249</v>
      </c>
      <c r="AP1038" t="s">
        <v>51</v>
      </c>
    </row>
    <row r="1039" spans="1:45" x14ac:dyDescent="0.2">
      <c r="A1039" t="s">
        <v>725</v>
      </c>
      <c r="B1039" t="s">
        <v>726</v>
      </c>
      <c r="C1039">
        <v>2020</v>
      </c>
      <c r="Q1039" s="1" t="s">
        <v>2272</v>
      </c>
      <c r="R1039" s="1" t="s">
        <v>2272</v>
      </c>
      <c r="S1039" s="1" t="s">
        <v>2272</v>
      </c>
      <c r="Y1039" t="s">
        <v>2272</v>
      </c>
      <c r="Z1039" t="s">
        <v>2272</v>
      </c>
      <c r="AA1039" t="s">
        <v>2272</v>
      </c>
      <c r="AB1039" t="s">
        <v>2272</v>
      </c>
      <c r="AD1039" t="s">
        <v>2272</v>
      </c>
      <c r="AR1039" t="s">
        <v>144</v>
      </c>
      <c r="AS1039" t="s">
        <v>2583</v>
      </c>
    </row>
    <row r="1040" spans="1:45" x14ac:dyDescent="0.2">
      <c r="A1040" t="s">
        <v>727</v>
      </c>
      <c r="B1040" t="s">
        <v>728</v>
      </c>
      <c r="C1040">
        <v>2020</v>
      </c>
      <c r="D1040" t="s">
        <v>44</v>
      </c>
      <c r="F1040" t="s">
        <v>931</v>
      </c>
      <c r="G1040" t="s">
        <v>90</v>
      </c>
      <c r="H1040" t="s">
        <v>350</v>
      </c>
      <c r="I1040" t="s">
        <v>114</v>
      </c>
      <c r="J1040">
        <f t="shared" ref="J1040:J1047" si="26">4/12</f>
        <v>0.33333333333333331</v>
      </c>
      <c r="K1040" t="s">
        <v>101</v>
      </c>
      <c r="L1040">
        <v>4</v>
      </c>
      <c r="M1040">
        <f t="shared" ref="M1040:M1047" si="27">0.4*0.4</f>
        <v>0.16000000000000003</v>
      </c>
      <c r="N1040" t="s">
        <v>120</v>
      </c>
      <c r="O1040" t="s">
        <v>120</v>
      </c>
      <c r="Q1040" s="1" t="s">
        <v>2276</v>
      </c>
      <c r="R1040" s="1" t="s">
        <v>669</v>
      </c>
      <c r="S1040" s="1" t="s">
        <v>168</v>
      </c>
      <c r="T1040" t="s">
        <v>396</v>
      </c>
      <c r="X1040" t="s">
        <v>161</v>
      </c>
      <c r="Y1040" t="s">
        <v>2272</v>
      </c>
      <c r="Z1040" t="s">
        <v>2272</v>
      </c>
      <c r="AA1040" t="s">
        <v>2272</v>
      </c>
      <c r="AB1040" t="s">
        <v>2272</v>
      </c>
      <c r="AC1040" t="s">
        <v>162</v>
      </c>
      <c r="AD1040" t="s">
        <v>2272</v>
      </c>
      <c r="AF1040" t="s">
        <v>49</v>
      </c>
      <c r="AJ1040" t="s">
        <v>49</v>
      </c>
      <c r="AM1040" t="s">
        <v>197</v>
      </c>
      <c r="AN1040" t="s">
        <v>166</v>
      </c>
      <c r="AP1040" t="s">
        <v>49</v>
      </c>
    </row>
    <row r="1041" spans="1:42" x14ac:dyDescent="0.2">
      <c r="A1041" t="s">
        <v>727</v>
      </c>
      <c r="B1041" t="s">
        <v>728</v>
      </c>
      <c r="C1041">
        <v>2020</v>
      </c>
      <c r="D1041" t="s">
        <v>44</v>
      </c>
      <c r="F1041" t="s">
        <v>931</v>
      </c>
      <c r="G1041" t="s">
        <v>90</v>
      </c>
      <c r="H1041" t="s">
        <v>350</v>
      </c>
      <c r="I1041" t="s">
        <v>114</v>
      </c>
      <c r="J1041">
        <f t="shared" si="26"/>
        <v>0.33333333333333331</v>
      </c>
      <c r="K1041" t="s">
        <v>101</v>
      </c>
      <c r="L1041">
        <v>4</v>
      </c>
      <c r="M1041">
        <f t="shared" si="27"/>
        <v>0.16000000000000003</v>
      </c>
      <c r="N1041" t="s">
        <v>129</v>
      </c>
      <c r="O1041" t="s">
        <v>2492</v>
      </c>
      <c r="Q1041" t="s">
        <v>2276</v>
      </c>
      <c r="R1041" t="s">
        <v>2350</v>
      </c>
      <c r="S1041" t="s">
        <v>2350</v>
      </c>
      <c r="T1041" t="s">
        <v>396</v>
      </c>
      <c r="X1041" t="s">
        <v>161</v>
      </c>
      <c r="Y1041" t="s">
        <v>2272</v>
      </c>
      <c r="Z1041" t="s">
        <v>2272</v>
      </c>
      <c r="AA1041" t="s">
        <v>2272</v>
      </c>
      <c r="AB1041" t="s">
        <v>2272</v>
      </c>
      <c r="AC1041" t="s">
        <v>162</v>
      </c>
      <c r="AD1041" t="s">
        <v>2272</v>
      </c>
      <c r="AF1041" t="s">
        <v>49</v>
      </c>
      <c r="AJ1041" t="s">
        <v>49</v>
      </c>
      <c r="AM1041" t="s">
        <v>197</v>
      </c>
      <c r="AN1041" t="s">
        <v>166</v>
      </c>
      <c r="AP1041" t="s">
        <v>49</v>
      </c>
    </row>
    <row r="1042" spans="1:42" x14ac:dyDescent="0.2">
      <c r="A1042" t="s">
        <v>727</v>
      </c>
      <c r="B1042" t="s">
        <v>728</v>
      </c>
      <c r="C1042">
        <v>2020</v>
      </c>
      <c r="D1042" t="s">
        <v>44</v>
      </c>
      <c r="F1042" t="s">
        <v>931</v>
      </c>
      <c r="G1042" t="s">
        <v>90</v>
      </c>
      <c r="H1042" t="s">
        <v>350</v>
      </c>
      <c r="I1042" t="s">
        <v>114</v>
      </c>
      <c r="J1042">
        <f t="shared" si="26"/>
        <v>0.33333333333333331</v>
      </c>
      <c r="K1042" t="s">
        <v>101</v>
      </c>
      <c r="L1042">
        <v>4</v>
      </c>
      <c r="M1042">
        <f t="shared" si="27"/>
        <v>0.16000000000000003</v>
      </c>
      <c r="N1042" t="s">
        <v>120</v>
      </c>
      <c r="O1042" t="s">
        <v>120</v>
      </c>
      <c r="Q1042" s="1" t="s">
        <v>2276</v>
      </c>
      <c r="R1042" s="1" t="s">
        <v>669</v>
      </c>
      <c r="S1042" s="1" t="s">
        <v>168</v>
      </c>
      <c r="T1042" t="s">
        <v>396</v>
      </c>
      <c r="X1042" t="s">
        <v>161</v>
      </c>
      <c r="Y1042" t="s">
        <v>2272</v>
      </c>
      <c r="Z1042" t="s">
        <v>2272</v>
      </c>
      <c r="AA1042" t="s">
        <v>2272</v>
      </c>
      <c r="AB1042" t="s">
        <v>2272</v>
      </c>
      <c r="AC1042" t="s">
        <v>162</v>
      </c>
      <c r="AD1042" t="s">
        <v>2272</v>
      </c>
      <c r="AF1042" t="s">
        <v>49</v>
      </c>
      <c r="AJ1042" t="s">
        <v>49</v>
      </c>
      <c r="AM1042" t="s">
        <v>197</v>
      </c>
      <c r="AN1042" t="s">
        <v>154</v>
      </c>
      <c r="AP1042" t="s">
        <v>49</v>
      </c>
    </row>
    <row r="1043" spans="1:42" x14ac:dyDescent="0.2">
      <c r="A1043" t="s">
        <v>727</v>
      </c>
      <c r="B1043" t="s">
        <v>728</v>
      </c>
      <c r="C1043">
        <v>2020</v>
      </c>
      <c r="D1043" t="s">
        <v>44</v>
      </c>
      <c r="F1043" t="s">
        <v>931</v>
      </c>
      <c r="G1043" t="s">
        <v>90</v>
      </c>
      <c r="H1043" t="s">
        <v>350</v>
      </c>
      <c r="I1043" t="s">
        <v>114</v>
      </c>
      <c r="J1043">
        <f t="shared" si="26"/>
        <v>0.33333333333333331</v>
      </c>
      <c r="K1043" t="s">
        <v>101</v>
      </c>
      <c r="L1043">
        <v>4</v>
      </c>
      <c r="M1043">
        <f t="shared" si="27"/>
        <v>0.16000000000000003</v>
      </c>
      <c r="N1043" t="s">
        <v>129</v>
      </c>
      <c r="O1043" t="s">
        <v>2492</v>
      </c>
      <c r="Q1043" t="s">
        <v>2276</v>
      </c>
      <c r="R1043" t="s">
        <v>2350</v>
      </c>
      <c r="S1043" t="s">
        <v>2350</v>
      </c>
      <c r="T1043" t="s">
        <v>396</v>
      </c>
      <c r="X1043" t="s">
        <v>161</v>
      </c>
      <c r="Y1043" t="s">
        <v>2272</v>
      </c>
      <c r="Z1043" t="s">
        <v>2272</v>
      </c>
      <c r="AA1043" t="s">
        <v>2272</v>
      </c>
      <c r="AB1043" t="s">
        <v>2272</v>
      </c>
      <c r="AC1043" t="s">
        <v>162</v>
      </c>
      <c r="AD1043" t="s">
        <v>2272</v>
      </c>
      <c r="AF1043" t="s">
        <v>49</v>
      </c>
      <c r="AJ1043" t="s">
        <v>49</v>
      </c>
      <c r="AM1043" t="s">
        <v>197</v>
      </c>
      <c r="AN1043" t="s">
        <v>154</v>
      </c>
      <c r="AP1043" t="s">
        <v>49</v>
      </c>
    </row>
    <row r="1044" spans="1:42" x14ac:dyDescent="0.2">
      <c r="A1044" t="s">
        <v>727</v>
      </c>
      <c r="B1044" t="s">
        <v>728</v>
      </c>
      <c r="C1044">
        <v>2020</v>
      </c>
      <c r="D1044" t="s">
        <v>44</v>
      </c>
      <c r="F1044" t="s">
        <v>931</v>
      </c>
      <c r="G1044" t="s">
        <v>90</v>
      </c>
      <c r="H1044" t="s">
        <v>350</v>
      </c>
      <c r="I1044" t="s">
        <v>114</v>
      </c>
      <c r="J1044">
        <f t="shared" si="26"/>
        <v>0.33333333333333331</v>
      </c>
      <c r="K1044" t="s">
        <v>101</v>
      </c>
      <c r="L1044">
        <v>4</v>
      </c>
      <c r="M1044">
        <f t="shared" si="27"/>
        <v>0.16000000000000003</v>
      </c>
      <c r="N1044" t="s">
        <v>120</v>
      </c>
      <c r="O1044" t="s">
        <v>120</v>
      </c>
      <c r="Q1044" s="1" t="s">
        <v>2276</v>
      </c>
      <c r="R1044" s="1" t="s">
        <v>669</v>
      </c>
      <c r="S1044" s="1" t="s">
        <v>168</v>
      </c>
      <c r="T1044" t="s">
        <v>396</v>
      </c>
      <c r="X1044" t="s">
        <v>161</v>
      </c>
      <c r="Y1044" t="s">
        <v>2272</v>
      </c>
      <c r="Z1044" t="s">
        <v>2272</v>
      </c>
      <c r="AA1044" t="s">
        <v>2272</v>
      </c>
      <c r="AB1044" t="s">
        <v>2272</v>
      </c>
      <c r="AC1044" t="s">
        <v>162</v>
      </c>
      <c r="AD1044" t="s">
        <v>2272</v>
      </c>
      <c r="AF1044" t="s">
        <v>49</v>
      </c>
      <c r="AJ1044" t="s">
        <v>49</v>
      </c>
      <c r="AM1044" t="s">
        <v>197</v>
      </c>
      <c r="AN1044" t="s">
        <v>109</v>
      </c>
      <c r="AO1044" t="s">
        <v>2493</v>
      </c>
      <c r="AP1044" t="s">
        <v>51</v>
      </c>
    </row>
    <row r="1045" spans="1:42" x14ac:dyDescent="0.2">
      <c r="A1045" t="s">
        <v>727</v>
      </c>
      <c r="B1045" t="s">
        <v>728</v>
      </c>
      <c r="C1045">
        <v>2020</v>
      </c>
      <c r="D1045" t="s">
        <v>44</v>
      </c>
      <c r="F1045" t="s">
        <v>931</v>
      </c>
      <c r="G1045" t="s">
        <v>90</v>
      </c>
      <c r="H1045" t="s">
        <v>350</v>
      </c>
      <c r="I1045" t="s">
        <v>114</v>
      </c>
      <c r="J1045">
        <f t="shared" si="26"/>
        <v>0.33333333333333331</v>
      </c>
      <c r="K1045" t="s">
        <v>101</v>
      </c>
      <c r="L1045">
        <v>4</v>
      </c>
      <c r="M1045">
        <f t="shared" si="27"/>
        <v>0.16000000000000003</v>
      </c>
      <c r="N1045" t="s">
        <v>129</v>
      </c>
      <c r="O1045" t="s">
        <v>2492</v>
      </c>
      <c r="Q1045" t="s">
        <v>2276</v>
      </c>
      <c r="R1045" t="s">
        <v>2350</v>
      </c>
      <c r="S1045" t="s">
        <v>2350</v>
      </c>
      <c r="T1045" t="s">
        <v>396</v>
      </c>
      <c r="X1045" t="s">
        <v>161</v>
      </c>
      <c r="Y1045" t="s">
        <v>2272</v>
      </c>
      <c r="Z1045" t="s">
        <v>2272</v>
      </c>
      <c r="AA1045" t="s">
        <v>2272</v>
      </c>
      <c r="AB1045" t="s">
        <v>2272</v>
      </c>
      <c r="AC1045" t="s">
        <v>162</v>
      </c>
      <c r="AD1045" t="s">
        <v>2272</v>
      </c>
      <c r="AF1045" t="s">
        <v>49</v>
      </c>
      <c r="AJ1045" t="s">
        <v>49</v>
      </c>
      <c r="AM1045" t="s">
        <v>197</v>
      </c>
      <c r="AN1045" t="s">
        <v>109</v>
      </c>
      <c r="AO1045" t="s">
        <v>2493</v>
      </c>
      <c r="AP1045" t="s">
        <v>51</v>
      </c>
    </row>
    <row r="1046" spans="1:42" x14ac:dyDescent="0.2">
      <c r="A1046" t="s">
        <v>727</v>
      </c>
      <c r="B1046" t="s">
        <v>728</v>
      </c>
      <c r="C1046">
        <v>2020</v>
      </c>
      <c r="D1046" t="s">
        <v>44</v>
      </c>
      <c r="F1046" t="s">
        <v>931</v>
      </c>
      <c r="G1046" t="s">
        <v>90</v>
      </c>
      <c r="H1046" t="s">
        <v>350</v>
      </c>
      <c r="I1046" t="s">
        <v>114</v>
      </c>
      <c r="J1046">
        <f t="shared" si="26"/>
        <v>0.33333333333333331</v>
      </c>
      <c r="K1046" t="s">
        <v>101</v>
      </c>
      <c r="L1046">
        <v>4</v>
      </c>
      <c r="M1046">
        <f t="shared" si="27"/>
        <v>0.16000000000000003</v>
      </c>
      <c r="N1046" t="s">
        <v>120</v>
      </c>
      <c r="O1046" t="s">
        <v>120</v>
      </c>
      <c r="Q1046" s="1" t="s">
        <v>2276</v>
      </c>
      <c r="R1046" s="1" t="s">
        <v>669</v>
      </c>
      <c r="S1046" s="1" t="s">
        <v>168</v>
      </c>
      <c r="T1046" t="s">
        <v>396</v>
      </c>
      <c r="X1046" t="s">
        <v>161</v>
      </c>
      <c r="Y1046" t="s">
        <v>2272</v>
      </c>
      <c r="Z1046" t="s">
        <v>2272</v>
      </c>
      <c r="AA1046" t="s">
        <v>2272</v>
      </c>
      <c r="AB1046" t="s">
        <v>2272</v>
      </c>
      <c r="AC1046" t="s">
        <v>162</v>
      </c>
      <c r="AD1046" t="s">
        <v>2272</v>
      </c>
      <c r="AF1046" t="s">
        <v>49</v>
      </c>
      <c r="AJ1046" t="s">
        <v>49</v>
      </c>
      <c r="AM1046" t="s">
        <v>197</v>
      </c>
      <c r="AN1046" t="s">
        <v>171</v>
      </c>
      <c r="AP1046" t="s">
        <v>49</v>
      </c>
    </row>
    <row r="1047" spans="1:42" x14ac:dyDescent="0.2">
      <c r="A1047" t="s">
        <v>727</v>
      </c>
      <c r="B1047" t="s">
        <v>728</v>
      </c>
      <c r="C1047">
        <v>2020</v>
      </c>
      <c r="D1047" t="s">
        <v>44</v>
      </c>
      <c r="F1047" t="s">
        <v>931</v>
      </c>
      <c r="G1047" t="s">
        <v>90</v>
      </c>
      <c r="H1047" t="s">
        <v>350</v>
      </c>
      <c r="I1047" t="s">
        <v>114</v>
      </c>
      <c r="J1047">
        <f t="shared" si="26"/>
        <v>0.33333333333333331</v>
      </c>
      <c r="K1047" t="s">
        <v>101</v>
      </c>
      <c r="L1047">
        <v>4</v>
      </c>
      <c r="M1047">
        <f t="shared" si="27"/>
        <v>0.16000000000000003</v>
      </c>
      <c r="N1047" t="s">
        <v>129</v>
      </c>
      <c r="O1047" t="s">
        <v>2492</v>
      </c>
      <c r="Q1047" t="s">
        <v>2276</v>
      </c>
      <c r="R1047" t="s">
        <v>2350</v>
      </c>
      <c r="S1047" t="s">
        <v>2350</v>
      </c>
      <c r="T1047" t="s">
        <v>396</v>
      </c>
      <c r="X1047" t="s">
        <v>161</v>
      </c>
      <c r="Y1047" t="s">
        <v>2272</v>
      </c>
      <c r="Z1047" t="s">
        <v>2272</v>
      </c>
      <c r="AA1047" t="s">
        <v>2272</v>
      </c>
      <c r="AB1047" t="s">
        <v>2272</v>
      </c>
      <c r="AC1047" t="s">
        <v>162</v>
      </c>
      <c r="AD1047" t="s">
        <v>2272</v>
      </c>
      <c r="AF1047" t="s">
        <v>49</v>
      </c>
      <c r="AJ1047" t="s">
        <v>49</v>
      </c>
      <c r="AM1047" t="s">
        <v>197</v>
      </c>
      <c r="AN1047" t="s">
        <v>171</v>
      </c>
      <c r="AP1047" t="s">
        <v>49</v>
      </c>
    </row>
    <row r="1048" spans="1:42" x14ac:dyDescent="0.2">
      <c r="A1048" t="s">
        <v>727</v>
      </c>
      <c r="B1048" t="s">
        <v>728</v>
      </c>
      <c r="C1048">
        <v>2020</v>
      </c>
      <c r="D1048" t="s">
        <v>44</v>
      </c>
      <c r="F1048" t="s">
        <v>931</v>
      </c>
      <c r="G1048" t="s">
        <v>90</v>
      </c>
      <c r="H1048" t="s">
        <v>350</v>
      </c>
      <c r="I1048" t="s">
        <v>458</v>
      </c>
      <c r="J1048">
        <f>10/12</f>
        <v>0.83333333333333337</v>
      </c>
      <c r="K1048" t="s">
        <v>104</v>
      </c>
      <c r="L1048">
        <v>4</v>
      </c>
      <c r="M1048">
        <v>1.9019999999999999</v>
      </c>
      <c r="N1048" t="s">
        <v>120</v>
      </c>
      <c r="O1048" t="s">
        <v>120</v>
      </c>
      <c r="Q1048" s="1" t="s">
        <v>2276</v>
      </c>
      <c r="R1048" s="1" t="s">
        <v>669</v>
      </c>
      <c r="S1048" s="1" t="s">
        <v>168</v>
      </c>
      <c r="X1048" t="s">
        <v>211</v>
      </c>
      <c r="Y1048" t="s">
        <v>2279</v>
      </c>
      <c r="Z1048" t="s">
        <v>2280</v>
      </c>
      <c r="AA1048" t="s">
        <v>2358</v>
      </c>
      <c r="AB1048" t="s">
        <v>2290</v>
      </c>
      <c r="AC1048" t="s">
        <v>152</v>
      </c>
      <c r="AD1048" t="s">
        <v>2278</v>
      </c>
      <c r="AE1048" t="s">
        <v>786</v>
      </c>
    </row>
    <row r="1049" spans="1:42" x14ac:dyDescent="0.2">
      <c r="A1049" t="s">
        <v>727</v>
      </c>
      <c r="B1049" t="s">
        <v>728</v>
      </c>
      <c r="C1049">
        <v>2020</v>
      </c>
      <c r="D1049" t="s">
        <v>44</v>
      </c>
      <c r="F1049" t="s">
        <v>931</v>
      </c>
      <c r="G1049" t="s">
        <v>90</v>
      </c>
      <c r="H1049" t="s">
        <v>350</v>
      </c>
      <c r="I1049" t="s">
        <v>115</v>
      </c>
      <c r="J1049">
        <f t="shared" ref="J1049:J1056" si="28">2/12</f>
        <v>0.16666666666666666</v>
      </c>
      <c r="K1049" t="s">
        <v>104</v>
      </c>
      <c r="L1049">
        <v>4</v>
      </c>
      <c r="M1049">
        <f t="shared" ref="M1049:M1056" si="29">0.4*0.4</f>
        <v>0.16000000000000003</v>
      </c>
      <c r="N1049" t="s">
        <v>120</v>
      </c>
      <c r="O1049" t="s">
        <v>120</v>
      </c>
      <c r="Q1049" s="1" t="s">
        <v>2276</v>
      </c>
      <c r="R1049" s="1" t="s">
        <v>669</v>
      </c>
      <c r="S1049" s="1" t="s">
        <v>168</v>
      </c>
      <c r="T1049" t="s">
        <v>396</v>
      </c>
      <c r="X1049" t="s">
        <v>161</v>
      </c>
      <c r="Y1049" t="s">
        <v>2272</v>
      </c>
      <c r="Z1049" t="s">
        <v>2272</v>
      </c>
      <c r="AA1049" t="s">
        <v>2272</v>
      </c>
      <c r="AB1049" t="s">
        <v>2272</v>
      </c>
      <c r="AC1049" t="s">
        <v>162</v>
      </c>
      <c r="AD1049" t="s">
        <v>2272</v>
      </c>
      <c r="AF1049" t="s">
        <v>49</v>
      </c>
      <c r="AJ1049" t="s">
        <v>49</v>
      </c>
      <c r="AM1049" t="s">
        <v>197</v>
      </c>
      <c r="AN1049" t="s">
        <v>166</v>
      </c>
      <c r="AP1049" t="s">
        <v>51</v>
      </c>
    </row>
    <row r="1050" spans="1:42" x14ac:dyDescent="0.2">
      <c r="A1050" t="s">
        <v>727</v>
      </c>
      <c r="B1050" t="s">
        <v>728</v>
      </c>
      <c r="C1050">
        <v>2020</v>
      </c>
      <c r="D1050" t="s">
        <v>44</v>
      </c>
      <c r="F1050" t="s">
        <v>931</v>
      </c>
      <c r="G1050" t="s">
        <v>90</v>
      </c>
      <c r="H1050" t="s">
        <v>350</v>
      </c>
      <c r="I1050" t="s">
        <v>115</v>
      </c>
      <c r="J1050">
        <f t="shared" si="28"/>
        <v>0.16666666666666666</v>
      </c>
      <c r="K1050" t="s">
        <v>104</v>
      </c>
      <c r="L1050">
        <v>4</v>
      </c>
      <c r="M1050">
        <f t="shared" si="29"/>
        <v>0.16000000000000003</v>
      </c>
      <c r="N1050" t="s">
        <v>129</v>
      </c>
      <c r="O1050" t="s">
        <v>2492</v>
      </c>
      <c r="Q1050" t="s">
        <v>2276</v>
      </c>
      <c r="R1050" t="s">
        <v>2350</v>
      </c>
      <c r="S1050" t="s">
        <v>2350</v>
      </c>
      <c r="T1050" t="s">
        <v>396</v>
      </c>
      <c r="X1050" t="s">
        <v>161</v>
      </c>
      <c r="Y1050" t="s">
        <v>2272</v>
      </c>
      <c r="Z1050" t="s">
        <v>2272</v>
      </c>
      <c r="AA1050" t="s">
        <v>2272</v>
      </c>
      <c r="AB1050" t="s">
        <v>2272</v>
      </c>
      <c r="AC1050" t="s">
        <v>162</v>
      </c>
      <c r="AD1050" t="s">
        <v>2272</v>
      </c>
      <c r="AF1050" t="s">
        <v>49</v>
      </c>
      <c r="AJ1050" t="s">
        <v>49</v>
      </c>
      <c r="AM1050" t="s">
        <v>197</v>
      </c>
      <c r="AN1050" t="s">
        <v>166</v>
      </c>
      <c r="AP1050" t="s">
        <v>51</v>
      </c>
    </row>
    <row r="1051" spans="1:42" x14ac:dyDescent="0.2">
      <c r="A1051" t="s">
        <v>727</v>
      </c>
      <c r="B1051" t="s">
        <v>728</v>
      </c>
      <c r="C1051">
        <v>2020</v>
      </c>
      <c r="D1051" t="s">
        <v>44</v>
      </c>
      <c r="F1051" t="s">
        <v>931</v>
      </c>
      <c r="G1051" t="s">
        <v>90</v>
      </c>
      <c r="H1051" t="s">
        <v>350</v>
      </c>
      <c r="I1051" t="s">
        <v>115</v>
      </c>
      <c r="J1051">
        <f t="shared" si="28"/>
        <v>0.16666666666666666</v>
      </c>
      <c r="K1051" t="s">
        <v>104</v>
      </c>
      <c r="L1051">
        <v>4</v>
      </c>
      <c r="M1051">
        <f t="shared" si="29"/>
        <v>0.16000000000000003</v>
      </c>
      <c r="N1051" t="s">
        <v>120</v>
      </c>
      <c r="O1051" t="s">
        <v>120</v>
      </c>
      <c r="Q1051" s="1" t="s">
        <v>2276</v>
      </c>
      <c r="R1051" s="1" t="s">
        <v>669</v>
      </c>
      <c r="S1051" s="1" t="s">
        <v>168</v>
      </c>
      <c r="T1051" t="s">
        <v>396</v>
      </c>
      <c r="X1051" t="s">
        <v>161</v>
      </c>
      <c r="Y1051" t="s">
        <v>2272</v>
      </c>
      <c r="Z1051" t="s">
        <v>2272</v>
      </c>
      <c r="AA1051" t="s">
        <v>2272</v>
      </c>
      <c r="AB1051" t="s">
        <v>2272</v>
      </c>
      <c r="AC1051" t="s">
        <v>162</v>
      </c>
      <c r="AD1051" t="s">
        <v>2272</v>
      </c>
      <c r="AF1051" t="s">
        <v>49</v>
      </c>
      <c r="AJ1051" t="s">
        <v>49</v>
      </c>
      <c r="AM1051" t="s">
        <v>197</v>
      </c>
      <c r="AN1051" t="s">
        <v>154</v>
      </c>
      <c r="AP1051" t="s">
        <v>49</v>
      </c>
    </row>
    <row r="1052" spans="1:42" x14ac:dyDescent="0.2">
      <c r="A1052" t="s">
        <v>727</v>
      </c>
      <c r="B1052" t="s">
        <v>728</v>
      </c>
      <c r="C1052">
        <v>2020</v>
      </c>
      <c r="D1052" t="s">
        <v>44</v>
      </c>
      <c r="F1052" t="s">
        <v>931</v>
      </c>
      <c r="G1052" t="s">
        <v>90</v>
      </c>
      <c r="H1052" t="s">
        <v>350</v>
      </c>
      <c r="I1052" t="s">
        <v>115</v>
      </c>
      <c r="J1052">
        <f t="shared" si="28"/>
        <v>0.16666666666666666</v>
      </c>
      <c r="K1052" t="s">
        <v>104</v>
      </c>
      <c r="L1052">
        <v>4</v>
      </c>
      <c r="M1052">
        <f t="shared" si="29"/>
        <v>0.16000000000000003</v>
      </c>
      <c r="N1052" t="s">
        <v>129</v>
      </c>
      <c r="O1052" t="s">
        <v>2492</v>
      </c>
      <c r="Q1052" t="s">
        <v>2276</v>
      </c>
      <c r="R1052" t="s">
        <v>2350</v>
      </c>
      <c r="S1052" t="s">
        <v>2350</v>
      </c>
      <c r="T1052" t="s">
        <v>396</v>
      </c>
      <c r="X1052" t="s">
        <v>161</v>
      </c>
      <c r="Y1052" t="s">
        <v>2272</v>
      </c>
      <c r="Z1052" t="s">
        <v>2272</v>
      </c>
      <c r="AA1052" t="s">
        <v>2272</v>
      </c>
      <c r="AB1052" t="s">
        <v>2272</v>
      </c>
      <c r="AC1052" t="s">
        <v>162</v>
      </c>
      <c r="AD1052" t="s">
        <v>2272</v>
      </c>
      <c r="AF1052" t="s">
        <v>49</v>
      </c>
      <c r="AJ1052" t="s">
        <v>49</v>
      </c>
      <c r="AM1052" t="s">
        <v>197</v>
      </c>
      <c r="AN1052" t="s">
        <v>154</v>
      </c>
      <c r="AP1052" t="s">
        <v>49</v>
      </c>
    </row>
    <row r="1053" spans="1:42" x14ac:dyDescent="0.2">
      <c r="A1053" t="s">
        <v>727</v>
      </c>
      <c r="B1053" t="s">
        <v>728</v>
      </c>
      <c r="C1053">
        <v>2020</v>
      </c>
      <c r="D1053" t="s">
        <v>44</v>
      </c>
      <c r="F1053" t="s">
        <v>931</v>
      </c>
      <c r="G1053" t="s">
        <v>90</v>
      </c>
      <c r="H1053" t="s">
        <v>350</v>
      </c>
      <c r="I1053" t="s">
        <v>115</v>
      </c>
      <c r="J1053">
        <f t="shared" si="28"/>
        <v>0.16666666666666666</v>
      </c>
      <c r="K1053" t="s">
        <v>104</v>
      </c>
      <c r="L1053">
        <v>4</v>
      </c>
      <c r="M1053">
        <f t="shared" si="29"/>
        <v>0.16000000000000003</v>
      </c>
      <c r="N1053" t="s">
        <v>120</v>
      </c>
      <c r="O1053" t="s">
        <v>120</v>
      </c>
      <c r="Q1053" s="1" t="s">
        <v>2276</v>
      </c>
      <c r="R1053" s="1" t="s">
        <v>669</v>
      </c>
      <c r="S1053" s="1" t="s">
        <v>168</v>
      </c>
      <c r="T1053" t="s">
        <v>396</v>
      </c>
      <c r="X1053" t="s">
        <v>161</v>
      </c>
      <c r="Y1053" t="s">
        <v>2272</v>
      </c>
      <c r="Z1053" t="s">
        <v>2272</v>
      </c>
      <c r="AA1053" t="s">
        <v>2272</v>
      </c>
      <c r="AB1053" t="s">
        <v>2272</v>
      </c>
      <c r="AC1053" t="s">
        <v>162</v>
      </c>
      <c r="AD1053" t="s">
        <v>2272</v>
      </c>
      <c r="AF1053" t="s">
        <v>49</v>
      </c>
      <c r="AJ1053" t="s">
        <v>49</v>
      </c>
      <c r="AM1053" t="s">
        <v>197</v>
      </c>
      <c r="AN1053" t="s">
        <v>109</v>
      </c>
      <c r="AO1053" t="s">
        <v>2493</v>
      </c>
      <c r="AP1053" t="s">
        <v>51</v>
      </c>
    </row>
    <row r="1054" spans="1:42" x14ac:dyDescent="0.2">
      <c r="A1054" t="s">
        <v>727</v>
      </c>
      <c r="B1054" t="s">
        <v>728</v>
      </c>
      <c r="C1054">
        <v>2020</v>
      </c>
      <c r="D1054" t="s">
        <v>44</v>
      </c>
      <c r="F1054" t="s">
        <v>931</v>
      </c>
      <c r="G1054" t="s">
        <v>90</v>
      </c>
      <c r="H1054" t="s">
        <v>350</v>
      </c>
      <c r="I1054" t="s">
        <v>115</v>
      </c>
      <c r="J1054">
        <f t="shared" si="28"/>
        <v>0.16666666666666666</v>
      </c>
      <c r="K1054" t="s">
        <v>104</v>
      </c>
      <c r="L1054">
        <v>4</v>
      </c>
      <c r="M1054">
        <f t="shared" si="29"/>
        <v>0.16000000000000003</v>
      </c>
      <c r="N1054" t="s">
        <v>129</v>
      </c>
      <c r="O1054" t="s">
        <v>2492</v>
      </c>
      <c r="Q1054" t="s">
        <v>2276</v>
      </c>
      <c r="R1054" t="s">
        <v>2350</v>
      </c>
      <c r="S1054" t="s">
        <v>2350</v>
      </c>
      <c r="T1054" t="s">
        <v>396</v>
      </c>
      <c r="X1054" t="s">
        <v>161</v>
      </c>
      <c r="Y1054" t="s">
        <v>2272</v>
      </c>
      <c r="Z1054" t="s">
        <v>2272</v>
      </c>
      <c r="AA1054" t="s">
        <v>2272</v>
      </c>
      <c r="AB1054" t="s">
        <v>2272</v>
      </c>
      <c r="AC1054" t="s">
        <v>162</v>
      </c>
      <c r="AD1054" t="s">
        <v>2272</v>
      </c>
      <c r="AF1054" t="s">
        <v>49</v>
      </c>
      <c r="AJ1054" t="s">
        <v>49</v>
      </c>
      <c r="AM1054" t="s">
        <v>197</v>
      </c>
      <c r="AN1054" t="s">
        <v>109</v>
      </c>
      <c r="AO1054" t="s">
        <v>2493</v>
      </c>
      <c r="AP1054" t="s">
        <v>51</v>
      </c>
    </row>
    <row r="1055" spans="1:42" x14ac:dyDescent="0.2">
      <c r="A1055" t="s">
        <v>727</v>
      </c>
      <c r="B1055" t="s">
        <v>728</v>
      </c>
      <c r="C1055">
        <v>2020</v>
      </c>
      <c r="D1055" t="s">
        <v>44</v>
      </c>
      <c r="F1055" t="s">
        <v>931</v>
      </c>
      <c r="G1055" t="s">
        <v>90</v>
      </c>
      <c r="H1055" t="s">
        <v>350</v>
      </c>
      <c r="I1055" t="s">
        <v>115</v>
      </c>
      <c r="J1055">
        <f t="shared" si="28"/>
        <v>0.16666666666666666</v>
      </c>
      <c r="K1055" t="s">
        <v>104</v>
      </c>
      <c r="L1055">
        <v>4</v>
      </c>
      <c r="M1055">
        <f t="shared" si="29"/>
        <v>0.16000000000000003</v>
      </c>
      <c r="N1055" t="s">
        <v>120</v>
      </c>
      <c r="O1055" t="s">
        <v>120</v>
      </c>
      <c r="Q1055" s="1" t="s">
        <v>2276</v>
      </c>
      <c r="R1055" s="1" t="s">
        <v>669</v>
      </c>
      <c r="S1055" s="1" t="s">
        <v>168</v>
      </c>
      <c r="T1055" t="s">
        <v>396</v>
      </c>
      <c r="X1055" t="s">
        <v>161</v>
      </c>
      <c r="Y1055" t="s">
        <v>2272</v>
      </c>
      <c r="Z1055" t="s">
        <v>2272</v>
      </c>
      <c r="AA1055" t="s">
        <v>2272</v>
      </c>
      <c r="AB1055" t="s">
        <v>2272</v>
      </c>
      <c r="AC1055" t="s">
        <v>162</v>
      </c>
      <c r="AD1055" t="s">
        <v>2272</v>
      </c>
      <c r="AF1055" t="s">
        <v>49</v>
      </c>
      <c r="AJ1055" t="s">
        <v>49</v>
      </c>
      <c r="AM1055" t="s">
        <v>197</v>
      </c>
      <c r="AN1055" t="s">
        <v>171</v>
      </c>
      <c r="AO1055" t="s">
        <v>2493</v>
      </c>
      <c r="AP1055" t="s">
        <v>51</v>
      </c>
    </row>
    <row r="1056" spans="1:42" x14ac:dyDescent="0.2">
      <c r="A1056" t="s">
        <v>727</v>
      </c>
      <c r="B1056" t="s">
        <v>728</v>
      </c>
      <c r="C1056">
        <v>2020</v>
      </c>
      <c r="D1056" t="s">
        <v>44</v>
      </c>
      <c r="F1056" t="s">
        <v>931</v>
      </c>
      <c r="G1056" t="s">
        <v>90</v>
      </c>
      <c r="H1056" t="s">
        <v>350</v>
      </c>
      <c r="I1056" t="s">
        <v>115</v>
      </c>
      <c r="J1056">
        <f t="shared" si="28"/>
        <v>0.16666666666666666</v>
      </c>
      <c r="K1056" t="s">
        <v>104</v>
      </c>
      <c r="L1056">
        <v>4</v>
      </c>
      <c r="M1056">
        <f t="shared" si="29"/>
        <v>0.16000000000000003</v>
      </c>
      <c r="N1056" t="s">
        <v>129</v>
      </c>
      <c r="O1056" t="s">
        <v>2492</v>
      </c>
      <c r="Q1056" t="s">
        <v>2276</v>
      </c>
      <c r="R1056" t="s">
        <v>2350</v>
      </c>
      <c r="S1056" t="s">
        <v>2350</v>
      </c>
      <c r="T1056" t="s">
        <v>396</v>
      </c>
      <c r="X1056" t="s">
        <v>161</v>
      </c>
      <c r="Y1056" t="s">
        <v>2272</v>
      </c>
      <c r="Z1056" t="s">
        <v>2272</v>
      </c>
      <c r="AA1056" t="s">
        <v>2272</v>
      </c>
      <c r="AB1056" t="s">
        <v>2272</v>
      </c>
      <c r="AC1056" t="s">
        <v>162</v>
      </c>
      <c r="AD1056" t="s">
        <v>2272</v>
      </c>
      <c r="AF1056" t="s">
        <v>49</v>
      </c>
      <c r="AJ1056" t="s">
        <v>49</v>
      </c>
      <c r="AM1056" t="s">
        <v>197</v>
      </c>
      <c r="AN1056" t="s">
        <v>171</v>
      </c>
      <c r="AO1056" t="s">
        <v>2493</v>
      </c>
      <c r="AP1056" t="s">
        <v>51</v>
      </c>
    </row>
    <row r="1057" spans="1:40" x14ac:dyDescent="0.2">
      <c r="A1057" t="s">
        <v>729</v>
      </c>
      <c r="B1057" t="s">
        <v>730</v>
      </c>
      <c r="C1057">
        <v>2020</v>
      </c>
      <c r="D1057" t="s">
        <v>44</v>
      </c>
      <c r="F1057" t="s">
        <v>958</v>
      </c>
      <c r="G1057" t="s">
        <v>85</v>
      </c>
      <c r="H1057" t="s">
        <v>350</v>
      </c>
      <c r="M1057">
        <v>0</v>
      </c>
      <c r="N1057" t="s">
        <v>127</v>
      </c>
      <c r="O1057" t="s">
        <v>731</v>
      </c>
      <c r="P1057" t="s">
        <v>732</v>
      </c>
      <c r="Q1057" s="1" t="s">
        <v>2281</v>
      </c>
      <c r="R1057" s="1" t="s">
        <v>2301</v>
      </c>
      <c r="S1057" s="1" t="s">
        <v>2590</v>
      </c>
      <c r="X1057" t="s">
        <v>189</v>
      </c>
      <c r="Y1057" t="s">
        <v>2279</v>
      </c>
      <c r="Z1057" t="s">
        <v>2280</v>
      </c>
      <c r="AA1057" t="s">
        <v>2358</v>
      </c>
      <c r="AB1057" t="s">
        <v>189</v>
      </c>
      <c r="AC1057" t="s">
        <v>152</v>
      </c>
      <c r="AD1057" t="s">
        <v>2278</v>
      </c>
      <c r="AF1057" t="s">
        <v>49</v>
      </c>
      <c r="AI1057" t="s">
        <v>49</v>
      </c>
      <c r="AM1057" t="s">
        <v>201</v>
      </c>
      <c r="AN1057" t="s">
        <v>166</v>
      </c>
    </row>
    <row r="1058" spans="1:40" x14ac:dyDescent="0.2">
      <c r="A1058" t="s">
        <v>729</v>
      </c>
      <c r="B1058" t="s">
        <v>730</v>
      </c>
      <c r="C1058">
        <v>2020</v>
      </c>
      <c r="D1058" t="s">
        <v>44</v>
      </c>
      <c r="F1058" t="s">
        <v>958</v>
      </c>
      <c r="G1058" t="s">
        <v>85</v>
      </c>
      <c r="H1058" t="s">
        <v>350</v>
      </c>
      <c r="M1058">
        <v>0</v>
      </c>
      <c r="N1058" t="s">
        <v>127</v>
      </c>
      <c r="O1058" t="s">
        <v>731</v>
      </c>
      <c r="P1058" t="s">
        <v>732</v>
      </c>
      <c r="Q1058" s="1" t="s">
        <v>2281</v>
      </c>
      <c r="R1058" s="1" t="s">
        <v>2301</v>
      </c>
      <c r="S1058" s="1" t="s">
        <v>2590</v>
      </c>
      <c r="X1058" t="s">
        <v>642</v>
      </c>
      <c r="Y1058" t="s">
        <v>2273</v>
      </c>
      <c r="Z1058" t="s">
        <v>249</v>
      </c>
      <c r="AA1058" t="s">
        <v>2359</v>
      </c>
      <c r="AB1058" t="s">
        <v>1979</v>
      </c>
      <c r="AC1058" t="s">
        <v>152</v>
      </c>
      <c r="AD1058" t="s">
        <v>137</v>
      </c>
      <c r="AF1058" t="s">
        <v>49</v>
      </c>
      <c r="AI1058" t="s">
        <v>49</v>
      </c>
      <c r="AM1058" t="s">
        <v>201</v>
      </c>
      <c r="AN1058" t="s">
        <v>166</v>
      </c>
    </row>
    <row r="1059" spans="1:40" x14ac:dyDescent="0.2">
      <c r="A1059" t="s">
        <v>729</v>
      </c>
      <c r="B1059" t="s">
        <v>730</v>
      </c>
      <c r="C1059">
        <v>2020</v>
      </c>
      <c r="D1059" t="s">
        <v>44</v>
      </c>
      <c r="F1059" t="s">
        <v>958</v>
      </c>
      <c r="G1059" t="s">
        <v>85</v>
      </c>
      <c r="H1059" t="s">
        <v>350</v>
      </c>
      <c r="M1059">
        <v>0</v>
      </c>
      <c r="N1059" t="s">
        <v>127</v>
      </c>
      <c r="O1059" t="s">
        <v>731</v>
      </c>
      <c r="P1059" t="s">
        <v>732</v>
      </c>
      <c r="Q1059" s="1" t="s">
        <v>2281</v>
      </c>
      <c r="R1059" s="1" t="s">
        <v>2301</v>
      </c>
      <c r="S1059" s="1" t="s">
        <v>2590</v>
      </c>
      <c r="X1059" t="s">
        <v>293</v>
      </c>
      <c r="Y1059" t="s">
        <v>2273</v>
      </c>
      <c r="Z1059" t="s">
        <v>249</v>
      </c>
      <c r="AA1059" t="s">
        <v>2359</v>
      </c>
      <c r="AB1059" t="s">
        <v>1419</v>
      </c>
      <c r="AC1059" t="s">
        <v>152</v>
      </c>
      <c r="AD1059" t="s">
        <v>137</v>
      </c>
      <c r="AF1059" t="s">
        <v>49</v>
      </c>
      <c r="AI1059" t="s">
        <v>49</v>
      </c>
      <c r="AM1059" t="s">
        <v>201</v>
      </c>
      <c r="AN1059" t="s">
        <v>166</v>
      </c>
    </row>
    <row r="1060" spans="1:40" x14ac:dyDescent="0.2">
      <c r="A1060" t="s">
        <v>729</v>
      </c>
      <c r="B1060" t="s">
        <v>730</v>
      </c>
      <c r="C1060">
        <v>2020</v>
      </c>
      <c r="D1060" t="s">
        <v>44</v>
      </c>
      <c r="F1060" t="s">
        <v>958</v>
      </c>
      <c r="G1060" t="s">
        <v>85</v>
      </c>
      <c r="H1060" t="s">
        <v>350</v>
      </c>
      <c r="M1060">
        <v>0</v>
      </c>
      <c r="N1060" t="s">
        <v>127</v>
      </c>
      <c r="O1060" t="s">
        <v>731</v>
      </c>
      <c r="P1060" t="s">
        <v>732</v>
      </c>
      <c r="Q1060" s="1" t="s">
        <v>2281</v>
      </c>
      <c r="R1060" s="1" t="s">
        <v>2301</v>
      </c>
      <c r="S1060" s="1" t="s">
        <v>2590</v>
      </c>
      <c r="X1060" t="s">
        <v>733</v>
      </c>
      <c r="Y1060" t="s">
        <v>2273</v>
      </c>
      <c r="Z1060" t="s">
        <v>249</v>
      </c>
      <c r="AA1060" t="s">
        <v>2359</v>
      </c>
      <c r="AB1060" t="s">
        <v>1419</v>
      </c>
      <c r="AC1060" t="s">
        <v>152</v>
      </c>
      <c r="AD1060" t="s">
        <v>137</v>
      </c>
      <c r="AF1060" t="s">
        <v>49</v>
      </c>
      <c r="AI1060" t="s">
        <v>49</v>
      </c>
      <c r="AM1060" t="s">
        <v>201</v>
      </c>
      <c r="AN1060" t="s">
        <v>166</v>
      </c>
    </row>
    <row r="1061" spans="1:40" x14ac:dyDescent="0.2">
      <c r="A1061" t="s">
        <v>729</v>
      </c>
      <c r="B1061" t="s">
        <v>730</v>
      </c>
      <c r="C1061">
        <v>2020</v>
      </c>
      <c r="D1061" t="s">
        <v>44</v>
      </c>
      <c r="F1061" t="s">
        <v>958</v>
      </c>
      <c r="G1061" t="s">
        <v>85</v>
      </c>
      <c r="H1061" t="s">
        <v>350</v>
      </c>
      <c r="M1061">
        <v>0</v>
      </c>
      <c r="N1061" t="s">
        <v>127</v>
      </c>
      <c r="O1061" t="s">
        <v>731</v>
      </c>
      <c r="P1061" t="s">
        <v>732</v>
      </c>
      <c r="Q1061" s="1" t="s">
        <v>2281</v>
      </c>
      <c r="R1061" s="1" t="s">
        <v>2301</v>
      </c>
      <c r="S1061" s="1" t="s">
        <v>2590</v>
      </c>
      <c r="X1061" t="s">
        <v>615</v>
      </c>
      <c r="Y1061" t="s">
        <v>2273</v>
      </c>
      <c r="Z1061" t="s">
        <v>249</v>
      </c>
      <c r="AA1061" t="s">
        <v>2359</v>
      </c>
      <c r="AB1061" t="s">
        <v>2285</v>
      </c>
      <c r="AC1061" t="s">
        <v>315</v>
      </c>
      <c r="AD1061" t="s">
        <v>137</v>
      </c>
      <c r="AF1061" t="s">
        <v>49</v>
      </c>
      <c r="AI1061" t="s">
        <v>49</v>
      </c>
      <c r="AM1061" t="s">
        <v>201</v>
      </c>
      <c r="AN1061" t="s">
        <v>166</v>
      </c>
    </row>
    <row r="1062" spans="1:40" x14ac:dyDescent="0.2">
      <c r="A1062" t="s">
        <v>729</v>
      </c>
      <c r="B1062" t="s">
        <v>730</v>
      </c>
      <c r="C1062">
        <v>2020</v>
      </c>
      <c r="D1062" t="s">
        <v>44</v>
      </c>
      <c r="F1062" t="s">
        <v>958</v>
      </c>
      <c r="G1062" t="s">
        <v>85</v>
      </c>
      <c r="H1062" t="s">
        <v>350</v>
      </c>
      <c r="M1062">
        <v>0</v>
      </c>
      <c r="N1062" t="s">
        <v>127</v>
      </c>
      <c r="O1062" t="s">
        <v>731</v>
      </c>
      <c r="P1062" t="s">
        <v>732</v>
      </c>
      <c r="Q1062" s="1" t="s">
        <v>2281</v>
      </c>
      <c r="R1062" s="1" t="s">
        <v>2301</v>
      </c>
      <c r="S1062" s="1" t="s">
        <v>2590</v>
      </c>
      <c r="X1062" t="s">
        <v>339</v>
      </c>
      <c r="Y1062" t="s">
        <v>2273</v>
      </c>
      <c r="Z1062" t="s">
        <v>249</v>
      </c>
      <c r="AA1062" t="s">
        <v>2359</v>
      </c>
      <c r="AB1062" t="s">
        <v>2289</v>
      </c>
      <c r="AC1062" t="s">
        <v>315</v>
      </c>
      <c r="AD1062" t="s">
        <v>137</v>
      </c>
      <c r="AF1062" t="s">
        <v>49</v>
      </c>
      <c r="AI1062" t="s">
        <v>49</v>
      </c>
      <c r="AM1062" t="s">
        <v>201</v>
      </c>
      <c r="AN1062" t="s">
        <v>166</v>
      </c>
    </row>
    <row r="1063" spans="1:40" x14ac:dyDescent="0.2">
      <c r="A1063" t="s">
        <v>729</v>
      </c>
      <c r="B1063" t="s">
        <v>730</v>
      </c>
      <c r="C1063">
        <v>2020</v>
      </c>
      <c r="D1063" t="s">
        <v>44</v>
      </c>
      <c r="F1063" t="s">
        <v>958</v>
      </c>
      <c r="G1063" t="s">
        <v>85</v>
      </c>
      <c r="H1063" t="s">
        <v>350</v>
      </c>
      <c r="M1063">
        <v>0</v>
      </c>
      <c r="N1063" t="s">
        <v>127</v>
      </c>
      <c r="O1063" t="s">
        <v>731</v>
      </c>
      <c r="P1063" t="s">
        <v>732</v>
      </c>
      <c r="Q1063" s="1" t="s">
        <v>2281</v>
      </c>
      <c r="R1063" s="1" t="s">
        <v>2301</v>
      </c>
      <c r="S1063" s="1" t="s">
        <v>2590</v>
      </c>
      <c r="X1063" t="s">
        <v>2263</v>
      </c>
      <c r="Y1063" t="s">
        <v>2279</v>
      </c>
      <c r="Z1063" t="s">
        <v>2280</v>
      </c>
      <c r="AA1063" t="s">
        <v>2358</v>
      </c>
      <c r="AB1063" t="s">
        <v>261</v>
      </c>
      <c r="AC1063" t="s">
        <v>315</v>
      </c>
      <c r="AD1063" t="s">
        <v>2278</v>
      </c>
      <c r="AF1063" t="s">
        <v>49</v>
      </c>
      <c r="AI1063" t="s">
        <v>49</v>
      </c>
      <c r="AM1063" t="s">
        <v>201</v>
      </c>
      <c r="AN1063" t="s">
        <v>166</v>
      </c>
    </row>
    <row r="1064" spans="1:40" x14ac:dyDescent="0.2">
      <c r="A1064" t="s">
        <v>729</v>
      </c>
      <c r="B1064" t="s">
        <v>730</v>
      </c>
      <c r="C1064">
        <v>2020</v>
      </c>
      <c r="D1064" t="s">
        <v>44</v>
      </c>
      <c r="F1064" t="s">
        <v>958</v>
      </c>
      <c r="G1064" t="s">
        <v>85</v>
      </c>
      <c r="H1064" t="s">
        <v>350</v>
      </c>
      <c r="M1064">
        <v>0</v>
      </c>
      <c r="N1064" t="s">
        <v>127</v>
      </c>
      <c r="O1064" t="s">
        <v>731</v>
      </c>
      <c r="P1064" t="s">
        <v>732</v>
      </c>
      <c r="Q1064" s="1" t="s">
        <v>2281</v>
      </c>
      <c r="R1064" s="1" t="s">
        <v>2301</v>
      </c>
      <c r="S1064" s="1" t="s">
        <v>2590</v>
      </c>
      <c r="X1064" t="s">
        <v>2262</v>
      </c>
      <c r="Y1064" t="s">
        <v>2279</v>
      </c>
      <c r="Z1064" t="s">
        <v>2280</v>
      </c>
      <c r="AA1064" t="s">
        <v>2358</v>
      </c>
      <c r="AB1064" t="s">
        <v>2459</v>
      </c>
      <c r="AC1064" t="s">
        <v>315</v>
      </c>
      <c r="AD1064" t="s">
        <v>2278</v>
      </c>
      <c r="AF1064" t="s">
        <v>49</v>
      </c>
      <c r="AI1064" t="s">
        <v>49</v>
      </c>
      <c r="AM1064" t="s">
        <v>201</v>
      </c>
      <c r="AN1064" t="s">
        <v>166</v>
      </c>
    </row>
    <row r="1065" spans="1:40" x14ac:dyDescent="0.2">
      <c r="A1065" t="s">
        <v>729</v>
      </c>
      <c r="B1065" t="s">
        <v>730</v>
      </c>
      <c r="C1065">
        <v>2020</v>
      </c>
      <c r="D1065" t="s">
        <v>44</v>
      </c>
      <c r="F1065" t="s">
        <v>958</v>
      </c>
      <c r="G1065" t="s">
        <v>85</v>
      </c>
      <c r="H1065" t="s">
        <v>350</v>
      </c>
      <c r="M1065">
        <v>0</v>
      </c>
      <c r="N1065" t="s">
        <v>127</v>
      </c>
      <c r="O1065" t="s">
        <v>731</v>
      </c>
      <c r="P1065" t="s">
        <v>732</v>
      </c>
      <c r="Q1065" s="1" t="s">
        <v>2281</v>
      </c>
      <c r="R1065" s="1" t="s">
        <v>2301</v>
      </c>
      <c r="S1065" s="1" t="s">
        <v>2590</v>
      </c>
      <c r="X1065" t="s">
        <v>189</v>
      </c>
      <c r="Y1065" t="s">
        <v>2279</v>
      </c>
      <c r="Z1065" t="s">
        <v>2280</v>
      </c>
      <c r="AA1065" t="s">
        <v>2358</v>
      </c>
      <c r="AB1065" t="s">
        <v>189</v>
      </c>
      <c r="AC1065" t="s">
        <v>152</v>
      </c>
      <c r="AD1065" t="s">
        <v>2278</v>
      </c>
      <c r="AF1065" t="s">
        <v>49</v>
      </c>
      <c r="AI1065" t="s">
        <v>49</v>
      </c>
      <c r="AM1065" t="s">
        <v>201</v>
      </c>
      <c r="AN1065" t="s">
        <v>154</v>
      </c>
    </row>
    <row r="1066" spans="1:40" x14ac:dyDescent="0.2">
      <c r="A1066" t="s">
        <v>729</v>
      </c>
      <c r="B1066" t="s">
        <v>730</v>
      </c>
      <c r="C1066">
        <v>2020</v>
      </c>
      <c r="D1066" t="s">
        <v>44</v>
      </c>
      <c r="F1066" t="s">
        <v>958</v>
      </c>
      <c r="G1066" t="s">
        <v>85</v>
      </c>
      <c r="H1066" t="s">
        <v>350</v>
      </c>
      <c r="M1066">
        <v>0</v>
      </c>
      <c r="N1066" t="s">
        <v>127</v>
      </c>
      <c r="O1066" t="s">
        <v>731</v>
      </c>
      <c r="P1066" t="s">
        <v>732</v>
      </c>
      <c r="Q1066" s="1" t="s">
        <v>2281</v>
      </c>
      <c r="R1066" s="1" t="s">
        <v>2301</v>
      </c>
      <c r="S1066" s="1" t="s">
        <v>2590</v>
      </c>
      <c r="X1066" t="s">
        <v>642</v>
      </c>
      <c r="Y1066" t="s">
        <v>2273</v>
      </c>
      <c r="Z1066" t="s">
        <v>249</v>
      </c>
      <c r="AA1066" t="s">
        <v>2359</v>
      </c>
      <c r="AB1066" t="s">
        <v>1979</v>
      </c>
      <c r="AC1066" t="s">
        <v>152</v>
      </c>
      <c r="AD1066" t="s">
        <v>137</v>
      </c>
      <c r="AF1066" t="s">
        <v>49</v>
      </c>
      <c r="AI1066" t="s">
        <v>49</v>
      </c>
      <c r="AM1066" t="s">
        <v>201</v>
      </c>
      <c r="AN1066" t="s">
        <v>154</v>
      </c>
    </row>
    <row r="1067" spans="1:40" x14ac:dyDescent="0.2">
      <c r="A1067" t="s">
        <v>729</v>
      </c>
      <c r="B1067" t="s">
        <v>730</v>
      </c>
      <c r="C1067">
        <v>2020</v>
      </c>
      <c r="D1067" t="s">
        <v>44</v>
      </c>
      <c r="F1067" t="s">
        <v>958</v>
      </c>
      <c r="G1067" t="s">
        <v>85</v>
      </c>
      <c r="H1067" t="s">
        <v>350</v>
      </c>
      <c r="M1067">
        <v>0</v>
      </c>
      <c r="N1067" t="s">
        <v>127</v>
      </c>
      <c r="O1067" t="s">
        <v>731</v>
      </c>
      <c r="P1067" t="s">
        <v>732</v>
      </c>
      <c r="Q1067" s="1" t="s">
        <v>2281</v>
      </c>
      <c r="R1067" s="1" t="s">
        <v>2301</v>
      </c>
      <c r="S1067" s="1" t="s">
        <v>2590</v>
      </c>
      <c r="X1067" t="s">
        <v>293</v>
      </c>
      <c r="Y1067" t="s">
        <v>2273</v>
      </c>
      <c r="Z1067" t="s">
        <v>249</v>
      </c>
      <c r="AA1067" t="s">
        <v>2359</v>
      </c>
      <c r="AB1067" t="s">
        <v>1419</v>
      </c>
      <c r="AC1067" t="s">
        <v>152</v>
      </c>
      <c r="AD1067" t="s">
        <v>137</v>
      </c>
      <c r="AF1067" t="s">
        <v>49</v>
      </c>
      <c r="AI1067" t="s">
        <v>49</v>
      </c>
      <c r="AM1067" t="s">
        <v>201</v>
      </c>
      <c r="AN1067" t="s">
        <v>154</v>
      </c>
    </row>
    <row r="1068" spans="1:40" x14ac:dyDescent="0.2">
      <c r="A1068" t="s">
        <v>729</v>
      </c>
      <c r="B1068" t="s">
        <v>730</v>
      </c>
      <c r="C1068">
        <v>2020</v>
      </c>
      <c r="D1068" t="s">
        <v>44</v>
      </c>
      <c r="F1068" t="s">
        <v>958</v>
      </c>
      <c r="G1068" t="s">
        <v>85</v>
      </c>
      <c r="H1068" t="s">
        <v>350</v>
      </c>
      <c r="M1068">
        <v>0</v>
      </c>
      <c r="N1068" t="s">
        <v>127</v>
      </c>
      <c r="O1068" t="s">
        <v>731</v>
      </c>
      <c r="P1068" t="s">
        <v>732</v>
      </c>
      <c r="Q1068" s="1" t="s">
        <v>2281</v>
      </c>
      <c r="R1068" s="1" t="s">
        <v>2301</v>
      </c>
      <c r="S1068" s="1" t="s">
        <v>2590</v>
      </c>
      <c r="X1068" t="s">
        <v>733</v>
      </c>
      <c r="Y1068" t="s">
        <v>2273</v>
      </c>
      <c r="Z1068" t="s">
        <v>249</v>
      </c>
      <c r="AA1068" t="s">
        <v>2359</v>
      </c>
      <c r="AB1068" t="s">
        <v>1419</v>
      </c>
      <c r="AC1068" t="s">
        <v>152</v>
      </c>
      <c r="AD1068" t="s">
        <v>137</v>
      </c>
      <c r="AF1068" t="s">
        <v>49</v>
      </c>
      <c r="AI1068" t="s">
        <v>49</v>
      </c>
      <c r="AM1068" t="s">
        <v>201</v>
      </c>
      <c r="AN1068" t="s">
        <v>154</v>
      </c>
    </row>
    <row r="1069" spans="1:40" x14ac:dyDescent="0.2">
      <c r="A1069" t="s">
        <v>729</v>
      </c>
      <c r="B1069" t="s">
        <v>730</v>
      </c>
      <c r="C1069">
        <v>2020</v>
      </c>
      <c r="D1069" t="s">
        <v>44</v>
      </c>
      <c r="F1069" t="s">
        <v>958</v>
      </c>
      <c r="G1069" t="s">
        <v>85</v>
      </c>
      <c r="H1069" t="s">
        <v>350</v>
      </c>
      <c r="M1069">
        <v>0</v>
      </c>
      <c r="N1069" t="s">
        <v>127</v>
      </c>
      <c r="O1069" t="s">
        <v>731</v>
      </c>
      <c r="P1069" t="s">
        <v>732</v>
      </c>
      <c r="Q1069" s="1" t="s">
        <v>2281</v>
      </c>
      <c r="R1069" s="1" t="s">
        <v>2301</v>
      </c>
      <c r="S1069" s="1" t="s">
        <v>2590</v>
      </c>
      <c r="X1069" t="s">
        <v>615</v>
      </c>
      <c r="Y1069" t="s">
        <v>2273</v>
      </c>
      <c r="Z1069" t="s">
        <v>249</v>
      </c>
      <c r="AA1069" t="s">
        <v>2359</v>
      </c>
      <c r="AB1069" t="s">
        <v>2285</v>
      </c>
      <c r="AC1069" t="s">
        <v>315</v>
      </c>
      <c r="AD1069" t="s">
        <v>137</v>
      </c>
      <c r="AF1069" t="s">
        <v>49</v>
      </c>
      <c r="AI1069" t="s">
        <v>49</v>
      </c>
      <c r="AM1069" t="s">
        <v>201</v>
      </c>
      <c r="AN1069" t="s">
        <v>154</v>
      </c>
    </row>
    <row r="1070" spans="1:40" x14ac:dyDescent="0.2">
      <c r="A1070" t="s">
        <v>729</v>
      </c>
      <c r="B1070" t="s">
        <v>730</v>
      </c>
      <c r="C1070">
        <v>2020</v>
      </c>
      <c r="D1070" t="s">
        <v>44</v>
      </c>
      <c r="F1070" t="s">
        <v>958</v>
      </c>
      <c r="G1070" t="s">
        <v>85</v>
      </c>
      <c r="H1070" t="s">
        <v>350</v>
      </c>
      <c r="M1070">
        <v>0</v>
      </c>
      <c r="N1070" t="s">
        <v>127</v>
      </c>
      <c r="O1070" t="s">
        <v>731</v>
      </c>
      <c r="P1070" t="s">
        <v>732</v>
      </c>
      <c r="Q1070" s="1" t="s">
        <v>2281</v>
      </c>
      <c r="R1070" s="1" t="s">
        <v>2301</v>
      </c>
      <c r="S1070" s="1" t="s">
        <v>2590</v>
      </c>
      <c r="X1070" t="s">
        <v>339</v>
      </c>
      <c r="Y1070" t="s">
        <v>2273</v>
      </c>
      <c r="Z1070" t="s">
        <v>249</v>
      </c>
      <c r="AA1070" t="s">
        <v>2359</v>
      </c>
      <c r="AB1070" t="s">
        <v>2289</v>
      </c>
      <c r="AC1070" t="s">
        <v>315</v>
      </c>
      <c r="AD1070" t="s">
        <v>137</v>
      </c>
      <c r="AF1070" t="s">
        <v>49</v>
      </c>
      <c r="AI1070" t="s">
        <v>49</v>
      </c>
      <c r="AM1070" t="s">
        <v>201</v>
      </c>
      <c r="AN1070" t="s">
        <v>154</v>
      </c>
    </row>
    <row r="1071" spans="1:40" x14ac:dyDescent="0.2">
      <c r="A1071" t="s">
        <v>729</v>
      </c>
      <c r="B1071" t="s">
        <v>730</v>
      </c>
      <c r="C1071">
        <v>2020</v>
      </c>
      <c r="D1071" t="s">
        <v>44</v>
      </c>
      <c r="F1071" t="s">
        <v>958</v>
      </c>
      <c r="G1071" t="s">
        <v>85</v>
      </c>
      <c r="H1071" t="s">
        <v>350</v>
      </c>
      <c r="M1071">
        <v>0</v>
      </c>
      <c r="N1071" t="s">
        <v>127</v>
      </c>
      <c r="O1071" t="s">
        <v>731</v>
      </c>
      <c r="P1071" t="s">
        <v>732</v>
      </c>
      <c r="Q1071" s="1" t="s">
        <v>2281</v>
      </c>
      <c r="R1071" s="1" t="s">
        <v>2301</v>
      </c>
      <c r="S1071" s="1" t="s">
        <v>2590</v>
      </c>
      <c r="X1071" t="s">
        <v>2263</v>
      </c>
      <c r="Y1071" t="s">
        <v>2279</v>
      </c>
      <c r="Z1071" t="s">
        <v>2280</v>
      </c>
      <c r="AA1071" t="s">
        <v>2358</v>
      </c>
      <c r="AB1071" t="s">
        <v>261</v>
      </c>
      <c r="AC1071" t="s">
        <v>315</v>
      </c>
      <c r="AD1071" t="s">
        <v>2278</v>
      </c>
      <c r="AF1071" t="s">
        <v>49</v>
      </c>
      <c r="AI1071" t="s">
        <v>49</v>
      </c>
      <c r="AM1071" t="s">
        <v>201</v>
      </c>
      <c r="AN1071" t="s">
        <v>154</v>
      </c>
    </row>
    <row r="1072" spans="1:40" x14ac:dyDescent="0.2">
      <c r="A1072" t="s">
        <v>729</v>
      </c>
      <c r="B1072" t="s">
        <v>730</v>
      </c>
      <c r="C1072">
        <v>2020</v>
      </c>
      <c r="D1072" t="s">
        <v>44</v>
      </c>
      <c r="F1072" t="s">
        <v>958</v>
      </c>
      <c r="G1072" t="s">
        <v>85</v>
      </c>
      <c r="H1072" t="s">
        <v>350</v>
      </c>
      <c r="M1072">
        <v>0</v>
      </c>
      <c r="N1072" t="s">
        <v>127</v>
      </c>
      <c r="O1072" t="s">
        <v>731</v>
      </c>
      <c r="P1072" t="s">
        <v>732</v>
      </c>
      <c r="Q1072" s="1" t="s">
        <v>2281</v>
      </c>
      <c r="R1072" s="1" t="s">
        <v>2301</v>
      </c>
      <c r="S1072" s="1" t="s">
        <v>2590</v>
      </c>
      <c r="X1072" t="s">
        <v>2262</v>
      </c>
      <c r="Y1072" t="s">
        <v>2279</v>
      </c>
      <c r="Z1072" t="s">
        <v>2280</v>
      </c>
      <c r="AA1072" t="s">
        <v>2358</v>
      </c>
      <c r="AB1072" t="s">
        <v>2459</v>
      </c>
      <c r="AC1072" t="s">
        <v>315</v>
      </c>
      <c r="AD1072" t="s">
        <v>2278</v>
      </c>
      <c r="AF1072" t="s">
        <v>49</v>
      </c>
      <c r="AI1072" t="s">
        <v>49</v>
      </c>
      <c r="AM1072" t="s">
        <v>201</v>
      </c>
      <c r="AN1072" t="s">
        <v>154</v>
      </c>
    </row>
    <row r="1073" spans="1:45" x14ac:dyDescent="0.2">
      <c r="A1073" t="s">
        <v>729</v>
      </c>
      <c r="B1073" t="s">
        <v>730</v>
      </c>
      <c r="C1073">
        <v>2020</v>
      </c>
      <c r="D1073" t="s">
        <v>44</v>
      </c>
      <c r="F1073" t="s">
        <v>958</v>
      </c>
      <c r="G1073" t="s">
        <v>85</v>
      </c>
      <c r="H1073" t="s">
        <v>350</v>
      </c>
      <c r="M1073">
        <v>0</v>
      </c>
      <c r="N1073" t="s">
        <v>127</v>
      </c>
      <c r="O1073" t="s">
        <v>731</v>
      </c>
      <c r="P1073" t="s">
        <v>732</v>
      </c>
      <c r="Q1073" s="1" t="s">
        <v>2281</v>
      </c>
      <c r="R1073" s="1" t="s">
        <v>2301</v>
      </c>
      <c r="S1073" s="1" t="s">
        <v>2590</v>
      </c>
      <c r="X1073" t="s">
        <v>189</v>
      </c>
      <c r="Y1073" t="s">
        <v>2279</v>
      </c>
      <c r="Z1073" t="s">
        <v>2280</v>
      </c>
      <c r="AA1073" t="s">
        <v>2358</v>
      </c>
      <c r="AB1073" t="s">
        <v>189</v>
      </c>
      <c r="AC1073" t="s">
        <v>152</v>
      </c>
      <c r="AD1073" t="s">
        <v>2278</v>
      </c>
      <c r="AF1073" t="s">
        <v>49</v>
      </c>
      <c r="AI1073" t="s">
        <v>49</v>
      </c>
      <c r="AM1073" t="s">
        <v>201</v>
      </c>
      <c r="AN1073" t="s">
        <v>155</v>
      </c>
    </row>
    <row r="1074" spans="1:45" x14ac:dyDescent="0.2">
      <c r="A1074" t="s">
        <v>729</v>
      </c>
      <c r="B1074" t="s">
        <v>730</v>
      </c>
      <c r="C1074">
        <v>2020</v>
      </c>
      <c r="D1074" t="s">
        <v>44</v>
      </c>
      <c r="F1074" t="s">
        <v>958</v>
      </c>
      <c r="G1074" t="s">
        <v>85</v>
      </c>
      <c r="H1074" t="s">
        <v>350</v>
      </c>
      <c r="M1074">
        <v>0</v>
      </c>
      <c r="N1074" t="s">
        <v>127</v>
      </c>
      <c r="O1074" t="s">
        <v>731</v>
      </c>
      <c r="P1074" t="s">
        <v>732</v>
      </c>
      <c r="Q1074" s="1" t="s">
        <v>2281</v>
      </c>
      <c r="R1074" s="1" t="s">
        <v>2301</v>
      </c>
      <c r="S1074" s="1" t="s">
        <v>2590</v>
      </c>
      <c r="X1074" t="s">
        <v>642</v>
      </c>
      <c r="Y1074" t="s">
        <v>2273</v>
      </c>
      <c r="Z1074" t="s">
        <v>249</v>
      </c>
      <c r="AA1074" t="s">
        <v>2359</v>
      </c>
      <c r="AB1074" t="s">
        <v>1979</v>
      </c>
      <c r="AC1074" t="s">
        <v>152</v>
      </c>
      <c r="AD1074" t="s">
        <v>137</v>
      </c>
      <c r="AF1074" t="s">
        <v>49</v>
      </c>
      <c r="AI1074" t="s">
        <v>49</v>
      </c>
      <c r="AM1074" t="s">
        <v>201</v>
      </c>
      <c r="AN1074" t="s">
        <v>155</v>
      </c>
    </row>
    <row r="1075" spans="1:45" x14ac:dyDescent="0.2">
      <c r="A1075" t="s">
        <v>729</v>
      </c>
      <c r="B1075" t="s">
        <v>730</v>
      </c>
      <c r="C1075">
        <v>2020</v>
      </c>
      <c r="D1075" t="s">
        <v>44</v>
      </c>
      <c r="F1075" t="s">
        <v>958</v>
      </c>
      <c r="G1075" t="s">
        <v>85</v>
      </c>
      <c r="H1075" t="s">
        <v>350</v>
      </c>
      <c r="M1075">
        <v>0</v>
      </c>
      <c r="N1075" t="s">
        <v>127</v>
      </c>
      <c r="O1075" t="s">
        <v>731</v>
      </c>
      <c r="P1075" t="s">
        <v>732</v>
      </c>
      <c r="Q1075" s="1" t="s">
        <v>2281</v>
      </c>
      <c r="R1075" s="1" t="s">
        <v>2301</v>
      </c>
      <c r="S1075" s="1" t="s">
        <v>2590</v>
      </c>
      <c r="X1075" t="s">
        <v>293</v>
      </c>
      <c r="Y1075" t="s">
        <v>2273</v>
      </c>
      <c r="Z1075" t="s">
        <v>249</v>
      </c>
      <c r="AA1075" t="s">
        <v>2359</v>
      </c>
      <c r="AB1075" t="s">
        <v>1419</v>
      </c>
      <c r="AC1075" t="s">
        <v>152</v>
      </c>
      <c r="AD1075" t="s">
        <v>137</v>
      </c>
      <c r="AF1075" t="s">
        <v>49</v>
      </c>
      <c r="AI1075" t="s">
        <v>49</v>
      </c>
      <c r="AM1075" t="s">
        <v>201</v>
      </c>
      <c r="AN1075" t="s">
        <v>155</v>
      </c>
    </row>
    <row r="1076" spans="1:45" x14ac:dyDescent="0.2">
      <c r="A1076" t="s">
        <v>729</v>
      </c>
      <c r="B1076" t="s">
        <v>730</v>
      </c>
      <c r="C1076">
        <v>2020</v>
      </c>
      <c r="D1076" t="s">
        <v>44</v>
      </c>
      <c r="F1076" t="s">
        <v>958</v>
      </c>
      <c r="G1076" t="s">
        <v>85</v>
      </c>
      <c r="H1076" t="s">
        <v>350</v>
      </c>
      <c r="M1076">
        <v>0</v>
      </c>
      <c r="N1076" t="s">
        <v>127</v>
      </c>
      <c r="O1076" t="s">
        <v>731</v>
      </c>
      <c r="P1076" t="s">
        <v>732</v>
      </c>
      <c r="Q1076" s="1" t="s">
        <v>2281</v>
      </c>
      <c r="R1076" s="1" t="s">
        <v>2301</v>
      </c>
      <c r="S1076" s="1" t="s">
        <v>2590</v>
      </c>
      <c r="X1076" t="s">
        <v>733</v>
      </c>
      <c r="Y1076" t="s">
        <v>2273</v>
      </c>
      <c r="Z1076" t="s">
        <v>249</v>
      </c>
      <c r="AA1076" t="s">
        <v>2359</v>
      </c>
      <c r="AB1076" t="s">
        <v>1419</v>
      </c>
      <c r="AC1076" t="s">
        <v>152</v>
      </c>
      <c r="AD1076" t="s">
        <v>137</v>
      </c>
      <c r="AF1076" t="s">
        <v>49</v>
      </c>
      <c r="AI1076" t="s">
        <v>49</v>
      </c>
      <c r="AM1076" t="s">
        <v>201</v>
      </c>
      <c r="AN1076" t="s">
        <v>155</v>
      </c>
    </row>
    <row r="1077" spans="1:45" x14ac:dyDescent="0.2">
      <c r="A1077" t="s">
        <v>729</v>
      </c>
      <c r="B1077" t="s">
        <v>730</v>
      </c>
      <c r="C1077">
        <v>2020</v>
      </c>
      <c r="D1077" t="s">
        <v>44</v>
      </c>
      <c r="F1077" t="s">
        <v>958</v>
      </c>
      <c r="G1077" t="s">
        <v>85</v>
      </c>
      <c r="H1077" t="s">
        <v>350</v>
      </c>
      <c r="M1077">
        <v>0</v>
      </c>
      <c r="N1077" t="s">
        <v>127</v>
      </c>
      <c r="O1077" t="s">
        <v>731</v>
      </c>
      <c r="P1077" t="s">
        <v>732</v>
      </c>
      <c r="Q1077" s="1" t="s">
        <v>2281</v>
      </c>
      <c r="R1077" s="1" t="s">
        <v>2301</v>
      </c>
      <c r="S1077" s="1" t="s">
        <v>2590</v>
      </c>
      <c r="X1077" t="s">
        <v>615</v>
      </c>
      <c r="Y1077" t="s">
        <v>2273</v>
      </c>
      <c r="Z1077" t="s">
        <v>249</v>
      </c>
      <c r="AA1077" t="s">
        <v>2359</v>
      </c>
      <c r="AB1077" t="s">
        <v>2285</v>
      </c>
      <c r="AC1077" t="s">
        <v>315</v>
      </c>
      <c r="AD1077" t="s">
        <v>137</v>
      </c>
      <c r="AF1077" t="s">
        <v>49</v>
      </c>
      <c r="AI1077" t="s">
        <v>49</v>
      </c>
      <c r="AM1077" t="s">
        <v>201</v>
      </c>
      <c r="AN1077" t="s">
        <v>155</v>
      </c>
    </row>
    <row r="1078" spans="1:45" x14ac:dyDescent="0.2">
      <c r="A1078" t="s">
        <v>729</v>
      </c>
      <c r="B1078" t="s">
        <v>730</v>
      </c>
      <c r="C1078">
        <v>2020</v>
      </c>
      <c r="D1078" t="s">
        <v>44</v>
      </c>
      <c r="F1078" t="s">
        <v>958</v>
      </c>
      <c r="G1078" t="s">
        <v>85</v>
      </c>
      <c r="H1078" t="s">
        <v>350</v>
      </c>
      <c r="M1078">
        <v>0</v>
      </c>
      <c r="N1078" t="s">
        <v>127</v>
      </c>
      <c r="O1078" t="s">
        <v>731</v>
      </c>
      <c r="P1078" t="s">
        <v>732</v>
      </c>
      <c r="Q1078" s="1" t="s">
        <v>2281</v>
      </c>
      <c r="R1078" s="1" t="s">
        <v>2301</v>
      </c>
      <c r="S1078" s="1" t="s">
        <v>2590</v>
      </c>
      <c r="X1078" t="s">
        <v>339</v>
      </c>
      <c r="Y1078" t="s">
        <v>2273</v>
      </c>
      <c r="Z1078" t="s">
        <v>249</v>
      </c>
      <c r="AA1078" t="s">
        <v>2359</v>
      </c>
      <c r="AB1078" t="s">
        <v>2289</v>
      </c>
      <c r="AC1078" t="s">
        <v>315</v>
      </c>
      <c r="AD1078" t="s">
        <v>137</v>
      </c>
      <c r="AF1078" t="s">
        <v>49</v>
      </c>
      <c r="AI1078" t="s">
        <v>49</v>
      </c>
      <c r="AM1078" t="s">
        <v>201</v>
      </c>
      <c r="AN1078" t="s">
        <v>155</v>
      </c>
    </row>
    <row r="1079" spans="1:45" x14ac:dyDescent="0.2">
      <c r="A1079" t="s">
        <v>729</v>
      </c>
      <c r="B1079" t="s">
        <v>730</v>
      </c>
      <c r="C1079">
        <v>2020</v>
      </c>
      <c r="D1079" t="s">
        <v>44</v>
      </c>
      <c r="F1079" t="s">
        <v>958</v>
      </c>
      <c r="G1079" t="s">
        <v>85</v>
      </c>
      <c r="H1079" t="s">
        <v>350</v>
      </c>
      <c r="M1079">
        <v>0</v>
      </c>
      <c r="N1079" t="s">
        <v>127</v>
      </c>
      <c r="O1079" t="s">
        <v>731</v>
      </c>
      <c r="P1079" t="s">
        <v>732</v>
      </c>
      <c r="Q1079" s="1" t="s">
        <v>2281</v>
      </c>
      <c r="R1079" s="1" t="s">
        <v>2301</v>
      </c>
      <c r="S1079" s="1" t="s">
        <v>2590</v>
      </c>
      <c r="X1079" t="s">
        <v>2263</v>
      </c>
      <c r="Y1079" t="s">
        <v>2279</v>
      </c>
      <c r="Z1079" t="s">
        <v>2280</v>
      </c>
      <c r="AA1079" t="s">
        <v>2358</v>
      </c>
      <c r="AB1079" t="s">
        <v>261</v>
      </c>
      <c r="AC1079" t="s">
        <v>315</v>
      </c>
      <c r="AD1079" t="s">
        <v>2278</v>
      </c>
      <c r="AF1079" t="s">
        <v>49</v>
      </c>
      <c r="AI1079" t="s">
        <v>49</v>
      </c>
      <c r="AM1079" t="s">
        <v>201</v>
      </c>
      <c r="AN1079" t="s">
        <v>155</v>
      </c>
    </row>
    <row r="1080" spans="1:45" x14ac:dyDescent="0.2">
      <c r="A1080" t="s">
        <v>729</v>
      </c>
      <c r="B1080" t="s">
        <v>730</v>
      </c>
      <c r="C1080">
        <v>2020</v>
      </c>
      <c r="D1080" t="s">
        <v>44</v>
      </c>
      <c r="F1080" t="s">
        <v>958</v>
      </c>
      <c r="G1080" t="s">
        <v>85</v>
      </c>
      <c r="H1080" t="s">
        <v>350</v>
      </c>
      <c r="M1080">
        <v>0</v>
      </c>
      <c r="N1080" t="s">
        <v>127</v>
      </c>
      <c r="O1080" t="s">
        <v>731</v>
      </c>
      <c r="P1080" t="s">
        <v>732</v>
      </c>
      <c r="Q1080" s="1" t="s">
        <v>2281</v>
      </c>
      <c r="R1080" s="1" t="s">
        <v>2301</v>
      </c>
      <c r="S1080" s="1" t="s">
        <v>2590</v>
      </c>
      <c r="X1080" t="s">
        <v>2262</v>
      </c>
      <c r="Y1080" t="s">
        <v>2279</v>
      </c>
      <c r="Z1080" t="s">
        <v>2280</v>
      </c>
      <c r="AA1080" t="s">
        <v>2358</v>
      </c>
      <c r="AB1080" t="s">
        <v>2459</v>
      </c>
      <c r="AC1080" t="s">
        <v>315</v>
      </c>
      <c r="AD1080" t="s">
        <v>2278</v>
      </c>
      <c r="AF1080" t="s">
        <v>49</v>
      </c>
      <c r="AI1080" t="s">
        <v>49</v>
      </c>
      <c r="AM1080" t="s">
        <v>201</v>
      </c>
      <c r="AN1080" t="s">
        <v>155</v>
      </c>
    </row>
    <row r="1081" spans="1:45" x14ac:dyDescent="0.2">
      <c r="A1081" t="s">
        <v>734</v>
      </c>
      <c r="B1081" t="s">
        <v>735</v>
      </c>
      <c r="C1081">
        <v>2020</v>
      </c>
      <c r="D1081" t="s">
        <v>44</v>
      </c>
      <c r="E1081" t="s">
        <v>49</v>
      </c>
      <c r="F1081" t="s">
        <v>474</v>
      </c>
      <c r="G1081" t="s">
        <v>88</v>
      </c>
      <c r="H1081" t="s">
        <v>350</v>
      </c>
      <c r="I1081">
        <v>2008</v>
      </c>
      <c r="N1081" t="s">
        <v>122</v>
      </c>
      <c r="O1081" t="s">
        <v>122</v>
      </c>
      <c r="P1081" t="s">
        <v>736</v>
      </c>
      <c r="Q1081" s="1" t="s">
        <v>2281</v>
      </c>
      <c r="R1081" s="1" t="s">
        <v>122</v>
      </c>
      <c r="S1081" s="1" t="s">
        <v>2294</v>
      </c>
      <c r="T1081" t="s">
        <v>421</v>
      </c>
      <c r="U1081" t="s">
        <v>421</v>
      </c>
      <c r="X1081" t="s">
        <v>161</v>
      </c>
      <c r="Y1081" t="s">
        <v>2272</v>
      </c>
      <c r="Z1081" t="s">
        <v>2272</v>
      </c>
      <c r="AA1081" t="s">
        <v>2272</v>
      </c>
      <c r="AB1081" t="s">
        <v>2272</v>
      </c>
      <c r="AC1081" t="s">
        <v>162</v>
      </c>
      <c r="AD1081" t="s">
        <v>2272</v>
      </c>
      <c r="AH1081" s="4" t="s">
        <v>49</v>
      </c>
      <c r="AL1081" t="s">
        <v>49</v>
      </c>
      <c r="AM1081" t="s">
        <v>737</v>
      </c>
      <c r="AN1081" t="s">
        <v>109</v>
      </c>
      <c r="AO1081" t="s">
        <v>2324</v>
      </c>
      <c r="AQ1081" s="5">
        <v>2</v>
      </c>
    </row>
    <row r="1082" spans="1:45" x14ac:dyDescent="0.2">
      <c r="A1082" t="s">
        <v>738</v>
      </c>
      <c r="B1082" t="s">
        <v>739</v>
      </c>
      <c r="C1082">
        <v>2020</v>
      </c>
      <c r="Q1082" s="1" t="s">
        <v>2272</v>
      </c>
      <c r="R1082" s="1" t="s">
        <v>2272</v>
      </c>
      <c r="S1082" s="1" t="s">
        <v>2272</v>
      </c>
      <c r="Y1082" t="s">
        <v>2272</v>
      </c>
      <c r="Z1082" t="s">
        <v>2272</v>
      </c>
      <c r="AA1082" t="s">
        <v>2272</v>
      </c>
      <c r="AB1082" t="s">
        <v>2272</v>
      </c>
      <c r="AD1082" t="s">
        <v>2272</v>
      </c>
      <c r="AR1082" t="s">
        <v>144</v>
      </c>
      <c r="AS1082" t="s">
        <v>2583</v>
      </c>
    </row>
    <row r="1083" spans="1:45" x14ac:dyDescent="0.2">
      <c r="A1083" t="s">
        <v>740</v>
      </c>
      <c r="B1083" t="s">
        <v>741</v>
      </c>
      <c r="C1083">
        <v>2020</v>
      </c>
      <c r="D1083" t="s">
        <v>44</v>
      </c>
      <c r="F1083" t="s">
        <v>652</v>
      </c>
      <c r="G1083" t="s">
        <v>91</v>
      </c>
      <c r="H1083" t="s">
        <v>350</v>
      </c>
      <c r="J1083">
        <v>0.33</v>
      </c>
      <c r="K1083" t="s">
        <v>109</v>
      </c>
      <c r="L1083">
        <v>0.8</v>
      </c>
      <c r="Q1083" s="1" t="s">
        <v>2272</v>
      </c>
      <c r="R1083" s="1" t="s">
        <v>2272</v>
      </c>
      <c r="S1083" s="1" t="s">
        <v>2272</v>
      </c>
      <c r="X1083" t="s">
        <v>527</v>
      </c>
      <c r="Y1083" t="s">
        <v>2272</v>
      </c>
      <c r="Z1083" t="s">
        <v>2272</v>
      </c>
      <c r="AA1083" t="s">
        <v>2272</v>
      </c>
      <c r="AB1083" t="s">
        <v>2272</v>
      </c>
      <c r="AC1083" t="s">
        <v>152</v>
      </c>
      <c r="AD1083" t="s">
        <v>2272</v>
      </c>
      <c r="AR1083" t="s">
        <v>144</v>
      </c>
      <c r="AS1083" t="s">
        <v>2583</v>
      </c>
    </row>
    <row r="1084" spans="1:45" x14ac:dyDescent="0.2">
      <c r="A1084" t="s">
        <v>742</v>
      </c>
      <c r="B1084" t="s">
        <v>355</v>
      </c>
      <c r="C1084">
        <v>2020</v>
      </c>
      <c r="D1084" t="s">
        <v>44</v>
      </c>
      <c r="F1084" t="s">
        <v>357</v>
      </c>
      <c r="G1084" t="s">
        <v>90</v>
      </c>
      <c r="H1084" t="s">
        <v>96</v>
      </c>
      <c r="I1084" t="s">
        <v>108</v>
      </c>
      <c r="J1084">
        <v>0.42</v>
      </c>
      <c r="K1084" t="s">
        <v>109</v>
      </c>
      <c r="M1084">
        <v>6.9999999999999999E-4</v>
      </c>
      <c r="N1084" t="s">
        <v>466</v>
      </c>
      <c r="O1084" t="s">
        <v>466</v>
      </c>
      <c r="P1084" t="s">
        <v>658</v>
      </c>
      <c r="Q1084" s="1" t="s">
        <v>2281</v>
      </c>
      <c r="R1084" s="1" t="s">
        <v>2301</v>
      </c>
      <c r="S1084" s="1" t="s">
        <v>2302</v>
      </c>
      <c r="T1084" t="s">
        <v>421</v>
      </c>
      <c r="U1084" t="s">
        <v>421</v>
      </c>
      <c r="X1084" t="s">
        <v>161</v>
      </c>
      <c r="Y1084" t="s">
        <v>2272</v>
      </c>
      <c r="Z1084" t="s">
        <v>2272</v>
      </c>
      <c r="AA1084" t="s">
        <v>2272</v>
      </c>
      <c r="AB1084" t="s">
        <v>2272</v>
      </c>
      <c r="AC1084" t="s">
        <v>162</v>
      </c>
      <c r="AD1084" t="s">
        <v>2272</v>
      </c>
      <c r="AF1084" t="s">
        <v>49</v>
      </c>
      <c r="AL1084" t="s">
        <v>49</v>
      </c>
      <c r="AM1084" t="s">
        <v>743</v>
      </c>
      <c r="AN1084" t="s">
        <v>166</v>
      </c>
      <c r="AQ1084" s="5">
        <v>1</v>
      </c>
    </row>
    <row r="1085" spans="1:45" x14ac:dyDescent="0.2">
      <c r="A1085" t="s">
        <v>742</v>
      </c>
      <c r="B1085" t="s">
        <v>355</v>
      </c>
      <c r="C1085">
        <v>2020</v>
      </c>
      <c r="D1085" t="s">
        <v>44</v>
      </c>
      <c r="F1085" t="s">
        <v>357</v>
      </c>
      <c r="G1085" t="s">
        <v>90</v>
      </c>
      <c r="H1085" t="s">
        <v>96</v>
      </c>
      <c r="I1085" t="s">
        <v>108</v>
      </c>
      <c r="J1085">
        <v>0.42</v>
      </c>
      <c r="K1085" t="s">
        <v>109</v>
      </c>
      <c r="M1085">
        <v>6.9999999999999999E-4</v>
      </c>
      <c r="N1085" t="s">
        <v>466</v>
      </c>
      <c r="O1085" t="s">
        <v>466</v>
      </c>
      <c r="P1085" t="s">
        <v>658</v>
      </c>
      <c r="Q1085" s="1" t="s">
        <v>2281</v>
      </c>
      <c r="R1085" s="1" t="s">
        <v>2301</v>
      </c>
      <c r="S1085" s="1" t="s">
        <v>2302</v>
      </c>
      <c r="T1085" t="s">
        <v>421</v>
      </c>
      <c r="U1085" t="s">
        <v>421</v>
      </c>
      <c r="X1085" t="s">
        <v>161</v>
      </c>
      <c r="Y1085" t="s">
        <v>2272</v>
      </c>
      <c r="Z1085" t="s">
        <v>2272</v>
      </c>
      <c r="AA1085" t="s">
        <v>2272</v>
      </c>
      <c r="AB1085" t="s">
        <v>2272</v>
      </c>
      <c r="AC1085" t="s">
        <v>162</v>
      </c>
      <c r="AD1085" t="s">
        <v>2272</v>
      </c>
      <c r="AF1085" t="s">
        <v>49</v>
      </c>
      <c r="AL1085" t="s">
        <v>49</v>
      </c>
      <c r="AM1085" t="s">
        <v>743</v>
      </c>
      <c r="AN1085" t="s">
        <v>109</v>
      </c>
      <c r="AO1085" t="s">
        <v>150</v>
      </c>
      <c r="AQ1085" s="5">
        <v>1</v>
      </c>
    </row>
    <row r="1086" spans="1:45" x14ac:dyDescent="0.2">
      <c r="A1086" t="s">
        <v>742</v>
      </c>
      <c r="B1086" t="s">
        <v>355</v>
      </c>
      <c r="C1086">
        <v>2020</v>
      </c>
      <c r="D1086" t="s">
        <v>44</v>
      </c>
      <c r="F1086" t="s">
        <v>357</v>
      </c>
      <c r="G1086" t="s">
        <v>90</v>
      </c>
      <c r="H1086" t="s">
        <v>96</v>
      </c>
      <c r="I1086" t="s">
        <v>108</v>
      </c>
      <c r="J1086">
        <v>0.42</v>
      </c>
      <c r="K1086" t="s">
        <v>109</v>
      </c>
      <c r="M1086">
        <v>6.9999999999999999E-4</v>
      </c>
      <c r="N1086" t="s">
        <v>466</v>
      </c>
      <c r="O1086" t="s">
        <v>466</v>
      </c>
      <c r="P1086" t="s">
        <v>658</v>
      </c>
      <c r="Q1086" s="1" t="s">
        <v>2281</v>
      </c>
      <c r="R1086" s="1" t="s">
        <v>2301</v>
      </c>
      <c r="S1086" s="1" t="s">
        <v>2302</v>
      </c>
      <c r="T1086" t="s">
        <v>421</v>
      </c>
      <c r="U1086" t="s">
        <v>421</v>
      </c>
      <c r="X1086" t="s">
        <v>161</v>
      </c>
      <c r="Y1086" t="s">
        <v>2272</v>
      </c>
      <c r="Z1086" t="s">
        <v>2272</v>
      </c>
      <c r="AA1086" t="s">
        <v>2272</v>
      </c>
      <c r="AB1086" t="s">
        <v>2272</v>
      </c>
      <c r="AC1086" t="s">
        <v>162</v>
      </c>
      <c r="AD1086" t="s">
        <v>2272</v>
      </c>
      <c r="AF1086" t="s">
        <v>49</v>
      </c>
      <c r="AL1086" t="s">
        <v>49</v>
      </c>
      <c r="AM1086" t="s">
        <v>743</v>
      </c>
      <c r="AN1086" t="s">
        <v>155</v>
      </c>
      <c r="AQ1086" s="5">
        <v>0</v>
      </c>
    </row>
    <row r="1087" spans="1:45" x14ac:dyDescent="0.2">
      <c r="A1087" t="s">
        <v>744</v>
      </c>
      <c r="B1087" t="s">
        <v>745</v>
      </c>
      <c r="C1087">
        <v>2020</v>
      </c>
      <c r="D1087" t="s">
        <v>44</v>
      </c>
      <c r="F1087" t="s">
        <v>83</v>
      </c>
      <c r="G1087" t="s">
        <v>85</v>
      </c>
      <c r="H1087" t="s">
        <v>96</v>
      </c>
      <c r="L1087">
        <v>0.03</v>
      </c>
      <c r="M1087">
        <v>5.4000000000000003E-3</v>
      </c>
      <c r="N1087" t="s">
        <v>121</v>
      </c>
      <c r="O1087" t="s">
        <v>121</v>
      </c>
      <c r="P1087" t="s">
        <v>2259</v>
      </c>
      <c r="Q1087" s="1" t="s">
        <v>2292</v>
      </c>
      <c r="R1087" s="1" t="s">
        <v>264</v>
      </c>
      <c r="S1087" s="1" t="s">
        <v>264</v>
      </c>
      <c r="T1087" t="s">
        <v>396</v>
      </c>
      <c r="U1087" s="1" t="s">
        <v>2387</v>
      </c>
      <c r="X1087" t="s">
        <v>161</v>
      </c>
      <c r="Y1087" t="s">
        <v>2272</v>
      </c>
      <c r="Z1087" t="s">
        <v>2272</v>
      </c>
      <c r="AA1087" t="s">
        <v>2272</v>
      </c>
      <c r="AB1087" t="s">
        <v>2272</v>
      </c>
      <c r="AC1087" t="s">
        <v>162</v>
      </c>
      <c r="AD1087" t="s">
        <v>2272</v>
      </c>
      <c r="AG1087" t="s">
        <v>49</v>
      </c>
      <c r="AI1087" t="s">
        <v>49</v>
      </c>
      <c r="AM1087" t="s">
        <v>202</v>
      </c>
      <c r="AN1087" t="s">
        <v>166</v>
      </c>
      <c r="AP1087" t="s">
        <v>49</v>
      </c>
    </row>
    <row r="1088" spans="1:45" x14ac:dyDescent="0.2">
      <c r="A1088" t="s">
        <v>744</v>
      </c>
      <c r="B1088" t="s">
        <v>745</v>
      </c>
      <c r="C1088">
        <v>2020</v>
      </c>
      <c r="D1088" t="s">
        <v>44</v>
      </c>
      <c r="F1088" t="s">
        <v>83</v>
      </c>
      <c r="G1088" t="s">
        <v>85</v>
      </c>
      <c r="H1088" t="s">
        <v>96</v>
      </c>
      <c r="L1088">
        <v>0.03</v>
      </c>
      <c r="M1088">
        <v>5.4000000000000003E-3</v>
      </c>
      <c r="N1088" t="s">
        <v>121</v>
      </c>
      <c r="O1088" t="s">
        <v>121</v>
      </c>
      <c r="P1088" t="s">
        <v>746</v>
      </c>
      <c r="Q1088" s="1" t="s">
        <v>2292</v>
      </c>
      <c r="R1088" s="1" t="s">
        <v>264</v>
      </c>
      <c r="S1088" s="1" t="s">
        <v>264</v>
      </c>
      <c r="T1088" t="s">
        <v>396</v>
      </c>
      <c r="U1088" s="1" t="s">
        <v>2387</v>
      </c>
      <c r="X1088" t="s">
        <v>161</v>
      </c>
      <c r="Y1088" t="s">
        <v>2272</v>
      </c>
      <c r="Z1088" t="s">
        <v>2272</v>
      </c>
      <c r="AA1088" t="s">
        <v>2272</v>
      </c>
      <c r="AB1088" t="s">
        <v>2272</v>
      </c>
      <c r="AC1088" t="s">
        <v>162</v>
      </c>
      <c r="AD1088" t="s">
        <v>2272</v>
      </c>
      <c r="AG1088" t="s">
        <v>49</v>
      </c>
      <c r="AI1088" t="s">
        <v>49</v>
      </c>
      <c r="AM1088" t="s">
        <v>202</v>
      </c>
      <c r="AN1088" t="s">
        <v>166</v>
      </c>
      <c r="AQ1088" s="5">
        <v>0</v>
      </c>
    </row>
    <row r="1089" spans="1:43" x14ac:dyDescent="0.2">
      <c r="A1089" t="s">
        <v>744</v>
      </c>
      <c r="B1089" t="s">
        <v>745</v>
      </c>
      <c r="C1089">
        <v>2020</v>
      </c>
      <c r="D1089" t="s">
        <v>44</v>
      </c>
      <c r="F1089" t="s">
        <v>83</v>
      </c>
      <c r="G1089" t="s">
        <v>85</v>
      </c>
      <c r="H1089" t="s">
        <v>96</v>
      </c>
      <c r="L1089">
        <v>0.03</v>
      </c>
      <c r="M1089">
        <v>5.4000000000000003E-3</v>
      </c>
      <c r="N1089" t="s">
        <v>121</v>
      </c>
      <c r="O1089" t="s">
        <v>121</v>
      </c>
      <c r="P1089" t="s">
        <v>747</v>
      </c>
      <c r="Q1089" s="1" t="s">
        <v>2292</v>
      </c>
      <c r="R1089" s="1" t="s">
        <v>264</v>
      </c>
      <c r="S1089" s="1" t="s">
        <v>264</v>
      </c>
      <c r="T1089" t="s">
        <v>396</v>
      </c>
      <c r="U1089" s="1" t="s">
        <v>2387</v>
      </c>
      <c r="X1089" t="s">
        <v>161</v>
      </c>
      <c r="Y1089" t="s">
        <v>2272</v>
      </c>
      <c r="Z1089" t="s">
        <v>2272</v>
      </c>
      <c r="AA1089" t="s">
        <v>2272</v>
      </c>
      <c r="AB1089" t="s">
        <v>2272</v>
      </c>
      <c r="AC1089" t="s">
        <v>162</v>
      </c>
      <c r="AD1089" t="s">
        <v>2272</v>
      </c>
      <c r="AG1089" t="s">
        <v>49</v>
      </c>
      <c r="AI1089" t="s">
        <v>49</v>
      </c>
      <c r="AM1089" t="s">
        <v>202</v>
      </c>
      <c r="AN1089" t="s">
        <v>166</v>
      </c>
      <c r="AQ1089" s="5">
        <v>0</v>
      </c>
    </row>
    <row r="1090" spans="1:43" x14ac:dyDescent="0.2">
      <c r="A1090" t="s">
        <v>744</v>
      </c>
      <c r="B1090" t="s">
        <v>745</v>
      </c>
      <c r="C1090">
        <v>2020</v>
      </c>
      <c r="D1090" t="s">
        <v>44</v>
      </c>
      <c r="F1090" t="s">
        <v>83</v>
      </c>
      <c r="G1090" t="s">
        <v>85</v>
      </c>
      <c r="H1090" t="s">
        <v>96</v>
      </c>
      <c r="L1090">
        <v>0.03</v>
      </c>
      <c r="M1090">
        <v>5.4000000000000003E-3</v>
      </c>
      <c r="N1090" t="s">
        <v>121</v>
      </c>
      <c r="O1090" t="s">
        <v>121</v>
      </c>
      <c r="P1090" t="s">
        <v>748</v>
      </c>
      <c r="Q1090" s="1" t="s">
        <v>2292</v>
      </c>
      <c r="R1090" s="1" t="s">
        <v>264</v>
      </c>
      <c r="S1090" s="1" t="s">
        <v>264</v>
      </c>
      <c r="T1090" t="s">
        <v>396</v>
      </c>
      <c r="U1090" s="1" t="s">
        <v>2387</v>
      </c>
      <c r="X1090" t="s">
        <v>161</v>
      </c>
      <c r="Y1090" t="s">
        <v>2272</v>
      </c>
      <c r="Z1090" t="s">
        <v>2272</v>
      </c>
      <c r="AA1090" t="s">
        <v>2272</v>
      </c>
      <c r="AB1090" t="s">
        <v>2272</v>
      </c>
      <c r="AC1090" t="s">
        <v>162</v>
      </c>
      <c r="AD1090" t="s">
        <v>2272</v>
      </c>
      <c r="AG1090" t="s">
        <v>49</v>
      </c>
      <c r="AI1090" t="s">
        <v>49</v>
      </c>
      <c r="AM1090" t="s">
        <v>202</v>
      </c>
      <c r="AN1090" t="s">
        <v>166</v>
      </c>
      <c r="AQ1090" s="5">
        <v>0</v>
      </c>
    </row>
    <row r="1091" spans="1:43" x14ac:dyDescent="0.2">
      <c r="A1091" t="s">
        <v>744</v>
      </c>
      <c r="B1091" t="s">
        <v>745</v>
      </c>
      <c r="C1091">
        <v>2020</v>
      </c>
      <c r="D1091" t="s">
        <v>44</v>
      </c>
      <c r="F1091" t="s">
        <v>83</v>
      </c>
      <c r="G1091" t="s">
        <v>85</v>
      </c>
      <c r="H1091" t="s">
        <v>96</v>
      </c>
      <c r="L1091">
        <v>0.03</v>
      </c>
      <c r="M1091">
        <v>5.4000000000000003E-3</v>
      </c>
      <c r="N1091" t="s">
        <v>121</v>
      </c>
      <c r="O1091" t="s">
        <v>121</v>
      </c>
      <c r="P1091" t="s">
        <v>2259</v>
      </c>
      <c r="Q1091" s="1" t="s">
        <v>2292</v>
      </c>
      <c r="R1091" s="1" t="s">
        <v>264</v>
      </c>
      <c r="S1091" s="1" t="s">
        <v>264</v>
      </c>
      <c r="T1091" t="s">
        <v>396</v>
      </c>
      <c r="U1091" s="1" t="s">
        <v>2387</v>
      </c>
      <c r="X1091" t="s">
        <v>161</v>
      </c>
      <c r="Y1091" t="s">
        <v>2272</v>
      </c>
      <c r="Z1091" t="s">
        <v>2272</v>
      </c>
      <c r="AA1091" t="s">
        <v>2272</v>
      </c>
      <c r="AB1091" t="s">
        <v>2272</v>
      </c>
      <c r="AC1091" t="s">
        <v>162</v>
      </c>
      <c r="AD1091" t="s">
        <v>2272</v>
      </c>
      <c r="AG1091" t="s">
        <v>49</v>
      </c>
      <c r="AI1091" t="s">
        <v>49</v>
      </c>
      <c r="AM1091" t="s">
        <v>202</v>
      </c>
      <c r="AN1091" t="s">
        <v>154</v>
      </c>
      <c r="AQ1091" s="5">
        <v>0</v>
      </c>
    </row>
    <row r="1092" spans="1:43" x14ac:dyDescent="0.2">
      <c r="A1092" t="s">
        <v>744</v>
      </c>
      <c r="B1092" t="s">
        <v>745</v>
      </c>
      <c r="C1092">
        <v>2020</v>
      </c>
      <c r="D1092" t="s">
        <v>44</v>
      </c>
      <c r="F1092" t="s">
        <v>83</v>
      </c>
      <c r="G1092" t="s">
        <v>85</v>
      </c>
      <c r="H1092" t="s">
        <v>96</v>
      </c>
      <c r="L1092">
        <v>0.03</v>
      </c>
      <c r="M1092">
        <v>5.4000000000000003E-3</v>
      </c>
      <c r="N1092" t="s">
        <v>121</v>
      </c>
      <c r="O1092" t="s">
        <v>121</v>
      </c>
      <c r="P1092" t="s">
        <v>746</v>
      </c>
      <c r="Q1092" s="1" t="s">
        <v>2292</v>
      </c>
      <c r="R1092" s="1" t="s">
        <v>264</v>
      </c>
      <c r="S1092" s="1" t="s">
        <v>264</v>
      </c>
      <c r="T1092" t="s">
        <v>396</v>
      </c>
      <c r="U1092" s="1" t="s">
        <v>2387</v>
      </c>
      <c r="X1092" t="s">
        <v>161</v>
      </c>
      <c r="Y1092" t="s">
        <v>2272</v>
      </c>
      <c r="Z1092" t="s">
        <v>2272</v>
      </c>
      <c r="AA1092" t="s">
        <v>2272</v>
      </c>
      <c r="AB1092" t="s">
        <v>2272</v>
      </c>
      <c r="AC1092" t="s">
        <v>162</v>
      </c>
      <c r="AD1092" t="s">
        <v>2272</v>
      </c>
      <c r="AG1092" t="s">
        <v>49</v>
      </c>
      <c r="AI1092" t="s">
        <v>49</v>
      </c>
      <c r="AM1092" t="s">
        <v>202</v>
      </c>
      <c r="AN1092" t="s">
        <v>154</v>
      </c>
      <c r="AQ1092" s="5">
        <v>0</v>
      </c>
    </row>
    <row r="1093" spans="1:43" x14ac:dyDescent="0.2">
      <c r="A1093" t="s">
        <v>744</v>
      </c>
      <c r="B1093" t="s">
        <v>745</v>
      </c>
      <c r="C1093">
        <v>2020</v>
      </c>
      <c r="D1093" t="s">
        <v>44</v>
      </c>
      <c r="F1093" t="s">
        <v>83</v>
      </c>
      <c r="G1093" t="s">
        <v>85</v>
      </c>
      <c r="H1093" t="s">
        <v>96</v>
      </c>
      <c r="L1093">
        <v>0.03</v>
      </c>
      <c r="M1093">
        <v>5.4000000000000003E-3</v>
      </c>
      <c r="N1093" t="s">
        <v>121</v>
      </c>
      <c r="O1093" t="s">
        <v>121</v>
      </c>
      <c r="P1093" t="s">
        <v>747</v>
      </c>
      <c r="Q1093" s="1" t="s">
        <v>2292</v>
      </c>
      <c r="R1093" s="1" t="s">
        <v>264</v>
      </c>
      <c r="S1093" s="1" t="s">
        <v>264</v>
      </c>
      <c r="T1093" t="s">
        <v>396</v>
      </c>
      <c r="U1093" s="1" t="s">
        <v>2387</v>
      </c>
      <c r="X1093" t="s">
        <v>161</v>
      </c>
      <c r="Y1093" t="s">
        <v>2272</v>
      </c>
      <c r="Z1093" t="s">
        <v>2272</v>
      </c>
      <c r="AA1093" t="s">
        <v>2272</v>
      </c>
      <c r="AB1093" t="s">
        <v>2272</v>
      </c>
      <c r="AC1093" t="s">
        <v>162</v>
      </c>
      <c r="AD1093" t="s">
        <v>2272</v>
      </c>
      <c r="AG1093" t="s">
        <v>49</v>
      </c>
      <c r="AI1093" t="s">
        <v>49</v>
      </c>
      <c r="AM1093" t="s">
        <v>202</v>
      </c>
      <c r="AN1093" t="s">
        <v>154</v>
      </c>
      <c r="AQ1093" s="5">
        <v>0</v>
      </c>
    </row>
    <row r="1094" spans="1:43" x14ac:dyDescent="0.2">
      <c r="A1094" t="s">
        <v>744</v>
      </c>
      <c r="B1094" t="s">
        <v>745</v>
      </c>
      <c r="C1094">
        <v>2020</v>
      </c>
      <c r="D1094" t="s">
        <v>44</v>
      </c>
      <c r="F1094" t="s">
        <v>83</v>
      </c>
      <c r="G1094" t="s">
        <v>85</v>
      </c>
      <c r="H1094" t="s">
        <v>96</v>
      </c>
      <c r="L1094">
        <v>0.03</v>
      </c>
      <c r="M1094">
        <v>5.4000000000000003E-3</v>
      </c>
      <c r="N1094" t="s">
        <v>121</v>
      </c>
      <c r="O1094" t="s">
        <v>121</v>
      </c>
      <c r="P1094" t="s">
        <v>748</v>
      </c>
      <c r="Q1094" s="1" t="s">
        <v>2292</v>
      </c>
      <c r="R1094" s="1" t="s">
        <v>264</v>
      </c>
      <c r="S1094" s="1" t="s">
        <v>264</v>
      </c>
      <c r="T1094" t="s">
        <v>396</v>
      </c>
      <c r="U1094" s="1" t="s">
        <v>2387</v>
      </c>
      <c r="X1094" t="s">
        <v>161</v>
      </c>
      <c r="Y1094" t="s">
        <v>2272</v>
      </c>
      <c r="Z1094" t="s">
        <v>2272</v>
      </c>
      <c r="AA1094" t="s">
        <v>2272</v>
      </c>
      <c r="AB1094" t="s">
        <v>2272</v>
      </c>
      <c r="AC1094" t="s">
        <v>162</v>
      </c>
      <c r="AD1094" t="s">
        <v>2272</v>
      </c>
      <c r="AG1094" t="s">
        <v>49</v>
      </c>
      <c r="AI1094" t="s">
        <v>49</v>
      </c>
      <c r="AM1094" t="s">
        <v>202</v>
      </c>
      <c r="AN1094" t="s">
        <v>154</v>
      </c>
      <c r="AQ1094" s="5">
        <v>0</v>
      </c>
    </row>
    <row r="1095" spans="1:43" x14ac:dyDescent="0.2">
      <c r="A1095" t="s">
        <v>744</v>
      </c>
      <c r="B1095" t="s">
        <v>745</v>
      </c>
      <c r="C1095">
        <v>2020</v>
      </c>
      <c r="D1095" t="s">
        <v>44</v>
      </c>
      <c r="F1095" t="s">
        <v>83</v>
      </c>
      <c r="G1095" t="s">
        <v>85</v>
      </c>
      <c r="H1095" t="s">
        <v>96</v>
      </c>
      <c r="L1095">
        <v>0.03</v>
      </c>
      <c r="M1095">
        <v>5.4000000000000003E-3</v>
      </c>
      <c r="N1095" t="s">
        <v>121</v>
      </c>
      <c r="O1095" t="s">
        <v>121</v>
      </c>
      <c r="P1095" t="s">
        <v>2259</v>
      </c>
      <c r="Q1095" s="1" t="s">
        <v>2292</v>
      </c>
      <c r="R1095" s="1" t="s">
        <v>264</v>
      </c>
      <c r="S1095" s="1" t="s">
        <v>264</v>
      </c>
      <c r="T1095" t="s">
        <v>396</v>
      </c>
      <c r="U1095" s="1" t="s">
        <v>2387</v>
      </c>
      <c r="X1095" t="s">
        <v>161</v>
      </c>
      <c r="Y1095" t="s">
        <v>2272</v>
      </c>
      <c r="Z1095" t="s">
        <v>2272</v>
      </c>
      <c r="AA1095" t="s">
        <v>2272</v>
      </c>
      <c r="AB1095" t="s">
        <v>2272</v>
      </c>
      <c r="AC1095" t="s">
        <v>162</v>
      </c>
      <c r="AD1095" t="s">
        <v>2272</v>
      </c>
      <c r="AG1095" t="s">
        <v>49</v>
      </c>
      <c r="AI1095" t="s">
        <v>49</v>
      </c>
      <c r="AM1095" t="s">
        <v>202</v>
      </c>
      <c r="AN1095" t="s">
        <v>165</v>
      </c>
      <c r="AP1095" t="s">
        <v>49</v>
      </c>
    </row>
    <row r="1096" spans="1:43" x14ac:dyDescent="0.2">
      <c r="A1096" t="s">
        <v>744</v>
      </c>
      <c r="B1096" t="s">
        <v>745</v>
      </c>
      <c r="C1096">
        <v>2020</v>
      </c>
      <c r="D1096" t="s">
        <v>44</v>
      </c>
      <c r="F1096" t="s">
        <v>83</v>
      </c>
      <c r="G1096" t="s">
        <v>85</v>
      </c>
      <c r="H1096" t="s">
        <v>96</v>
      </c>
      <c r="L1096">
        <v>0.03</v>
      </c>
      <c r="M1096">
        <v>5.4000000000000003E-3</v>
      </c>
      <c r="N1096" t="s">
        <v>121</v>
      </c>
      <c r="O1096" t="s">
        <v>121</v>
      </c>
      <c r="P1096" t="s">
        <v>746</v>
      </c>
      <c r="Q1096" s="1" t="s">
        <v>2292</v>
      </c>
      <c r="R1096" s="1" t="s">
        <v>264</v>
      </c>
      <c r="S1096" s="1" t="s">
        <v>264</v>
      </c>
      <c r="T1096" t="s">
        <v>396</v>
      </c>
      <c r="U1096" s="1" t="s">
        <v>2387</v>
      </c>
      <c r="X1096" t="s">
        <v>161</v>
      </c>
      <c r="Y1096" t="s">
        <v>2272</v>
      </c>
      <c r="Z1096" t="s">
        <v>2272</v>
      </c>
      <c r="AA1096" t="s">
        <v>2272</v>
      </c>
      <c r="AB1096" t="s">
        <v>2272</v>
      </c>
      <c r="AC1096" t="s">
        <v>162</v>
      </c>
      <c r="AD1096" t="s">
        <v>2272</v>
      </c>
      <c r="AG1096" t="s">
        <v>49</v>
      </c>
      <c r="AI1096" t="s">
        <v>49</v>
      </c>
      <c r="AM1096" t="s">
        <v>202</v>
      </c>
      <c r="AN1096" t="s">
        <v>165</v>
      </c>
      <c r="AP1096" t="s">
        <v>49</v>
      </c>
    </row>
    <row r="1097" spans="1:43" x14ac:dyDescent="0.2">
      <c r="A1097" t="s">
        <v>744</v>
      </c>
      <c r="B1097" t="s">
        <v>745</v>
      </c>
      <c r="C1097">
        <v>2020</v>
      </c>
      <c r="D1097" t="s">
        <v>44</v>
      </c>
      <c r="F1097" t="s">
        <v>83</v>
      </c>
      <c r="G1097" t="s">
        <v>85</v>
      </c>
      <c r="H1097" t="s">
        <v>96</v>
      </c>
      <c r="L1097">
        <v>0.03</v>
      </c>
      <c r="M1097">
        <v>5.4000000000000003E-3</v>
      </c>
      <c r="N1097" t="s">
        <v>121</v>
      </c>
      <c r="O1097" t="s">
        <v>121</v>
      </c>
      <c r="P1097" t="s">
        <v>747</v>
      </c>
      <c r="Q1097" s="1" t="s">
        <v>2292</v>
      </c>
      <c r="R1097" s="1" t="s">
        <v>264</v>
      </c>
      <c r="S1097" s="1" t="s">
        <v>264</v>
      </c>
      <c r="T1097" t="s">
        <v>396</v>
      </c>
      <c r="U1097" s="1" t="s">
        <v>2387</v>
      </c>
      <c r="X1097" t="s">
        <v>161</v>
      </c>
      <c r="Y1097" t="s">
        <v>2272</v>
      </c>
      <c r="Z1097" t="s">
        <v>2272</v>
      </c>
      <c r="AA1097" t="s">
        <v>2272</v>
      </c>
      <c r="AB1097" t="s">
        <v>2272</v>
      </c>
      <c r="AC1097" t="s">
        <v>162</v>
      </c>
      <c r="AD1097" t="s">
        <v>2272</v>
      </c>
      <c r="AG1097" t="s">
        <v>49</v>
      </c>
      <c r="AI1097" t="s">
        <v>49</v>
      </c>
      <c r="AM1097" t="s">
        <v>202</v>
      </c>
      <c r="AN1097" t="s">
        <v>165</v>
      </c>
      <c r="AP1097" t="s">
        <v>49</v>
      </c>
    </row>
    <row r="1098" spans="1:43" x14ac:dyDescent="0.2">
      <c r="A1098" t="s">
        <v>744</v>
      </c>
      <c r="B1098" t="s">
        <v>745</v>
      </c>
      <c r="C1098">
        <v>2020</v>
      </c>
      <c r="D1098" t="s">
        <v>44</v>
      </c>
      <c r="F1098" t="s">
        <v>83</v>
      </c>
      <c r="G1098" t="s">
        <v>85</v>
      </c>
      <c r="H1098" t="s">
        <v>96</v>
      </c>
      <c r="L1098">
        <v>0.03</v>
      </c>
      <c r="M1098">
        <v>5.4000000000000003E-3</v>
      </c>
      <c r="N1098" t="s">
        <v>121</v>
      </c>
      <c r="O1098" t="s">
        <v>121</v>
      </c>
      <c r="P1098" t="s">
        <v>748</v>
      </c>
      <c r="Q1098" s="1" t="s">
        <v>2292</v>
      </c>
      <c r="R1098" s="1" t="s">
        <v>264</v>
      </c>
      <c r="S1098" s="1" t="s">
        <v>264</v>
      </c>
      <c r="T1098" t="s">
        <v>396</v>
      </c>
      <c r="U1098" s="1" t="s">
        <v>2387</v>
      </c>
      <c r="X1098" t="s">
        <v>161</v>
      </c>
      <c r="Y1098" t="s">
        <v>2272</v>
      </c>
      <c r="Z1098" t="s">
        <v>2272</v>
      </c>
      <c r="AA1098" t="s">
        <v>2272</v>
      </c>
      <c r="AB1098" t="s">
        <v>2272</v>
      </c>
      <c r="AC1098" t="s">
        <v>162</v>
      </c>
      <c r="AD1098" t="s">
        <v>2272</v>
      </c>
      <c r="AG1098" t="s">
        <v>49</v>
      </c>
      <c r="AI1098" t="s">
        <v>49</v>
      </c>
      <c r="AM1098" t="s">
        <v>202</v>
      </c>
      <c r="AN1098" t="s">
        <v>165</v>
      </c>
      <c r="AP1098" t="s">
        <v>49</v>
      </c>
    </row>
    <row r="1099" spans="1:43" x14ac:dyDescent="0.2">
      <c r="A1099" t="s">
        <v>749</v>
      </c>
      <c r="B1099" t="s">
        <v>167</v>
      </c>
      <c r="C1099">
        <v>2019</v>
      </c>
      <c r="D1099" t="s">
        <v>44</v>
      </c>
      <c r="F1099" t="s">
        <v>54</v>
      </c>
      <c r="G1099" t="s">
        <v>86</v>
      </c>
      <c r="H1099" t="s">
        <v>350</v>
      </c>
      <c r="J1099">
        <v>0.17</v>
      </c>
      <c r="K1099" t="s">
        <v>101</v>
      </c>
      <c r="L1099">
        <v>60</v>
      </c>
      <c r="M1099">
        <f>0.2*0.2</f>
        <v>4.0000000000000008E-2</v>
      </c>
      <c r="N1099" t="s">
        <v>123</v>
      </c>
      <c r="O1099" t="s">
        <v>123</v>
      </c>
      <c r="P1099" t="s">
        <v>170</v>
      </c>
      <c r="Q1099" s="1" t="s">
        <v>2281</v>
      </c>
      <c r="R1099" s="1" t="s">
        <v>2282</v>
      </c>
      <c r="S1099" s="1" t="s">
        <v>123</v>
      </c>
      <c r="X1099" t="s">
        <v>171</v>
      </c>
      <c r="Y1099" t="s">
        <v>2273</v>
      </c>
      <c r="Z1099" t="s">
        <v>249</v>
      </c>
      <c r="AA1099" t="s">
        <v>2359</v>
      </c>
      <c r="AB1099" t="s">
        <v>1979</v>
      </c>
      <c r="AC1099" t="s">
        <v>315</v>
      </c>
      <c r="AD1099" t="s">
        <v>137</v>
      </c>
      <c r="AE1099" t="s">
        <v>750</v>
      </c>
      <c r="AF1099" t="s">
        <v>49</v>
      </c>
      <c r="AI1099" t="s">
        <v>49</v>
      </c>
      <c r="AM1099" t="s">
        <v>202</v>
      </c>
      <c r="AN1099" t="s">
        <v>166</v>
      </c>
      <c r="AP1099" t="s">
        <v>157</v>
      </c>
    </row>
    <row r="1100" spans="1:43" x14ac:dyDescent="0.2">
      <c r="A1100" t="s">
        <v>749</v>
      </c>
      <c r="B1100" t="s">
        <v>167</v>
      </c>
      <c r="C1100">
        <v>2019</v>
      </c>
      <c r="D1100" t="s">
        <v>44</v>
      </c>
      <c r="F1100" t="s">
        <v>54</v>
      </c>
      <c r="G1100" t="s">
        <v>86</v>
      </c>
      <c r="H1100" t="s">
        <v>350</v>
      </c>
      <c r="J1100">
        <v>0.17</v>
      </c>
      <c r="K1100" t="s">
        <v>101</v>
      </c>
      <c r="L1100">
        <v>60</v>
      </c>
      <c r="M1100">
        <f>0.2*0.2</f>
        <v>4.0000000000000008E-2</v>
      </c>
      <c r="N1100" t="s">
        <v>132</v>
      </c>
      <c r="O1100" t="s">
        <v>120</v>
      </c>
      <c r="P1100" t="s">
        <v>169</v>
      </c>
      <c r="Q1100" s="1" t="s">
        <v>2276</v>
      </c>
      <c r="R1100" s="1" t="s">
        <v>669</v>
      </c>
      <c r="S1100" s="1" t="s">
        <v>168</v>
      </c>
      <c r="X1100" t="s">
        <v>171</v>
      </c>
      <c r="Y1100" t="s">
        <v>2273</v>
      </c>
      <c r="Z1100" t="s">
        <v>249</v>
      </c>
      <c r="AA1100" t="s">
        <v>2359</v>
      </c>
      <c r="AB1100" t="s">
        <v>1979</v>
      </c>
      <c r="AC1100" t="s">
        <v>152</v>
      </c>
      <c r="AD1100" t="s">
        <v>137</v>
      </c>
      <c r="AE1100" t="s">
        <v>250</v>
      </c>
      <c r="AF1100" t="s">
        <v>49</v>
      </c>
      <c r="AI1100" t="s">
        <v>49</v>
      </c>
      <c r="AM1100" t="s">
        <v>202</v>
      </c>
      <c r="AN1100" t="s">
        <v>166</v>
      </c>
      <c r="AP1100" t="s">
        <v>157</v>
      </c>
    </row>
    <row r="1101" spans="1:43" x14ac:dyDescent="0.2">
      <c r="A1101" t="s">
        <v>749</v>
      </c>
      <c r="B1101" t="s">
        <v>167</v>
      </c>
      <c r="C1101">
        <v>2019</v>
      </c>
      <c r="D1101" t="s">
        <v>44</v>
      </c>
      <c r="F1101" t="s">
        <v>54</v>
      </c>
      <c r="G1101" t="s">
        <v>86</v>
      </c>
      <c r="H1101" t="s">
        <v>350</v>
      </c>
      <c r="J1101">
        <v>0.17</v>
      </c>
      <c r="K1101" t="s">
        <v>101</v>
      </c>
      <c r="L1101">
        <v>60</v>
      </c>
      <c r="M1101">
        <v>4</v>
      </c>
      <c r="N1101" t="s">
        <v>132</v>
      </c>
      <c r="O1101" t="s">
        <v>120</v>
      </c>
      <c r="P1101" t="s">
        <v>169</v>
      </c>
      <c r="Q1101" s="1" t="s">
        <v>2276</v>
      </c>
      <c r="R1101" s="1" t="s">
        <v>669</v>
      </c>
      <c r="S1101" s="1" t="s">
        <v>168</v>
      </c>
      <c r="X1101" t="s">
        <v>211</v>
      </c>
      <c r="Y1101" t="s">
        <v>2279</v>
      </c>
      <c r="Z1101" t="s">
        <v>2280</v>
      </c>
      <c r="AA1101" t="s">
        <v>2358</v>
      </c>
      <c r="AB1101" t="s">
        <v>2290</v>
      </c>
      <c r="AC1101" t="s">
        <v>152</v>
      </c>
      <c r="AD1101" t="s">
        <v>2278</v>
      </c>
      <c r="AF1101" t="s">
        <v>49</v>
      </c>
      <c r="AI1101" t="s">
        <v>49</v>
      </c>
      <c r="AM1101" t="s">
        <v>202</v>
      </c>
      <c r="AN1101" t="s">
        <v>165</v>
      </c>
      <c r="AP1101" t="s">
        <v>51</v>
      </c>
    </row>
    <row r="1102" spans="1:43" x14ac:dyDescent="0.2">
      <c r="A1102" t="s">
        <v>749</v>
      </c>
      <c r="B1102" t="s">
        <v>167</v>
      </c>
      <c r="C1102">
        <v>2019</v>
      </c>
      <c r="D1102" t="s">
        <v>44</v>
      </c>
      <c r="F1102" t="s">
        <v>54</v>
      </c>
      <c r="G1102" t="s">
        <v>86</v>
      </c>
      <c r="H1102" t="s">
        <v>350</v>
      </c>
      <c r="J1102">
        <v>0.17</v>
      </c>
      <c r="K1102" t="s">
        <v>101</v>
      </c>
      <c r="L1102">
        <v>60</v>
      </c>
      <c r="M1102">
        <v>4</v>
      </c>
      <c r="N1102" t="s">
        <v>128</v>
      </c>
      <c r="O1102" t="s">
        <v>751</v>
      </c>
      <c r="Q1102" s="1" t="s">
        <v>2276</v>
      </c>
      <c r="R1102" s="1" t="s">
        <v>751</v>
      </c>
      <c r="S1102" s="1" t="s">
        <v>2354</v>
      </c>
      <c r="X1102" t="s">
        <v>211</v>
      </c>
      <c r="Y1102" t="s">
        <v>2279</v>
      </c>
      <c r="Z1102" t="s">
        <v>2280</v>
      </c>
      <c r="AA1102" t="s">
        <v>2358</v>
      </c>
      <c r="AB1102" t="s">
        <v>2290</v>
      </c>
      <c r="AC1102" t="s">
        <v>152</v>
      </c>
      <c r="AD1102" t="s">
        <v>2278</v>
      </c>
      <c r="AF1102" t="s">
        <v>49</v>
      </c>
      <c r="AI1102" t="s">
        <v>49</v>
      </c>
      <c r="AM1102" t="s">
        <v>202</v>
      </c>
      <c r="AN1102" t="s">
        <v>165</v>
      </c>
      <c r="AP1102" t="s">
        <v>49</v>
      </c>
    </row>
    <row r="1103" spans="1:43" x14ac:dyDescent="0.2">
      <c r="A1103" t="s">
        <v>749</v>
      </c>
      <c r="B1103" t="s">
        <v>167</v>
      </c>
      <c r="C1103">
        <v>2019</v>
      </c>
      <c r="D1103" t="s">
        <v>44</v>
      </c>
      <c r="F1103" t="s">
        <v>54</v>
      </c>
      <c r="G1103" t="s">
        <v>86</v>
      </c>
      <c r="H1103" t="s">
        <v>350</v>
      </c>
      <c r="J1103">
        <v>0.17</v>
      </c>
      <c r="K1103" t="s">
        <v>101</v>
      </c>
      <c r="L1103">
        <v>60</v>
      </c>
      <c r="M1103">
        <v>4</v>
      </c>
      <c r="N1103" t="s">
        <v>128</v>
      </c>
      <c r="O1103" t="s">
        <v>751</v>
      </c>
      <c r="Q1103" s="1" t="s">
        <v>2276</v>
      </c>
      <c r="R1103" s="1" t="s">
        <v>751</v>
      </c>
      <c r="S1103" s="1" t="s">
        <v>2354</v>
      </c>
      <c r="X1103" t="s">
        <v>171</v>
      </c>
      <c r="Y1103" t="s">
        <v>2273</v>
      </c>
      <c r="Z1103" t="s">
        <v>249</v>
      </c>
      <c r="AA1103" t="s">
        <v>2359</v>
      </c>
      <c r="AB1103" t="s">
        <v>1979</v>
      </c>
      <c r="AC1103" t="s">
        <v>152</v>
      </c>
      <c r="AD1103" t="s">
        <v>137</v>
      </c>
      <c r="AF1103" t="s">
        <v>49</v>
      </c>
      <c r="AI1103" t="s">
        <v>49</v>
      </c>
      <c r="AM1103" t="s">
        <v>202</v>
      </c>
      <c r="AN1103" t="s">
        <v>165</v>
      </c>
      <c r="AP1103" t="s">
        <v>49</v>
      </c>
    </row>
    <row r="1104" spans="1:43" x14ac:dyDescent="0.2">
      <c r="A1104" t="s">
        <v>749</v>
      </c>
      <c r="B1104" t="s">
        <v>167</v>
      </c>
      <c r="C1104">
        <v>2019</v>
      </c>
      <c r="D1104" t="s">
        <v>44</v>
      </c>
      <c r="F1104" t="s">
        <v>54</v>
      </c>
      <c r="G1104" t="s">
        <v>86</v>
      </c>
      <c r="H1104" t="s">
        <v>350</v>
      </c>
      <c r="J1104">
        <v>0.17</v>
      </c>
      <c r="K1104" t="s">
        <v>101</v>
      </c>
      <c r="L1104">
        <v>60</v>
      </c>
      <c r="M1104">
        <f>0.2*0.2</f>
        <v>4.0000000000000008E-2</v>
      </c>
      <c r="N1104" t="s">
        <v>123</v>
      </c>
      <c r="O1104" t="s">
        <v>123</v>
      </c>
      <c r="P1104" t="s">
        <v>170</v>
      </c>
      <c r="Q1104" s="1" t="s">
        <v>2281</v>
      </c>
      <c r="R1104" s="1" t="s">
        <v>2282</v>
      </c>
      <c r="S1104" s="1" t="s">
        <v>123</v>
      </c>
      <c r="X1104" t="s">
        <v>171</v>
      </c>
      <c r="Y1104" t="s">
        <v>2273</v>
      </c>
      <c r="Z1104" t="s">
        <v>249</v>
      </c>
      <c r="AA1104" t="s">
        <v>2359</v>
      </c>
      <c r="AB1104" t="s">
        <v>1979</v>
      </c>
      <c r="AC1104" t="s">
        <v>315</v>
      </c>
      <c r="AD1104" t="s">
        <v>137</v>
      </c>
      <c r="AE1104" t="s">
        <v>750</v>
      </c>
      <c r="AF1104" t="s">
        <v>49</v>
      </c>
      <c r="AI1104" t="s">
        <v>49</v>
      </c>
      <c r="AM1104" t="s">
        <v>202</v>
      </c>
      <c r="AN1104" t="s">
        <v>165</v>
      </c>
      <c r="AP1104" t="s">
        <v>49</v>
      </c>
    </row>
    <row r="1105" spans="1:45" x14ac:dyDescent="0.2">
      <c r="A1105" t="s">
        <v>749</v>
      </c>
      <c r="B1105" t="s">
        <v>167</v>
      </c>
      <c r="C1105">
        <v>2019</v>
      </c>
      <c r="D1105" t="s">
        <v>44</v>
      </c>
      <c r="F1105" t="s">
        <v>54</v>
      </c>
      <c r="G1105" t="s">
        <v>86</v>
      </c>
      <c r="H1105" t="s">
        <v>350</v>
      </c>
      <c r="J1105">
        <v>0.17</v>
      </c>
      <c r="K1105" t="s">
        <v>101</v>
      </c>
      <c r="L1105">
        <v>60</v>
      </c>
      <c r="M1105">
        <f>0.2*0.2</f>
        <v>4.0000000000000008E-2</v>
      </c>
      <c r="N1105" t="s">
        <v>123</v>
      </c>
      <c r="O1105" t="s">
        <v>123</v>
      </c>
      <c r="P1105" t="s">
        <v>170</v>
      </c>
      <c r="Q1105" s="1" t="s">
        <v>2281</v>
      </c>
      <c r="R1105" s="1" t="s">
        <v>2282</v>
      </c>
      <c r="S1105" s="1" t="s">
        <v>123</v>
      </c>
      <c r="X1105" t="s">
        <v>166</v>
      </c>
      <c r="Y1105" t="s">
        <v>2279</v>
      </c>
      <c r="Z1105" t="s">
        <v>2280</v>
      </c>
      <c r="AA1105" t="s">
        <v>2358</v>
      </c>
      <c r="AB1105" t="s">
        <v>189</v>
      </c>
      <c r="AC1105" t="s">
        <v>152</v>
      </c>
      <c r="AD1105" t="s">
        <v>2278</v>
      </c>
      <c r="AE1105" t="s">
        <v>250</v>
      </c>
      <c r="AF1105" t="s">
        <v>49</v>
      </c>
      <c r="AI1105" t="s">
        <v>49</v>
      </c>
      <c r="AM1105" t="s">
        <v>202</v>
      </c>
      <c r="AN1105" t="s">
        <v>165</v>
      </c>
      <c r="AP1105" t="s">
        <v>49</v>
      </c>
    </row>
    <row r="1106" spans="1:45" x14ac:dyDescent="0.2">
      <c r="A1106" t="s">
        <v>752</v>
      </c>
      <c r="B1106" t="s">
        <v>753</v>
      </c>
      <c r="C1106">
        <v>2019</v>
      </c>
      <c r="D1106" t="s">
        <v>46</v>
      </c>
      <c r="F1106" t="s">
        <v>81</v>
      </c>
      <c r="G1106" t="s">
        <v>86</v>
      </c>
      <c r="H1106" t="s">
        <v>350</v>
      </c>
      <c r="J1106">
        <v>0</v>
      </c>
      <c r="K1106" t="s">
        <v>101</v>
      </c>
      <c r="L1106">
        <v>0</v>
      </c>
      <c r="M1106">
        <v>0</v>
      </c>
      <c r="N1106" t="s">
        <v>128</v>
      </c>
      <c r="O1106" t="s">
        <v>751</v>
      </c>
      <c r="P1106" t="s">
        <v>757</v>
      </c>
      <c r="Q1106" s="1" t="s">
        <v>2272</v>
      </c>
      <c r="R1106" s="1" t="s">
        <v>751</v>
      </c>
      <c r="S1106" s="1" t="s">
        <v>2346</v>
      </c>
      <c r="V1106" t="s">
        <v>194</v>
      </c>
      <c r="W1106" t="s">
        <v>757</v>
      </c>
      <c r="Y1106" t="s">
        <v>2272</v>
      </c>
      <c r="Z1106" t="s">
        <v>2272</v>
      </c>
      <c r="AA1106" t="s">
        <v>2272</v>
      </c>
      <c r="AB1106" t="s">
        <v>2272</v>
      </c>
      <c r="AD1106" t="s">
        <v>2272</v>
      </c>
      <c r="AR1106" t="s">
        <v>144</v>
      </c>
      <c r="AS1106" t="s">
        <v>2585</v>
      </c>
    </row>
    <row r="1107" spans="1:45" x14ac:dyDescent="0.2">
      <c r="A1107" t="s">
        <v>752</v>
      </c>
      <c r="B1107" t="s">
        <v>753</v>
      </c>
      <c r="C1107">
        <v>2019</v>
      </c>
      <c r="D1107" t="s">
        <v>46</v>
      </c>
      <c r="F1107" t="s">
        <v>81</v>
      </c>
      <c r="G1107" t="s">
        <v>86</v>
      </c>
      <c r="H1107" t="s">
        <v>350</v>
      </c>
      <c r="J1107">
        <v>0</v>
      </c>
      <c r="K1107" t="s">
        <v>101</v>
      </c>
      <c r="L1107">
        <v>0</v>
      </c>
      <c r="M1107">
        <v>0</v>
      </c>
      <c r="N1107" t="s">
        <v>128</v>
      </c>
      <c r="O1107" t="s">
        <v>755</v>
      </c>
      <c r="P1107" t="s">
        <v>754</v>
      </c>
      <c r="Q1107" s="1" t="s">
        <v>2272</v>
      </c>
      <c r="R1107" s="1" t="s">
        <v>755</v>
      </c>
      <c r="S1107" s="1" t="s">
        <v>2352</v>
      </c>
      <c r="V1107" t="s">
        <v>194</v>
      </c>
      <c r="W1107" t="s">
        <v>754</v>
      </c>
      <c r="Y1107" t="s">
        <v>2272</v>
      </c>
      <c r="Z1107" t="s">
        <v>2272</v>
      </c>
      <c r="AA1107" t="s">
        <v>2272</v>
      </c>
      <c r="AB1107" t="s">
        <v>2272</v>
      </c>
      <c r="AD1107" t="s">
        <v>2272</v>
      </c>
      <c r="AR1107" t="s">
        <v>144</v>
      </c>
      <c r="AS1107" t="s">
        <v>2585</v>
      </c>
    </row>
    <row r="1108" spans="1:45" x14ac:dyDescent="0.2">
      <c r="A1108" t="s">
        <v>752</v>
      </c>
      <c r="B1108" t="s">
        <v>753</v>
      </c>
      <c r="C1108">
        <v>2019</v>
      </c>
      <c r="D1108" t="s">
        <v>46</v>
      </c>
      <c r="F1108" t="s">
        <v>81</v>
      </c>
      <c r="G1108" t="s">
        <v>86</v>
      </c>
      <c r="H1108" t="s">
        <v>350</v>
      </c>
      <c r="J1108">
        <v>0</v>
      </c>
      <c r="K1108" t="s">
        <v>101</v>
      </c>
      <c r="L1108">
        <v>0</v>
      </c>
      <c r="M1108">
        <v>0</v>
      </c>
      <c r="N1108" t="s">
        <v>128</v>
      </c>
      <c r="O1108" t="s">
        <v>252</v>
      </c>
      <c r="P1108" t="s">
        <v>756</v>
      </c>
      <c r="Q1108" s="1" t="s">
        <v>2272</v>
      </c>
      <c r="R1108" s="1" t="s">
        <v>2272</v>
      </c>
      <c r="S1108" s="1" t="s">
        <v>2272</v>
      </c>
      <c r="Y1108" t="s">
        <v>2272</v>
      </c>
      <c r="Z1108" t="s">
        <v>2272</v>
      </c>
      <c r="AA1108" t="s">
        <v>2272</v>
      </c>
      <c r="AB1108" t="s">
        <v>2272</v>
      </c>
      <c r="AD1108" t="s">
        <v>2272</v>
      </c>
      <c r="AR1108" t="s">
        <v>144</v>
      </c>
      <c r="AS1108" t="s">
        <v>2585</v>
      </c>
    </row>
    <row r="1109" spans="1:45" x14ac:dyDescent="0.2">
      <c r="A1109" t="s">
        <v>758</v>
      </c>
      <c r="B1109" t="s">
        <v>759</v>
      </c>
      <c r="C1109">
        <v>2019</v>
      </c>
      <c r="D1109" t="s">
        <v>811</v>
      </c>
      <c r="F1109" t="s">
        <v>81</v>
      </c>
      <c r="G1109" t="s">
        <v>86</v>
      </c>
      <c r="H1109" t="s">
        <v>96</v>
      </c>
      <c r="I1109" t="s">
        <v>762</v>
      </c>
      <c r="J1109">
        <f>(12+9)/12</f>
        <v>1.75</v>
      </c>
      <c r="K1109" t="s">
        <v>102</v>
      </c>
      <c r="L1109">
        <v>10.5</v>
      </c>
      <c r="M1109">
        <v>1</v>
      </c>
      <c r="N1109" t="s">
        <v>760</v>
      </c>
      <c r="O1109" t="s">
        <v>760</v>
      </c>
      <c r="P1109" t="s">
        <v>761</v>
      </c>
      <c r="Q1109" s="1" t="s">
        <v>2292</v>
      </c>
      <c r="R1109" s="1" t="s">
        <v>760</v>
      </c>
      <c r="S1109" s="1" t="s">
        <v>760</v>
      </c>
      <c r="X1109" t="s">
        <v>189</v>
      </c>
      <c r="Y1109" t="s">
        <v>2279</v>
      </c>
      <c r="Z1109" t="s">
        <v>2280</v>
      </c>
      <c r="AA1109" t="s">
        <v>2358</v>
      </c>
      <c r="AB1109" t="s">
        <v>189</v>
      </c>
      <c r="AC1109" t="s">
        <v>152</v>
      </c>
      <c r="AD1109" t="s">
        <v>2278</v>
      </c>
      <c r="AE1109" t="s">
        <v>763</v>
      </c>
    </row>
    <row r="1110" spans="1:45" x14ac:dyDescent="0.2">
      <c r="A1110" t="s">
        <v>758</v>
      </c>
      <c r="B1110" t="s">
        <v>759</v>
      </c>
      <c r="C1110">
        <v>2019</v>
      </c>
      <c r="D1110" t="s">
        <v>811</v>
      </c>
      <c r="F1110" t="s">
        <v>81</v>
      </c>
      <c r="G1110" t="s">
        <v>86</v>
      </c>
      <c r="H1110" t="s">
        <v>96</v>
      </c>
      <c r="I1110" t="s">
        <v>762</v>
      </c>
      <c r="J1110">
        <f>(12+9)/12</f>
        <v>1.75</v>
      </c>
      <c r="K1110" t="s">
        <v>102</v>
      </c>
      <c r="L1110">
        <v>10.5</v>
      </c>
      <c r="M1110">
        <v>1</v>
      </c>
      <c r="N1110" t="s">
        <v>760</v>
      </c>
      <c r="O1110" t="s">
        <v>760</v>
      </c>
      <c r="P1110" t="s">
        <v>761</v>
      </c>
      <c r="Q1110" s="1" t="s">
        <v>2292</v>
      </c>
      <c r="R1110" s="1" t="s">
        <v>760</v>
      </c>
      <c r="S1110" s="1" t="s">
        <v>760</v>
      </c>
      <c r="X1110" t="s">
        <v>338</v>
      </c>
      <c r="Y1110" t="s">
        <v>2273</v>
      </c>
      <c r="Z1110" t="s">
        <v>249</v>
      </c>
      <c r="AA1110" t="s">
        <v>2359</v>
      </c>
      <c r="AB1110" t="s">
        <v>1419</v>
      </c>
      <c r="AC1110" t="s">
        <v>152</v>
      </c>
      <c r="AD1110" t="s">
        <v>137</v>
      </c>
      <c r="AE1110" t="s">
        <v>763</v>
      </c>
    </row>
    <row r="1111" spans="1:45" x14ac:dyDescent="0.2">
      <c r="A1111" t="s">
        <v>758</v>
      </c>
      <c r="B1111" t="s">
        <v>759</v>
      </c>
      <c r="C1111">
        <v>2019</v>
      </c>
      <c r="D1111" t="s">
        <v>811</v>
      </c>
      <c r="F1111" t="s">
        <v>81</v>
      </c>
      <c r="G1111" t="s">
        <v>86</v>
      </c>
      <c r="H1111" t="s">
        <v>96</v>
      </c>
      <c r="I1111" t="s">
        <v>762</v>
      </c>
      <c r="J1111">
        <f>(12+9)/12</f>
        <v>1.75</v>
      </c>
      <c r="K1111" t="s">
        <v>102</v>
      </c>
      <c r="L1111">
        <v>10.5</v>
      </c>
      <c r="M1111">
        <v>1</v>
      </c>
      <c r="N1111" t="s">
        <v>124</v>
      </c>
      <c r="O1111" t="s">
        <v>124</v>
      </c>
      <c r="P1111" t="s">
        <v>279</v>
      </c>
      <c r="Q1111" s="1" t="s">
        <v>2292</v>
      </c>
      <c r="R1111" s="1" t="s">
        <v>124</v>
      </c>
      <c r="S1111" s="1" t="s">
        <v>124</v>
      </c>
      <c r="X1111" t="s">
        <v>189</v>
      </c>
      <c r="Y1111" t="s">
        <v>2279</v>
      </c>
      <c r="Z1111" t="s">
        <v>2280</v>
      </c>
      <c r="AA1111" t="s">
        <v>2358</v>
      </c>
      <c r="AB1111" t="s">
        <v>189</v>
      </c>
      <c r="AC1111" t="s">
        <v>152</v>
      </c>
      <c r="AD1111" t="s">
        <v>2278</v>
      </c>
      <c r="AE1111" t="s">
        <v>764</v>
      </c>
    </row>
    <row r="1112" spans="1:45" x14ac:dyDescent="0.2">
      <c r="A1112" t="s">
        <v>758</v>
      </c>
      <c r="B1112" t="s">
        <v>759</v>
      </c>
      <c r="C1112">
        <v>2019</v>
      </c>
      <c r="D1112" t="s">
        <v>811</v>
      </c>
      <c r="F1112" t="s">
        <v>81</v>
      </c>
      <c r="G1112" t="s">
        <v>86</v>
      </c>
      <c r="H1112" t="s">
        <v>96</v>
      </c>
      <c r="I1112" t="s">
        <v>762</v>
      </c>
      <c r="J1112">
        <f>(12+9)/12</f>
        <v>1.75</v>
      </c>
      <c r="K1112" t="s">
        <v>102</v>
      </c>
      <c r="L1112">
        <v>10.5</v>
      </c>
      <c r="M1112">
        <v>1</v>
      </c>
      <c r="N1112" t="s">
        <v>124</v>
      </c>
      <c r="O1112" t="s">
        <v>124</v>
      </c>
      <c r="P1112" t="s">
        <v>279</v>
      </c>
      <c r="Q1112" s="1" t="s">
        <v>2292</v>
      </c>
      <c r="R1112" s="1" t="s">
        <v>124</v>
      </c>
      <c r="S1112" s="1" t="s">
        <v>124</v>
      </c>
      <c r="X1112" t="s">
        <v>338</v>
      </c>
      <c r="Y1112" t="s">
        <v>2273</v>
      </c>
      <c r="Z1112" t="s">
        <v>249</v>
      </c>
      <c r="AA1112" t="s">
        <v>2359</v>
      </c>
      <c r="AB1112" t="s">
        <v>1419</v>
      </c>
      <c r="AC1112" t="s">
        <v>152</v>
      </c>
      <c r="AD1112" t="s">
        <v>137</v>
      </c>
      <c r="AE1112" t="s">
        <v>764</v>
      </c>
    </row>
    <row r="1113" spans="1:45" x14ac:dyDescent="0.2">
      <c r="A1113" t="s">
        <v>758</v>
      </c>
      <c r="B1113" t="s">
        <v>759</v>
      </c>
      <c r="C1113">
        <v>2019</v>
      </c>
      <c r="D1113" t="s">
        <v>44</v>
      </c>
      <c r="F1113" t="s">
        <v>81</v>
      </c>
      <c r="G1113" t="s">
        <v>86</v>
      </c>
      <c r="H1113" t="s">
        <v>96</v>
      </c>
      <c r="J1113">
        <v>0</v>
      </c>
      <c r="K1113" t="s">
        <v>101</v>
      </c>
      <c r="L1113">
        <v>6</v>
      </c>
      <c r="M1113">
        <v>0.25</v>
      </c>
      <c r="N1113" t="s">
        <v>760</v>
      </c>
      <c r="O1113" t="s">
        <v>760</v>
      </c>
      <c r="P1113" t="s">
        <v>761</v>
      </c>
      <c r="Q1113" s="1" t="s">
        <v>2292</v>
      </c>
      <c r="R1113" s="1" t="s">
        <v>760</v>
      </c>
      <c r="S1113" s="1" t="s">
        <v>760</v>
      </c>
      <c r="X1113" t="s">
        <v>189</v>
      </c>
      <c r="Y1113" t="s">
        <v>2279</v>
      </c>
      <c r="Z1113" t="s">
        <v>2280</v>
      </c>
      <c r="AA1113" t="s">
        <v>2358</v>
      </c>
      <c r="AB1113" t="s">
        <v>189</v>
      </c>
      <c r="AC1113" t="s">
        <v>152</v>
      </c>
      <c r="AD1113" t="s">
        <v>2278</v>
      </c>
    </row>
    <row r="1114" spans="1:45" x14ac:dyDescent="0.2">
      <c r="A1114" t="s">
        <v>758</v>
      </c>
      <c r="B1114" t="s">
        <v>759</v>
      </c>
      <c r="C1114">
        <v>2019</v>
      </c>
      <c r="D1114" t="s">
        <v>44</v>
      </c>
      <c r="F1114" t="s">
        <v>81</v>
      </c>
      <c r="G1114" t="s">
        <v>86</v>
      </c>
      <c r="H1114" t="s">
        <v>96</v>
      </c>
      <c r="J1114">
        <v>0</v>
      </c>
      <c r="K1114" t="s">
        <v>101</v>
      </c>
      <c r="L1114">
        <v>6</v>
      </c>
      <c r="M1114">
        <v>0.25</v>
      </c>
      <c r="N1114" t="s">
        <v>124</v>
      </c>
      <c r="O1114" t="s">
        <v>124</v>
      </c>
      <c r="P1114" t="s">
        <v>279</v>
      </c>
      <c r="Q1114" s="1" t="s">
        <v>2292</v>
      </c>
      <c r="R1114" s="1" t="s">
        <v>124</v>
      </c>
      <c r="S1114" s="1" t="s">
        <v>124</v>
      </c>
      <c r="X1114" t="s">
        <v>189</v>
      </c>
      <c r="Y1114" t="s">
        <v>2279</v>
      </c>
      <c r="Z1114" t="s">
        <v>2280</v>
      </c>
      <c r="AA1114" t="s">
        <v>2358</v>
      </c>
      <c r="AB1114" t="s">
        <v>189</v>
      </c>
      <c r="AC1114" t="s">
        <v>152</v>
      </c>
      <c r="AD1114" t="s">
        <v>2278</v>
      </c>
    </row>
    <row r="1115" spans="1:45" x14ac:dyDescent="0.2">
      <c r="A1115" t="s">
        <v>758</v>
      </c>
      <c r="B1115" t="s">
        <v>759</v>
      </c>
      <c r="C1115">
        <v>2019</v>
      </c>
      <c r="D1115" t="s">
        <v>44</v>
      </c>
      <c r="F1115" t="s">
        <v>81</v>
      </c>
      <c r="G1115" t="s">
        <v>86</v>
      </c>
      <c r="H1115" t="s">
        <v>96</v>
      </c>
      <c r="J1115">
        <v>0</v>
      </c>
      <c r="K1115" t="s">
        <v>101</v>
      </c>
      <c r="L1115">
        <v>6</v>
      </c>
      <c r="N1115" t="s">
        <v>760</v>
      </c>
      <c r="O1115" t="s">
        <v>760</v>
      </c>
      <c r="P1115" t="s">
        <v>761</v>
      </c>
      <c r="Q1115" s="1" t="s">
        <v>2292</v>
      </c>
      <c r="R1115" s="1" t="s">
        <v>760</v>
      </c>
      <c r="S1115" s="1" t="s">
        <v>760</v>
      </c>
      <c r="X1115" t="s">
        <v>765</v>
      </c>
      <c r="Y1115" t="s">
        <v>2279</v>
      </c>
      <c r="Z1115" t="s">
        <v>2280</v>
      </c>
      <c r="AA1115" t="s">
        <v>2286</v>
      </c>
      <c r="AB1115" t="s">
        <v>2299</v>
      </c>
      <c r="AC1115" t="s">
        <v>152</v>
      </c>
      <c r="AD1115" t="s">
        <v>2278</v>
      </c>
    </row>
    <row r="1116" spans="1:45" x14ac:dyDescent="0.2">
      <c r="A1116" t="s">
        <v>758</v>
      </c>
      <c r="B1116" t="s">
        <v>759</v>
      </c>
      <c r="C1116">
        <v>2019</v>
      </c>
      <c r="D1116" t="s">
        <v>44</v>
      </c>
      <c r="F1116" t="s">
        <v>81</v>
      </c>
      <c r="G1116" t="s">
        <v>86</v>
      </c>
      <c r="H1116" t="s">
        <v>96</v>
      </c>
      <c r="J1116">
        <v>0</v>
      </c>
      <c r="K1116" t="s">
        <v>101</v>
      </c>
      <c r="L1116">
        <v>6</v>
      </c>
      <c r="N1116" t="s">
        <v>124</v>
      </c>
      <c r="O1116" t="s">
        <v>124</v>
      </c>
      <c r="P1116" t="s">
        <v>279</v>
      </c>
      <c r="Q1116" s="1" t="s">
        <v>2292</v>
      </c>
      <c r="R1116" s="1" t="s">
        <v>124</v>
      </c>
      <c r="S1116" s="1" t="s">
        <v>124</v>
      </c>
      <c r="X1116" t="s">
        <v>765</v>
      </c>
      <c r="Y1116" t="s">
        <v>2279</v>
      </c>
      <c r="Z1116" t="s">
        <v>2280</v>
      </c>
      <c r="AA1116" t="s">
        <v>2286</v>
      </c>
      <c r="AB1116" t="s">
        <v>2299</v>
      </c>
      <c r="AC1116" t="s">
        <v>152</v>
      </c>
      <c r="AD1116" t="s">
        <v>2278</v>
      </c>
    </row>
    <row r="1117" spans="1:45" x14ac:dyDescent="0.2">
      <c r="A1117" t="s">
        <v>758</v>
      </c>
      <c r="B1117" t="s">
        <v>759</v>
      </c>
      <c r="C1117">
        <v>2019</v>
      </c>
      <c r="D1117" t="s">
        <v>44</v>
      </c>
      <c r="F1117" t="s">
        <v>81</v>
      </c>
      <c r="G1117" t="s">
        <v>86</v>
      </c>
      <c r="H1117" t="s">
        <v>96</v>
      </c>
      <c r="J1117">
        <v>0</v>
      </c>
      <c r="K1117" t="s">
        <v>101</v>
      </c>
      <c r="L1117">
        <v>6</v>
      </c>
      <c r="M1117">
        <v>0</v>
      </c>
      <c r="N1117" t="s">
        <v>760</v>
      </c>
      <c r="O1117" t="s">
        <v>760</v>
      </c>
      <c r="P1117" t="s">
        <v>761</v>
      </c>
      <c r="Q1117" s="1" t="s">
        <v>2292</v>
      </c>
      <c r="R1117" s="1" t="s">
        <v>760</v>
      </c>
      <c r="S1117" s="1" t="s">
        <v>760</v>
      </c>
      <c r="X1117" t="s">
        <v>766</v>
      </c>
      <c r="Y1117" t="s">
        <v>2273</v>
      </c>
      <c r="Z1117" t="s">
        <v>249</v>
      </c>
      <c r="AA1117" t="s">
        <v>2274</v>
      </c>
      <c r="AB1117" t="s">
        <v>569</v>
      </c>
      <c r="AC1117" t="s">
        <v>152</v>
      </c>
      <c r="AD1117" t="s">
        <v>137</v>
      </c>
    </row>
    <row r="1118" spans="1:45" x14ac:dyDescent="0.2">
      <c r="A1118" t="s">
        <v>758</v>
      </c>
      <c r="B1118" t="s">
        <v>759</v>
      </c>
      <c r="C1118">
        <v>2019</v>
      </c>
      <c r="D1118" t="s">
        <v>44</v>
      </c>
      <c r="F1118" t="s">
        <v>81</v>
      </c>
      <c r="G1118" t="s">
        <v>86</v>
      </c>
      <c r="H1118" t="s">
        <v>96</v>
      </c>
      <c r="J1118">
        <v>0</v>
      </c>
      <c r="K1118" t="s">
        <v>101</v>
      </c>
      <c r="L1118">
        <v>6</v>
      </c>
      <c r="M1118">
        <v>0</v>
      </c>
      <c r="N1118" t="s">
        <v>124</v>
      </c>
      <c r="O1118" t="s">
        <v>124</v>
      </c>
      <c r="P1118" t="s">
        <v>279</v>
      </c>
      <c r="Q1118" s="1" t="s">
        <v>2292</v>
      </c>
      <c r="R1118" s="1" t="s">
        <v>124</v>
      </c>
      <c r="S1118" s="1" t="s">
        <v>124</v>
      </c>
      <c r="X1118" t="s">
        <v>766</v>
      </c>
      <c r="Y1118" t="s">
        <v>2273</v>
      </c>
      <c r="Z1118" t="s">
        <v>249</v>
      </c>
      <c r="AA1118" t="s">
        <v>2274</v>
      </c>
      <c r="AB1118" t="s">
        <v>569</v>
      </c>
      <c r="AC1118" t="s">
        <v>152</v>
      </c>
      <c r="AD1118" t="s">
        <v>137</v>
      </c>
    </row>
    <row r="1119" spans="1:45" x14ac:dyDescent="0.2">
      <c r="A1119" t="s">
        <v>758</v>
      </c>
      <c r="B1119" t="s">
        <v>759</v>
      </c>
      <c r="C1119">
        <v>2019</v>
      </c>
      <c r="D1119" t="s">
        <v>44</v>
      </c>
      <c r="F1119" t="s">
        <v>81</v>
      </c>
      <c r="G1119" t="s">
        <v>86</v>
      </c>
      <c r="H1119" t="s">
        <v>96</v>
      </c>
      <c r="J1119">
        <v>0</v>
      </c>
      <c r="K1119" t="s">
        <v>101</v>
      </c>
      <c r="L1119">
        <v>6</v>
      </c>
      <c r="M1119">
        <v>0</v>
      </c>
      <c r="N1119" t="s">
        <v>760</v>
      </c>
      <c r="O1119" t="s">
        <v>760</v>
      </c>
      <c r="P1119" t="s">
        <v>761</v>
      </c>
      <c r="Q1119" s="1" t="s">
        <v>2292</v>
      </c>
      <c r="R1119" s="1" t="s">
        <v>760</v>
      </c>
      <c r="S1119" s="1" t="s">
        <v>760</v>
      </c>
      <c r="X1119" t="s">
        <v>338</v>
      </c>
      <c r="Y1119" t="s">
        <v>2273</v>
      </c>
      <c r="Z1119" t="s">
        <v>249</v>
      </c>
      <c r="AA1119" t="s">
        <v>2359</v>
      </c>
      <c r="AB1119" t="s">
        <v>1419</v>
      </c>
      <c r="AC1119" t="s">
        <v>152</v>
      </c>
      <c r="AD1119" t="s">
        <v>137</v>
      </c>
    </row>
    <row r="1120" spans="1:45" x14ac:dyDescent="0.2">
      <c r="A1120" t="s">
        <v>758</v>
      </c>
      <c r="B1120" t="s">
        <v>759</v>
      </c>
      <c r="C1120">
        <v>2019</v>
      </c>
      <c r="D1120" t="s">
        <v>44</v>
      </c>
      <c r="F1120" t="s">
        <v>81</v>
      </c>
      <c r="G1120" t="s">
        <v>86</v>
      </c>
      <c r="H1120" t="s">
        <v>96</v>
      </c>
      <c r="J1120">
        <v>0</v>
      </c>
      <c r="K1120" t="s">
        <v>101</v>
      </c>
      <c r="L1120">
        <v>6</v>
      </c>
      <c r="M1120">
        <v>0</v>
      </c>
      <c r="N1120" t="s">
        <v>124</v>
      </c>
      <c r="O1120" t="s">
        <v>124</v>
      </c>
      <c r="P1120" t="s">
        <v>279</v>
      </c>
      <c r="Q1120" s="1" t="s">
        <v>2292</v>
      </c>
      <c r="R1120" s="1" t="s">
        <v>124</v>
      </c>
      <c r="S1120" s="1" t="s">
        <v>124</v>
      </c>
      <c r="X1120" t="s">
        <v>338</v>
      </c>
      <c r="Y1120" t="s">
        <v>2273</v>
      </c>
      <c r="Z1120" t="s">
        <v>249</v>
      </c>
      <c r="AA1120" t="s">
        <v>2359</v>
      </c>
      <c r="AB1120" t="s">
        <v>1419</v>
      </c>
      <c r="AC1120" t="s">
        <v>152</v>
      </c>
      <c r="AD1120" t="s">
        <v>137</v>
      </c>
    </row>
    <row r="1121" spans="1:43" x14ac:dyDescent="0.2">
      <c r="A1121" t="s">
        <v>758</v>
      </c>
      <c r="B1121" t="s">
        <v>759</v>
      </c>
      <c r="C1121">
        <v>2019</v>
      </c>
      <c r="D1121" t="s">
        <v>44</v>
      </c>
      <c r="F1121" t="s">
        <v>81</v>
      </c>
      <c r="G1121" t="s">
        <v>86</v>
      </c>
      <c r="H1121" t="s">
        <v>96</v>
      </c>
      <c r="J1121">
        <v>0</v>
      </c>
      <c r="K1121" t="s">
        <v>101</v>
      </c>
      <c r="L1121">
        <v>6</v>
      </c>
      <c r="N1121" t="s">
        <v>760</v>
      </c>
      <c r="O1121" t="s">
        <v>760</v>
      </c>
      <c r="P1121" t="s">
        <v>761</v>
      </c>
      <c r="Q1121" s="1" t="s">
        <v>2292</v>
      </c>
      <c r="R1121" s="1" t="s">
        <v>760</v>
      </c>
      <c r="S1121" s="1" t="s">
        <v>760</v>
      </c>
      <c r="T1121" t="s">
        <v>396</v>
      </c>
      <c r="U1121" t="s">
        <v>124</v>
      </c>
      <c r="X1121" t="s">
        <v>161</v>
      </c>
      <c r="Y1121" t="s">
        <v>2272</v>
      </c>
      <c r="Z1121" t="s">
        <v>2272</v>
      </c>
      <c r="AA1121" t="s">
        <v>2272</v>
      </c>
      <c r="AB1121" t="s">
        <v>2272</v>
      </c>
      <c r="AC1121" t="s">
        <v>162</v>
      </c>
      <c r="AD1121" t="s">
        <v>2272</v>
      </c>
      <c r="AF1121" t="s">
        <v>49</v>
      </c>
      <c r="AL1121" t="s">
        <v>49</v>
      </c>
      <c r="AM1121" t="s">
        <v>1130</v>
      </c>
      <c r="AN1121" t="s">
        <v>166</v>
      </c>
      <c r="AQ1121" s="5">
        <v>0</v>
      </c>
    </row>
    <row r="1122" spans="1:43" x14ac:dyDescent="0.2">
      <c r="A1122" t="s">
        <v>758</v>
      </c>
      <c r="B1122" t="s">
        <v>759</v>
      </c>
      <c r="C1122">
        <v>2019</v>
      </c>
      <c r="D1122" t="s">
        <v>44</v>
      </c>
      <c r="F1122" t="s">
        <v>81</v>
      </c>
      <c r="G1122" t="s">
        <v>86</v>
      </c>
      <c r="H1122" t="s">
        <v>96</v>
      </c>
      <c r="J1122">
        <v>0</v>
      </c>
      <c r="K1122" t="s">
        <v>101</v>
      </c>
      <c r="L1122">
        <v>6</v>
      </c>
      <c r="N1122" t="s">
        <v>124</v>
      </c>
      <c r="O1122" t="s">
        <v>124</v>
      </c>
      <c r="P1122" t="s">
        <v>279</v>
      </c>
      <c r="Q1122" s="1" t="s">
        <v>2292</v>
      </c>
      <c r="R1122" s="1" t="s">
        <v>124</v>
      </c>
      <c r="S1122" s="1" t="s">
        <v>124</v>
      </c>
      <c r="T1122" t="s">
        <v>396</v>
      </c>
      <c r="U1122" t="s">
        <v>760</v>
      </c>
      <c r="X1122" t="s">
        <v>161</v>
      </c>
      <c r="Y1122" t="s">
        <v>2272</v>
      </c>
      <c r="Z1122" t="s">
        <v>2272</v>
      </c>
      <c r="AA1122" t="s">
        <v>2272</v>
      </c>
      <c r="AB1122" t="s">
        <v>2272</v>
      </c>
      <c r="AC1122" t="s">
        <v>162</v>
      </c>
      <c r="AD1122" t="s">
        <v>2272</v>
      </c>
      <c r="AF1122" t="s">
        <v>49</v>
      </c>
      <c r="AL1122" t="s">
        <v>49</v>
      </c>
      <c r="AM1122" t="s">
        <v>1130</v>
      </c>
      <c r="AN1122" t="s">
        <v>166</v>
      </c>
      <c r="AQ1122" s="5">
        <v>0</v>
      </c>
    </row>
    <row r="1123" spans="1:43" x14ac:dyDescent="0.2">
      <c r="A1123" t="s">
        <v>758</v>
      </c>
      <c r="B1123" t="s">
        <v>759</v>
      </c>
      <c r="C1123">
        <v>2019</v>
      </c>
      <c r="D1123" t="s">
        <v>44</v>
      </c>
      <c r="F1123" t="s">
        <v>81</v>
      </c>
      <c r="G1123" t="s">
        <v>86</v>
      </c>
      <c r="H1123" t="s">
        <v>96</v>
      </c>
      <c r="J1123">
        <v>0</v>
      </c>
      <c r="K1123" t="s">
        <v>101</v>
      </c>
      <c r="L1123">
        <v>6</v>
      </c>
      <c r="N1123" t="s">
        <v>760</v>
      </c>
      <c r="O1123" t="s">
        <v>760</v>
      </c>
      <c r="P1123" t="s">
        <v>761</v>
      </c>
      <c r="Q1123" s="1" t="s">
        <v>2292</v>
      </c>
      <c r="R1123" s="1" t="s">
        <v>760</v>
      </c>
      <c r="S1123" s="1" t="s">
        <v>760</v>
      </c>
      <c r="T1123" t="s">
        <v>396</v>
      </c>
      <c r="U1123" t="s">
        <v>124</v>
      </c>
      <c r="X1123" t="s">
        <v>161</v>
      </c>
      <c r="Y1123" t="s">
        <v>2272</v>
      </c>
      <c r="Z1123" t="s">
        <v>2272</v>
      </c>
      <c r="AA1123" t="s">
        <v>2272</v>
      </c>
      <c r="AB1123" t="s">
        <v>2272</v>
      </c>
      <c r="AC1123" t="s">
        <v>162</v>
      </c>
      <c r="AD1123" t="s">
        <v>2272</v>
      </c>
      <c r="AF1123" t="s">
        <v>49</v>
      </c>
      <c r="AL1123" t="s">
        <v>49</v>
      </c>
      <c r="AM1123" t="s">
        <v>1263</v>
      </c>
      <c r="AN1123" t="s">
        <v>166</v>
      </c>
      <c r="AQ1123" s="5">
        <v>0</v>
      </c>
    </row>
    <row r="1124" spans="1:43" x14ac:dyDescent="0.2">
      <c r="A1124" t="s">
        <v>758</v>
      </c>
      <c r="B1124" t="s">
        <v>759</v>
      </c>
      <c r="C1124">
        <v>2019</v>
      </c>
      <c r="D1124" t="s">
        <v>44</v>
      </c>
      <c r="F1124" t="s">
        <v>81</v>
      </c>
      <c r="G1124" t="s">
        <v>86</v>
      </c>
      <c r="H1124" t="s">
        <v>96</v>
      </c>
      <c r="J1124">
        <v>0</v>
      </c>
      <c r="K1124" t="s">
        <v>101</v>
      </c>
      <c r="L1124">
        <v>6</v>
      </c>
      <c r="N1124" t="s">
        <v>124</v>
      </c>
      <c r="O1124" t="s">
        <v>124</v>
      </c>
      <c r="P1124" t="s">
        <v>279</v>
      </c>
      <c r="Q1124" s="1" t="s">
        <v>2292</v>
      </c>
      <c r="R1124" s="1" t="s">
        <v>124</v>
      </c>
      <c r="S1124" s="1" t="s">
        <v>124</v>
      </c>
      <c r="T1124" t="s">
        <v>396</v>
      </c>
      <c r="U1124" t="s">
        <v>760</v>
      </c>
      <c r="X1124" t="s">
        <v>161</v>
      </c>
      <c r="Y1124" t="s">
        <v>2272</v>
      </c>
      <c r="Z1124" t="s">
        <v>2272</v>
      </c>
      <c r="AA1124" t="s">
        <v>2272</v>
      </c>
      <c r="AB1124" t="s">
        <v>2272</v>
      </c>
      <c r="AC1124" t="s">
        <v>162</v>
      </c>
      <c r="AD1124" t="s">
        <v>2272</v>
      </c>
      <c r="AF1124" t="s">
        <v>49</v>
      </c>
      <c r="AL1124" t="s">
        <v>49</v>
      </c>
      <c r="AM1124" t="s">
        <v>1263</v>
      </c>
      <c r="AN1124" t="s">
        <v>166</v>
      </c>
      <c r="AQ1124" s="5">
        <v>0</v>
      </c>
    </row>
    <row r="1125" spans="1:43" x14ac:dyDescent="0.2">
      <c r="A1125" t="s">
        <v>758</v>
      </c>
      <c r="B1125" t="s">
        <v>759</v>
      </c>
      <c r="C1125">
        <v>2019</v>
      </c>
      <c r="D1125" t="s">
        <v>44</v>
      </c>
      <c r="F1125" t="s">
        <v>81</v>
      </c>
      <c r="G1125" t="s">
        <v>86</v>
      </c>
      <c r="H1125" t="s">
        <v>96</v>
      </c>
      <c r="J1125">
        <v>0</v>
      </c>
      <c r="K1125" t="s">
        <v>101</v>
      </c>
      <c r="L1125">
        <v>6</v>
      </c>
      <c r="N1125" t="s">
        <v>760</v>
      </c>
      <c r="O1125" t="s">
        <v>760</v>
      </c>
      <c r="P1125" t="s">
        <v>761</v>
      </c>
      <c r="Q1125" s="1" t="s">
        <v>2292</v>
      </c>
      <c r="R1125" s="1" t="s">
        <v>760</v>
      </c>
      <c r="S1125" s="1" t="s">
        <v>760</v>
      </c>
      <c r="T1125" t="s">
        <v>396</v>
      </c>
      <c r="U1125" t="s">
        <v>124</v>
      </c>
      <c r="X1125" t="s">
        <v>161</v>
      </c>
      <c r="Y1125" t="s">
        <v>2272</v>
      </c>
      <c r="Z1125" t="s">
        <v>2272</v>
      </c>
      <c r="AA1125" t="s">
        <v>2272</v>
      </c>
      <c r="AB1125" t="s">
        <v>2272</v>
      </c>
      <c r="AC1125" t="s">
        <v>162</v>
      </c>
      <c r="AD1125" t="s">
        <v>2272</v>
      </c>
      <c r="AF1125" t="s">
        <v>49</v>
      </c>
      <c r="AL1125" t="s">
        <v>49</v>
      </c>
      <c r="AM1125" t="s">
        <v>2325</v>
      </c>
      <c r="AN1125" t="s">
        <v>166</v>
      </c>
      <c r="AQ1125" s="5">
        <v>0</v>
      </c>
    </row>
    <row r="1126" spans="1:43" x14ac:dyDescent="0.2">
      <c r="A1126" t="s">
        <v>758</v>
      </c>
      <c r="B1126" t="s">
        <v>759</v>
      </c>
      <c r="C1126">
        <v>2019</v>
      </c>
      <c r="D1126" t="s">
        <v>44</v>
      </c>
      <c r="F1126" t="s">
        <v>81</v>
      </c>
      <c r="G1126" t="s">
        <v>86</v>
      </c>
      <c r="H1126" t="s">
        <v>96</v>
      </c>
      <c r="J1126">
        <v>0</v>
      </c>
      <c r="K1126" t="s">
        <v>101</v>
      </c>
      <c r="L1126">
        <v>6</v>
      </c>
      <c r="N1126" t="s">
        <v>124</v>
      </c>
      <c r="O1126" t="s">
        <v>124</v>
      </c>
      <c r="P1126" t="s">
        <v>279</v>
      </c>
      <c r="Q1126" s="1" t="s">
        <v>2292</v>
      </c>
      <c r="R1126" s="1" t="s">
        <v>124</v>
      </c>
      <c r="S1126" s="1" t="s">
        <v>124</v>
      </c>
      <c r="T1126" t="s">
        <v>396</v>
      </c>
      <c r="U1126" t="s">
        <v>760</v>
      </c>
      <c r="X1126" t="s">
        <v>161</v>
      </c>
      <c r="Y1126" t="s">
        <v>2272</v>
      </c>
      <c r="Z1126" t="s">
        <v>2272</v>
      </c>
      <c r="AA1126" t="s">
        <v>2272</v>
      </c>
      <c r="AB1126" t="s">
        <v>2272</v>
      </c>
      <c r="AC1126" t="s">
        <v>162</v>
      </c>
      <c r="AD1126" t="s">
        <v>2272</v>
      </c>
      <c r="AF1126" t="s">
        <v>49</v>
      </c>
      <c r="AL1126" t="s">
        <v>49</v>
      </c>
      <c r="AM1126" t="s">
        <v>2325</v>
      </c>
      <c r="AN1126" t="s">
        <v>166</v>
      </c>
      <c r="AQ1126" s="5">
        <v>0</v>
      </c>
    </row>
    <row r="1127" spans="1:43" x14ac:dyDescent="0.2">
      <c r="A1127" t="s">
        <v>758</v>
      </c>
      <c r="B1127" t="s">
        <v>759</v>
      </c>
      <c r="C1127">
        <v>2019</v>
      </c>
      <c r="D1127" t="s">
        <v>44</v>
      </c>
      <c r="F1127" t="s">
        <v>81</v>
      </c>
      <c r="G1127" t="s">
        <v>86</v>
      </c>
      <c r="H1127" t="s">
        <v>96</v>
      </c>
      <c r="J1127">
        <v>0</v>
      </c>
      <c r="K1127" t="s">
        <v>101</v>
      </c>
      <c r="L1127">
        <v>6</v>
      </c>
      <c r="N1127" t="s">
        <v>760</v>
      </c>
      <c r="O1127" t="s">
        <v>760</v>
      </c>
      <c r="P1127" t="s">
        <v>761</v>
      </c>
      <c r="Q1127" s="1" t="s">
        <v>2292</v>
      </c>
      <c r="R1127" s="1" t="s">
        <v>760</v>
      </c>
      <c r="S1127" s="1" t="s">
        <v>760</v>
      </c>
      <c r="T1127" t="s">
        <v>396</v>
      </c>
      <c r="U1127" t="s">
        <v>124</v>
      </c>
      <c r="X1127" t="s">
        <v>161</v>
      </c>
      <c r="Y1127" t="s">
        <v>2272</v>
      </c>
      <c r="Z1127" t="s">
        <v>2272</v>
      </c>
      <c r="AA1127" t="s">
        <v>2272</v>
      </c>
      <c r="AB1127" t="s">
        <v>2272</v>
      </c>
      <c r="AC1127" t="s">
        <v>162</v>
      </c>
      <c r="AD1127" t="s">
        <v>2272</v>
      </c>
      <c r="AF1127" t="s">
        <v>49</v>
      </c>
      <c r="AK1127" t="s">
        <v>49</v>
      </c>
      <c r="AM1127" t="s">
        <v>2326</v>
      </c>
      <c r="AN1127" t="s">
        <v>166</v>
      </c>
      <c r="AQ1127" s="5">
        <v>0</v>
      </c>
    </row>
    <row r="1128" spans="1:43" x14ac:dyDescent="0.2">
      <c r="A1128" t="s">
        <v>758</v>
      </c>
      <c r="B1128" t="s">
        <v>759</v>
      </c>
      <c r="C1128">
        <v>2019</v>
      </c>
      <c r="D1128" t="s">
        <v>44</v>
      </c>
      <c r="F1128" t="s">
        <v>81</v>
      </c>
      <c r="G1128" t="s">
        <v>86</v>
      </c>
      <c r="H1128" t="s">
        <v>96</v>
      </c>
      <c r="J1128">
        <v>0</v>
      </c>
      <c r="K1128" t="s">
        <v>101</v>
      </c>
      <c r="L1128">
        <v>6</v>
      </c>
      <c r="N1128" t="s">
        <v>124</v>
      </c>
      <c r="O1128" t="s">
        <v>124</v>
      </c>
      <c r="P1128" t="s">
        <v>279</v>
      </c>
      <c r="Q1128" s="1" t="s">
        <v>2292</v>
      </c>
      <c r="R1128" s="1" t="s">
        <v>124</v>
      </c>
      <c r="S1128" s="1" t="s">
        <v>124</v>
      </c>
      <c r="T1128" t="s">
        <v>396</v>
      </c>
      <c r="U1128" t="s">
        <v>760</v>
      </c>
      <c r="X1128" t="s">
        <v>161</v>
      </c>
      <c r="Y1128" t="s">
        <v>2272</v>
      </c>
      <c r="Z1128" t="s">
        <v>2272</v>
      </c>
      <c r="AA1128" t="s">
        <v>2272</v>
      </c>
      <c r="AB1128" t="s">
        <v>2272</v>
      </c>
      <c r="AC1128" t="s">
        <v>162</v>
      </c>
      <c r="AD1128" t="s">
        <v>2272</v>
      </c>
      <c r="AF1128" t="s">
        <v>49</v>
      </c>
      <c r="AK1128" t="s">
        <v>49</v>
      </c>
      <c r="AM1128" t="s">
        <v>2326</v>
      </c>
      <c r="AN1128" t="s">
        <v>166</v>
      </c>
      <c r="AQ1128" s="5">
        <v>0</v>
      </c>
    </row>
    <row r="1129" spans="1:43" x14ac:dyDescent="0.2">
      <c r="A1129" t="s">
        <v>758</v>
      </c>
      <c r="B1129" t="s">
        <v>759</v>
      </c>
      <c r="C1129">
        <v>2019</v>
      </c>
      <c r="D1129" t="s">
        <v>44</v>
      </c>
      <c r="F1129" t="s">
        <v>81</v>
      </c>
      <c r="G1129" t="s">
        <v>86</v>
      </c>
      <c r="H1129" t="s">
        <v>96</v>
      </c>
      <c r="J1129">
        <v>0</v>
      </c>
      <c r="K1129" t="s">
        <v>101</v>
      </c>
      <c r="L1129">
        <v>6</v>
      </c>
      <c r="N1129" t="s">
        <v>760</v>
      </c>
      <c r="O1129" t="s">
        <v>760</v>
      </c>
      <c r="P1129" t="s">
        <v>761</v>
      </c>
      <c r="Q1129" s="1" t="s">
        <v>2292</v>
      </c>
      <c r="R1129" s="1" t="s">
        <v>760</v>
      </c>
      <c r="S1129" s="1" t="s">
        <v>760</v>
      </c>
      <c r="T1129" t="s">
        <v>396</v>
      </c>
      <c r="U1129" t="s">
        <v>124</v>
      </c>
      <c r="X1129" t="s">
        <v>161</v>
      </c>
      <c r="Y1129" t="s">
        <v>2272</v>
      </c>
      <c r="Z1129" t="s">
        <v>2272</v>
      </c>
      <c r="AA1129" t="s">
        <v>2272</v>
      </c>
      <c r="AB1129" t="s">
        <v>2272</v>
      </c>
      <c r="AC1129" t="s">
        <v>162</v>
      </c>
      <c r="AD1129" t="s">
        <v>2272</v>
      </c>
      <c r="AF1129" t="s">
        <v>49</v>
      </c>
      <c r="AL1129" t="s">
        <v>49</v>
      </c>
      <c r="AM1129" t="s">
        <v>2327</v>
      </c>
      <c r="AN1129" t="s">
        <v>166</v>
      </c>
      <c r="AQ1129" s="5">
        <v>2</v>
      </c>
    </row>
    <row r="1130" spans="1:43" x14ac:dyDescent="0.2">
      <c r="A1130" t="s">
        <v>758</v>
      </c>
      <c r="B1130" t="s">
        <v>759</v>
      </c>
      <c r="C1130">
        <v>2019</v>
      </c>
      <c r="D1130" t="s">
        <v>811</v>
      </c>
      <c r="F1130" t="s">
        <v>81</v>
      </c>
      <c r="G1130" t="s">
        <v>86</v>
      </c>
      <c r="H1130" t="s">
        <v>96</v>
      </c>
      <c r="I1130" t="s">
        <v>762</v>
      </c>
      <c r="J1130">
        <f t="shared" ref="J1130:J1140" si="30">(12+9)/12</f>
        <v>1.75</v>
      </c>
      <c r="K1130" t="s">
        <v>102</v>
      </c>
      <c r="L1130">
        <v>10.5</v>
      </c>
      <c r="N1130" t="s">
        <v>124</v>
      </c>
      <c r="O1130" t="s">
        <v>124</v>
      </c>
      <c r="P1130" t="s">
        <v>279</v>
      </c>
      <c r="Q1130" s="1" t="s">
        <v>2292</v>
      </c>
      <c r="R1130" s="1" t="s">
        <v>124</v>
      </c>
      <c r="S1130" s="1" t="s">
        <v>124</v>
      </c>
      <c r="T1130" t="s">
        <v>396</v>
      </c>
      <c r="U1130" t="s">
        <v>760</v>
      </c>
      <c r="X1130" t="s">
        <v>161</v>
      </c>
      <c r="Y1130" t="s">
        <v>2272</v>
      </c>
      <c r="Z1130" t="s">
        <v>2272</v>
      </c>
      <c r="AA1130" t="s">
        <v>2272</v>
      </c>
      <c r="AB1130" t="s">
        <v>2272</v>
      </c>
      <c r="AC1130" t="s">
        <v>162</v>
      </c>
      <c r="AD1130" t="s">
        <v>2272</v>
      </c>
      <c r="AF1130" t="s">
        <v>49</v>
      </c>
      <c r="AL1130" t="s">
        <v>49</v>
      </c>
      <c r="AM1130" t="s">
        <v>2327</v>
      </c>
      <c r="AN1130" t="s">
        <v>166</v>
      </c>
      <c r="AQ1130" s="5">
        <v>1</v>
      </c>
    </row>
    <row r="1131" spans="1:43" x14ac:dyDescent="0.2">
      <c r="A1131" t="s">
        <v>758</v>
      </c>
      <c r="B1131" t="s">
        <v>759</v>
      </c>
      <c r="C1131">
        <v>2019</v>
      </c>
      <c r="D1131" t="s">
        <v>811</v>
      </c>
      <c r="F1131" t="s">
        <v>81</v>
      </c>
      <c r="G1131" t="s">
        <v>86</v>
      </c>
      <c r="H1131" t="s">
        <v>96</v>
      </c>
      <c r="I1131" t="s">
        <v>762</v>
      </c>
      <c r="J1131">
        <f t="shared" si="30"/>
        <v>1.75</v>
      </c>
      <c r="K1131" t="s">
        <v>102</v>
      </c>
      <c r="L1131">
        <v>10.5</v>
      </c>
      <c r="M1131">
        <v>1</v>
      </c>
      <c r="N1131" t="s">
        <v>760</v>
      </c>
      <c r="O1131" t="s">
        <v>760</v>
      </c>
      <c r="P1131" t="s">
        <v>761</v>
      </c>
      <c r="Q1131" s="1" t="s">
        <v>2292</v>
      </c>
      <c r="R1131" s="1" t="s">
        <v>760</v>
      </c>
      <c r="S1131" s="1" t="s">
        <v>760</v>
      </c>
      <c r="T1131" t="s">
        <v>396</v>
      </c>
      <c r="U1131" t="s">
        <v>124</v>
      </c>
      <c r="X1131" t="s">
        <v>161</v>
      </c>
      <c r="Y1131" t="s">
        <v>2272</v>
      </c>
      <c r="Z1131" t="s">
        <v>2272</v>
      </c>
      <c r="AA1131" t="s">
        <v>2272</v>
      </c>
      <c r="AB1131" t="s">
        <v>2272</v>
      </c>
      <c r="AC1131" t="s">
        <v>162</v>
      </c>
      <c r="AD1131" t="s">
        <v>2272</v>
      </c>
      <c r="AF1131" t="s">
        <v>49</v>
      </c>
      <c r="AL1131" t="s">
        <v>49</v>
      </c>
      <c r="AM1131" t="s">
        <v>1130</v>
      </c>
      <c r="AN1131" t="s">
        <v>166</v>
      </c>
      <c r="AQ1131" s="5">
        <v>1</v>
      </c>
    </row>
    <row r="1132" spans="1:43" x14ac:dyDescent="0.2">
      <c r="A1132" t="s">
        <v>758</v>
      </c>
      <c r="B1132" t="s">
        <v>759</v>
      </c>
      <c r="C1132">
        <v>2019</v>
      </c>
      <c r="D1132" t="s">
        <v>811</v>
      </c>
      <c r="F1132" t="s">
        <v>81</v>
      </c>
      <c r="G1132" t="s">
        <v>86</v>
      </c>
      <c r="H1132" t="s">
        <v>96</v>
      </c>
      <c r="I1132" t="s">
        <v>762</v>
      </c>
      <c r="J1132">
        <f t="shared" si="30"/>
        <v>1.75</v>
      </c>
      <c r="K1132" t="s">
        <v>102</v>
      </c>
      <c r="L1132">
        <v>10.5</v>
      </c>
      <c r="M1132">
        <v>1</v>
      </c>
      <c r="N1132" t="s">
        <v>124</v>
      </c>
      <c r="O1132" t="s">
        <v>124</v>
      </c>
      <c r="P1132" t="s">
        <v>279</v>
      </c>
      <c r="Q1132" s="1" t="s">
        <v>2292</v>
      </c>
      <c r="R1132" s="1" t="s">
        <v>124</v>
      </c>
      <c r="S1132" s="1" t="s">
        <v>124</v>
      </c>
      <c r="T1132" t="s">
        <v>396</v>
      </c>
      <c r="U1132" t="s">
        <v>760</v>
      </c>
      <c r="X1132" t="s">
        <v>161</v>
      </c>
      <c r="Y1132" t="s">
        <v>2272</v>
      </c>
      <c r="Z1132" t="s">
        <v>2272</v>
      </c>
      <c r="AA1132" t="s">
        <v>2272</v>
      </c>
      <c r="AB1132" t="s">
        <v>2272</v>
      </c>
      <c r="AC1132" t="s">
        <v>162</v>
      </c>
      <c r="AD1132" t="s">
        <v>2272</v>
      </c>
      <c r="AF1132" t="s">
        <v>49</v>
      </c>
      <c r="AL1132" t="s">
        <v>49</v>
      </c>
      <c r="AM1132" t="s">
        <v>1130</v>
      </c>
      <c r="AN1132" t="s">
        <v>166</v>
      </c>
      <c r="AQ1132" s="5">
        <v>2</v>
      </c>
    </row>
    <row r="1133" spans="1:43" x14ac:dyDescent="0.2">
      <c r="A1133" t="s">
        <v>758</v>
      </c>
      <c r="B1133" t="s">
        <v>759</v>
      </c>
      <c r="C1133">
        <v>2019</v>
      </c>
      <c r="D1133" t="s">
        <v>811</v>
      </c>
      <c r="F1133" t="s">
        <v>81</v>
      </c>
      <c r="G1133" t="s">
        <v>86</v>
      </c>
      <c r="H1133" t="s">
        <v>96</v>
      </c>
      <c r="I1133" t="s">
        <v>762</v>
      </c>
      <c r="J1133">
        <f t="shared" si="30"/>
        <v>1.75</v>
      </c>
      <c r="K1133" t="s">
        <v>102</v>
      </c>
      <c r="L1133">
        <v>10.5</v>
      </c>
      <c r="M1133">
        <v>1</v>
      </c>
      <c r="N1133" t="s">
        <v>760</v>
      </c>
      <c r="O1133" t="s">
        <v>760</v>
      </c>
      <c r="P1133" t="s">
        <v>761</v>
      </c>
      <c r="Q1133" s="1" t="s">
        <v>2292</v>
      </c>
      <c r="R1133" s="1" t="s">
        <v>760</v>
      </c>
      <c r="S1133" s="1" t="s">
        <v>760</v>
      </c>
      <c r="T1133" t="s">
        <v>396</v>
      </c>
      <c r="U1133" t="s">
        <v>124</v>
      </c>
      <c r="X1133" t="s">
        <v>161</v>
      </c>
      <c r="Y1133" t="s">
        <v>2272</v>
      </c>
      <c r="Z1133" t="s">
        <v>2272</v>
      </c>
      <c r="AA1133" t="s">
        <v>2272</v>
      </c>
      <c r="AB1133" t="s">
        <v>2272</v>
      </c>
      <c r="AC1133" t="s">
        <v>162</v>
      </c>
      <c r="AD1133" t="s">
        <v>2272</v>
      </c>
      <c r="AF1133" t="s">
        <v>49</v>
      </c>
      <c r="AL1133" t="s">
        <v>49</v>
      </c>
      <c r="AM1133" t="s">
        <v>1263</v>
      </c>
      <c r="AN1133" t="s">
        <v>166</v>
      </c>
      <c r="AQ1133" s="5">
        <v>2</v>
      </c>
    </row>
    <row r="1134" spans="1:43" x14ac:dyDescent="0.2">
      <c r="A1134" t="s">
        <v>758</v>
      </c>
      <c r="B1134" t="s">
        <v>759</v>
      </c>
      <c r="C1134">
        <v>2019</v>
      </c>
      <c r="D1134" t="s">
        <v>811</v>
      </c>
      <c r="F1134" t="s">
        <v>81</v>
      </c>
      <c r="G1134" t="s">
        <v>86</v>
      </c>
      <c r="H1134" t="s">
        <v>96</v>
      </c>
      <c r="I1134" t="s">
        <v>762</v>
      </c>
      <c r="J1134">
        <f t="shared" si="30"/>
        <v>1.75</v>
      </c>
      <c r="K1134" t="s">
        <v>102</v>
      </c>
      <c r="L1134">
        <v>10.5</v>
      </c>
      <c r="M1134">
        <v>1</v>
      </c>
      <c r="N1134" t="s">
        <v>124</v>
      </c>
      <c r="O1134" t="s">
        <v>124</v>
      </c>
      <c r="P1134" t="s">
        <v>279</v>
      </c>
      <c r="Q1134" s="1" t="s">
        <v>2292</v>
      </c>
      <c r="R1134" s="1" t="s">
        <v>124</v>
      </c>
      <c r="S1134" s="1" t="s">
        <v>124</v>
      </c>
      <c r="T1134" t="s">
        <v>396</v>
      </c>
      <c r="U1134" t="s">
        <v>760</v>
      </c>
      <c r="X1134" t="s">
        <v>161</v>
      </c>
      <c r="Y1134" t="s">
        <v>2272</v>
      </c>
      <c r="Z1134" t="s">
        <v>2272</v>
      </c>
      <c r="AA1134" t="s">
        <v>2272</v>
      </c>
      <c r="AB1134" t="s">
        <v>2272</v>
      </c>
      <c r="AC1134" t="s">
        <v>162</v>
      </c>
      <c r="AD1134" t="s">
        <v>2272</v>
      </c>
      <c r="AF1134" t="s">
        <v>49</v>
      </c>
      <c r="AL1134" t="s">
        <v>49</v>
      </c>
      <c r="AM1134" t="s">
        <v>1263</v>
      </c>
      <c r="AN1134" t="s">
        <v>166</v>
      </c>
      <c r="AQ1134" s="5">
        <v>1</v>
      </c>
    </row>
    <row r="1135" spans="1:43" x14ac:dyDescent="0.2">
      <c r="A1135" t="s">
        <v>758</v>
      </c>
      <c r="B1135" t="s">
        <v>759</v>
      </c>
      <c r="C1135">
        <v>2019</v>
      </c>
      <c r="D1135" t="s">
        <v>811</v>
      </c>
      <c r="F1135" t="s">
        <v>81</v>
      </c>
      <c r="G1135" t="s">
        <v>86</v>
      </c>
      <c r="H1135" t="s">
        <v>96</v>
      </c>
      <c r="I1135" t="s">
        <v>762</v>
      </c>
      <c r="J1135">
        <f t="shared" si="30"/>
        <v>1.75</v>
      </c>
      <c r="K1135" t="s">
        <v>102</v>
      </c>
      <c r="L1135">
        <v>10.5</v>
      </c>
      <c r="M1135">
        <v>1</v>
      </c>
      <c r="N1135" t="s">
        <v>760</v>
      </c>
      <c r="O1135" t="s">
        <v>760</v>
      </c>
      <c r="P1135" t="s">
        <v>761</v>
      </c>
      <c r="Q1135" s="1" t="s">
        <v>2292</v>
      </c>
      <c r="R1135" s="1" t="s">
        <v>760</v>
      </c>
      <c r="S1135" s="1" t="s">
        <v>760</v>
      </c>
      <c r="T1135" t="s">
        <v>396</v>
      </c>
      <c r="U1135" t="s">
        <v>124</v>
      </c>
      <c r="X1135" t="s">
        <v>161</v>
      </c>
      <c r="Y1135" t="s">
        <v>2272</v>
      </c>
      <c r="Z1135" t="s">
        <v>2272</v>
      </c>
      <c r="AA1135" t="s">
        <v>2272</v>
      </c>
      <c r="AB1135" t="s">
        <v>2272</v>
      </c>
      <c r="AC1135" t="s">
        <v>162</v>
      </c>
      <c r="AD1135" t="s">
        <v>2272</v>
      </c>
      <c r="AF1135" t="s">
        <v>49</v>
      </c>
      <c r="AL1135" t="s">
        <v>49</v>
      </c>
      <c r="AM1135" t="s">
        <v>2325</v>
      </c>
      <c r="AN1135" t="s">
        <v>166</v>
      </c>
      <c r="AQ1135" s="5">
        <v>1</v>
      </c>
    </row>
    <row r="1136" spans="1:43" x14ac:dyDescent="0.2">
      <c r="A1136" t="s">
        <v>758</v>
      </c>
      <c r="B1136" t="s">
        <v>759</v>
      </c>
      <c r="C1136">
        <v>2019</v>
      </c>
      <c r="D1136" t="s">
        <v>811</v>
      </c>
      <c r="F1136" t="s">
        <v>81</v>
      </c>
      <c r="G1136" t="s">
        <v>86</v>
      </c>
      <c r="H1136" t="s">
        <v>96</v>
      </c>
      <c r="I1136" t="s">
        <v>762</v>
      </c>
      <c r="J1136">
        <f t="shared" si="30"/>
        <v>1.75</v>
      </c>
      <c r="K1136" t="s">
        <v>102</v>
      </c>
      <c r="L1136">
        <v>10.5</v>
      </c>
      <c r="M1136">
        <v>1</v>
      </c>
      <c r="N1136" t="s">
        <v>124</v>
      </c>
      <c r="O1136" t="s">
        <v>124</v>
      </c>
      <c r="P1136" t="s">
        <v>279</v>
      </c>
      <c r="Q1136" s="1" t="s">
        <v>2292</v>
      </c>
      <c r="R1136" s="1" t="s">
        <v>124</v>
      </c>
      <c r="S1136" s="1" t="s">
        <v>124</v>
      </c>
      <c r="T1136" t="s">
        <v>396</v>
      </c>
      <c r="U1136" t="s">
        <v>760</v>
      </c>
      <c r="X1136" t="s">
        <v>161</v>
      </c>
      <c r="Y1136" t="s">
        <v>2272</v>
      </c>
      <c r="Z1136" t="s">
        <v>2272</v>
      </c>
      <c r="AA1136" t="s">
        <v>2272</v>
      </c>
      <c r="AB1136" t="s">
        <v>2272</v>
      </c>
      <c r="AC1136" t="s">
        <v>162</v>
      </c>
      <c r="AD1136" t="s">
        <v>2272</v>
      </c>
      <c r="AF1136" t="s">
        <v>49</v>
      </c>
      <c r="AL1136" t="s">
        <v>49</v>
      </c>
      <c r="AM1136" t="s">
        <v>2325</v>
      </c>
      <c r="AN1136" t="s">
        <v>166</v>
      </c>
      <c r="AQ1136" s="5">
        <v>2</v>
      </c>
    </row>
    <row r="1137" spans="1:45" x14ac:dyDescent="0.2">
      <c r="A1137" t="s">
        <v>758</v>
      </c>
      <c r="B1137" t="s">
        <v>759</v>
      </c>
      <c r="C1137">
        <v>2019</v>
      </c>
      <c r="D1137" t="s">
        <v>811</v>
      </c>
      <c r="F1137" t="s">
        <v>81</v>
      </c>
      <c r="G1137" t="s">
        <v>86</v>
      </c>
      <c r="H1137" t="s">
        <v>96</v>
      </c>
      <c r="I1137" t="s">
        <v>762</v>
      </c>
      <c r="J1137">
        <f t="shared" si="30"/>
        <v>1.75</v>
      </c>
      <c r="K1137" t="s">
        <v>102</v>
      </c>
      <c r="L1137">
        <v>10.5</v>
      </c>
      <c r="M1137">
        <v>1</v>
      </c>
      <c r="N1137" t="s">
        <v>760</v>
      </c>
      <c r="O1137" t="s">
        <v>760</v>
      </c>
      <c r="P1137" t="s">
        <v>761</v>
      </c>
      <c r="Q1137" s="1" t="s">
        <v>2292</v>
      </c>
      <c r="R1137" s="1" t="s">
        <v>760</v>
      </c>
      <c r="S1137" s="1" t="s">
        <v>760</v>
      </c>
      <c r="T1137" t="s">
        <v>396</v>
      </c>
      <c r="U1137" t="s">
        <v>124</v>
      </c>
      <c r="X1137" t="s">
        <v>161</v>
      </c>
      <c r="Y1137" t="s">
        <v>2272</v>
      </c>
      <c r="Z1137" t="s">
        <v>2272</v>
      </c>
      <c r="AA1137" t="s">
        <v>2272</v>
      </c>
      <c r="AB1137" t="s">
        <v>2272</v>
      </c>
      <c r="AC1137" t="s">
        <v>162</v>
      </c>
      <c r="AD1137" t="s">
        <v>2272</v>
      </c>
      <c r="AF1137" t="s">
        <v>49</v>
      </c>
      <c r="AK1137" t="s">
        <v>49</v>
      </c>
      <c r="AM1137" t="s">
        <v>2326</v>
      </c>
      <c r="AN1137" t="s">
        <v>166</v>
      </c>
      <c r="AQ1137" s="5">
        <v>2</v>
      </c>
    </row>
    <row r="1138" spans="1:45" x14ac:dyDescent="0.2">
      <c r="A1138" t="s">
        <v>758</v>
      </c>
      <c r="B1138" t="s">
        <v>759</v>
      </c>
      <c r="C1138">
        <v>2019</v>
      </c>
      <c r="D1138" t="s">
        <v>811</v>
      </c>
      <c r="F1138" t="s">
        <v>81</v>
      </c>
      <c r="G1138" t="s">
        <v>86</v>
      </c>
      <c r="H1138" t="s">
        <v>96</v>
      </c>
      <c r="I1138" t="s">
        <v>762</v>
      </c>
      <c r="J1138">
        <f t="shared" si="30"/>
        <v>1.75</v>
      </c>
      <c r="K1138" t="s">
        <v>102</v>
      </c>
      <c r="L1138">
        <v>10.5</v>
      </c>
      <c r="M1138">
        <v>1</v>
      </c>
      <c r="N1138" t="s">
        <v>124</v>
      </c>
      <c r="O1138" t="s">
        <v>124</v>
      </c>
      <c r="P1138" t="s">
        <v>279</v>
      </c>
      <c r="Q1138" s="1" t="s">
        <v>2292</v>
      </c>
      <c r="R1138" s="1" t="s">
        <v>124</v>
      </c>
      <c r="S1138" s="1" t="s">
        <v>124</v>
      </c>
      <c r="T1138" t="s">
        <v>396</v>
      </c>
      <c r="U1138" t="s">
        <v>760</v>
      </c>
      <c r="X1138" t="s">
        <v>161</v>
      </c>
      <c r="Y1138" t="s">
        <v>2272</v>
      </c>
      <c r="Z1138" t="s">
        <v>2272</v>
      </c>
      <c r="AA1138" t="s">
        <v>2272</v>
      </c>
      <c r="AB1138" t="s">
        <v>2272</v>
      </c>
      <c r="AC1138" t="s">
        <v>162</v>
      </c>
      <c r="AD1138" t="s">
        <v>2272</v>
      </c>
      <c r="AF1138" t="s">
        <v>49</v>
      </c>
      <c r="AK1138" t="s">
        <v>49</v>
      </c>
      <c r="AM1138" t="s">
        <v>2326</v>
      </c>
      <c r="AN1138" t="s">
        <v>166</v>
      </c>
      <c r="AQ1138" s="5">
        <v>1</v>
      </c>
    </row>
    <row r="1139" spans="1:45" x14ac:dyDescent="0.2">
      <c r="A1139" t="s">
        <v>758</v>
      </c>
      <c r="B1139" t="s">
        <v>759</v>
      </c>
      <c r="C1139">
        <v>2019</v>
      </c>
      <c r="D1139" t="s">
        <v>811</v>
      </c>
      <c r="F1139" t="s">
        <v>81</v>
      </c>
      <c r="G1139" t="s">
        <v>86</v>
      </c>
      <c r="H1139" t="s">
        <v>96</v>
      </c>
      <c r="I1139" t="s">
        <v>762</v>
      </c>
      <c r="J1139">
        <f t="shared" si="30"/>
        <v>1.75</v>
      </c>
      <c r="K1139" t="s">
        <v>102</v>
      </c>
      <c r="L1139">
        <v>10.5</v>
      </c>
      <c r="M1139">
        <v>1</v>
      </c>
      <c r="N1139" t="s">
        <v>760</v>
      </c>
      <c r="O1139" t="s">
        <v>760</v>
      </c>
      <c r="P1139" t="s">
        <v>761</v>
      </c>
      <c r="Q1139" s="1" t="s">
        <v>2292</v>
      </c>
      <c r="R1139" s="1" t="s">
        <v>760</v>
      </c>
      <c r="S1139" s="1" t="s">
        <v>760</v>
      </c>
      <c r="T1139" t="s">
        <v>396</v>
      </c>
      <c r="U1139" t="s">
        <v>124</v>
      </c>
      <c r="X1139" t="s">
        <v>161</v>
      </c>
      <c r="Y1139" t="s">
        <v>2272</v>
      </c>
      <c r="Z1139" t="s">
        <v>2272</v>
      </c>
      <c r="AA1139" t="s">
        <v>2272</v>
      </c>
      <c r="AB1139" t="s">
        <v>2272</v>
      </c>
      <c r="AC1139" t="s">
        <v>162</v>
      </c>
      <c r="AD1139" t="s">
        <v>2272</v>
      </c>
      <c r="AF1139" t="s">
        <v>49</v>
      </c>
      <c r="AL1139" t="s">
        <v>49</v>
      </c>
      <c r="AM1139" t="s">
        <v>2327</v>
      </c>
      <c r="AN1139" t="s">
        <v>166</v>
      </c>
      <c r="AQ1139" s="5">
        <v>2</v>
      </c>
    </row>
    <row r="1140" spans="1:45" x14ac:dyDescent="0.2">
      <c r="A1140" t="s">
        <v>758</v>
      </c>
      <c r="B1140" t="s">
        <v>759</v>
      </c>
      <c r="C1140">
        <v>2019</v>
      </c>
      <c r="D1140" t="s">
        <v>811</v>
      </c>
      <c r="F1140" t="s">
        <v>81</v>
      </c>
      <c r="G1140" t="s">
        <v>86</v>
      </c>
      <c r="H1140" t="s">
        <v>96</v>
      </c>
      <c r="I1140" t="s">
        <v>762</v>
      </c>
      <c r="J1140">
        <f t="shared" si="30"/>
        <v>1.75</v>
      </c>
      <c r="K1140" t="s">
        <v>102</v>
      </c>
      <c r="L1140">
        <v>10.5</v>
      </c>
      <c r="M1140">
        <v>1</v>
      </c>
      <c r="N1140" t="s">
        <v>124</v>
      </c>
      <c r="O1140" t="s">
        <v>124</v>
      </c>
      <c r="P1140" t="s">
        <v>279</v>
      </c>
      <c r="Q1140" s="1" t="s">
        <v>2292</v>
      </c>
      <c r="R1140" s="1" t="s">
        <v>124</v>
      </c>
      <c r="S1140" s="1" t="s">
        <v>124</v>
      </c>
      <c r="T1140" t="s">
        <v>396</v>
      </c>
      <c r="U1140" t="s">
        <v>760</v>
      </c>
      <c r="X1140" t="s">
        <v>161</v>
      </c>
      <c r="Y1140" t="s">
        <v>2272</v>
      </c>
      <c r="Z1140" t="s">
        <v>2272</v>
      </c>
      <c r="AA1140" t="s">
        <v>2272</v>
      </c>
      <c r="AB1140" t="s">
        <v>2272</v>
      </c>
      <c r="AC1140" t="s">
        <v>162</v>
      </c>
      <c r="AD1140" t="s">
        <v>2272</v>
      </c>
      <c r="AF1140" t="s">
        <v>49</v>
      </c>
      <c r="AL1140" t="s">
        <v>49</v>
      </c>
      <c r="AM1140" t="s">
        <v>2327</v>
      </c>
      <c r="AN1140" t="s">
        <v>166</v>
      </c>
      <c r="AQ1140" s="5">
        <v>1</v>
      </c>
    </row>
    <row r="1141" spans="1:45" x14ac:dyDescent="0.2">
      <c r="A1141" t="s">
        <v>767</v>
      </c>
      <c r="B1141" t="s">
        <v>768</v>
      </c>
      <c r="Q1141" s="1" t="s">
        <v>2272</v>
      </c>
      <c r="R1141" s="1" t="s">
        <v>2272</v>
      </c>
      <c r="S1141" s="1" t="s">
        <v>2272</v>
      </c>
      <c r="Y1141" t="s">
        <v>2272</v>
      </c>
      <c r="Z1141" t="s">
        <v>2272</v>
      </c>
      <c r="AA1141" t="s">
        <v>2272</v>
      </c>
      <c r="AB1141" t="s">
        <v>2272</v>
      </c>
      <c r="AD1141" t="s">
        <v>2272</v>
      </c>
      <c r="AR1141" t="s">
        <v>144</v>
      </c>
      <c r="AS1141" t="s">
        <v>2584</v>
      </c>
    </row>
    <row r="1142" spans="1:45" x14ac:dyDescent="0.2">
      <c r="A1142" t="s">
        <v>769</v>
      </c>
      <c r="B1142" t="s">
        <v>770</v>
      </c>
      <c r="C1142">
        <v>2019</v>
      </c>
      <c r="D1142" t="s">
        <v>811</v>
      </c>
      <c r="F1142" t="s">
        <v>81</v>
      </c>
      <c r="G1142" t="s">
        <v>91</v>
      </c>
      <c r="H1142" t="s">
        <v>96</v>
      </c>
      <c r="I1142">
        <v>2016</v>
      </c>
      <c r="J1142">
        <v>2.7E-2</v>
      </c>
      <c r="M1142">
        <f t="shared" ref="M1142:M1147" si="31">0.3*0.3</f>
        <v>0.09</v>
      </c>
      <c r="P1142" t="s">
        <v>2494</v>
      </c>
      <c r="Q1142" s="1" t="s">
        <v>2276</v>
      </c>
      <c r="R1142" s="1" t="s">
        <v>669</v>
      </c>
      <c r="S1142" s="1" t="s">
        <v>168</v>
      </c>
      <c r="X1142" t="s">
        <v>171</v>
      </c>
      <c r="Y1142" t="s">
        <v>2279</v>
      </c>
      <c r="Z1142" t="s">
        <v>2280</v>
      </c>
      <c r="AA1142" t="s">
        <v>2358</v>
      </c>
      <c r="AB1142" t="s">
        <v>2580</v>
      </c>
      <c r="AC1142" t="s">
        <v>152</v>
      </c>
      <c r="AD1142" t="s">
        <v>2278</v>
      </c>
      <c r="AF1142" t="s">
        <v>49</v>
      </c>
      <c r="AJ1142" t="s">
        <v>49</v>
      </c>
      <c r="AM1142" t="s">
        <v>197</v>
      </c>
      <c r="AN1142" t="s">
        <v>166</v>
      </c>
      <c r="AP1142" t="s">
        <v>157</v>
      </c>
    </row>
    <row r="1143" spans="1:45" x14ac:dyDescent="0.2">
      <c r="A1143" t="s">
        <v>769</v>
      </c>
      <c r="B1143" t="s">
        <v>770</v>
      </c>
      <c r="C1143">
        <v>2019</v>
      </c>
      <c r="D1143" t="s">
        <v>811</v>
      </c>
      <c r="F1143" t="s">
        <v>81</v>
      </c>
      <c r="G1143" t="s">
        <v>91</v>
      </c>
      <c r="H1143" t="s">
        <v>96</v>
      </c>
      <c r="I1143">
        <v>2016</v>
      </c>
      <c r="J1143">
        <v>2.7E-2</v>
      </c>
      <c r="M1143">
        <f t="shared" si="31"/>
        <v>0.09</v>
      </c>
      <c r="P1143" t="s">
        <v>2495</v>
      </c>
      <c r="Q1143" s="1" t="s">
        <v>2276</v>
      </c>
      <c r="R1143" s="1" t="s">
        <v>669</v>
      </c>
      <c r="S1143" s="1" t="s">
        <v>168</v>
      </c>
      <c r="X1143" t="s">
        <v>171</v>
      </c>
      <c r="Y1143" t="s">
        <v>2279</v>
      </c>
      <c r="Z1143" t="s">
        <v>2280</v>
      </c>
      <c r="AA1143" t="s">
        <v>2358</v>
      </c>
      <c r="AB1143" t="s">
        <v>2580</v>
      </c>
      <c r="AC1143" t="s">
        <v>152</v>
      </c>
      <c r="AD1143" t="s">
        <v>2278</v>
      </c>
      <c r="AF1143" t="s">
        <v>49</v>
      </c>
      <c r="AJ1143" t="s">
        <v>49</v>
      </c>
      <c r="AM1143" t="s">
        <v>197</v>
      </c>
      <c r="AN1143" t="s">
        <v>166</v>
      </c>
      <c r="AP1143" t="s">
        <v>157</v>
      </c>
    </row>
    <row r="1144" spans="1:45" x14ac:dyDescent="0.2">
      <c r="A1144" t="s">
        <v>769</v>
      </c>
      <c r="B1144" t="s">
        <v>770</v>
      </c>
      <c r="C1144">
        <v>2019</v>
      </c>
      <c r="D1144" t="s">
        <v>811</v>
      </c>
      <c r="F1144" t="s">
        <v>81</v>
      </c>
      <c r="G1144" t="s">
        <v>91</v>
      </c>
      <c r="H1144" t="s">
        <v>96</v>
      </c>
      <c r="I1144">
        <v>2016</v>
      </c>
      <c r="J1144">
        <v>2.7E-2</v>
      </c>
      <c r="M1144">
        <f t="shared" si="31"/>
        <v>0.09</v>
      </c>
      <c r="P1144" t="s">
        <v>2494</v>
      </c>
      <c r="Q1144" s="1" t="s">
        <v>2276</v>
      </c>
      <c r="R1144" s="1" t="s">
        <v>669</v>
      </c>
      <c r="S1144" s="1" t="s">
        <v>168</v>
      </c>
      <c r="X1144" t="s">
        <v>171</v>
      </c>
      <c r="Y1144" t="s">
        <v>2279</v>
      </c>
      <c r="Z1144" t="s">
        <v>2280</v>
      </c>
      <c r="AA1144" t="s">
        <v>2358</v>
      </c>
      <c r="AB1144" t="s">
        <v>2580</v>
      </c>
      <c r="AC1144" t="s">
        <v>152</v>
      </c>
      <c r="AD1144" t="s">
        <v>2278</v>
      </c>
      <c r="AF1144" t="s">
        <v>49</v>
      </c>
      <c r="AJ1144" t="s">
        <v>49</v>
      </c>
      <c r="AM1144" t="s">
        <v>197</v>
      </c>
      <c r="AN1144" t="s">
        <v>165</v>
      </c>
      <c r="AP1144" t="s">
        <v>49</v>
      </c>
    </row>
    <row r="1145" spans="1:45" x14ac:dyDescent="0.2">
      <c r="A1145" t="s">
        <v>769</v>
      </c>
      <c r="B1145" t="s">
        <v>770</v>
      </c>
      <c r="C1145">
        <v>2019</v>
      </c>
      <c r="D1145" t="s">
        <v>811</v>
      </c>
      <c r="F1145" t="s">
        <v>81</v>
      </c>
      <c r="G1145" t="s">
        <v>91</v>
      </c>
      <c r="H1145" t="s">
        <v>96</v>
      </c>
      <c r="I1145">
        <v>2016</v>
      </c>
      <c r="J1145">
        <v>2.7E-2</v>
      </c>
      <c r="M1145">
        <f t="shared" si="31"/>
        <v>0.09</v>
      </c>
      <c r="P1145" t="s">
        <v>2495</v>
      </c>
      <c r="Q1145" s="1" t="s">
        <v>2276</v>
      </c>
      <c r="R1145" s="1" t="s">
        <v>669</v>
      </c>
      <c r="S1145" s="1" t="s">
        <v>168</v>
      </c>
      <c r="X1145" t="s">
        <v>171</v>
      </c>
      <c r="Y1145" t="s">
        <v>2279</v>
      </c>
      <c r="Z1145" t="s">
        <v>2280</v>
      </c>
      <c r="AA1145" t="s">
        <v>2358</v>
      </c>
      <c r="AB1145" t="s">
        <v>2580</v>
      </c>
      <c r="AC1145" t="s">
        <v>152</v>
      </c>
      <c r="AD1145" t="s">
        <v>2278</v>
      </c>
      <c r="AF1145" t="s">
        <v>49</v>
      </c>
      <c r="AJ1145" t="s">
        <v>49</v>
      </c>
      <c r="AM1145" t="s">
        <v>197</v>
      </c>
      <c r="AN1145" t="s">
        <v>165</v>
      </c>
      <c r="AP1145" t="s">
        <v>49</v>
      </c>
    </row>
    <row r="1146" spans="1:45" x14ac:dyDescent="0.2">
      <c r="A1146" t="s">
        <v>769</v>
      </c>
      <c r="B1146" t="s">
        <v>770</v>
      </c>
      <c r="C1146">
        <v>2019</v>
      </c>
      <c r="D1146" t="s">
        <v>811</v>
      </c>
      <c r="F1146" t="s">
        <v>81</v>
      </c>
      <c r="G1146" t="s">
        <v>91</v>
      </c>
      <c r="H1146" t="s">
        <v>96</v>
      </c>
      <c r="I1146">
        <v>2016</v>
      </c>
      <c r="J1146">
        <v>2.7E-2</v>
      </c>
      <c r="M1146">
        <f t="shared" si="31"/>
        <v>0.09</v>
      </c>
      <c r="P1146" t="s">
        <v>2494</v>
      </c>
      <c r="Q1146" s="1" t="s">
        <v>2276</v>
      </c>
      <c r="R1146" s="1" t="s">
        <v>669</v>
      </c>
      <c r="S1146" s="1" t="s">
        <v>168</v>
      </c>
      <c r="T1146" t="s">
        <v>396</v>
      </c>
      <c r="X1146" t="s">
        <v>161</v>
      </c>
      <c r="Y1146" t="s">
        <v>2272</v>
      </c>
      <c r="Z1146" t="s">
        <v>2272</v>
      </c>
      <c r="AA1146" t="s">
        <v>2272</v>
      </c>
      <c r="AB1146" t="s">
        <v>2272</v>
      </c>
      <c r="AC1146" t="s">
        <v>162</v>
      </c>
      <c r="AD1146" t="s">
        <v>2272</v>
      </c>
      <c r="AF1146" t="s">
        <v>49</v>
      </c>
      <c r="AJ1146" t="s">
        <v>49</v>
      </c>
      <c r="AM1146" t="s">
        <v>197</v>
      </c>
      <c r="AN1146" t="s">
        <v>166</v>
      </c>
      <c r="AP1146" t="s">
        <v>51</v>
      </c>
    </row>
    <row r="1147" spans="1:45" x14ac:dyDescent="0.2">
      <c r="A1147" t="s">
        <v>769</v>
      </c>
      <c r="B1147" t="s">
        <v>770</v>
      </c>
      <c r="C1147">
        <v>2019</v>
      </c>
      <c r="D1147" t="s">
        <v>811</v>
      </c>
      <c r="F1147" t="s">
        <v>81</v>
      </c>
      <c r="G1147" t="s">
        <v>91</v>
      </c>
      <c r="H1147" t="s">
        <v>96</v>
      </c>
      <c r="I1147">
        <v>2016</v>
      </c>
      <c r="J1147">
        <v>2.7E-2</v>
      </c>
      <c r="M1147">
        <f t="shared" si="31"/>
        <v>0.09</v>
      </c>
      <c r="P1147" t="s">
        <v>2495</v>
      </c>
      <c r="Q1147" s="1" t="s">
        <v>2276</v>
      </c>
      <c r="R1147" s="1" t="s">
        <v>669</v>
      </c>
      <c r="S1147" s="1" t="s">
        <v>168</v>
      </c>
      <c r="T1147" t="s">
        <v>396</v>
      </c>
      <c r="X1147" t="s">
        <v>161</v>
      </c>
      <c r="Y1147" t="s">
        <v>2272</v>
      </c>
      <c r="Z1147" t="s">
        <v>2272</v>
      </c>
      <c r="AA1147" t="s">
        <v>2272</v>
      </c>
      <c r="AB1147" t="s">
        <v>2272</v>
      </c>
      <c r="AC1147" t="s">
        <v>162</v>
      </c>
      <c r="AD1147" t="s">
        <v>2272</v>
      </c>
      <c r="AF1147" t="s">
        <v>49</v>
      </c>
      <c r="AJ1147" t="s">
        <v>49</v>
      </c>
      <c r="AM1147" t="s">
        <v>197</v>
      </c>
      <c r="AN1147" t="s">
        <v>166</v>
      </c>
      <c r="AP1147" t="s">
        <v>51</v>
      </c>
    </row>
    <row r="1148" spans="1:45" x14ac:dyDescent="0.2">
      <c r="A1148" t="s">
        <v>771</v>
      </c>
      <c r="B1148" t="s">
        <v>772</v>
      </c>
      <c r="C1148">
        <v>2019</v>
      </c>
      <c r="D1148" t="s">
        <v>44</v>
      </c>
      <c r="F1148" t="s">
        <v>638</v>
      </c>
      <c r="G1148" t="s">
        <v>90</v>
      </c>
      <c r="H1148" t="s">
        <v>350</v>
      </c>
      <c r="I1148">
        <v>2016</v>
      </c>
      <c r="J1148">
        <f t="shared" ref="J1148:J1153" si="32">9/12</f>
        <v>0.75</v>
      </c>
      <c r="K1148" t="s">
        <v>102</v>
      </c>
      <c r="M1148">
        <v>7</v>
      </c>
      <c r="N1148" t="s">
        <v>120</v>
      </c>
      <c r="O1148" t="s">
        <v>216</v>
      </c>
      <c r="P1148" t="s">
        <v>777</v>
      </c>
      <c r="Q1148" s="1" t="s">
        <v>2276</v>
      </c>
      <c r="R1148" s="1" t="s">
        <v>669</v>
      </c>
      <c r="S1148" s="1" t="s">
        <v>168</v>
      </c>
      <c r="X1148" t="s">
        <v>773</v>
      </c>
      <c r="Y1148" t="s">
        <v>2273</v>
      </c>
      <c r="Z1148" t="s">
        <v>249</v>
      </c>
      <c r="AA1148" t="s">
        <v>2274</v>
      </c>
      <c r="AB1148" t="s">
        <v>2300</v>
      </c>
      <c r="AC1148" t="s">
        <v>152</v>
      </c>
      <c r="AD1148" t="s">
        <v>137</v>
      </c>
      <c r="AH1148" s="4" t="s">
        <v>49</v>
      </c>
      <c r="AL1148" t="s">
        <v>49</v>
      </c>
      <c r="AM1148" t="s">
        <v>778</v>
      </c>
      <c r="AN1148" t="s">
        <v>166</v>
      </c>
      <c r="AP1148" t="s">
        <v>51</v>
      </c>
      <c r="AR1148">
        <v>1</v>
      </c>
    </row>
    <row r="1149" spans="1:45" x14ac:dyDescent="0.2">
      <c r="A1149" t="s">
        <v>771</v>
      </c>
      <c r="B1149" t="s">
        <v>772</v>
      </c>
      <c r="C1149">
        <v>2019</v>
      </c>
      <c r="D1149" t="s">
        <v>44</v>
      </c>
      <c r="F1149" t="s">
        <v>638</v>
      </c>
      <c r="G1149" t="s">
        <v>90</v>
      </c>
      <c r="H1149" t="s">
        <v>350</v>
      </c>
      <c r="I1149">
        <v>2016</v>
      </c>
      <c r="J1149">
        <f t="shared" si="32"/>
        <v>0.75</v>
      </c>
      <c r="K1149" t="s">
        <v>102</v>
      </c>
      <c r="M1149">
        <v>7</v>
      </c>
      <c r="N1149" t="s">
        <v>120</v>
      </c>
      <c r="O1149" t="s">
        <v>216</v>
      </c>
      <c r="P1149" t="s">
        <v>777</v>
      </c>
      <c r="Q1149" s="1" t="s">
        <v>2276</v>
      </c>
      <c r="R1149" s="1" t="s">
        <v>669</v>
      </c>
      <c r="S1149" s="1" t="s">
        <v>168</v>
      </c>
      <c r="X1149" t="s">
        <v>779</v>
      </c>
      <c r="Y1149" t="s">
        <v>2273</v>
      </c>
      <c r="Z1149" t="s">
        <v>249</v>
      </c>
      <c r="AA1149" t="s">
        <v>2359</v>
      </c>
      <c r="AB1149" t="s">
        <v>1419</v>
      </c>
      <c r="AC1149" t="s">
        <v>152</v>
      </c>
      <c r="AD1149" t="s">
        <v>137</v>
      </c>
      <c r="AH1149" s="4" t="s">
        <v>49</v>
      </c>
      <c r="AL1149" t="s">
        <v>49</v>
      </c>
      <c r="AM1149" t="s">
        <v>778</v>
      </c>
      <c r="AN1149" t="s">
        <v>166</v>
      </c>
      <c r="AP1149" t="s">
        <v>157</v>
      </c>
      <c r="AR1149">
        <v>1</v>
      </c>
    </row>
    <row r="1150" spans="1:45" x14ac:dyDescent="0.2">
      <c r="A1150" t="s">
        <v>771</v>
      </c>
      <c r="B1150" t="s">
        <v>772</v>
      </c>
      <c r="C1150">
        <v>2019</v>
      </c>
      <c r="D1150" t="s">
        <v>44</v>
      </c>
      <c r="F1150" t="s">
        <v>638</v>
      </c>
      <c r="G1150" t="s">
        <v>90</v>
      </c>
      <c r="H1150" t="s">
        <v>350</v>
      </c>
      <c r="I1150">
        <v>2016</v>
      </c>
      <c r="J1150">
        <f t="shared" si="32"/>
        <v>0.75</v>
      </c>
      <c r="K1150" t="s">
        <v>102</v>
      </c>
      <c r="M1150">
        <v>7</v>
      </c>
      <c r="N1150" t="s">
        <v>120</v>
      </c>
      <c r="O1150" t="s">
        <v>216</v>
      </c>
      <c r="P1150" t="s">
        <v>777</v>
      </c>
      <c r="Q1150" s="1" t="s">
        <v>2276</v>
      </c>
      <c r="R1150" s="1" t="s">
        <v>669</v>
      </c>
      <c r="S1150" s="1" t="s">
        <v>168</v>
      </c>
      <c r="X1150" t="s">
        <v>774</v>
      </c>
      <c r="Y1150" t="s">
        <v>2273</v>
      </c>
      <c r="Z1150" t="s">
        <v>249</v>
      </c>
      <c r="AA1150" t="s">
        <v>2359</v>
      </c>
      <c r="AB1150" t="s">
        <v>1419</v>
      </c>
      <c r="AC1150" t="s">
        <v>152</v>
      </c>
      <c r="AD1150" t="s">
        <v>2288</v>
      </c>
      <c r="AH1150" s="4" t="s">
        <v>49</v>
      </c>
      <c r="AL1150" t="s">
        <v>49</v>
      </c>
      <c r="AM1150" t="s">
        <v>778</v>
      </c>
      <c r="AN1150" t="s">
        <v>166</v>
      </c>
      <c r="AP1150" t="s">
        <v>157</v>
      </c>
      <c r="AR1150">
        <v>1</v>
      </c>
    </row>
    <row r="1151" spans="1:45" x14ac:dyDescent="0.2">
      <c r="A1151" t="s">
        <v>771</v>
      </c>
      <c r="B1151" t="s">
        <v>772</v>
      </c>
      <c r="C1151">
        <v>2019</v>
      </c>
      <c r="D1151" t="s">
        <v>44</v>
      </c>
      <c r="F1151" t="s">
        <v>638</v>
      </c>
      <c r="G1151" t="s">
        <v>90</v>
      </c>
      <c r="H1151" t="s">
        <v>350</v>
      </c>
      <c r="I1151">
        <v>2016</v>
      </c>
      <c r="J1151">
        <f t="shared" si="32"/>
        <v>0.75</v>
      </c>
      <c r="K1151" t="s">
        <v>102</v>
      </c>
      <c r="M1151">
        <v>7</v>
      </c>
      <c r="N1151" t="s">
        <v>120</v>
      </c>
      <c r="O1151" t="s">
        <v>216</v>
      </c>
      <c r="P1151" t="s">
        <v>777</v>
      </c>
      <c r="Q1151" s="1" t="s">
        <v>2276</v>
      </c>
      <c r="R1151" s="1" t="s">
        <v>669</v>
      </c>
      <c r="S1151" s="1" t="s">
        <v>168</v>
      </c>
      <c r="X1151" t="s">
        <v>775</v>
      </c>
      <c r="Y1151" t="s">
        <v>2279</v>
      </c>
      <c r="Z1151" t="s">
        <v>2280</v>
      </c>
      <c r="AA1151" t="s">
        <v>2358</v>
      </c>
      <c r="AB1151" t="s">
        <v>2290</v>
      </c>
      <c r="AC1151" t="s">
        <v>152</v>
      </c>
      <c r="AD1151" t="s">
        <v>2278</v>
      </c>
      <c r="AH1151" s="4" t="s">
        <v>49</v>
      </c>
      <c r="AL1151" t="s">
        <v>49</v>
      </c>
      <c r="AM1151" t="s">
        <v>778</v>
      </c>
      <c r="AN1151" t="s">
        <v>166</v>
      </c>
      <c r="AP1151" t="s">
        <v>157</v>
      </c>
      <c r="AR1151">
        <v>1</v>
      </c>
    </row>
    <row r="1152" spans="1:45" x14ac:dyDescent="0.2">
      <c r="A1152" t="s">
        <v>771</v>
      </c>
      <c r="B1152" t="s">
        <v>772</v>
      </c>
      <c r="C1152">
        <v>2019</v>
      </c>
      <c r="D1152" t="s">
        <v>44</v>
      </c>
      <c r="F1152" t="s">
        <v>638</v>
      </c>
      <c r="G1152" t="s">
        <v>90</v>
      </c>
      <c r="H1152" t="s">
        <v>350</v>
      </c>
      <c r="I1152">
        <v>2016</v>
      </c>
      <c r="J1152">
        <f t="shared" si="32"/>
        <v>0.75</v>
      </c>
      <c r="K1152" t="s">
        <v>102</v>
      </c>
      <c r="M1152">
        <v>7</v>
      </c>
      <c r="N1152" t="s">
        <v>120</v>
      </c>
      <c r="O1152" t="s">
        <v>216</v>
      </c>
      <c r="P1152" t="s">
        <v>777</v>
      </c>
      <c r="Q1152" s="1" t="s">
        <v>2276</v>
      </c>
      <c r="R1152" s="1" t="s">
        <v>669</v>
      </c>
      <c r="S1152" s="1" t="s">
        <v>168</v>
      </c>
      <c r="X1152" t="s">
        <v>189</v>
      </c>
      <c r="Y1152" t="s">
        <v>2279</v>
      </c>
      <c r="Z1152" t="s">
        <v>2280</v>
      </c>
      <c r="AA1152" t="s">
        <v>2358</v>
      </c>
      <c r="AB1152" t="s">
        <v>189</v>
      </c>
      <c r="AC1152" t="s">
        <v>152</v>
      </c>
      <c r="AD1152" t="s">
        <v>2278</v>
      </c>
      <c r="AH1152" s="4" t="s">
        <v>49</v>
      </c>
      <c r="AL1152" t="s">
        <v>49</v>
      </c>
      <c r="AM1152" t="s">
        <v>778</v>
      </c>
      <c r="AN1152" t="s">
        <v>166</v>
      </c>
      <c r="AP1152" t="s">
        <v>157</v>
      </c>
      <c r="AR1152">
        <v>1</v>
      </c>
    </row>
    <row r="1153" spans="1:44" x14ac:dyDescent="0.2">
      <c r="A1153" t="s">
        <v>771</v>
      </c>
      <c r="B1153" t="s">
        <v>772</v>
      </c>
      <c r="C1153">
        <v>2019</v>
      </c>
      <c r="D1153" t="s">
        <v>44</v>
      </c>
      <c r="F1153" t="s">
        <v>638</v>
      </c>
      <c r="G1153" t="s">
        <v>90</v>
      </c>
      <c r="H1153" t="s">
        <v>350</v>
      </c>
      <c r="I1153">
        <v>2016</v>
      </c>
      <c r="J1153">
        <f t="shared" si="32"/>
        <v>0.75</v>
      </c>
      <c r="K1153" t="s">
        <v>102</v>
      </c>
      <c r="M1153">
        <v>7</v>
      </c>
      <c r="N1153" t="s">
        <v>120</v>
      </c>
      <c r="O1153" t="s">
        <v>216</v>
      </c>
      <c r="P1153" t="s">
        <v>777</v>
      </c>
      <c r="Q1153" s="1" t="s">
        <v>2276</v>
      </c>
      <c r="R1153" s="1" t="s">
        <v>669</v>
      </c>
      <c r="S1153" s="1" t="s">
        <v>168</v>
      </c>
      <c r="X1153" t="s">
        <v>776</v>
      </c>
      <c r="Y1153" t="s">
        <v>2279</v>
      </c>
      <c r="Z1153" t="s">
        <v>2280</v>
      </c>
      <c r="AA1153" t="s">
        <v>2286</v>
      </c>
      <c r="AB1153" t="s">
        <v>2287</v>
      </c>
      <c r="AC1153" t="s">
        <v>315</v>
      </c>
      <c r="AD1153" t="s">
        <v>2278</v>
      </c>
      <c r="AH1153" s="4" t="s">
        <v>49</v>
      </c>
      <c r="AL1153" t="s">
        <v>49</v>
      </c>
      <c r="AM1153" t="s">
        <v>778</v>
      </c>
      <c r="AN1153" t="s">
        <v>166</v>
      </c>
      <c r="AP1153" t="s">
        <v>157</v>
      </c>
      <c r="AR1153">
        <v>1</v>
      </c>
    </row>
    <row r="1154" spans="1:44" x14ac:dyDescent="0.2">
      <c r="A1154" t="s">
        <v>780</v>
      </c>
      <c r="B1154" t="s">
        <v>781</v>
      </c>
      <c r="C1154">
        <v>2019</v>
      </c>
      <c r="D1154" t="s">
        <v>44</v>
      </c>
      <c r="E1154" t="s">
        <v>50</v>
      </c>
      <c r="F1154" t="s">
        <v>710</v>
      </c>
      <c r="G1154" t="s">
        <v>86</v>
      </c>
      <c r="H1154" t="s">
        <v>96</v>
      </c>
      <c r="I1154" t="s">
        <v>614</v>
      </c>
      <c r="J1154">
        <v>0.92</v>
      </c>
      <c r="K1154" t="s">
        <v>109</v>
      </c>
      <c r="L1154">
        <v>30</v>
      </c>
      <c r="M1154">
        <v>1</v>
      </c>
      <c r="N1154" t="s">
        <v>466</v>
      </c>
      <c r="O1154" t="s">
        <v>466</v>
      </c>
      <c r="P1154" t="s">
        <v>467</v>
      </c>
      <c r="Q1154" s="1" t="s">
        <v>2281</v>
      </c>
      <c r="R1154" s="1" t="s">
        <v>2301</v>
      </c>
      <c r="S1154" s="1" t="s">
        <v>2302</v>
      </c>
      <c r="X1154" t="s">
        <v>211</v>
      </c>
      <c r="Y1154" t="s">
        <v>2279</v>
      </c>
      <c r="Z1154" t="s">
        <v>2280</v>
      </c>
      <c r="AA1154" t="s">
        <v>2358</v>
      </c>
      <c r="AB1154" t="s">
        <v>2290</v>
      </c>
      <c r="AC1154" t="s">
        <v>152</v>
      </c>
      <c r="AD1154" t="s">
        <v>2278</v>
      </c>
      <c r="AF1154" t="s">
        <v>49</v>
      </c>
      <c r="AI1154" t="s">
        <v>49</v>
      </c>
      <c r="AM1154" t="s">
        <v>202</v>
      </c>
      <c r="AN1154" t="s">
        <v>165</v>
      </c>
      <c r="AP1154" t="s">
        <v>51</v>
      </c>
    </row>
    <row r="1155" spans="1:44" x14ac:dyDescent="0.2">
      <c r="A1155" t="s">
        <v>780</v>
      </c>
      <c r="B1155" t="s">
        <v>781</v>
      </c>
      <c r="C1155">
        <v>2019</v>
      </c>
      <c r="D1155" t="s">
        <v>44</v>
      </c>
      <c r="E1155" t="s">
        <v>50</v>
      </c>
      <c r="F1155" t="s">
        <v>710</v>
      </c>
      <c r="G1155" t="s">
        <v>86</v>
      </c>
      <c r="H1155" t="s">
        <v>96</v>
      </c>
      <c r="I1155" t="s">
        <v>614</v>
      </c>
      <c r="J1155">
        <v>0.92</v>
      </c>
      <c r="K1155" t="s">
        <v>109</v>
      </c>
      <c r="L1155">
        <v>30</v>
      </c>
      <c r="M1155">
        <v>1</v>
      </c>
      <c r="N1155" t="s">
        <v>466</v>
      </c>
      <c r="O1155" t="s">
        <v>466</v>
      </c>
      <c r="P1155" t="s">
        <v>467</v>
      </c>
      <c r="Q1155" s="1" t="s">
        <v>2281</v>
      </c>
      <c r="R1155" s="1" t="s">
        <v>2301</v>
      </c>
      <c r="S1155" s="1" t="s">
        <v>2302</v>
      </c>
      <c r="X1155" t="s">
        <v>782</v>
      </c>
      <c r="Y1155" t="s">
        <v>2279</v>
      </c>
      <c r="Z1155" t="s">
        <v>2280</v>
      </c>
      <c r="AA1155" t="s">
        <v>2358</v>
      </c>
      <c r="AB1155" t="s">
        <v>2290</v>
      </c>
      <c r="AC1155" t="s">
        <v>152</v>
      </c>
      <c r="AD1155" t="s">
        <v>2278</v>
      </c>
      <c r="AE1155" t="s">
        <v>786</v>
      </c>
      <c r="AF1155" t="s">
        <v>49</v>
      </c>
      <c r="AI1155" t="s">
        <v>49</v>
      </c>
      <c r="AM1155" t="s">
        <v>202</v>
      </c>
      <c r="AN1155" t="s">
        <v>165</v>
      </c>
      <c r="AP1155" t="s">
        <v>49</v>
      </c>
    </row>
    <row r="1156" spans="1:44" x14ac:dyDescent="0.2">
      <c r="A1156" t="s">
        <v>780</v>
      </c>
      <c r="B1156" t="s">
        <v>781</v>
      </c>
      <c r="C1156">
        <v>2019</v>
      </c>
      <c r="D1156" t="s">
        <v>44</v>
      </c>
      <c r="E1156" t="s">
        <v>50</v>
      </c>
      <c r="F1156" t="s">
        <v>710</v>
      </c>
      <c r="G1156" t="s">
        <v>86</v>
      </c>
      <c r="H1156" t="s">
        <v>96</v>
      </c>
      <c r="I1156" t="s">
        <v>614</v>
      </c>
      <c r="J1156">
        <v>0.92</v>
      </c>
      <c r="K1156" t="s">
        <v>109</v>
      </c>
      <c r="L1156">
        <v>30</v>
      </c>
      <c r="M1156">
        <v>1</v>
      </c>
      <c r="N1156" t="s">
        <v>466</v>
      </c>
      <c r="O1156" t="s">
        <v>466</v>
      </c>
      <c r="P1156" t="s">
        <v>467</v>
      </c>
      <c r="Q1156" s="1" t="s">
        <v>2281</v>
      </c>
      <c r="R1156" s="1" t="s">
        <v>2301</v>
      </c>
      <c r="S1156" s="1" t="s">
        <v>2302</v>
      </c>
      <c r="X1156" t="s">
        <v>783</v>
      </c>
      <c r="Y1156" t="s">
        <v>2279</v>
      </c>
      <c r="Z1156" t="s">
        <v>2361</v>
      </c>
      <c r="AA1156" t="s">
        <v>2362</v>
      </c>
      <c r="AB1156" t="s">
        <v>2296</v>
      </c>
      <c r="AC1156" t="s">
        <v>152</v>
      </c>
      <c r="AD1156" t="s">
        <v>2278</v>
      </c>
      <c r="AE1156" t="s">
        <v>786</v>
      </c>
      <c r="AF1156" t="s">
        <v>49</v>
      </c>
      <c r="AI1156" t="s">
        <v>49</v>
      </c>
      <c r="AM1156" t="s">
        <v>202</v>
      </c>
      <c r="AN1156" t="s">
        <v>165</v>
      </c>
      <c r="AP1156" t="s">
        <v>49</v>
      </c>
    </row>
    <row r="1157" spans="1:44" x14ac:dyDescent="0.2">
      <c r="A1157" t="s">
        <v>780</v>
      </c>
      <c r="B1157" t="s">
        <v>781</v>
      </c>
      <c r="C1157">
        <v>2019</v>
      </c>
      <c r="D1157" t="s">
        <v>44</v>
      </c>
      <c r="E1157" t="s">
        <v>50</v>
      </c>
      <c r="F1157" t="s">
        <v>710</v>
      </c>
      <c r="G1157" t="s">
        <v>86</v>
      </c>
      <c r="H1157" t="s">
        <v>96</v>
      </c>
      <c r="I1157" t="s">
        <v>614</v>
      </c>
      <c r="J1157">
        <v>0.92</v>
      </c>
      <c r="K1157" t="s">
        <v>109</v>
      </c>
      <c r="L1157">
        <v>30</v>
      </c>
      <c r="M1157">
        <v>1</v>
      </c>
      <c r="N1157" t="s">
        <v>466</v>
      </c>
      <c r="O1157" t="s">
        <v>466</v>
      </c>
      <c r="P1157" t="s">
        <v>467</v>
      </c>
      <c r="Q1157" s="1" t="s">
        <v>2281</v>
      </c>
      <c r="R1157" s="1" t="s">
        <v>2301</v>
      </c>
      <c r="S1157" s="1" t="s">
        <v>2302</v>
      </c>
      <c r="X1157" t="s">
        <v>784</v>
      </c>
      <c r="Y1157" t="s">
        <v>2279</v>
      </c>
      <c r="Z1157" t="s">
        <v>2280</v>
      </c>
      <c r="AA1157" t="s">
        <v>2286</v>
      </c>
      <c r="AB1157" t="s">
        <v>2287</v>
      </c>
      <c r="AC1157" t="s">
        <v>162</v>
      </c>
      <c r="AD1157" t="s">
        <v>2278</v>
      </c>
    </row>
    <row r="1158" spans="1:44" x14ac:dyDescent="0.2">
      <c r="A1158" t="s">
        <v>780</v>
      </c>
      <c r="B1158" t="s">
        <v>781</v>
      </c>
      <c r="C1158">
        <v>2019</v>
      </c>
      <c r="D1158" t="s">
        <v>44</v>
      </c>
      <c r="E1158" t="s">
        <v>50</v>
      </c>
      <c r="F1158" t="s">
        <v>710</v>
      </c>
      <c r="G1158" t="s">
        <v>86</v>
      </c>
      <c r="H1158" t="s">
        <v>96</v>
      </c>
      <c r="I1158" t="s">
        <v>614</v>
      </c>
      <c r="J1158">
        <v>0.92</v>
      </c>
      <c r="K1158" t="s">
        <v>109</v>
      </c>
      <c r="L1158">
        <v>30</v>
      </c>
      <c r="M1158">
        <v>1</v>
      </c>
      <c r="N1158" t="s">
        <v>466</v>
      </c>
      <c r="O1158" t="s">
        <v>466</v>
      </c>
      <c r="P1158" t="s">
        <v>467</v>
      </c>
      <c r="Q1158" s="1" t="s">
        <v>2281</v>
      </c>
      <c r="R1158" s="1" t="s">
        <v>2301</v>
      </c>
      <c r="S1158" s="1" t="s">
        <v>2302</v>
      </c>
      <c r="X1158" t="s">
        <v>785</v>
      </c>
      <c r="Y1158" t="s">
        <v>2273</v>
      </c>
      <c r="Z1158" t="s">
        <v>2356</v>
      </c>
      <c r="AA1158" t="s">
        <v>2357</v>
      </c>
      <c r="AB1158" t="s">
        <v>2277</v>
      </c>
      <c r="AC1158" t="s">
        <v>162</v>
      </c>
      <c r="AD1158" t="s">
        <v>137</v>
      </c>
    </row>
    <row r="1159" spans="1:44" x14ac:dyDescent="0.2">
      <c r="A1159" t="s">
        <v>780</v>
      </c>
      <c r="B1159" t="s">
        <v>781</v>
      </c>
      <c r="C1159">
        <v>2019</v>
      </c>
      <c r="D1159" t="s">
        <v>44</v>
      </c>
      <c r="E1159" t="s">
        <v>50</v>
      </c>
      <c r="F1159" t="s">
        <v>710</v>
      </c>
      <c r="G1159" t="s">
        <v>86</v>
      </c>
      <c r="H1159" t="s">
        <v>96</v>
      </c>
      <c r="I1159" t="s">
        <v>614</v>
      </c>
      <c r="J1159">
        <v>0.92</v>
      </c>
      <c r="K1159" t="s">
        <v>109</v>
      </c>
      <c r="L1159">
        <v>30</v>
      </c>
      <c r="M1159">
        <v>1</v>
      </c>
      <c r="N1159" t="s">
        <v>466</v>
      </c>
      <c r="O1159" t="s">
        <v>466</v>
      </c>
      <c r="P1159" t="s">
        <v>467</v>
      </c>
      <c r="Q1159" s="1" t="s">
        <v>2281</v>
      </c>
      <c r="R1159" s="1" t="s">
        <v>2301</v>
      </c>
      <c r="S1159" s="1" t="s">
        <v>2302</v>
      </c>
      <c r="X1159" t="s">
        <v>161</v>
      </c>
      <c r="Y1159" t="s">
        <v>2272</v>
      </c>
      <c r="Z1159" t="s">
        <v>2272</v>
      </c>
      <c r="AA1159" t="s">
        <v>2272</v>
      </c>
      <c r="AB1159" t="s">
        <v>2272</v>
      </c>
      <c r="AC1159" t="s">
        <v>162</v>
      </c>
      <c r="AD1159" t="s">
        <v>2272</v>
      </c>
      <c r="AF1159" t="s">
        <v>49</v>
      </c>
      <c r="AI1159" t="s">
        <v>49</v>
      </c>
      <c r="AM1159" t="s">
        <v>202</v>
      </c>
      <c r="AN1159" t="s">
        <v>165</v>
      </c>
    </row>
    <row r="1160" spans="1:44" x14ac:dyDescent="0.2">
      <c r="A1160" t="s">
        <v>780</v>
      </c>
      <c r="B1160" t="s">
        <v>781</v>
      </c>
      <c r="C1160">
        <v>2019</v>
      </c>
      <c r="D1160" t="s">
        <v>44</v>
      </c>
      <c r="E1160" t="s">
        <v>50</v>
      </c>
      <c r="F1160" t="s">
        <v>710</v>
      </c>
      <c r="G1160" t="s">
        <v>86</v>
      </c>
      <c r="H1160" t="s">
        <v>96</v>
      </c>
      <c r="I1160" t="s">
        <v>614</v>
      </c>
      <c r="J1160">
        <v>0.92</v>
      </c>
      <c r="K1160" t="s">
        <v>109</v>
      </c>
      <c r="L1160">
        <v>30</v>
      </c>
      <c r="M1160">
        <v>1</v>
      </c>
      <c r="N1160" t="s">
        <v>466</v>
      </c>
      <c r="O1160" t="s">
        <v>466</v>
      </c>
      <c r="P1160" t="s">
        <v>467</v>
      </c>
      <c r="Q1160" s="1" t="s">
        <v>2281</v>
      </c>
      <c r="R1160" s="1" t="s">
        <v>2301</v>
      </c>
      <c r="S1160" s="1" t="s">
        <v>2302</v>
      </c>
      <c r="X1160" t="s">
        <v>161</v>
      </c>
      <c r="Y1160" t="s">
        <v>2272</v>
      </c>
      <c r="Z1160" t="s">
        <v>2272</v>
      </c>
      <c r="AA1160" t="s">
        <v>2272</v>
      </c>
      <c r="AB1160" t="s">
        <v>2272</v>
      </c>
      <c r="AC1160" t="s">
        <v>162</v>
      </c>
      <c r="AD1160" t="s">
        <v>2272</v>
      </c>
      <c r="AF1160" t="s">
        <v>49</v>
      </c>
      <c r="AI1160" t="s">
        <v>49</v>
      </c>
      <c r="AM1160" t="s">
        <v>202</v>
      </c>
      <c r="AN1160" t="s">
        <v>154</v>
      </c>
    </row>
    <row r="1161" spans="1:44" x14ac:dyDescent="0.2">
      <c r="A1161" t="s">
        <v>780</v>
      </c>
      <c r="B1161" t="s">
        <v>781</v>
      </c>
      <c r="C1161">
        <v>2019</v>
      </c>
      <c r="D1161" t="s">
        <v>44</v>
      </c>
      <c r="E1161" t="s">
        <v>50</v>
      </c>
      <c r="F1161" t="s">
        <v>710</v>
      </c>
      <c r="G1161" t="s">
        <v>86</v>
      </c>
      <c r="H1161" t="s">
        <v>96</v>
      </c>
      <c r="I1161" t="s">
        <v>614</v>
      </c>
      <c r="J1161">
        <v>0.92</v>
      </c>
      <c r="K1161" t="s">
        <v>109</v>
      </c>
      <c r="L1161">
        <v>30</v>
      </c>
      <c r="M1161">
        <v>1</v>
      </c>
      <c r="N1161" t="s">
        <v>466</v>
      </c>
      <c r="O1161" t="s">
        <v>466</v>
      </c>
      <c r="P1161" t="s">
        <v>467</v>
      </c>
      <c r="Q1161" s="1" t="s">
        <v>2281</v>
      </c>
      <c r="R1161" s="1" t="s">
        <v>2301</v>
      </c>
      <c r="S1161" s="1" t="s">
        <v>2302</v>
      </c>
      <c r="X1161" t="s">
        <v>161</v>
      </c>
      <c r="Y1161" t="s">
        <v>2272</v>
      </c>
      <c r="Z1161" t="s">
        <v>2272</v>
      </c>
      <c r="AA1161" t="s">
        <v>2272</v>
      </c>
      <c r="AB1161" t="s">
        <v>2272</v>
      </c>
      <c r="AC1161" t="s">
        <v>162</v>
      </c>
      <c r="AD1161" t="s">
        <v>2272</v>
      </c>
      <c r="AF1161" t="s">
        <v>49</v>
      </c>
      <c r="AI1161" t="s">
        <v>49</v>
      </c>
      <c r="AM1161" t="s">
        <v>202</v>
      </c>
      <c r="AN1161" t="s">
        <v>166</v>
      </c>
    </row>
    <row r="1162" spans="1:44" x14ac:dyDescent="0.2">
      <c r="A1162" t="s">
        <v>787</v>
      </c>
      <c r="B1162" t="s">
        <v>788</v>
      </c>
      <c r="C1162">
        <v>2019</v>
      </c>
      <c r="D1162" t="s">
        <v>44</v>
      </c>
      <c r="F1162" t="s">
        <v>81</v>
      </c>
      <c r="G1162" t="s">
        <v>86</v>
      </c>
      <c r="H1162" t="s">
        <v>350</v>
      </c>
      <c r="J1162">
        <v>0</v>
      </c>
      <c r="K1162" t="s">
        <v>101</v>
      </c>
      <c r="L1162">
        <v>30</v>
      </c>
      <c r="M1162">
        <v>1</v>
      </c>
      <c r="N1162" t="s">
        <v>121</v>
      </c>
      <c r="O1162" t="s">
        <v>264</v>
      </c>
      <c r="P1162" t="s">
        <v>286</v>
      </c>
      <c r="Q1162" s="1" t="s">
        <v>2292</v>
      </c>
      <c r="R1162" s="1" t="s">
        <v>264</v>
      </c>
      <c r="S1162" s="1" t="s">
        <v>264</v>
      </c>
      <c r="T1162" t="s">
        <v>421</v>
      </c>
      <c r="U1162" t="s">
        <v>421</v>
      </c>
      <c r="X1162" t="s">
        <v>161</v>
      </c>
      <c r="Y1162" t="s">
        <v>2272</v>
      </c>
      <c r="Z1162" t="s">
        <v>2272</v>
      </c>
      <c r="AA1162" t="s">
        <v>2272</v>
      </c>
      <c r="AB1162" t="s">
        <v>2272</v>
      </c>
      <c r="AC1162" t="s">
        <v>162</v>
      </c>
      <c r="AD1162" t="s">
        <v>2272</v>
      </c>
      <c r="AG1162" t="s">
        <v>49</v>
      </c>
      <c r="AL1162" t="s">
        <v>49</v>
      </c>
      <c r="AM1162" t="s">
        <v>789</v>
      </c>
      <c r="AN1162" t="s">
        <v>166</v>
      </c>
      <c r="AQ1162" s="5">
        <v>1</v>
      </c>
    </row>
    <row r="1163" spans="1:44" x14ac:dyDescent="0.2">
      <c r="A1163" t="s">
        <v>787</v>
      </c>
      <c r="B1163" t="s">
        <v>788</v>
      </c>
      <c r="C1163">
        <v>2019</v>
      </c>
      <c r="D1163" t="s">
        <v>811</v>
      </c>
      <c r="F1163" t="s">
        <v>81</v>
      </c>
      <c r="G1163" t="s">
        <v>86</v>
      </c>
      <c r="H1163" t="s">
        <v>350</v>
      </c>
      <c r="I1163" t="s">
        <v>114</v>
      </c>
      <c r="J1163">
        <v>1.42</v>
      </c>
      <c r="K1163" t="s">
        <v>109</v>
      </c>
      <c r="M1163">
        <v>0</v>
      </c>
      <c r="N1163" t="s">
        <v>121</v>
      </c>
      <c r="O1163" t="s">
        <v>264</v>
      </c>
      <c r="P1163" t="s">
        <v>286</v>
      </c>
      <c r="Q1163" s="1" t="s">
        <v>2292</v>
      </c>
      <c r="R1163" s="1" t="s">
        <v>264</v>
      </c>
      <c r="S1163" s="1" t="s">
        <v>264</v>
      </c>
      <c r="T1163" t="s">
        <v>421</v>
      </c>
      <c r="U1163" t="s">
        <v>421</v>
      </c>
      <c r="X1163" t="s">
        <v>161</v>
      </c>
      <c r="Y1163" t="s">
        <v>2272</v>
      </c>
      <c r="Z1163" t="s">
        <v>2272</v>
      </c>
      <c r="AA1163" t="s">
        <v>2272</v>
      </c>
      <c r="AB1163" t="s">
        <v>2272</v>
      </c>
      <c r="AC1163" t="s">
        <v>162</v>
      </c>
      <c r="AD1163" t="s">
        <v>2272</v>
      </c>
      <c r="AG1163" t="s">
        <v>49</v>
      </c>
      <c r="AL1163" t="s">
        <v>49</v>
      </c>
      <c r="AM1163" t="s">
        <v>789</v>
      </c>
      <c r="AN1163" t="s">
        <v>109</v>
      </c>
      <c r="AO1163" t="s">
        <v>790</v>
      </c>
      <c r="AQ1163" s="5">
        <v>1</v>
      </c>
    </row>
    <row r="1164" spans="1:44" x14ac:dyDescent="0.2">
      <c r="A1164" t="s">
        <v>791</v>
      </c>
      <c r="B1164" t="s">
        <v>193</v>
      </c>
      <c r="C1164">
        <v>2019</v>
      </c>
      <c r="D1164" t="s">
        <v>44</v>
      </c>
      <c r="E1164" t="s">
        <v>49</v>
      </c>
      <c r="F1164" t="s">
        <v>710</v>
      </c>
      <c r="G1164" t="s">
        <v>86</v>
      </c>
      <c r="H1164" t="s">
        <v>350</v>
      </c>
      <c r="I1164" t="s">
        <v>614</v>
      </c>
      <c r="J1164">
        <f>15/12</f>
        <v>1.25</v>
      </c>
      <c r="K1164" t="s">
        <v>42</v>
      </c>
      <c r="L1164">
        <v>250</v>
      </c>
      <c r="M1164">
        <v>0.25</v>
      </c>
      <c r="N1164" t="s">
        <v>121</v>
      </c>
      <c r="O1164" t="s">
        <v>264</v>
      </c>
      <c r="P1164" t="s">
        <v>286</v>
      </c>
      <c r="Q1164" s="1" t="s">
        <v>2292</v>
      </c>
      <c r="R1164" s="1" t="s">
        <v>264</v>
      </c>
      <c r="S1164" s="1" t="s">
        <v>264</v>
      </c>
      <c r="X1164" t="s">
        <v>189</v>
      </c>
      <c r="Y1164" t="s">
        <v>2279</v>
      </c>
      <c r="Z1164" t="s">
        <v>2280</v>
      </c>
      <c r="AA1164" t="s">
        <v>2358</v>
      </c>
      <c r="AB1164" t="s">
        <v>189</v>
      </c>
      <c r="AC1164" t="s">
        <v>152</v>
      </c>
      <c r="AD1164" t="s">
        <v>2278</v>
      </c>
      <c r="AF1164" t="s">
        <v>49</v>
      </c>
      <c r="AH1164" s="4" t="s">
        <v>49</v>
      </c>
      <c r="AI1164" t="s">
        <v>49</v>
      </c>
      <c r="AM1164" t="s">
        <v>792</v>
      </c>
      <c r="AN1164" t="s">
        <v>166</v>
      </c>
      <c r="AP1164" t="s">
        <v>157</v>
      </c>
    </row>
    <row r="1165" spans="1:44" x14ac:dyDescent="0.2">
      <c r="A1165" t="s">
        <v>791</v>
      </c>
      <c r="B1165" t="s">
        <v>193</v>
      </c>
      <c r="C1165">
        <v>2019</v>
      </c>
      <c r="D1165" t="s">
        <v>44</v>
      </c>
      <c r="E1165" t="s">
        <v>49</v>
      </c>
      <c r="F1165" t="s">
        <v>710</v>
      </c>
      <c r="G1165" t="s">
        <v>86</v>
      </c>
      <c r="H1165" t="s">
        <v>350</v>
      </c>
      <c r="I1165" t="s">
        <v>614</v>
      </c>
      <c r="J1165">
        <f>15/12</f>
        <v>1.25</v>
      </c>
      <c r="K1165" t="s">
        <v>42</v>
      </c>
      <c r="L1165">
        <v>250</v>
      </c>
      <c r="M1165">
        <v>0.25</v>
      </c>
      <c r="N1165" t="s">
        <v>121</v>
      </c>
      <c r="O1165" t="s">
        <v>264</v>
      </c>
      <c r="P1165" t="s">
        <v>286</v>
      </c>
      <c r="Q1165" s="1" t="s">
        <v>2292</v>
      </c>
      <c r="R1165" s="1" t="s">
        <v>264</v>
      </c>
      <c r="S1165" s="1" t="s">
        <v>264</v>
      </c>
      <c r="X1165" t="s">
        <v>189</v>
      </c>
      <c r="Y1165" t="s">
        <v>2279</v>
      </c>
      <c r="Z1165" t="s">
        <v>2280</v>
      </c>
      <c r="AA1165" t="s">
        <v>2358</v>
      </c>
      <c r="AB1165" t="s">
        <v>189</v>
      </c>
      <c r="AC1165" t="s">
        <v>152</v>
      </c>
      <c r="AD1165" t="s">
        <v>2278</v>
      </c>
      <c r="AF1165" t="s">
        <v>49</v>
      </c>
      <c r="AH1165" s="4" t="s">
        <v>49</v>
      </c>
      <c r="AI1165" t="s">
        <v>49</v>
      </c>
      <c r="AM1165" t="s">
        <v>792</v>
      </c>
      <c r="AN1165" t="s">
        <v>165</v>
      </c>
      <c r="AP1165" t="s">
        <v>49</v>
      </c>
    </row>
    <row r="1166" spans="1:44" x14ac:dyDescent="0.2">
      <c r="A1166" t="s">
        <v>791</v>
      </c>
      <c r="B1166" t="s">
        <v>193</v>
      </c>
      <c r="C1166">
        <v>2019</v>
      </c>
      <c r="D1166" t="s">
        <v>44</v>
      </c>
      <c r="E1166" t="s">
        <v>49</v>
      </c>
      <c r="F1166" t="s">
        <v>710</v>
      </c>
      <c r="G1166" t="s">
        <v>86</v>
      </c>
      <c r="H1166" t="s">
        <v>350</v>
      </c>
      <c r="I1166" t="s">
        <v>614</v>
      </c>
      <c r="J1166">
        <f>15/12</f>
        <v>1.25</v>
      </c>
      <c r="K1166" t="s">
        <v>42</v>
      </c>
      <c r="L1166">
        <v>250</v>
      </c>
      <c r="M1166">
        <v>0.25</v>
      </c>
      <c r="N1166" t="s">
        <v>121</v>
      </c>
      <c r="O1166" t="s">
        <v>264</v>
      </c>
      <c r="P1166" t="s">
        <v>286</v>
      </c>
      <c r="Q1166" s="1" t="s">
        <v>2292</v>
      </c>
      <c r="R1166" s="1" t="s">
        <v>264</v>
      </c>
      <c r="S1166" s="1" t="s">
        <v>264</v>
      </c>
      <c r="T1166" t="s">
        <v>421</v>
      </c>
      <c r="U1166" t="s">
        <v>421</v>
      </c>
      <c r="X1166" t="s">
        <v>161</v>
      </c>
      <c r="Y1166" t="s">
        <v>2272</v>
      </c>
      <c r="Z1166" t="s">
        <v>2272</v>
      </c>
      <c r="AA1166" t="s">
        <v>2272</v>
      </c>
      <c r="AB1166" t="s">
        <v>2272</v>
      </c>
      <c r="AC1166" t="s">
        <v>162</v>
      </c>
      <c r="AD1166" t="s">
        <v>2272</v>
      </c>
      <c r="AF1166" t="s">
        <v>49</v>
      </c>
      <c r="AH1166" s="4" t="s">
        <v>49</v>
      </c>
      <c r="AI1166" t="s">
        <v>49</v>
      </c>
      <c r="AM1166" t="s">
        <v>792</v>
      </c>
      <c r="AN1166" t="s">
        <v>166</v>
      </c>
      <c r="AQ1166" s="5">
        <v>1</v>
      </c>
    </row>
    <row r="1167" spans="1:44" x14ac:dyDescent="0.2">
      <c r="A1167" t="s">
        <v>791</v>
      </c>
      <c r="B1167" t="s">
        <v>193</v>
      </c>
      <c r="C1167">
        <v>2019</v>
      </c>
      <c r="D1167" t="s">
        <v>44</v>
      </c>
      <c r="E1167" t="s">
        <v>49</v>
      </c>
      <c r="F1167" t="s">
        <v>710</v>
      </c>
      <c r="G1167" t="s">
        <v>86</v>
      </c>
      <c r="H1167" t="s">
        <v>350</v>
      </c>
      <c r="I1167" t="s">
        <v>614</v>
      </c>
      <c r="J1167">
        <f>15/12</f>
        <v>1.25</v>
      </c>
      <c r="K1167" t="s">
        <v>42</v>
      </c>
      <c r="L1167">
        <v>250</v>
      </c>
      <c r="M1167">
        <v>0.25</v>
      </c>
      <c r="N1167" t="s">
        <v>121</v>
      </c>
      <c r="O1167" t="s">
        <v>264</v>
      </c>
      <c r="P1167" t="s">
        <v>286</v>
      </c>
      <c r="Q1167" s="1" t="s">
        <v>2292</v>
      </c>
      <c r="R1167" s="1" t="s">
        <v>264</v>
      </c>
      <c r="S1167" s="1" t="s">
        <v>264</v>
      </c>
      <c r="T1167" t="s">
        <v>421</v>
      </c>
      <c r="U1167" t="s">
        <v>421</v>
      </c>
      <c r="X1167" t="s">
        <v>161</v>
      </c>
      <c r="Y1167" t="s">
        <v>2272</v>
      </c>
      <c r="Z1167" t="s">
        <v>2272</v>
      </c>
      <c r="AA1167" t="s">
        <v>2272</v>
      </c>
      <c r="AB1167" t="s">
        <v>2272</v>
      </c>
      <c r="AC1167" t="s">
        <v>162</v>
      </c>
      <c r="AD1167" t="s">
        <v>2272</v>
      </c>
      <c r="AF1167" t="s">
        <v>49</v>
      </c>
      <c r="AH1167" s="4" t="s">
        <v>49</v>
      </c>
      <c r="AI1167" t="s">
        <v>49</v>
      </c>
      <c r="AM1167" t="s">
        <v>792</v>
      </c>
      <c r="AN1167" t="s">
        <v>165</v>
      </c>
      <c r="AP1167" t="s">
        <v>49</v>
      </c>
    </row>
    <row r="1168" spans="1:44" x14ac:dyDescent="0.2">
      <c r="A1168" t="s">
        <v>793</v>
      </c>
      <c r="B1168" t="s">
        <v>794</v>
      </c>
      <c r="C1168">
        <v>2019</v>
      </c>
      <c r="D1168" t="s">
        <v>44</v>
      </c>
      <c r="F1168" t="s">
        <v>931</v>
      </c>
      <c r="G1168" t="s">
        <v>86</v>
      </c>
      <c r="H1168" t="s">
        <v>350</v>
      </c>
      <c r="I1168">
        <v>2017</v>
      </c>
      <c r="K1168" t="s">
        <v>101</v>
      </c>
      <c r="L1168">
        <v>3</v>
      </c>
      <c r="M1168">
        <v>0.5</v>
      </c>
      <c r="N1168" t="s">
        <v>122</v>
      </c>
      <c r="O1168" t="s">
        <v>122</v>
      </c>
      <c r="P1168" t="s">
        <v>795</v>
      </c>
      <c r="Q1168" s="1" t="s">
        <v>2281</v>
      </c>
      <c r="R1168" s="1" t="s">
        <v>122</v>
      </c>
      <c r="S1168" s="1" t="s">
        <v>2294</v>
      </c>
      <c r="V1168" t="s">
        <v>194</v>
      </c>
      <c r="W1168" t="s">
        <v>795</v>
      </c>
      <c r="X1168" t="s">
        <v>211</v>
      </c>
      <c r="Y1168" t="s">
        <v>2279</v>
      </c>
      <c r="Z1168" t="s">
        <v>2280</v>
      </c>
      <c r="AA1168" t="s">
        <v>2358</v>
      </c>
      <c r="AB1168" t="s">
        <v>2290</v>
      </c>
      <c r="AC1168" t="s">
        <v>162</v>
      </c>
      <c r="AD1168" t="s">
        <v>2278</v>
      </c>
      <c r="AF1168" t="s">
        <v>49</v>
      </c>
      <c r="AI1168" t="s">
        <v>49</v>
      </c>
      <c r="AM1168" s="6" t="s">
        <v>796</v>
      </c>
      <c r="AN1168" t="s">
        <v>166</v>
      </c>
      <c r="AP1168" t="s">
        <v>173</v>
      </c>
    </row>
    <row r="1169" spans="1:42" x14ac:dyDescent="0.2">
      <c r="A1169" t="s">
        <v>793</v>
      </c>
      <c r="B1169" t="s">
        <v>794</v>
      </c>
      <c r="C1169">
        <v>2019</v>
      </c>
      <c r="D1169" t="s">
        <v>44</v>
      </c>
      <c r="F1169" t="s">
        <v>931</v>
      </c>
      <c r="G1169" t="s">
        <v>86</v>
      </c>
      <c r="H1169" t="s">
        <v>350</v>
      </c>
      <c r="I1169">
        <v>2017</v>
      </c>
      <c r="K1169" t="s">
        <v>101</v>
      </c>
      <c r="L1169">
        <v>3</v>
      </c>
      <c r="M1169">
        <v>0.5</v>
      </c>
      <c r="N1169" t="s">
        <v>122</v>
      </c>
      <c r="O1169" t="s">
        <v>122</v>
      </c>
      <c r="P1169" t="s">
        <v>795</v>
      </c>
      <c r="Q1169" s="1" t="s">
        <v>2281</v>
      </c>
      <c r="R1169" s="1" t="s">
        <v>122</v>
      </c>
      <c r="S1169" s="1" t="s">
        <v>2294</v>
      </c>
      <c r="V1169" t="s">
        <v>194</v>
      </c>
      <c r="W1169" t="s">
        <v>795</v>
      </c>
      <c r="X1169" t="s">
        <v>211</v>
      </c>
      <c r="Y1169" t="s">
        <v>2279</v>
      </c>
      <c r="Z1169" t="s">
        <v>2280</v>
      </c>
      <c r="AA1169" t="s">
        <v>2358</v>
      </c>
      <c r="AB1169" t="s">
        <v>2290</v>
      </c>
      <c r="AC1169" t="s">
        <v>162</v>
      </c>
      <c r="AD1169" t="s">
        <v>2278</v>
      </c>
      <c r="AF1169" t="s">
        <v>49</v>
      </c>
      <c r="AI1169" t="s">
        <v>49</v>
      </c>
      <c r="AM1169" s="6" t="s">
        <v>796</v>
      </c>
      <c r="AN1169" t="s">
        <v>171</v>
      </c>
      <c r="AP1169" t="s">
        <v>173</v>
      </c>
    </row>
    <row r="1170" spans="1:42" x14ac:dyDescent="0.2">
      <c r="A1170" t="s">
        <v>793</v>
      </c>
      <c r="B1170" t="s">
        <v>794</v>
      </c>
      <c r="C1170">
        <v>2019</v>
      </c>
      <c r="D1170" t="s">
        <v>44</v>
      </c>
      <c r="F1170" t="s">
        <v>931</v>
      </c>
      <c r="G1170" t="s">
        <v>86</v>
      </c>
      <c r="H1170" t="s">
        <v>350</v>
      </c>
      <c r="I1170">
        <v>2017</v>
      </c>
      <c r="K1170" t="s">
        <v>101</v>
      </c>
      <c r="L1170">
        <v>3</v>
      </c>
      <c r="M1170">
        <v>0.5</v>
      </c>
      <c r="N1170" t="s">
        <v>122</v>
      </c>
      <c r="O1170" t="s">
        <v>122</v>
      </c>
      <c r="P1170" t="s">
        <v>795</v>
      </c>
      <c r="Q1170" s="1" t="s">
        <v>2281</v>
      </c>
      <c r="R1170" s="1" t="s">
        <v>122</v>
      </c>
      <c r="S1170" s="1" t="s">
        <v>2294</v>
      </c>
      <c r="V1170" t="s">
        <v>194</v>
      </c>
      <c r="W1170" t="s">
        <v>795</v>
      </c>
      <c r="X1170" t="s">
        <v>211</v>
      </c>
      <c r="Y1170" t="s">
        <v>2279</v>
      </c>
      <c r="Z1170" t="s">
        <v>2280</v>
      </c>
      <c r="AA1170" t="s">
        <v>2358</v>
      </c>
      <c r="AB1170" t="s">
        <v>2290</v>
      </c>
      <c r="AC1170" t="s">
        <v>162</v>
      </c>
      <c r="AD1170" t="s">
        <v>2278</v>
      </c>
      <c r="AF1170" t="s">
        <v>49</v>
      </c>
      <c r="AI1170" t="s">
        <v>49</v>
      </c>
      <c r="AM1170" s="6" t="s">
        <v>796</v>
      </c>
      <c r="AN1170" t="s">
        <v>154</v>
      </c>
      <c r="AP1170" t="s">
        <v>51</v>
      </c>
    </row>
    <row r="1171" spans="1:42" x14ac:dyDescent="0.2">
      <c r="A1171" t="s">
        <v>793</v>
      </c>
      <c r="B1171" t="s">
        <v>794</v>
      </c>
      <c r="C1171">
        <v>2019</v>
      </c>
      <c r="D1171" t="s">
        <v>44</v>
      </c>
      <c r="F1171" t="s">
        <v>931</v>
      </c>
      <c r="G1171" t="s">
        <v>86</v>
      </c>
      <c r="H1171" t="s">
        <v>350</v>
      </c>
      <c r="I1171">
        <v>2017</v>
      </c>
      <c r="K1171" t="s">
        <v>101</v>
      </c>
      <c r="L1171">
        <v>3</v>
      </c>
      <c r="M1171">
        <v>0.5</v>
      </c>
      <c r="N1171" t="s">
        <v>122</v>
      </c>
      <c r="O1171" t="s">
        <v>122</v>
      </c>
      <c r="P1171" t="s">
        <v>795</v>
      </c>
      <c r="Q1171" s="1" t="s">
        <v>2281</v>
      </c>
      <c r="R1171" s="1" t="s">
        <v>122</v>
      </c>
      <c r="S1171" s="1" t="s">
        <v>2294</v>
      </c>
      <c r="V1171" t="s">
        <v>194</v>
      </c>
      <c r="W1171" t="s">
        <v>795</v>
      </c>
      <c r="X1171" t="s">
        <v>211</v>
      </c>
      <c r="Y1171" t="s">
        <v>2279</v>
      </c>
      <c r="Z1171" t="s">
        <v>2280</v>
      </c>
      <c r="AA1171" t="s">
        <v>2358</v>
      </c>
      <c r="AB1171" t="s">
        <v>2290</v>
      </c>
      <c r="AC1171" t="s">
        <v>162</v>
      </c>
      <c r="AD1171" t="s">
        <v>2278</v>
      </c>
      <c r="AF1171" t="s">
        <v>49</v>
      </c>
      <c r="AI1171" t="s">
        <v>49</v>
      </c>
      <c r="AM1171" s="6" t="s">
        <v>796</v>
      </c>
      <c r="AN1171" t="s">
        <v>165</v>
      </c>
      <c r="AP1171" t="s">
        <v>49</v>
      </c>
    </row>
    <row r="1172" spans="1:42" x14ac:dyDescent="0.2">
      <c r="A1172" t="s">
        <v>797</v>
      </c>
      <c r="B1172" t="s">
        <v>198</v>
      </c>
      <c r="C1172">
        <v>2019</v>
      </c>
      <c r="D1172" t="s">
        <v>811</v>
      </c>
      <c r="F1172" t="s">
        <v>715</v>
      </c>
      <c r="G1172" t="s">
        <v>85</v>
      </c>
      <c r="H1172" t="s">
        <v>350</v>
      </c>
      <c r="I1172" t="s">
        <v>106</v>
      </c>
      <c r="J1172">
        <v>2</v>
      </c>
      <c r="K1172" t="s">
        <v>109</v>
      </c>
      <c r="L1172">
        <f t="shared" ref="L1172:L1183" si="33">7*0.25</f>
        <v>1.75</v>
      </c>
      <c r="M1172">
        <v>0.12</v>
      </c>
      <c r="N1172" t="s">
        <v>120</v>
      </c>
      <c r="O1172" t="s">
        <v>120</v>
      </c>
      <c r="P1172" t="s">
        <v>244</v>
      </c>
      <c r="Q1172" s="1" t="s">
        <v>2276</v>
      </c>
      <c r="R1172" s="1" t="s">
        <v>669</v>
      </c>
      <c r="S1172" s="1" t="s">
        <v>168</v>
      </c>
      <c r="X1172" t="s">
        <v>189</v>
      </c>
      <c r="Y1172" t="s">
        <v>2279</v>
      </c>
      <c r="Z1172" t="s">
        <v>2280</v>
      </c>
      <c r="AA1172" t="s">
        <v>2358</v>
      </c>
      <c r="AB1172" t="s">
        <v>189</v>
      </c>
      <c r="AC1172" t="s">
        <v>152</v>
      </c>
      <c r="AD1172" t="s">
        <v>2278</v>
      </c>
      <c r="AF1172" t="s">
        <v>49</v>
      </c>
      <c r="AI1172" t="s">
        <v>49</v>
      </c>
      <c r="AM1172" t="s">
        <v>798</v>
      </c>
      <c r="AN1172" t="s">
        <v>166</v>
      </c>
      <c r="AP1172" t="s">
        <v>157</v>
      </c>
    </row>
    <row r="1173" spans="1:42" x14ac:dyDescent="0.2">
      <c r="A1173" t="s">
        <v>797</v>
      </c>
      <c r="B1173" t="s">
        <v>198</v>
      </c>
      <c r="C1173">
        <v>2019</v>
      </c>
      <c r="D1173" t="s">
        <v>811</v>
      </c>
      <c r="F1173" t="s">
        <v>715</v>
      </c>
      <c r="G1173" t="s">
        <v>85</v>
      </c>
      <c r="H1173" t="s">
        <v>350</v>
      </c>
      <c r="I1173" t="s">
        <v>106</v>
      </c>
      <c r="J1173">
        <v>2</v>
      </c>
      <c r="K1173" t="s">
        <v>109</v>
      </c>
      <c r="L1173">
        <f t="shared" si="33"/>
        <v>1.75</v>
      </c>
      <c r="N1173" t="s">
        <v>120</v>
      </c>
      <c r="O1173" t="s">
        <v>120</v>
      </c>
      <c r="P1173" t="s">
        <v>244</v>
      </c>
      <c r="Q1173" s="1" t="s">
        <v>2276</v>
      </c>
      <c r="R1173" s="1" t="s">
        <v>669</v>
      </c>
      <c r="S1173" s="1" t="s">
        <v>168</v>
      </c>
      <c r="T1173" t="s">
        <v>421</v>
      </c>
      <c r="X1173" t="s">
        <v>490</v>
      </c>
      <c r="Y1173" t="s">
        <v>2279</v>
      </c>
      <c r="Z1173" t="s">
        <v>2280</v>
      </c>
      <c r="AA1173" t="s">
        <v>2358</v>
      </c>
      <c r="AB1173" t="s">
        <v>2290</v>
      </c>
      <c r="AC1173" t="s">
        <v>152</v>
      </c>
      <c r="AD1173" t="s">
        <v>2278</v>
      </c>
      <c r="AF1173" t="s">
        <v>49</v>
      </c>
      <c r="AI1173" t="s">
        <v>49</v>
      </c>
      <c r="AM1173" t="s">
        <v>798</v>
      </c>
      <c r="AN1173" t="s">
        <v>166</v>
      </c>
      <c r="AP1173" t="s">
        <v>157</v>
      </c>
    </row>
    <row r="1174" spans="1:42" x14ac:dyDescent="0.2">
      <c r="A1174" t="s">
        <v>797</v>
      </c>
      <c r="B1174" t="s">
        <v>198</v>
      </c>
      <c r="C1174">
        <v>2019</v>
      </c>
      <c r="D1174" t="s">
        <v>811</v>
      </c>
      <c r="F1174" t="s">
        <v>715</v>
      </c>
      <c r="G1174" t="s">
        <v>85</v>
      </c>
      <c r="H1174" t="s">
        <v>350</v>
      </c>
      <c r="I1174" t="s">
        <v>106</v>
      </c>
      <c r="J1174">
        <v>2</v>
      </c>
      <c r="K1174" t="s">
        <v>109</v>
      </c>
      <c r="L1174">
        <f t="shared" si="33"/>
        <v>1.75</v>
      </c>
      <c r="N1174" t="s">
        <v>120</v>
      </c>
      <c r="O1174" t="s">
        <v>120</v>
      </c>
      <c r="P1174" t="s">
        <v>244</v>
      </c>
      <c r="Q1174" s="1" t="s">
        <v>2276</v>
      </c>
      <c r="R1174" s="1" t="s">
        <v>669</v>
      </c>
      <c r="S1174" s="1" t="s">
        <v>168</v>
      </c>
      <c r="T1174" t="s">
        <v>421</v>
      </c>
      <c r="X1174" t="s">
        <v>490</v>
      </c>
      <c r="Y1174" t="s">
        <v>2279</v>
      </c>
      <c r="Z1174" t="s">
        <v>2280</v>
      </c>
      <c r="AA1174" t="s">
        <v>2358</v>
      </c>
      <c r="AB1174" t="s">
        <v>2290</v>
      </c>
      <c r="AC1174" t="s">
        <v>152</v>
      </c>
      <c r="AD1174" t="s">
        <v>2278</v>
      </c>
      <c r="AF1174" t="s">
        <v>49</v>
      </c>
      <c r="AI1174" t="s">
        <v>49</v>
      </c>
      <c r="AM1174" t="s">
        <v>798</v>
      </c>
      <c r="AN1174" t="s">
        <v>154</v>
      </c>
      <c r="AP1174" t="s">
        <v>157</v>
      </c>
    </row>
    <row r="1175" spans="1:42" x14ac:dyDescent="0.2">
      <c r="A1175" t="s">
        <v>797</v>
      </c>
      <c r="B1175" t="s">
        <v>198</v>
      </c>
      <c r="C1175">
        <v>2019</v>
      </c>
      <c r="D1175" t="s">
        <v>811</v>
      </c>
      <c r="F1175" t="s">
        <v>715</v>
      </c>
      <c r="G1175" t="s">
        <v>85</v>
      </c>
      <c r="H1175" t="s">
        <v>350</v>
      </c>
      <c r="I1175" t="s">
        <v>106</v>
      </c>
      <c r="J1175">
        <v>2</v>
      </c>
      <c r="K1175" t="s">
        <v>109</v>
      </c>
      <c r="L1175">
        <f t="shared" si="33"/>
        <v>1.75</v>
      </c>
      <c r="M1175">
        <v>0.12</v>
      </c>
      <c r="N1175" t="s">
        <v>120</v>
      </c>
      <c r="O1175" t="s">
        <v>120</v>
      </c>
      <c r="P1175" t="s">
        <v>244</v>
      </c>
      <c r="Q1175" s="1" t="s">
        <v>2276</v>
      </c>
      <c r="R1175" s="1" t="s">
        <v>669</v>
      </c>
      <c r="S1175" s="1" t="s">
        <v>168</v>
      </c>
      <c r="X1175" t="s">
        <v>189</v>
      </c>
      <c r="Y1175" t="s">
        <v>2279</v>
      </c>
      <c r="Z1175" t="s">
        <v>2280</v>
      </c>
      <c r="AA1175" t="s">
        <v>2358</v>
      </c>
      <c r="AB1175" t="s">
        <v>189</v>
      </c>
      <c r="AC1175" t="s">
        <v>152</v>
      </c>
      <c r="AD1175" t="s">
        <v>2278</v>
      </c>
      <c r="AF1175" t="s">
        <v>49</v>
      </c>
      <c r="AI1175" t="s">
        <v>49</v>
      </c>
      <c r="AM1175" t="s">
        <v>798</v>
      </c>
      <c r="AN1175" t="s">
        <v>154</v>
      </c>
      <c r="AP1175" t="s">
        <v>157</v>
      </c>
    </row>
    <row r="1176" spans="1:42" x14ac:dyDescent="0.2">
      <c r="A1176" t="s">
        <v>797</v>
      </c>
      <c r="B1176" t="s">
        <v>198</v>
      </c>
      <c r="C1176">
        <v>2019</v>
      </c>
      <c r="D1176" t="s">
        <v>811</v>
      </c>
      <c r="F1176" t="s">
        <v>715</v>
      </c>
      <c r="G1176" t="s">
        <v>85</v>
      </c>
      <c r="H1176" t="s">
        <v>350</v>
      </c>
      <c r="I1176" t="s">
        <v>106</v>
      </c>
      <c r="J1176">
        <v>2</v>
      </c>
      <c r="K1176" t="s">
        <v>109</v>
      </c>
      <c r="L1176">
        <f t="shared" si="33"/>
        <v>1.75</v>
      </c>
      <c r="M1176">
        <v>0.12</v>
      </c>
      <c r="N1176" t="s">
        <v>120</v>
      </c>
      <c r="O1176" t="s">
        <v>120</v>
      </c>
      <c r="P1176" t="s">
        <v>244</v>
      </c>
      <c r="Q1176" s="1" t="s">
        <v>2276</v>
      </c>
      <c r="R1176" s="1" t="s">
        <v>669</v>
      </c>
      <c r="S1176" s="1" t="s">
        <v>168</v>
      </c>
      <c r="X1176" t="s">
        <v>189</v>
      </c>
      <c r="Y1176" t="s">
        <v>2279</v>
      </c>
      <c r="Z1176" t="s">
        <v>2280</v>
      </c>
      <c r="AA1176" t="s">
        <v>2358</v>
      </c>
      <c r="AB1176" t="s">
        <v>189</v>
      </c>
      <c r="AC1176" t="s">
        <v>152</v>
      </c>
      <c r="AD1176" t="s">
        <v>2278</v>
      </c>
      <c r="AF1176" t="s">
        <v>49</v>
      </c>
      <c r="AI1176" t="s">
        <v>49</v>
      </c>
      <c r="AM1176" t="s">
        <v>798</v>
      </c>
      <c r="AN1176" t="s">
        <v>165</v>
      </c>
      <c r="AP1176" t="s">
        <v>49</v>
      </c>
    </row>
    <row r="1177" spans="1:42" x14ac:dyDescent="0.2">
      <c r="A1177" t="s">
        <v>797</v>
      </c>
      <c r="B1177" t="s">
        <v>198</v>
      </c>
      <c r="C1177">
        <v>2019</v>
      </c>
      <c r="D1177" t="s">
        <v>811</v>
      </c>
      <c r="F1177" t="s">
        <v>715</v>
      </c>
      <c r="G1177" t="s">
        <v>85</v>
      </c>
      <c r="H1177" t="s">
        <v>350</v>
      </c>
      <c r="I1177" t="s">
        <v>106</v>
      </c>
      <c r="J1177">
        <v>2</v>
      </c>
      <c r="K1177" t="s">
        <v>109</v>
      </c>
      <c r="L1177">
        <f t="shared" si="33"/>
        <v>1.75</v>
      </c>
      <c r="N1177" t="s">
        <v>120</v>
      </c>
      <c r="O1177" t="s">
        <v>120</v>
      </c>
      <c r="P1177" t="s">
        <v>244</v>
      </c>
      <c r="Q1177" s="1" t="s">
        <v>2276</v>
      </c>
      <c r="R1177" s="1" t="s">
        <v>669</v>
      </c>
      <c r="S1177" s="1" t="s">
        <v>168</v>
      </c>
      <c r="T1177" t="s">
        <v>421</v>
      </c>
      <c r="X1177" t="s">
        <v>490</v>
      </c>
      <c r="Y1177" t="s">
        <v>2279</v>
      </c>
      <c r="Z1177" t="s">
        <v>2280</v>
      </c>
      <c r="AA1177" t="s">
        <v>2358</v>
      </c>
      <c r="AB1177" t="s">
        <v>2290</v>
      </c>
      <c r="AC1177" t="s">
        <v>152</v>
      </c>
      <c r="AD1177" t="s">
        <v>2278</v>
      </c>
      <c r="AF1177" t="s">
        <v>49</v>
      </c>
      <c r="AI1177" t="s">
        <v>49</v>
      </c>
      <c r="AM1177" t="s">
        <v>798</v>
      </c>
      <c r="AN1177" t="s">
        <v>154</v>
      </c>
      <c r="AP1177" t="s">
        <v>51</v>
      </c>
    </row>
    <row r="1178" spans="1:42" x14ac:dyDescent="0.2">
      <c r="A1178" t="s">
        <v>799</v>
      </c>
      <c r="B1178" t="s">
        <v>198</v>
      </c>
      <c r="C1178">
        <v>2019</v>
      </c>
      <c r="D1178" t="s">
        <v>811</v>
      </c>
      <c r="F1178" t="s">
        <v>715</v>
      </c>
      <c r="G1178" t="s">
        <v>85</v>
      </c>
      <c r="H1178" t="s">
        <v>350</v>
      </c>
      <c r="I1178" t="s">
        <v>106</v>
      </c>
      <c r="J1178">
        <v>2</v>
      </c>
      <c r="K1178" t="s">
        <v>109</v>
      </c>
      <c r="L1178">
        <f t="shared" si="33"/>
        <v>1.75</v>
      </c>
      <c r="M1178">
        <v>0.12</v>
      </c>
      <c r="N1178" t="s">
        <v>120</v>
      </c>
      <c r="O1178" t="s">
        <v>120</v>
      </c>
      <c r="P1178" t="s">
        <v>244</v>
      </c>
      <c r="Q1178" s="1" t="s">
        <v>2276</v>
      </c>
      <c r="R1178" s="1" t="s">
        <v>669</v>
      </c>
      <c r="S1178" s="1" t="s">
        <v>168</v>
      </c>
      <c r="T1178" t="s">
        <v>421</v>
      </c>
      <c r="X1178" t="s">
        <v>490</v>
      </c>
      <c r="Y1178" t="s">
        <v>2279</v>
      </c>
      <c r="Z1178" t="s">
        <v>2280</v>
      </c>
      <c r="AA1178" t="s">
        <v>2358</v>
      </c>
      <c r="AB1178" t="s">
        <v>2290</v>
      </c>
      <c r="AC1178" t="s">
        <v>152</v>
      </c>
      <c r="AD1178" t="s">
        <v>2278</v>
      </c>
      <c r="AF1178" t="s">
        <v>49</v>
      </c>
      <c r="AL1178" t="s">
        <v>49</v>
      </c>
      <c r="AM1178" t="s">
        <v>800</v>
      </c>
      <c r="AN1178" t="s">
        <v>166</v>
      </c>
      <c r="AP1178" t="s">
        <v>157</v>
      </c>
    </row>
    <row r="1179" spans="1:42" x14ac:dyDescent="0.2">
      <c r="A1179" t="s">
        <v>799</v>
      </c>
      <c r="B1179" t="s">
        <v>198</v>
      </c>
      <c r="C1179">
        <v>2019</v>
      </c>
      <c r="D1179" t="s">
        <v>811</v>
      </c>
      <c r="F1179" t="s">
        <v>715</v>
      </c>
      <c r="G1179" t="s">
        <v>85</v>
      </c>
      <c r="H1179" t="s">
        <v>350</v>
      </c>
      <c r="I1179" t="s">
        <v>106</v>
      </c>
      <c r="J1179">
        <v>2</v>
      </c>
      <c r="K1179" t="s">
        <v>109</v>
      </c>
      <c r="L1179">
        <f t="shared" si="33"/>
        <v>1.75</v>
      </c>
      <c r="M1179">
        <v>0.12</v>
      </c>
      <c r="N1179" t="s">
        <v>120</v>
      </c>
      <c r="O1179" t="s">
        <v>120</v>
      </c>
      <c r="P1179" t="s">
        <v>244</v>
      </c>
      <c r="Q1179" s="1" t="s">
        <v>2276</v>
      </c>
      <c r="R1179" s="1" t="s">
        <v>669</v>
      </c>
      <c r="S1179" s="1" t="s">
        <v>168</v>
      </c>
      <c r="X1179" t="s">
        <v>189</v>
      </c>
      <c r="Y1179" t="s">
        <v>2279</v>
      </c>
      <c r="Z1179" t="s">
        <v>2280</v>
      </c>
      <c r="AA1179" t="s">
        <v>2358</v>
      </c>
      <c r="AB1179" t="s">
        <v>189</v>
      </c>
      <c r="AC1179" t="s">
        <v>152</v>
      </c>
      <c r="AD1179" t="s">
        <v>2278</v>
      </c>
      <c r="AF1179" t="s">
        <v>49</v>
      </c>
      <c r="AL1179" t="s">
        <v>49</v>
      </c>
      <c r="AM1179" t="s">
        <v>800</v>
      </c>
      <c r="AN1179" t="s">
        <v>166</v>
      </c>
      <c r="AP1179" t="s">
        <v>173</v>
      </c>
    </row>
    <row r="1180" spans="1:42" x14ac:dyDescent="0.2">
      <c r="A1180" t="s">
        <v>799</v>
      </c>
      <c r="B1180" t="s">
        <v>198</v>
      </c>
      <c r="C1180">
        <v>2019</v>
      </c>
      <c r="D1180" t="s">
        <v>811</v>
      </c>
      <c r="F1180" t="s">
        <v>715</v>
      </c>
      <c r="G1180" t="s">
        <v>85</v>
      </c>
      <c r="H1180" t="s">
        <v>350</v>
      </c>
      <c r="I1180" t="s">
        <v>106</v>
      </c>
      <c r="J1180">
        <v>2</v>
      </c>
      <c r="K1180" t="s">
        <v>109</v>
      </c>
      <c r="L1180">
        <f t="shared" si="33"/>
        <v>1.75</v>
      </c>
      <c r="M1180">
        <v>0.12</v>
      </c>
      <c r="N1180" t="s">
        <v>120</v>
      </c>
      <c r="O1180" t="s">
        <v>120</v>
      </c>
      <c r="P1180" t="s">
        <v>244</v>
      </c>
      <c r="Q1180" s="1" t="s">
        <v>2276</v>
      </c>
      <c r="R1180" s="1" t="s">
        <v>669</v>
      </c>
      <c r="S1180" s="1" t="s">
        <v>168</v>
      </c>
      <c r="T1180" t="s">
        <v>421</v>
      </c>
      <c r="X1180" t="s">
        <v>490</v>
      </c>
      <c r="Y1180" t="s">
        <v>2279</v>
      </c>
      <c r="Z1180" t="s">
        <v>2280</v>
      </c>
      <c r="AA1180" t="s">
        <v>2358</v>
      </c>
      <c r="AB1180" t="s">
        <v>2290</v>
      </c>
      <c r="AC1180" t="s">
        <v>152</v>
      </c>
      <c r="AD1180" t="s">
        <v>2278</v>
      </c>
      <c r="AF1180" t="s">
        <v>49</v>
      </c>
      <c r="AL1180" t="s">
        <v>49</v>
      </c>
      <c r="AM1180" t="s">
        <v>800</v>
      </c>
      <c r="AN1180" t="s">
        <v>171</v>
      </c>
    </row>
    <row r="1181" spans="1:42" x14ac:dyDescent="0.2">
      <c r="A1181" t="s">
        <v>799</v>
      </c>
      <c r="B1181" t="s">
        <v>198</v>
      </c>
      <c r="C1181">
        <v>2019</v>
      </c>
      <c r="D1181" t="s">
        <v>811</v>
      </c>
      <c r="F1181" t="s">
        <v>715</v>
      </c>
      <c r="G1181" t="s">
        <v>85</v>
      </c>
      <c r="H1181" t="s">
        <v>350</v>
      </c>
      <c r="I1181" t="s">
        <v>106</v>
      </c>
      <c r="J1181">
        <v>2</v>
      </c>
      <c r="K1181" t="s">
        <v>109</v>
      </c>
      <c r="L1181">
        <f t="shared" si="33"/>
        <v>1.75</v>
      </c>
      <c r="M1181">
        <v>0.12</v>
      </c>
      <c r="N1181" t="s">
        <v>120</v>
      </c>
      <c r="O1181" t="s">
        <v>120</v>
      </c>
      <c r="P1181" t="s">
        <v>244</v>
      </c>
      <c r="Q1181" s="1" t="s">
        <v>2276</v>
      </c>
      <c r="R1181" s="1" t="s">
        <v>669</v>
      </c>
      <c r="S1181" s="1" t="s">
        <v>168</v>
      </c>
      <c r="X1181" t="s">
        <v>189</v>
      </c>
      <c r="Y1181" t="s">
        <v>2279</v>
      </c>
      <c r="Z1181" t="s">
        <v>2280</v>
      </c>
      <c r="AA1181" t="s">
        <v>2358</v>
      </c>
      <c r="AB1181" t="s">
        <v>189</v>
      </c>
      <c r="AC1181" t="s">
        <v>152</v>
      </c>
      <c r="AD1181" t="s">
        <v>2278</v>
      </c>
      <c r="AF1181" t="s">
        <v>49</v>
      </c>
      <c r="AL1181" t="s">
        <v>49</v>
      </c>
      <c r="AM1181" t="s">
        <v>800</v>
      </c>
      <c r="AN1181" t="s">
        <v>171</v>
      </c>
    </row>
    <row r="1182" spans="1:42" x14ac:dyDescent="0.2">
      <c r="A1182" t="s">
        <v>799</v>
      </c>
      <c r="B1182" t="s">
        <v>198</v>
      </c>
      <c r="C1182">
        <v>2019</v>
      </c>
      <c r="D1182" t="s">
        <v>811</v>
      </c>
      <c r="F1182" t="s">
        <v>715</v>
      </c>
      <c r="G1182" t="s">
        <v>85</v>
      </c>
      <c r="H1182" t="s">
        <v>350</v>
      </c>
      <c r="I1182" t="s">
        <v>106</v>
      </c>
      <c r="J1182">
        <v>2</v>
      </c>
      <c r="K1182" t="s">
        <v>109</v>
      </c>
      <c r="L1182">
        <f t="shared" si="33"/>
        <v>1.75</v>
      </c>
      <c r="M1182">
        <v>0.12</v>
      </c>
      <c r="N1182" t="s">
        <v>120</v>
      </c>
      <c r="O1182" t="s">
        <v>120</v>
      </c>
      <c r="P1182" t="s">
        <v>244</v>
      </c>
      <c r="Q1182" s="1" t="s">
        <v>2276</v>
      </c>
      <c r="R1182" s="1" t="s">
        <v>669</v>
      </c>
      <c r="S1182" s="1" t="s">
        <v>168</v>
      </c>
      <c r="T1182" t="s">
        <v>421</v>
      </c>
      <c r="X1182" t="s">
        <v>490</v>
      </c>
      <c r="Y1182" t="s">
        <v>2279</v>
      </c>
      <c r="Z1182" t="s">
        <v>2280</v>
      </c>
      <c r="AA1182" t="s">
        <v>2358</v>
      </c>
      <c r="AB1182" t="s">
        <v>2290</v>
      </c>
      <c r="AC1182" t="s">
        <v>152</v>
      </c>
      <c r="AD1182" t="s">
        <v>2278</v>
      </c>
      <c r="AF1182" t="s">
        <v>49</v>
      </c>
      <c r="AL1182" t="s">
        <v>49</v>
      </c>
      <c r="AM1182" t="s">
        <v>801</v>
      </c>
      <c r="AN1182" t="s">
        <v>166</v>
      </c>
      <c r="AP1182" t="s">
        <v>51</v>
      </c>
    </row>
    <row r="1183" spans="1:42" x14ac:dyDescent="0.2">
      <c r="A1183" t="s">
        <v>799</v>
      </c>
      <c r="B1183" t="s">
        <v>198</v>
      </c>
      <c r="C1183">
        <v>2019</v>
      </c>
      <c r="D1183" t="s">
        <v>811</v>
      </c>
      <c r="F1183" t="s">
        <v>715</v>
      </c>
      <c r="G1183" t="s">
        <v>85</v>
      </c>
      <c r="H1183" t="s">
        <v>350</v>
      </c>
      <c r="I1183" t="s">
        <v>106</v>
      </c>
      <c r="J1183">
        <v>2</v>
      </c>
      <c r="K1183" t="s">
        <v>109</v>
      </c>
      <c r="L1183">
        <f t="shared" si="33"/>
        <v>1.75</v>
      </c>
      <c r="M1183">
        <v>0.12</v>
      </c>
      <c r="N1183" t="s">
        <v>120</v>
      </c>
      <c r="O1183" t="s">
        <v>120</v>
      </c>
      <c r="P1183" t="s">
        <v>244</v>
      </c>
      <c r="Q1183" s="1" t="s">
        <v>2276</v>
      </c>
      <c r="R1183" s="1" t="s">
        <v>669</v>
      </c>
      <c r="S1183" s="1" t="s">
        <v>168</v>
      </c>
      <c r="X1183" t="s">
        <v>189</v>
      </c>
      <c r="Y1183" t="s">
        <v>2279</v>
      </c>
      <c r="Z1183" t="s">
        <v>2280</v>
      </c>
      <c r="AA1183" t="s">
        <v>2358</v>
      </c>
      <c r="AB1183" t="s">
        <v>189</v>
      </c>
      <c r="AC1183" t="s">
        <v>152</v>
      </c>
      <c r="AD1183" t="s">
        <v>2278</v>
      </c>
      <c r="AF1183" t="s">
        <v>49</v>
      </c>
      <c r="AL1183" t="s">
        <v>49</v>
      </c>
      <c r="AM1183" t="s">
        <v>801</v>
      </c>
      <c r="AN1183" t="s">
        <v>166</v>
      </c>
      <c r="AP1183" t="s">
        <v>49</v>
      </c>
    </row>
    <row r="1184" spans="1:42" x14ac:dyDescent="0.2">
      <c r="A1184" t="s">
        <v>802</v>
      </c>
      <c r="B1184" t="s">
        <v>803</v>
      </c>
      <c r="C1184">
        <v>2019</v>
      </c>
      <c r="D1184" t="s">
        <v>44</v>
      </c>
      <c r="F1184" t="s">
        <v>931</v>
      </c>
      <c r="G1184" t="s">
        <v>88</v>
      </c>
      <c r="H1184" t="s">
        <v>96</v>
      </c>
      <c r="I1184">
        <v>2012</v>
      </c>
      <c r="J1184">
        <v>0.33</v>
      </c>
      <c r="K1184" t="s">
        <v>102</v>
      </c>
      <c r="M1184">
        <v>7.9000000000000008E-3</v>
      </c>
      <c r="N1184" t="s">
        <v>466</v>
      </c>
      <c r="O1184" t="s">
        <v>804</v>
      </c>
      <c r="P1184" t="s">
        <v>805</v>
      </c>
      <c r="Q1184" s="1" t="s">
        <v>2281</v>
      </c>
      <c r="R1184" s="1" t="s">
        <v>2301</v>
      </c>
      <c r="S1184" s="1" t="s">
        <v>2303</v>
      </c>
      <c r="X1184" t="s">
        <v>189</v>
      </c>
      <c r="Y1184" t="s">
        <v>2279</v>
      </c>
      <c r="Z1184" t="s">
        <v>2280</v>
      </c>
      <c r="AA1184" t="s">
        <v>2358</v>
      </c>
      <c r="AB1184" t="s">
        <v>189</v>
      </c>
      <c r="AC1184" t="s">
        <v>152</v>
      </c>
      <c r="AD1184" t="s">
        <v>2278</v>
      </c>
    </row>
    <row r="1185" spans="1:45" x14ac:dyDescent="0.2">
      <c r="A1185" t="s">
        <v>802</v>
      </c>
      <c r="B1185" t="s">
        <v>803</v>
      </c>
      <c r="C1185">
        <v>2019</v>
      </c>
      <c r="D1185" t="s">
        <v>44</v>
      </c>
      <c r="F1185" t="s">
        <v>931</v>
      </c>
      <c r="G1185" t="s">
        <v>88</v>
      </c>
      <c r="H1185" t="s">
        <v>96</v>
      </c>
      <c r="I1185">
        <v>2012</v>
      </c>
      <c r="J1185">
        <v>0.33</v>
      </c>
      <c r="K1185" t="s">
        <v>102</v>
      </c>
      <c r="M1185">
        <v>7.9000000000000008E-3</v>
      </c>
      <c r="N1185" t="s">
        <v>466</v>
      </c>
      <c r="O1185" t="s">
        <v>804</v>
      </c>
      <c r="P1185" t="s">
        <v>805</v>
      </c>
      <c r="Q1185" s="1" t="s">
        <v>2281</v>
      </c>
      <c r="R1185" s="1" t="s">
        <v>2301</v>
      </c>
      <c r="S1185" s="1" t="s">
        <v>2303</v>
      </c>
      <c r="T1185" t="s">
        <v>421</v>
      </c>
      <c r="U1185" t="s">
        <v>421</v>
      </c>
      <c r="X1185" t="s">
        <v>161</v>
      </c>
      <c r="Y1185" t="s">
        <v>2272</v>
      </c>
      <c r="Z1185" t="s">
        <v>2272</v>
      </c>
      <c r="AA1185" t="s">
        <v>2272</v>
      </c>
      <c r="AB1185" t="s">
        <v>2272</v>
      </c>
      <c r="AC1185" t="s">
        <v>162</v>
      </c>
      <c r="AD1185" t="s">
        <v>2272</v>
      </c>
      <c r="AG1185" t="s">
        <v>49</v>
      </c>
      <c r="AI1185" t="s">
        <v>49</v>
      </c>
      <c r="AM1185" t="s">
        <v>806</v>
      </c>
      <c r="AN1185" t="s">
        <v>166</v>
      </c>
      <c r="AQ1185" s="5">
        <v>1</v>
      </c>
    </row>
    <row r="1186" spans="1:45" x14ac:dyDescent="0.2">
      <c r="A1186" t="s">
        <v>802</v>
      </c>
      <c r="B1186" t="s">
        <v>803</v>
      </c>
      <c r="C1186">
        <v>2019</v>
      </c>
      <c r="D1186" t="s">
        <v>44</v>
      </c>
      <c r="F1186" t="s">
        <v>931</v>
      </c>
      <c r="G1186" t="s">
        <v>88</v>
      </c>
      <c r="H1186" t="s">
        <v>96</v>
      </c>
      <c r="I1186">
        <v>2012</v>
      </c>
      <c r="J1186">
        <v>0.33</v>
      </c>
      <c r="K1186" t="s">
        <v>102</v>
      </c>
      <c r="M1186">
        <v>7.9000000000000008E-3</v>
      </c>
      <c r="N1186" t="s">
        <v>466</v>
      </c>
      <c r="O1186" t="s">
        <v>804</v>
      </c>
      <c r="P1186" t="s">
        <v>805</v>
      </c>
      <c r="Q1186" s="1" t="s">
        <v>2281</v>
      </c>
      <c r="R1186" s="1" t="s">
        <v>2301</v>
      </c>
      <c r="S1186" s="1" t="s">
        <v>2303</v>
      </c>
      <c r="T1186" t="s">
        <v>421</v>
      </c>
      <c r="U1186" t="s">
        <v>421</v>
      </c>
      <c r="X1186" t="s">
        <v>161</v>
      </c>
      <c r="Y1186" t="s">
        <v>2272</v>
      </c>
      <c r="Z1186" t="s">
        <v>2272</v>
      </c>
      <c r="AA1186" t="s">
        <v>2272</v>
      </c>
      <c r="AB1186" t="s">
        <v>2272</v>
      </c>
      <c r="AC1186" t="s">
        <v>162</v>
      </c>
      <c r="AD1186" t="s">
        <v>2272</v>
      </c>
      <c r="AG1186" t="s">
        <v>49</v>
      </c>
      <c r="AI1186" t="s">
        <v>49</v>
      </c>
      <c r="AM1186" t="s">
        <v>806</v>
      </c>
      <c r="AN1186" t="s">
        <v>154</v>
      </c>
      <c r="AQ1186" s="5">
        <v>1</v>
      </c>
    </row>
    <row r="1187" spans="1:45" x14ac:dyDescent="0.2">
      <c r="A1187" t="s">
        <v>802</v>
      </c>
      <c r="B1187" t="s">
        <v>803</v>
      </c>
      <c r="C1187">
        <v>2019</v>
      </c>
      <c r="D1187" t="s">
        <v>44</v>
      </c>
      <c r="F1187" t="s">
        <v>931</v>
      </c>
      <c r="G1187" t="s">
        <v>88</v>
      </c>
      <c r="H1187" t="s">
        <v>96</v>
      </c>
      <c r="I1187">
        <v>2012</v>
      </c>
      <c r="J1187">
        <v>0.33</v>
      </c>
      <c r="K1187" t="s">
        <v>102</v>
      </c>
      <c r="M1187">
        <v>7.9000000000000008E-3</v>
      </c>
      <c r="N1187" t="s">
        <v>466</v>
      </c>
      <c r="O1187" t="s">
        <v>804</v>
      </c>
      <c r="P1187" t="s">
        <v>805</v>
      </c>
      <c r="Q1187" s="1" t="s">
        <v>2281</v>
      </c>
      <c r="R1187" s="1" t="s">
        <v>2301</v>
      </c>
      <c r="S1187" s="1" t="s">
        <v>2303</v>
      </c>
      <c r="T1187" t="s">
        <v>421</v>
      </c>
      <c r="U1187" t="s">
        <v>421</v>
      </c>
      <c r="X1187" t="s">
        <v>161</v>
      </c>
      <c r="Y1187" t="s">
        <v>2272</v>
      </c>
      <c r="Z1187" t="s">
        <v>2272</v>
      </c>
      <c r="AA1187" t="s">
        <v>2272</v>
      </c>
      <c r="AB1187" t="s">
        <v>2272</v>
      </c>
      <c r="AC1187" t="s">
        <v>162</v>
      </c>
      <c r="AD1187" t="s">
        <v>2272</v>
      </c>
      <c r="AG1187" t="s">
        <v>49</v>
      </c>
      <c r="AI1187" t="s">
        <v>49</v>
      </c>
      <c r="AM1187" t="s">
        <v>806</v>
      </c>
      <c r="AN1187" t="s">
        <v>165</v>
      </c>
      <c r="AP1187" t="s">
        <v>49</v>
      </c>
    </row>
    <row r="1188" spans="1:45" x14ac:dyDescent="0.2">
      <c r="A1188" t="s">
        <v>802</v>
      </c>
      <c r="B1188" t="s">
        <v>803</v>
      </c>
      <c r="C1188">
        <v>2019</v>
      </c>
      <c r="D1188" t="s">
        <v>44</v>
      </c>
      <c r="F1188" t="s">
        <v>931</v>
      </c>
      <c r="G1188" t="s">
        <v>88</v>
      </c>
      <c r="H1188" t="s">
        <v>96</v>
      </c>
      <c r="I1188">
        <v>2012</v>
      </c>
      <c r="J1188">
        <v>0.33</v>
      </c>
      <c r="K1188" t="s">
        <v>102</v>
      </c>
      <c r="M1188">
        <v>7.9000000000000008E-3</v>
      </c>
      <c r="N1188" t="s">
        <v>466</v>
      </c>
      <c r="O1188" t="s">
        <v>804</v>
      </c>
      <c r="P1188" t="s">
        <v>805</v>
      </c>
      <c r="Q1188" s="1" t="s">
        <v>2281</v>
      </c>
      <c r="R1188" s="1" t="s">
        <v>2301</v>
      </c>
      <c r="S1188" s="1" t="s">
        <v>2303</v>
      </c>
      <c r="T1188" t="s">
        <v>421</v>
      </c>
      <c r="U1188" t="s">
        <v>421</v>
      </c>
      <c r="X1188" t="s">
        <v>161</v>
      </c>
      <c r="Y1188" t="s">
        <v>2272</v>
      </c>
      <c r="Z1188" t="s">
        <v>2272</v>
      </c>
      <c r="AA1188" t="s">
        <v>2272</v>
      </c>
      <c r="AB1188" t="s">
        <v>2272</v>
      </c>
      <c r="AC1188" t="s">
        <v>162</v>
      </c>
      <c r="AD1188" t="s">
        <v>2272</v>
      </c>
      <c r="AG1188" t="s">
        <v>49</v>
      </c>
      <c r="AI1188" t="s">
        <v>49</v>
      </c>
      <c r="AM1188" t="s">
        <v>806</v>
      </c>
      <c r="AN1188" t="s">
        <v>191</v>
      </c>
    </row>
    <row r="1189" spans="1:45" x14ac:dyDescent="0.2">
      <c r="A1189" t="s">
        <v>807</v>
      </c>
      <c r="B1189" t="s">
        <v>808</v>
      </c>
      <c r="C1189">
        <v>2019</v>
      </c>
      <c r="D1189" t="s">
        <v>44</v>
      </c>
      <c r="E1189" t="s">
        <v>49</v>
      </c>
      <c r="F1189" t="s">
        <v>81</v>
      </c>
      <c r="G1189" t="s">
        <v>91</v>
      </c>
      <c r="H1189" t="s">
        <v>96</v>
      </c>
      <c r="I1189" t="s">
        <v>614</v>
      </c>
      <c r="J1189">
        <v>0.92</v>
      </c>
      <c r="K1189" t="s">
        <v>109</v>
      </c>
      <c r="L1189">
        <v>250</v>
      </c>
      <c r="N1189" t="s">
        <v>121</v>
      </c>
      <c r="O1189" t="s">
        <v>264</v>
      </c>
      <c r="P1189" t="s">
        <v>286</v>
      </c>
      <c r="Q1189" s="1" t="s">
        <v>2292</v>
      </c>
      <c r="R1189" s="1" t="s">
        <v>264</v>
      </c>
      <c r="S1189" s="1" t="s">
        <v>264</v>
      </c>
      <c r="X1189" t="s">
        <v>527</v>
      </c>
      <c r="Y1189" t="s">
        <v>2279</v>
      </c>
      <c r="Z1189" t="s">
        <v>2280</v>
      </c>
      <c r="AA1189" t="s">
        <v>2358</v>
      </c>
      <c r="AB1189" t="s">
        <v>2009</v>
      </c>
      <c r="AC1189" t="s">
        <v>152</v>
      </c>
      <c r="AD1189" t="s">
        <v>2278</v>
      </c>
      <c r="AF1189" t="s">
        <v>49</v>
      </c>
      <c r="AH1189" s="4" t="s">
        <v>49</v>
      </c>
      <c r="AJ1189" t="s">
        <v>49</v>
      </c>
      <c r="AM1189" t="s">
        <v>688</v>
      </c>
      <c r="AN1189" t="s">
        <v>165</v>
      </c>
      <c r="AP1189" t="s">
        <v>49</v>
      </c>
    </row>
    <row r="1190" spans="1:45" x14ac:dyDescent="0.2">
      <c r="A1190" t="s">
        <v>807</v>
      </c>
      <c r="B1190" t="s">
        <v>808</v>
      </c>
      <c r="C1190">
        <v>2019</v>
      </c>
      <c r="D1190" t="s">
        <v>44</v>
      </c>
      <c r="E1190" t="s">
        <v>49</v>
      </c>
      <c r="F1190" t="s">
        <v>81</v>
      </c>
      <c r="G1190" t="s">
        <v>91</v>
      </c>
      <c r="H1190" t="s">
        <v>96</v>
      </c>
      <c r="I1190" t="s">
        <v>614</v>
      </c>
      <c r="J1190">
        <v>0.92</v>
      </c>
      <c r="K1190" t="s">
        <v>109</v>
      </c>
      <c r="L1190">
        <v>250</v>
      </c>
      <c r="N1190" t="s">
        <v>121</v>
      </c>
      <c r="O1190" t="s">
        <v>264</v>
      </c>
      <c r="P1190" t="s">
        <v>286</v>
      </c>
      <c r="Q1190" s="1" t="s">
        <v>2292</v>
      </c>
      <c r="R1190" s="1" t="s">
        <v>264</v>
      </c>
      <c r="S1190" s="1" t="s">
        <v>264</v>
      </c>
      <c r="X1190" t="s">
        <v>189</v>
      </c>
      <c r="Y1190" t="s">
        <v>2279</v>
      </c>
      <c r="Z1190" t="s">
        <v>2280</v>
      </c>
      <c r="AA1190" t="s">
        <v>2358</v>
      </c>
      <c r="AB1190" t="s">
        <v>189</v>
      </c>
      <c r="AC1190" t="s">
        <v>152</v>
      </c>
      <c r="AD1190" t="s">
        <v>2278</v>
      </c>
    </row>
    <row r="1191" spans="1:45" x14ac:dyDescent="0.2">
      <c r="A1191" t="s">
        <v>807</v>
      </c>
      <c r="B1191" t="s">
        <v>808</v>
      </c>
      <c r="C1191">
        <v>2019</v>
      </c>
      <c r="D1191" t="s">
        <v>44</v>
      </c>
      <c r="E1191" t="s">
        <v>49</v>
      </c>
      <c r="F1191" t="s">
        <v>81</v>
      </c>
      <c r="G1191" t="s">
        <v>91</v>
      </c>
      <c r="H1191" t="s">
        <v>96</v>
      </c>
      <c r="I1191" t="s">
        <v>614</v>
      </c>
      <c r="J1191">
        <v>0.92</v>
      </c>
      <c r="K1191" t="s">
        <v>109</v>
      </c>
      <c r="L1191">
        <v>250</v>
      </c>
      <c r="N1191" t="s">
        <v>121</v>
      </c>
      <c r="O1191" t="s">
        <v>264</v>
      </c>
      <c r="P1191" t="s">
        <v>286</v>
      </c>
      <c r="Q1191" s="1" t="s">
        <v>2292</v>
      </c>
      <c r="R1191" s="1" t="s">
        <v>264</v>
      </c>
      <c r="S1191" s="1" t="s">
        <v>264</v>
      </c>
      <c r="T1191" t="s">
        <v>421</v>
      </c>
      <c r="U1191" t="s">
        <v>421</v>
      </c>
      <c r="X1191" t="s">
        <v>161</v>
      </c>
      <c r="Y1191" t="s">
        <v>2272</v>
      </c>
      <c r="Z1191" t="s">
        <v>2272</v>
      </c>
      <c r="AA1191" t="s">
        <v>2272</v>
      </c>
      <c r="AB1191" t="s">
        <v>2272</v>
      </c>
      <c r="AC1191" t="s">
        <v>162</v>
      </c>
      <c r="AD1191" t="s">
        <v>2272</v>
      </c>
      <c r="AF1191" t="s">
        <v>49</v>
      </c>
      <c r="AH1191" s="4" t="s">
        <v>49</v>
      </c>
      <c r="AJ1191" t="s">
        <v>49</v>
      </c>
      <c r="AM1191" t="s">
        <v>688</v>
      </c>
      <c r="AN1191" t="s">
        <v>165</v>
      </c>
      <c r="AP1191" t="s">
        <v>49</v>
      </c>
    </row>
    <row r="1192" spans="1:45" x14ac:dyDescent="0.2">
      <c r="A1192" t="s">
        <v>809</v>
      </c>
      <c r="B1192" t="s">
        <v>810</v>
      </c>
      <c r="C1192">
        <v>2019</v>
      </c>
      <c r="D1192" t="s">
        <v>44</v>
      </c>
      <c r="F1192" t="s">
        <v>83</v>
      </c>
      <c r="G1192" t="s">
        <v>85</v>
      </c>
      <c r="H1192" t="s">
        <v>96</v>
      </c>
      <c r="I1192">
        <v>2007</v>
      </c>
      <c r="J1192">
        <v>1</v>
      </c>
      <c r="K1192" t="s">
        <v>109</v>
      </c>
      <c r="L1192">
        <v>48</v>
      </c>
      <c r="M1192">
        <v>0.09</v>
      </c>
      <c r="N1192" t="s">
        <v>120</v>
      </c>
      <c r="O1192" t="s">
        <v>120</v>
      </c>
      <c r="P1192" t="s">
        <v>667</v>
      </c>
      <c r="Q1192" s="1" t="s">
        <v>2276</v>
      </c>
      <c r="R1192" s="1" t="s">
        <v>669</v>
      </c>
      <c r="S1192" s="1" t="s">
        <v>168</v>
      </c>
      <c r="X1192" t="s">
        <v>211</v>
      </c>
      <c r="Y1192" t="s">
        <v>2279</v>
      </c>
      <c r="Z1192" t="s">
        <v>2280</v>
      </c>
      <c r="AA1192" t="s">
        <v>2358</v>
      </c>
      <c r="AB1192" t="s">
        <v>2290</v>
      </c>
      <c r="AC1192" t="s">
        <v>162</v>
      </c>
      <c r="AD1192" t="s">
        <v>2278</v>
      </c>
      <c r="AM1192" t="s">
        <v>812</v>
      </c>
      <c r="AN1192" t="s">
        <v>165</v>
      </c>
      <c r="AP1192" t="s">
        <v>49</v>
      </c>
    </row>
    <row r="1193" spans="1:45" x14ac:dyDescent="0.2">
      <c r="A1193" t="s">
        <v>809</v>
      </c>
      <c r="B1193" t="s">
        <v>810</v>
      </c>
      <c r="C1193">
        <v>2019</v>
      </c>
      <c r="D1193" t="s">
        <v>44</v>
      </c>
      <c r="F1193" t="s">
        <v>83</v>
      </c>
      <c r="G1193" t="s">
        <v>85</v>
      </c>
      <c r="H1193" t="s">
        <v>96</v>
      </c>
      <c r="I1193">
        <v>2007</v>
      </c>
      <c r="J1193">
        <v>1</v>
      </c>
      <c r="K1193" t="s">
        <v>109</v>
      </c>
      <c r="L1193">
        <v>48</v>
      </c>
      <c r="M1193">
        <v>0.09</v>
      </c>
      <c r="N1193" t="s">
        <v>120</v>
      </c>
      <c r="O1193" t="s">
        <v>120</v>
      </c>
      <c r="P1193" t="s">
        <v>667</v>
      </c>
      <c r="Q1193" s="1" t="s">
        <v>2276</v>
      </c>
      <c r="R1193" s="1" t="s">
        <v>669</v>
      </c>
      <c r="S1193" s="1" t="s">
        <v>168</v>
      </c>
      <c r="X1193" t="s">
        <v>293</v>
      </c>
      <c r="Y1193" t="s">
        <v>2273</v>
      </c>
      <c r="Z1193" t="s">
        <v>249</v>
      </c>
      <c r="AA1193" t="s">
        <v>2359</v>
      </c>
      <c r="AB1193" t="s">
        <v>1419</v>
      </c>
      <c r="AC1193" t="s">
        <v>152</v>
      </c>
      <c r="AD1193" t="s">
        <v>137</v>
      </c>
    </row>
    <row r="1194" spans="1:45" x14ac:dyDescent="0.2">
      <c r="A1194" t="s">
        <v>809</v>
      </c>
      <c r="B1194" t="s">
        <v>810</v>
      </c>
      <c r="C1194">
        <v>2019</v>
      </c>
      <c r="D1194" t="s">
        <v>811</v>
      </c>
      <c r="F1194" t="s">
        <v>83</v>
      </c>
      <c r="G1194" t="s">
        <v>85</v>
      </c>
      <c r="H1194" t="s">
        <v>96</v>
      </c>
      <c r="I1194">
        <v>2007</v>
      </c>
      <c r="J1194">
        <v>1.04</v>
      </c>
      <c r="K1194" t="s">
        <v>109</v>
      </c>
      <c r="L1194">
        <v>20</v>
      </c>
      <c r="M1194">
        <v>0.25</v>
      </c>
      <c r="N1194" t="s">
        <v>120</v>
      </c>
      <c r="O1194" t="s">
        <v>120</v>
      </c>
      <c r="P1194" t="s">
        <v>667</v>
      </c>
      <c r="Q1194" s="1" t="s">
        <v>2276</v>
      </c>
      <c r="R1194" s="1" t="s">
        <v>669</v>
      </c>
      <c r="S1194" s="1" t="s">
        <v>168</v>
      </c>
      <c r="X1194" t="s">
        <v>293</v>
      </c>
      <c r="Y1194" t="s">
        <v>2273</v>
      </c>
      <c r="Z1194" t="s">
        <v>249</v>
      </c>
      <c r="AA1194" t="s">
        <v>2359</v>
      </c>
      <c r="AB1194" t="s">
        <v>1419</v>
      </c>
      <c r="AC1194" t="s">
        <v>152</v>
      </c>
      <c r="AD1194" t="s">
        <v>137</v>
      </c>
    </row>
    <row r="1195" spans="1:45" x14ac:dyDescent="0.2">
      <c r="A1195" t="s">
        <v>809</v>
      </c>
      <c r="B1195" t="s">
        <v>810</v>
      </c>
      <c r="C1195">
        <v>2019</v>
      </c>
      <c r="D1195" t="s">
        <v>811</v>
      </c>
      <c r="F1195" t="s">
        <v>83</v>
      </c>
      <c r="G1195" t="s">
        <v>85</v>
      </c>
      <c r="H1195" t="s">
        <v>96</v>
      </c>
      <c r="I1195">
        <v>2007</v>
      </c>
      <c r="J1195">
        <v>1.04</v>
      </c>
      <c r="K1195" t="s">
        <v>109</v>
      </c>
      <c r="L1195">
        <v>20</v>
      </c>
      <c r="M1195">
        <v>0.25</v>
      </c>
      <c r="N1195" t="s">
        <v>120</v>
      </c>
      <c r="O1195" t="s">
        <v>120</v>
      </c>
      <c r="P1195" t="s">
        <v>667</v>
      </c>
      <c r="Q1195" s="1" t="s">
        <v>2276</v>
      </c>
      <c r="R1195" s="1" t="s">
        <v>669</v>
      </c>
      <c r="S1195" s="1" t="s">
        <v>168</v>
      </c>
      <c r="Y1195" t="s">
        <v>2272</v>
      </c>
      <c r="Z1195" t="s">
        <v>2272</v>
      </c>
      <c r="AA1195" t="s">
        <v>2272</v>
      </c>
      <c r="AB1195" t="s">
        <v>2272</v>
      </c>
      <c r="AD1195" t="s">
        <v>2272</v>
      </c>
      <c r="AR1195" t="s">
        <v>144</v>
      </c>
      <c r="AS1195" t="s">
        <v>2583</v>
      </c>
    </row>
    <row r="1196" spans="1:45" x14ac:dyDescent="0.2">
      <c r="A1196" t="s">
        <v>813</v>
      </c>
      <c r="B1196" t="s">
        <v>814</v>
      </c>
      <c r="C1196">
        <v>2019</v>
      </c>
      <c r="D1196" t="s">
        <v>811</v>
      </c>
      <c r="F1196" t="s">
        <v>628</v>
      </c>
      <c r="G1196" t="s">
        <v>86</v>
      </c>
      <c r="H1196" t="s">
        <v>96</v>
      </c>
      <c r="I1196">
        <v>2013</v>
      </c>
      <c r="J1196">
        <v>0.17</v>
      </c>
      <c r="K1196" t="s">
        <v>101</v>
      </c>
      <c r="N1196" t="s">
        <v>123</v>
      </c>
      <c r="O1196" t="s">
        <v>123</v>
      </c>
      <c r="P1196" t="s">
        <v>406</v>
      </c>
      <c r="Q1196" t="s">
        <v>2281</v>
      </c>
      <c r="R1196" t="s">
        <v>2282</v>
      </c>
      <c r="S1196" t="s">
        <v>123</v>
      </c>
      <c r="X1196" t="s">
        <v>234</v>
      </c>
      <c r="Y1196" t="s">
        <v>2279</v>
      </c>
      <c r="Z1196" t="s">
        <v>2280</v>
      </c>
      <c r="AA1196" t="s">
        <v>2358</v>
      </c>
      <c r="AB1196" t="s">
        <v>2459</v>
      </c>
      <c r="AC1196" t="s">
        <v>152</v>
      </c>
      <c r="AD1196" t="s">
        <v>2278</v>
      </c>
      <c r="AF1196" t="s">
        <v>49</v>
      </c>
      <c r="AI1196" t="s">
        <v>49</v>
      </c>
      <c r="AM1196" t="s">
        <v>262</v>
      </c>
      <c r="AN1196" t="s">
        <v>154</v>
      </c>
      <c r="AP1196" t="s">
        <v>157</v>
      </c>
    </row>
    <row r="1197" spans="1:45" x14ac:dyDescent="0.2">
      <c r="A1197" t="s">
        <v>813</v>
      </c>
      <c r="B1197" t="s">
        <v>814</v>
      </c>
      <c r="C1197">
        <v>2019</v>
      </c>
      <c r="D1197" t="s">
        <v>811</v>
      </c>
      <c r="F1197" t="s">
        <v>628</v>
      </c>
      <c r="G1197" t="s">
        <v>86</v>
      </c>
      <c r="H1197" t="s">
        <v>96</v>
      </c>
      <c r="I1197">
        <v>2013</v>
      </c>
      <c r="J1197">
        <v>0.17</v>
      </c>
      <c r="K1197" t="s">
        <v>101</v>
      </c>
      <c r="N1197" t="s">
        <v>123</v>
      </c>
      <c r="O1197" t="s">
        <v>123</v>
      </c>
      <c r="P1197" t="s">
        <v>406</v>
      </c>
      <c r="Q1197" t="s">
        <v>2281</v>
      </c>
      <c r="R1197" t="s">
        <v>2282</v>
      </c>
      <c r="S1197" t="s">
        <v>123</v>
      </c>
      <c r="X1197" t="s">
        <v>235</v>
      </c>
      <c r="Y1197" t="s">
        <v>2279</v>
      </c>
      <c r="Z1197" t="s">
        <v>2280</v>
      </c>
      <c r="AA1197" t="s">
        <v>2358</v>
      </c>
      <c r="AB1197" t="s">
        <v>2009</v>
      </c>
      <c r="AC1197" t="s">
        <v>152</v>
      </c>
      <c r="AD1197" t="s">
        <v>2278</v>
      </c>
      <c r="AF1197" t="s">
        <v>49</v>
      </c>
      <c r="AI1197" t="s">
        <v>49</v>
      </c>
      <c r="AM1197" t="s">
        <v>262</v>
      </c>
      <c r="AN1197" t="s">
        <v>154</v>
      </c>
      <c r="AP1197" t="s">
        <v>49</v>
      </c>
    </row>
    <row r="1198" spans="1:45" x14ac:dyDescent="0.2">
      <c r="A1198" t="s">
        <v>813</v>
      </c>
      <c r="B1198" t="s">
        <v>814</v>
      </c>
      <c r="C1198">
        <v>2019</v>
      </c>
      <c r="D1198" t="s">
        <v>811</v>
      </c>
      <c r="F1198" t="s">
        <v>628</v>
      </c>
      <c r="G1198" t="s">
        <v>86</v>
      </c>
      <c r="H1198" t="s">
        <v>96</v>
      </c>
      <c r="I1198">
        <v>2013</v>
      </c>
      <c r="J1198">
        <v>0.17</v>
      </c>
      <c r="K1198" t="s">
        <v>101</v>
      </c>
      <c r="N1198" t="s">
        <v>123</v>
      </c>
      <c r="O1198" t="s">
        <v>123</v>
      </c>
      <c r="P1198" t="s">
        <v>406</v>
      </c>
      <c r="Q1198" t="s">
        <v>2281</v>
      </c>
      <c r="R1198" t="s">
        <v>2282</v>
      </c>
      <c r="S1198" t="s">
        <v>123</v>
      </c>
      <c r="X1198" t="s">
        <v>2496</v>
      </c>
      <c r="Y1198" t="s">
        <v>2279</v>
      </c>
      <c r="Z1198" t="s">
        <v>2280</v>
      </c>
      <c r="AA1198" t="s">
        <v>2286</v>
      </c>
      <c r="AB1198" t="s">
        <v>2287</v>
      </c>
      <c r="AC1198" t="s">
        <v>152</v>
      </c>
      <c r="AD1198" t="s">
        <v>2278</v>
      </c>
      <c r="AF1198" t="s">
        <v>49</v>
      </c>
      <c r="AI1198" t="s">
        <v>49</v>
      </c>
      <c r="AM1198" t="s">
        <v>262</v>
      </c>
      <c r="AN1198" t="s">
        <v>154</v>
      </c>
      <c r="AP1198" t="s">
        <v>51</v>
      </c>
    </row>
    <row r="1199" spans="1:45" x14ac:dyDescent="0.2">
      <c r="A1199" t="s">
        <v>813</v>
      </c>
      <c r="B1199" t="s">
        <v>814</v>
      </c>
      <c r="C1199">
        <v>2019</v>
      </c>
      <c r="D1199" t="s">
        <v>811</v>
      </c>
      <c r="F1199" t="s">
        <v>628</v>
      </c>
      <c r="G1199" t="s">
        <v>86</v>
      </c>
      <c r="H1199" t="s">
        <v>96</v>
      </c>
      <c r="I1199">
        <v>2013</v>
      </c>
      <c r="J1199">
        <v>0.17</v>
      </c>
      <c r="K1199" t="s">
        <v>101</v>
      </c>
      <c r="N1199" t="s">
        <v>123</v>
      </c>
      <c r="O1199" t="s">
        <v>123</v>
      </c>
      <c r="P1199" t="s">
        <v>406</v>
      </c>
      <c r="Q1199" t="s">
        <v>2281</v>
      </c>
      <c r="R1199" t="s">
        <v>2282</v>
      </c>
      <c r="S1199" t="s">
        <v>123</v>
      </c>
      <c r="X1199" t="s">
        <v>234</v>
      </c>
      <c r="Y1199" t="s">
        <v>2279</v>
      </c>
      <c r="Z1199" t="s">
        <v>2280</v>
      </c>
      <c r="AA1199" t="s">
        <v>2358</v>
      </c>
      <c r="AB1199" t="s">
        <v>2459</v>
      </c>
      <c r="AC1199" t="s">
        <v>152</v>
      </c>
      <c r="AD1199" t="s">
        <v>2278</v>
      </c>
      <c r="AF1199" t="s">
        <v>49</v>
      </c>
      <c r="AI1199" t="s">
        <v>49</v>
      </c>
      <c r="AM1199" t="s">
        <v>262</v>
      </c>
      <c r="AN1199" t="s">
        <v>166</v>
      </c>
      <c r="AP1199" t="s">
        <v>51</v>
      </c>
    </row>
    <row r="1200" spans="1:45" x14ac:dyDescent="0.2">
      <c r="A1200" t="s">
        <v>813</v>
      </c>
      <c r="B1200" t="s">
        <v>814</v>
      </c>
      <c r="C1200">
        <v>2019</v>
      </c>
      <c r="D1200" t="s">
        <v>811</v>
      </c>
      <c r="F1200" t="s">
        <v>628</v>
      </c>
      <c r="G1200" t="s">
        <v>86</v>
      </c>
      <c r="H1200" t="s">
        <v>96</v>
      </c>
      <c r="I1200">
        <v>2013</v>
      </c>
      <c r="J1200">
        <v>0.17</v>
      </c>
      <c r="K1200" t="s">
        <v>101</v>
      </c>
      <c r="N1200" t="s">
        <v>123</v>
      </c>
      <c r="O1200" t="s">
        <v>123</v>
      </c>
      <c r="P1200" t="s">
        <v>406</v>
      </c>
      <c r="Q1200" t="s">
        <v>2281</v>
      </c>
      <c r="R1200" t="s">
        <v>2282</v>
      </c>
      <c r="S1200" t="s">
        <v>123</v>
      </c>
      <c r="X1200" t="s">
        <v>235</v>
      </c>
      <c r="Y1200" t="s">
        <v>2279</v>
      </c>
      <c r="Z1200" t="s">
        <v>2280</v>
      </c>
      <c r="AA1200" t="s">
        <v>2358</v>
      </c>
      <c r="AB1200" t="s">
        <v>2009</v>
      </c>
      <c r="AC1200" t="s">
        <v>152</v>
      </c>
      <c r="AD1200" t="s">
        <v>2278</v>
      </c>
      <c r="AF1200" t="s">
        <v>49</v>
      </c>
      <c r="AI1200" t="s">
        <v>49</v>
      </c>
      <c r="AM1200" t="s">
        <v>262</v>
      </c>
      <c r="AN1200" t="s">
        <v>166</v>
      </c>
      <c r="AP1200" t="s">
        <v>51</v>
      </c>
    </row>
    <row r="1201" spans="1:45" x14ac:dyDescent="0.2">
      <c r="A1201" t="s">
        <v>813</v>
      </c>
      <c r="B1201" t="s">
        <v>814</v>
      </c>
      <c r="C1201">
        <v>2019</v>
      </c>
      <c r="D1201" t="s">
        <v>811</v>
      </c>
      <c r="F1201" t="s">
        <v>628</v>
      </c>
      <c r="G1201" t="s">
        <v>86</v>
      </c>
      <c r="H1201" t="s">
        <v>96</v>
      </c>
      <c r="I1201">
        <v>2013</v>
      </c>
      <c r="J1201">
        <v>0.17</v>
      </c>
      <c r="K1201" t="s">
        <v>101</v>
      </c>
      <c r="N1201" t="s">
        <v>123</v>
      </c>
      <c r="O1201" t="s">
        <v>123</v>
      </c>
      <c r="P1201" t="s">
        <v>406</v>
      </c>
      <c r="Q1201" t="s">
        <v>2281</v>
      </c>
      <c r="R1201" t="s">
        <v>2282</v>
      </c>
      <c r="S1201" t="s">
        <v>123</v>
      </c>
      <c r="X1201" t="s">
        <v>2496</v>
      </c>
      <c r="Y1201" t="s">
        <v>2279</v>
      </c>
      <c r="Z1201" t="s">
        <v>2280</v>
      </c>
      <c r="AA1201" t="s">
        <v>2286</v>
      </c>
      <c r="AB1201" t="s">
        <v>2287</v>
      </c>
      <c r="AC1201" t="s">
        <v>152</v>
      </c>
      <c r="AD1201" t="s">
        <v>2278</v>
      </c>
      <c r="AF1201" t="s">
        <v>49</v>
      </c>
      <c r="AI1201" t="s">
        <v>49</v>
      </c>
      <c r="AM1201" t="s">
        <v>262</v>
      </c>
      <c r="AN1201" t="s">
        <v>166</v>
      </c>
      <c r="AP1201" t="s">
        <v>51</v>
      </c>
    </row>
    <row r="1202" spans="1:45" x14ac:dyDescent="0.2">
      <c r="A1202" t="s">
        <v>813</v>
      </c>
      <c r="B1202" t="s">
        <v>814</v>
      </c>
      <c r="C1202">
        <v>2019</v>
      </c>
      <c r="D1202" t="s">
        <v>811</v>
      </c>
      <c r="F1202" t="s">
        <v>628</v>
      </c>
      <c r="G1202" t="s">
        <v>86</v>
      </c>
      <c r="H1202" t="s">
        <v>96</v>
      </c>
      <c r="I1202">
        <v>2013</v>
      </c>
      <c r="J1202">
        <v>0.17</v>
      </c>
      <c r="K1202" t="s">
        <v>101</v>
      </c>
      <c r="N1202" t="s">
        <v>123</v>
      </c>
      <c r="O1202" t="s">
        <v>123</v>
      </c>
      <c r="P1202" t="s">
        <v>406</v>
      </c>
      <c r="Q1202" t="s">
        <v>2281</v>
      </c>
      <c r="R1202" t="s">
        <v>2282</v>
      </c>
      <c r="S1202" t="s">
        <v>123</v>
      </c>
      <c r="X1202" t="s">
        <v>234</v>
      </c>
      <c r="Y1202" t="s">
        <v>2279</v>
      </c>
      <c r="Z1202" t="s">
        <v>2280</v>
      </c>
      <c r="AA1202" t="s">
        <v>2358</v>
      </c>
      <c r="AB1202" t="s">
        <v>2459</v>
      </c>
      <c r="AC1202" t="s">
        <v>152</v>
      </c>
      <c r="AD1202" t="s">
        <v>2278</v>
      </c>
      <c r="AF1202" t="s">
        <v>49</v>
      </c>
      <c r="AI1202" t="s">
        <v>49</v>
      </c>
      <c r="AM1202" t="s">
        <v>262</v>
      </c>
      <c r="AN1202" t="s">
        <v>156</v>
      </c>
      <c r="AP1202" t="s">
        <v>173</v>
      </c>
    </row>
    <row r="1203" spans="1:45" x14ac:dyDescent="0.2">
      <c r="A1203" t="s">
        <v>813</v>
      </c>
      <c r="B1203" t="s">
        <v>814</v>
      </c>
      <c r="C1203">
        <v>2019</v>
      </c>
      <c r="D1203" t="s">
        <v>811</v>
      </c>
      <c r="F1203" t="s">
        <v>628</v>
      </c>
      <c r="G1203" t="s">
        <v>86</v>
      </c>
      <c r="H1203" t="s">
        <v>96</v>
      </c>
      <c r="I1203">
        <v>2013</v>
      </c>
      <c r="J1203">
        <v>0.17</v>
      </c>
      <c r="K1203" t="s">
        <v>101</v>
      </c>
      <c r="N1203" t="s">
        <v>123</v>
      </c>
      <c r="O1203" t="s">
        <v>123</v>
      </c>
      <c r="P1203" t="s">
        <v>406</v>
      </c>
      <c r="Q1203" t="s">
        <v>2281</v>
      </c>
      <c r="R1203" t="s">
        <v>2282</v>
      </c>
      <c r="S1203" t="s">
        <v>123</v>
      </c>
      <c r="X1203" t="s">
        <v>235</v>
      </c>
      <c r="Y1203" t="s">
        <v>2279</v>
      </c>
      <c r="Z1203" t="s">
        <v>2280</v>
      </c>
      <c r="AA1203" t="s">
        <v>2358</v>
      </c>
      <c r="AB1203" t="s">
        <v>2009</v>
      </c>
      <c r="AC1203" t="s">
        <v>152</v>
      </c>
      <c r="AD1203" t="s">
        <v>2278</v>
      </c>
      <c r="AF1203" t="s">
        <v>49</v>
      </c>
      <c r="AI1203" t="s">
        <v>49</v>
      </c>
      <c r="AM1203" t="s">
        <v>262</v>
      </c>
      <c r="AN1203" t="s">
        <v>156</v>
      </c>
      <c r="AP1203" t="s">
        <v>49</v>
      </c>
    </row>
    <row r="1204" spans="1:45" x14ac:dyDescent="0.2">
      <c r="A1204" t="s">
        <v>813</v>
      </c>
      <c r="B1204" t="s">
        <v>814</v>
      </c>
      <c r="C1204">
        <v>2019</v>
      </c>
      <c r="D1204" t="s">
        <v>811</v>
      </c>
      <c r="F1204" t="s">
        <v>628</v>
      </c>
      <c r="G1204" t="s">
        <v>86</v>
      </c>
      <c r="H1204" t="s">
        <v>96</v>
      </c>
      <c r="I1204">
        <v>2013</v>
      </c>
      <c r="J1204">
        <v>0.17</v>
      </c>
      <c r="K1204" t="s">
        <v>101</v>
      </c>
      <c r="N1204" t="s">
        <v>123</v>
      </c>
      <c r="O1204" t="s">
        <v>123</v>
      </c>
      <c r="P1204" t="s">
        <v>406</v>
      </c>
      <c r="Q1204" t="s">
        <v>2281</v>
      </c>
      <c r="R1204" t="s">
        <v>2282</v>
      </c>
      <c r="S1204" t="s">
        <v>123</v>
      </c>
      <c r="X1204" t="s">
        <v>2496</v>
      </c>
      <c r="Y1204" t="s">
        <v>2279</v>
      </c>
      <c r="Z1204" t="s">
        <v>2280</v>
      </c>
      <c r="AA1204" t="s">
        <v>2286</v>
      </c>
      <c r="AB1204" t="s">
        <v>2287</v>
      </c>
      <c r="AC1204" t="s">
        <v>152</v>
      </c>
      <c r="AD1204" t="s">
        <v>2278</v>
      </c>
      <c r="AF1204" t="s">
        <v>49</v>
      </c>
      <c r="AI1204" t="s">
        <v>49</v>
      </c>
      <c r="AM1204" t="s">
        <v>262</v>
      </c>
      <c r="AN1204" t="s">
        <v>156</v>
      </c>
      <c r="AP1204" t="s">
        <v>51</v>
      </c>
    </row>
    <row r="1205" spans="1:45" x14ac:dyDescent="0.2">
      <c r="A1205" t="s">
        <v>813</v>
      </c>
      <c r="B1205" t="s">
        <v>814</v>
      </c>
      <c r="C1205">
        <v>2019</v>
      </c>
      <c r="D1205" t="s">
        <v>811</v>
      </c>
      <c r="F1205" t="s">
        <v>628</v>
      </c>
      <c r="G1205" t="s">
        <v>86</v>
      </c>
      <c r="H1205" t="s">
        <v>96</v>
      </c>
      <c r="I1205">
        <v>2013</v>
      </c>
      <c r="J1205">
        <v>0.17</v>
      </c>
      <c r="K1205" t="s">
        <v>101</v>
      </c>
      <c r="N1205" t="s">
        <v>123</v>
      </c>
      <c r="O1205" t="s">
        <v>123</v>
      </c>
      <c r="P1205" t="s">
        <v>406</v>
      </c>
      <c r="Q1205" t="s">
        <v>2281</v>
      </c>
      <c r="R1205" t="s">
        <v>2282</v>
      </c>
      <c r="S1205" t="s">
        <v>123</v>
      </c>
      <c r="X1205" t="s">
        <v>234</v>
      </c>
      <c r="Y1205" t="s">
        <v>2279</v>
      </c>
      <c r="Z1205" t="s">
        <v>2280</v>
      </c>
      <c r="AA1205" t="s">
        <v>2358</v>
      </c>
      <c r="AB1205" t="s">
        <v>2459</v>
      </c>
      <c r="AC1205" t="s">
        <v>152</v>
      </c>
      <c r="AD1205" t="s">
        <v>2278</v>
      </c>
      <c r="AF1205" t="s">
        <v>49</v>
      </c>
      <c r="AI1205" t="s">
        <v>49</v>
      </c>
      <c r="AM1205" t="s">
        <v>262</v>
      </c>
      <c r="AN1205" t="s">
        <v>155</v>
      </c>
      <c r="AP1205" t="s">
        <v>51</v>
      </c>
    </row>
    <row r="1206" spans="1:45" x14ac:dyDescent="0.2">
      <c r="A1206" t="s">
        <v>813</v>
      </c>
      <c r="B1206" t="s">
        <v>814</v>
      </c>
      <c r="C1206">
        <v>2019</v>
      </c>
      <c r="D1206" t="s">
        <v>811</v>
      </c>
      <c r="F1206" t="s">
        <v>628</v>
      </c>
      <c r="G1206" t="s">
        <v>86</v>
      </c>
      <c r="H1206" t="s">
        <v>96</v>
      </c>
      <c r="I1206">
        <v>2013</v>
      </c>
      <c r="J1206">
        <v>0.17</v>
      </c>
      <c r="K1206" t="s">
        <v>101</v>
      </c>
      <c r="N1206" t="s">
        <v>123</v>
      </c>
      <c r="O1206" t="s">
        <v>123</v>
      </c>
      <c r="P1206" t="s">
        <v>406</v>
      </c>
      <c r="Q1206" t="s">
        <v>2281</v>
      </c>
      <c r="R1206" t="s">
        <v>2282</v>
      </c>
      <c r="S1206" t="s">
        <v>123</v>
      </c>
      <c r="X1206" t="s">
        <v>235</v>
      </c>
      <c r="Y1206" t="s">
        <v>2279</v>
      </c>
      <c r="Z1206" t="s">
        <v>2280</v>
      </c>
      <c r="AA1206" t="s">
        <v>2358</v>
      </c>
      <c r="AB1206" t="s">
        <v>2009</v>
      </c>
      <c r="AC1206" t="s">
        <v>152</v>
      </c>
      <c r="AD1206" t="s">
        <v>2278</v>
      </c>
      <c r="AF1206" t="s">
        <v>49</v>
      </c>
      <c r="AI1206" t="s">
        <v>49</v>
      </c>
      <c r="AM1206" t="s">
        <v>262</v>
      </c>
      <c r="AN1206" t="s">
        <v>155</v>
      </c>
      <c r="AP1206" t="s">
        <v>51</v>
      </c>
    </row>
    <row r="1207" spans="1:45" x14ac:dyDescent="0.2">
      <c r="A1207" t="s">
        <v>813</v>
      </c>
      <c r="B1207" t="s">
        <v>814</v>
      </c>
      <c r="C1207">
        <v>2019</v>
      </c>
      <c r="D1207" t="s">
        <v>811</v>
      </c>
      <c r="F1207" t="s">
        <v>628</v>
      </c>
      <c r="G1207" t="s">
        <v>86</v>
      </c>
      <c r="H1207" t="s">
        <v>96</v>
      </c>
      <c r="I1207">
        <v>2013</v>
      </c>
      <c r="J1207">
        <v>0.17</v>
      </c>
      <c r="K1207" t="s">
        <v>101</v>
      </c>
      <c r="N1207" t="s">
        <v>123</v>
      </c>
      <c r="O1207" t="s">
        <v>123</v>
      </c>
      <c r="P1207" t="s">
        <v>406</v>
      </c>
      <c r="Q1207" t="s">
        <v>2281</v>
      </c>
      <c r="R1207" t="s">
        <v>2282</v>
      </c>
      <c r="S1207" t="s">
        <v>123</v>
      </c>
      <c r="X1207" t="s">
        <v>2496</v>
      </c>
      <c r="Y1207" t="s">
        <v>2279</v>
      </c>
      <c r="Z1207" t="s">
        <v>2280</v>
      </c>
      <c r="AA1207" t="s">
        <v>2286</v>
      </c>
      <c r="AB1207" t="s">
        <v>2287</v>
      </c>
      <c r="AC1207" t="s">
        <v>152</v>
      </c>
      <c r="AD1207" t="s">
        <v>2278</v>
      </c>
      <c r="AF1207" t="s">
        <v>49</v>
      </c>
      <c r="AI1207" t="s">
        <v>49</v>
      </c>
      <c r="AM1207" t="s">
        <v>262</v>
      </c>
      <c r="AN1207" t="s">
        <v>155</v>
      </c>
      <c r="AP1207" t="s">
        <v>51</v>
      </c>
    </row>
    <row r="1208" spans="1:45" x14ac:dyDescent="0.2">
      <c r="A1208" t="s">
        <v>815</v>
      </c>
      <c r="Q1208" s="1" t="s">
        <v>2272</v>
      </c>
      <c r="R1208" s="1" t="s">
        <v>2272</v>
      </c>
      <c r="S1208" s="1" t="s">
        <v>2272</v>
      </c>
      <c r="Y1208" t="s">
        <v>2272</v>
      </c>
      <c r="Z1208" t="s">
        <v>2272</v>
      </c>
      <c r="AA1208" t="s">
        <v>2272</v>
      </c>
      <c r="AB1208" t="s">
        <v>2272</v>
      </c>
      <c r="AD1208" t="s">
        <v>2272</v>
      </c>
      <c r="AR1208" t="s">
        <v>144</v>
      </c>
      <c r="AS1208" t="s">
        <v>2583</v>
      </c>
    </row>
    <row r="1209" spans="1:45" x14ac:dyDescent="0.2">
      <c r="A1209" t="s">
        <v>816</v>
      </c>
      <c r="B1209" t="s">
        <v>239</v>
      </c>
      <c r="C1209">
        <v>2019</v>
      </c>
      <c r="D1209" t="s">
        <v>44</v>
      </c>
      <c r="F1209" t="s">
        <v>80</v>
      </c>
      <c r="G1209" t="s">
        <v>86</v>
      </c>
      <c r="H1209" t="s">
        <v>350</v>
      </c>
      <c r="I1209">
        <v>2017</v>
      </c>
      <c r="J1209">
        <v>8.0000000000000002E-3</v>
      </c>
      <c r="K1209" t="s">
        <v>101</v>
      </c>
      <c r="L1209">
        <v>4</v>
      </c>
      <c r="M1209">
        <v>0</v>
      </c>
      <c r="N1209" t="s">
        <v>128</v>
      </c>
      <c r="O1209" t="s">
        <v>221</v>
      </c>
      <c r="P1209" t="s">
        <v>817</v>
      </c>
      <c r="Q1209" s="1" t="s">
        <v>2276</v>
      </c>
      <c r="R1209" s="1" t="s">
        <v>2284</v>
      </c>
      <c r="S1209" s="1" t="s">
        <v>2348</v>
      </c>
      <c r="X1209" t="s">
        <v>615</v>
      </c>
      <c r="Y1209" t="s">
        <v>2273</v>
      </c>
      <c r="Z1209" t="s">
        <v>249</v>
      </c>
      <c r="AA1209" t="s">
        <v>2359</v>
      </c>
      <c r="AB1209" t="s">
        <v>2285</v>
      </c>
      <c r="AC1209" t="s">
        <v>152</v>
      </c>
      <c r="AD1209" t="s">
        <v>137</v>
      </c>
    </row>
    <row r="1210" spans="1:45" x14ac:dyDescent="0.2">
      <c r="A1210" t="s">
        <v>816</v>
      </c>
      <c r="B1210" t="s">
        <v>239</v>
      </c>
      <c r="C1210">
        <v>2019</v>
      </c>
      <c r="D1210" t="s">
        <v>44</v>
      </c>
      <c r="F1210" t="s">
        <v>80</v>
      </c>
      <c r="G1210" t="s">
        <v>86</v>
      </c>
      <c r="H1210" t="s">
        <v>350</v>
      </c>
      <c r="I1210">
        <v>2017</v>
      </c>
      <c r="J1210">
        <v>8.0000000000000002E-3</v>
      </c>
      <c r="K1210" t="s">
        <v>101</v>
      </c>
      <c r="L1210">
        <v>4</v>
      </c>
      <c r="M1210">
        <v>0</v>
      </c>
      <c r="N1210" t="s">
        <v>128</v>
      </c>
      <c r="O1210" t="s">
        <v>221</v>
      </c>
      <c r="P1210" t="s">
        <v>818</v>
      </c>
      <c r="Q1210" s="1" t="s">
        <v>2276</v>
      </c>
      <c r="R1210" s="1" t="s">
        <v>669</v>
      </c>
      <c r="S1210" s="1" t="s">
        <v>2348</v>
      </c>
      <c r="X1210" t="s">
        <v>615</v>
      </c>
      <c r="Y1210" t="s">
        <v>2273</v>
      </c>
      <c r="Z1210" t="s">
        <v>249</v>
      </c>
      <c r="AA1210" t="s">
        <v>2359</v>
      </c>
      <c r="AB1210" t="s">
        <v>2285</v>
      </c>
      <c r="AC1210" t="s">
        <v>152</v>
      </c>
      <c r="AD1210" t="s">
        <v>137</v>
      </c>
    </row>
    <row r="1211" spans="1:45" x14ac:dyDescent="0.2">
      <c r="A1211" t="s">
        <v>816</v>
      </c>
      <c r="B1211" t="s">
        <v>239</v>
      </c>
      <c r="C1211">
        <v>2019</v>
      </c>
      <c r="D1211" t="s">
        <v>44</v>
      </c>
      <c r="F1211" t="s">
        <v>80</v>
      </c>
      <c r="G1211" t="s">
        <v>86</v>
      </c>
      <c r="H1211" t="s">
        <v>350</v>
      </c>
      <c r="I1211">
        <v>2017</v>
      </c>
      <c r="J1211">
        <v>8.0000000000000002E-3</v>
      </c>
      <c r="K1211" t="s">
        <v>101</v>
      </c>
      <c r="L1211">
        <v>4</v>
      </c>
      <c r="M1211">
        <v>0</v>
      </c>
      <c r="N1211" t="s">
        <v>128</v>
      </c>
      <c r="O1211" t="s">
        <v>221</v>
      </c>
      <c r="P1211" t="s">
        <v>817</v>
      </c>
      <c r="Q1211" s="1" t="s">
        <v>2276</v>
      </c>
      <c r="R1211" s="1" t="s">
        <v>2284</v>
      </c>
      <c r="S1211" s="1" t="s">
        <v>2348</v>
      </c>
      <c r="X1211" t="s">
        <v>502</v>
      </c>
      <c r="Y1211" t="s">
        <v>2273</v>
      </c>
      <c r="Z1211" t="s">
        <v>249</v>
      </c>
      <c r="AA1211" t="s">
        <v>2359</v>
      </c>
      <c r="AB1211" t="s">
        <v>2289</v>
      </c>
      <c r="AC1211" t="s">
        <v>152</v>
      </c>
      <c r="AD1211" t="s">
        <v>137</v>
      </c>
    </row>
    <row r="1212" spans="1:45" x14ac:dyDescent="0.2">
      <c r="A1212" t="s">
        <v>816</v>
      </c>
      <c r="B1212" t="s">
        <v>239</v>
      </c>
      <c r="C1212">
        <v>2019</v>
      </c>
      <c r="D1212" t="s">
        <v>44</v>
      </c>
      <c r="F1212" t="s">
        <v>80</v>
      </c>
      <c r="G1212" t="s">
        <v>86</v>
      </c>
      <c r="H1212" t="s">
        <v>350</v>
      </c>
      <c r="I1212">
        <v>2017</v>
      </c>
      <c r="J1212">
        <v>8.0000000000000002E-3</v>
      </c>
      <c r="K1212" t="s">
        <v>101</v>
      </c>
      <c r="L1212">
        <v>4</v>
      </c>
      <c r="M1212">
        <v>0</v>
      </c>
      <c r="N1212" t="s">
        <v>128</v>
      </c>
      <c r="O1212" t="s">
        <v>221</v>
      </c>
      <c r="P1212" t="s">
        <v>818</v>
      </c>
      <c r="Q1212" s="1" t="s">
        <v>2276</v>
      </c>
      <c r="R1212" s="1" t="s">
        <v>669</v>
      </c>
      <c r="S1212" s="1" t="s">
        <v>2348</v>
      </c>
      <c r="X1212" t="s">
        <v>502</v>
      </c>
      <c r="Y1212" t="s">
        <v>2273</v>
      </c>
      <c r="Z1212" t="s">
        <v>249</v>
      </c>
      <c r="AA1212" t="s">
        <v>2359</v>
      </c>
      <c r="AB1212" t="s">
        <v>2289</v>
      </c>
      <c r="AC1212" t="s">
        <v>152</v>
      </c>
      <c r="AD1212" t="s">
        <v>137</v>
      </c>
    </row>
    <row r="1213" spans="1:45" x14ac:dyDescent="0.2">
      <c r="A1213" t="s">
        <v>816</v>
      </c>
      <c r="B1213" t="s">
        <v>239</v>
      </c>
      <c r="C1213">
        <v>2019</v>
      </c>
      <c r="D1213" t="s">
        <v>44</v>
      </c>
      <c r="F1213" t="s">
        <v>80</v>
      </c>
      <c r="G1213" t="s">
        <v>86</v>
      </c>
      <c r="H1213" t="s">
        <v>350</v>
      </c>
      <c r="I1213">
        <v>2017</v>
      </c>
      <c r="J1213">
        <v>8.0000000000000002E-3</v>
      </c>
      <c r="K1213" t="s">
        <v>101</v>
      </c>
      <c r="L1213">
        <v>4</v>
      </c>
      <c r="M1213">
        <v>0</v>
      </c>
      <c r="N1213" t="s">
        <v>128</v>
      </c>
      <c r="O1213" t="s">
        <v>221</v>
      </c>
      <c r="P1213" t="s">
        <v>817</v>
      </c>
      <c r="Q1213" s="1" t="s">
        <v>2276</v>
      </c>
      <c r="R1213" s="1" t="s">
        <v>2284</v>
      </c>
      <c r="S1213" s="1" t="s">
        <v>2348</v>
      </c>
      <c r="X1213" t="s">
        <v>819</v>
      </c>
      <c r="Y1213" t="s">
        <v>2273</v>
      </c>
      <c r="Z1213" t="s">
        <v>249</v>
      </c>
      <c r="AA1213" t="s">
        <v>2359</v>
      </c>
      <c r="AB1213" t="s">
        <v>1419</v>
      </c>
      <c r="AC1213" t="s">
        <v>152</v>
      </c>
      <c r="AD1213" t="s">
        <v>137</v>
      </c>
    </row>
    <row r="1214" spans="1:45" x14ac:dyDescent="0.2">
      <c r="A1214" t="s">
        <v>816</v>
      </c>
      <c r="B1214" t="s">
        <v>239</v>
      </c>
      <c r="C1214">
        <v>2019</v>
      </c>
      <c r="D1214" t="s">
        <v>44</v>
      </c>
      <c r="F1214" t="s">
        <v>80</v>
      </c>
      <c r="G1214" t="s">
        <v>86</v>
      </c>
      <c r="H1214" t="s">
        <v>350</v>
      </c>
      <c r="I1214">
        <v>2017</v>
      </c>
      <c r="J1214">
        <v>8.0000000000000002E-3</v>
      </c>
      <c r="K1214" t="s">
        <v>101</v>
      </c>
      <c r="L1214">
        <v>4</v>
      </c>
      <c r="M1214">
        <v>0</v>
      </c>
      <c r="N1214" t="s">
        <v>128</v>
      </c>
      <c r="O1214" t="s">
        <v>221</v>
      </c>
      <c r="P1214" t="s">
        <v>818</v>
      </c>
      <c r="Q1214" s="1" t="s">
        <v>2276</v>
      </c>
      <c r="R1214" s="1" t="s">
        <v>669</v>
      </c>
      <c r="S1214" s="1" t="s">
        <v>2348</v>
      </c>
      <c r="X1214" t="s">
        <v>819</v>
      </c>
      <c r="Y1214" t="s">
        <v>2273</v>
      </c>
      <c r="Z1214" t="s">
        <v>249</v>
      </c>
      <c r="AA1214" t="s">
        <v>2359</v>
      </c>
      <c r="AB1214" t="s">
        <v>1419</v>
      </c>
      <c r="AC1214" t="s">
        <v>152</v>
      </c>
      <c r="AD1214" t="s">
        <v>137</v>
      </c>
    </row>
    <row r="1215" spans="1:45" x14ac:dyDescent="0.2">
      <c r="A1215" t="s">
        <v>816</v>
      </c>
      <c r="B1215" t="s">
        <v>239</v>
      </c>
      <c r="C1215">
        <v>2019</v>
      </c>
      <c r="D1215" t="s">
        <v>44</v>
      </c>
      <c r="F1215" t="s">
        <v>80</v>
      </c>
      <c r="G1215" t="s">
        <v>86</v>
      </c>
      <c r="H1215" t="s">
        <v>350</v>
      </c>
      <c r="I1215">
        <v>2017</v>
      </c>
      <c r="J1215">
        <v>8.0000000000000002E-3</v>
      </c>
      <c r="K1215" t="s">
        <v>101</v>
      </c>
      <c r="L1215">
        <v>4</v>
      </c>
      <c r="M1215">
        <v>0</v>
      </c>
      <c r="N1215" t="s">
        <v>128</v>
      </c>
      <c r="O1215" t="s">
        <v>221</v>
      </c>
      <c r="P1215" t="s">
        <v>817</v>
      </c>
      <c r="Q1215" s="1" t="s">
        <v>2276</v>
      </c>
      <c r="R1215" s="1" t="s">
        <v>2284</v>
      </c>
      <c r="S1215" s="1" t="s">
        <v>2348</v>
      </c>
      <c r="X1215" t="s">
        <v>820</v>
      </c>
      <c r="Y1215" t="s">
        <v>2273</v>
      </c>
      <c r="Z1215" t="s">
        <v>249</v>
      </c>
      <c r="AA1215" t="s">
        <v>2274</v>
      </c>
      <c r="AB1215" t="s">
        <v>2275</v>
      </c>
      <c r="AC1215" t="s">
        <v>152</v>
      </c>
      <c r="AD1215" t="s">
        <v>137</v>
      </c>
    </row>
    <row r="1216" spans="1:45" x14ac:dyDescent="0.2">
      <c r="A1216" t="s">
        <v>816</v>
      </c>
      <c r="B1216" t="s">
        <v>239</v>
      </c>
      <c r="C1216">
        <v>2019</v>
      </c>
      <c r="D1216" t="s">
        <v>44</v>
      </c>
      <c r="F1216" t="s">
        <v>80</v>
      </c>
      <c r="G1216" t="s">
        <v>86</v>
      </c>
      <c r="H1216" t="s">
        <v>350</v>
      </c>
      <c r="I1216">
        <v>2017</v>
      </c>
      <c r="J1216">
        <v>8.0000000000000002E-3</v>
      </c>
      <c r="K1216" t="s">
        <v>101</v>
      </c>
      <c r="L1216">
        <v>4</v>
      </c>
      <c r="M1216">
        <v>0</v>
      </c>
      <c r="N1216" t="s">
        <v>128</v>
      </c>
      <c r="O1216" t="s">
        <v>221</v>
      </c>
      <c r="P1216" t="s">
        <v>818</v>
      </c>
      <c r="Q1216" s="1" t="s">
        <v>2276</v>
      </c>
      <c r="R1216" s="1" t="s">
        <v>669</v>
      </c>
      <c r="S1216" s="1" t="s">
        <v>2348</v>
      </c>
      <c r="X1216" t="s">
        <v>820</v>
      </c>
      <c r="Y1216" t="s">
        <v>2273</v>
      </c>
      <c r="Z1216" t="s">
        <v>249</v>
      </c>
      <c r="AA1216" t="s">
        <v>2274</v>
      </c>
      <c r="AB1216" t="s">
        <v>2275</v>
      </c>
      <c r="AC1216" t="s">
        <v>152</v>
      </c>
      <c r="AD1216" t="s">
        <v>137</v>
      </c>
    </row>
    <row r="1217" spans="1:45" x14ac:dyDescent="0.2">
      <c r="A1217" t="s">
        <v>816</v>
      </c>
      <c r="B1217" t="s">
        <v>239</v>
      </c>
      <c r="C1217">
        <v>2019</v>
      </c>
      <c r="D1217" t="s">
        <v>44</v>
      </c>
      <c r="F1217" t="s">
        <v>80</v>
      </c>
      <c r="G1217" t="s">
        <v>86</v>
      </c>
      <c r="H1217" t="s">
        <v>350</v>
      </c>
      <c r="I1217">
        <v>2017</v>
      </c>
      <c r="J1217">
        <v>8.0000000000000002E-3</v>
      </c>
      <c r="K1217" t="s">
        <v>101</v>
      </c>
      <c r="L1217">
        <v>4</v>
      </c>
      <c r="M1217">
        <v>0</v>
      </c>
      <c r="N1217" t="s">
        <v>128</v>
      </c>
      <c r="O1217" t="s">
        <v>221</v>
      </c>
      <c r="P1217" t="s">
        <v>817</v>
      </c>
      <c r="Q1217" s="1" t="s">
        <v>2276</v>
      </c>
      <c r="R1217" s="1" t="s">
        <v>2284</v>
      </c>
      <c r="S1217" s="1" t="s">
        <v>2348</v>
      </c>
      <c r="X1217" t="s">
        <v>821</v>
      </c>
      <c r="Y1217" t="s">
        <v>2273</v>
      </c>
      <c r="Z1217" t="s">
        <v>249</v>
      </c>
      <c r="AA1217" t="s">
        <v>2274</v>
      </c>
      <c r="AB1217" t="s">
        <v>2275</v>
      </c>
      <c r="AC1217" t="s">
        <v>152</v>
      </c>
      <c r="AD1217" t="s">
        <v>137</v>
      </c>
    </row>
    <row r="1218" spans="1:45" x14ac:dyDescent="0.2">
      <c r="A1218" t="s">
        <v>816</v>
      </c>
      <c r="B1218" t="s">
        <v>239</v>
      </c>
      <c r="C1218">
        <v>2019</v>
      </c>
      <c r="D1218" t="s">
        <v>44</v>
      </c>
      <c r="F1218" t="s">
        <v>80</v>
      </c>
      <c r="G1218" t="s">
        <v>86</v>
      </c>
      <c r="H1218" t="s">
        <v>350</v>
      </c>
      <c r="I1218">
        <v>2017</v>
      </c>
      <c r="J1218">
        <v>8.0000000000000002E-3</v>
      </c>
      <c r="K1218" t="s">
        <v>101</v>
      </c>
      <c r="L1218">
        <v>4</v>
      </c>
      <c r="M1218">
        <v>0</v>
      </c>
      <c r="N1218" t="s">
        <v>128</v>
      </c>
      <c r="O1218" t="s">
        <v>221</v>
      </c>
      <c r="P1218" t="s">
        <v>818</v>
      </c>
      <c r="Q1218" s="1" t="s">
        <v>2276</v>
      </c>
      <c r="R1218" s="1" t="s">
        <v>669</v>
      </c>
      <c r="S1218" s="1" t="s">
        <v>2348</v>
      </c>
      <c r="X1218" t="s">
        <v>821</v>
      </c>
      <c r="Y1218" t="s">
        <v>2273</v>
      </c>
      <c r="Z1218" t="s">
        <v>249</v>
      </c>
      <c r="AA1218" t="s">
        <v>2274</v>
      </c>
      <c r="AB1218" t="s">
        <v>2275</v>
      </c>
      <c r="AC1218" t="s">
        <v>152</v>
      </c>
      <c r="AD1218" t="s">
        <v>137</v>
      </c>
    </row>
    <row r="1219" spans="1:45" x14ac:dyDescent="0.2">
      <c r="A1219" t="s">
        <v>816</v>
      </c>
      <c r="B1219" t="s">
        <v>239</v>
      </c>
      <c r="C1219">
        <v>2019</v>
      </c>
      <c r="D1219" t="s">
        <v>44</v>
      </c>
      <c r="F1219" t="s">
        <v>80</v>
      </c>
      <c r="G1219" t="s">
        <v>86</v>
      </c>
      <c r="H1219" t="s">
        <v>350</v>
      </c>
      <c r="I1219">
        <v>2017</v>
      </c>
      <c r="J1219">
        <v>8.0000000000000002E-3</v>
      </c>
      <c r="K1219" t="s">
        <v>101</v>
      </c>
      <c r="L1219">
        <v>4</v>
      </c>
      <c r="M1219">
        <v>0</v>
      </c>
      <c r="N1219" t="s">
        <v>128</v>
      </c>
      <c r="O1219" t="s">
        <v>221</v>
      </c>
      <c r="P1219" t="s">
        <v>817</v>
      </c>
      <c r="Q1219" s="1" t="s">
        <v>2276</v>
      </c>
      <c r="R1219" s="1" t="s">
        <v>2284</v>
      </c>
      <c r="S1219" s="1" t="s">
        <v>2348</v>
      </c>
      <c r="T1219" t="s">
        <v>396</v>
      </c>
      <c r="U1219" t="s">
        <v>2284</v>
      </c>
      <c r="V1219" t="s">
        <v>194</v>
      </c>
      <c r="W1219" t="s">
        <v>817</v>
      </c>
      <c r="X1219" t="s">
        <v>161</v>
      </c>
      <c r="Y1219" t="s">
        <v>2272</v>
      </c>
      <c r="Z1219" t="s">
        <v>2272</v>
      </c>
      <c r="AA1219" t="s">
        <v>2272</v>
      </c>
      <c r="AB1219" t="s">
        <v>2272</v>
      </c>
      <c r="AC1219" t="s">
        <v>162</v>
      </c>
      <c r="AD1219" t="s">
        <v>2272</v>
      </c>
      <c r="AF1219" t="s">
        <v>49</v>
      </c>
      <c r="AI1219" t="s">
        <v>49</v>
      </c>
      <c r="AM1219" t="s">
        <v>201</v>
      </c>
      <c r="AN1219" t="s">
        <v>166</v>
      </c>
      <c r="AQ1219" s="5">
        <v>1</v>
      </c>
    </row>
    <row r="1220" spans="1:45" x14ac:dyDescent="0.2">
      <c r="A1220" t="s">
        <v>816</v>
      </c>
      <c r="B1220" t="s">
        <v>239</v>
      </c>
      <c r="C1220">
        <v>2019</v>
      </c>
      <c r="D1220" t="s">
        <v>44</v>
      </c>
      <c r="F1220" t="s">
        <v>80</v>
      </c>
      <c r="G1220" t="s">
        <v>86</v>
      </c>
      <c r="H1220" t="s">
        <v>350</v>
      </c>
      <c r="I1220">
        <v>2017</v>
      </c>
      <c r="J1220">
        <v>8.0000000000000002E-3</v>
      </c>
      <c r="K1220" t="s">
        <v>101</v>
      </c>
      <c r="L1220">
        <v>4</v>
      </c>
      <c r="M1220">
        <v>0</v>
      </c>
      <c r="N1220" t="s">
        <v>128</v>
      </c>
      <c r="O1220" t="s">
        <v>221</v>
      </c>
      <c r="P1220" t="s">
        <v>818</v>
      </c>
      <c r="Q1220" s="1" t="s">
        <v>2276</v>
      </c>
      <c r="R1220" s="1" t="s">
        <v>669</v>
      </c>
      <c r="S1220" s="1" t="s">
        <v>2348</v>
      </c>
      <c r="T1220" t="s">
        <v>396</v>
      </c>
      <c r="U1220" t="s">
        <v>2284</v>
      </c>
      <c r="X1220" t="s">
        <v>161</v>
      </c>
      <c r="Y1220" t="s">
        <v>2272</v>
      </c>
      <c r="Z1220" t="s">
        <v>2272</v>
      </c>
      <c r="AA1220" t="s">
        <v>2272</v>
      </c>
      <c r="AB1220" t="s">
        <v>2272</v>
      </c>
      <c r="AC1220" t="s">
        <v>162</v>
      </c>
      <c r="AD1220" t="s">
        <v>2272</v>
      </c>
      <c r="AF1220" t="s">
        <v>49</v>
      </c>
      <c r="AI1220" t="s">
        <v>49</v>
      </c>
      <c r="AM1220" t="s">
        <v>201</v>
      </c>
      <c r="AN1220" t="s">
        <v>166</v>
      </c>
      <c r="AQ1220" s="5">
        <v>2</v>
      </c>
    </row>
    <row r="1221" spans="1:45" x14ac:dyDescent="0.2">
      <c r="A1221" t="s">
        <v>816</v>
      </c>
      <c r="B1221" t="s">
        <v>239</v>
      </c>
      <c r="C1221">
        <v>2019</v>
      </c>
      <c r="D1221" t="s">
        <v>44</v>
      </c>
      <c r="F1221" t="s">
        <v>80</v>
      </c>
      <c r="G1221" t="s">
        <v>86</v>
      </c>
      <c r="H1221" t="s">
        <v>350</v>
      </c>
      <c r="I1221">
        <v>2017</v>
      </c>
      <c r="J1221">
        <v>8.0000000000000002E-3</v>
      </c>
      <c r="K1221" t="s">
        <v>101</v>
      </c>
      <c r="L1221">
        <v>4</v>
      </c>
      <c r="M1221">
        <v>0</v>
      </c>
      <c r="N1221" t="s">
        <v>128</v>
      </c>
      <c r="O1221" t="s">
        <v>221</v>
      </c>
      <c r="P1221" t="s">
        <v>817</v>
      </c>
      <c r="Q1221" s="1" t="s">
        <v>2276</v>
      </c>
      <c r="R1221" s="1" t="s">
        <v>2284</v>
      </c>
      <c r="S1221" s="1" t="s">
        <v>2348</v>
      </c>
      <c r="T1221" t="s">
        <v>396</v>
      </c>
      <c r="U1221" t="s">
        <v>2284</v>
      </c>
      <c r="V1221" t="s">
        <v>194</v>
      </c>
      <c r="W1221" t="s">
        <v>817</v>
      </c>
      <c r="X1221" t="s">
        <v>161</v>
      </c>
      <c r="Y1221" t="s">
        <v>2272</v>
      </c>
      <c r="Z1221" t="s">
        <v>2272</v>
      </c>
      <c r="AA1221" t="s">
        <v>2272</v>
      </c>
      <c r="AB1221" t="s">
        <v>2272</v>
      </c>
      <c r="AC1221" t="s">
        <v>162</v>
      </c>
      <c r="AD1221" t="s">
        <v>2272</v>
      </c>
      <c r="AF1221" t="s">
        <v>49</v>
      </c>
      <c r="AI1221" t="s">
        <v>49</v>
      </c>
      <c r="AM1221" t="s">
        <v>201</v>
      </c>
      <c r="AN1221" t="s">
        <v>154</v>
      </c>
      <c r="AQ1221" s="5">
        <v>1</v>
      </c>
    </row>
    <row r="1222" spans="1:45" x14ac:dyDescent="0.2">
      <c r="A1222" t="s">
        <v>816</v>
      </c>
      <c r="B1222" t="s">
        <v>239</v>
      </c>
      <c r="C1222">
        <v>2019</v>
      </c>
      <c r="D1222" t="s">
        <v>44</v>
      </c>
      <c r="F1222" t="s">
        <v>80</v>
      </c>
      <c r="G1222" t="s">
        <v>86</v>
      </c>
      <c r="H1222" t="s">
        <v>350</v>
      </c>
      <c r="I1222">
        <v>2017</v>
      </c>
      <c r="J1222">
        <v>8.0000000000000002E-3</v>
      </c>
      <c r="K1222" t="s">
        <v>101</v>
      </c>
      <c r="L1222">
        <v>4</v>
      </c>
      <c r="M1222">
        <v>0</v>
      </c>
      <c r="N1222" t="s">
        <v>128</v>
      </c>
      <c r="O1222" t="s">
        <v>221</v>
      </c>
      <c r="P1222" t="s">
        <v>818</v>
      </c>
      <c r="Q1222" s="1" t="s">
        <v>2276</v>
      </c>
      <c r="R1222" s="1" t="s">
        <v>669</v>
      </c>
      <c r="S1222" s="1" t="s">
        <v>2348</v>
      </c>
      <c r="T1222" t="s">
        <v>396</v>
      </c>
      <c r="U1222" t="s">
        <v>2284</v>
      </c>
      <c r="X1222" t="s">
        <v>161</v>
      </c>
      <c r="Y1222" t="s">
        <v>2272</v>
      </c>
      <c r="Z1222" t="s">
        <v>2272</v>
      </c>
      <c r="AA1222" t="s">
        <v>2272</v>
      </c>
      <c r="AB1222" t="s">
        <v>2272</v>
      </c>
      <c r="AC1222" t="s">
        <v>162</v>
      </c>
      <c r="AD1222" t="s">
        <v>2272</v>
      </c>
      <c r="AF1222" t="s">
        <v>49</v>
      </c>
      <c r="AI1222" t="s">
        <v>49</v>
      </c>
      <c r="AM1222" t="s">
        <v>201</v>
      </c>
      <c r="AN1222" t="s">
        <v>154</v>
      </c>
      <c r="AQ1222" s="5">
        <v>2</v>
      </c>
    </row>
    <row r="1223" spans="1:45" x14ac:dyDescent="0.2">
      <c r="A1223" t="s">
        <v>816</v>
      </c>
      <c r="B1223" t="s">
        <v>239</v>
      </c>
      <c r="C1223">
        <v>2019</v>
      </c>
      <c r="D1223" t="s">
        <v>44</v>
      </c>
      <c r="F1223" t="s">
        <v>80</v>
      </c>
      <c r="G1223" t="s">
        <v>86</v>
      </c>
      <c r="H1223" t="s">
        <v>350</v>
      </c>
      <c r="I1223">
        <v>2017</v>
      </c>
      <c r="J1223">
        <v>8.0000000000000002E-3</v>
      </c>
      <c r="K1223" t="s">
        <v>101</v>
      </c>
      <c r="L1223">
        <v>4</v>
      </c>
      <c r="M1223">
        <v>0</v>
      </c>
      <c r="N1223" t="s">
        <v>128</v>
      </c>
      <c r="O1223" t="s">
        <v>221</v>
      </c>
      <c r="P1223" t="s">
        <v>817</v>
      </c>
      <c r="Q1223" s="1" t="s">
        <v>2276</v>
      </c>
      <c r="R1223" s="1" t="s">
        <v>2284</v>
      </c>
      <c r="S1223" s="1" t="s">
        <v>2348</v>
      </c>
      <c r="T1223" t="s">
        <v>396</v>
      </c>
      <c r="U1223" s="1" t="s">
        <v>2348</v>
      </c>
      <c r="V1223" t="s">
        <v>194</v>
      </c>
      <c r="W1223" t="s">
        <v>817</v>
      </c>
      <c r="X1223" t="s">
        <v>161</v>
      </c>
      <c r="Y1223" t="s">
        <v>2272</v>
      </c>
      <c r="Z1223" t="s">
        <v>2272</v>
      </c>
      <c r="AA1223" t="s">
        <v>2272</v>
      </c>
      <c r="AB1223" t="s">
        <v>2272</v>
      </c>
      <c r="AC1223" t="s">
        <v>162</v>
      </c>
      <c r="AD1223" t="s">
        <v>2272</v>
      </c>
      <c r="AF1223" t="s">
        <v>49</v>
      </c>
      <c r="AI1223" t="s">
        <v>49</v>
      </c>
      <c r="AM1223" t="s">
        <v>201</v>
      </c>
      <c r="AN1223" t="s">
        <v>165</v>
      </c>
      <c r="AP1223" t="s">
        <v>49</v>
      </c>
    </row>
    <row r="1224" spans="1:45" x14ac:dyDescent="0.2">
      <c r="A1224" t="s">
        <v>816</v>
      </c>
      <c r="B1224" t="s">
        <v>239</v>
      </c>
      <c r="C1224">
        <v>2019</v>
      </c>
      <c r="D1224" t="s">
        <v>44</v>
      </c>
      <c r="F1224" t="s">
        <v>80</v>
      </c>
      <c r="G1224" t="s">
        <v>86</v>
      </c>
      <c r="H1224" t="s">
        <v>350</v>
      </c>
      <c r="I1224">
        <v>2017</v>
      </c>
      <c r="J1224">
        <v>8.0000000000000002E-3</v>
      </c>
      <c r="K1224" t="s">
        <v>101</v>
      </c>
      <c r="L1224">
        <v>4</v>
      </c>
      <c r="M1224">
        <v>0</v>
      </c>
      <c r="N1224" t="s">
        <v>128</v>
      </c>
      <c r="O1224" t="s">
        <v>221</v>
      </c>
      <c r="P1224" t="s">
        <v>818</v>
      </c>
      <c r="Q1224" s="1" t="s">
        <v>2276</v>
      </c>
      <c r="R1224" s="1" t="s">
        <v>669</v>
      </c>
      <c r="S1224" s="1" t="s">
        <v>2348</v>
      </c>
      <c r="T1224" t="s">
        <v>396</v>
      </c>
      <c r="U1224" s="1" t="s">
        <v>2348</v>
      </c>
      <c r="X1224" t="s">
        <v>161</v>
      </c>
      <c r="Y1224" t="s">
        <v>2272</v>
      </c>
      <c r="Z1224" t="s">
        <v>2272</v>
      </c>
      <c r="AA1224" t="s">
        <v>2272</v>
      </c>
      <c r="AB1224" t="s">
        <v>2272</v>
      </c>
      <c r="AC1224" t="s">
        <v>162</v>
      </c>
      <c r="AD1224" t="s">
        <v>2272</v>
      </c>
      <c r="AF1224" t="s">
        <v>49</v>
      </c>
      <c r="AI1224" t="s">
        <v>49</v>
      </c>
      <c r="AM1224" t="s">
        <v>201</v>
      </c>
      <c r="AN1224" t="s">
        <v>165</v>
      </c>
      <c r="AP1224" t="s">
        <v>49</v>
      </c>
    </row>
    <row r="1225" spans="1:45" x14ac:dyDescent="0.2">
      <c r="A1225" t="s">
        <v>822</v>
      </c>
      <c r="B1225" t="s">
        <v>823</v>
      </c>
      <c r="C1225">
        <v>2019</v>
      </c>
      <c r="D1225" t="s">
        <v>44</v>
      </c>
      <c r="E1225" t="s">
        <v>50</v>
      </c>
      <c r="F1225" t="s">
        <v>824</v>
      </c>
      <c r="G1225" t="s">
        <v>88</v>
      </c>
      <c r="H1225" t="s">
        <v>350</v>
      </c>
      <c r="I1225">
        <v>2016</v>
      </c>
      <c r="J1225">
        <v>0.33</v>
      </c>
      <c r="K1225" t="s">
        <v>101</v>
      </c>
      <c r="M1225">
        <v>10</v>
      </c>
      <c r="N1225" t="s">
        <v>122</v>
      </c>
      <c r="O1225" t="s">
        <v>122</v>
      </c>
      <c r="P1225" t="s">
        <v>825</v>
      </c>
      <c r="Q1225" s="1" t="s">
        <v>2272</v>
      </c>
      <c r="R1225" s="1" t="s">
        <v>2272</v>
      </c>
      <c r="S1225" s="1" t="s">
        <v>2272</v>
      </c>
      <c r="X1225" t="s">
        <v>293</v>
      </c>
      <c r="Y1225" t="s">
        <v>2272</v>
      </c>
      <c r="Z1225" t="s">
        <v>2272</v>
      </c>
      <c r="AA1225" t="s">
        <v>2272</v>
      </c>
      <c r="AB1225" t="s">
        <v>2272</v>
      </c>
      <c r="AD1225" t="s">
        <v>2272</v>
      </c>
      <c r="AR1225" t="s">
        <v>144</v>
      </c>
      <c r="AS1225" t="s">
        <v>2585</v>
      </c>
    </row>
    <row r="1226" spans="1:45" x14ac:dyDescent="0.2">
      <c r="A1226" t="s">
        <v>827</v>
      </c>
      <c r="B1226" t="s">
        <v>828</v>
      </c>
      <c r="C1226">
        <v>2019</v>
      </c>
      <c r="D1226" t="s">
        <v>811</v>
      </c>
      <c r="F1226" t="s">
        <v>53</v>
      </c>
      <c r="G1226" t="s">
        <v>86</v>
      </c>
      <c r="H1226" t="s">
        <v>96</v>
      </c>
      <c r="I1226" t="s">
        <v>831</v>
      </c>
      <c r="J1226">
        <v>1</v>
      </c>
      <c r="K1226" t="s">
        <v>42</v>
      </c>
      <c r="N1226" t="s">
        <v>120</v>
      </c>
      <c r="O1226" t="s">
        <v>120</v>
      </c>
      <c r="P1226" t="s">
        <v>832</v>
      </c>
      <c r="Q1226" s="1" t="s">
        <v>2276</v>
      </c>
      <c r="R1226" s="1" t="s">
        <v>669</v>
      </c>
      <c r="S1226" s="1" t="s">
        <v>168</v>
      </c>
      <c r="X1226" t="s">
        <v>211</v>
      </c>
      <c r="Y1226" t="s">
        <v>2279</v>
      </c>
      <c r="Z1226" t="s">
        <v>2280</v>
      </c>
      <c r="AA1226" t="s">
        <v>2358</v>
      </c>
      <c r="AB1226" t="s">
        <v>2290</v>
      </c>
      <c r="AC1226" t="s">
        <v>152</v>
      </c>
      <c r="AD1226" t="s">
        <v>2278</v>
      </c>
      <c r="AE1226" t="s">
        <v>833</v>
      </c>
      <c r="AF1226" t="s">
        <v>49</v>
      </c>
      <c r="AI1226" t="s">
        <v>49</v>
      </c>
      <c r="AM1226" t="s">
        <v>834</v>
      </c>
      <c r="AN1226" t="s">
        <v>154</v>
      </c>
      <c r="AP1226" t="s">
        <v>158</v>
      </c>
    </row>
    <row r="1227" spans="1:45" x14ac:dyDescent="0.2">
      <c r="A1227" t="s">
        <v>827</v>
      </c>
      <c r="B1227" t="s">
        <v>828</v>
      </c>
      <c r="C1227">
        <v>2019</v>
      </c>
      <c r="D1227" t="s">
        <v>811</v>
      </c>
      <c r="F1227" t="s">
        <v>53</v>
      </c>
      <c r="G1227" t="s">
        <v>86</v>
      </c>
      <c r="H1227" t="s">
        <v>96</v>
      </c>
      <c r="I1227" t="s">
        <v>831</v>
      </c>
      <c r="J1227">
        <v>1</v>
      </c>
      <c r="K1227" t="s">
        <v>42</v>
      </c>
      <c r="N1227" t="s">
        <v>127</v>
      </c>
      <c r="O1227" t="s">
        <v>829</v>
      </c>
      <c r="P1227" t="s">
        <v>830</v>
      </c>
      <c r="Q1227" s="1" t="s">
        <v>2281</v>
      </c>
      <c r="R1227" s="1" t="s">
        <v>2282</v>
      </c>
      <c r="S1227" s="1" t="s">
        <v>2304</v>
      </c>
      <c r="X1227" t="s">
        <v>189</v>
      </c>
      <c r="Y1227" t="s">
        <v>2279</v>
      </c>
      <c r="Z1227" t="s">
        <v>2280</v>
      </c>
      <c r="AA1227" t="s">
        <v>2358</v>
      </c>
      <c r="AB1227" t="s">
        <v>189</v>
      </c>
      <c r="AC1227" t="s">
        <v>152</v>
      </c>
      <c r="AD1227" t="s">
        <v>2278</v>
      </c>
      <c r="AE1227" t="s">
        <v>833</v>
      </c>
      <c r="AF1227" t="s">
        <v>49</v>
      </c>
      <c r="AI1227" t="s">
        <v>49</v>
      </c>
      <c r="AM1227" t="s">
        <v>834</v>
      </c>
      <c r="AN1227" t="s">
        <v>154</v>
      </c>
      <c r="AP1227" t="s">
        <v>51</v>
      </c>
    </row>
    <row r="1228" spans="1:45" x14ac:dyDescent="0.2">
      <c r="A1228" t="s">
        <v>827</v>
      </c>
      <c r="B1228" t="s">
        <v>828</v>
      </c>
      <c r="C1228">
        <v>2019</v>
      </c>
      <c r="D1228" t="s">
        <v>811</v>
      </c>
      <c r="F1228" t="s">
        <v>53</v>
      </c>
      <c r="G1228" t="s">
        <v>86</v>
      </c>
      <c r="H1228" t="s">
        <v>96</v>
      </c>
      <c r="I1228" t="s">
        <v>831</v>
      </c>
      <c r="J1228">
        <v>1</v>
      </c>
      <c r="K1228" t="s">
        <v>42</v>
      </c>
      <c r="N1228" t="s">
        <v>120</v>
      </c>
      <c r="O1228" t="s">
        <v>120</v>
      </c>
      <c r="P1228" t="s">
        <v>832</v>
      </c>
      <c r="Q1228" s="1" t="s">
        <v>2276</v>
      </c>
      <c r="R1228" s="1" t="s">
        <v>669</v>
      </c>
      <c r="S1228" s="1" t="s">
        <v>168</v>
      </c>
      <c r="X1228" t="s">
        <v>211</v>
      </c>
      <c r="Y1228" t="s">
        <v>2279</v>
      </c>
      <c r="Z1228" t="s">
        <v>2280</v>
      </c>
      <c r="AA1228" t="s">
        <v>2358</v>
      </c>
      <c r="AB1228" t="s">
        <v>2290</v>
      </c>
      <c r="AC1228" t="s">
        <v>152</v>
      </c>
      <c r="AD1228" t="s">
        <v>2278</v>
      </c>
      <c r="AE1228" t="s">
        <v>833</v>
      </c>
      <c r="AF1228" t="s">
        <v>49</v>
      </c>
      <c r="AI1228" t="s">
        <v>49</v>
      </c>
      <c r="AM1228" t="s">
        <v>834</v>
      </c>
      <c r="AN1228" t="s">
        <v>166</v>
      </c>
      <c r="AP1228" t="s">
        <v>158</v>
      </c>
    </row>
    <row r="1229" spans="1:45" x14ac:dyDescent="0.2">
      <c r="A1229" t="s">
        <v>827</v>
      </c>
      <c r="B1229" t="s">
        <v>828</v>
      </c>
      <c r="C1229">
        <v>2019</v>
      </c>
      <c r="D1229" t="s">
        <v>811</v>
      </c>
      <c r="F1229" t="s">
        <v>53</v>
      </c>
      <c r="G1229" t="s">
        <v>86</v>
      </c>
      <c r="H1229" t="s">
        <v>96</v>
      </c>
      <c r="I1229" t="s">
        <v>831</v>
      </c>
      <c r="J1229">
        <v>1</v>
      </c>
      <c r="K1229" t="s">
        <v>42</v>
      </c>
      <c r="N1229" t="s">
        <v>127</v>
      </c>
      <c r="O1229" t="s">
        <v>829</v>
      </c>
      <c r="P1229" t="s">
        <v>830</v>
      </c>
      <c r="Q1229" s="1" t="s">
        <v>2281</v>
      </c>
      <c r="R1229" s="1" t="s">
        <v>2282</v>
      </c>
      <c r="S1229" s="1" t="s">
        <v>2304</v>
      </c>
      <c r="X1229" t="s">
        <v>189</v>
      </c>
      <c r="Y1229" t="s">
        <v>2279</v>
      </c>
      <c r="Z1229" t="s">
        <v>2280</v>
      </c>
      <c r="AA1229" t="s">
        <v>2358</v>
      </c>
      <c r="AB1229" t="s">
        <v>189</v>
      </c>
      <c r="AC1229" t="s">
        <v>152</v>
      </c>
      <c r="AD1229" t="s">
        <v>2278</v>
      </c>
      <c r="AE1229" t="s">
        <v>833</v>
      </c>
      <c r="AF1229" t="s">
        <v>49</v>
      </c>
      <c r="AI1229" t="s">
        <v>49</v>
      </c>
      <c r="AM1229" t="s">
        <v>834</v>
      </c>
      <c r="AN1229" t="s">
        <v>166</v>
      </c>
      <c r="AP1229" t="s">
        <v>51</v>
      </c>
    </row>
    <row r="1230" spans="1:45" x14ac:dyDescent="0.2">
      <c r="A1230" t="s">
        <v>827</v>
      </c>
      <c r="B1230" t="s">
        <v>828</v>
      </c>
      <c r="C1230">
        <v>2019</v>
      </c>
      <c r="D1230" t="s">
        <v>811</v>
      </c>
      <c r="F1230" t="s">
        <v>53</v>
      </c>
      <c r="G1230" t="s">
        <v>86</v>
      </c>
      <c r="H1230" t="s">
        <v>96</v>
      </c>
      <c r="I1230" t="s">
        <v>831</v>
      </c>
      <c r="J1230">
        <v>1</v>
      </c>
      <c r="K1230" t="s">
        <v>42</v>
      </c>
      <c r="N1230" t="s">
        <v>120</v>
      </c>
      <c r="O1230" t="s">
        <v>120</v>
      </c>
      <c r="P1230" t="s">
        <v>832</v>
      </c>
      <c r="Q1230" s="1" t="s">
        <v>2276</v>
      </c>
      <c r="R1230" s="1" t="s">
        <v>669</v>
      </c>
      <c r="S1230" s="1" t="s">
        <v>168</v>
      </c>
      <c r="X1230" t="s">
        <v>211</v>
      </c>
      <c r="Y1230" t="s">
        <v>2279</v>
      </c>
      <c r="Z1230" t="s">
        <v>2280</v>
      </c>
      <c r="AA1230" t="s">
        <v>2358</v>
      </c>
      <c r="AB1230" t="s">
        <v>2290</v>
      </c>
      <c r="AC1230" t="s">
        <v>152</v>
      </c>
      <c r="AD1230" t="s">
        <v>2278</v>
      </c>
      <c r="AE1230" t="s">
        <v>833</v>
      </c>
      <c r="AF1230" t="s">
        <v>49</v>
      </c>
      <c r="AJ1230" t="s">
        <v>49</v>
      </c>
      <c r="AM1230" t="s">
        <v>835</v>
      </c>
      <c r="AN1230" t="s">
        <v>166</v>
      </c>
      <c r="AP1230" t="s">
        <v>157</v>
      </c>
    </row>
    <row r="1231" spans="1:45" x14ac:dyDescent="0.2">
      <c r="A1231" t="s">
        <v>827</v>
      </c>
      <c r="B1231" t="s">
        <v>828</v>
      </c>
      <c r="C1231">
        <v>2019</v>
      </c>
      <c r="D1231" t="s">
        <v>811</v>
      </c>
      <c r="F1231" t="s">
        <v>53</v>
      </c>
      <c r="G1231" t="s">
        <v>86</v>
      </c>
      <c r="H1231" t="s">
        <v>96</v>
      </c>
      <c r="I1231" t="s">
        <v>831</v>
      </c>
      <c r="J1231">
        <v>1</v>
      </c>
      <c r="K1231" t="s">
        <v>42</v>
      </c>
      <c r="N1231" t="s">
        <v>127</v>
      </c>
      <c r="O1231" t="s">
        <v>829</v>
      </c>
      <c r="P1231" t="s">
        <v>830</v>
      </c>
      <c r="Q1231" s="1" t="s">
        <v>2281</v>
      </c>
      <c r="R1231" s="1" t="s">
        <v>2282</v>
      </c>
      <c r="S1231" s="1" t="s">
        <v>2304</v>
      </c>
      <c r="X1231" t="s">
        <v>189</v>
      </c>
      <c r="Y1231" t="s">
        <v>2279</v>
      </c>
      <c r="Z1231" t="s">
        <v>2280</v>
      </c>
      <c r="AA1231" t="s">
        <v>2358</v>
      </c>
      <c r="AB1231" t="s">
        <v>189</v>
      </c>
      <c r="AC1231" t="s">
        <v>152</v>
      </c>
      <c r="AD1231" t="s">
        <v>2278</v>
      </c>
      <c r="AE1231" t="s">
        <v>833</v>
      </c>
      <c r="AF1231" t="s">
        <v>49</v>
      </c>
      <c r="AJ1231" t="s">
        <v>49</v>
      </c>
      <c r="AM1231" t="s">
        <v>835</v>
      </c>
      <c r="AN1231" t="s">
        <v>166</v>
      </c>
      <c r="AP1231" t="s">
        <v>173</v>
      </c>
    </row>
    <row r="1232" spans="1:45" x14ac:dyDescent="0.2">
      <c r="A1232" t="s">
        <v>827</v>
      </c>
      <c r="B1232" t="s">
        <v>828</v>
      </c>
      <c r="C1232">
        <v>2019</v>
      </c>
      <c r="D1232" t="s">
        <v>811</v>
      </c>
      <c r="F1232" t="s">
        <v>53</v>
      </c>
      <c r="G1232" t="s">
        <v>86</v>
      </c>
      <c r="H1232" t="s">
        <v>96</v>
      </c>
      <c r="I1232" t="s">
        <v>831</v>
      </c>
      <c r="J1232">
        <v>1</v>
      </c>
      <c r="K1232" t="s">
        <v>42</v>
      </c>
      <c r="N1232" t="s">
        <v>120</v>
      </c>
      <c r="O1232" t="s">
        <v>120</v>
      </c>
      <c r="P1232" t="s">
        <v>832</v>
      </c>
      <c r="Q1232" s="1" t="s">
        <v>2276</v>
      </c>
      <c r="R1232" s="1" t="s">
        <v>669</v>
      </c>
      <c r="S1232" s="1" t="s">
        <v>168</v>
      </c>
      <c r="X1232" t="s">
        <v>211</v>
      </c>
      <c r="Y1232" t="s">
        <v>2279</v>
      </c>
      <c r="Z1232" t="s">
        <v>2280</v>
      </c>
      <c r="AA1232" t="s">
        <v>2358</v>
      </c>
      <c r="AB1232" t="s">
        <v>2290</v>
      </c>
      <c r="AC1232" t="s">
        <v>152</v>
      </c>
      <c r="AD1232" t="s">
        <v>2278</v>
      </c>
      <c r="AE1232" t="s">
        <v>833</v>
      </c>
      <c r="AF1232" t="s">
        <v>49</v>
      </c>
      <c r="AJ1232" t="s">
        <v>49</v>
      </c>
      <c r="AM1232" t="s">
        <v>836</v>
      </c>
      <c r="AN1232" t="s">
        <v>166</v>
      </c>
      <c r="AP1232" t="s">
        <v>173</v>
      </c>
    </row>
    <row r="1233" spans="1:45" x14ac:dyDescent="0.2">
      <c r="A1233" t="s">
        <v>827</v>
      </c>
      <c r="B1233" t="s">
        <v>828</v>
      </c>
      <c r="C1233">
        <v>2019</v>
      </c>
      <c r="D1233" t="s">
        <v>811</v>
      </c>
      <c r="F1233" t="s">
        <v>53</v>
      </c>
      <c r="G1233" t="s">
        <v>86</v>
      </c>
      <c r="H1233" t="s">
        <v>96</v>
      </c>
      <c r="I1233" t="s">
        <v>831</v>
      </c>
      <c r="J1233">
        <v>1</v>
      </c>
      <c r="K1233" t="s">
        <v>42</v>
      </c>
      <c r="N1233" t="s">
        <v>127</v>
      </c>
      <c r="O1233" t="s">
        <v>829</v>
      </c>
      <c r="P1233" t="s">
        <v>830</v>
      </c>
      <c r="Q1233" s="1" t="s">
        <v>2281</v>
      </c>
      <c r="R1233" s="1" t="s">
        <v>2282</v>
      </c>
      <c r="S1233" s="1" t="s">
        <v>2304</v>
      </c>
      <c r="X1233" t="s">
        <v>189</v>
      </c>
      <c r="Y1233" t="s">
        <v>2279</v>
      </c>
      <c r="Z1233" t="s">
        <v>2280</v>
      </c>
      <c r="AA1233" t="s">
        <v>2358</v>
      </c>
      <c r="AB1233" t="s">
        <v>189</v>
      </c>
      <c r="AC1233" t="s">
        <v>152</v>
      </c>
      <c r="AD1233" t="s">
        <v>2278</v>
      </c>
      <c r="AE1233" t="s">
        <v>833</v>
      </c>
      <c r="AF1233" t="s">
        <v>49</v>
      </c>
      <c r="AJ1233" t="s">
        <v>49</v>
      </c>
      <c r="AM1233" t="s">
        <v>836</v>
      </c>
      <c r="AN1233" t="s">
        <v>166</v>
      </c>
      <c r="AP1233" t="s">
        <v>157</v>
      </c>
    </row>
    <row r="1234" spans="1:45" x14ac:dyDescent="0.2">
      <c r="A1234" t="s">
        <v>827</v>
      </c>
      <c r="B1234" t="s">
        <v>828</v>
      </c>
      <c r="C1234">
        <v>2019</v>
      </c>
      <c r="D1234" t="s">
        <v>811</v>
      </c>
      <c r="F1234" t="s">
        <v>53</v>
      </c>
      <c r="G1234" t="s">
        <v>86</v>
      </c>
      <c r="H1234" t="s">
        <v>96</v>
      </c>
      <c r="I1234" t="s">
        <v>831</v>
      </c>
      <c r="J1234">
        <v>1</v>
      </c>
      <c r="K1234" t="s">
        <v>42</v>
      </c>
      <c r="N1234" t="s">
        <v>120</v>
      </c>
      <c r="O1234" t="s">
        <v>120</v>
      </c>
      <c r="P1234" t="s">
        <v>832</v>
      </c>
      <c r="Q1234" s="1" t="s">
        <v>2276</v>
      </c>
      <c r="R1234" s="1" t="s">
        <v>669</v>
      </c>
      <c r="S1234" s="1" t="s">
        <v>168</v>
      </c>
      <c r="X1234" t="s">
        <v>211</v>
      </c>
      <c r="Y1234" t="s">
        <v>2279</v>
      </c>
      <c r="Z1234" t="s">
        <v>2280</v>
      </c>
      <c r="AA1234" t="s">
        <v>2358</v>
      </c>
      <c r="AB1234" t="s">
        <v>2290</v>
      </c>
      <c r="AC1234" t="s">
        <v>152</v>
      </c>
      <c r="AD1234" t="s">
        <v>2278</v>
      </c>
      <c r="AE1234" t="s">
        <v>833</v>
      </c>
      <c r="AF1234" t="s">
        <v>49</v>
      </c>
      <c r="AJ1234" t="s">
        <v>49</v>
      </c>
      <c r="AM1234" t="s">
        <v>837</v>
      </c>
      <c r="AN1234" t="s">
        <v>166</v>
      </c>
      <c r="AP1234" t="s">
        <v>173</v>
      </c>
    </row>
    <row r="1235" spans="1:45" x14ac:dyDescent="0.2">
      <c r="A1235" t="s">
        <v>827</v>
      </c>
      <c r="B1235" t="s">
        <v>828</v>
      </c>
      <c r="C1235">
        <v>2019</v>
      </c>
      <c r="D1235" t="s">
        <v>811</v>
      </c>
      <c r="F1235" t="s">
        <v>53</v>
      </c>
      <c r="G1235" t="s">
        <v>86</v>
      </c>
      <c r="H1235" t="s">
        <v>96</v>
      </c>
      <c r="I1235" t="s">
        <v>831</v>
      </c>
      <c r="J1235">
        <v>1</v>
      </c>
      <c r="K1235" t="s">
        <v>42</v>
      </c>
      <c r="N1235" t="s">
        <v>127</v>
      </c>
      <c r="O1235" t="s">
        <v>829</v>
      </c>
      <c r="P1235" t="s">
        <v>830</v>
      </c>
      <c r="Q1235" s="1" t="s">
        <v>2281</v>
      </c>
      <c r="R1235" s="1" t="s">
        <v>2282</v>
      </c>
      <c r="S1235" s="1" t="s">
        <v>2304</v>
      </c>
      <c r="X1235" t="s">
        <v>189</v>
      </c>
      <c r="Y1235" t="s">
        <v>2279</v>
      </c>
      <c r="Z1235" t="s">
        <v>2280</v>
      </c>
      <c r="AA1235" t="s">
        <v>2358</v>
      </c>
      <c r="AB1235" t="s">
        <v>189</v>
      </c>
      <c r="AC1235" t="s">
        <v>152</v>
      </c>
      <c r="AD1235" t="s">
        <v>2278</v>
      </c>
      <c r="AE1235" t="s">
        <v>833</v>
      </c>
      <c r="AF1235" t="s">
        <v>49</v>
      </c>
      <c r="AJ1235" t="s">
        <v>49</v>
      </c>
      <c r="AM1235" t="s">
        <v>837</v>
      </c>
      <c r="AN1235" t="s">
        <v>166</v>
      </c>
      <c r="AP1235" t="s">
        <v>51</v>
      </c>
    </row>
    <row r="1236" spans="1:45" x14ac:dyDescent="0.2">
      <c r="A1236" t="s">
        <v>827</v>
      </c>
      <c r="B1236" t="s">
        <v>828</v>
      </c>
      <c r="C1236">
        <v>2019</v>
      </c>
      <c r="D1236" t="s">
        <v>811</v>
      </c>
      <c r="F1236" t="s">
        <v>53</v>
      </c>
      <c r="G1236" t="s">
        <v>86</v>
      </c>
      <c r="H1236" t="s">
        <v>96</v>
      </c>
      <c r="I1236" t="s">
        <v>831</v>
      </c>
      <c r="J1236">
        <v>1</v>
      </c>
      <c r="K1236" t="s">
        <v>42</v>
      </c>
      <c r="N1236" t="s">
        <v>120</v>
      </c>
      <c r="O1236" t="s">
        <v>120</v>
      </c>
      <c r="P1236" t="s">
        <v>832</v>
      </c>
      <c r="Q1236" s="1" t="s">
        <v>2276</v>
      </c>
      <c r="R1236" s="1" t="s">
        <v>669</v>
      </c>
      <c r="S1236" s="1" t="s">
        <v>168</v>
      </c>
      <c r="X1236" t="s">
        <v>211</v>
      </c>
      <c r="Y1236" t="s">
        <v>2279</v>
      </c>
      <c r="Z1236" t="s">
        <v>2280</v>
      </c>
      <c r="AA1236" t="s">
        <v>2358</v>
      </c>
      <c r="AB1236" t="s">
        <v>2290</v>
      </c>
      <c r="AC1236" t="s">
        <v>152</v>
      </c>
      <c r="AD1236" t="s">
        <v>2278</v>
      </c>
      <c r="AE1236" t="s">
        <v>833</v>
      </c>
      <c r="AF1236" t="s">
        <v>49</v>
      </c>
      <c r="AJ1236" t="s">
        <v>49</v>
      </c>
      <c r="AM1236" t="s">
        <v>838</v>
      </c>
      <c r="AN1236" t="s">
        <v>166</v>
      </c>
      <c r="AP1236" t="s">
        <v>51</v>
      </c>
    </row>
    <row r="1237" spans="1:45" x14ac:dyDescent="0.2">
      <c r="A1237" t="s">
        <v>827</v>
      </c>
      <c r="B1237" t="s">
        <v>828</v>
      </c>
      <c r="C1237">
        <v>2019</v>
      </c>
      <c r="D1237" t="s">
        <v>811</v>
      </c>
      <c r="F1237" t="s">
        <v>53</v>
      </c>
      <c r="G1237" t="s">
        <v>86</v>
      </c>
      <c r="H1237" t="s">
        <v>96</v>
      </c>
      <c r="I1237" t="s">
        <v>831</v>
      </c>
      <c r="J1237">
        <v>1</v>
      </c>
      <c r="K1237" t="s">
        <v>42</v>
      </c>
      <c r="N1237" t="s">
        <v>127</v>
      </c>
      <c r="O1237" t="s">
        <v>829</v>
      </c>
      <c r="P1237" t="s">
        <v>830</v>
      </c>
      <c r="Q1237" s="1" t="s">
        <v>2281</v>
      </c>
      <c r="R1237" s="1" t="s">
        <v>2282</v>
      </c>
      <c r="S1237" s="1" t="s">
        <v>2304</v>
      </c>
      <c r="X1237" t="s">
        <v>189</v>
      </c>
      <c r="Y1237" t="s">
        <v>2279</v>
      </c>
      <c r="Z1237" t="s">
        <v>2280</v>
      </c>
      <c r="AA1237" t="s">
        <v>2358</v>
      </c>
      <c r="AB1237" t="s">
        <v>189</v>
      </c>
      <c r="AC1237" t="s">
        <v>152</v>
      </c>
      <c r="AD1237" t="s">
        <v>2278</v>
      </c>
      <c r="AE1237" t="s">
        <v>833</v>
      </c>
      <c r="AF1237" t="s">
        <v>49</v>
      </c>
      <c r="AJ1237" t="s">
        <v>49</v>
      </c>
      <c r="AM1237" t="s">
        <v>838</v>
      </c>
      <c r="AN1237" t="s">
        <v>166</v>
      </c>
      <c r="AP1237" t="s">
        <v>51</v>
      </c>
    </row>
    <row r="1238" spans="1:45" x14ac:dyDescent="0.2">
      <c r="A1238" t="s">
        <v>839</v>
      </c>
      <c r="B1238" t="s">
        <v>840</v>
      </c>
      <c r="C1238">
        <v>2019</v>
      </c>
      <c r="D1238" t="s">
        <v>44</v>
      </c>
      <c r="F1238" t="s">
        <v>54</v>
      </c>
      <c r="G1238" t="s">
        <v>86</v>
      </c>
      <c r="H1238" t="s">
        <v>350</v>
      </c>
      <c r="I1238">
        <v>2008</v>
      </c>
      <c r="J1238">
        <v>2.7E-2</v>
      </c>
      <c r="K1238" t="s">
        <v>101</v>
      </c>
      <c r="M1238">
        <v>1.43E-2</v>
      </c>
      <c r="N1238" t="s">
        <v>121</v>
      </c>
      <c r="O1238" t="s">
        <v>264</v>
      </c>
      <c r="P1238" t="s">
        <v>286</v>
      </c>
      <c r="Q1238" s="1" t="s">
        <v>2292</v>
      </c>
      <c r="R1238" s="1" t="s">
        <v>264</v>
      </c>
      <c r="S1238" s="1" t="s">
        <v>264</v>
      </c>
      <c r="X1238" t="s">
        <v>841</v>
      </c>
      <c r="Y1238" t="s">
        <v>2273</v>
      </c>
      <c r="Z1238" t="s">
        <v>249</v>
      </c>
      <c r="AA1238" t="s">
        <v>2359</v>
      </c>
      <c r="AB1238" t="s">
        <v>1979</v>
      </c>
      <c r="AC1238" t="s">
        <v>152</v>
      </c>
      <c r="AD1238" t="s">
        <v>2288</v>
      </c>
      <c r="AE1238" t="s">
        <v>843</v>
      </c>
    </row>
    <row r="1239" spans="1:45" x14ac:dyDescent="0.2">
      <c r="A1239" t="s">
        <v>839</v>
      </c>
      <c r="B1239" t="s">
        <v>840</v>
      </c>
      <c r="C1239">
        <v>2019</v>
      </c>
      <c r="D1239" t="s">
        <v>44</v>
      </c>
      <c r="F1239" t="s">
        <v>54</v>
      </c>
      <c r="G1239" t="s">
        <v>86</v>
      </c>
      <c r="H1239" t="s">
        <v>350</v>
      </c>
      <c r="I1239">
        <v>2008</v>
      </c>
      <c r="J1239">
        <v>2.7E-2</v>
      </c>
      <c r="K1239" t="s">
        <v>101</v>
      </c>
      <c r="M1239">
        <v>6.6100000000000006E-2</v>
      </c>
      <c r="N1239" t="s">
        <v>121</v>
      </c>
      <c r="O1239" t="s">
        <v>264</v>
      </c>
      <c r="P1239" t="s">
        <v>286</v>
      </c>
      <c r="Q1239" s="1" t="s">
        <v>2292</v>
      </c>
      <c r="R1239" s="1" t="s">
        <v>264</v>
      </c>
      <c r="S1239" s="1" t="s">
        <v>264</v>
      </c>
      <c r="X1239" t="s">
        <v>842</v>
      </c>
      <c r="Y1239" t="s">
        <v>2273</v>
      </c>
      <c r="Z1239" t="s">
        <v>249</v>
      </c>
      <c r="AA1239" t="s">
        <v>2359</v>
      </c>
      <c r="AB1239" t="s">
        <v>1979</v>
      </c>
      <c r="AC1239" t="s">
        <v>152</v>
      </c>
      <c r="AD1239" t="s">
        <v>2288</v>
      </c>
      <c r="AE1239" t="s">
        <v>843</v>
      </c>
    </row>
    <row r="1240" spans="1:45" x14ac:dyDescent="0.2">
      <c r="A1240" t="s">
        <v>839</v>
      </c>
      <c r="B1240" t="s">
        <v>840</v>
      </c>
      <c r="C1240">
        <v>2019</v>
      </c>
      <c r="D1240" t="s">
        <v>44</v>
      </c>
      <c r="F1240" t="s">
        <v>54</v>
      </c>
      <c r="G1240" t="s">
        <v>86</v>
      </c>
      <c r="H1240" t="s">
        <v>350</v>
      </c>
      <c r="I1240">
        <v>2008</v>
      </c>
      <c r="J1240">
        <v>2.7E-2</v>
      </c>
      <c r="K1240" t="s">
        <v>101</v>
      </c>
      <c r="M1240">
        <v>6.6100000000000006E-2</v>
      </c>
      <c r="N1240" t="s">
        <v>121</v>
      </c>
      <c r="O1240" t="s">
        <v>264</v>
      </c>
      <c r="P1240" t="s">
        <v>286</v>
      </c>
      <c r="Q1240" s="1" t="s">
        <v>2292</v>
      </c>
      <c r="R1240" s="1" t="s">
        <v>264</v>
      </c>
      <c r="S1240" s="1" t="s">
        <v>264</v>
      </c>
      <c r="X1240" t="s">
        <v>189</v>
      </c>
      <c r="Y1240" t="s">
        <v>2279</v>
      </c>
      <c r="Z1240" t="s">
        <v>2280</v>
      </c>
      <c r="AA1240" t="s">
        <v>2358</v>
      </c>
      <c r="AB1240" t="s">
        <v>189</v>
      </c>
      <c r="AC1240" t="s">
        <v>152</v>
      </c>
      <c r="AD1240" t="s">
        <v>2278</v>
      </c>
      <c r="AE1240" t="s">
        <v>843</v>
      </c>
    </row>
    <row r="1241" spans="1:45" x14ac:dyDescent="0.2">
      <c r="A1241" t="s">
        <v>839</v>
      </c>
      <c r="B1241" t="s">
        <v>840</v>
      </c>
      <c r="C1241">
        <v>2019</v>
      </c>
      <c r="D1241" t="s">
        <v>44</v>
      </c>
      <c r="F1241" t="s">
        <v>54</v>
      </c>
      <c r="G1241" t="s">
        <v>86</v>
      </c>
      <c r="H1241" t="s">
        <v>350</v>
      </c>
      <c r="I1241">
        <v>2008</v>
      </c>
      <c r="J1241">
        <v>2.7E-2</v>
      </c>
      <c r="K1241" t="s">
        <v>101</v>
      </c>
      <c r="M1241">
        <v>6.6100000000000006E-2</v>
      </c>
      <c r="N1241" t="s">
        <v>121</v>
      </c>
      <c r="O1241" t="s">
        <v>264</v>
      </c>
      <c r="P1241" t="s">
        <v>286</v>
      </c>
      <c r="Q1241" s="1" t="s">
        <v>2292</v>
      </c>
      <c r="R1241" s="1" t="s">
        <v>264</v>
      </c>
      <c r="S1241" s="1" t="s">
        <v>264</v>
      </c>
      <c r="X1241" t="s">
        <v>293</v>
      </c>
      <c r="Y1241" t="s">
        <v>2273</v>
      </c>
      <c r="Z1241" t="s">
        <v>249</v>
      </c>
      <c r="AA1241" t="s">
        <v>2359</v>
      </c>
      <c r="AB1241" t="s">
        <v>1419</v>
      </c>
      <c r="AC1241" t="s">
        <v>152</v>
      </c>
      <c r="AD1241" t="s">
        <v>137</v>
      </c>
      <c r="AE1241" t="s">
        <v>843</v>
      </c>
    </row>
    <row r="1242" spans="1:45" x14ac:dyDescent="0.2">
      <c r="A1242" t="s">
        <v>839</v>
      </c>
      <c r="B1242" t="s">
        <v>840</v>
      </c>
      <c r="C1242">
        <v>2019</v>
      </c>
      <c r="D1242" t="s">
        <v>44</v>
      </c>
      <c r="F1242" t="s">
        <v>54</v>
      </c>
      <c r="G1242" t="s">
        <v>86</v>
      </c>
      <c r="H1242" t="s">
        <v>350</v>
      </c>
      <c r="I1242">
        <v>2008</v>
      </c>
      <c r="J1242">
        <v>2.7E-2</v>
      </c>
      <c r="K1242" t="s">
        <v>101</v>
      </c>
      <c r="M1242">
        <v>6.6100000000000006E-2</v>
      </c>
      <c r="N1242" t="s">
        <v>121</v>
      </c>
      <c r="O1242" t="s">
        <v>264</v>
      </c>
      <c r="P1242" t="s">
        <v>286</v>
      </c>
      <c r="Q1242" s="1" t="s">
        <v>2292</v>
      </c>
      <c r="R1242" s="1" t="s">
        <v>264</v>
      </c>
      <c r="S1242" s="1" t="s">
        <v>264</v>
      </c>
      <c r="T1242" t="s">
        <v>421</v>
      </c>
      <c r="U1242" t="s">
        <v>421</v>
      </c>
      <c r="X1242" t="s">
        <v>161</v>
      </c>
      <c r="Y1242" t="s">
        <v>2272</v>
      </c>
      <c r="Z1242" t="s">
        <v>2272</v>
      </c>
      <c r="AA1242" t="s">
        <v>2272</v>
      </c>
      <c r="AB1242" t="s">
        <v>2272</v>
      </c>
      <c r="AC1242" t="s">
        <v>162</v>
      </c>
      <c r="AD1242" t="s">
        <v>2272</v>
      </c>
      <c r="AF1242" t="s">
        <v>49</v>
      </c>
      <c r="AG1242" t="s">
        <v>49</v>
      </c>
      <c r="AI1242" t="s">
        <v>49</v>
      </c>
      <c r="AM1242" t="s">
        <v>377</v>
      </c>
      <c r="AN1242" t="s">
        <v>166</v>
      </c>
      <c r="AQ1242" s="5">
        <v>1</v>
      </c>
    </row>
    <row r="1243" spans="1:45" x14ac:dyDescent="0.2">
      <c r="A1243" t="s">
        <v>839</v>
      </c>
      <c r="B1243" t="s">
        <v>840</v>
      </c>
      <c r="C1243">
        <v>2019</v>
      </c>
      <c r="D1243" t="s">
        <v>44</v>
      </c>
      <c r="F1243" t="s">
        <v>54</v>
      </c>
      <c r="G1243" t="s">
        <v>86</v>
      </c>
      <c r="H1243" t="s">
        <v>350</v>
      </c>
      <c r="I1243">
        <v>2008</v>
      </c>
      <c r="J1243">
        <v>2.7E-2</v>
      </c>
      <c r="K1243" t="s">
        <v>101</v>
      </c>
      <c r="M1243">
        <v>6.6100000000000006E-2</v>
      </c>
      <c r="N1243" t="s">
        <v>121</v>
      </c>
      <c r="O1243" t="s">
        <v>264</v>
      </c>
      <c r="P1243" t="s">
        <v>286</v>
      </c>
      <c r="Q1243" s="1" t="s">
        <v>2292</v>
      </c>
      <c r="R1243" s="1" t="s">
        <v>264</v>
      </c>
      <c r="S1243" s="1" t="s">
        <v>264</v>
      </c>
      <c r="T1243" t="s">
        <v>421</v>
      </c>
      <c r="U1243" t="s">
        <v>421</v>
      </c>
      <c r="X1243" t="s">
        <v>161</v>
      </c>
      <c r="Y1243" t="s">
        <v>2272</v>
      </c>
      <c r="Z1243" t="s">
        <v>2272</v>
      </c>
      <c r="AA1243" t="s">
        <v>2272</v>
      </c>
      <c r="AB1243" t="s">
        <v>2272</v>
      </c>
      <c r="AC1243" t="s">
        <v>162</v>
      </c>
      <c r="AD1243" t="s">
        <v>2272</v>
      </c>
      <c r="AF1243" t="s">
        <v>49</v>
      </c>
      <c r="AG1243" t="s">
        <v>49</v>
      </c>
      <c r="AI1243" t="s">
        <v>49</v>
      </c>
      <c r="AM1243" t="s">
        <v>377</v>
      </c>
      <c r="AN1243" t="s">
        <v>154</v>
      </c>
      <c r="AQ1243" s="5">
        <v>1</v>
      </c>
    </row>
    <row r="1244" spans="1:45" x14ac:dyDescent="0.2">
      <c r="A1244" t="s">
        <v>839</v>
      </c>
      <c r="B1244" t="s">
        <v>840</v>
      </c>
      <c r="C1244">
        <v>2019</v>
      </c>
      <c r="D1244" t="s">
        <v>44</v>
      </c>
      <c r="F1244" t="s">
        <v>54</v>
      </c>
      <c r="G1244" t="s">
        <v>86</v>
      </c>
      <c r="H1244" t="s">
        <v>350</v>
      </c>
      <c r="I1244">
        <v>2008</v>
      </c>
      <c r="J1244">
        <v>2.7E-2</v>
      </c>
      <c r="K1244" t="s">
        <v>101</v>
      </c>
      <c r="M1244">
        <v>6.6100000000000006E-2</v>
      </c>
      <c r="N1244" t="s">
        <v>121</v>
      </c>
      <c r="O1244" t="s">
        <v>264</v>
      </c>
      <c r="P1244" t="s">
        <v>286</v>
      </c>
      <c r="Q1244" s="1" t="s">
        <v>2292</v>
      </c>
      <c r="R1244" s="1" t="s">
        <v>264</v>
      </c>
      <c r="S1244" s="1" t="s">
        <v>264</v>
      </c>
      <c r="T1244" t="s">
        <v>421</v>
      </c>
      <c r="U1244" t="s">
        <v>421</v>
      </c>
      <c r="X1244" t="s">
        <v>161</v>
      </c>
      <c r="Y1244" t="s">
        <v>2272</v>
      </c>
      <c r="Z1244" t="s">
        <v>2272</v>
      </c>
      <c r="AA1244" t="s">
        <v>2272</v>
      </c>
      <c r="AB1244" t="s">
        <v>2272</v>
      </c>
      <c r="AC1244" t="s">
        <v>162</v>
      </c>
      <c r="AD1244" t="s">
        <v>2272</v>
      </c>
      <c r="AG1244" t="s">
        <v>49</v>
      </c>
      <c r="AI1244" t="s">
        <v>49</v>
      </c>
      <c r="AM1244" t="s">
        <v>442</v>
      </c>
      <c r="AN1244" t="s">
        <v>154</v>
      </c>
      <c r="AQ1244" s="5">
        <v>1</v>
      </c>
    </row>
    <row r="1245" spans="1:45" x14ac:dyDescent="0.2">
      <c r="A1245" t="s">
        <v>839</v>
      </c>
      <c r="B1245" t="s">
        <v>840</v>
      </c>
      <c r="C1245">
        <v>2019</v>
      </c>
      <c r="D1245" t="s">
        <v>44</v>
      </c>
      <c r="F1245" t="s">
        <v>54</v>
      </c>
      <c r="G1245" t="s">
        <v>86</v>
      </c>
      <c r="H1245" t="s">
        <v>350</v>
      </c>
      <c r="I1245">
        <v>2008</v>
      </c>
      <c r="J1245">
        <v>2.7E-2</v>
      </c>
      <c r="K1245" t="s">
        <v>101</v>
      </c>
      <c r="M1245">
        <v>6.6100000000000006E-2</v>
      </c>
      <c r="N1245" t="s">
        <v>121</v>
      </c>
      <c r="O1245" t="s">
        <v>264</v>
      </c>
      <c r="P1245" t="s">
        <v>286</v>
      </c>
      <c r="Q1245" s="1" t="s">
        <v>2292</v>
      </c>
      <c r="R1245" s="1" t="s">
        <v>264</v>
      </c>
      <c r="S1245" s="1" t="s">
        <v>264</v>
      </c>
      <c r="T1245" t="s">
        <v>421</v>
      </c>
      <c r="U1245" t="s">
        <v>421</v>
      </c>
      <c r="X1245" t="s">
        <v>161</v>
      </c>
      <c r="Y1245" t="s">
        <v>2272</v>
      </c>
      <c r="Z1245" t="s">
        <v>2272</v>
      </c>
      <c r="AA1245" t="s">
        <v>2272</v>
      </c>
      <c r="AB1245" t="s">
        <v>2272</v>
      </c>
      <c r="AC1245" t="s">
        <v>162</v>
      </c>
      <c r="AD1245" t="s">
        <v>2272</v>
      </c>
      <c r="AG1245" t="s">
        <v>49</v>
      </c>
      <c r="AI1245" t="s">
        <v>49</v>
      </c>
      <c r="AM1245" t="s">
        <v>442</v>
      </c>
      <c r="AN1245" t="s">
        <v>166</v>
      </c>
      <c r="AQ1245" s="5">
        <v>1</v>
      </c>
    </row>
    <row r="1246" spans="1:45" x14ac:dyDescent="0.2">
      <c r="A1246" t="s">
        <v>839</v>
      </c>
      <c r="B1246" t="s">
        <v>840</v>
      </c>
      <c r="C1246">
        <v>2019</v>
      </c>
      <c r="D1246" t="s">
        <v>44</v>
      </c>
      <c r="F1246" t="s">
        <v>54</v>
      </c>
      <c r="G1246" t="s">
        <v>86</v>
      </c>
      <c r="H1246" t="s">
        <v>350</v>
      </c>
      <c r="I1246">
        <v>2008</v>
      </c>
      <c r="J1246">
        <v>2.7E-2</v>
      </c>
      <c r="K1246" t="s">
        <v>101</v>
      </c>
      <c r="M1246">
        <v>6.6100000000000006E-2</v>
      </c>
      <c r="N1246" t="s">
        <v>121</v>
      </c>
      <c r="O1246" t="s">
        <v>264</v>
      </c>
      <c r="P1246" t="s">
        <v>286</v>
      </c>
      <c r="Q1246" s="1" t="s">
        <v>2292</v>
      </c>
      <c r="R1246" s="1" t="s">
        <v>264</v>
      </c>
      <c r="S1246" s="1" t="s">
        <v>264</v>
      </c>
      <c r="T1246" t="s">
        <v>421</v>
      </c>
      <c r="U1246" t="s">
        <v>421</v>
      </c>
      <c r="X1246" t="s">
        <v>161</v>
      </c>
      <c r="Y1246" t="s">
        <v>2272</v>
      </c>
      <c r="Z1246" t="s">
        <v>2272</v>
      </c>
      <c r="AA1246" t="s">
        <v>2272</v>
      </c>
      <c r="AB1246" t="s">
        <v>2272</v>
      </c>
      <c r="AC1246" t="s">
        <v>162</v>
      </c>
      <c r="AD1246" t="s">
        <v>2272</v>
      </c>
      <c r="AF1246" t="s">
        <v>49</v>
      </c>
      <c r="AG1246" t="s">
        <v>49</v>
      </c>
      <c r="AI1246" t="s">
        <v>49</v>
      </c>
      <c r="AM1246" t="s">
        <v>377</v>
      </c>
      <c r="AN1246" t="s">
        <v>165</v>
      </c>
      <c r="AP1246" t="s">
        <v>49</v>
      </c>
    </row>
    <row r="1247" spans="1:45" x14ac:dyDescent="0.2">
      <c r="A1247" t="s">
        <v>844</v>
      </c>
      <c r="B1247" t="s">
        <v>259</v>
      </c>
      <c r="C1247">
        <v>2019</v>
      </c>
      <c r="D1247" t="s">
        <v>811</v>
      </c>
      <c r="I1247">
        <v>2014</v>
      </c>
      <c r="L1247">
        <v>900</v>
      </c>
      <c r="Q1247" s="1" t="s">
        <v>2272</v>
      </c>
      <c r="R1247" s="1" t="s">
        <v>2272</v>
      </c>
      <c r="S1247" s="1" t="s">
        <v>2272</v>
      </c>
      <c r="Y1247" t="s">
        <v>2272</v>
      </c>
      <c r="Z1247" t="s">
        <v>2272</v>
      </c>
      <c r="AA1247" t="s">
        <v>2272</v>
      </c>
      <c r="AB1247" t="s">
        <v>2272</v>
      </c>
      <c r="AD1247" t="s">
        <v>2272</v>
      </c>
      <c r="AR1247" t="s">
        <v>144</v>
      </c>
      <c r="AS1247" t="s">
        <v>2584</v>
      </c>
    </row>
    <row r="1248" spans="1:45" x14ac:dyDescent="0.2">
      <c r="A1248" t="s">
        <v>845</v>
      </c>
      <c r="B1248" t="s">
        <v>846</v>
      </c>
      <c r="C1248">
        <v>2019</v>
      </c>
      <c r="D1248" t="s">
        <v>44</v>
      </c>
      <c r="E1248" t="s">
        <v>50</v>
      </c>
      <c r="F1248" t="s">
        <v>931</v>
      </c>
      <c r="G1248" t="s">
        <v>88</v>
      </c>
      <c r="H1248" t="s">
        <v>350</v>
      </c>
      <c r="I1248">
        <v>2017</v>
      </c>
      <c r="J1248">
        <v>0.5</v>
      </c>
      <c r="K1248" t="s">
        <v>109</v>
      </c>
      <c r="M1248">
        <v>0</v>
      </c>
      <c r="N1248" t="s">
        <v>120</v>
      </c>
      <c r="O1248" t="s">
        <v>120</v>
      </c>
      <c r="P1248" t="s">
        <v>847</v>
      </c>
      <c r="Q1248" s="1" t="s">
        <v>2276</v>
      </c>
      <c r="R1248" s="1" t="s">
        <v>669</v>
      </c>
      <c r="S1248" s="1" t="s">
        <v>168</v>
      </c>
      <c r="X1248" t="s">
        <v>176</v>
      </c>
      <c r="Y1248" t="s">
        <v>2273</v>
      </c>
      <c r="Z1248" t="s">
        <v>249</v>
      </c>
      <c r="AA1248" t="s">
        <v>2359</v>
      </c>
      <c r="AB1248" t="s">
        <v>2285</v>
      </c>
      <c r="AC1248" t="s">
        <v>152</v>
      </c>
      <c r="AD1248" t="s">
        <v>137</v>
      </c>
      <c r="AE1248" t="s">
        <v>851</v>
      </c>
    </row>
    <row r="1249" spans="1:31" x14ac:dyDescent="0.2">
      <c r="A1249" t="s">
        <v>845</v>
      </c>
      <c r="B1249" t="s">
        <v>846</v>
      </c>
      <c r="C1249">
        <v>2019</v>
      </c>
      <c r="D1249" t="s">
        <v>44</v>
      </c>
      <c r="E1249" t="s">
        <v>50</v>
      </c>
      <c r="F1249" t="s">
        <v>931</v>
      </c>
      <c r="G1249" t="s">
        <v>88</v>
      </c>
      <c r="H1249" t="s">
        <v>350</v>
      </c>
      <c r="I1249">
        <v>2017</v>
      </c>
      <c r="J1249">
        <v>0.5</v>
      </c>
      <c r="K1249" t="s">
        <v>109</v>
      </c>
      <c r="M1249">
        <v>0</v>
      </c>
      <c r="N1249" t="s">
        <v>128</v>
      </c>
      <c r="O1249" t="s">
        <v>751</v>
      </c>
      <c r="P1249" t="s">
        <v>848</v>
      </c>
      <c r="Q1249" s="1" t="s">
        <v>2276</v>
      </c>
      <c r="R1249" s="1" t="s">
        <v>751</v>
      </c>
      <c r="S1249" s="1" t="s">
        <v>2346</v>
      </c>
      <c r="X1249" t="s">
        <v>176</v>
      </c>
      <c r="Y1249" t="s">
        <v>2273</v>
      </c>
      <c r="Z1249" t="s">
        <v>249</v>
      </c>
      <c r="AA1249" t="s">
        <v>2359</v>
      </c>
      <c r="AB1249" t="s">
        <v>2285</v>
      </c>
      <c r="AC1249" t="s">
        <v>152</v>
      </c>
      <c r="AD1249" t="s">
        <v>137</v>
      </c>
      <c r="AE1249" t="s">
        <v>851</v>
      </c>
    </row>
    <row r="1250" spans="1:31" x14ac:dyDescent="0.2">
      <c r="A1250" t="s">
        <v>845</v>
      </c>
      <c r="B1250" t="s">
        <v>846</v>
      </c>
      <c r="C1250">
        <v>2019</v>
      </c>
      <c r="D1250" t="s">
        <v>44</v>
      </c>
      <c r="E1250" t="s">
        <v>50</v>
      </c>
      <c r="F1250" t="s">
        <v>931</v>
      </c>
      <c r="G1250" t="s">
        <v>88</v>
      </c>
      <c r="H1250" t="s">
        <v>350</v>
      </c>
      <c r="I1250">
        <v>2017</v>
      </c>
      <c r="J1250">
        <v>0.5</v>
      </c>
      <c r="K1250" t="s">
        <v>109</v>
      </c>
      <c r="M1250">
        <v>0</v>
      </c>
      <c r="N1250" t="s">
        <v>128</v>
      </c>
      <c r="O1250" t="s">
        <v>221</v>
      </c>
      <c r="P1250" t="s">
        <v>849</v>
      </c>
      <c r="Q1250" s="1" t="s">
        <v>2276</v>
      </c>
      <c r="R1250" s="1" t="s">
        <v>2284</v>
      </c>
      <c r="S1250" s="1" t="s">
        <v>2348</v>
      </c>
      <c r="X1250" t="s">
        <v>176</v>
      </c>
      <c r="Y1250" t="s">
        <v>2273</v>
      </c>
      <c r="Z1250" t="s">
        <v>249</v>
      </c>
      <c r="AA1250" t="s">
        <v>2359</v>
      </c>
      <c r="AB1250" t="s">
        <v>2285</v>
      </c>
      <c r="AC1250" t="s">
        <v>152</v>
      </c>
      <c r="AD1250" t="s">
        <v>137</v>
      </c>
      <c r="AE1250" t="s">
        <v>851</v>
      </c>
    </row>
    <row r="1251" spans="1:31" x14ac:dyDescent="0.2">
      <c r="A1251" t="s">
        <v>845</v>
      </c>
      <c r="B1251" t="s">
        <v>846</v>
      </c>
      <c r="C1251">
        <v>2019</v>
      </c>
      <c r="D1251" t="s">
        <v>44</v>
      </c>
      <c r="E1251" t="s">
        <v>50</v>
      </c>
      <c r="F1251" t="s">
        <v>931</v>
      </c>
      <c r="G1251" t="s">
        <v>88</v>
      </c>
      <c r="H1251" t="s">
        <v>350</v>
      </c>
      <c r="I1251">
        <v>2017</v>
      </c>
      <c r="J1251">
        <v>0.5</v>
      </c>
      <c r="K1251" t="s">
        <v>109</v>
      </c>
      <c r="M1251">
        <v>0</v>
      </c>
      <c r="N1251" t="s">
        <v>120</v>
      </c>
      <c r="O1251" t="s">
        <v>120</v>
      </c>
      <c r="P1251" t="s">
        <v>847</v>
      </c>
      <c r="Q1251" s="1" t="s">
        <v>2276</v>
      </c>
      <c r="R1251" s="1" t="s">
        <v>669</v>
      </c>
      <c r="S1251" s="1" t="s">
        <v>168</v>
      </c>
      <c r="X1251" t="s">
        <v>478</v>
      </c>
      <c r="Y1251" t="s">
        <v>2273</v>
      </c>
      <c r="Z1251" t="s">
        <v>249</v>
      </c>
      <c r="AA1251" t="s">
        <v>2359</v>
      </c>
      <c r="AB1251" t="s">
        <v>2285</v>
      </c>
      <c r="AC1251" t="s">
        <v>315</v>
      </c>
      <c r="AD1251" t="s">
        <v>2288</v>
      </c>
    </row>
    <row r="1252" spans="1:31" x14ac:dyDescent="0.2">
      <c r="A1252" t="s">
        <v>845</v>
      </c>
      <c r="B1252" t="s">
        <v>846</v>
      </c>
      <c r="C1252">
        <v>2019</v>
      </c>
      <c r="D1252" t="s">
        <v>44</v>
      </c>
      <c r="E1252" t="s">
        <v>50</v>
      </c>
      <c r="F1252" t="s">
        <v>931</v>
      </c>
      <c r="G1252" t="s">
        <v>88</v>
      </c>
      <c r="H1252" t="s">
        <v>350</v>
      </c>
      <c r="I1252">
        <v>2017</v>
      </c>
      <c r="J1252">
        <v>0.5</v>
      </c>
      <c r="K1252" t="s">
        <v>109</v>
      </c>
      <c r="M1252">
        <v>0</v>
      </c>
      <c r="N1252" t="s">
        <v>128</v>
      </c>
      <c r="O1252" t="s">
        <v>751</v>
      </c>
      <c r="P1252" t="s">
        <v>848</v>
      </c>
      <c r="Q1252" s="1" t="s">
        <v>2276</v>
      </c>
      <c r="R1252" s="1" t="s">
        <v>751</v>
      </c>
      <c r="S1252" s="1" t="s">
        <v>2346</v>
      </c>
      <c r="X1252" t="s">
        <v>478</v>
      </c>
      <c r="Y1252" t="s">
        <v>2273</v>
      </c>
      <c r="Z1252" t="s">
        <v>249</v>
      </c>
      <c r="AA1252" t="s">
        <v>2359</v>
      </c>
      <c r="AB1252" t="s">
        <v>2285</v>
      </c>
      <c r="AC1252" t="s">
        <v>315</v>
      </c>
      <c r="AD1252" t="s">
        <v>2288</v>
      </c>
    </row>
    <row r="1253" spans="1:31" x14ac:dyDescent="0.2">
      <c r="A1253" t="s">
        <v>845</v>
      </c>
      <c r="B1253" t="s">
        <v>846</v>
      </c>
      <c r="C1253">
        <v>2019</v>
      </c>
      <c r="D1253" t="s">
        <v>44</v>
      </c>
      <c r="E1253" t="s">
        <v>50</v>
      </c>
      <c r="F1253" t="s">
        <v>931</v>
      </c>
      <c r="G1253" t="s">
        <v>88</v>
      </c>
      <c r="H1253" t="s">
        <v>350</v>
      </c>
      <c r="I1253">
        <v>2017</v>
      </c>
      <c r="J1253">
        <v>0.5</v>
      </c>
      <c r="K1253" t="s">
        <v>109</v>
      </c>
      <c r="M1253">
        <v>0</v>
      </c>
      <c r="N1253" t="s">
        <v>128</v>
      </c>
      <c r="O1253" t="s">
        <v>221</v>
      </c>
      <c r="P1253" t="s">
        <v>849</v>
      </c>
      <c r="Q1253" s="1" t="s">
        <v>2276</v>
      </c>
      <c r="R1253" s="1" t="s">
        <v>2284</v>
      </c>
      <c r="S1253" s="1" t="s">
        <v>2348</v>
      </c>
      <c r="X1253" t="s">
        <v>478</v>
      </c>
      <c r="Y1253" t="s">
        <v>2273</v>
      </c>
      <c r="Z1253" t="s">
        <v>249</v>
      </c>
      <c r="AA1253" t="s">
        <v>2359</v>
      </c>
      <c r="AB1253" t="s">
        <v>2285</v>
      </c>
      <c r="AC1253" t="s">
        <v>315</v>
      </c>
      <c r="AD1253" t="s">
        <v>2288</v>
      </c>
    </row>
    <row r="1254" spans="1:31" x14ac:dyDescent="0.2">
      <c r="A1254" t="s">
        <v>845</v>
      </c>
      <c r="B1254" t="s">
        <v>846</v>
      </c>
      <c r="C1254">
        <v>2019</v>
      </c>
      <c r="D1254" t="s">
        <v>44</v>
      </c>
      <c r="E1254" t="s">
        <v>50</v>
      </c>
      <c r="F1254" t="s">
        <v>931</v>
      </c>
      <c r="G1254" t="s">
        <v>88</v>
      </c>
      <c r="H1254" t="s">
        <v>350</v>
      </c>
      <c r="I1254">
        <v>2017</v>
      </c>
      <c r="J1254">
        <v>0.5</v>
      </c>
      <c r="K1254" t="s">
        <v>109</v>
      </c>
      <c r="M1254">
        <v>0</v>
      </c>
      <c r="N1254" t="s">
        <v>120</v>
      </c>
      <c r="O1254" t="s">
        <v>120</v>
      </c>
      <c r="P1254" t="s">
        <v>847</v>
      </c>
      <c r="Q1254" s="1" t="s">
        <v>2276</v>
      </c>
      <c r="R1254" s="1" t="s">
        <v>669</v>
      </c>
      <c r="S1254" s="1" t="s">
        <v>168</v>
      </c>
      <c r="X1254" t="s">
        <v>338</v>
      </c>
      <c r="Y1254" t="s">
        <v>2273</v>
      </c>
      <c r="Z1254" t="s">
        <v>249</v>
      </c>
      <c r="AA1254" t="s">
        <v>2359</v>
      </c>
      <c r="AB1254" t="s">
        <v>1419</v>
      </c>
      <c r="AC1254" t="s">
        <v>152</v>
      </c>
      <c r="AD1254" t="s">
        <v>137</v>
      </c>
    </row>
    <row r="1255" spans="1:31" x14ac:dyDescent="0.2">
      <c r="A1255" t="s">
        <v>845</v>
      </c>
      <c r="B1255" t="s">
        <v>846</v>
      </c>
      <c r="C1255">
        <v>2019</v>
      </c>
      <c r="D1255" t="s">
        <v>44</v>
      </c>
      <c r="E1255" t="s">
        <v>50</v>
      </c>
      <c r="F1255" t="s">
        <v>931</v>
      </c>
      <c r="G1255" t="s">
        <v>88</v>
      </c>
      <c r="H1255" t="s">
        <v>350</v>
      </c>
      <c r="I1255">
        <v>2017</v>
      </c>
      <c r="J1255">
        <v>0.5</v>
      </c>
      <c r="K1255" t="s">
        <v>109</v>
      </c>
      <c r="M1255">
        <v>0</v>
      </c>
      <c r="N1255" t="s">
        <v>128</v>
      </c>
      <c r="O1255" t="s">
        <v>751</v>
      </c>
      <c r="P1255" t="s">
        <v>848</v>
      </c>
      <c r="Q1255" s="1" t="s">
        <v>2276</v>
      </c>
      <c r="R1255" s="1" t="s">
        <v>751</v>
      </c>
      <c r="S1255" s="1" t="s">
        <v>2346</v>
      </c>
      <c r="X1255" t="s">
        <v>338</v>
      </c>
      <c r="Y1255" t="s">
        <v>2273</v>
      </c>
      <c r="Z1255" t="s">
        <v>249</v>
      </c>
      <c r="AA1255" t="s">
        <v>2359</v>
      </c>
      <c r="AB1255" t="s">
        <v>1419</v>
      </c>
      <c r="AC1255" t="s">
        <v>152</v>
      </c>
      <c r="AD1255" t="s">
        <v>137</v>
      </c>
    </row>
    <row r="1256" spans="1:31" x14ac:dyDescent="0.2">
      <c r="A1256" t="s">
        <v>845</v>
      </c>
      <c r="B1256" t="s">
        <v>846</v>
      </c>
      <c r="C1256">
        <v>2019</v>
      </c>
      <c r="D1256" t="s">
        <v>44</v>
      </c>
      <c r="E1256" t="s">
        <v>50</v>
      </c>
      <c r="F1256" t="s">
        <v>931</v>
      </c>
      <c r="G1256" t="s">
        <v>88</v>
      </c>
      <c r="H1256" t="s">
        <v>350</v>
      </c>
      <c r="I1256">
        <v>2017</v>
      </c>
      <c r="J1256">
        <v>0.5</v>
      </c>
      <c r="K1256" t="s">
        <v>109</v>
      </c>
      <c r="M1256">
        <v>0</v>
      </c>
      <c r="N1256" t="s">
        <v>128</v>
      </c>
      <c r="O1256" t="s">
        <v>221</v>
      </c>
      <c r="P1256" t="s">
        <v>849</v>
      </c>
      <c r="Q1256" s="1" t="s">
        <v>2276</v>
      </c>
      <c r="R1256" s="1" t="s">
        <v>2284</v>
      </c>
      <c r="S1256" s="1" t="s">
        <v>2348</v>
      </c>
      <c r="X1256" t="s">
        <v>338</v>
      </c>
      <c r="Y1256" t="s">
        <v>2273</v>
      </c>
      <c r="Z1256" t="s">
        <v>249</v>
      </c>
      <c r="AA1256" t="s">
        <v>2359</v>
      </c>
      <c r="AB1256" t="s">
        <v>1419</v>
      </c>
      <c r="AC1256" t="s">
        <v>152</v>
      </c>
      <c r="AD1256" t="s">
        <v>137</v>
      </c>
    </row>
    <row r="1257" spans="1:31" x14ac:dyDescent="0.2">
      <c r="A1257" t="s">
        <v>845</v>
      </c>
      <c r="B1257" t="s">
        <v>846</v>
      </c>
      <c r="C1257">
        <v>2019</v>
      </c>
      <c r="D1257" t="s">
        <v>44</v>
      </c>
      <c r="E1257" t="s">
        <v>50</v>
      </c>
      <c r="F1257" t="s">
        <v>931</v>
      </c>
      <c r="G1257" t="s">
        <v>88</v>
      </c>
      <c r="H1257" t="s">
        <v>350</v>
      </c>
      <c r="I1257">
        <v>2017</v>
      </c>
      <c r="J1257">
        <v>0.5</v>
      </c>
      <c r="K1257" t="s">
        <v>109</v>
      </c>
      <c r="M1257">
        <v>0</v>
      </c>
      <c r="N1257" t="s">
        <v>120</v>
      </c>
      <c r="O1257" t="s">
        <v>120</v>
      </c>
      <c r="P1257" t="s">
        <v>847</v>
      </c>
      <c r="Q1257" s="1" t="s">
        <v>2276</v>
      </c>
      <c r="R1257" s="1" t="s">
        <v>669</v>
      </c>
      <c r="S1257" s="1" t="s">
        <v>168</v>
      </c>
      <c r="X1257" t="s">
        <v>293</v>
      </c>
      <c r="Y1257" t="s">
        <v>2273</v>
      </c>
      <c r="Z1257" t="s">
        <v>249</v>
      </c>
      <c r="AA1257" t="s">
        <v>2359</v>
      </c>
      <c r="AB1257" t="s">
        <v>1419</v>
      </c>
      <c r="AC1257" t="s">
        <v>152</v>
      </c>
      <c r="AD1257" t="s">
        <v>137</v>
      </c>
    </row>
    <row r="1258" spans="1:31" x14ac:dyDescent="0.2">
      <c r="A1258" t="s">
        <v>845</v>
      </c>
      <c r="B1258" t="s">
        <v>846</v>
      </c>
      <c r="C1258">
        <v>2019</v>
      </c>
      <c r="D1258" t="s">
        <v>44</v>
      </c>
      <c r="E1258" t="s">
        <v>50</v>
      </c>
      <c r="F1258" t="s">
        <v>931</v>
      </c>
      <c r="G1258" t="s">
        <v>88</v>
      </c>
      <c r="H1258" t="s">
        <v>350</v>
      </c>
      <c r="I1258">
        <v>2017</v>
      </c>
      <c r="J1258">
        <v>0.5</v>
      </c>
      <c r="K1258" t="s">
        <v>109</v>
      </c>
      <c r="M1258">
        <v>0</v>
      </c>
      <c r="N1258" t="s">
        <v>128</v>
      </c>
      <c r="O1258" t="s">
        <v>751</v>
      </c>
      <c r="P1258" t="s">
        <v>848</v>
      </c>
      <c r="Q1258" s="1" t="s">
        <v>2276</v>
      </c>
      <c r="R1258" s="1" t="s">
        <v>751</v>
      </c>
      <c r="S1258" s="1" t="s">
        <v>2346</v>
      </c>
      <c r="X1258" t="s">
        <v>293</v>
      </c>
      <c r="Y1258" t="s">
        <v>2273</v>
      </c>
      <c r="Z1258" t="s">
        <v>249</v>
      </c>
      <c r="AA1258" t="s">
        <v>2359</v>
      </c>
      <c r="AB1258" t="s">
        <v>1419</v>
      </c>
      <c r="AC1258" t="s">
        <v>152</v>
      </c>
      <c r="AD1258" t="s">
        <v>137</v>
      </c>
    </row>
    <row r="1259" spans="1:31" x14ac:dyDescent="0.2">
      <c r="A1259" t="s">
        <v>845</v>
      </c>
      <c r="B1259" t="s">
        <v>846</v>
      </c>
      <c r="C1259">
        <v>2019</v>
      </c>
      <c r="D1259" t="s">
        <v>44</v>
      </c>
      <c r="E1259" t="s">
        <v>50</v>
      </c>
      <c r="F1259" t="s">
        <v>931</v>
      </c>
      <c r="G1259" t="s">
        <v>88</v>
      </c>
      <c r="H1259" t="s">
        <v>350</v>
      </c>
      <c r="I1259">
        <v>2017</v>
      </c>
      <c r="J1259">
        <v>0.5</v>
      </c>
      <c r="K1259" t="s">
        <v>109</v>
      </c>
      <c r="M1259">
        <v>0</v>
      </c>
      <c r="N1259" t="s">
        <v>128</v>
      </c>
      <c r="O1259" t="s">
        <v>221</v>
      </c>
      <c r="P1259" t="s">
        <v>849</v>
      </c>
      <c r="Q1259" s="1" t="s">
        <v>2276</v>
      </c>
      <c r="R1259" s="1" t="s">
        <v>2284</v>
      </c>
      <c r="S1259" s="1" t="s">
        <v>2348</v>
      </c>
      <c r="X1259" t="s">
        <v>293</v>
      </c>
      <c r="Y1259" t="s">
        <v>2273</v>
      </c>
      <c r="Z1259" t="s">
        <v>249</v>
      </c>
      <c r="AA1259" t="s">
        <v>2359</v>
      </c>
      <c r="AB1259" t="s">
        <v>1419</v>
      </c>
      <c r="AC1259" t="s">
        <v>152</v>
      </c>
      <c r="AD1259" t="s">
        <v>137</v>
      </c>
    </row>
    <row r="1260" spans="1:31" x14ac:dyDescent="0.2">
      <c r="A1260" t="s">
        <v>845</v>
      </c>
      <c r="B1260" t="s">
        <v>846</v>
      </c>
      <c r="C1260">
        <v>2019</v>
      </c>
      <c r="D1260" t="s">
        <v>44</v>
      </c>
      <c r="E1260" t="s">
        <v>50</v>
      </c>
      <c r="F1260" t="s">
        <v>931</v>
      </c>
      <c r="G1260" t="s">
        <v>88</v>
      </c>
      <c r="H1260" t="s">
        <v>350</v>
      </c>
      <c r="I1260">
        <v>2017</v>
      </c>
      <c r="J1260">
        <v>0.5</v>
      </c>
      <c r="K1260" t="s">
        <v>109</v>
      </c>
      <c r="M1260">
        <v>0</v>
      </c>
      <c r="N1260" t="s">
        <v>120</v>
      </c>
      <c r="O1260" t="s">
        <v>120</v>
      </c>
      <c r="P1260" t="s">
        <v>847</v>
      </c>
      <c r="Q1260" s="1" t="s">
        <v>2276</v>
      </c>
      <c r="R1260" s="1" t="s">
        <v>669</v>
      </c>
      <c r="S1260" s="1" t="s">
        <v>168</v>
      </c>
      <c r="X1260" t="s">
        <v>826</v>
      </c>
      <c r="Y1260" t="s">
        <v>2273</v>
      </c>
      <c r="Z1260" t="s">
        <v>249</v>
      </c>
      <c r="AA1260" t="s">
        <v>2359</v>
      </c>
      <c r="AB1260" t="s">
        <v>1419</v>
      </c>
      <c r="AC1260" t="s">
        <v>152</v>
      </c>
      <c r="AD1260" t="s">
        <v>137</v>
      </c>
    </row>
    <row r="1261" spans="1:31" x14ac:dyDescent="0.2">
      <c r="A1261" t="s">
        <v>845</v>
      </c>
      <c r="B1261" t="s">
        <v>846</v>
      </c>
      <c r="C1261">
        <v>2019</v>
      </c>
      <c r="D1261" t="s">
        <v>44</v>
      </c>
      <c r="E1261" t="s">
        <v>50</v>
      </c>
      <c r="F1261" t="s">
        <v>931</v>
      </c>
      <c r="G1261" t="s">
        <v>88</v>
      </c>
      <c r="H1261" t="s">
        <v>350</v>
      </c>
      <c r="I1261">
        <v>2017</v>
      </c>
      <c r="J1261">
        <v>0.5</v>
      </c>
      <c r="K1261" t="s">
        <v>109</v>
      </c>
      <c r="M1261">
        <v>0</v>
      </c>
      <c r="N1261" t="s">
        <v>128</v>
      </c>
      <c r="O1261" t="s">
        <v>751</v>
      </c>
      <c r="P1261" t="s">
        <v>848</v>
      </c>
      <c r="Q1261" s="1" t="s">
        <v>2276</v>
      </c>
      <c r="R1261" s="1" t="s">
        <v>751</v>
      </c>
      <c r="S1261" s="1" t="s">
        <v>2346</v>
      </c>
      <c r="X1261" t="s">
        <v>826</v>
      </c>
      <c r="Y1261" t="s">
        <v>2273</v>
      </c>
      <c r="Z1261" t="s">
        <v>249</v>
      </c>
      <c r="AA1261" t="s">
        <v>2359</v>
      </c>
      <c r="AB1261" t="s">
        <v>1419</v>
      </c>
      <c r="AC1261" t="s">
        <v>152</v>
      </c>
      <c r="AD1261" t="s">
        <v>137</v>
      </c>
    </row>
    <row r="1262" spans="1:31" x14ac:dyDescent="0.2">
      <c r="A1262" t="s">
        <v>845</v>
      </c>
      <c r="B1262" t="s">
        <v>846</v>
      </c>
      <c r="C1262">
        <v>2019</v>
      </c>
      <c r="D1262" t="s">
        <v>44</v>
      </c>
      <c r="E1262" t="s">
        <v>50</v>
      </c>
      <c r="F1262" t="s">
        <v>931</v>
      </c>
      <c r="G1262" t="s">
        <v>88</v>
      </c>
      <c r="H1262" t="s">
        <v>350</v>
      </c>
      <c r="I1262">
        <v>2017</v>
      </c>
      <c r="J1262">
        <v>0.5</v>
      </c>
      <c r="K1262" t="s">
        <v>109</v>
      </c>
      <c r="M1262">
        <v>0</v>
      </c>
      <c r="N1262" t="s">
        <v>128</v>
      </c>
      <c r="O1262" t="s">
        <v>221</v>
      </c>
      <c r="P1262" t="s">
        <v>849</v>
      </c>
      <c r="Q1262" s="1" t="s">
        <v>2276</v>
      </c>
      <c r="R1262" s="1" t="s">
        <v>2284</v>
      </c>
      <c r="S1262" s="1" t="s">
        <v>2348</v>
      </c>
      <c r="X1262" t="s">
        <v>826</v>
      </c>
      <c r="Y1262" t="s">
        <v>2273</v>
      </c>
      <c r="Z1262" t="s">
        <v>249</v>
      </c>
      <c r="AA1262" t="s">
        <v>2359</v>
      </c>
      <c r="AB1262" t="s">
        <v>1419</v>
      </c>
      <c r="AC1262" t="s">
        <v>152</v>
      </c>
      <c r="AD1262" t="s">
        <v>137</v>
      </c>
    </row>
    <row r="1263" spans="1:31" x14ac:dyDescent="0.2">
      <c r="A1263" t="s">
        <v>845</v>
      </c>
      <c r="B1263" t="s">
        <v>846</v>
      </c>
      <c r="C1263">
        <v>2019</v>
      </c>
      <c r="D1263" t="s">
        <v>44</v>
      </c>
      <c r="E1263" t="s">
        <v>50</v>
      </c>
      <c r="F1263" t="s">
        <v>931</v>
      </c>
      <c r="G1263" t="s">
        <v>88</v>
      </c>
      <c r="H1263" t="s">
        <v>350</v>
      </c>
      <c r="I1263">
        <v>2017</v>
      </c>
      <c r="J1263">
        <v>0.5</v>
      </c>
      <c r="K1263" t="s">
        <v>109</v>
      </c>
      <c r="M1263">
        <v>0</v>
      </c>
      <c r="N1263" t="s">
        <v>120</v>
      </c>
      <c r="O1263" t="s">
        <v>120</v>
      </c>
      <c r="P1263" t="s">
        <v>847</v>
      </c>
      <c r="Q1263" s="1" t="s">
        <v>2276</v>
      </c>
      <c r="R1263" s="1" t="s">
        <v>669</v>
      </c>
      <c r="S1263" s="1" t="s">
        <v>168</v>
      </c>
      <c r="X1263" t="s">
        <v>321</v>
      </c>
      <c r="Y1263" t="s">
        <v>2273</v>
      </c>
      <c r="Z1263" t="s">
        <v>249</v>
      </c>
      <c r="AA1263" t="s">
        <v>2274</v>
      </c>
      <c r="AB1263" t="s">
        <v>2298</v>
      </c>
      <c r="AC1263" t="s">
        <v>315</v>
      </c>
      <c r="AD1263" t="s">
        <v>2288</v>
      </c>
      <c r="AE1263" t="s">
        <v>851</v>
      </c>
    </row>
    <row r="1264" spans="1:31" x14ac:dyDescent="0.2">
      <c r="A1264" t="s">
        <v>845</v>
      </c>
      <c r="B1264" t="s">
        <v>846</v>
      </c>
      <c r="C1264">
        <v>2019</v>
      </c>
      <c r="D1264" t="s">
        <v>44</v>
      </c>
      <c r="E1264" t="s">
        <v>50</v>
      </c>
      <c r="F1264" t="s">
        <v>931</v>
      </c>
      <c r="G1264" t="s">
        <v>88</v>
      </c>
      <c r="H1264" t="s">
        <v>350</v>
      </c>
      <c r="I1264">
        <v>2017</v>
      </c>
      <c r="J1264">
        <v>0.5</v>
      </c>
      <c r="K1264" t="s">
        <v>109</v>
      </c>
      <c r="M1264">
        <v>0</v>
      </c>
      <c r="N1264" t="s">
        <v>128</v>
      </c>
      <c r="O1264" t="s">
        <v>751</v>
      </c>
      <c r="P1264" t="s">
        <v>848</v>
      </c>
      <c r="Q1264" s="1" t="s">
        <v>2276</v>
      </c>
      <c r="R1264" s="1" t="s">
        <v>751</v>
      </c>
      <c r="S1264" s="1" t="s">
        <v>2346</v>
      </c>
      <c r="X1264" t="s">
        <v>321</v>
      </c>
      <c r="Y1264" t="s">
        <v>2273</v>
      </c>
      <c r="Z1264" t="s">
        <v>249</v>
      </c>
      <c r="AA1264" t="s">
        <v>2274</v>
      </c>
      <c r="AB1264" t="s">
        <v>2298</v>
      </c>
      <c r="AC1264" t="s">
        <v>315</v>
      </c>
      <c r="AD1264" t="s">
        <v>2288</v>
      </c>
      <c r="AE1264" t="s">
        <v>851</v>
      </c>
    </row>
    <row r="1265" spans="1:43" x14ac:dyDescent="0.2">
      <c r="A1265" t="s">
        <v>845</v>
      </c>
      <c r="B1265" t="s">
        <v>846</v>
      </c>
      <c r="C1265">
        <v>2019</v>
      </c>
      <c r="D1265" t="s">
        <v>44</v>
      </c>
      <c r="E1265" t="s">
        <v>50</v>
      </c>
      <c r="F1265" t="s">
        <v>931</v>
      </c>
      <c r="G1265" t="s">
        <v>88</v>
      </c>
      <c r="H1265" t="s">
        <v>350</v>
      </c>
      <c r="I1265">
        <v>2017</v>
      </c>
      <c r="J1265">
        <v>0.5</v>
      </c>
      <c r="K1265" t="s">
        <v>109</v>
      </c>
      <c r="M1265">
        <v>0</v>
      </c>
      <c r="N1265" t="s">
        <v>128</v>
      </c>
      <c r="O1265" t="s">
        <v>221</v>
      </c>
      <c r="P1265" t="s">
        <v>849</v>
      </c>
      <c r="Q1265" s="1" t="s">
        <v>2276</v>
      </c>
      <c r="R1265" s="1" t="s">
        <v>2284</v>
      </c>
      <c r="S1265" s="1" t="s">
        <v>2348</v>
      </c>
      <c r="X1265" t="s">
        <v>321</v>
      </c>
      <c r="Y1265" t="s">
        <v>2273</v>
      </c>
      <c r="Z1265" t="s">
        <v>249</v>
      </c>
      <c r="AA1265" t="s">
        <v>2274</v>
      </c>
      <c r="AB1265" t="s">
        <v>2298</v>
      </c>
      <c r="AC1265" t="s">
        <v>315</v>
      </c>
      <c r="AD1265" t="s">
        <v>2288</v>
      </c>
      <c r="AE1265" t="s">
        <v>851</v>
      </c>
    </row>
    <row r="1266" spans="1:43" x14ac:dyDescent="0.2">
      <c r="A1266" t="s">
        <v>845</v>
      </c>
      <c r="B1266" t="s">
        <v>846</v>
      </c>
      <c r="C1266">
        <v>2019</v>
      </c>
      <c r="D1266" t="s">
        <v>44</v>
      </c>
      <c r="E1266" t="s">
        <v>50</v>
      </c>
      <c r="F1266" t="s">
        <v>931</v>
      </c>
      <c r="G1266" t="s">
        <v>88</v>
      </c>
      <c r="H1266" t="s">
        <v>350</v>
      </c>
      <c r="I1266">
        <v>2017</v>
      </c>
      <c r="J1266">
        <v>0.5</v>
      </c>
      <c r="K1266" t="s">
        <v>109</v>
      </c>
      <c r="M1266">
        <v>0</v>
      </c>
      <c r="N1266" t="s">
        <v>120</v>
      </c>
      <c r="O1266" t="s">
        <v>120</v>
      </c>
      <c r="P1266" t="s">
        <v>847</v>
      </c>
      <c r="Q1266" s="1" t="s">
        <v>2276</v>
      </c>
      <c r="R1266" s="1" t="s">
        <v>669</v>
      </c>
      <c r="S1266" s="1" t="s">
        <v>168</v>
      </c>
      <c r="X1266" t="s">
        <v>850</v>
      </c>
      <c r="Y1266" t="s">
        <v>2273</v>
      </c>
      <c r="Z1266" t="s">
        <v>249</v>
      </c>
      <c r="AA1266" t="s">
        <v>2274</v>
      </c>
      <c r="AB1266" t="s">
        <v>2283</v>
      </c>
      <c r="AC1266" t="s">
        <v>315</v>
      </c>
      <c r="AD1266" t="s">
        <v>137</v>
      </c>
      <c r="AE1266" t="s">
        <v>2316</v>
      </c>
    </row>
    <row r="1267" spans="1:43" x14ac:dyDescent="0.2">
      <c r="A1267" t="s">
        <v>845</v>
      </c>
      <c r="B1267" t="s">
        <v>846</v>
      </c>
      <c r="C1267">
        <v>2019</v>
      </c>
      <c r="D1267" t="s">
        <v>44</v>
      </c>
      <c r="E1267" t="s">
        <v>50</v>
      </c>
      <c r="F1267" t="s">
        <v>931</v>
      </c>
      <c r="G1267" t="s">
        <v>88</v>
      </c>
      <c r="H1267" t="s">
        <v>350</v>
      </c>
      <c r="I1267">
        <v>2017</v>
      </c>
      <c r="J1267">
        <v>0.5</v>
      </c>
      <c r="K1267" t="s">
        <v>109</v>
      </c>
      <c r="M1267">
        <v>0</v>
      </c>
      <c r="N1267" t="s">
        <v>128</v>
      </c>
      <c r="O1267" t="s">
        <v>751</v>
      </c>
      <c r="P1267" t="s">
        <v>848</v>
      </c>
      <c r="Q1267" s="1" t="s">
        <v>2276</v>
      </c>
      <c r="R1267" s="1" t="s">
        <v>751</v>
      </c>
      <c r="S1267" s="1" t="s">
        <v>2346</v>
      </c>
      <c r="X1267" t="s">
        <v>850</v>
      </c>
      <c r="Y1267" t="s">
        <v>2273</v>
      </c>
      <c r="Z1267" t="s">
        <v>249</v>
      </c>
      <c r="AA1267" t="s">
        <v>2274</v>
      </c>
      <c r="AB1267" t="s">
        <v>2283</v>
      </c>
      <c r="AC1267" t="s">
        <v>315</v>
      </c>
      <c r="AD1267" t="s">
        <v>137</v>
      </c>
      <c r="AE1267" t="s">
        <v>2316</v>
      </c>
    </row>
    <row r="1268" spans="1:43" x14ac:dyDescent="0.2">
      <c r="A1268" t="s">
        <v>845</v>
      </c>
      <c r="B1268" t="s">
        <v>846</v>
      </c>
      <c r="C1268">
        <v>2019</v>
      </c>
      <c r="D1268" t="s">
        <v>44</v>
      </c>
      <c r="E1268" t="s">
        <v>50</v>
      </c>
      <c r="F1268" t="s">
        <v>931</v>
      </c>
      <c r="G1268" t="s">
        <v>88</v>
      </c>
      <c r="H1268" t="s">
        <v>350</v>
      </c>
      <c r="I1268">
        <v>2017</v>
      </c>
      <c r="J1268">
        <v>0.5</v>
      </c>
      <c r="K1268" t="s">
        <v>109</v>
      </c>
      <c r="M1268">
        <v>0</v>
      </c>
      <c r="N1268" t="s">
        <v>128</v>
      </c>
      <c r="O1268" t="s">
        <v>221</v>
      </c>
      <c r="P1268" t="s">
        <v>849</v>
      </c>
      <c r="Q1268" s="1" t="s">
        <v>2276</v>
      </c>
      <c r="R1268" s="1" t="s">
        <v>2284</v>
      </c>
      <c r="S1268" s="1" t="s">
        <v>2348</v>
      </c>
      <c r="X1268" t="s">
        <v>850</v>
      </c>
      <c r="Y1268" t="s">
        <v>2273</v>
      </c>
      <c r="Z1268" t="s">
        <v>249</v>
      </c>
      <c r="AA1268" t="s">
        <v>2274</v>
      </c>
      <c r="AB1268" t="s">
        <v>2283</v>
      </c>
      <c r="AC1268" t="s">
        <v>315</v>
      </c>
      <c r="AD1268" t="s">
        <v>137</v>
      </c>
      <c r="AE1268" t="s">
        <v>2316</v>
      </c>
    </row>
    <row r="1269" spans="1:43" x14ac:dyDescent="0.2">
      <c r="A1269" t="s">
        <v>845</v>
      </c>
      <c r="B1269" t="s">
        <v>846</v>
      </c>
      <c r="C1269">
        <v>2019</v>
      </c>
      <c r="D1269" t="s">
        <v>44</v>
      </c>
      <c r="E1269" t="s">
        <v>50</v>
      </c>
      <c r="F1269" t="s">
        <v>931</v>
      </c>
      <c r="G1269" t="s">
        <v>88</v>
      </c>
      <c r="H1269" t="s">
        <v>350</v>
      </c>
      <c r="I1269">
        <v>2014</v>
      </c>
      <c r="J1269">
        <v>0.92</v>
      </c>
      <c r="K1269" t="s">
        <v>109</v>
      </c>
      <c r="M1269">
        <v>0</v>
      </c>
      <c r="N1269" t="s">
        <v>120</v>
      </c>
      <c r="O1269" t="s">
        <v>120</v>
      </c>
      <c r="P1269" t="s">
        <v>847</v>
      </c>
      <c r="Q1269" s="1" t="s">
        <v>2276</v>
      </c>
      <c r="R1269" s="1" t="s">
        <v>669</v>
      </c>
      <c r="S1269" s="1" t="s">
        <v>168</v>
      </c>
      <c r="X1269" t="s">
        <v>171</v>
      </c>
      <c r="Y1269" t="s">
        <v>2273</v>
      </c>
      <c r="Z1269" t="s">
        <v>249</v>
      </c>
      <c r="AA1269" t="s">
        <v>2359</v>
      </c>
      <c r="AB1269" t="s">
        <v>1979</v>
      </c>
      <c r="AC1269" t="s">
        <v>152</v>
      </c>
      <c r="AD1269" t="s">
        <v>137</v>
      </c>
      <c r="AE1269" t="s">
        <v>102</v>
      </c>
    </row>
    <row r="1270" spans="1:43" x14ac:dyDescent="0.2">
      <c r="A1270" t="s">
        <v>845</v>
      </c>
      <c r="B1270" t="s">
        <v>846</v>
      </c>
      <c r="C1270">
        <v>2019</v>
      </c>
      <c r="D1270" t="s">
        <v>44</v>
      </c>
      <c r="E1270" t="s">
        <v>50</v>
      </c>
      <c r="F1270" t="s">
        <v>931</v>
      </c>
      <c r="G1270" t="s">
        <v>88</v>
      </c>
      <c r="H1270" t="s">
        <v>350</v>
      </c>
      <c r="I1270">
        <v>2014</v>
      </c>
      <c r="J1270">
        <v>0.92</v>
      </c>
      <c r="K1270" t="s">
        <v>109</v>
      </c>
      <c r="M1270">
        <v>0</v>
      </c>
      <c r="N1270" t="s">
        <v>128</v>
      </c>
      <c r="O1270" t="s">
        <v>751</v>
      </c>
      <c r="P1270" t="s">
        <v>848</v>
      </c>
      <c r="Q1270" s="1" t="s">
        <v>2276</v>
      </c>
      <c r="R1270" s="1" t="s">
        <v>751</v>
      </c>
      <c r="S1270" s="1" t="s">
        <v>2346</v>
      </c>
      <c r="X1270" t="s">
        <v>171</v>
      </c>
      <c r="Y1270" t="s">
        <v>2273</v>
      </c>
      <c r="Z1270" t="s">
        <v>249</v>
      </c>
      <c r="AA1270" t="s">
        <v>2359</v>
      </c>
      <c r="AB1270" t="s">
        <v>1979</v>
      </c>
      <c r="AC1270" t="s">
        <v>152</v>
      </c>
      <c r="AD1270" t="s">
        <v>137</v>
      </c>
      <c r="AE1270" t="s">
        <v>102</v>
      </c>
    </row>
    <row r="1271" spans="1:43" x14ac:dyDescent="0.2">
      <c r="A1271" t="s">
        <v>845</v>
      </c>
      <c r="B1271" t="s">
        <v>846</v>
      </c>
      <c r="C1271">
        <v>2019</v>
      </c>
      <c r="D1271" t="s">
        <v>44</v>
      </c>
      <c r="E1271" t="s">
        <v>50</v>
      </c>
      <c r="F1271" t="s">
        <v>931</v>
      </c>
      <c r="G1271" t="s">
        <v>88</v>
      </c>
      <c r="H1271" t="s">
        <v>350</v>
      </c>
      <c r="I1271">
        <v>2014</v>
      </c>
      <c r="J1271">
        <v>0.92</v>
      </c>
      <c r="K1271" t="s">
        <v>109</v>
      </c>
      <c r="M1271">
        <v>0</v>
      </c>
      <c r="N1271" t="s">
        <v>128</v>
      </c>
      <c r="O1271" t="s">
        <v>221</v>
      </c>
      <c r="P1271" t="s">
        <v>849</v>
      </c>
      <c r="Q1271" s="1" t="s">
        <v>2276</v>
      </c>
      <c r="R1271" s="1" t="s">
        <v>2284</v>
      </c>
      <c r="S1271" s="1" t="s">
        <v>2348</v>
      </c>
      <c r="X1271" t="s">
        <v>171</v>
      </c>
      <c r="Y1271" t="s">
        <v>2273</v>
      </c>
      <c r="Z1271" t="s">
        <v>249</v>
      </c>
      <c r="AA1271" t="s">
        <v>2359</v>
      </c>
      <c r="AB1271" t="s">
        <v>1979</v>
      </c>
      <c r="AC1271" t="s">
        <v>152</v>
      </c>
      <c r="AD1271" t="s">
        <v>137</v>
      </c>
      <c r="AE1271" t="s">
        <v>102</v>
      </c>
    </row>
    <row r="1272" spans="1:43" x14ac:dyDescent="0.2">
      <c r="A1272" t="s">
        <v>845</v>
      </c>
      <c r="B1272" t="s">
        <v>846</v>
      </c>
      <c r="C1272">
        <v>2019</v>
      </c>
      <c r="D1272" t="s">
        <v>44</v>
      </c>
      <c r="E1272" t="s">
        <v>50</v>
      </c>
      <c r="F1272" t="s">
        <v>931</v>
      </c>
      <c r="G1272" t="s">
        <v>88</v>
      </c>
      <c r="H1272" t="s">
        <v>350</v>
      </c>
      <c r="I1272">
        <v>2014</v>
      </c>
      <c r="J1272">
        <v>0.92</v>
      </c>
      <c r="K1272" t="s">
        <v>109</v>
      </c>
      <c r="M1272">
        <v>0</v>
      </c>
      <c r="N1272" t="s">
        <v>120</v>
      </c>
      <c r="O1272" t="s">
        <v>120</v>
      </c>
      <c r="P1272" t="s">
        <v>847</v>
      </c>
      <c r="Q1272" s="1" t="s">
        <v>2276</v>
      </c>
      <c r="R1272" s="1" t="s">
        <v>669</v>
      </c>
      <c r="S1272" s="1" t="s">
        <v>168</v>
      </c>
      <c r="T1272" t="s">
        <v>396</v>
      </c>
      <c r="U1272" s="1" t="s">
        <v>2388</v>
      </c>
      <c r="X1272" t="s">
        <v>161</v>
      </c>
      <c r="Y1272" t="s">
        <v>2272</v>
      </c>
      <c r="Z1272" t="s">
        <v>2272</v>
      </c>
      <c r="AA1272" t="s">
        <v>2272</v>
      </c>
      <c r="AB1272" t="s">
        <v>2272</v>
      </c>
      <c r="AC1272" t="s">
        <v>162</v>
      </c>
      <c r="AD1272" t="s">
        <v>2272</v>
      </c>
      <c r="AF1272" t="s">
        <v>49</v>
      </c>
      <c r="AK1272" t="s">
        <v>49</v>
      </c>
      <c r="AM1272" t="s">
        <v>1484</v>
      </c>
      <c r="AN1272" t="s">
        <v>166</v>
      </c>
      <c r="AQ1272" s="5">
        <v>0</v>
      </c>
    </row>
    <row r="1273" spans="1:43" x14ac:dyDescent="0.2">
      <c r="A1273" t="s">
        <v>845</v>
      </c>
      <c r="B1273" t="s">
        <v>846</v>
      </c>
      <c r="C1273">
        <v>2019</v>
      </c>
      <c r="D1273" t="s">
        <v>44</v>
      </c>
      <c r="E1273" t="s">
        <v>50</v>
      </c>
      <c r="F1273" t="s">
        <v>931</v>
      </c>
      <c r="G1273" t="s">
        <v>88</v>
      </c>
      <c r="H1273" t="s">
        <v>350</v>
      </c>
      <c r="I1273">
        <v>2014</v>
      </c>
      <c r="J1273">
        <v>0.92</v>
      </c>
      <c r="K1273" t="s">
        <v>109</v>
      </c>
      <c r="M1273">
        <v>0</v>
      </c>
      <c r="N1273" t="s">
        <v>128</v>
      </c>
      <c r="O1273" t="s">
        <v>751</v>
      </c>
      <c r="P1273" t="s">
        <v>848</v>
      </c>
      <c r="Q1273" s="1" t="s">
        <v>2276</v>
      </c>
      <c r="R1273" s="1" t="s">
        <v>751</v>
      </c>
      <c r="S1273" s="1" t="s">
        <v>2346</v>
      </c>
      <c r="T1273" t="s">
        <v>396</v>
      </c>
      <c r="U1273" s="1" t="s">
        <v>2389</v>
      </c>
      <c r="X1273" t="s">
        <v>161</v>
      </c>
      <c r="Y1273" t="s">
        <v>2272</v>
      </c>
      <c r="Z1273" t="s">
        <v>2272</v>
      </c>
      <c r="AA1273" t="s">
        <v>2272</v>
      </c>
      <c r="AB1273" t="s">
        <v>2272</v>
      </c>
      <c r="AC1273" t="s">
        <v>162</v>
      </c>
      <c r="AD1273" t="s">
        <v>2272</v>
      </c>
      <c r="AF1273" t="s">
        <v>49</v>
      </c>
      <c r="AK1273" t="s">
        <v>49</v>
      </c>
      <c r="AM1273" t="s">
        <v>1484</v>
      </c>
      <c r="AN1273" t="s">
        <v>166</v>
      </c>
      <c r="AQ1273" s="5">
        <v>0</v>
      </c>
    </row>
    <row r="1274" spans="1:43" x14ac:dyDescent="0.2">
      <c r="A1274" t="s">
        <v>845</v>
      </c>
      <c r="B1274" t="s">
        <v>846</v>
      </c>
      <c r="C1274">
        <v>2019</v>
      </c>
      <c r="D1274" t="s">
        <v>44</v>
      </c>
      <c r="E1274" t="s">
        <v>50</v>
      </c>
      <c r="F1274" t="s">
        <v>931</v>
      </c>
      <c r="G1274" t="s">
        <v>88</v>
      </c>
      <c r="H1274" t="s">
        <v>350</v>
      </c>
      <c r="I1274">
        <v>2014</v>
      </c>
      <c r="J1274">
        <v>0.92</v>
      </c>
      <c r="K1274" t="s">
        <v>109</v>
      </c>
      <c r="M1274">
        <v>0</v>
      </c>
      <c r="N1274" t="s">
        <v>128</v>
      </c>
      <c r="O1274" t="s">
        <v>221</v>
      </c>
      <c r="P1274" t="s">
        <v>849</v>
      </c>
      <c r="Q1274" s="1" t="s">
        <v>2276</v>
      </c>
      <c r="R1274" s="1" t="s">
        <v>2284</v>
      </c>
      <c r="S1274" s="1" t="s">
        <v>2348</v>
      </c>
      <c r="T1274" t="s">
        <v>396</v>
      </c>
      <c r="U1274" s="1" t="s">
        <v>2390</v>
      </c>
      <c r="X1274" t="s">
        <v>161</v>
      </c>
      <c r="Y1274" t="s">
        <v>2272</v>
      </c>
      <c r="Z1274" t="s">
        <v>2272</v>
      </c>
      <c r="AA1274" t="s">
        <v>2272</v>
      </c>
      <c r="AB1274" t="s">
        <v>2272</v>
      </c>
      <c r="AC1274" t="s">
        <v>162</v>
      </c>
      <c r="AD1274" t="s">
        <v>2272</v>
      </c>
      <c r="AF1274" t="s">
        <v>49</v>
      </c>
      <c r="AK1274" t="s">
        <v>49</v>
      </c>
      <c r="AM1274" t="s">
        <v>1484</v>
      </c>
      <c r="AN1274" t="s">
        <v>166</v>
      </c>
      <c r="AQ1274" s="5">
        <v>0</v>
      </c>
    </row>
    <row r="1275" spans="1:43" x14ac:dyDescent="0.2">
      <c r="A1275" t="s">
        <v>845</v>
      </c>
      <c r="B1275" t="s">
        <v>846</v>
      </c>
      <c r="C1275">
        <v>2019</v>
      </c>
      <c r="D1275" t="s">
        <v>44</v>
      </c>
      <c r="E1275" t="s">
        <v>50</v>
      </c>
      <c r="F1275" t="s">
        <v>931</v>
      </c>
      <c r="G1275" t="s">
        <v>88</v>
      </c>
      <c r="H1275" t="s">
        <v>350</v>
      </c>
      <c r="I1275">
        <v>2014</v>
      </c>
      <c r="J1275">
        <v>0.92</v>
      </c>
      <c r="K1275" t="s">
        <v>109</v>
      </c>
      <c r="M1275">
        <v>0</v>
      </c>
      <c r="N1275" t="s">
        <v>120</v>
      </c>
      <c r="O1275" t="s">
        <v>120</v>
      </c>
      <c r="P1275" t="s">
        <v>847</v>
      </c>
      <c r="Q1275" s="1" t="s">
        <v>2276</v>
      </c>
      <c r="R1275" s="1" t="s">
        <v>669</v>
      </c>
      <c r="S1275" s="1" t="s">
        <v>168</v>
      </c>
      <c r="T1275" t="s">
        <v>396</v>
      </c>
      <c r="U1275" s="1" t="s">
        <v>2388</v>
      </c>
      <c r="X1275" t="s">
        <v>161</v>
      </c>
      <c r="Y1275" t="s">
        <v>2272</v>
      </c>
      <c r="Z1275" t="s">
        <v>2272</v>
      </c>
      <c r="AA1275" t="s">
        <v>2272</v>
      </c>
      <c r="AB1275" t="s">
        <v>2272</v>
      </c>
      <c r="AC1275" t="s">
        <v>162</v>
      </c>
      <c r="AD1275" t="s">
        <v>2272</v>
      </c>
      <c r="AF1275" t="s">
        <v>49</v>
      </c>
      <c r="AK1275" t="s">
        <v>49</v>
      </c>
      <c r="AM1275" t="s">
        <v>1484</v>
      </c>
      <c r="AN1275" t="s">
        <v>154</v>
      </c>
      <c r="AQ1275" s="5">
        <v>0</v>
      </c>
    </row>
    <row r="1276" spans="1:43" x14ac:dyDescent="0.2">
      <c r="A1276" t="s">
        <v>845</v>
      </c>
      <c r="B1276" t="s">
        <v>846</v>
      </c>
      <c r="C1276">
        <v>2019</v>
      </c>
      <c r="D1276" t="s">
        <v>44</v>
      </c>
      <c r="E1276" t="s">
        <v>50</v>
      </c>
      <c r="F1276" t="s">
        <v>931</v>
      </c>
      <c r="G1276" t="s">
        <v>88</v>
      </c>
      <c r="H1276" t="s">
        <v>350</v>
      </c>
      <c r="I1276">
        <v>2014</v>
      </c>
      <c r="J1276">
        <v>0.92</v>
      </c>
      <c r="K1276" t="s">
        <v>109</v>
      </c>
      <c r="M1276">
        <v>0</v>
      </c>
      <c r="N1276" t="s">
        <v>128</v>
      </c>
      <c r="O1276" t="s">
        <v>751</v>
      </c>
      <c r="P1276" t="s">
        <v>848</v>
      </c>
      <c r="Q1276" s="1" t="s">
        <v>2276</v>
      </c>
      <c r="R1276" s="1" t="s">
        <v>751</v>
      </c>
      <c r="S1276" s="1" t="s">
        <v>2346</v>
      </c>
      <c r="T1276" t="s">
        <v>396</v>
      </c>
      <c r="U1276" s="1" t="s">
        <v>2389</v>
      </c>
      <c r="X1276" t="s">
        <v>161</v>
      </c>
      <c r="Y1276" t="s">
        <v>2272</v>
      </c>
      <c r="Z1276" t="s">
        <v>2272</v>
      </c>
      <c r="AA1276" t="s">
        <v>2272</v>
      </c>
      <c r="AB1276" t="s">
        <v>2272</v>
      </c>
      <c r="AC1276" t="s">
        <v>162</v>
      </c>
      <c r="AD1276" t="s">
        <v>2272</v>
      </c>
      <c r="AF1276" t="s">
        <v>49</v>
      </c>
      <c r="AK1276" t="s">
        <v>49</v>
      </c>
      <c r="AM1276" t="s">
        <v>1484</v>
      </c>
      <c r="AN1276" t="s">
        <v>154</v>
      </c>
      <c r="AQ1276" s="5">
        <v>0</v>
      </c>
    </row>
    <row r="1277" spans="1:43" x14ac:dyDescent="0.2">
      <c r="A1277" t="s">
        <v>845</v>
      </c>
      <c r="B1277" t="s">
        <v>846</v>
      </c>
      <c r="C1277">
        <v>2019</v>
      </c>
      <c r="D1277" t="s">
        <v>44</v>
      </c>
      <c r="E1277" t="s">
        <v>50</v>
      </c>
      <c r="F1277" t="s">
        <v>931</v>
      </c>
      <c r="G1277" t="s">
        <v>88</v>
      </c>
      <c r="H1277" t="s">
        <v>350</v>
      </c>
      <c r="I1277">
        <v>2014</v>
      </c>
      <c r="J1277">
        <v>0.92</v>
      </c>
      <c r="K1277" t="s">
        <v>109</v>
      </c>
      <c r="M1277">
        <v>0</v>
      </c>
      <c r="N1277" t="s">
        <v>128</v>
      </c>
      <c r="O1277" t="s">
        <v>221</v>
      </c>
      <c r="P1277" t="s">
        <v>849</v>
      </c>
      <c r="Q1277" s="1" t="s">
        <v>2276</v>
      </c>
      <c r="R1277" s="1" t="s">
        <v>2284</v>
      </c>
      <c r="S1277" s="1" t="s">
        <v>2348</v>
      </c>
      <c r="T1277" t="s">
        <v>396</v>
      </c>
      <c r="U1277" s="1" t="s">
        <v>2390</v>
      </c>
      <c r="X1277" t="s">
        <v>161</v>
      </c>
      <c r="Y1277" t="s">
        <v>2272</v>
      </c>
      <c r="Z1277" t="s">
        <v>2272</v>
      </c>
      <c r="AA1277" t="s">
        <v>2272</v>
      </c>
      <c r="AB1277" t="s">
        <v>2272</v>
      </c>
      <c r="AC1277" t="s">
        <v>162</v>
      </c>
      <c r="AD1277" t="s">
        <v>2272</v>
      </c>
      <c r="AF1277" t="s">
        <v>49</v>
      </c>
      <c r="AK1277" t="s">
        <v>49</v>
      </c>
      <c r="AM1277" t="s">
        <v>1484</v>
      </c>
      <c r="AN1277" t="s">
        <v>154</v>
      </c>
      <c r="AQ1277" s="5">
        <v>0</v>
      </c>
    </row>
    <row r="1278" spans="1:43" x14ac:dyDescent="0.2">
      <c r="A1278" t="s">
        <v>845</v>
      </c>
      <c r="B1278" t="s">
        <v>846</v>
      </c>
      <c r="C1278">
        <v>2019</v>
      </c>
      <c r="D1278" t="s">
        <v>44</v>
      </c>
      <c r="E1278" t="s">
        <v>50</v>
      </c>
      <c r="F1278" t="s">
        <v>931</v>
      </c>
      <c r="G1278" t="s">
        <v>88</v>
      </c>
      <c r="H1278" t="s">
        <v>350</v>
      </c>
      <c r="I1278">
        <v>2014</v>
      </c>
      <c r="J1278">
        <v>0.92</v>
      </c>
      <c r="K1278" t="s">
        <v>109</v>
      </c>
      <c r="M1278">
        <v>0</v>
      </c>
      <c r="N1278" t="s">
        <v>120</v>
      </c>
      <c r="O1278" t="s">
        <v>120</v>
      </c>
      <c r="P1278" t="s">
        <v>847</v>
      </c>
      <c r="Q1278" s="1" t="s">
        <v>2276</v>
      </c>
      <c r="R1278" s="1" t="s">
        <v>669</v>
      </c>
      <c r="S1278" s="1" t="s">
        <v>168</v>
      </c>
      <c r="T1278" t="s">
        <v>396</v>
      </c>
      <c r="U1278" s="1" t="s">
        <v>2388</v>
      </c>
      <c r="X1278" t="s">
        <v>161</v>
      </c>
      <c r="Y1278" t="s">
        <v>2272</v>
      </c>
      <c r="Z1278" t="s">
        <v>2272</v>
      </c>
      <c r="AA1278" t="s">
        <v>2272</v>
      </c>
      <c r="AB1278" t="s">
        <v>2272</v>
      </c>
      <c r="AC1278" t="s">
        <v>162</v>
      </c>
      <c r="AD1278" t="s">
        <v>2272</v>
      </c>
      <c r="AF1278" t="s">
        <v>49</v>
      </c>
      <c r="AK1278" t="s">
        <v>49</v>
      </c>
      <c r="AM1278" t="s">
        <v>1484</v>
      </c>
      <c r="AN1278" t="s">
        <v>165</v>
      </c>
      <c r="AP1278" t="s">
        <v>49</v>
      </c>
    </row>
    <row r="1279" spans="1:43" x14ac:dyDescent="0.2">
      <c r="A1279" t="s">
        <v>845</v>
      </c>
      <c r="B1279" t="s">
        <v>846</v>
      </c>
      <c r="C1279">
        <v>2019</v>
      </c>
      <c r="D1279" t="s">
        <v>44</v>
      </c>
      <c r="E1279" t="s">
        <v>50</v>
      </c>
      <c r="F1279" t="s">
        <v>931</v>
      </c>
      <c r="G1279" t="s">
        <v>88</v>
      </c>
      <c r="H1279" t="s">
        <v>350</v>
      </c>
      <c r="I1279">
        <v>2014</v>
      </c>
      <c r="J1279">
        <v>0.92</v>
      </c>
      <c r="K1279" t="s">
        <v>109</v>
      </c>
      <c r="M1279">
        <v>0</v>
      </c>
      <c r="N1279" t="s">
        <v>128</v>
      </c>
      <c r="O1279" t="s">
        <v>751</v>
      </c>
      <c r="P1279" t="s">
        <v>848</v>
      </c>
      <c r="Q1279" s="1" t="s">
        <v>2276</v>
      </c>
      <c r="R1279" s="1" t="s">
        <v>751</v>
      </c>
      <c r="S1279" s="1" t="s">
        <v>2346</v>
      </c>
      <c r="T1279" t="s">
        <v>396</v>
      </c>
      <c r="U1279" s="1" t="s">
        <v>2389</v>
      </c>
      <c r="X1279" t="s">
        <v>161</v>
      </c>
      <c r="Y1279" t="s">
        <v>2272</v>
      </c>
      <c r="Z1279" t="s">
        <v>2272</v>
      </c>
      <c r="AA1279" t="s">
        <v>2272</v>
      </c>
      <c r="AB1279" t="s">
        <v>2272</v>
      </c>
      <c r="AC1279" t="s">
        <v>162</v>
      </c>
      <c r="AD1279" t="s">
        <v>2272</v>
      </c>
      <c r="AF1279" t="s">
        <v>49</v>
      </c>
      <c r="AK1279" t="s">
        <v>49</v>
      </c>
      <c r="AM1279" t="s">
        <v>1484</v>
      </c>
      <c r="AN1279" t="s">
        <v>165</v>
      </c>
      <c r="AP1279" t="s">
        <v>49</v>
      </c>
    </row>
    <row r="1280" spans="1:43" x14ac:dyDescent="0.2">
      <c r="A1280" t="s">
        <v>845</v>
      </c>
      <c r="B1280" t="s">
        <v>846</v>
      </c>
      <c r="C1280">
        <v>2019</v>
      </c>
      <c r="D1280" t="s">
        <v>44</v>
      </c>
      <c r="E1280" t="s">
        <v>50</v>
      </c>
      <c r="F1280" t="s">
        <v>931</v>
      </c>
      <c r="G1280" t="s">
        <v>88</v>
      </c>
      <c r="H1280" t="s">
        <v>350</v>
      </c>
      <c r="I1280">
        <v>2014</v>
      </c>
      <c r="J1280">
        <v>0.92</v>
      </c>
      <c r="K1280" t="s">
        <v>109</v>
      </c>
      <c r="M1280">
        <v>0</v>
      </c>
      <c r="N1280" t="s">
        <v>128</v>
      </c>
      <c r="O1280" t="s">
        <v>221</v>
      </c>
      <c r="P1280" t="s">
        <v>849</v>
      </c>
      <c r="Q1280" s="1" t="s">
        <v>2276</v>
      </c>
      <c r="R1280" s="1" t="s">
        <v>2284</v>
      </c>
      <c r="S1280" s="1" t="s">
        <v>2348</v>
      </c>
      <c r="T1280" t="s">
        <v>396</v>
      </c>
      <c r="U1280" s="1" t="s">
        <v>2390</v>
      </c>
      <c r="X1280" t="s">
        <v>161</v>
      </c>
      <c r="Y1280" t="s">
        <v>2272</v>
      </c>
      <c r="Z1280" t="s">
        <v>2272</v>
      </c>
      <c r="AA1280" t="s">
        <v>2272</v>
      </c>
      <c r="AB1280" t="s">
        <v>2272</v>
      </c>
      <c r="AC1280" t="s">
        <v>162</v>
      </c>
      <c r="AD1280" t="s">
        <v>2272</v>
      </c>
      <c r="AF1280" t="s">
        <v>49</v>
      </c>
      <c r="AK1280" t="s">
        <v>49</v>
      </c>
      <c r="AM1280" t="s">
        <v>1484</v>
      </c>
      <c r="AN1280" t="s">
        <v>165</v>
      </c>
      <c r="AP1280" t="s">
        <v>49</v>
      </c>
    </row>
    <row r="1281" spans="1:43" x14ac:dyDescent="0.2">
      <c r="A1281" t="s">
        <v>845</v>
      </c>
      <c r="B1281" t="s">
        <v>846</v>
      </c>
      <c r="C1281">
        <v>2019</v>
      </c>
      <c r="D1281" t="s">
        <v>44</v>
      </c>
      <c r="E1281" t="s">
        <v>50</v>
      </c>
      <c r="F1281" t="s">
        <v>931</v>
      </c>
      <c r="G1281" t="s">
        <v>88</v>
      </c>
      <c r="H1281" t="s">
        <v>350</v>
      </c>
      <c r="I1281">
        <v>2014</v>
      </c>
      <c r="J1281">
        <v>0.92</v>
      </c>
      <c r="K1281" t="s">
        <v>109</v>
      </c>
      <c r="M1281">
        <v>0</v>
      </c>
      <c r="N1281" t="s">
        <v>120</v>
      </c>
      <c r="O1281" t="s">
        <v>120</v>
      </c>
      <c r="P1281" t="s">
        <v>847</v>
      </c>
      <c r="Q1281" s="1" t="s">
        <v>2276</v>
      </c>
      <c r="R1281" s="1" t="s">
        <v>669</v>
      </c>
      <c r="S1281" s="1" t="s">
        <v>168</v>
      </c>
      <c r="T1281" t="s">
        <v>396</v>
      </c>
      <c r="U1281" s="1"/>
      <c r="X1281" t="s">
        <v>161</v>
      </c>
      <c r="Y1281" t="s">
        <v>2272</v>
      </c>
      <c r="Z1281" t="s">
        <v>2272</v>
      </c>
      <c r="AA1281" t="s">
        <v>2272</v>
      </c>
      <c r="AB1281" t="s">
        <v>2272</v>
      </c>
      <c r="AC1281" t="s">
        <v>162</v>
      </c>
      <c r="AD1281" t="s">
        <v>2272</v>
      </c>
      <c r="AF1281" t="s">
        <v>49</v>
      </c>
      <c r="AK1281" t="s">
        <v>49</v>
      </c>
      <c r="AM1281" t="s">
        <v>1484</v>
      </c>
      <c r="AN1281" t="s">
        <v>191</v>
      </c>
    </row>
    <row r="1282" spans="1:43" x14ac:dyDescent="0.2">
      <c r="A1282" t="s">
        <v>845</v>
      </c>
      <c r="B1282" t="s">
        <v>846</v>
      </c>
      <c r="C1282">
        <v>2019</v>
      </c>
      <c r="D1282" t="s">
        <v>44</v>
      </c>
      <c r="E1282" t="s">
        <v>50</v>
      </c>
      <c r="F1282" t="s">
        <v>931</v>
      </c>
      <c r="G1282" t="s">
        <v>88</v>
      </c>
      <c r="H1282" t="s">
        <v>350</v>
      </c>
      <c r="I1282">
        <v>2014</v>
      </c>
      <c r="J1282">
        <v>0.92</v>
      </c>
      <c r="K1282" t="s">
        <v>109</v>
      </c>
      <c r="M1282">
        <v>0</v>
      </c>
      <c r="N1282" t="s">
        <v>128</v>
      </c>
      <c r="O1282" t="s">
        <v>751</v>
      </c>
      <c r="P1282" t="s">
        <v>848</v>
      </c>
      <c r="Q1282" s="1" t="s">
        <v>2276</v>
      </c>
      <c r="R1282" s="1" t="s">
        <v>751</v>
      </c>
      <c r="S1282" s="1" t="s">
        <v>2346</v>
      </c>
      <c r="T1282" t="s">
        <v>396</v>
      </c>
      <c r="U1282" s="1"/>
      <c r="X1282" t="s">
        <v>161</v>
      </c>
      <c r="Y1282" t="s">
        <v>2272</v>
      </c>
      <c r="Z1282" t="s">
        <v>2272</v>
      </c>
      <c r="AA1282" t="s">
        <v>2272</v>
      </c>
      <c r="AB1282" t="s">
        <v>2272</v>
      </c>
      <c r="AC1282" t="s">
        <v>162</v>
      </c>
      <c r="AD1282" t="s">
        <v>2272</v>
      </c>
      <c r="AF1282" t="s">
        <v>49</v>
      </c>
      <c r="AK1282" t="s">
        <v>49</v>
      </c>
      <c r="AM1282" t="s">
        <v>1484</v>
      </c>
      <c r="AN1282" t="s">
        <v>191</v>
      </c>
    </row>
    <row r="1283" spans="1:43" x14ac:dyDescent="0.2">
      <c r="A1283" t="s">
        <v>845</v>
      </c>
      <c r="B1283" t="s">
        <v>846</v>
      </c>
      <c r="C1283">
        <v>2019</v>
      </c>
      <c r="D1283" t="s">
        <v>44</v>
      </c>
      <c r="E1283" t="s">
        <v>50</v>
      </c>
      <c r="F1283" t="s">
        <v>931</v>
      </c>
      <c r="G1283" t="s">
        <v>88</v>
      </c>
      <c r="H1283" t="s">
        <v>350</v>
      </c>
      <c r="I1283">
        <v>2014</v>
      </c>
      <c r="J1283">
        <v>0.92</v>
      </c>
      <c r="K1283" t="s">
        <v>109</v>
      </c>
      <c r="M1283">
        <v>0</v>
      </c>
      <c r="N1283" t="s">
        <v>128</v>
      </c>
      <c r="O1283" t="s">
        <v>221</v>
      </c>
      <c r="P1283" t="s">
        <v>849</v>
      </c>
      <c r="Q1283" s="1" t="s">
        <v>2276</v>
      </c>
      <c r="R1283" s="1" t="s">
        <v>2284</v>
      </c>
      <c r="S1283" s="1" t="s">
        <v>2348</v>
      </c>
      <c r="T1283" t="s">
        <v>396</v>
      </c>
      <c r="U1283" s="1"/>
      <c r="X1283" t="s">
        <v>161</v>
      </c>
      <c r="Y1283" t="s">
        <v>2272</v>
      </c>
      <c r="Z1283" t="s">
        <v>2272</v>
      </c>
      <c r="AA1283" t="s">
        <v>2272</v>
      </c>
      <c r="AB1283" t="s">
        <v>2272</v>
      </c>
      <c r="AC1283" t="s">
        <v>162</v>
      </c>
      <c r="AD1283" t="s">
        <v>2272</v>
      </c>
      <c r="AF1283" t="s">
        <v>49</v>
      </c>
      <c r="AK1283" t="s">
        <v>49</v>
      </c>
      <c r="AM1283" t="s">
        <v>1484</v>
      </c>
      <c r="AN1283" t="s">
        <v>191</v>
      </c>
    </row>
    <row r="1284" spans="1:43" x14ac:dyDescent="0.2">
      <c r="A1284" t="s">
        <v>845</v>
      </c>
      <c r="B1284" t="s">
        <v>846</v>
      </c>
      <c r="C1284">
        <v>2019</v>
      </c>
      <c r="D1284" t="s">
        <v>811</v>
      </c>
      <c r="E1284" t="s">
        <v>50</v>
      </c>
      <c r="F1284" t="s">
        <v>931</v>
      </c>
      <c r="G1284" t="s">
        <v>88</v>
      </c>
      <c r="H1284" t="s">
        <v>350</v>
      </c>
      <c r="I1284">
        <v>2017</v>
      </c>
      <c r="J1284">
        <v>0.5</v>
      </c>
      <c r="K1284" t="s">
        <v>109</v>
      </c>
      <c r="M1284">
        <v>0</v>
      </c>
      <c r="N1284" t="s">
        <v>120</v>
      </c>
      <c r="O1284" t="s">
        <v>120</v>
      </c>
      <c r="P1284" t="s">
        <v>847</v>
      </c>
      <c r="Q1284" s="1" t="s">
        <v>2276</v>
      </c>
      <c r="R1284" s="1" t="s">
        <v>669</v>
      </c>
      <c r="S1284" s="1" t="s">
        <v>168</v>
      </c>
      <c r="T1284" t="s">
        <v>396</v>
      </c>
      <c r="U1284" s="1" t="s">
        <v>2388</v>
      </c>
      <c r="X1284" t="s">
        <v>161</v>
      </c>
      <c r="Y1284" t="s">
        <v>2272</v>
      </c>
      <c r="Z1284" t="s">
        <v>2272</v>
      </c>
      <c r="AA1284" t="s">
        <v>2272</v>
      </c>
      <c r="AB1284" t="s">
        <v>2272</v>
      </c>
      <c r="AC1284" t="s">
        <v>162</v>
      </c>
      <c r="AD1284" t="s">
        <v>2272</v>
      </c>
      <c r="AF1284" t="s">
        <v>49</v>
      </c>
      <c r="AK1284" t="s">
        <v>49</v>
      </c>
      <c r="AM1284" t="s">
        <v>1484</v>
      </c>
      <c r="AN1284" t="s">
        <v>166</v>
      </c>
      <c r="AQ1284" s="5">
        <v>2</v>
      </c>
    </row>
    <row r="1285" spans="1:43" x14ac:dyDescent="0.2">
      <c r="A1285" t="s">
        <v>845</v>
      </c>
      <c r="B1285" t="s">
        <v>846</v>
      </c>
      <c r="C1285">
        <v>2019</v>
      </c>
      <c r="D1285" t="s">
        <v>811</v>
      </c>
      <c r="E1285" t="s">
        <v>50</v>
      </c>
      <c r="F1285" t="s">
        <v>931</v>
      </c>
      <c r="G1285" t="s">
        <v>88</v>
      </c>
      <c r="H1285" t="s">
        <v>350</v>
      </c>
      <c r="I1285">
        <v>2017</v>
      </c>
      <c r="J1285">
        <v>0.5</v>
      </c>
      <c r="K1285" t="s">
        <v>109</v>
      </c>
      <c r="M1285">
        <v>0</v>
      </c>
      <c r="N1285" t="s">
        <v>128</v>
      </c>
      <c r="O1285" t="s">
        <v>751</v>
      </c>
      <c r="P1285" t="s">
        <v>848</v>
      </c>
      <c r="Q1285" s="1" t="s">
        <v>2276</v>
      </c>
      <c r="R1285" s="1" t="s">
        <v>751</v>
      </c>
      <c r="S1285" s="1" t="s">
        <v>2346</v>
      </c>
      <c r="T1285" t="s">
        <v>396</v>
      </c>
      <c r="U1285" s="1" t="s">
        <v>2389</v>
      </c>
      <c r="X1285" t="s">
        <v>161</v>
      </c>
      <c r="Y1285" t="s">
        <v>2272</v>
      </c>
      <c r="Z1285" t="s">
        <v>2272</v>
      </c>
      <c r="AA1285" t="s">
        <v>2272</v>
      </c>
      <c r="AB1285" t="s">
        <v>2272</v>
      </c>
      <c r="AC1285" t="s">
        <v>162</v>
      </c>
      <c r="AD1285" t="s">
        <v>2272</v>
      </c>
      <c r="AF1285" t="s">
        <v>49</v>
      </c>
      <c r="AK1285" t="s">
        <v>49</v>
      </c>
      <c r="AM1285" t="s">
        <v>1484</v>
      </c>
      <c r="AN1285" t="s">
        <v>166</v>
      </c>
      <c r="AQ1285" s="5">
        <v>2</v>
      </c>
    </row>
    <row r="1286" spans="1:43" x14ac:dyDescent="0.2">
      <c r="A1286" t="s">
        <v>845</v>
      </c>
      <c r="B1286" t="s">
        <v>846</v>
      </c>
      <c r="C1286">
        <v>2019</v>
      </c>
      <c r="D1286" t="s">
        <v>811</v>
      </c>
      <c r="E1286" t="s">
        <v>50</v>
      </c>
      <c r="F1286" t="s">
        <v>931</v>
      </c>
      <c r="G1286" t="s">
        <v>88</v>
      </c>
      <c r="H1286" t="s">
        <v>350</v>
      </c>
      <c r="I1286">
        <v>2017</v>
      </c>
      <c r="J1286">
        <v>0.5</v>
      </c>
      <c r="K1286" t="s">
        <v>109</v>
      </c>
      <c r="M1286">
        <v>0</v>
      </c>
      <c r="N1286" t="s">
        <v>128</v>
      </c>
      <c r="O1286" t="s">
        <v>221</v>
      </c>
      <c r="P1286" t="s">
        <v>849</v>
      </c>
      <c r="Q1286" s="1" t="s">
        <v>2276</v>
      </c>
      <c r="R1286" s="1" t="s">
        <v>2284</v>
      </c>
      <c r="S1286" s="1" t="s">
        <v>2348</v>
      </c>
      <c r="T1286" t="s">
        <v>396</v>
      </c>
      <c r="U1286" s="1" t="s">
        <v>2390</v>
      </c>
      <c r="X1286" t="s">
        <v>161</v>
      </c>
      <c r="Y1286" t="s">
        <v>2272</v>
      </c>
      <c r="Z1286" t="s">
        <v>2272</v>
      </c>
      <c r="AA1286" t="s">
        <v>2272</v>
      </c>
      <c r="AB1286" t="s">
        <v>2272</v>
      </c>
      <c r="AC1286" t="s">
        <v>162</v>
      </c>
      <c r="AD1286" t="s">
        <v>2272</v>
      </c>
      <c r="AF1286" t="s">
        <v>49</v>
      </c>
      <c r="AK1286" t="s">
        <v>49</v>
      </c>
      <c r="AM1286" t="s">
        <v>1484</v>
      </c>
      <c r="AN1286" t="s">
        <v>166</v>
      </c>
      <c r="AQ1286" s="5">
        <v>1</v>
      </c>
    </row>
    <row r="1287" spans="1:43" x14ac:dyDescent="0.2">
      <c r="A1287" t="s">
        <v>845</v>
      </c>
      <c r="B1287" t="s">
        <v>846</v>
      </c>
      <c r="C1287">
        <v>2019</v>
      </c>
      <c r="D1287" t="s">
        <v>811</v>
      </c>
      <c r="E1287" t="s">
        <v>50</v>
      </c>
      <c r="F1287" t="s">
        <v>931</v>
      </c>
      <c r="G1287" t="s">
        <v>88</v>
      </c>
      <c r="H1287" t="s">
        <v>350</v>
      </c>
      <c r="I1287">
        <v>2017</v>
      </c>
      <c r="J1287">
        <v>0.5</v>
      </c>
      <c r="K1287" t="s">
        <v>109</v>
      </c>
      <c r="M1287">
        <v>0</v>
      </c>
      <c r="N1287" t="s">
        <v>120</v>
      </c>
      <c r="O1287" t="s">
        <v>120</v>
      </c>
      <c r="P1287" t="s">
        <v>847</v>
      </c>
      <c r="Q1287" s="1" t="s">
        <v>2276</v>
      </c>
      <c r="R1287" s="1" t="s">
        <v>669</v>
      </c>
      <c r="S1287" s="1" t="s">
        <v>168</v>
      </c>
      <c r="T1287" t="s">
        <v>396</v>
      </c>
      <c r="U1287" s="1" t="s">
        <v>2388</v>
      </c>
      <c r="X1287" t="s">
        <v>161</v>
      </c>
      <c r="Y1287" t="s">
        <v>2272</v>
      </c>
      <c r="Z1287" t="s">
        <v>2272</v>
      </c>
      <c r="AA1287" t="s">
        <v>2272</v>
      </c>
      <c r="AB1287" t="s">
        <v>2272</v>
      </c>
      <c r="AC1287" t="s">
        <v>162</v>
      </c>
      <c r="AD1287" t="s">
        <v>2272</v>
      </c>
      <c r="AF1287" t="s">
        <v>49</v>
      </c>
      <c r="AK1287" t="s">
        <v>49</v>
      </c>
      <c r="AM1287" t="s">
        <v>1484</v>
      </c>
      <c r="AN1287" t="s">
        <v>154</v>
      </c>
      <c r="AQ1287" s="5">
        <v>0</v>
      </c>
    </row>
    <row r="1288" spans="1:43" x14ac:dyDescent="0.2">
      <c r="A1288" t="s">
        <v>845</v>
      </c>
      <c r="B1288" t="s">
        <v>846</v>
      </c>
      <c r="C1288">
        <v>2019</v>
      </c>
      <c r="D1288" t="s">
        <v>811</v>
      </c>
      <c r="E1288" t="s">
        <v>50</v>
      </c>
      <c r="F1288" t="s">
        <v>931</v>
      </c>
      <c r="G1288" t="s">
        <v>88</v>
      </c>
      <c r="H1288" t="s">
        <v>350</v>
      </c>
      <c r="I1288">
        <v>2017</v>
      </c>
      <c r="J1288">
        <v>0.5</v>
      </c>
      <c r="K1288" t="s">
        <v>109</v>
      </c>
      <c r="M1288">
        <v>0</v>
      </c>
      <c r="N1288" t="s">
        <v>128</v>
      </c>
      <c r="O1288" t="s">
        <v>751</v>
      </c>
      <c r="P1288" t="s">
        <v>848</v>
      </c>
      <c r="Q1288" s="1" t="s">
        <v>2276</v>
      </c>
      <c r="R1288" s="1" t="s">
        <v>751</v>
      </c>
      <c r="S1288" s="1" t="s">
        <v>2346</v>
      </c>
      <c r="T1288" t="s">
        <v>396</v>
      </c>
      <c r="U1288" s="1" t="s">
        <v>2389</v>
      </c>
      <c r="X1288" t="s">
        <v>161</v>
      </c>
      <c r="Y1288" t="s">
        <v>2272</v>
      </c>
      <c r="Z1288" t="s">
        <v>2272</v>
      </c>
      <c r="AA1288" t="s">
        <v>2272</v>
      </c>
      <c r="AB1288" t="s">
        <v>2272</v>
      </c>
      <c r="AC1288" t="s">
        <v>162</v>
      </c>
      <c r="AD1288" t="s">
        <v>2272</v>
      </c>
      <c r="AF1288" t="s">
        <v>49</v>
      </c>
      <c r="AK1288" t="s">
        <v>49</v>
      </c>
      <c r="AM1288" t="s">
        <v>1484</v>
      </c>
      <c r="AN1288" t="s">
        <v>154</v>
      </c>
      <c r="AQ1288" s="5">
        <v>0</v>
      </c>
    </row>
    <row r="1289" spans="1:43" x14ac:dyDescent="0.2">
      <c r="A1289" t="s">
        <v>845</v>
      </c>
      <c r="B1289" t="s">
        <v>846</v>
      </c>
      <c r="C1289">
        <v>2019</v>
      </c>
      <c r="D1289" t="s">
        <v>811</v>
      </c>
      <c r="E1289" t="s">
        <v>50</v>
      </c>
      <c r="F1289" t="s">
        <v>931</v>
      </c>
      <c r="G1289" t="s">
        <v>88</v>
      </c>
      <c r="H1289" t="s">
        <v>350</v>
      </c>
      <c r="I1289">
        <v>2017</v>
      </c>
      <c r="J1289">
        <v>0.5</v>
      </c>
      <c r="K1289" t="s">
        <v>109</v>
      </c>
      <c r="M1289">
        <v>0</v>
      </c>
      <c r="N1289" t="s">
        <v>128</v>
      </c>
      <c r="O1289" t="s">
        <v>221</v>
      </c>
      <c r="P1289" t="s">
        <v>849</v>
      </c>
      <c r="Q1289" s="1" t="s">
        <v>2276</v>
      </c>
      <c r="R1289" s="1" t="s">
        <v>2284</v>
      </c>
      <c r="S1289" s="1" t="s">
        <v>2348</v>
      </c>
      <c r="T1289" t="s">
        <v>396</v>
      </c>
      <c r="U1289" s="1" t="s">
        <v>2390</v>
      </c>
      <c r="X1289" t="s">
        <v>161</v>
      </c>
      <c r="Y1289" t="s">
        <v>2272</v>
      </c>
      <c r="Z1289" t="s">
        <v>2272</v>
      </c>
      <c r="AA1289" t="s">
        <v>2272</v>
      </c>
      <c r="AB1289" t="s">
        <v>2272</v>
      </c>
      <c r="AC1289" t="s">
        <v>162</v>
      </c>
      <c r="AD1289" t="s">
        <v>2272</v>
      </c>
      <c r="AF1289" t="s">
        <v>49</v>
      </c>
      <c r="AK1289" t="s">
        <v>49</v>
      </c>
      <c r="AM1289" t="s">
        <v>1484</v>
      </c>
      <c r="AN1289" t="s">
        <v>154</v>
      </c>
      <c r="AQ1289" s="5">
        <v>0</v>
      </c>
    </row>
    <row r="1290" spans="1:43" x14ac:dyDescent="0.2">
      <c r="A1290" t="s">
        <v>845</v>
      </c>
      <c r="B1290" t="s">
        <v>846</v>
      </c>
      <c r="C1290">
        <v>2019</v>
      </c>
      <c r="D1290" t="s">
        <v>811</v>
      </c>
      <c r="E1290" t="s">
        <v>50</v>
      </c>
      <c r="F1290" t="s">
        <v>931</v>
      </c>
      <c r="G1290" t="s">
        <v>88</v>
      </c>
      <c r="H1290" t="s">
        <v>350</v>
      </c>
      <c r="I1290">
        <v>2017</v>
      </c>
      <c r="J1290">
        <v>0.5</v>
      </c>
      <c r="K1290" t="s">
        <v>109</v>
      </c>
      <c r="M1290">
        <v>0</v>
      </c>
      <c r="N1290" t="s">
        <v>120</v>
      </c>
      <c r="O1290" t="s">
        <v>120</v>
      </c>
      <c r="P1290" t="s">
        <v>847</v>
      </c>
      <c r="Q1290" s="1" t="s">
        <v>2276</v>
      </c>
      <c r="R1290" s="1" t="s">
        <v>669</v>
      </c>
      <c r="S1290" s="1" t="s">
        <v>168</v>
      </c>
      <c r="T1290" t="s">
        <v>396</v>
      </c>
      <c r="U1290" s="1" t="s">
        <v>2388</v>
      </c>
      <c r="X1290" t="s">
        <v>161</v>
      </c>
      <c r="Y1290" t="s">
        <v>2272</v>
      </c>
      <c r="Z1290" t="s">
        <v>2272</v>
      </c>
      <c r="AA1290" t="s">
        <v>2272</v>
      </c>
      <c r="AB1290" t="s">
        <v>2272</v>
      </c>
      <c r="AC1290" t="s">
        <v>162</v>
      </c>
      <c r="AD1290" t="s">
        <v>2272</v>
      </c>
      <c r="AF1290" t="s">
        <v>49</v>
      </c>
      <c r="AK1290" t="s">
        <v>49</v>
      </c>
      <c r="AM1290" t="s">
        <v>1484</v>
      </c>
      <c r="AN1290" t="s">
        <v>154</v>
      </c>
      <c r="AP1290" t="s">
        <v>49</v>
      </c>
    </row>
    <row r="1291" spans="1:43" x14ac:dyDescent="0.2">
      <c r="A1291" t="s">
        <v>845</v>
      </c>
      <c r="B1291" t="s">
        <v>846</v>
      </c>
      <c r="C1291">
        <v>2019</v>
      </c>
      <c r="D1291" t="s">
        <v>811</v>
      </c>
      <c r="E1291" t="s">
        <v>50</v>
      </c>
      <c r="F1291" t="s">
        <v>931</v>
      </c>
      <c r="G1291" t="s">
        <v>88</v>
      </c>
      <c r="H1291" t="s">
        <v>350</v>
      </c>
      <c r="I1291">
        <v>2017</v>
      </c>
      <c r="J1291">
        <v>0.5</v>
      </c>
      <c r="K1291" t="s">
        <v>109</v>
      </c>
      <c r="M1291">
        <v>0</v>
      </c>
      <c r="N1291" t="s">
        <v>128</v>
      </c>
      <c r="O1291" t="s">
        <v>751</v>
      </c>
      <c r="P1291" t="s">
        <v>848</v>
      </c>
      <c r="Q1291" s="1" t="s">
        <v>2276</v>
      </c>
      <c r="R1291" s="1" t="s">
        <v>751</v>
      </c>
      <c r="S1291" s="1" t="s">
        <v>2346</v>
      </c>
      <c r="T1291" t="s">
        <v>396</v>
      </c>
      <c r="U1291" s="1" t="s">
        <v>2389</v>
      </c>
      <c r="X1291" t="s">
        <v>161</v>
      </c>
      <c r="Y1291" t="s">
        <v>2272</v>
      </c>
      <c r="Z1291" t="s">
        <v>2272</v>
      </c>
      <c r="AA1291" t="s">
        <v>2272</v>
      </c>
      <c r="AB1291" t="s">
        <v>2272</v>
      </c>
      <c r="AC1291" t="s">
        <v>162</v>
      </c>
      <c r="AD1291" t="s">
        <v>2272</v>
      </c>
      <c r="AF1291" t="s">
        <v>49</v>
      </c>
      <c r="AK1291" t="s">
        <v>49</v>
      </c>
      <c r="AM1291" t="s">
        <v>1484</v>
      </c>
      <c r="AN1291" t="s">
        <v>154</v>
      </c>
      <c r="AP1291" t="s">
        <v>49</v>
      </c>
    </row>
    <row r="1292" spans="1:43" x14ac:dyDescent="0.2">
      <c r="A1292" t="s">
        <v>845</v>
      </c>
      <c r="B1292" t="s">
        <v>846</v>
      </c>
      <c r="C1292">
        <v>2019</v>
      </c>
      <c r="D1292" t="s">
        <v>811</v>
      </c>
      <c r="E1292" t="s">
        <v>50</v>
      </c>
      <c r="F1292" t="s">
        <v>931</v>
      </c>
      <c r="G1292" t="s">
        <v>88</v>
      </c>
      <c r="H1292" t="s">
        <v>350</v>
      </c>
      <c r="I1292">
        <v>2017</v>
      </c>
      <c r="J1292">
        <v>0.5</v>
      </c>
      <c r="K1292" t="s">
        <v>109</v>
      </c>
      <c r="M1292">
        <v>0</v>
      </c>
      <c r="N1292" t="s">
        <v>128</v>
      </c>
      <c r="O1292" t="s">
        <v>221</v>
      </c>
      <c r="P1292" t="s">
        <v>849</v>
      </c>
      <c r="Q1292" s="1" t="s">
        <v>2276</v>
      </c>
      <c r="R1292" s="1" t="s">
        <v>2284</v>
      </c>
      <c r="S1292" s="1" t="s">
        <v>2348</v>
      </c>
      <c r="T1292" t="s">
        <v>396</v>
      </c>
      <c r="U1292" s="1" t="s">
        <v>2390</v>
      </c>
      <c r="X1292" t="s">
        <v>161</v>
      </c>
      <c r="Y1292" t="s">
        <v>2272</v>
      </c>
      <c r="Z1292" t="s">
        <v>2272</v>
      </c>
      <c r="AA1292" t="s">
        <v>2272</v>
      </c>
      <c r="AB1292" t="s">
        <v>2272</v>
      </c>
      <c r="AC1292" t="s">
        <v>162</v>
      </c>
      <c r="AD1292" t="s">
        <v>2272</v>
      </c>
      <c r="AF1292" t="s">
        <v>49</v>
      </c>
      <c r="AK1292" t="s">
        <v>49</v>
      </c>
      <c r="AM1292" t="s">
        <v>1484</v>
      </c>
      <c r="AN1292" t="s">
        <v>154</v>
      </c>
      <c r="AP1292" t="s">
        <v>49</v>
      </c>
    </row>
    <row r="1293" spans="1:43" x14ac:dyDescent="0.2">
      <c r="A1293" t="s">
        <v>852</v>
      </c>
      <c r="B1293" t="s">
        <v>853</v>
      </c>
      <c r="C1293">
        <v>2019</v>
      </c>
      <c r="D1293" t="s">
        <v>811</v>
      </c>
      <c r="F1293" t="s">
        <v>81</v>
      </c>
      <c r="G1293" t="s">
        <v>91</v>
      </c>
      <c r="H1293" t="s">
        <v>96</v>
      </c>
      <c r="I1293">
        <v>2015</v>
      </c>
      <c r="J1293">
        <v>0.28999999999999998</v>
      </c>
      <c r="K1293" t="s">
        <v>101</v>
      </c>
      <c r="L1293">
        <v>200</v>
      </c>
      <c r="N1293" t="s">
        <v>121</v>
      </c>
      <c r="O1293" t="s">
        <v>121</v>
      </c>
      <c r="P1293" t="s">
        <v>286</v>
      </c>
      <c r="Q1293" s="1" t="s">
        <v>2292</v>
      </c>
      <c r="R1293" s="1" t="s">
        <v>264</v>
      </c>
      <c r="S1293" s="1" t="s">
        <v>264</v>
      </c>
      <c r="T1293" t="s">
        <v>421</v>
      </c>
      <c r="U1293" t="s">
        <v>421</v>
      </c>
      <c r="X1293" t="s">
        <v>161</v>
      </c>
      <c r="Y1293" t="s">
        <v>2272</v>
      </c>
      <c r="Z1293" t="s">
        <v>2272</v>
      </c>
      <c r="AA1293" t="s">
        <v>2272</v>
      </c>
      <c r="AB1293" t="s">
        <v>2272</v>
      </c>
      <c r="AC1293" t="s">
        <v>162</v>
      </c>
      <c r="AD1293" t="s">
        <v>2272</v>
      </c>
      <c r="AF1293" t="s">
        <v>49</v>
      </c>
      <c r="AL1293" t="s">
        <v>49</v>
      </c>
      <c r="AM1293" t="s">
        <v>854</v>
      </c>
      <c r="AN1293" t="s">
        <v>109</v>
      </c>
      <c r="AO1293" t="s">
        <v>855</v>
      </c>
      <c r="AQ1293" s="5">
        <v>2</v>
      </c>
    </row>
    <row r="1294" spans="1:43" x14ac:dyDescent="0.2">
      <c r="A1294" t="s">
        <v>852</v>
      </c>
      <c r="B1294" t="s">
        <v>853</v>
      </c>
      <c r="C1294">
        <v>2019</v>
      </c>
      <c r="D1294" t="s">
        <v>811</v>
      </c>
      <c r="F1294" t="s">
        <v>81</v>
      </c>
      <c r="G1294" t="s">
        <v>91</v>
      </c>
      <c r="H1294" t="s">
        <v>96</v>
      </c>
      <c r="I1294">
        <v>2015</v>
      </c>
      <c r="J1294">
        <v>0.28999999999999998</v>
      </c>
      <c r="K1294" t="s">
        <v>101</v>
      </c>
      <c r="L1294">
        <v>200</v>
      </c>
      <c r="N1294" t="s">
        <v>121</v>
      </c>
      <c r="O1294" t="s">
        <v>121</v>
      </c>
      <c r="P1294" t="s">
        <v>286</v>
      </c>
      <c r="Q1294" s="1" t="s">
        <v>2292</v>
      </c>
      <c r="R1294" s="1" t="s">
        <v>264</v>
      </c>
      <c r="S1294" s="1" t="s">
        <v>264</v>
      </c>
      <c r="T1294" t="s">
        <v>421</v>
      </c>
      <c r="U1294" t="s">
        <v>421</v>
      </c>
      <c r="X1294" t="s">
        <v>161</v>
      </c>
      <c r="Y1294" t="s">
        <v>2272</v>
      </c>
      <c r="Z1294" t="s">
        <v>2272</v>
      </c>
      <c r="AA1294" t="s">
        <v>2272</v>
      </c>
      <c r="AB1294" t="s">
        <v>2272</v>
      </c>
      <c r="AC1294" t="s">
        <v>162</v>
      </c>
      <c r="AD1294" t="s">
        <v>2272</v>
      </c>
      <c r="AF1294" t="s">
        <v>49</v>
      </c>
      <c r="AL1294" t="s">
        <v>49</v>
      </c>
      <c r="AM1294" t="s">
        <v>858</v>
      </c>
      <c r="AO1294" t="s">
        <v>856</v>
      </c>
      <c r="AP1294" t="s">
        <v>49</v>
      </c>
    </row>
    <row r="1295" spans="1:43" x14ac:dyDescent="0.2">
      <c r="A1295" t="s">
        <v>852</v>
      </c>
      <c r="B1295" t="s">
        <v>853</v>
      </c>
      <c r="C1295">
        <v>2019</v>
      </c>
      <c r="D1295" t="s">
        <v>811</v>
      </c>
      <c r="F1295" t="s">
        <v>81</v>
      </c>
      <c r="G1295" t="s">
        <v>91</v>
      </c>
      <c r="H1295" t="s">
        <v>96</v>
      </c>
      <c r="I1295">
        <v>2015</v>
      </c>
      <c r="J1295">
        <v>0.28999999999999998</v>
      </c>
      <c r="K1295" t="s">
        <v>101</v>
      </c>
      <c r="L1295">
        <v>200</v>
      </c>
      <c r="N1295" t="s">
        <v>121</v>
      </c>
      <c r="O1295" t="s">
        <v>121</v>
      </c>
      <c r="P1295" t="s">
        <v>286</v>
      </c>
      <c r="Q1295" s="1" t="s">
        <v>2292</v>
      </c>
      <c r="R1295" s="1" t="s">
        <v>264</v>
      </c>
      <c r="S1295" s="1" t="s">
        <v>264</v>
      </c>
      <c r="T1295" t="s">
        <v>421</v>
      </c>
      <c r="U1295" t="s">
        <v>421</v>
      </c>
      <c r="X1295" t="s">
        <v>161</v>
      </c>
      <c r="Y1295" t="s">
        <v>2272</v>
      </c>
      <c r="Z1295" t="s">
        <v>2272</v>
      </c>
      <c r="AA1295" t="s">
        <v>2272</v>
      </c>
      <c r="AB1295" t="s">
        <v>2272</v>
      </c>
      <c r="AC1295" t="s">
        <v>162</v>
      </c>
      <c r="AD1295" t="s">
        <v>2272</v>
      </c>
      <c r="AF1295" t="s">
        <v>49</v>
      </c>
      <c r="AL1295" t="s">
        <v>49</v>
      </c>
      <c r="AM1295" t="s">
        <v>356</v>
      </c>
      <c r="AO1295" t="s">
        <v>856</v>
      </c>
      <c r="AP1295" t="s">
        <v>49</v>
      </c>
    </row>
    <row r="1296" spans="1:43" x14ac:dyDescent="0.2">
      <c r="A1296" t="s">
        <v>852</v>
      </c>
      <c r="B1296" t="s">
        <v>853</v>
      </c>
      <c r="C1296">
        <v>2019</v>
      </c>
      <c r="D1296" t="s">
        <v>811</v>
      </c>
      <c r="F1296" t="s">
        <v>81</v>
      </c>
      <c r="G1296" t="s">
        <v>91</v>
      </c>
      <c r="H1296" t="s">
        <v>96</v>
      </c>
      <c r="I1296">
        <v>2015</v>
      </c>
      <c r="J1296">
        <v>0.28999999999999998</v>
      </c>
      <c r="K1296" t="s">
        <v>101</v>
      </c>
      <c r="L1296">
        <v>200</v>
      </c>
      <c r="N1296" t="s">
        <v>121</v>
      </c>
      <c r="O1296" t="s">
        <v>121</v>
      </c>
      <c r="P1296" t="s">
        <v>286</v>
      </c>
      <c r="Q1296" s="1" t="s">
        <v>2292</v>
      </c>
      <c r="R1296" s="1" t="s">
        <v>264</v>
      </c>
      <c r="S1296" s="1" t="s">
        <v>264</v>
      </c>
      <c r="T1296" t="s">
        <v>421</v>
      </c>
      <c r="U1296" t="s">
        <v>421</v>
      </c>
      <c r="X1296" t="s">
        <v>161</v>
      </c>
      <c r="Y1296" t="s">
        <v>2272</v>
      </c>
      <c r="Z1296" t="s">
        <v>2272</v>
      </c>
      <c r="AA1296" t="s">
        <v>2272</v>
      </c>
      <c r="AB1296" t="s">
        <v>2272</v>
      </c>
      <c r="AC1296" t="s">
        <v>162</v>
      </c>
      <c r="AD1296" t="s">
        <v>2272</v>
      </c>
      <c r="AF1296" t="s">
        <v>49</v>
      </c>
      <c r="AL1296" t="s">
        <v>49</v>
      </c>
      <c r="AM1296" t="s">
        <v>858</v>
      </c>
      <c r="AO1296" t="s">
        <v>857</v>
      </c>
      <c r="AP1296" t="s">
        <v>49</v>
      </c>
    </row>
    <row r="1297" spans="1:44" x14ac:dyDescent="0.2">
      <c r="A1297" t="s">
        <v>852</v>
      </c>
      <c r="B1297" t="s">
        <v>853</v>
      </c>
      <c r="C1297">
        <v>2019</v>
      </c>
      <c r="D1297" t="s">
        <v>811</v>
      </c>
      <c r="F1297" t="s">
        <v>81</v>
      </c>
      <c r="G1297" t="s">
        <v>91</v>
      </c>
      <c r="H1297" t="s">
        <v>96</v>
      </c>
      <c r="I1297">
        <v>2015</v>
      </c>
      <c r="J1297">
        <v>0.28999999999999998</v>
      </c>
      <c r="K1297" t="s">
        <v>101</v>
      </c>
      <c r="L1297">
        <v>200</v>
      </c>
      <c r="N1297" t="s">
        <v>121</v>
      </c>
      <c r="O1297" t="s">
        <v>121</v>
      </c>
      <c r="P1297" t="s">
        <v>286</v>
      </c>
      <c r="Q1297" s="1" t="s">
        <v>2292</v>
      </c>
      <c r="R1297" s="1" t="s">
        <v>264</v>
      </c>
      <c r="S1297" s="1" t="s">
        <v>264</v>
      </c>
      <c r="T1297" t="s">
        <v>421</v>
      </c>
      <c r="U1297" t="s">
        <v>421</v>
      </c>
      <c r="X1297" t="s">
        <v>161</v>
      </c>
      <c r="Y1297" t="s">
        <v>2272</v>
      </c>
      <c r="Z1297" t="s">
        <v>2272</v>
      </c>
      <c r="AA1297" t="s">
        <v>2272</v>
      </c>
      <c r="AB1297" t="s">
        <v>2272</v>
      </c>
      <c r="AC1297" t="s">
        <v>162</v>
      </c>
      <c r="AD1297" t="s">
        <v>2272</v>
      </c>
      <c r="AF1297" t="s">
        <v>49</v>
      </c>
      <c r="AL1297" t="s">
        <v>49</v>
      </c>
      <c r="AM1297" t="s">
        <v>356</v>
      </c>
      <c r="AO1297" t="s">
        <v>857</v>
      </c>
      <c r="AP1297" t="s">
        <v>49</v>
      </c>
    </row>
    <row r="1298" spans="1:44" x14ac:dyDescent="0.2">
      <c r="A1298" t="s">
        <v>852</v>
      </c>
      <c r="B1298" t="s">
        <v>853</v>
      </c>
      <c r="C1298">
        <v>2019</v>
      </c>
      <c r="D1298" t="s">
        <v>811</v>
      </c>
      <c r="F1298" t="s">
        <v>81</v>
      </c>
      <c r="G1298" t="s">
        <v>91</v>
      </c>
      <c r="H1298" t="s">
        <v>96</v>
      </c>
      <c r="I1298">
        <v>2015</v>
      </c>
      <c r="J1298">
        <v>0.28999999999999998</v>
      </c>
      <c r="K1298" t="s">
        <v>101</v>
      </c>
      <c r="L1298">
        <v>200</v>
      </c>
      <c r="N1298" t="s">
        <v>121</v>
      </c>
      <c r="O1298" t="s">
        <v>121</v>
      </c>
      <c r="P1298" t="s">
        <v>286</v>
      </c>
      <c r="Q1298" s="1" t="s">
        <v>2292</v>
      </c>
      <c r="R1298" s="1" t="s">
        <v>264</v>
      </c>
      <c r="S1298" s="1" t="s">
        <v>264</v>
      </c>
      <c r="T1298" t="s">
        <v>421</v>
      </c>
      <c r="U1298" t="s">
        <v>421</v>
      </c>
      <c r="X1298" t="s">
        <v>161</v>
      </c>
      <c r="Y1298" t="s">
        <v>2272</v>
      </c>
      <c r="Z1298" t="s">
        <v>2272</v>
      </c>
      <c r="AA1298" t="s">
        <v>2272</v>
      </c>
      <c r="AB1298" t="s">
        <v>2272</v>
      </c>
      <c r="AC1298" t="s">
        <v>162</v>
      </c>
      <c r="AD1298" t="s">
        <v>2272</v>
      </c>
      <c r="AF1298" t="s">
        <v>49</v>
      </c>
      <c r="AL1298" t="s">
        <v>49</v>
      </c>
      <c r="AM1298" t="s">
        <v>858</v>
      </c>
      <c r="AO1298" t="s">
        <v>859</v>
      </c>
      <c r="AQ1298" s="5">
        <v>1</v>
      </c>
    </row>
    <row r="1299" spans="1:44" x14ac:dyDescent="0.2">
      <c r="A1299" t="s">
        <v>852</v>
      </c>
      <c r="B1299" t="s">
        <v>853</v>
      </c>
      <c r="C1299">
        <v>2019</v>
      </c>
      <c r="D1299" t="s">
        <v>811</v>
      </c>
      <c r="F1299" t="s">
        <v>81</v>
      </c>
      <c r="G1299" t="s">
        <v>91</v>
      </c>
      <c r="H1299" t="s">
        <v>96</v>
      </c>
      <c r="I1299">
        <v>2015</v>
      </c>
      <c r="J1299">
        <v>0.28999999999999998</v>
      </c>
      <c r="K1299" t="s">
        <v>101</v>
      </c>
      <c r="L1299">
        <v>200</v>
      </c>
      <c r="N1299" t="s">
        <v>121</v>
      </c>
      <c r="O1299" t="s">
        <v>121</v>
      </c>
      <c r="P1299" t="s">
        <v>286</v>
      </c>
      <c r="Q1299" s="1" t="s">
        <v>2292</v>
      </c>
      <c r="R1299" s="1" t="s">
        <v>264</v>
      </c>
      <c r="S1299" s="1" t="s">
        <v>264</v>
      </c>
      <c r="T1299" t="s">
        <v>421</v>
      </c>
      <c r="U1299" t="s">
        <v>421</v>
      </c>
      <c r="X1299" t="s">
        <v>161</v>
      </c>
      <c r="Y1299" t="s">
        <v>2272</v>
      </c>
      <c r="Z1299" t="s">
        <v>2272</v>
      </c>
      <c r="AA1299" t="s">
        <v>2272</v>
      </c>
      <c r="AB1299" t="s">
        <v>2272</v>
      </c>
      <c r="AC1299" t="s">
        <v>162</v>
      </c>
      <c r="AD1299" t="s">
        <v>2272</v>
      </c>
      <c r="AF1299" t="s">
        <v>49</v>
      </c>
      <c r="AL1299" t="s">
        <v>49</v>
      </c>
      <c r="AM1299" t="s">
        <v>356</v>
      </c>
      <c r="AO1299" t="s">
        <v>859</v>
      </c>
      <c r="AQ1299" s="5">
        <v>2</v>
      </c>
    </row>
    <row r="1300" spans="1:44" x14ac:dyDescent="0.2">
      <c r="A1300" t="s">
        <v>852</v>
      </c>
      <c r="B1300" t="s">
        <v>853</v>
      </c>
      <c r="C1300">
        <v>2019</v>
      </c>
      <c r="D1300" t="s">
        <v>811</v>
      </c>
      <c r="F1300" t="s">
        <v>81</v>
      </c>
      <c r="G1300" t="s">
        <v>91</v>
      </c>
      <c r="H1300" t="s">
        <v>96</v>
      </c>
      <c r="I1300">
        <v>2015</v>
      </c>
      <c r="J1300">
        <v>0.28999999999999998</v>
      </c>
      <c r="K1300" t="s">
        <v>101</v>
      </c>
      <c r="L1300">
        <v>200</v>
      </c>
      <c r="N1300" t="s">
        <v>121</v>
      </c>
      <c r="O1300" t="s">
        <v>121</v>
      </c>
      <c r="P1300" t="s">
        <v>286</v>
      </c>
      <c r="Q1300" s="1" t="s">
        <v>2292</v>
      </c>
      <c r="R1300" s="1" t="s">
        <v>264</v>
      </c>
      <c r="S1300" s="1" t="s">
        <v>264</v>
      </c>
      <c r="T1300" t="s">
        <v>421</v>
      </c>
      <c r="U1300" t="s">
        <v>421</v>
      </c>
      <c r="X1300" t="s">
        <v>161</v>
      </c>
      <c r="Y1300" t="s">
        <v>2272</v>
      </c>
      <c r="Z1300" t="s">
        <v>2272</v>
      </c>
      <c r="AA1300" t="s">
        <v>2272</v>
      </c>
      <c r="AB1300" t="s">
        <v>2272</v>
      </c>
      <c r="AC1300" t="s">
        <v>162</v>
      </c>
      <c r="AD1300" t="s">
        <v>2272</v>
      </c>
      <c r="AF1300" t="s">
        <v>49</v>
      </c>
      <c r="AL1300" t="s">
        <v>49</v>
      </c>
      <c r="AM1300" t="s">
        <v>854</v>
      </c>
      <c r="AO1300" t="s">
        <v>860</v>
      </c>
      <c r="AQ1300" s="5">
        <v>0</v>
      </c>
    </row>
    <row r="1301" spans="1:44" x14ac:dyDescent="0.2">
      <c r="A1301" t="s">
        <v>852</v>
      </c>
      <c r="B1301" t="s">
        <v>853</v>
      </c>
      <c r="C1301">
        <v>2019</v>
      </c>
      <c r="D1301" t="s">
        <v>811</v>
      </c>
      <c r="F1301" t="s">
        <v>81</v>
      </c>
      <c r="G1301" t="s">
        <v>91</v>
      </c>
      <c r="H1301" t="s">
        <v>96</v>
      </c>
      <c r="I1301">
        <v>2015</v>
      </c>
      <c r="J1301">
        <v>0.28999999999999998</v>
      </c>
      <c r="K1301" t="s">
        <v>101</v>
      </c>
      <c r="L1301">
        <v>200</v>
      </c>
      <c r="N1301" t="s">
        <v>121</v>
      </c>
      <c r="O1301" t="s">
        <v>121</v>
      </c>
      <c r="P1301" t="s">
        <v>286</v>
      </c>
      <c r="Q1301" s="1" t="s">
        <v>2292</v>
      </c>
      <c r="R1301" s="1" t="s">
        <v>264</v>
      </c>
      <c r="S1301" s="1" t="s">
        <v>264</v>
      </c>
      <c r="T1301" t="s">
        <v>421</v>
      </c>
      <c r="U1301" t="s">
        <v>421</v>
      </c>
      <c r="X1301" t="s">
        <v>161</v>
      </c>
      <c r="Y1301" t="s">
        <v>2272</v>
      </c>
      <c r="Z1301" t="s">
        <v>2272</v>
      </c>
      <c r="AA1301" t="s">
        <v>2272</v>
      </c>
      <c r="AB1301" t="s">
        <v>2272</v>
      </c>
      <c r="AC1301" t="s">
        <v>162</v>
      </c>
      <c r="AD1301" t="s">
        <v>2272</v>
      </c>
      <c r="AF1301" t="s">
        <v>49</v>
      </c>
      <c r="AL1301" t="s">
        <v>49</v>
      </c>
      <c r="AM1301" t="s">
        <v>854</v>
      </c>
      <c r="AO1301" t="s">
        <v>861</v>
      </c>
      <c r="AP1301" t="s">
        <v>49</v>
      </c>
    </row>
    <row r="1302" spans="1:44" x14ac:dyDescent="0.2">
      <c r="A1302" t="s">
        <v>862</v>
      </c>
      <c r="B1302" t="s">
        <v>863</v>
      </c>
      <c r="C1302">
        <v>2019</v>
      </c>
      <c r="F1302" t="s">
        <v>81</v>
      </c>
      <c r="G1302" t="s">
        <v>86</v>
      </c>
      <c r="H1302" t="s">
        <v>96</v>
      </c>
      <c r="I1302" t="s">
        <v>2497</v>
      </c>
      <c r="J1302">
        <v>7</v>
      </c>
      <c r="M1302">
        <v>0.25</v>
      </c>
      <c r="N1302" t="s">
        <v>128</v>
      </c>
      <c r="O1302" t="s">
        <v>2498</v>
      </c>
      <c r="P1302" t="s">
        <v>2499</v>
      </c>
      <c r="Q1302" t="s">
        <v>2276</v>
      </c>
      <c r="R1302" t="s">
        <v>751</v>
      </c>
      <c r="S1302" t="s">
        <v>2346</v>
      </c>
      <c r="X1302" t="s">
        <v>211</v>
      </c>
      <c r="Y1302" t="s">
        <v>2279</v>
      </c>
      <c r="Z1302" t="s">
        <v>2280</v>
      </c>
      <c r="AA1302" t="s">
        <v>2358</v>
      </c>
      <c r="AB1302" t="s">
        <v>2290</v>
      </c>
      <c r="AC1302" t="s">
        <v>152</v>
      </c>
      <c r="AD1302" t="s">
        <v>2278</v>
      </c>
      <c r="AE1302" t="s">
        <v>851</v>
      </c>
      <c r="AG1302" t="s">
        <v>49</v>
      </c>
      <c r="AL1302" t="s">
        <v>49</v>
      </c>
      <c r="AM1302" t="s">
        <v>805</v>
      </c>
      <c r="AN1302" t="s">
        <v>166</v>
      </c>
    </row>
    <row r="1303" spans="1:44" x14ac:dyDescent="0.2">
      <c r="A1303" t="s">
        <v>862</v>
      </c>
      <c r="B1303" t="s">
        <v>863</v>
      </c>
      <c r="C1303">
        <v>2019</v>
      </c>
      <c r="F1303" t="s">
        <v>81</v>
      </c>
      <c r="G1303" t="s">
        <v>86</v>
      </c>
      <c r="H1303" t="s">
        <v>96</v>
      </c>
      <c r="I1303">
        <v>2014</v>
      </c>
      <c r="J1303">
        <f>1/12</f>
        <v>8.3333333333333329E-2</v>
      </c>
      <c r="K1303" t="s">
        <v>101</v>
      </c>
      <c r="M1303">
        <v>0.25</v>
      </c>
      <c r="N1303" t="s">
        <v>128</v>
      </c>
      <c r="O1303" t="s">
        <v>2498</v>
      </c>
      <c r="P1303" t="s">
        <v>2499</v>
      </c>
      <c r="Q1303" t="s">
        <v>2276</v>
      </c>
      <c r="R1303" t="s">
        <v>751</v>
      </c>
      <c r="S1303" t="s">
        <v>2346</v>
      </c>
      <c r="T1303" t="s">
        <v>421</v>
      </c>
      <c r="U1303" t="s">
        <v>421</v>
      </c>
      <c r="X1303" t="s">
        <v>161</v>
      </c>
      <c r="Y1303" t="s">
        <v>2272</v>
      </c>
      <c r="Z1303" t="s">
        <v>2272</v>
      </c>
      <c r="AA1303" t="s">
        <v>2272</v>
      </c>
      <c r="AB1303" t="s">
        <v>2272</v>
      </c>
      <c r="AC1303" t="s">
        <v>162</v>
      </c>
      <c r="AD1303" t="s">
        <v>2278</v>
      </c>
      <c r="AE1303" t="s">
        <v>851</v>
      </c>
      <c r="AG1303" t="s">
        <v>49</v>
      </c>
      <c r="AI1303" t="s">
        <v>49</v>
      </c>
      <c r="AM1303" t="s">
        <v>442</v>
      </c>
      <c r="AN1303" t="s">
        <v>165</v>
      </c>
      <c r="AP1303" t="s">
        <v>49</v>
      </c>
    </row>
    <row r="1304" spans="1:44" x14ac:dyDescent="0.2">
      <c r="A1304" t="s">
        <v>862</v>
      </c>
      <c r="B1304" t="s">
        <v>863</v>
      </c>
      <c r="C1304">
        <v>2019</v>
      </c>
      <c r="F1304" t="s">
        <v>81</v>
      </c>
      <c r="G1304" t="s">
        <v>86</v>
      </c>
      <c r="H1304" t="s">
        <v>96</v>
      </c>
      <c r="I1304">
        <v>2014</v>
      </c>
      <c r="J1304">
        <f>1/12</f>
        <v>8.3333333333333329E-2</v>
      </c>
      <c r="K1304" t="s">
        <v>101</v>
      </c>
      <c r="M1304">
        <v>0.25</v>
      </c>
      <c r="N1304" t="s">
        <v>128</v>
      </c>
      <c r="O1304" t="s">
        <v>2498</v>
      </c>
      <c r="P1304" t="s">
        <v>2499</v>
      </c>
      <c r="Q1304" t="s">
        <v>2276</v>
      </c>
      <c r="R1304" t="s">
        <v>751</v>
      </c>
      <c r="S1304" t="s">
        <v>2346</v>
      </c>
      <c r="T1304" t="s">
        <v>421</v>
      </c>
      <c r="U1304" t="s">
        <v>421</v>
      </c>
      <c r="X1304" t="s">
        <v>161</v>
      </c>
      <c r="Y1304" t="s">
        <v>2272</v>
      </c>
      <c r="Z1304" t="s">
        <v>2272</v>
      </c>
      <c r="AA1304" t="s">
        <v>2272</v>
      </c>
      <c r="AB1304" t="s">
        <v>2272</v>
      </c>
      <c r="AC1304" t="s">
        <v>162</v>
      </c>
      <c r="AD1304" t="s">
        <v>2278</v>
      </c>
      <c r="AE1304" t="s">
        <v>851</v>
      </c>
      <c r="AG1304" t="s">
        <v>49</v>
      </c>
      <c r="AI1304" t="s">
        <v>49</v>
      </c>
      <c r="AM1304" t="s">
        <v>442</v>
      </c>
      <c r="AN1304" t="s">
        <v>154</v>
      </c>
      <c r="AP1304" t="s">
        <v>157</v>
      </c>
    </row>
    <row r="1305" spans="1:44" x14ac:dyDescent="0.2">
      <c r="A1305" t="s">
        <v>862</v>
      </c>
      <c r="B1305" t="s">
        <v>863</v>
      </c>
      <c r="C1305">
        <v>2019</v>
      </c>
      <c r="F1305" t="s">
        <v>81</v>
      </c>
      <c r="G1305" t="s">
        <v>86</v>
      </c>
      <c r="H1305" t="s">
        <v>96</v>
      </c>
      <c r="I1305">
        <v>2014</v>
      </c>
      <c r="J1305">
        <f>1/12</f>
        <v>8.3333333333333329E-2</v>
      </c>
      <c r="K1305" t="s">
        <v>101</v>
      </c>
      <c r="M1305">
        <v>0.25</v>
      </c>
      <c r="N1305" t="s">
        <v>128</v>
      </c>
      <c r="O1305" t="s">
        <v>2498</v>
      </c>
      <c r="P1305" t="s">
        <v>2499</v>
      </c>
      <c r="Q1305" t="s">
        <v>2276</v>
      </c>
      <c r="R1305" t="s">
        <v>751</v>
      </c>
      <c r="S1305" t="s">
        <v>2346</v>
      </c>
      <c r="T1305" t="s">
        <v>421</v>
      </c>
      <c r="U1305" t="s">
        <v>421</v>
      </c>
      <c r="X1305" t="s">
        <v>161</v>
      </c>
      <c r="Y1305" t="s">
        <v>2272</v>
      </c>
      <c r="Z1305" t="s">
        <v>2272</v>
      </c>
      <c r="AA1305" t="s">
        <v>2272</v>
      </c>
      <c r="AB1305" t="s">
        <v>2272</v>
      </c>
      <c r="AC1305" t="s">
        <v>162</v>
      </c>
      <c r="AD1305" t="s">
        <v>2278</v>
      </c>
      <c r="AE1305" t="s">
        <v>851</v>
      </c>
      <c r="AG1305" t="s">
        <v>49</v>
      </c>
      <c r="AI1305" t="s">
        <v>49</v>
      </c>
      <c r="AM1305" t="s">
        <v>442</v>
      </c>
      <c r="AN1305" t="s">
        <v>166</v>
      </c>
      <c r="AP1305" t="s">
        <v>51</v>
      </c>
    </row>
    <row r="1306" spans="1:44" x14ac:dyDescent="0.2">
      <c r="A1306" t="s">
        <v>864</v>
      </c>
      <c r="B1306" t="s">
        <v>714</v>
      </c>
      <c r="C1306">
        <v>2019</v>
      </c>
      <c r="D1306" t="s">
        <v>44</v>
      </c>
      <c r="F1306" t="s">
        <v>83</v>
      </c>
      <c r="G1306" t="s">
        <v>85</v>
      </c>
      <c r="H1306" t="s">
        <v>96</v>
      </c>
      <c r="I1306">
        <v>2016</v>
      </c>
      <c r="J1306">
        <v>0.83</v>
      </c>
      <c r="K1306" t="s">
        <v>109</v>
      </c>
      <c r="L1306">
        <v>200</v>
      </c>
      <c r="M1306">
        <f t="shared" ref="M1306:M1315" si="34">0.5*0.5</f>
        <v>0.25</v>
      </c>
      <c r="N1306" t="s">
        <v>120</v>
      </c>
      <c r="O1306" t="s">
        <v>120</v>
      </c>
      <c r="P1306" t="s">
        <v>667</v>
      </c>
      <c r="Q1306" s="1" t="s">
        <v>2276</v>
      </c>
      <c r="R1306" s="1" t="s">
        <v>669</v>
      </c>
      <c r="S1306" s="1" t="s">
        <v>168</v>
      </c>
      <c r="X1306" t="s">
        <v>716</v>
      </c>
      <c r="Y1306" t="s">
        <v>2273</v>
      </c>
      <c r="Z1306" t="s">
        <v>249</v>
      </c>
      <c r="AA1306" t="s">
        <v>2359</v>
      </c>
      <c r="AB1306" t="s">
        <v>1419</v>
      </c>
      <c r="AC1306" t="s">
        <v>152</v>
      </c>
      <c r="AD1306" t="s">
        <v>137</v>
      </c>
      <c r="AE1306" t="s">
        <v>868</v>
      </c>
      <c r="AF1306" t="s">
        <v>49</v>
      </c>
      <c r="AK1306" t="s">
        <v>49</v>
      </c>
      <c r="AM1306" t="s">
        <v>869</v>
      </c>
      <c r="AN1306" t="s">
        <v>166</v>
      </c>
      <c r="AP1306" t="s">
        <v>49</v>
      </c>
      <c r="AR1306">
        <v>1</v>
      </c>
    </row>
    <row r="1307" spans="1:44" x14ac:dyDescent="0.2">
      <c r="A1307" t="s">
        <v>864</v>
      </c>
      <c r="B1307" t="s">
        <v>714</v>
      </c>
      <c r="C1307">
        <v>2019</v>
      </c>
      <c r="D1307" t="s">
        <v>44</v>
      </c>
      <c r="F1307" t="s">
        <v>83</v>
      </c>
      <c r="G1307" t="s">
        <v>85</v>
      </c>
      <c r="H1307" t="s">
        <v>96</v>
      </c>
      <c r="I1307">
        <v>2016</v>
      </c>
      <c r="J1307">
        <v>0.83</v>
      </c>
      <c r="K1307" t="s">
        <v>109</v>
      </c>
      <c r="L1307">
        <v>200</v>
      </c>
      <c r="M1307">
        <f t="shared" si="34"/>
        <v>0.25</v>
      </c>
      <c r="N1307" t="s">
        <v>120</v>
      </c>
      <c r="O1307" t="s">
        <v>120</v>
      </c>
      <c r="P1307" t="s">
        <v>667</v>
      </c>
      <c r="Q1307" s="1" t="s">
        <v>2276</v>
      </c>
      <c r="R1307" s="1" t="s">
        <v>669</v>
      </c>
      <c r="S1307" s="1" t="s">
        <v>168</v>
      </c>
      <c r="X1307" t="s">
        <v>717</v>
      </c>
      <c r="Y1307" t="s">
        <v>2273</v>
      </c>
      <c r="Z1307" t="s">
        <v>249</v>
      </c>
      <c r="AA1307" t="s">
        <v>2274</v>
      </c>
      <c r="AB1307" t="s">
        <v>2300</v>
      </c>
      <c r="AC1307" t="s">
        <v>152</v>
      </c>
      <c r="AD1307" t="s">
        <v>137</v>
      </c>
      <c r="AE1307" t="s">
        <v>868</v>
      </c>
      <c r="AF1307" t="s">
        <v>49</v>
      </c>
      <c r="AK1307" t="s">
        <v>49</v>
      </c>
      <c r="AM1307" t="s">
        <v>869</v>
      </c>
      <c r="AN1307" t="s">
        <v>166</v>
      </c>
      <c r="AP1307" t="s">
        <v>49</v>
      </c>
      <c r="AR1307">
        <v>1</v>
      </c>
    </row>
    <row r="1308" spans="1:44" x14ac:dyDescent="0.2">
      <c r="A1308" t="s">
        <v>864</v>
      </c>
      <c r="B1308" t="s">
        <v>714</v>
      </c>
      <c r="C1308">
        <v>2019</v>
      </c>
      <c r="D1308" t="s">
        <v>44</v>
      </c>
      <c r="F1308" t="s">
        <v>83</v>
      </c>
      <c r="G1308" t="s">
        <v>85</v>
      </c>
      <c r="H1308" t="s">
        <v>96</v>
      </c>
      <c r="I1308">
        <v>2016</v>
      </c>
      <c r="J1308">
        <v>0.83</v>
      </c>
      <c r="K1308" t="s">
        <v>109</v>
      </c>
      <c r="L1308">
        <v>200</v>
      </c>
      <c r="M1308">
        <f t="shared" si="34"/>
        <v>0.25</v>
      </c>
      <c r="N1308" t="s">
        <v>120</v>
      </c>
      <c r="O1308" t="s">
        <v>120</v>
      </c>
      <c r="P1308" t="s">
        <v>667</v>
      </c>
      <c r="Q1308" s="1" t="s">
        <v>2276</v>
      </c>
      <c r="R1308" s="1" t="s">
        <v>669</v>
      </c>
      <c r="S1308" s="1" t="s">
        <v>168</v>
      </c>
      <c r="X1308" t="s">
        <v>718</v>
      </c>
      <c r="Y1308" t="s">
        <v>2273</v>
      </c>
      <c r="Z1308" t="s">
        <v>249</v>
      </c>
      <c r="AA1308" t="s">
        <v>2274</v>
      </c>
      <c r="AB1308" t="s">
        <v>2300</v>
      </c>
      <c r="AC1308" t="s">
        <v>152</v>
      </c>
      <c r="AD1308" t="s">
        <v>137</v>
      </c>
      <c r="AE1308" t="s">
        <v>868</v>
      </c>
      <c r="AR1308">
        <v>1</v>
      </c>
    </row>
    <row r="1309" spans="1:44" x14ac:dyDescent="0.2">
      <c r="A1309" t="s">
        <v>864</v>
      </c>
      <c r="B1309" t="s">
        <v>714</v>
      </c>
      <c r="C1309">
        <v>2019</v>
      </c>
      <c r="D1309" t="s">
        <v>44</v>
      </c>
      <c r="F1309" t="s">
        <v>83</v>
      </c>
      <c r="G1309" t="s">
        <v>85</v>
      </c>
      <c r="H1309" t="s">
        <v>96</v>
      </c>
      <c r="I1309">
        <v>2016</v>
      </c>
      <c r="J1309">
        <v>0.83</v>
      </c>
      <c r="K1309" t="s">
        <v>109</v>
      </c>
      <c r="L1309">
        <v>200</v>
      </c>
      <c r="M1309">
        <f t="shared" si="34"/>
        <v>0.25</v>
      </c>
      <c r="N1309" t="s">
        <v>120</v>
      </c>
      <c r="O1309" t="s">
        <v>120</v>
      </c>
      <c r="P1309" t="s">
        <v>667</v>
      </c>
      <c r="Q1309" s="1" t="s">
        <v>2276</v>
      </c>
      <c r="R1309" s="1" t="s">
        <v>669</v>
      </c>
      <c r="S1309" s="1" t="s">
        <v>168</v>
      </c>
      <c r="X1309" t="s">
        <v>865</v>
      </c>
      <c r="Y1309" t="s">
        <v>2273</v>
      </c>
      <c r="Z1309" t="s">
        <v>249</v>
      </c>
      <c r="AA1309" t="s">
        <v>2274</v>
      </c>
      <c r="AB1309" t="s">
        <v>2300</v>
      </c>
      <c r="AC1309" t="s">
        <v>152</v>
      </c>
      <c r="AD1309" t="s">
        <v>137</v>
      </c>
      <c r="AE1309" t="s">
        <v>868</v>
      </c>
      <c r="AF1309" t="s">
        <v>49</v>
      </c>
      <c r="AK1309" t="s">
        <v>49</v>
      </c>
      <c r="AM1309" t="s">
        <v>869</v>
      </c>
      <c r="AN1309" t="s">
        <v>166</v>
      </c>
      <c r="AP1309" t="s">
        <v>49</v>
      </c>
      <c r="AR1309">
        <v>1</v>
      </c>
    </row>
    <row r="1310" spans="1:44" x14ac:dyDescent="0.2">
      <c r="A1310" t="s">
        <v>864</v>
      </c>
      <c r="B1310" t="s">
        <v>714</v>
      </c>
      <c r="C1310">
        <v>2019</v>
      </c>
      <c r="D1310" t="s">
        <v>44</v>
      </c>
      <c r="F1310" t="s">
        <v>83</v>
      </c>
      <c r="G1310" t="s">
        <v>85</v>
      </c>
      <c r="H1310" t="s">
        <v>96</v>
      </c>
      <c r="I1310">
        <v>2016</v>
      </c>
      <c r="J1310">
        <v>0.83</v>
      </c>
      <c r="K1310" t="s">
        <v>109</v>
      </c>
      <c r="L1310">
        <v>200</v>
      </c>
      <c r="M1310">
        <f t="shared" si="34"/>
        <v>0.25</v>
      </c>
      <c r="N1310" t="s">
        <v>120</v>
      </c>
      <c r="O1310" t="s">
        <v>120</v>
      </c>
      <c r="P1310" t="s">
        <v>667</v>
      </c>
      <c r="Q1310" s="1" t="s">
        <v>2276</v>
      </c>
      <c r="R1310" s="1" t="s">
        <v>669</v>
      </c>
      <c r="S1310" s="1" t="s">
        <v>168</v>
      </c>
      <c r="X1310" t="s">
        <v>866</v>
      </c>
      <c r="Y1310" t="s">
        <v>2273</v>
      </c>
      <c r="Z1310" t="s">
        <v>249</v>
      </c>
      <c r="AA1310" t="s">
        <v>2359</v>
      </c>
      <c r="AB1310" t="s">
        <v>1419</v>
      </c>
      <c r="AC1310" t="s">
        <v>152</v>
      </c>
      <c r="AD1310" t="s">
        <v>2288</v>
      </c>
      <c r="AE1310" t="s">
        <v>868</v>
      </c>
      <c r="AF1310" t="s">
        <v>49</v>
      </c>
      <c r="AK1310" t="s">
        <v>49</v>
      </c>
      <c r="AM1310" t="s">
        <v>869</v>
      </c>
      <c r="AN1310" t="s">
        <v>166</v>
      </c>
      <c r="AP1310" t="s">
        <v>49</v>
      </c>
      <c r="AR1310">
        <v>1</v>
      </c>
    </row>
    <row r="1311" spans="1:44" x14ac:dyDescent="0.2">
      <c r="A1311" t="s">
        <v>864</v>
      </c>
      <c r="B1311" t="s">
        <v>714</v>
      </c>
      <c r="C1311">
        <v>2019</v>
      </c>
      <c r="D1311" t="s">
        <v>44</v>
      </c>
      <c r="F1311" t="s">
        <v>83</v>
      </c>
      <c r="G1311" t="s">
        <v>85</v>
      </c>
      <c r="H1311" t="s">
        <v>96</v>
      </c>
      <c r="I1311">
        <v>2016</v>
      </c>
      <c r="J1311">
        <v>0.83</v>
      </c>
      <c r="K1311" t="s">
        <v>109</v>
      </c>
      <c r="L1311">
        <v>200</v>
      </c>
      <c r="M1311">
        <f t="shared" si="34"/>
        <v>0.25</v>
      </c>
      <c r="N1311" t="s">
        <v>120</v>
      </c>
      <c r="O1311" t="s">
        <v>120</v>
      </c>
      <c r="P1311" t="s">
        <v>667</v>
      </c>
      <c r="Q1311" s="1" t="s">
        <v>2276</v>
      </c>
      <c r="R1311" s="1" t="s">
        <v>669</v>
      </c>
      <c r="S1311" s="1" t="s">
        <v>168</v>
      </c>
      <c r="X1311" t="s">
        <v>867</v>
      </c>
      <c r="Y1311" t="s">
        <v>2273</v>
      </c>
      <c r="Z1311" t="s">
        <v>249</v>
      </c>
      <c r="AA1311" t="s">
        <v>2359</v>
      </c>
      <c r="AB1311" t="s">
        <v>1419</v>
      </c>
      <c r="AC1311" t="s">
        <v>152</v>
      </c>
      <c r="AD1311" t="s">
        <v>2288</v>
      </c>
      <c r="AE1311" t="s">
        <v>868</v>
      </c>
      <c r="AF1311" t="s">
        <v>49</v>
      </c>
      <c r="AK1311" t="s">
        <v>49</v>
      </c>
      <c r="AM1311" t="s">
        <v>869</v>
      </c>
      <c r="AN1311" t="s">
        <v>166</v>
      </c>
      <c r="AP1311" t="s">
        <v>49</v>
      </c>
      <c r="AR1311">
        <v>1</v>
      </c>
    </row>
    <row r="1312" spans="1:44" x14ac:dyDescent="0.2">
      <c r="A1312" t="s">
        <v>864</v>
      </c>
      <c r="B1312" t="s">
        <v>714</v>
      </c>
      <c r="C1312">
        <v>2019</v>
      </c>
      <c r="D1312" t="s">
        <v>44</v>
      </c>
      <c r="F1312" t="s">
        <v>83</v>
      </c>
      <c r="G1312" t="s">
        <v>85</v>
      </c>
      <c r="H1312" t="s">
        <v>96</v>
      </c>
      <c r="I1312">
        <v>2016</v>
      </c>
      <c r="J1312">
        <v>0.83</v>
      </c>
      <c r="K1312" t="s">
        <v>109</v>
      </c>
      <c r="L1312">
        <v>200</v>
      </c>
      <c r="M1312">
        <f t="shared" si="34"/>
        <v>0.25</v>
      </c>
      <c r="N1312" t="s">
        <v>120</v>
      </c>
      <c r="O1312" t="s">
        <v>120</v>
      </c>
      <c r="P1312" t="s">
        <v>667</v>
      </c>
      <c r="Q1312" s="1" t="s">
        <v>2276</v>
      </c>
      <c r="R1312" s="1" t="s">
        <v>669</v>
      </c>
      <c r="S1312" s="1" t="s">
        <v>168</v>
      </c>
      <c r="X1312" t="s">
        <v>171</v>
      </c>
      <c r="Y1312" t="s">
        <v>2273</v>
      </c>
      <c r="Z1312" t="s">
        <v>249</v>
      </c>
      <c r="AA1312" t="s">
        <v>2359</v>
      </c>
      <c r="AB1312" t="s">
        <v>1979</v>
      </c>
      <c r="AC1312" t="s">
        <v>152</v>
      </c>
      <c r="AD1312" t="s">
        <v>137</v>
      </c>
      <c r="AE1312" t="s">
        <v>868</v>
      </c>
      <c r="AF1312" t="s">
        <v>49</v>
      </c>
      <c r="AK1312" t="s">
        <v>49</v>
      </c>
      <c r="AM1312" t="s">
        <v>869</v>
      </c>
      <c r="AN1312" t="s">
        <v>166</v>
      </c>
      <c r="AP1312" t="s">
        <v>49</v>
      </c>
      <c r="AR1312">
        <v>1</v>
      </c>
    </row>
    <row r="1313" spans="1:45" x14ac:dyDescent="0.2">
      <c r="A1313" t="s">
        <v>864</v>
      </c>
      <c r="B1313" t="s">
        <v>714</v>
      </c>
      <c r="C1313">
        <v>2019</v>
      </c>
      <c r="D1313" t="s">
        <v>44</v>
      </c>
      <c r="F1313" t="s">
        <v>83</v>
      </c>
      <c r="G1313" t="s">
        <v>85</v>
      </c>
      <c r="H1313" t="s">
        <v>96</v>
      </c>
      <c r="I1313">
        <v>2016</v>
      </c>
      <c r="J1313">
        <v>0.83</v>
      </c>
      <c r="K1313" t="s">
        <v>109</v>
      </c>
      <c r="L1313">
        <v>200</v>
      </c>
      <c r="M1313">
        <f t="shared" si="34"/>
        <v>0.25</v>
      </c>
      <c r="N1313" t="s">
        <v>120</v>
      </c>
      <c r="O1313" t="s">
        <v>120</v>
      </c>
      <c r="P1313" t="s">
        <v>667</v>
      </c>
      <c r="Q1313" s="1" t="s">
        <v>2276</v>
      </c>
      <c r="R1313" s="1" t="s">
        <v>669</v>
      </c>
      <c r="S1313" s="1" t="s">
        <v>168</v>
      </c>
      <c r="X1313" t="s">
        <v>161</v>
      </c>
      <c r="Y1313" t="s">
        <v>2272</v>
      </c>
      <c r="Z1313" t="s">
        <v>2272</v>
      </c>
      <c r="AA1313" t="s">
        <v>2272</v>
      </c>
      <c r="AB1313" t="s">
        <v>2272</v>
      </c>
      <c r="AC1313" t="s">
        <v>162</v>
      </c>
      <c r="AD1313" t="s">
        <v>2272</v>
      </c>
      <c r="AF1313" t="s">
        <v>49</v>
      </c>
      <c r="AK1313" t="s">
        <v>49</v>
      </c>
      <c r="AM1313" t="s">
        <v>869</v>
      </c>
      <c r="AN1313" t="s">
        <v>166</v>
      </c>
      <c r="AR1313">
        <v>1</v>
      </c>
    </row>
    <row r="1314" spans="1:45" x14ac:dyDescent="0.2">
      <c r="A1314" t="s">
        <v>864</v>
      </c>
      <c r="B1314" t="s">
        <v>714</v>
      </c>
      <c r="C1314">
        <v>2019</v>
      </c>
      <c r="D1314" t="s">
        <v>44</v>
      </c>
      <c r="F1314" t="s">
        <v>83</v>
      </c>
      <c r="G1314" t="s">
        <v>85</v>
      </c>
      <c r="H1314" t="s">
        <v>96</v>
      </c>
      <c r="I1314">
        <v>2016</v>
      </c>
      <c r="J1314">
        <v>0.83</v>
      </c>
      <c r="K1314" t="s">
        <v>109</v>
      </c>
      <c r="L1314">
        <v>200</v>
      </c>
      <c r="M1314">
        <f t="shared" si="34"/>
        <v>0.25</v>
      </c>
      <c r="N1314" t="s">
        <v>120</v>
      </c>
      <c r="O1314" t="s">
        <v>120</v>
      </c>
      <c r="P1314" t="s">
        <v>667</v>
      </c>
      <c r="Q1314" s="1" t="s">
        <v>2276</v>
      </c>
      <c r="R1314" s="1" t="s">
        <v>669</v>
      </c>
      <c r="S1314" s="1" t="s">
        <v>168</v>
      </c>
      <c r="X1314" t="s">
        <v>161</v>
      </c>
      <c r="Y1314" t="s">
        <v>2272</v>
      </c>
      <c r="Z1314" t="s">
        <v>2272</v>
      </c>
      <c r="AA1314" t="s">
        <v>2272</v>
      </c>
      <c r="AB1314" t="s">
        <v>2272</v>
      </c>
      <c r="AC1314" t="s">
        <v>162</v>
      </c>
      <c r="AD1314" t="s">
        <v>2272</v>
      </c>
      <c r="AF1314" t="s">
        <v>49</v>
      </c>
      <c r="AK1314" t="s">
        <v>49</v>
      </c>
      <c r="AM1314" t="s">
        <v>869</v>
      </c>
      <c r="AN1314" t="s">
        <v>154</v>
      </c>
      <c r="AR1314">
        <v>1</v>
      </c>
    </row>
    <row r="1315" spans="1:45" x14ac:dyDescent="0.2">
      <c r="A1315" t="s">
        <v>864</v>
      </c>
      <c r="B1315" t="s">
        <v>714</v>
      </c>
      <c r="C1315">
        <v>2019</v>
      </c>
      <c r="D1315" t="s">
        <v>44</v>
      </c>
      <c r="F1315" t="s">
        <v>83</v>
      </c>
      <c r="G1315" t="s">
        <v>85</v>
      </c>
      <c r="H1315" t="s">
        <v>96</v>
      </c>
      <c r="I1315">
        <v>2016</v>
      </c>
      <c r="J1315">
        <v>0.83</v>
      </c>
      <c r="K1315" t="s">
        <v>109</v>
      </c>
      <c r="L1315">
        <v>200</v>
      </c>
      <c r="M1315">
        <f t="shared" si="34"/>
        <v>0.25</v>
      </c>
      <c r="N1315" t="s">
        <v>120</v>
      </c>
      <c r="O1315" t="s">
        <v>120</v>
      </c>
      <c r="P1315" t="s">
        <v>667</v>
      </c>
      <c r="Q1315" s="1" t="s">
        <v>2276</v>
      </c>
      <c r="R1315" s="1" t="s">
        <v>669</v>
      </c>
      <c r="S1315" s="1" t="s">
        <v>168</v>
      </c>
      <c r="X1315" t="s">
        <v>161</v>
      </c>
      <c r="Y1315" t="s">
        <v>2272</v>
      </c>
      <c r="Z1315" t="s">
        <v>2272</v>
      </c>
      <c r="AA1315" t="s">
        <v>2272</v>
      </c>
      <c r="AB1315" t="s">
        <v>2272</v>
      </c>
      <c r="AC1315" t="s">
        <v>162</v>
      </c>
      <c r="AD1315" t="s">
        <v>2272</v>
      </c>
      <c r="AF1315" t="s">
        <v>49</v>
      </c>
      <c r="AK1315" t="s">
        <v>49</v>
      </c>
      <c r="AM1315" t="s">
        <v>869</v>
      </c>
      <c r="AN1315" t="s">
        <v>165</v>
      </c>
      <c r="AR1315">
        <v>1</v>
      </c>
    </row>
    <row r="1316" spans="1:45" x14ac:dyDescent="0.2">
      <c r="A1316" t="s">
        <v>870</v>
      </c>
      <c r="B1316" t="s">
        <v>875</v>
      </c>
      <c r="Q1316" s="1" t="s">
        <v>2272</v>
      </c>
      <c r="R1316" s="1" t="s">
        <v>2272</v>
      </c>
      <c r="S1316" s="1" t="s">
        <v>2272</v>
      </c>
      <c r="Y1316" t="s">
        <v>2272</v>
      </c>
      <c r="Z1316" t="s">
        <v>2272</v>
      </c>
      <c r="AA1316" t="s">
        <v>2272</v>
      </c>
      <c r="AB1316" t="s">
        <v>2272</v>
      </c>
      <c r="AD1316" t="s">
        <v>2272</v>
      </c>
      <c r="AR1316" t="s">
        <v>144</v>
      </c>
      <c r="AS1316" t="s">
        <v>2583</v>
      </c>
    </row>
    <row r="1317" spans="1:45" x14ac:dyDescent="0.2">
      <c r="A1317" t="s">
        <v>871</v>
      </c>
      <c r="B1317" t="s">
        <v>872</v>
      </c>
      <c r="C1317">
        <v>2019</v>
      </c>
      <c r="D1317" t="s">
        <v>44</v>
      </c>
      <c r="F1317" t="s">
        <v>81</v>
      </c>
      <c r="G1317" t="s">
        <v>86</v>
      </c>
      <c r="Q1317" s="1" t="s">
        <v>2272</v>
      </c>
      <c r="R1317" s="1" t="s">
        <v>2272</v>
      </c>
      <c r="S1317" s="1" t="s">
        <v>2272</v>
      </c>
      <c r="Y1317" t="s">
        <v>2272</v>
      </c>
      <c r="Z1317" t="s">
        <v>2272</v>
      </c>
      <c r="AA1317" t="s">
        <v>2272</v>
      </c>
      <c r="AB1317" t="s">
        <v>2272</v>
      </c>
      <c r="AD1317" t="s">
        <v>2272</v>
      </c>
      <c r="AR1317" t="s">
        <v>144</v>
      </c>
      <c r="AS1317" t="s">
        <v>2583</v>
      </c>
    </row>
    <row r="1318" spans="1:45" x14ac:dyDescent="0.2">
      <c r="A1318" t="s">
        <v>873</v>
      </c>
      <c r="B1318" t="s">
        <v>876</v>
      </c>
      <c r="Q1318" s="1" t="s">
        <v>2272</v>
      </c>
      <c r="R1318" s="1" t="s">
        <v>2272</v>
      </c>
      <c r="S1318" s="1" t="s">
        <v>2272</v>
      </c>
      <c r="Y1318" t="s">
        <v>2272</v>
      </c>
      <c r="Z1318" t="s">
        <v>2272</v>
      </c>
      <c r="AA1318" t="s">
        <v>2272</v>
      </c>
      <c r="AB1318" t="s">
        <v>2272</v>
      </c>
      <c r="AD1318" t="s">
        <v>2272</v>
      </c>
      <c r="AR1318" t="s">
        <v>144</v>
      </c>
      <c r="AS1318" t="s">
        <v>2583</v>
      </c>
    </row>
    <row r="1319" spans="1:45" x14ac:dyDescent="0.2">
      <c r="A1319" t="s">
        <v>874</v>
      </c>
      <c r="B1319" t="s">
        <v>877</v>
      </c>
      <c r="C1319">
        <v>2019</v>
      </c>
      <c r="D1319" t="s">
        <v>44</v>
      </c>
      <c r="F1319" t="s">
        <v>53</v>
      </c>
      <c r="G1319" t="s">
        <v>86</v>
      </c>
      <c r="H1319" t="s">
        <v>350</v>
      </c>
      <c r="I1319" t="s">
        <v>106</v>
      </c>
      <c r="J1319">
        <v>1.17</v>
      </c>
      <c r="K1319" t="s">
        <v>42</v>
      </c>
      <c r="L1319">
        <v>9</v>
      </c>
      <c r="M1319">
        <f t="shared" ref="M1319:M1336" si="35">0.2*0.2</f>
        <v>4.0000000000000008E-2</v>
      </c>
      <c r="N1319" t="s">
        <v>120</v>
      </c>
      <c r="O1319" t="s">
        <v>120</v>
      </c>
      <c r="P1319" t="s">
        <v>878</v>
      </c>
      <c r="Q1319" s="1" t="s">
        <v>2276</v>
      </c>
      <c r="R1319" s="1" t="s">
        <v>669</v>
      </c>
      <c r="S1319" s="1" t="s">
        <v>168</v>
      </c>
      <c r="X1319" t="s">
        <v>189</v>
      </c>
      <c r="Y1319" t="s">
        <v>2279</v>
      </c>
      <c r="Z1319" t="s">
        <v>2280</v>
      </c>
      <c r="AA1319" t="s">
        <v>2358</v>
      </c>
      <c r="AB1319" t="s">
        <v>189</v>
      </c>
      <c r="AC1319" t="s">
        <v>152</v>
      </c>
      <c r="AD1319" t="s">
        <v>2278</v>
      </c>
      <c r="AF1319" t="s">
        <v>49</v>
      </c>
      <c r="AK1319" t="s">
        <v>49</v>
      </c>
    </row>
    <row r="1320" spans="1:45" x14ac:dyDescent="0.2">
      <c r="A1320" t="s">
        <v>874</v>
      </c>
      <c r="B1320" t="s">
        <v>877</v>
      </c>
      <c r="C1320">
        <v>2019</v>
      </c>
      <c r="D1320" t="s">
        <v>44</v>
      </c>
      <c r="F1320" t="s">
        <v>53</v>
      </c>
      <c r="G1320" t="s">
        <v>86</v>
      </c>
      <c r="H1320" t="s">
        <v>350</v>
      </c>
      <c r="I1320" t="s">
        <v>106</v>
      </c>
      <c r="J1320">
        <v>1.17</v>
      </c>
      <c r="K1320" t="s">
        <v>42</v>
      </c>
      <c r="L1320">
        <v>9</v>
      </c>
      <c r="M1320">
        <f t="shared" si="35"/>
        <v>4.0000000000000008E-2</v>
      </c>
      <c r="N1320" t="s">
        <v>120</v>
      </c>
      <c r="O1320" t="s">
        <v>120</v>
      </c>
      <c r="P1320" t="s">
        <v>878</v>
      </c>
      <c r="Q1320" s="1" t="s">
        <v>2276</v>
      </c>
      <c r="R1320" s="1" t="s">
        <v>669</v>
      </c>
      <c r="S1320" s="1" t="s">
        <v>168</v>
      </c>
      <c r="X1320" t="s">
        <v>293</v>
      </c>
      <c r="Y1320" t="s">
        <v>2273</v>
      </c>
      <c r="Z1320" t="s">
        <v>249</v>
      </c>
      <c r="AA1320" t="s">
        <v>2359</v>
      </c>
      <c r="AB1320" t="s">
        <v>1419</v>
      </c>
      <c r="AC1320" t="s">
        <v>152</v>
      </c>
      <c r="AD1320" t="s">
        <v>137</v>
      </c>
      <c r="AF1320" t="s">
        <v>49</v>
      </c>
      <c r="AK1320" t="s">
        <v>49</v>
      </c>
    </row>
    <row r="1321" spans="1:45" x14ac:dyDescent="0.2">
      <c r="A1321" t="s">
        <v>874</v>
      </c>
      <c r="B1321" t="s">
        <v>877</v>
      </c>
      <c r="C1321">
        <v>2019</v>
      </c>
      <c r="D1321" t="s">
        <v>44</v>
      </c>
      <c r="F1321" t="s">
        <v>53</v>
      </c>
      <c r="G1321" t="s">
        <v>86</v>
      </c>
      <c r="H1321" t="s">
        <v>350</v>
      </c>
      <c r="I1321" t="s">
        <v>106</v>
      </c>
      <c r="J1321">
        <v>1.17</v>
      </c>
      <c r="K1321" t="s">
        <v>42</v>
      </c>
      <c r="L1321">
        <v>9</v>
      </c>
      <c r="M1321">
        <f t="shared" si="35"/>
        <v>4.0000000000000008E-2</v>
      </c>
      <c r="N1321" t="s">
        <v>120</v>
      </c>
      <c r="O1321" t="s">
        <v>120</v>
      </c>
      <c r="P1321" t="s">
        <v>878</v>
      </c>
      <c r="Q1321" s="1" t="s">
        <v>2276</v>
      </c>
      <c r="R1321" s="1" t="s">
        <v>669</v>
      </c>
      <c r="S1321" s="1" t="s">
        <v>168</v>
      </c>
      <c r="X1321" t="s">
        <v>171</v>
      </c>
      <c r="Y1321" t="s">
        <v>2273</v>
      </c>
      <c r="Z1321" t="s">
        <v>249</v>
      </c>
      <c r="AA1321" t="s">
        <v>2359</v>
      </c>
      <c r="AB1321" t="s">
        <v>1979</v>
      </c>
      <c r="AC1321" t="s">
        <v>152</v>
      </c>
      <c r="AD1321" t="s">
        <v>137</v>
      </c>
      <c r="AF1321" t="s">
        <v>49</v>
      </c>
      <c r="AK1321" t="s">
        <v>49</v>
      </c>
    </row>
    <row r="1322" spans="1:45" x14ac:dyDescent="0.2">
      <c r="A1322" t="s">
        <v>874</v>
      </c>
      <c r="B1322" t="s">
        <v>877</v>
      </c>
      <c r="C1322">
        <v>2019</v>
      </c>
      <c r="D1322" t="s">
        <v>44</v>
      </c>
      <c r="F1322" t="s">
        <v>53</v>
      </c>
      <c r="G1322" t="s">
        <v>86</v>
      </c>
      <c r="H1322" t="s">
        <v>350</v>
      </c>
      <c r="I1322" t="s">
        <v>106</v>
      </c>
      <c r="J1322">
        <v>1.17</v>
      </c>
      <c r="K1322" t="s">
        <v>42</v>
      </c>
      <c r="L1322">
        <v>9</v>
      </c>
      <c r="M1322">
        <f t="shared" si="35"/>
        <v>4.0000000000000008E-2</v>
      </c>
      <c r="N1322" t="s">
        <v>120</v>
      </c>
      <c r="O1322" t="s">
        <v>120</v>
      </c>
      <c r="P1322" t="s">
        <v>878</v>
      </c>
      <c r="Q1322" s="1" t="s">
        <v>2276</v>
      </c>
      <c r="R1322" s="1" t="s">
        <v>669</v>
      </c>
      <c r="S1322" s="1" t="s">
        <v>168</v>
      </c>
      <c r="X1322" t="s">
        <v>211</v>
      </c>
      <c r="Y1322" t="s">
        <v>2279</v>
      </c>
      <c r="Z1322" t="s">
        <v>2280</v>
      </c>
      <c r="AA1322" t="s">
        <v>2358</v>
      </c>
      <c r="AB1322" t="s">
        <v>2290</v>
      </c>
      <c r="AC1322" t="s">
        <v>152</v>
      </c>
      <c r="AD1322" t="s">
        <v>2278</v>
      </c>
      <c r="AF1322" t="s">
        <v>49</v>
      </c>
      <c r="AK1322" t="s">
        <v>49</v>
      </c>
    </row>
    <row r="1323" spans="1:45" x14ac:dyDescent="0.2">
      <c r="A1323" t="s">
        <v>874</v>
      </c>
      <c r="B1323" t="s">
        <v>877</v>
      </c>
      <c r="C1323">
        <v>2019</v>
      </c>
      <c r="D1323" t="s">
        <v>44</v>
      </c>
      <c r="F1323" t="s">
        <v>53</v>
      </c>
      <c r="G1323" t="s">
        <v>86</v>
      </c>
      <c r="H1323" t="s">
        <v>350</v>
      </c>
      <c r="I1323" t="s">
        <v>106</v>
      </c>
      <c r="J1323">
        <v>1.17</v>
      </c>
      <c r="K1323" t="s">
        <v>42</v>
      </c>
      <c r="L1323">
        <v>9</v>
      </c>
      <c r="M1323">
        <f t="shared" si="35"/>
        <v>4.0000000000000008E-2</v>
      </c>
      <c r="N1323" t="s">
        <v>120</v>
      </c>
      <c r="O1323" t="s">
        <v>120</v>
      </c>
      <c r="P1323" t="s">
        <v>832</v>
      </c>
      <c r="Q1323" s="1" t="s">
        <v>2276</v>
      </c>
      <c r="R1323" s="1" t="s">
        <v>669</v>
      </c>
      <c r="S1323" s="1" t="s">
        <v>168</v>
      </c>
      <c r="X1323" t="s">
        <v>189</v>
      </c>
      <c r="Y1323" t="s">
        <v>2279</v>
      </c>
      <c r="Z1323" t="s">
        <v>2280</v>
      </c>
      <c r="AA1323" t="s">
        <v>2358</v>
      </c>
      <c r="AB1323" t="s">
        <v>189</v>
      </c>
      <c r="AC1323" t="s">
        <v>152</v>
      </c>
      <c r="AD1323" t="s">
        <v>2278</v>
      </c>
      <c r="AF1323" t="s">
        <v>49</v>
      </c>
      <c r="AK1323" t="s">
        <v>49</v>
      </c>
    </row>
    <row r="1324" spans="1:45" x14ac:dyDescent="0.2">
      <c r="A1324" t="s">
        <v>874</v>
      </c>
      <c r="B1324" t="s">
        <v>877</v>
      </c>
      <c r="C1324">
        <v>2019</v>
      </c>
      <c r="D1324" t="s">
        <v>44</v>
      </c>
      <c r="F1324" t="s">
        <v>53</v>
      </c>
      <c r="G1324" t="s">
        <v>86</v>
      </c>
      <c r="H1324" t="s">
        <v>350</v>
      </c>
      <c r="I1324" t="s">
        <v>106</v>
      </c>
      <c r="J1324">
        <v>1.17</v>
      </c>
      <c r="K1324" t="s">
        <v>42</v>
      </c>
      <c r="L1324">
        <v>9</v>
      </c>
      <c r="M1324">
        <f t="shared" si="35"/>
        <v>4.0000000000000008E-2</v>
      </c>
      <c r="N1324" t="s">
        <v>120</v>
      </c>
      <c r="O1324" t="s">
        <v>120</v>
      </c>
      <c r="P1324" t="s">
        <v>832</v>
      </c>
      <c r="Q1324" s="1" t="s">
        <v>2276</v>
      </c>
      <c r="R1324" s="1" t="s">
        <v>669</v>
      </c>
      <c r="S1324" s="1" t="s">
        <v>168</v>
      </c>
      <c r="X1324" t="s">
        <v>293</v>
      </c>
      <c r="Y1324" t="s">
        <v>2273</v>
      </c>
      <c r="Z1324" t="s">
        <v>249</v>
      </c>
      <c r="AA1324" t="s">
        <v>2359</v>
      </c>
      <c r="AB1324" t="s">
        <v>1419</v>
      </c>
      <c r="AC1324" t="s">
        <v>152</v>
      </c>
      <c r="AD1324" t="s">
        <v>137</v>
      </c>
      <c r="AF1324" t="s">
        <v>49</v>
      </c>
      <c r="AK1324" t="s">
        <v>49</v>
      </c>
    </row>
    <row r="1325" spans="1:45" x14ac:dyDescent="0.2">
      <c r="A1325" t="s">
        <v>874</v>
      </c>
      <c r="B1325" t="s">
        <v>877</v>
      </c>
      <c r="C1325">
        <v>2019</v>
      </c>
      <c r="D1325" t="s">
        <v>44</v>
      </c>
      <c r="F1325" t="s">
        <v>53</v>
      </c>
      <c r="G1325" t="s">
        <v>86</v>
      </c>
      <c r="H1325" t="s">
        <v>350</v>
      </c>
      <c r="I1325" t="s">
        <v>106</v>
      </c>
      <c r="J1325">
        <v>1.17</v>
      </c>
      <c r="K1325" t="s">
        <v>42</v>
      </c>
      <c r="L1325">
        <v>9</v>
      </c>
      <c r="M1325">
        <f t="shared" si="35"/>
        <v>4.0000000000000008E-2</v>
      </c>
      <c r="N1325" t="s">
        <v>120</v>
      </c>
      <c r="O1325" t="s">
        <v>120</v>
      </c>
      <c r="P1325" t="s">
        <v>832</v>
      </c>
      <c r="Q1325" s="1" t="s">
        <v>2276</v>
      </c>
      <c r="R1325" s="1" t="s">
        <v>669</v>
      </c>
      <c r="S1325" s="1" t="s">
        <v>168</v>
      </c>
      <c r="X1325" t="s">
        <v>171</v>
      </c>
      <c r="Y1325" t="s">
        <v>2273</v>
      </c>
      <c r="Z1325" t="s">
        <v>249</v>
      </c>
      <c r="AA1325" t="s">
        <v>2359</v>
      </c>
      <c r="AB1325" t="s">
        <v>1979</v>
      </c>
      <c r="AC1325" t="s">
        <v>152</v>
      </c>
      <c r="AD1325" t="s">
        <v>137</v>
      </c>
      <c r="AF1325" t="s">
        <v>49</v>
      </c>
      <c r="AK1325" t="s">
        <v>49</v>
      </c>
    </row>
    <row r="1326" spans="1:45" x14ac:dyDescent="0.2">
      <c r="A1326" t="s">
        <v>874</v>
      </c>
      <c r="B1326" t="s">
        <v>877</v>
      </c>
      <c r="C1326">
        <v>2019</v>
      </c>
      <c r="D1326" t="s">
        <v>44</v>
      </c>
      <c r="F1326" t="s">
        <v>53</v>
      </c>
      <c r="G1326" t="s">
        <v>86</v>
      </c>
      <c r="H1326" t="s">
        <v>350</v>
      </c>
      <c r="I1326" t="s">
        <v>106</v>
      </c>
      <c r="J1326">
        <v>1.17</v>
      </c>
      <c r="K1326" t="s">
        <v>42</v>
      </c>
      <c r="L1326">
        <v>9</v>
      </c>
      <c r="M1326">
        <f t="shared" si="35"/>
        <v>4.0000000000000008E-2</v>
      </c>
      <c r="N1326" t="s">
        <v>120</v>
      </c>
      <c r="O1326" t="s">
        <v>120</v>
      </c>
      <c r="P1326" t="s">
        <v>832</v>
      </c>
      <c r="Q1326" s="1" t="s">
        <v>2276</v>
      </c>
      <c r="R1326" s="1" t="s">
        <v>669</v>
      </c>
      <c r="S1326" s="1" t="s">
        <v>168</v>
      </c>
      <c r="X1326" t="s">
        <v>211</v>
      </c>
      <c r="Y1326" t="s">
        <v>2279</v>
      </c>
      <c r="Z1326" t="s">
        <v>2280</v>
      </c>
      <c r="AA1326" t="s">
        <v>2358</v>
      </c>
      <c r="AB1326" t="s">
        <v>2290</v>
      </c>
      <c r="AC1326" t="s">
        <v>152</v>
      </c>
      <c r="AD1326" t="s">
        <v>2278</v>
      </c>
      <c r="AF1326" t="s">
        <v>49</v>
      </c>
      <c r="AK1326" t="s">
        <v>49</v>
      </c>
    </row>
    <row r="1327" spans="1:45" x14ac:dyDescent="0.2">
      <c r="A1327" t="s">
        <v>874</v>
      </c>
      <c r="B1327" t="s">
        <v>877</v>
      </c>
      <c r="C1327">
        <v>2019</v>
      </c>
      <c r="D1327" t="s">
        <v>44</v>
      </c>
      <c r="F1327" t="s">
        <v>53</v>
      </c>
      <c r="G1327" t="s">
        <v>86</v>
      </c>
      <c r="H1327" t="s">
        <v>350</v>
      </c>
      <c r="I1327" t="s">
        <v>106</v>
      </c>
      <c r="J1327">
        <v>1.17</v>
      </c>
      <c r="K1327" t="s">
        <v>42</v>
      </c>
      <c r="L1327">
        <v>9</v>
      </c>
      <c r="M1327">
        <f t="shared" si="35"/>
        <v>4.0000000000000008E-2</v>
      </c>
      <c r="N1327" t="s">
        <v>120</v>
      </c>
      <c r="O1327" t="s">
        <v>120</v>
      </c>
      <c r="P1327" t="s">
        <v>879</v>
      </c>
      <c r="Q1327" s="1" t="s">
        <v>2276</v>
      </c>
      <c r="R1327" s="1" t="s">
        <v>669</v>
      </c>
      <c r="S1327" s="1" t="s">
        <v>168</v>
      </c>
      <c r="X1327" t="s">
        <v>189</v>
      </c>
      <c r="Y1327" t="s">
        <v>2279</v>
      </c>
      <c r="Z1327" t="s">
        <v>2280</v>
      </c>
      <c r="AA1327" t="s">
        <v>2358</v>
      </c>
      <c r="AB1327" t="s">
        <v>189</v>
      </c>
      <c r="AC1327" t="s">
        <v>152</v>
      </c>
      <c r="AD1327" t="s">
        <v>2278</v>
      </c>
      <c r="AF1327" t="s">
        <v>49</v>
      </c>
      <c r="AK1327" t="s">
        <v>49</v>
      </c>
    </row>
    <row r="1328" spans="1:45" x14ac:dyDescent="0.2">
      <c r="A1328" t="s">
        <v>874</v>
      </c>
      <c r="B1328" t="s">
        <v>877</v>
      </c>
      <c r="C1328">
        <v>2019</v>
      </c>
      <c r="D1328" t="s">
        <v>44</v>
      </c>
      <c r="F1328" t="s">
        <v>53</v>
      </c>
      <c r="G1328" t="s">
        <v>86</v>
      </c>
      <c r="H1328" t="s">
        <v>350</v>
      </c>
      <c r="I1328" t="s">
        <v>106</v>
      </c>
      <c r="J1328">
        <v>1.17</v>
      </c>
      <c r="K1328" t="s">
        <v>42</v>
      </c>
      <c r="L1328">
        <v>9</v>
      </c>
      <c r="M1328">
        <f t="shared" si="35"/>
        <v>4.0000000000000008E-2</v>
      </c>
      <c r="N1328" t="s">
        <v>120</v>
      </c>
      <c r="O1328" t="s">
        <v>120</v>
      </c>
      <c r="P1328" t="s">
        <v>879</v>
      </c>
      <c r="Q1328" s="1" t="s">
        <v>2276</v>
      </c>
      <c r="R1328" s="1" t="s">
        <v>669</v>
      </c>
      <c r="S1328" s="1" t="s">
        <v>168</v>
      </c>
      <c r="X1328" t="s">
        <v>293</v>
      </c>
      <c r="Y1328" t="s">
        <v>2273</v>
      </c>
      <c r="Z1328" t="s">
        <v>249</v>
      </c>
      <c r="AA1328" t="s">
        <v>2359</v>
      </c>
      <c r="AB1328" t="s">
        <v>1419</v>
      </c>
      <c r="AC1328" t="s">
        <v>152</v>
      </c>
      <c r="AD1328" t="s">
        <v>137</v>
      </c>
      <c r="AF1328" t="s">
        <v>49</v>
      </c>
      <c r="AK1328" t="s">
        <v>49</v>
      </c>
    </row>
    <row r="1329" spans="1:43" x14ac:dyDescent="0.2">
      <c r="A1329" t="s">
        <v>874</v>
      </c>
      <c r="B1329" t="s">
        <v>877</v>
      </c>
      <c r="C1329">
        <v>2019</v>
      </c>
      <c r="D1329" t="s">
        <v>44</v>
      </c>
      <c r="F1329" t="s">
        <v>53</v>
      </c>
      <c r="G1329" t="s">
        <v>86</v>
      </c>
      <c r="H1329" t="s">
        <v>350</v>
      </c>
      <c r="I1329" t="s">
        <v>106</v>
      </c>
      <c r="J1329">
        <v>1.17</v>
      </c>
      <c r="K1329" t="s">
        <v>42</v>
      </c>
      <c r="L1329">
        <v>9</v>
      </c>
      <c r="M1329">
        <f t="shared" si="35"/>
        <v>4.0000000000000008E-2</v>
      </c>
      <c r="N1329" t="s">
        <v>120</v>
      </c>
      <c r="O1329" t="s">
        <v>120</v>
      </c>
      <c r="P1329" t="s">
        <v>879</v>
      </c>
      <c r="Q1329" s="1" t="s">
        <v>2276</v>
      </c>
      <c r="R1329" s="1" t="s">
        <v>669</v>
      </c>
      <c r="S1329" s="1" t="s">
        <v>168</v>
      </c>
      <c r="X1329" t="s">
        <v>171</v>
      </c>
      <c r="Y1329" t="s">
        <v>2273</v>
      </c>
      <c r="Z1329" t="s">
        <v>249</v>
      </c>
      <c r="AA1329" t="s">
        <v>2359</v>
      </c>
      <c r="AB1329" t="s">
        <v>1979</v>
      </c>
      <c r="AC1329" t="s">
        <v>152</v>
      </c>
      <c r="AD1329" t="s">
        <v>137</v>
      </c>
      <c r="AF1329" t="s">
        <v>49</v>
      </c>
      <c r="AK1329" t="s">
        <v>49</v>
      </c>
    </row>
    <row r="1330" spans="1:43" x14ac:dyDescent="0.2">
      <c r="A1330" t="s">
        <v>874</v>
      </c>
      <c r="B1330" t="s">
        <v>877</v>
      </c>
      <c r="C1330">
        <v>2019</v>
      </c>
      <c r="D1330" t="s">
        <v>44</v>
      </c>
      <c r="F1330" t="s">
        <v>53</v>
      </c>
      <c r="G1330" t="s">
        <v>86</v>
      </c>
      <c r="H1330" t="s">
        <v>350</v>
      </c>
      <c r="I1330" t="s">
        <v>106</v>
      </c>
      <c r="J1330">
        <v>1.17</v>
      </c>
      <c r="K1330" t="s">
        <v>42</v>
      </c>
      <c r="L1330">
        <v>9</v>
      </c>
      <c r="M1330">
        <f t="shared" si="35"/>
        <v>4.0000000000000008E-2</v>
      </c>
      <c r="N1330" t="s">
        <v>120</v>
      </c>
      <c r="O1330" t="s">
        <v>120</v>
      </c>
      <c r="P1330" t="s">
        <v>879</v>
      </c>
      <c r="Q1330" s="1" t="s">
        <v>2276</v>
      </c>
      <c r="R1330" s="1" t="s">
        <v>669</v>
      </c>
      <c r="S1330" s="1" t="s">
        <v>168</v>
      </c>
      <c r="X1330" t="s">
        <v>211</v>
      </c>
      <c r="Y1330" t="s">
        <v>2279</v>
      </c>
      <c r="Z1330" t="s">
        <v>2280</v>
      </c>
      <c r="AA1330" t="s">
        <v>2358</v>
      </c>
      <c r="AB1330" t="s">
        <v>2290</v>
      </c>
      <c r="AC1330" t="s">
        <v>152</v>
      </c>
      <c r="AD1330" t="s">
        <v>2278</v>
      </c>
      <c r="AF1330" t="s">
        <v>49</v>
      </c>
      <c r="AK1330" t="s">
        <v>49</v>
      </c>
    </row>
    <row r="1331" spans="1:43" x14ac:dyDescent="0.2">
      <c r="A1331" t="s">
        <v>874</v>
      </c>
      <c r="B1331" t="s">
        <v>877</v>
      </c>
      <c r="C1331">
        <v>2019</v>
      </c>
      <c r="D1331" t="s">
        <v>44</v>
      </c>
      <c r="F1331" t="s">
        <v>53</v>
      </c>
      <c r="G1331" t="s">
        <v>86</v>
      </c>
      <c r="H1331" t="s">
        <v>350</v>
      </c>
      <c r="I1331" t="s">
        <v>106</v>
      </c>
      <c r="J1331">
        <v>1.17</v>
      </c>
      <c r="K1331" t="s">
        <v>42</v>
      </c>
      <c r="L1331">
        <v>9</v>
      </c>
      <c r="M1331">
        <f t="shared" si="35"/>
        <v>4.0000000000000008E-2</v>
      </c>
      <c r="N1331" t="s">
        <v>120</v>
      </c>
      <c r="O1331" t="s">
        <v>120</v>
      </c>
      <c r="P1331" t="s">
        <v>879</v>
      </c>
      <c r="Q1331" s="1" t="s">
        <v>2276</v>
      </c>
      <c r="R1331" s="1" t="s">
        <v>669</v>
      </c>
      <c r="S1331" s="1" t="s">
        <v>168</v>
      </c>
      <c r="T1331" t="s">
        <v>396</v>
      </c>
      <c r="U1331" s="1" t="s">
        <v>2364</v>
      </c>
      <c r="X1331" t="s">
        <v>161</v>
      </c>
      <c r="Y1331" t="s">
        <v>2272</v>
      </c>
      <c r="Z1331" t="s">
        <v>2272</v>
      </c>
      <c r="AA1331" t="s">
        <v>2272</v>
      </c>
      <c r="AB1331" t="s">
        <v>2272</v>
      </c>
      <c r="AC1331" t="s">
        <v>162</v>
      </c>
      <c r="AD1331" t="s">
        <v>2272</v>
      </c>
      <c r="AF1331" t="s">
        <v>49</v>
      </c>
      <c r="AK1331" t="s">
        <v>49</v>
      </c>
      <c r="AM1331" t="s">
        <v>295</v>
      </c>
      <c r="AN1331" t="s">
        <v>165</v>
      </c>
      <c r="AP1331" t="s">
        <v>49</v>
      </c>
    </row>
    <row r="1332" spans="1:43" x14ac:dyDescent="0.2">
      <c r="A1332" t="s">
        <v>874</v>
      </c>
      <c r="B1332" t="s">
        <v>877</v>
      </c>
      <c r="C1332">
        <v>2019</v>
      </c>
      <c r="D1332" t="s">
        <v>44</v>
      </c>
      <c r="F1332" t="s">
        <v>53</v>
      </c>
      <c r="G1332" t="s">
        <v>86</v>
      </c>
      <c r="H1332" t="s">
        <v>350</v>
      </c>
      <c r="I1332" t="s">
        <v>106</v>
      </c>
      <c r="J1332">
        <v>1.17</v>
      </c>
      <c r="K1332" t="s">
        <v>42</v>
      </c>
      <c r="L1332">
        <v>9</v>
      </c>
      <c r="M1332">
        <f t="shared" si="35"/>
        <v>4.0000000000000008E-2</v>
      </c>
      <c r="N1332" t="s">
        <v>120</v>
      </c>
      <c r="O1332" t="s">
        <v>120</v>
      </c>
      <c r="P1332" t="s">
        <v>832</v>
      </c>
      <c r="Q1332" s="1" t="s">
        <v>2276</v>
      </c>
      <c r="R1332" s="1" t="s">
        <v>669</v>
      </c>
      <c r="S1332" s="1" t="s">
        <v>168</v>
      </c>
      <c r="T1332" t="s">
        <v>396</v>
      </c>
      <c r="U1332" s="1" t="s">
        <v>2364</v>
      </c>
      <c r="X1332" t="s">
        <v>161</v>
      </c>
      <c r="Y1332" t="s">
        <v>2272</v>
      </c>
      <c r="Z1332" t="s">
        <v>2272</v>
      </c>
      <c r="AA1332" t="s">
        <v>2272</v>
      </c>
      <c r="AB1332" t="s">
        <v>2272</v>
      </c>
      <c r="AC1332" t="s">
        <v>162</v>
      </c>
      <c r="AD1332" t="s">
        <v>2272</v>
      </c>
      <c r="AF1332" t="s">
        <v>49</v>
      </c>
      <c r="AK1332" t="s">
        <v>49</v>
      </c>
      <c r="AM1332" t="s">
        <v>295</v>
      </c>
      <c r="AN1332" t="s">
        <v>165</v>
      </c>
      <c r="AP1332" t="s">
        <v>49</v>
      </c>
    </row>
    <row r="1333" spans="1:43" x14ac:dyDescent="0.2">
      <c r="A1333" t="s">
        <v>874</v>
      </c>
      <c r="B1333" t="s">
        <v>877</v>
      </c>
      <c r="C1333">
        <v>2019</v>
      </c>
      <c r="D1333" t="s">
        <v>44</v>
      </c>
      <c r="F1333" t="s">
        <v>53</v>
      </c>
      <c r="G1333" t="s">
        <v>86</v>
      </c>
      <c r="H1333" t="s">
        <v>350</v>
      </c>
      <c r="I1333" t="s">
        <v>106</v>
      </c>
      <c r="J1333">
        <v>1.17</v>
      </c>
      <c r="K1333" t="s">
        <v>42</v>
      </c>
      <c r="L1333">
        <v>9</v>
      </c>
      <c r="M1333">
        <f t="shared" si="35"/>
        <v>4.0000000000000008E-2</v>
      </c>
      <c r="N1333" t="s">
        <v>120</v>
      </c>
      <c r="O1333" t="s">
        <v>120</v>
      </c>
      <c r="P1333" t="s">
        <v>878</v>
      </c>
      <c r="Q1333" s="1" t="s">
        <v>2276</v>
      </c>
      <c r="R1333" s="1" t="s">
        <v>669</v>
      </c>
      <c r="S1333" s="1" t="s">
        <v>168</v>
      </c>
      <c r="T1333" t="s">
        <v>396</v>
      </c>
      <c r="U1333" s="1" t="s">
        <v>2364</v>
      </c>
      <c r="X1333" t="s">
        <v>161</v>
      </c>
      <c r="Y1333" t="s">
        <v>2272</v>
      </c>
      <c r="Z1333" t="s">
        <v>2272</v>
      </c>
      <c r="AA1333" t="s">
        <v>2272</v>
      </c>
      <c r="AB1333" t="s">
        <v>2272</v>
      </c>
      <c r="AC1333" t="s">
        <v>162</v>
      </c>
      <c r="AD1333" t="s">
        <v>2272</v>
      </c>
      <c r="AF1333" t="s">
        <v>49</v>
      </c>
      <c r="AK1333" t="s">
        <v>49</v>
      </c>
      <c r="AM1333" t="s">
        <v>295</v>
      </c>
      <c r="AN1333" t="s">
        <v>165</v>
      </c>
      <c r="AP1333" t="s">
        <v>49</v>
      </c>
    </row>
    <row r="1334" spans="1:43" x14ac:dyDescent="0.2">
      <c r="A1334" t="s">
        <v>874</v>
      </c>
      <c r="B1334" t="s">
        <v>877</v>
      </c>
      <c r="C1334">
        <v>2019</v>
      </c>
      <c r="D1334" t="s">
        <v>44</v>
      </c>
      <c r="F1334" t="s">
        <v>53</v>
      </c>
      <c r="G1334" t="s">
        <v>86</v>
      </c>
      <c r="H1334" t="s">
        <v>350</v>
      </c>
      <c r="I1334" t="s">
        <v>106</v>
      </c>
      <c r="J1334">
        <v>1.17</v>
      </c>
      <c r="K1334" t="s">
        <v>42</v>
      </c>
      <c r="L1334">
        <v>9</v>
      </c>
      <c r="M1334">
        <f t="shared" si="35"/>
        <v>4.0000000000000008E-2</v>
      </c>
      <c r="N1334" t="s">
        <v>120</v>
      </c>
      <c r="O1334" t="s">
        <v>120</v>
      </c>
      <c r="P1334" t="s">
        <v>879</v>
      </c>
      <c r="Q1334" s="1" t="s">
        <v>2276</v>
      </c>
      <c r="R1334" s="1" t="s">
        <v>669</v>
      </c>
      <c r="S1334" s="1" t="s">
        <v>168</v>
      </c>
      <c r="T1334" t="s">
        <v>396</v>
      </c>
      <c r="U1334" s="1" t="s">
        <v>2364</v>
      </c>
      <c r="X1334" t="s">
        <v>161</v>
      </c>
      <c r="Y1334" t="s">
        <v>2272</v>
      </c>
      <c r="Z1334" t="s">
        <v>2272</v>
      </c>
      <c r="AA1334" t="s">
        <v>2272</v>
      </c>
      <c r="AB1334" t="s">
        <v>2272</v>
      </c>
      <c r="AC1334" t="s">
        <v>162</v>
      </c>
      <c r="AD1334" t="s">
        <v>2272</v>
      </c>
      <c r="AF1334" t="s">
        <v>49</v>
      </c>
      <c r="AK1334" t="s">
        <v>49</v>
      </c>
      <c r="AM1334" t="s">
        <v>295</v>
      </c>
      <c r="AN1334" t="s">
        <v>154</v>
      </c>
      <c r="AQ1334" s="5">
        <v>1</v>
      </c>
    </row>
    <row r="1335" spans="1:43" x14ac:dyDescent="0.2">
      <c r="A1335" t="s">
        <v>874</v>
      </c>
      <c r="B1335" t="s">
        <v>877</v>
      </c>
      <c r="C1335">
        <v>2019</v>
      </c>
      <c r="D1335" t="s">
        <v>44</v>
      </c>
      <c r="F1335" t="s">
        <v>53</v>
      </c>
      <c r="G1335" t="s">
        <v>86</v>
      </c>
      <c r="H1335" t="s">
        <v>350</v>
      </c>
      <c r="I1335" t="s">
        <v>106</v>
      </c>
      <c r="J1335">
        <v>1.17</v>
      </c>
      <c r="K1335" t="s">
        <v>42</v>
      </c>
      <c r="L1335">
        <v>9</v>
      </c>
      <c r="M1335">
        <f t="shared" si="35"/>
        <v>4.0000000000000008E-2</v>
      </c>
      <c r="N1335" t="s">
        <v>120</v>
      </c>
      <c r="O1335" t="s">
        <v>120</v>
      </c>
      <c r="P1335" t="s">
        <v>832</v>
      </c>
      <c r="Q1335" s="1" t="s">
        <v>2276</v>
      </c>
      <c r="R1335" s="1" t="s">
        <v>669</v>
      </c>
      <c r="S1335" s="1" t="s">
        <v>168</v>
      </c>
      <c r="T1335" t="s">
        <v>396</v>
      </c>
      <c r="U1335" s="1" t="s">
        <v>2364</v>
      </c>
      <c r="X1335" t="s">
        <v>161</v>
      </c>
      <c r="Y1335" t="s">
        <v>2272</v>
      </c>
      <c r="Z1335" t="s">
        <v>2272</v>
      </c>
      <c r="AA1335" t="s">
        <v>2272</v>
      </c>
      <c r="AB1335" t="s">
        <v>2272</v>
      </c>
      <c r="AC1335" t="s">
        <v>162</v>
      </c>
      <c r="AD1335" t="s">
        <v>2272</v>
      </c>
      <c r="AF1335" t="s">
        <v>49</v>
      </c>
      <c r="AK1335" t="s">
        <v>49</v>
      </c>
      <c r="AM1335" t="s">
        <v>295</v>
      </c>
      <c r="AN1335" t="s">
        <v>154</v>
      </c>
      <c r="AQ1335" s="5">
        <v>2</v>
      </c>
    </row>
    <row r="1336" spans="1:43" x14ac:dyDescent="0.2">
      <c r="A1336" t="s">
        <v>874</v>
      </c>
      <c r="B1336" t="s">
        <v>877</v>
      </c>
      <c r="C1336">
        <v>2019</v>
      </c>
      <c r="D1336" t="s">
        <v>44</v>
      </c>
      <c r="F1336" t="s">
        <v>53</v>
      </c>
      <c r="G1336" t="s">
        <v>86</v>
      </c>
      <c r="H1336" t="s">
        <v>350</v>
      </c>
      <c r="I1336" t="s">
        <v>106</v>
      </c>
      <c r="J1336">
        <v>1.17</v>
      </c>
      <c r="K1336" t="s">
        <v>42</v>
      </c>
      <c r="L1336">
        <v>9</v>
      </c>
      <c r="M1336">
        <f t="shared" si="35"/>
        <v>4.0000000000000008E-2</v>
      </c>
      <c r="N1336" t="s">
        <v>120</v>
      </c>
      <c r="O1336" t="s">
        <v>120</v>
      </c>
      <c r="P1336" t="s">
        <v>878</v>
      </c>
      <c r="Q1336" s="1" t="s">
        <v>2276</v>
      </c>
      <c r="R1336" s="1" t="s">
        <v>669</v>
      </c>
      <c r="S1336" s="1" t="s">
        <v>168</v>
      </c>
      <c r="T1336" t="s">
        <v>396</v>
      </c>
      <c r="U1336" s="1" t="s">
        <v>2364</v>
      </c>
      <c r="X1336" t="s">
        <v>161</v>
      </c>
      <c r="Y1336" t="s">
        <v>2272</v>
      </c>
      <c r="Z1336" t="s">
        <v>2272</v>
      </c>
      <c r="AA1336" t="s">
        <v>2272</v>
      </c>
      <c r="AB1336" t="s">
        <v>2272</v>
      </c>
      <c r="AC1336" t="s">
        <v>162</v>
      </c>
      <c r="AD1336" t="s">
        <v>2272</v>
      </c>
      <c r="AF1336" t="s">
        <v>49</v>
      </c>
      <c r="AK1336" t="s">
        <v>49</v>
      </c>
      <c r="AM1336" t="s">
        <v>295</v>
      </c>
      <c r="AN1336" t="s">
        <v>154</v>
      </c>
      <c r="AQ1336" s="5">
        <v>1</v>
      </c>
    </row>
    <row r="1337" spans="1:43" x14ac:dyDescent="0.2">
      <c r="A1337" t="s">
        <v>880</v>
      </c>
      <c r="B1337" t="s">
        <v>881</v>
      </c>
      <c r="C1337">
        <v>2019</v>
      </c>
      <c r="D1337" t="s">
        <v>44</v>
      </c>
      <c r="E1337" t="s">
        <v>49</v>
      </c>
      <c r="F1337" t="s">
        <v>893</v>
      </c>
      <c r="G1337" t="s">
        <v>516</v>
      </c>
      <c r="H1337" t="s">
        <v>350</v>
      </c>
      <c r="I1337" t="s">
        <v>106</v>
      </c>
      <c r="J1337">
        <v>1.17</v>
      </c>
      <c r="K1337" t="s">
        <v>109</v>
      </c>
      <c r="M1337">
        <v>0.25</v>
      </c>
      <c r="N1337" t="s">
        <v>128</v>
      </c>
      <c r="O1337" t="s">
        <v>883</v>
      </c>
      <c r="P1337" t="s">
        <v>882</v>
      </c>
      <c r="Q1337" s="1" t="s">
        <v>2276</v>
      </c>
      <c r="R1337" s="1" t="s">
        <v>751</v>
      </c>
      <c r="S1337" s="1" t="s">
        <v>2353</v>
      </c>
      <c r="X1337" t="s">
        <v>189</v>
      </c>
      <c r="Y1337" t="s">
        <v>2279</v>
      </c>
      <c r="Z1337" t="s">
        <v>2280</v>
      </c>
      <c r="AA1337" t="s">
        <v>2358</v>
      </c>
      <c r="AB1337" t="s">
        <v>189</v>
      </c>
      <c r="AC1337" t="s">
        <v>152</v>
      </c>
      <c r="AD1337" t="s">
        <v>2278</v>
      </c>
      <c r="AF1337" t="s">
        <v>49</v>
      </c>
    </row>
    <row r="1338" spans="1:43" x14ac:dyDescent="0.2">
      <c r="A1338" t="s">
        <v>880</v>
      </c>
      <c r="B1338" t="s">
        <v>881</v>
      </c>
      <c r="C1338">
        <v>2019</v>
      </c>
      <c r="D1338" t="s">
        <v>44</v>
      </c>
      <c r="E1338" t="s">
        <v>49</v>
      </c>
      <c r="F1338" t="s">
        <v>893</v>
      </c>
      <c r="G1338" t="s">
        <v>516</v>
      </c>
      <c r="H1338" t="s">
        <v>350</v>
      </c>
      <c r="I1338" t="s">
        <v>106</v>
      </c>
      <c r="J1338">
        <v>1.17</v>
      </c>
      <c r="K1338" t="s">
        <v>109</v>
      </c>
      <c r="M1338">
        <v>0.25</v>
      </c>
      <c r="N1338" t="s">
        <v>128</v>
      </c>
      <c r="O1338" t="s">
        <v>883</v>
      </c>
      <c r="P1338" t="s">
        <v>882</v>
      </c>
      <c r="Q1338" s="1" t="s">
        <v>2276</v>
      </c>
      <c r="R1338" s="1" t="s">
        <v>751</v>
      </c>
      <c r="S1338" s="1" t="s">
        <v>2353</v>
      </c>
      <c r="X1338" t="s">
        <v>642</v>
      </c>
      <c r="Y1338" t="s">
        <v>2279</v>
      </c>
      <c r="Z1338" t="s">
        <v>2280</v>
      </c>
      <c r="AA1338" t="s">
        <v>2358</v>
      </c>
      <c r="AB1338" t="s">
        <v>2580</v>
      </c>
      <c r="AC1338" t="s">
        <v>152</v>
      </c>
      <c r="AD1338" t="s">
        <v>2278</v>
      </c>
      <c r="AF1338" t="s">
        <v>49</v>
      </c>
    </row>
    <row r="1339" spans="1:43" x14ac:dyDescent="0.2">
      <c r="A1339" t="s">
        <v>880</v>
      </c>
      <c r="B1339" t="s">
        <v>881</v>
      </c>
      <c r="C1339">
        <v>2019</v>
      </c>
      <c r="D1339" t="s">
        <v>44</v>
      </c>
      <c r="E1339" t="s">
        <v>49</v>
      </c>
      <c r="F1339" t="s">
        <v>893</v>
      </c>
      <c r="G1339" t="s">
        <v>516</v>
      </c>
      <c r="H1339" t="s">
        <v>350</v>
      </c>
      <c r="I1339" t="s">
        <v>106</v>
      </c>
      <c r="J1339">
        <v>1.17</v>
      </c>
      <c r="K1339" t="s">
        <v>109</v>
      </c>
      <c r="M1339">
        <v>0.25</v>
      </c>
      <c r="N1339" t="s">
        <v>128</v>
      </c>
      <c r="O1339" t="s">
        <v>883</v>
      </c>
      <c r="P1339" t="s">
        <v>882</v>
      </c>
      <c r="Q1339" s="1" t="s">
        <v>2276</v>
      </c>
      <c r="R1339" s="1" t="s">
        <v>751</v>
      </c>
      <c r="S1339" s="1" t="s">
        <v>2353</v>
      </c>
      <c r="X1339" t="s">
        <v>884</v>
      </c>
      <c r="Y1339" t="s">
        <v>2273</v>
      </c>
      <c r="Z1339" t="s">
        <v>2356</v>
      </c>
      <c r="AA1339" t="s">
        <v>2357</v>
      </c>
      <c r="AB1339" t="s">
        <v>2277</v>
      </c>
      <c r="AC1339" t="s">
        <v>162</v>
      </c>
      <c r="AD1339" t="s">
        <v>2288</v>
      </c>
      <c r="AF1339" t="s">
        <v>49</v>
      </c>
      <c r="AJ1339" t="s">
        <v>49</v>
      </c>
      <c r="AM1339" t="s">
        <v>885</v>
      </c>
      <c r="AN1339" t="s">
        <v>166</v>
      </c>
      <c r="AP1339" t="s">
        <v>49</v>
      </c>
    </row>
    <row r="1340" spans="1:43" x14ac:dyDescent="0.2">
      <c r="A1340" t="s">
        <v>880</v>
      </c>
      <c r="B1340" t="s">
        <v>881</v>
      </c>
      <c r="C1340">
        <v>2019</v>
      </c>
      <c r="D1340" t="s">
        <v>44</v>
      </c>
      <c r="E1340" t="s">
        <v>49</v>
      </c>
      <c r="F1340" t="s">
        <v>893</v>
      </c>
      <c r="G1340" t="s">
        <v>516</v>
      </c>
      <c r="H1340" t="s">
        <v>350</v>
      </c>
      <c r="I1340" t="s">
        <v>106</v>
      </c>
      <c r="J1340">
        <v>1.17</v>
      </c>
      <c r="K1340" t="s">
        <v>109</v>
      </c>
      <c r="M1340">
        <v>0.25</v>
      </c>
      <c r="N1340" t="s">
        <v>128</v>
      </c>
      <c r="O1340" t="s">
        <v>883</v>
      </c>
      <c r="P1340" t="s">
        <v>882</v>
      </c>
      <c r="Q1340" s="1" t="s">
        <v>2276</v>
      </c>
      <c r="R1340" s="1" t="s">
        <v>751</v>
      </c>
      <c r="S1340" s="1" t="s">
        <v>2353</v>
      </c>
      <c r="X1340" t="s">
        <v>884</v>
      </c>
      <c r="Y1340" t="s">
        <v>2273</v>
      </c>
      <c r="Z1340" t="s">
        <v>2356</v>
      </c>
      <c r="AA1340" t="s">
        <v>2357</v>
      </c>
      <c r="AB1340" t="s">
        <v>2277</v>
      </c>
      <c r="AC1340" t="s">
        <v>162</v>
      </c>
      <c r="AD1340" t="s">
        <v>2288</v>
      </c>
      <c r="AF1340" t="s">
        <v>49</v>
      </c>
      <c r="AJ1340" t="s">
        <v>49</v>
      </c>
      <c r="AM1340" t="s">
        <v>885</v>
      </c>
      <c r="AN1340" t="s">
        <v>165</v>
      </c>
      <c r="AP1340" t="s">
        <v>49</v>
      </c>
    </row>
    <row r="1341" spans="1:43" x14ac:dyDescent="0.2">
      <c r="A1341" t="s">
        <v>880</v>
      </c>
      <c r="B1341" t="s">
        <v>881</v>
      </c>
      <c r="C1341">
        <v>2019</v>
      </c>
      <c r="D1341" t="s">
        <v>44</v>
      </c>
      <c r="E1341" t="s">
        <v>49</v>
      </c>
      <c r="F1341" t="s">
        <v>893</v>
      </c>
      <c r="G1341" t="s">
        <v>516</v>
      </c>
      <c r="H1341" t="s">
        <v>350</v>
      </c>
      <c r="I1341" t="s">
        <v>106</v>
      </c>
      <c r="J1341">
        <v>1.17</v>
      </c>
      <c r="K1341" t="s">
        <v>109</v>
      </c>
      <c r="M1341">
        <v>0.25</v>
      </c>
      <c r="N1341" t="s">
        <v>128</v>
      </c>
      <c r="O1341" t="s">
        <v>883</v>
      </c>
      <c r="P1341" t="s">
        <v>882</v>
      </c>
      <c r="Q1341" s="1" t="s">
        <v>2276</v>
      </c>
      <c r="R1341" s="1" t="s">
        <v>751</v>
      </c>
      <c r="S1341" s="1" t="s">
        <v>2353</v>
      </c>
      <c r="X1341" t="s">
        <v>884</v>
      </c>
      <c r="Y1341" t="s">
        <v>2273</v>
      </c>
      <c r="Z1341" t="s">
        <v>2356</v>
      </c>
      <c r="AA1341" t="s">
        <v>2357</v>
      </c>
      <c r="AB1341" t="s">
        <v>2277</v>
      </c>
      <c r="AC1341" t="s">
        <v>162</v>
      </c>
      <c r="AD1341" t="s">
        <v>2288</v>
      </c>
      <c r="AF1341" t="s">
        <v>49</v>
      </c>
      <c r="AJ1341" t="s">
        <v>49</v>
      </c>
      <c r="AM1341" t="s">
        <v>885</v>
      </c>
      <c r="AN1341" t="s">
        <v>109</v>
      </c>
      <c r="AO1341" t="s">
        <v>150</v>
      </c>
      <c r="AP1341" t="s">
        <v>49</v>
      </c>
    </row>
    <row r="1342" spans="1:43" x14ac:dyDescent="0.2">
      <c r="A1342" t="s">
        <v>880</v>
      </c>
      <c r="B1342" t="s">
        <v>881</v>
      </c>
      <c r="C1342">
        <v>2019</v>
      </c>
      <c r="D1342" t="s">
        <v>44</v>
      </c>
      <c r="E1342" t="s">
        <v>49</v>
      </c>
      <c r="F1342" t="s">
        <v>893</v>
      </c>
      <c r="G1342" t="s">
        <v>516</v>
      </c>
      <c r="H1342" t="s">
        <v>350</v>
      </c>
      <c r="I1342" t="s">
        <v>106</v>
      </c>
      <c r="J1342">
        <v>1.17</v>
      </c>
      <c r="K1342" t="s">
        <v>109</v>
      </c>
      <c r="M1342">
        <v>0.25</v>
      </c>
      <c r="N1342" t="s">
        <v>128</v>
      </c>
      <c r="O1342" t="s">
        <v>883</v>
      </c>
      <c r="P1342" t="s">
        <v>882</v>
      </c>
      <c r="Q1342" s="1" t="s">
        <v>2276</v>
      </c>
      <c r="R1342" s="1" t="s">
        <v>751</v>
      </c>
      <c r="S1342" s="1" t="s">
        <v>2353</v>
      </c>
      <c r="X1342" t="s">
        <v>887</v>
      </c>
      <c r="Y1342" t="s">
        <v>2273</v>
      </c>
      <c r="Z1342" t="s">
        <v>2356</v>
      </c>
      <c r="AA1342" t="s">
        <v>2357</v>
      </c>
      <c r="AB1342" t="s">
        <v>2277</v>
      </c>
      <c r="AC1342" t="s">
        <v>152</v>
      </c>
      <c r="AD1342" t="s">
        <v>2288</v>
      </c>
      <c r="AF1342" t="s">
        <v>49</v>
      </c>
      <c r="AJ1342" t="s">
        <v>49</v>
      </c>
      <c r="AM1342" t="s">
        <v>885</v>
      </c>
      <c r="AN1342" t="s">
        <v>166</v>
      </c>
      <c r="AP1342" t="s">
        <v>157</v>
      </c>
    </row>
    <row r="1343" spans="1:43" x14ac:dyDescent="0.2">
      <c r="A1343" t="s">
        <v>880</v>
      </c>
      <c r="B1343" t="s">
        <v>881</v>
      </c>
      <c r="C1343">
        <v>2019</v>
      </c>
      <c r="D1343" t="s">
        <v>44</v>
      </c>
      <c r="E1343" t="s">
        <v>49</v>
      </c>
      <c r="F1343" t="s">
        <v>893</v>
      </c>
      <c r="G1343" t="s">
        <v>516</v>
      </c>
      <c r="H1343" t="s">
        <v>350</v>
      </c>
      <c r="I1343" t="s">
        <v>106</v>
      </c>
      <c r="J1343">
        <v>1.17</v>
      </c>
      <c r="K1343" t="s">
        <v>109</v>
      </c>
      <c r="M1343">
        <v>0.25</v>
      </c>
      <c r="N1343" t="s">
        <v>128</v>
      </c>
      <c r="O1343" t="s">
        <v>883</v>
      </c>
      <c r="P1343" t="s">
        <v>882</v>
      </c>
      <c r="Q1343" s="1" t="s">
        <v>2276</v>
      </c>
      <c r="R1343" s="1" t="s">
        <v>751</v>
      </c>
      <c r="S1343" s="1" t="s">
        <v>2353</v>
      </c>
      <c r="X1343" t="s">
        <v>887</v>
      </c>
      <c r="Y1343" t="s">
        <v>2273</v>
      </c>
      <c r="Z1343" t="s">
        <v>2356</v>
      </c>
      <c r="AA1343" t="s">
        <v>2357</v>
      </c>
      <c r="AB1343" t="s">
        <v>2277</v>
      </c>
      <c r="AC1343" t="s">
        <v>152</v>
      </c>
      <c r="AD1343" t="s">
        <v>2288</v>
      </c>
      <c r="AF1343" t="s">
        <v>49</v>
      </c>
      <c r="AJ1343" t="s">
        <v>49</v>
      </c>
      <c r="AM1343" t="s">
        <v>885</v>
      </c>
      <c r="AN1343" t="s">
        <v>154</v>
      </c>
      <c r="AP1343" t="s">
        <v>157</v>
      </c>
    </row>
    <row r="1344" spans="1:43" x14ac:dyDescent="0.2">
      <c r="A1344" t="s">
        <v>880</v>
      </c>
      <c r="B1344" t="s">
        <v>881</v>
      </c>
      <c r="C1344">
        <v>2019</v>
      </c>
      <c r="D1344" t="s">
        <v>44</v>
      </c>
      <c r="E1344" t="s">
        <v>49</v>
      </c>
      <c r="F1344" t="s">
        <v>893</v>
      </c>
      <c r="G1344" t="s">
        <v>516</v>
      </c>
      <c r="H1344" t="s">
        <v>350</v>
      </c>
      <c r="I1344" t="s">
        <v>106</v>
      </c>
      <c r="J1344">
        <v>1.17</v>
      </c>
      <c r="K1344" t="s">
        <v>109</v>
      </c>
      <c r="M1344">
        <v>0.25</v>
      </c>
      <c r="N1344" t="s">
        <v>128</v>
      </c>
      <c r="O1344" t="s">
        <v>883</v>
      </c>
      <c r="P1344" t="s">
        <v>882</v>
      </c>
      <c r="Q1344" s="1" t="s">
        <v>2276</v>
      </c>
      <c r="R1344" s="1" t="s">
        <v>751</v>
      </c>
      <c r="S1344" s="1" t="s">
        <v>2353</v>
      </c>
      <c r="X1344" t="s">
        <v>887</v>
      </c>
      <c r="Y1344" t="s">
        <v>2273</v>
      </c>
      <c r="Z1344" t="s">
        <v>2356</v>
      </c>
      <c r="AA1344" t="s">
        <v>2357</v>
      </c>
      <c r="AB1344" t="s">
        <v>2277</v>
      </c>
      <c r="AC1344" t="s">
        <v>152</v>
      </c>
      <c r="AD1344" t="s">
        <v>2288</v>
      </c>
      <c r="AF1344" t="s">
        <v>49</v>
      </c>
      <c r="AJ1344" t="s">
        <v>49</v>
      </c>
      <c r="AM1344" t="s">
        <v>885</v>
      </c>
      <c r="AN1344" t="s">
        <v>165</v>
      </c>
      <c r="AP1344" t="s">
        <v>49</v>
      </c>
    </row>
    <row r="1345" spans="1:45" x14ac:dyDescent="0.2">
      <c r="A1345" t="s">
        <v>880</v>
      </c>
      <c r="B1345" t="s">
        <v>881</v>
      </c>
      <c r="C1345">
        <v>2019</v>
      </c>
      <c r="D1345" t="s">
        <v>44</v>
      </c>
      <c r="E1345" t="s">
        <v>49</v>
      </c>
      <c r="F1345" t="s">
        <v>893</v>
      </c>
      <c r="G1345" t="s">
        <v>516</v>
      </c>
      <c r="H1345" t="s">
        <v>350</v>
      </c>
      <c r="I1345" t="s">
        <v>106</v>
      </c>
      <c r="J1345">
        <v>1.17</v>
      </c>
      <c r="K1345" t="s">
        <v>109</v>
      </c>
      <c r="M1345">
        <v>0.25</v>
      </c>
      <c r="N1345" t="s">
        <v>128</v>
      </c>
      <c r="O1345" t="s">
        <v>883</v>
      </c>
      <c r="P1345" t="s">
        <v>882</v>
      </c>
      <c r="Q1345" s="1" t="s">
        <v>2276</v>
      </c>
      <c r="R1345" s="1" t="s">
        <v>751</v>
      </c>
      <c r="S1345" s="1" t="s">
        <v>2353</v>
      </c>
      <c r="X1345" t="s">
        <v>888</v>
      </c>
      <c r="Y1345" t="s">
        <v>2273</v>
      </c>
      <c r="Z1345" t="s">
        <v>2356</v>
      </c>
      <c r="AA1345" t="s">
        <v>2357</v>
      </c>
      <c r="AB1345" t="s">
        <v>2277</v>
      </c>
      <c r="AC1345" t="s">
        <v>152</v>
      </c>
      <c r="AD1345" t="s">
        <v>2288</v>
      </c>
      <c r="AF1345" t="s">
        <v>49</v>
      </c>
      <c r="AJ1345" t="s">
        <v>49</v>
      </c>
      <c r="AM1345" t="s">
        <v>885</v>
      </c>
      <c r="AN1345" t="s">
        <v>166</v>
      </c>
      <c r="AP1345" t="s">
        <v>49</v>
      </c>
    </row>
    <row r="1346" spans="1:45" x14ac:dyDescent="0.2">
      <c r="A1346" t="s">
        <v>880</v>
      </c>
      <c r="B1346" t="s">
        <v>881</v>
      </c>
      <c r="C1346">
        <v>2019</v>
      </c>
      <c r="D1346" t="s">
        <v>44</v>
      </c>
      <c r="E1346" t="s">
        <v>49</v>
      </c>
      <c r="F1346" t="s">
        <v>893</v>
      </c>
      <c r="G1346" t="s">
        <v>516</v>
      </c>
      <c r="H1346" t="s">
        <v>350</v>
      </c>
      <c r="I1346" t="s">
        <v>106</v>
      </c>
      <c r="J1346">
        <v>1.17</v>
      </c>
      <c r="K1346" t="s">
        <v>109</v>
      </c>
      <c r="M1346">
        <v>0.25</v>
      </c>
      <c r="N1346" t="s">
        <v>128</v>
      </c>
      <c r="O1346" t="s">
        <v>883</v>
      </c>
      <c r="P1346" t="s">
        <v>882</v>
      </c>
      <c r="Q1346" s="1" t="s">
        <v>2276</v>
      </c>
      <c r="R1346" s="1" t="s">
        <v>751</v>
      </c>
      <c r="S1346" s="1" t="s">
        <v>2353</v>
      </c>
      <c r="X1346" t="s">
        <v>888</v>
      </c>
      <c r="Y1346" t="s">
        <v>2273</v>
      </c>
      <c r="Z1346" t="s">
        <v>2356</v>
      </c>
      <c r="AA1346" t="s">
        <v>2357</v>
      </c>
      <c r="AB1346" t="s">
        <v>2277</v>
      </c>
      <c r="AC1346" t="s">
        <v>152</v>
      </c>
      <c r="AD1346" t="s">
        <v>2288</v>
      </c>
      <c r="AF1346" t="s">
        <v>49</v>
      </c>
      <c r="AJ1346" t="s">
        <v>49</v>
      </c>
      <c r="AM1346" t="s">
        <v>885</v>
      </c>
      <c r="AN1346" t="s">
        <v>165</v>
      </c>
    </row>
    <row r="1347" spans="1:45" x14ac:dyDescent="0.2">
      <c r="A1347" t="s">
        <v>889</v>
      </c>
      <c r="B1347" t="s">
        <v>890</v>
      </c>
      <c r="C1347">
        <v>2019</v>
      </c>
      <c r="Q1347" s="1" t="s">
        <v>2272</v>
      </c>
      <c r="R1347" s="1" t="s">
        <v>2272</v>
      </c>
      <c r="S1347" s="1" t="s">
        <v>2272</v>
      </c>
      <c r="Y1347" t="s">
        <v>2272</v>
      </c>
      <c r="Z1347" t="s">
        <v>2272</v>
      </c>
      <c r="AA1347" t="s">
        <v>2272</v>
      </c>
      <c r="AB1347" t="s">
        <v>2272</v>
      </c>
      <c r="AD1347" t="s">
        <v>2272</v>
      </c>
      <c r="AR1347" t="s">
        <v>144</v>
      </c>
      <c r="AS1347" t="s">
        <v>2587</v>
      </c>
    </row>
    <row r="1348" spans="1:45" x14ac:dyDescent="0.2">
      <c r="A1348" t="s">
        <v>891</v>
      </c>
      <c r="B1348" t="s">
        <v>892</v>
      </c>
      <c r="C1348">
        <v>2019</v>
      </c>
      <c r="D1348" t="s">
        <v>44</v>
      </c>
      <c r="E1348" t="s">
        <v>49</v>
      </c>
      <c r="F1348" t="s">
        <v>83</v>
      </c>
      <c r="G1348" t="s">
        <v>87</v>
      </c>
      <c r="H1348" t="s">
        <v>350</v>
      </c>
      <c r="I1348" t="s">
        <v>894</v>
      </c>
      <c r="J1348">
        <v>3</v>
      </c>
      <c r="K1348" t="s">
        <v>101</v>
      </c>
      <c r="L1348">
        <v>60</v>
      </c>
      <c r="N1348" t="s">
        <v>121</v>
      </c>
      <c r="O1348" t="s">
        <v>121</v>
      </c>
      <c r="P1348" t="s">
        <v>896</v>
      </c>
      <c r="Q1348" s="1" t="s">
        <v>2292</v>
      </c>
      <c r="R1348" s="1" t="s">
        <v>264</v>
      </c>
      <c r="S1348" s="1" t="s">
        <v>264</v>
      </c>
      <c r="T1348" t="s">
        <v>396</v>
      </c>
      <c r="U1348" t="s">
        <v>2391</v>
      </c>
      <c r="X1348" t="s">
        <v>161</v>
      </c>
      <c r="Y1348" t="s">
        <v>2272</v>
      </c>
      <c r="Z1348" t="s">
        <v>2272</v>
      </c>
      <c r="AA1348" t="s">
        <v>2272</v>
      </c>
      <c r="AB1348" t="s">
        <v>2272</v>
      </c>
      <c r="AC1348" t="s">
        <v>162</v>
      </c>
      <c r="AD1348" t="s">
        <v>2272</v>
      </c>
      <c r="AH1348" s="4" t="s">
        <v>49</v>
      </c>
      <c r="AJ1348" t="s">
        <v>49</v>
      </c>
      <c r="AM1348" t="s">
        <v>898</v>
      </c>
      <c r="AN1348" t="s">
        <v>109</v>
      </c>
      <c r="AO1348" t="s">
        <v>49</v>
      </c>
      <c r="AQ1348" s="5">
        <v>1</v>
      </c>
      <c r="AR1348">
        <v>1</v>
      </c>
    </row>
    <row r="1349" spans="1:45" x14ac:dyDescent="0.2">
      <c r="A1349" t="s">
        <v>891</v>
      </c>
      <c r="B1349" t="s">
        <v>892</v>
      </c>
      <c r="C1349">
        <v>2019</v>
      </c>
      <c r="D1349" t="s">
        <v>44</v>
      </c>
      <c r="E1349" t="s">
        <v>49</v>
      </c>
      <c r="F1349" t="s">
        <v>83</v>
      </c>
      <c r="G1349" t="s">
        <v>87</v>
      </c>
      <c r="H1349" t="s">
        <v>350</v>
      </c>
      <c r="I1349" t="s">
        <v>894</v>
      </c>
      <c r="J1349">
        <v>3</v>
      </c>
      <c r="K1349" t="s">
        <v>101</v>
      </c>
      <c r="L1349">
        <v>60</v>
      </c>
      <c r="N1349" t="s">
        <v>760</v>
      </c>
      <c r="O1349" t="s">
        <v>760</v>
      </c>
      <c r="P1349" t="s">
        <v>897</v>
      </c>
      <c r="Q1349" s="1" t="s">
        <v>2292</v>
      </c>
      <c r="R1349" s="1" t="s">
        <v>760</v>
      </c>
      <c r="S1349" s="1" t="s">
        <v>760</v>
      </c>
      <c r="T1349" t="s">
        <v>396</v>
      </c>
      <c r="U1349" t="s">
        <v>2392</v>
      </c>
      <c r="X1349" t="s">
        <v>161</v>
      </c>
      <c r="Y1349" t="s">
        <v>2272</v>
      </c>
      <c r="Z1349" t="s">
        <v>2272</v>
      </c>
      <c r="AA1349" t="s">
        <v>2272</v>
      </c>
      <c r="AB1349" t="s">
        <v>2272</v>
      </c>
      <c r="AC1349" t="s">
        <v>162</v>
      </c>
      <c r="AD1349" t="s">
        <v>2272</v>
      </c>
      <c r="AH1349" s="4" t="s">
        <v>49</v>
      </c>
      <c r="AJ1349" t="s">
        <v>49</v>
      </c>
      <c r="AM1349" t="s">
        <v>898</v>
      </c>
      <c r="AN1349" t="s">
        <v>109</v>
      </c>
      <c r="AO1349" t="s">
        <v>49</v>
      </c>
      <c r="AQ1349" s="5">
        <v>1</v>
      </c>
      <c r="AR1349">
        <v>1</v>
      </c>
    </row>
    <row r="1350" spans="1:45" x14ac:dyDescent="0.2">
      <c r="A1350" t="s">
        <v>891</v>
      </c>
      <c r="B1350" t="s">
        <v>892</v>
      </c>
      <c r="C1350">
        <v>2019</v>
      </c>
      <c r="D1350" t="s">
        <v>44</v>
      </c>
      <c r="E1350" t="s">
        <v>49</v>
      </c>
      <c r="F1350" t="s">
        <v>83</v>
      </c>
      <c r="G1350" t="s">
        <v>87</v>
      </c>
      <c r="H1350" t="s">
        <v>350</v>
      </c>
      <c r="I1350" t="s">
        <v>894</v>
      </c>
      <c r="J1350">
        <v>3</v>
      </c>
      <c r="K1350" t="s">
        <v>101</v>
      </c>
      <c r="L1350">
        <v>60</v>
      </c>
      <c r="N1350" t="s">
        <v>128</v>
      </c>
      <c r="O1350" t="s">
        <v>221</v>
      </c>
      <c r="P1350" t="s">
        <v>895</v>
      </c>
      <c r="Q1350" s="1" t="s">
        <v>2276</v>
      </c>
      <c r="R1350" s="1" t="s">
        <v>2284</v>
      </c>
      <c r="S1350" s="1" t="s">
        <v>2348</v>
      </c>
      <c r="T1350" t="s">
        <v>396</v>
      </c>
      <c r="U1350" t="s">
        <v>2335</v>
      </c>
      <c r="X1350" t="s">
        <v>161</v>
      </c>
      <c r="Y1350" t="s">
        <v>2272</v>
      </c>
      <c r="Z1350" t="s">
        <v>2272</v>
      </c>
      <c r="AA1350" t="s">
        <v>2272</v>
      </c>
      <c r="AB1350" t="s">
        <v>2272</v>
      </c>
      <c r="AC1350" t="s">
        <v>162</v>
      </c>
      <c r="AD1350" t="s">
        <v>2272</v>
      </c>
      <c r="AH1350" s="4" t="s">
        <v>49</v>
      </c>
      <c r="AJ1350" t="s">
        <v>49</v>
      </c>
      <c r="AM1350" t="s">
        <v>898</v>
      </c>
      <c r="AN1350" t="s">
        <v>109</v>
      </c>
      <c r="AO1350" t="s">
        <v>49</v>
      </c>
      <c r="AQ1350" s="5">
        <v>2</v>
      </c>
      <c r="AR1350">
        <v>1</v>
      </c>
    </row>
    <row r="1351" spans="1:45" x14ac:dyDescent="0.2">
      <c r="A1351" t="s">
        <v>891</v>
      </c>
      <c r="B1351" t="s">
        <v>892</v>
      </c>
      <c r="C1351">
        <v>2019</v>
      </c>
      <c r="D1351" t="s">
        <v>44</v>
      </c>
      <c r="E1351" t="s">
        <v>49</v>
      </c>
      <c r="F1351" t="s">
        <v>83</v>
      </c>
      <c r="G1351" t="s">
        <v>87</v>
      </c>
      <c r="H1351" t="s">
        <v>350</v>
      </c>
      <c r="I1351" t="s">
        <v>894</v>
      </c>
      <c r="J1351">
        <v>3</v>
      </c>
      <c r="K1351" t="s">
        <v>101</v>
      </c>
      <c r="L1351">
        <v>60</v>
      </c>
      <c r="N1351" t="s">
        <v>121</v>
      </c>
      <c r="O1351" t="s">
        <v>121</v>
      </c>
      <c r="P1351" t="s">
        <v>896</v>
      </c>
      <c r="Q1351" s="1" t="s">
        <v>2292</v>
      </c>
      <c r="R1351" s="1" t="s">
        <v>264</v>
      </c>
      <c r="S1351" s="1" t="s">
        <v>264</v>
      </c>
      <c r="T1351" t="s">
        <v>421</v>
      </c>
      <c r="U1351" t="s">
        <v>421</v>
      </c>
      <c r="X1351" t="s">
        <v>161</v>
      </c>
      <c r="Y1351" t="s">
        <v>2272</v>
      </c>
      <c r="Z1351" t="s">
        <v>2272</v>
      </c>
      <c r="AA1351" t="s">
        <v>2272</v>
      </c>
      <c r="AB1351" t="s">
        <v>2272</v>
      </c>
      <c r="AC1351" t="s">
        <v>162</v>
      </c>
      <c r="AD1351" t="s">
        <v>2272</v>
      </c>
      <c r="AH1351" s="4" t="s">
        <v>49</v>
      </c>
      <c r="AJ1351" t="s">
        <v>49</v>
      </c>
      <c r="AM1351" t="s">
        <v>898</v>
      </c>
      <c r="AN1351" t="s">
        <v>109</v>
      </c>
      <c r="AO1351" t="s">
        <v>49</v>
      </c>
      <c r="AQ1351" s="5">
        <v>1</v>
      </c>
      <c r="AR1351">
        <v>1</v>
      </c>
    </row>
    <row r="1352" spans="1:45" x14ac:dyDescent="0.2">
      <c r="A1352" t="s">
        <v>891</v>
      </c>
      <c r="B1352" t="s">
        <v>892</v>
      </c>
      <c r="C1352">
        <v>2019</v>
      </c>
      <c r="D1352" t="s">
        <v>44</v>
      </c>
      <c r="E1352" t="s">
        <v>49</v>
      </c>
      <c r="F1352" t="s">
        <v>83</v>
      </c>
      <c r="G1352" t="s">
        <v>87</v>
      </c>
      <c r="H1352" t="s">
        <v>350</v>
      </c>
      <c r="I1352" t="s">
        <v>894</v>
      </c>
      <c r="J1352">
        <v>3</v>
      </c>
      <c r="K1352" t="s">
        <v>101</v>
      </c>
      <c r="L1352">
        <v>60</v>
      </c>
      <c r="N1352" t="s">
        <v>760</v>
      </c>
      <c r="O1352" t="s">
        <v>760</v>
      </c>
      <c r="P1352" t="s">
        <v>897</v>
      </c>
      <c r="Q1352" s="1" t="s">
        <v>2292</v>
      </c>
      <c r="R1352" s="1" t="s">
        <v>760</v>
      </c>
      <c r="S1352" s="1" t="s">
        <v>760</v>
      </c>
      <c r="T1352" t="s">
        <v>421</v>
      </c>
      <c r="U1352" t="s">
        <v>421</v>
      </c>
      <c r="X1352" t="s">
        <v>161</v>
      </c>
      <c r="Y1352" t="s">
        <v>2272</v>
      </c>
      <c r="Z1352" t="s">
        <v>2272</v>
      </c>
      <c r="AA1352" t="s">
        <v>2272</v>
      </c>
      <c r="AB1352" t="s">
        <v>2272</v>
      </c>
      <c r="AC1352" t="s">
        <v>162</v>
      </c>
      <c r="AD1352" t="s">
        <v>2272</v>
      </c>
      <c r="AH1352" s="4" t="s">
        <v>49</v>
      </c>
      <c r="AJ1352" t="s">
        <v>49</v>
      </c>
      <c r="AM1352" t="s">
        <v>898</v>
      </c>
      <c r="AN1352" t="s">
        <v>109</v>
      </c>
      <c r="AO1352" t="s">
        <v>49</v>
      </c>
      <c r="AQ1352" s="5">
        <v>1</v>
      </c>
      <c r="AR1352">
        <v>1</v>
      </c>
    </row>
    <row r="1353" spans="1:45" x14ac:dyDescent="0.2">
      <c r="A1353" t="s">
        <v>891</v>
      </c>
      <c r="B1353" t="s">
        <v>892</v>
      </c>
      <c r="C1353">
        <v>2019</v>
      </c>
      <c r="D1353" t="s">
        <v>44</v>
      </c>
      <c r="E1353" t="s">
        <v>49</v>
      </c>
      <c r="F1353" t="s">
        <v>83</v>
      </c>
      <c r="G1353" t="s">
        <v>87</v>
      </c>
      <c r="H1353" t="s">
        <v>350</v>
      </c>
      <c r="I1353" t="s">
        <v>894</v>
      </c>
      <c r="J1353">
        <v>3</v>
      </c>
      <c r="K1353" t="s">
        <v>101</v>
      </c>
      <c r="L1353">
        <v>60</v>
      </c>
      <c r="N1353" t="s">
        <v>128</v>
      </c>
      <c r="O1353" t="s">
        <v>221</v>
      </c>
      <c r="P1353" t="s">
        <v>895</v>
      </c>
      <c r="Q1353" s="1" t="s">
        <v>2276</v>
      </c>
      <c r="R1353" s="1" t="s">
        <v>2284</v>
      </c>
      <c r="S1353" s="1" t="s">
        <v>2348</v>
      </c>
      <c r="T1353" t="s">
        <v>421</v>
      </c>
      <c r="U1353" t="s">
        <v>421</v>
      </c>
      <c r="X1353" t="s">
        <v>161</v>
      </c>
      <c r="Y1353" t="s">
        <v>2272</v>
      </c>
      <c r="Z1353" t="s">
        <v>2272</v>
      </c>
      <c r="AA1353" t="s">
        <v>2272</v>
      </c>
      <c r="AB1353" t="s">
        <v>2272</v>
      </c>
      <c r="AC1353" t="s">
        <v>162</v>
      </c>
      <c r="AD1353" t="s">
        <v>2272</v>
      </c>
      <c r="AH1353" s="4" t="s">
        <v>49</v>
      </c>
      <c r="AJ1353" t="s">
        <v>49</v>
      </c>
      <c r="AM1353" t="s">
        <v>898</v>
      </c>
      <c r="AN1353" t="s">
        <v>109</v>
      </c>
      <c r="AO1353" t="s">
        <v>49</v>
      </c>
      <c r="AQ1353" s="5">
        <v>1</v>
      </c>
      <c r="AR1353">
        <v>1</v>
      </c>
    </row>
    <row r="1354" spans="1:45" x14ac:dyDescent="0.2">
      <c r="A1354" t="s">
        <v>891</v>
      </c>
      <c r="B1354" t="s">
        <v>892</v>
      </c>
      <c r="C1354">
        <v>2019</v>
      </c>
      <c r="D1354" t="s">
        <v>44</v>
      </c>
      <c r="E1354" t="s">
        <v>49</v>
      </c>
      <c r="F1354" t="s">
        <v>83</v>
      </c>
      <c r="G1354" t="s">
        <v>87</v>
      </c>
      <c r="H1354" t="s">
        <v>350</v>
      </c>
      <c r="I1354" t="s">
        <v>894</v>
      </c>
      <c r="J1354">
        <v>3</v>
      </c>
      <c r="K1354" t="s">
        <v>101</v>
      </c>
      <c r="L1354">
        <v>60</v>
      </c>
      <c r="N1354" t="s">
        <v>121</v>
      </c>
      <c r="O1354" t="s">
        <v>121</v>
      </c>
      <c r="P1354" t="s">
        <v>896</v>
      </c>
      <c r="Q1354" s="1" t="s">
        <v>2292</v>
      </c>
      <c r="R1354" s="1" t="s">
        <v>264</v>
      </c>
      <c r="S1354" s="1" t="s">
        <v>264</v>
      </c>
      <c r="T1354" t="s">
        <v>396</v>
      </c>
      <c r="U1354" t="s">
        <v>2391</v>
      </c>
      <c r="X1354" t="s">
        <v>161</v>
      </c>
      <c r="Y1354" t="s">
        <v>2272</v>
      </c>
      <c r="Z1354" t="s">
        <v>2272</v>
      </c>
      <c r="AA1354" t="s">
        <v>2272</v>
      </c>
      <c r="AB1354" t="s">
        <v>2272</v>
      </c>
      <c r="AC1354" t="s">
        <v>162</v>
      </c>
      <c r="AD1354" t="s">
        <v>2272</v>
      </c>
      <c r="AH1354" s="4" t="s">
        <v>49</v>
      </c>
      <c r="AJ1354" t="s">
        <v>49</v>
      </c>
      <c r="AM1354" t="s">
        <v>898</v>
      </c>
      <c r="AN1354" t="s">
        <v>165</v>
      </c>
      <c r="AP1354" t="s">
        <v>49</v>
      </c>
      <c r="AR1354">
        <v>1</v>
      </c>
    </row>
    <row r="1355" spans="1:45" x14ac:dyDescent="0.2">
      <c r="A1355" t="s">
        <v>891</v>
      </c>
      <c r="B1355" t="s">
        <v>892</v>
      </c>
      <c r="C1355">
        <v>2019</v>
      </c>
      <c r="D1355" t="s">
        <v>44</v>
      </c>
      <c r="E1355" t="s">
        <v>49</v>
      </c>
      <c r="F1355" t="s">
        <v>83</v>
      </c>
      <c r="G1355" t="s">
        <v>87</v>
      </c>
      <c r="H1355" t="s">
        <v>350</v>
      </c>
      <c r="I1355" t="s">
        <v>894</v>
      </c>
      <c r="J1355">
        <v>3</v>
      </c>
      <c r="K1355" t="s">
        <v>101</v>
      </c>
      <c r="L1355">
        <v>60</v>
      </c>
      <c r="N1355" t="s">
        <v>760</v>
      </c>
      <c r="O1355" t="s">
        <v>760</v>
      </c>
      <c r="P1355" t="s">
        <v>897</v>
      </c>
      <c r="Q1355" s="1" t="s">
        <v>2292</v>
      </c>
      <c r="R1355" s="1" t="s">
        <v>760</v>
      </c>
      <c r="S1355" s="1" t="s">
        <v>760</v>
      </c>
      <c r="T1355" t="s">
        <v>396</v>
      </c>
      <c r="U1355" t="s">
        <v>2392</v>
      </c>
      <c r="X1355" t="s">
        <v>161</v>
      </c>
      <c r="Y1355" t="s">
        <v>2272</v>
      </c>
      <c r="Z1355" t="s">
        <v>2272</v>
      </c>
      <c r="AA1355" t="s">
        <v>2272</v>
      </c>
      <c r="AB1355" t="s">
        <v>2272</v>
      </c>
      <c r="AC1355" t="s">
        <v>162</v>
      </c>
      <c r="AD1355" t="s">
        <v>2272</v>
      </c>
      <c r="AH1355" s="4" t="s">
        <v>49</v>
      </c>
      <c r="AJ1355" t="s">
        <v>49</v>
      </c>
      <c r="AM1355" t="s">
        <v>898</v>
      </c>
      <c r="AN1355" t="s">
        <v>165</v>
      </c>
      <c r="AP1355" t="s">
        <v>49</v>
      </c>
      <c r="AR1355">
        <v>1</v>
      </c>
    </row>
    <row r="1356" spans="1:45" x14ac:dyDescent="0.2">
      <c r="A1356" t="s">
        <v>891</v>
      </c>
      <c r="B1356" t="s">
        <v>892</v>
      </c>
      <c r="C1356">
        <v>2019</v>
      </c>
      <c r="D1356" t="s">
        <v>44</v>
      </c>
      <c r="E1356" t="s">
        <v>49</v>
      </c>
      <c r="F1356" t="s">
        <v>83</v>
      </c>
      <c r="G1356" t="s">
        <v>87</v>
      </c>
      <c r="H1356" t="s">
        <v>350</v>
      </c>
      <c r="I1356" t="s">
        <v>894</v>
      </c>
      <c r="J1356">
        <v>3</v>
      </c>
      <c r="K1356" t="s">
        <v>101</v>
      </c>
      <c r="L1356">
        <v>60</v>
      </c>
      <c r="N1356" t="s">
        <v>128</v>
      </c>
      <c r="O1356" t="s">
        <v>221</v>
      </c>
      <c r="P1356" t="s">
        <v>895</v>
      </c>
      <c r="Q1356" s="1" t="s">
        <v>2276</v>
      </c>
      <c r="R1356" s="1" t="s">
        <v>2284</v>
      </c>
      <c r="S1356" s="1" t="s">
        <v>2348</v>
      </c>
      <c r="T1356" t="s">
        <v>396</v>
      </c>
      <c r="U1356" t="s">
        <v>2335</v>
      </c>
      <c r="X1356" t="s">
        <v>161</v>
      </c>
      <c r="Y1356" t="s">
        <v>2272</v>
      </c>
      <c r="Z1356" t="s">
        <v>2272</v>
      </c>
      <c r="AA1356" t="s">
        <v>2272</v>
      </c>
      <c r="AB1356" t="s">
        <v>2272</v>
      </c>
      <c r="AC1356" t="s">
        <v>162</v>
      </c>
      <c r="AD1356" t="s">
        <v>2272</v>
      </c>
      <c r="AH1356" s="4" t="s">
        <v>49</v>
      </c>
      <c r="AJ1356" t="s">
        <v>49</v>
      </c>
      <c r="AM1356" t="s">
        <v>898</v>
      </c>
      <c r="AN1356" t="s">
        <v>165</v>
      </c>
      <c r="AP1356" t="s">
        <v>49</v>
      </c>
      <c r="AR1356">
        <v>1</v>
      </c>
    </row>
    <row r="1357" spans="1:45" x14ac:dyDescent="0.2">
      <c r="A1357" t="s">
        <v>891</v>
      </c>
      <c r="B1357" t="s">
        <v>892</v>
      </c>
      <c r="C1357">
        <v>2019</v>
      </c>
      <c r="D1357" t="s">
        <v>44</v>
      </c>
      <c r="E1357" t="s">
        <v>49</v>
      </c>
      <c r="F1357" t="s">
        <v>83</v>
      </c>
      <c r="G1357" t="s">
        <v>87</v>
      </c>
      <c r="H1357" t="s">
        <v>350</v>
      </c>
      <c r="I1357" t="s">
        <v>894</v>
      </c>
      <c r="J1357">
        <v>3</v>
      </c>
      <c r="K1357" t="s">
        <v>101</v>
      </c>
      <c r="L1357">
        <v>60</v>
      </c>
      <c r="N1357" t="s">
        <v>121</v>
      </c>
      <c r="O1357" t="s">
        <v>121</v>
      </c>
      <c r="P1357" t="s">
        <v>896</v>
      </c>
      <c r="Q1357" s="1" t="s">
        <v>2292</v>
      </c>
      <c r="R1357" s="1" t="s">
        <v>264</v>
      </c>
      <c r="S1357" s="1" t="s">
        <v>264</v>
      </c>
      <c r="T1357" t="s">
        <v>421</v>
      </c>
      <c r="U1357" t="s">
        <v>421</v>
      </c>
      <c r="X1357" t="s">
        <v>161</v>
      </c>
      <c r="Y1357" t="s">
        <v>2272</v>
      </c>
      <c r="Z1357" t="s">
        <v>2272</v>
      </c>
      <c r="AA1357" t="s">
        <v>2272</v>
      </c>
      <c r="AB1357" t="s">
        <v>2272</v>
      </c>
      <c r="AC1357" t="s">
        <v>162</v>
      </c>
      <c r="AD1357" t="s">
        <v>2272</v>
      </c>
      <c r="AH1357" s="4" t="s">
        <v>49</v>
      </c>
      <c r="AJ1357" t="s">
        <v>49</v>
      </c>
      <c r="AM1357" t="s">
        <v>898</v>
      </c>
      <c r="AN1357" t="s">
        <v>165</v>
      </c>
      <c r="AP1357" t="s">
        <v>49</v>
      </c>
      <c r="AR1357">
        <v>1</v>
      </c>
    </row>
    <row r="1358" spans="1:45" x14ac:dyDescent="0.2">
      <c r="A1358" t="s">
        <v>891</v>
      </c>
      <c r="B1358" t="s">
        <v>892</v>
      </c>
      <c r="C1358">
        <v>2019</v>
      </c>
      <c r="D1358" t="s">
        <v>44</v>
      </c>
      <c r="E1358" t="s">
        <v>49</v>
      </c>
      <c r="F1358" t="s">
        <v>83</v>
      </c>
      <c r="G1358" t="s">
        <v>87</v>
      </c>
      <c r="H1358" t="s">
        <v>350</v>
      </c>
      <c r="I1358" t="s">
        <v>894</v>
      </c>
      <c r="J1358">
        <v>3</v>
      </c>
      <c r="K1358" t="s">
        <v>101</v>
      </c>
      <c r="L1358">
        <v>60</v>
      </c>
      <c r="N1358" t="s">
        <v>760</v>
      </c>
      <c r="O1358" t="s">
        <v>760</v>
      </c>
      <c r="P1358" t="s">
        <v>897</v>
      </c>
      <c r="Q1358" s="1" t="s">
        <v>2292</v>
      </c>
      <c r="R1358" s="1" t="s">
        <v>760</v>
      </c>
      <c r="S1358" s="1" t="s">
        <v>760</v>
      </c>
      <c r="T1358" t="s">
        <v>421</v>
      </c>
      <c r="U1358" t="s">
        <v>421</v>
      </c>
      <c r="X1358" t="s">
        <v>161</v>
      </c>
      <c r="Y1358" t="s">
        <v>2272</v>
      </c>
      <c r="Z1358" t="s">
        <v>2272</v>
      </c>
      <c r="AA1358" t="s">
        <v>2272</v>
      </c>
      <c r="AB1358" t="s">
        <v>2272</v>
      </c>
      <c r="AC1358" t="s">
        <v>162</v>
      </c>
      <c r="AD1358" t="s">
        <v>2272</v>
      </c>
      <c r="AH1358" s="4" t="s">
        <v>49</v>
      </c>
      <c r="AJ1358" t="s">
        <v>49</v>
      </c>
      <c r="AM1358" t="s">
        <v>898</v>
      </c>
      <c r="AN1358" t="s">
        <v>165</v>
      </c>
      <c r="AP1358" t="s">
        <v>49</v>
      </c>
      <c r="AR1358">
        <v>1</v>
      </c>
    </row>
    <row r="1359" spans="1:45" x14ac:dyDescent="0.2">
      <c r="A1359" t="s">
        <v>891</v>
      </c>
      <c r="B1359" t="s">
        <v>892</v>
      </c>
      <c r="C1359">
        <v>2019</v>
      </c>
      <c r="D1359" t="s">
        <v>44</v>
      </c>
      <c r="E1359" t="s">
        <v>49</v>
      </c>
      <c r="F1359" t="s">
        <v>83</v>
      </c>
      <c r="G1359" t="s">
        <v>87</v>
      </c>
      <c r="H1359" t="s">
        <v>350</v>
      </c>
      <c r="I1359" t="s">
        <v>894</v>
      </c>
      <c r="J1359">
        <v>3</v>
      </c>
      <c r="K1359" t="s">
        <v>101</v>
      </c>
      <c r="L1359">
        <v>60</v>
      </c>
      <c r="N1359" t="s">
        <v>128</v>
      </c>
      <c r="O1359" t="s">
        <v>221</v>
      </c>
      <c r="P1359" t="s">
        <v>895</v>
      </c>
      <c r="Q1359" s="1" t="s">
        <v>2276</v>
      </c>
      <c r="R1359" s="1" t="s">
        <v>2284</v>
      </c>
      <c r="S1359" s="1" t="s">
        <v>2348</v>
      </c>
      <c r="T1359" t="s">
        <v>421</v>
      </c>
      <c r="U1359" t="s">
        <v>421</v>
      </c>
      <c r="X1359" t="s">
        <v>161</v>
      </c>
      <c r="Y1359" t="s">
        <v>2272</v>
      </c>
      <c r="Z1359" t="s">
        <v>2272</v>
      </c>
      <c r="AA1359" t="s">
        <v>2272</v>
      </c>
      <c r="AB1359" t="s">
        <v>2272</v>
      </c>
      <c r="AC1359" t="s">
        <v>162</v>
      </c>
      <c r="AD1359" t="s">
        <v>2272</v>
      </c>
      <c r="AH1359" s="4" t="s">
        <v>49</v>
      </c>
      <c r="AJ1359" t="s">
        <v>49</v>
      </c>
      <c r="AM1359" t="s">
        <v>898</v>
      </c>
      <c r="AN1359" t="s">
        <v>165</v>
      </c>
      <c r="AP1359" t="s">
        <v>49</v>
      </c>
      <c r="AR1359">
        <v>1</v>
      </c>
    </row>
    <row r="1360" spans="1:45" x14ac:dyDescent="0.2">
      <c r="A1360" t="s">
        <v>899</v>
      </c>
      <c r="B1360" t="s">
        <v>900</v>
      </c>
      <c r="C1360">
        <v>2019</v>
      </c>
      <c r="D1360" t="s">
        <v>44</v>
      </c>
      <c r="E1360" t="s">
        <v>49</v>
      </c>
      <c r="F1360" t="s">
        <v>82</v>
      </c>
      <c r="G1360" t="s">
        <v>86</v>
      </c>
      <c r="H1360" t="s">
        <v>96</v>
      </c>
      <c r="I1360" t="s">
        <v>901</v>
      </c>
      <c r="J1360">
        <v>7</v>
      </c>
      <c r="K1360" t="s">
        <v>109</v>
      </c>
      <c r="L1360">
        <v>215</v>
      </c>
      <c r="M1360">
        <v>0.27</v>
      </c>
      <c r="N1360" t="s">
        <v>121</v>
      </c>
      <c r="O1360" t="s">
        <v>121</v>
      </c>
      <c r="P1360" t="s">
        <v>286</v>
      </c>
      <c r="Q1360" s="1" t="s">
        <v>2292</v>
      </c>
      <c r="R1360" s="1" t="s">
        <v>264</v>
      </c>
      <c r="S1360" s="1" t="s">
        <v>264</v>
      </c>
      <c r="T1360" t="s">
        <v>421</v>
      </c>
      <c r="X1360" t="s">
        <v>161</v>
      </c>
      <c r="Y1360" t="s">
        <v>2272</v>
      </c>
      <c r="Z1360" t="s">
        <v>2272</v>
      </c>
      <c r="AA1360" t="s">
        <v>2272</v>
      </c>
      <c r="AB1360" t="s">
        <v>2272</v>
      </c>
      <c r="AC1360" t="s">
        <v>162</v>
      </c>
      <c r="AD1360" t="s">
        <v>2272</v>
      </c>
      <c r="AG1360" t="s">
        <v>49</v>
      </c>
      <c r="AK1360" t="s">
        <v>49</v>
      </c>
      <c r="AM1360" t="s">
        <v>903</v>
      </c>
      <c r="AN1360" t="s">
        <v>165</v>
      </c>
    </row>
    <row r="1361" spans="1:40" x14ac:dyDescent="0.2">
      <c r="A1361" t="s">
        <v>899</v>
      </c>
      <c r="B1361" t="s">
        <v>900</v>
      </c>
      <c r="C1361">
        <v>2019</v>
      </c>
      <c r="D1361" t="s">
        <v>44</v>
      </c>
      <c r="E1361" t="s">
        <v>49</v>
      </c>
      <c r="F1361" t="s">
        <v>82</v>
      </c>
      <c r="G1361" t="s">
        <v>86</v>
      </c>
      <c r="H1361" t="s">
        <v>350</v>
      </c>
      <c r="I1361" t="s">
        <v>901</v>
      </c>
      <c r="J1361">
        <v>7</v>
      </c>
      <c r="K1361" t="s">
        <v>109</v>
      </c>
      <c r="L1361">
        <v>175</v>
      </c>
      <c r="M1361">
        <v>0.9</v>
      </c>
      <c r="N1361" t="s">
        <v>125</v>
      </c>
      <c r="O1361" t="s">
        <v>125</v>
      </c>
      <c r="P1361" t="s">
        <v>902</v>
      </c>
      <c r="Q1361" s="1" t="s">
        <v>2276</v>
      </c>
      <c r="R1361" s="1" t="s">
        <v>751</v>
      </c>
      <c r="S1361" s="1" t="s">
        <v>2345</v>
      </c>
      <c r="T1361" t="s">
        <v>421</v>
      </c>
      <c r="X1361" t="s">
        <v>161</v>
      </c>
      <c r="Y1361" t="s">
        <v>2272</v>
      </c>
      <c r="Z1361" t="s">
        <v>2272</v>
      </c>
      <c r="AA1361" t="s">
        <v>2272</v>
      </c>
      <c r="AB1361" t="s">
        <v>2272</v>
      </c>
      <c r="AC1361" t="s">
        <v>162</v>
      </c>
      <c r="AD1361" t="s">
        <v>2272</v>
      </c>
      <c r="AG1361" t="s">
        <v>49</v>
      </c>
      <c r="AK1361" t="s">
        <v>49</v>
      </c>
      <c r="AM1361" t="s">
        <v>903</v>
      </c>
      <c r="AN1361" t="s">
        <v>165</v>
      </c>
    </row>
    <row r="1362" spans="1:40" x14ac:dyDescent="0.2">
      <c r="A1362" t="s">
        <v>899</v>
      </c>
      <c r="B1362" t="s">
        <v>900</v>
      </c>
      <c r="C1362">
        <v>2019</v>
      </c>
      <c r="D1362" t="s">
        <v>44</v>
      </c>
      <c r="E1362" t="s">
        <v>49</v>
      </c>
      <c r="F1362" t="s">
        <v>82</v>
      </c>
      <c r="G1362" t="s">
        <v>86</v>
      </c>
      <c r="H1362" t="s">
        <v>96</v>
      </c>
      <c r="I1362" t="s">
        <v>901</v>
      </c>
      <c r="J1362">
        <v>7</v>
      </c>
      <c r="K1362" t="s">
        <v>109</v>
      </c>
      <c r="L1362">
        <v>215</v>
      </c>
      <c r="M1362">
        <v>0.27</v>
      </c>
      <c r="N1362" t="s">
        <v>121</v>
      </c>
      <c r="O1362" t="s">
        <v>121</v>
      </c>
      <c r="P1362" t="s">
        <v>286</v>
      </c>
      <c r="Q1362" s="1" t="s">
        <v>2292</v>
      </c>
      <c r="R1362" s="1" t="s">
        <v>264</v>
      </c>
      <c r="S1362" s="1" t="s">
        <v>264</v>
      </c>
      <c r="T1362" t="s">
        <v>396</v>
      </c>
      <c r="X1362" t="s">
        <v>161</v>
      </c>
      <c r="Y1362" t="s">
        <v>2272</v>
      </c>
      <c r="Z1362" t="s">
        <v>2272</v>
      </c>
      <c r="AA1362" t="s">
        <v>2272</v>
      </c>
      <c r="AB1362" t="s">
        <v>2272</v>
      </c>
      <c r="AC1362" t="s">
        <v>162</v>
      </c>
      <c r="AD1362" t="s">
        <v>2272</v>
      </c>
      <c r="AG1362" t="s">
        <v>49</v>
      </c>
      <c r="AK1362" t="s">
        <v>49</v>
      </c>
      <c r="AM1362" t="s">
        <v>903</v>
      </c>
      <c r="AN1362" t="s">
        <v>165</v>
      </c>
    </row>
    <row r="1363" spans="1:40" x14ac:dyDescent="0.2">
      <c r="A1363" t="s">
        <v>899</v>
      </c>
      <c r="B1363" t="s">
        <v>900</v>
      </c>
      <c r="C1363">
        <v>2019</v>
      </c>
      <c r="D1363" t="s">
        <v>44</v>
      </c>
      <c r="E1363" t="s">
        <v>49</v>
      </c>
      <c r="F1363" t="s">
        <v>82</v>
      </c>
      <c r="G1363" t="s">
        <v>86</v>
      </c>
      <c r="H1363" t="s">
        <v>350</v>
      </c>
      <c r="I1363" t="s">
        <v>901</v>
      </c>
      <c r="J1363">
        <v>7</v>
      </c>
      <c r="K1363" t="s">
        <v>109</v>
      </c>
      <c r="L1363">
        <v>175</v>
      </c>
      <c r="M1363">
        <v>0.9</v>
      </c>
      <c r="N1363" t="s">
        <v>125</v>
      </c>
      <c r="O1363" t="s">
        <v>125</v>
      </c>
      <c r="P1363" t="s">
        <v>902</v>
      </c>
      <c r="Q1363" s="1" t="s">
        <v>2276</v>
      </c>
      <c r="R1363" s="1" t="s">
        <v>751</v>
      </c>
      <c r="S1363" s="1" t="s">
        <v>2345</v>
      </c>
      <c r="T1363" t="s">
        <v>396</v>
      </c>
      <c r="X1363" t="s">
        <v>161</v>
      </c>
      <c r="Y1363" t="s">
        <v>2272</v>
      </c>
      <c r="Z1363" t="s">
        <v>2272</v>
      </c>
      <c r="AA1363" t="s">
        <v>2272</v>
      </c>
      <c r="AB1363" t="s">
        <v>2272</v>
      </c>
      <c r="AC1363" t="s">
        <v>162</v>
      </c>
      <c r="AD1363" t="s">
        <v>2272</v>
      </c>
      <c r="AG1363" t="s">
        <v>49</v>
      </c>
      <c r="AK1363" t="s">
        <v>49</v>
      </c>
      <c r="AM1363" t="s">
        <v>903</v>
      </c>
      <c r="AN1363" t="s">
        <v>165</v>
      </c>
    </row>
    <row r="1364" spans="1:40" x14ac:dyDescent="0.2">
      <c r="A1364" t="s">
        <v>899</v>
      </c>
      <c r="B1364" t="s">
        <v>900</v>
      </c>
      <c r="C1364">
        <v>2019</v>
      </c>
      <c r="D1364" t="s">
        <v>44</v>
      </c>
      <c r="E1364" t="s">
        <v>49</v>
      </c>
      <c r="F1364" t="s">
        <v>82</v>
      </c>
      <c r="G1364" t="s">
        <v>86</v>
      </c>
      <c r="H1364" t="s">
        <v>96</v>
      </c>
      <c r="I1364" t="s">
        <v>901</v>
      </c>
      <c r="J1364">
        <v>7</v>
      </c>
      <c r="K1364" t="s">
        <v>109</v>
      </c>
      <c r="L1364">
        <v>215</v>
      </c>
      <c r="M1364">
        <v>0.27</v>
      </c>
      <c r="N1364" t="s">
        <v>121</v>
      </c>
      <c r="O1364" t="s">
        <v>121</v>
      </c>
      <c r="P1364" t="s">
        <v>286</v>
      </c>
      <c r="Q1364" s="1" t="s">
        <v>2292</v>
      </c>
      <c r="R1364" s="1" t="s">
        <v>264</v>
      </c>
      <c r="S1364" s="1" t="s">
        <v>264</v>
      </c>
      <c r="T1364" t="s">
        <v>421</v>
      </c>
      <c r="X1364" t="s">
        <v>161</v>
      </c>
      <c r="Y1364" t="s">
        <v>2272</v>
      </c>
      <c r="Z1364" t="s">
        <v>2272</v>
      </c>
      <c r="AA1364" t="s">
        <v>2272</v>
      </c>
      <c r="AB1364" t="s">
        <v>2272</v>
      </c>
      <c r="AC1364" t="s">
        <v>162</v>
      </c>
      <c r="AD1364" t="s">
        <v>2272</v>
      </c>
      <c r="AG1364" t="s">
        <v>49</v>
      </c>
      <c r="AK1364" t="s">
        <v>49</v>
      </c>
      <c r="AM1364" t="s">
        <v>903</v>
      </c>
      <c r="AN1364" t="s">
        <v>166</v>
      </c>
    </row>
    <row r="1365" spans="1:40" x14ac:dyDescent="0.2">
      <c r="A1365" t="s">
        <v>899</v>
      </c>
      <c r="B1365" t="s">
        <v>900</v>
      </c>
      <c r="C1365">
        <v>2019</v>
      </c>
      <c r="D1365" t="s">
        <v>44</v>
      </c>
      <c r="E1365" t="s">
        <v>49</v>
      </c>
      <c r="F1365" t="s">
        <v>82</v>
      </c>
      <c r="G1365" t="s">
        <v>86</v>
      </c>
      <c r="H1365" t="s">
        <v>350</v>
      </c>
      <c r="I1365" t="s">
        <v>901</v>
      </c>
      <c r="J1365">
        <v>7</v>
      </c>
      <c r="K1365" t="s">
        <v>109</v>
      </c>
      <c r="L1365">
        <v>175</v>
      </c>
      <c r="M1365">
        <v>0.9</v>
      </c>
      <c r="N1365" t="s">
        <v>125</v>
      </c>
      <c r="O1365" t="s">
        <v>125</v>
      </c>
      <c r="P1365" t="s">
        <v>902</v>
      </c>
      <c r="Q1365" s="1" t="s">
        <v>2276</v>
      </c>
      <c r="R1365" s="1" t="s">
        <v>751</v>
      </c>
      <c r="S1365" s="1" t="s">
        <v>2345</v>
      </c>
      <c r="T1365" t="s">
        <v>421</v>
      </c>
      <c r="X1365" t="s">
        <v>161</v>
      </c>
      <c r="Y1365" t="s">
        <v>2272</v>
      </c>
      <c r="Z1365" t="s">
        <v>2272</v>
      </c>
      <c r="AA1365" t="s">
        <v>2272</v>
      </c>
      <c r="AB1365" t="s">
        <v>2272</v>
      </c>
      <c r="AC1365" t="s">
        <v>162</v>
      </c>
      <c r="AD1365" t="s">
        <v>2272</v>
      </c>
      <c r="AG1365" t="s">
        <v>49</v>
      </c>
      <c r="AK1365" t="s">
        <v>49</v>
      </c>
      <c r="AM1365" t="s">
        <v>903</v>
      </c>
      <c r="AN1365" t="s">
        <v>166</v>
      </c>
    </row>
    <row r="1366" spans="1:40" x14ac:dyDescent="0.2">
      <c r="A1366" t="s">
        <v>899</v>
      </c>
      <c r="B1366" t="s">
        <v>900</v>
      </c>
      <c r="C1366">
        <v>2019</v>
      </c>
      <c r="D1366" t="s">
        <v>44</v>
      </c>
      <c r="E1366" t="s">
        <v>49</v>
      </c>
      <c r="F1366" t="s">
        <v>82</v>
      </c>
      <c r="G1366" t="s">
        <v>86</v>
      </c>
      <c r="H1366" t="s">
        <v>96</v>
      </c>
      <c r="I1366" t="s">
        <v>901</v>
      </c>
      <c r="J1366">
        <v>7</v>
      </c>
      <c r="K1366" t="s">
        <v>109</v>
      </c>
      <c r="L1366">
        <v>215</v>
      </c>
      <c r="M1366">
        <v>0.27</v>
      </c>
      <c r="N1366" t="s">
        <v>121</v>
      </c>
      <c r="O1366" t="s">
        <v>121</v>
      </c>
      <c r="P1366" t="s">
        <v>286</v>
      </c>
      <c r="Q1366" s="1" t="s">
        <v>2292</v>
      </c>
      <c r="R1366" s="1" t="s">
        <v>264</v>
      </c>
      <c r="S1366" s="1" t="s">
        <v>264</v>
      </c>
      <c r="T1366" t="s">
        <v>396</v>
      </c>
      <c r="X1366" t="s">
        <v>161</v>
      </c>
      <c r="Y1366" t="s">
        <v>2272</v>
      </c>
      <c r="Z1366" t="s">
        <v>2272</v>
      </c>
      <c r="AA1366" t="s">
        <v>2272</v>
      </c>
      <c r="AB1366" t="s">
        <v>2272</v>
      </c>
      <c r="AC1366" t="s">
        <v>162</v>
      </c>
      <c r="AD1366" t="s">
        <v>2272</v>
      </c>
      <c r="AG1366" t="s">
        <v>49</v>
      </c>
      <c r="AK1366" t="s">
        <v>49</v>
      </c>
      <c r="AM1366" t="s">
        <v>903</v>
      </c>
      <c r="AN1366" t="s">
        <v>166</v>
      </c>
    </row>
    <row r="1367" spans="1:40" x14ac:dyDescent="0.2">
      <c r="A1367" t="s">
        <v>899</v>
      </c>
      <c r="B1367" t="s">
        <v>900</v>
      </c>
      <c r="C1367">
        <v>2019</v>
      </c>
      <c r="D1367" t="s">
        <v>44</v>
      </c>
      <c r="E1367" t="s">
        <v>49</v>
      </c>
      <c r="F1367" t="s">
        <v>82</v>
      </c>
      <c r="G1367" t="s">
        <v>86</v>
      </c>
      <c r="H1367" t="s">
        <v>350</v>
      </c>
      <c r="I1367" t="s">
        <v>901</v>
      </c>
      <c r="J1367">
        <v>7</v>
      </c>
      <c r="K1367" t="s">
        <v>109</v>
      </c>
      <c r="L1367">
        <v>175</v>
      </c>
      <c r="M1367">
        <v>0.9</v>
      </c>
      <c r="N1367" t="s">
        <v>125</v>
      </c>
      <c r="O1367" t="s">
        <v>125</v>
      </c>
      <c r="P1367" t="s">
        <v>902</v>
      </c>
      <c r="Q1367" s="1" t="s">
        <v>2276</v>
      </c>
      <c r="R1367" s="1" t="s">
        <v>751</v>
      </c>
      <c r="S1367" s="1" t="s">
        <v>2345</v>
      </c>
      <c r="T1367" t="s">
        <v>396</v>
      </c>
      <c r="X1367" t="s">
        <v>161</v>
      </c>
      <c r="Y1367" t="s">
        <v>2272</v>
      </c>
      <c r="Z1367" t="s">
        <v>2272</v>
      </c>
      <c r="AA1367" t="s">
        <v>2272</v>
      </c>
      <c r="AB1367" t="s">
        <v>2272</v>
      </c>
      <c r="AC1367" t="s">
        <v>162</v>
      </c>
      <c r="AD1367" t="s">
        <v>2272</v>
      </c>
      <c r="AG1367" t="s">
        <v>49</v>
      </c>
      <c r="AK1367" t="s">
        <v>49</v>
      </c>
      <c r="AM1367" t="s">
        <v>903</v>
      </c>
      <c r="AN1367" t="s">
        <v>166</v>
      </c>
    </row>
    <row r="1368" spans="1:40" x14ac:dyDescent="0.2">
      <c r="A1368" t="s">
        <v>899</v>
      </c>
      <c r="B1368" t="s">
        <v>900</v>
      </c>
      <c r="C1368">
        <v>2019</v>
      </c>
      <c r="D1368" t="s">
        <v>44</v>
      </c>
      <c r="E1368" t="s">
        <v>49</v>
      </c>
      <c r="F1368" t="s">
        <v>82</v>
      </c>
      <c r="G1368" t="s">
        <v>86</v>
      </c>
      <c r="H1368" t="s">
        <v>96</v>
      </c>
      <c r="I1368" t="s">
        <v>901</v>
      </c>
      <c r="J1368">
        <v>7</v>
      </c>
      <c r="K1368" t="s">
        <v>109</v>
      </c>
      <c r="L1368">
        <v>215</v>
      </c>
      <c r="M1368">
        <v>0.27</v>
      </c>
      <c r="N1368" t="s">
        <v>121</v>
      </c>
      <c r="O1368" t="s">
        <v>121</v>
      </c>
      <c r="P1368" t="s">
        <v>286</v>
      </c>
      <c r="Q1368" s="1" t="s">
        <v>2292</v>
      </c>
      <c r="R1368" s="1" t="s">
        <v>264</v>
      </c>
      <c r="S1368" s="1" t="s">
        <v>264</v>
      </c>
      <c r="T1368" t="s">
        <v>421</v>
      </c>
      <c r="X1368" t="s">
        <v>161</v>
      </c>
      <c r="Y1368" t="s">
        <v>2272</v>
      </c>
      <c r="Z1368" t="s">
        <v>2272</v>
      </c>
      <c r="AA1368" t="s">
        <v>2272</v>
      </c>
      <c r="AB1368" t="s">
        <v>2272</v>
      </c>
      <c r="AC1368" t="s">
        <v>162</v>
      </c>
      <c r="AD1368" t="s">
        <v>2272</v>
      </c>
      <c r="AG1368" t="s">
        <v>49</v>
      </c>
      <c r="AK1368" t="s">
        <v>49</v>
      </c>
      <c r="AM1368" t="s">
        <v>903</v>
      </c>
      <c r="AN1368" t="s">
        <v>154</v>
      </c>
    </row>
    <row r="1369" spans="1:40" x14ac:dyDescent="0.2">
      <c r="A1369" t="s">
        <v>899</v>
      </c>
      <c r="B1369" t="s">
        <v>900</v>
      </c>
      <c r="C1369">
        <v>2019</v>
      </c>
      <c r="D1369" t="s">
        <v>44</v>
      </c>
      <c r="E1369" t="s">
        <v>49</v>
      </c>
      <c r="F1369" t="s">
        <v>82</v>
      </c>
      <c r="G1369" t="s">
        <v>86</v>
      </c>
      <c r="H1369" t="s">
        <v>350</v>
      </c>
      <c r="I1369" t="s">
        <v>901</v>
      </c>
      <c r="J1369">
        <v>7</v>
      </c>
      <c r="K1369" t="s">
        <v>109</v>
      </c>
      <c r="L1369">
        <v>175</v>
      </c>
      <c r="M1369">
        <v>0.9</v>
      </c>
      <c r="N1369" t="s">
        <v>125</v>
      </c>
      <c r="O1369" t="s">
        <v>125</v>
      </c>
      <c r="P1369" t="s">
        <v>902</v>
      </c>
      <c r="Q1369" s="1" t="s">
        <v>2276</v>
      </c>
      <c r="R1369" s="1" t="s">
        <v>751</v>
      </c>
      <c r="S1369" s="1" t="s">
        <v>2345</v>
      </c>
      <c r="T1369" t="s">
        <v>421</v>
      </c>
      <c r="X1369" t="s">
        <v>161</v>
      </c>
      <c r="Y1369" t="s">
        <v>2272</v>
      </c>
      <c r="Z1369" t="s">
        <v>2272</v>
      </c>
      <c r="AA1369" t="s">
        <v>2272</v>
      </c>
      <c r="AB1369" t="s">
        <v>2272</v>
      </c>
      <c r="AC1369" t="s">
        <v>162</v>
      </c>
      <c r="AD1369" t="s">
        <v>2272</v>
      </c>
      <c r="AG1369" t="s">
        <v>49</v>
      </c>
      <c r="AK1369" t="s">
        <v>49</v>
      </c>
      <c r="AM1369" t="s">
        <v>903</v>
      </c>
      <c r="AN1369" t="s">
        <v>154</v>
      </c>
    </row>
    <row r="1370" spans="1:40" x14ac:dyDescent="0.2">
      <c r="A1370" t="s">
        <v>899</v>
      </c>
      <c r="B1370" t="s">
        <v>900</v>
      </c>
      <c r="C1370">
        <v>2019</v>
      </c>
      <c r="D1370" t="s">
        <v>44</v>
      </c>
      <c r="E1370" t="s">
        <v>49</v>
      </c>
      <c r="F1370" t="s">
        <v>82</v>
      </c>
      <c r="G1370" t="s">
        <v>86</v>
      </c>
      <c r="H1370" t="s">
        <v>96</v>
      </c>
      <c r="I1370" t="s">
        <v>901</v>
      </c>
      <c r="J1370">
        <v>7</v>
      </c>
      <c r="K1370" t="s">
        <v>109</v>
      </c>
      <c r="L1370">
        <v>215</v>
      </c>
      <c r="M1370">
        <v>0.27</v>
      </c>
      <c r="N1370" t="s">
        <v>121</v>
      </c>
      <c r="O1370" t="s">
        <v>121</v>
      </c>
      <c r="P1370" t="s">
        <v>286</v>
      </c>
      <c r="Q1370" s="1" t="s">
        <v>2292</v>
      </c>
      <c r="R1370" s="1" t="s">
        <v>264</v>
      </c>
      <c r="S1370" s="1" t="s">
        <v>264</v>
      </c>
      <c r="T1370" t="s">
        <v>396</v>
      </c>
      <c r="X1370" t="s">
        <v>161</v>
      </c>
      <c r="Y1370" t="s">
        <v>2272</v>
      </c>
      <c r="Z1370" t="s">
        <v>2272</v>
      </c>
      <c r="AA1370" t="s">
        <v>2272</v>
      </c>
      <c r="AB1370" t="s">
        <v>2272</v>
      </c>
      <c r="AC1370" t="s">
        <v>162</v>
      </c>
      <c r="AD1370" t="s">
        <v>2272</v>
      </c>
      <c r="AG1370" t="s">
        <v>49</v>
      </c>
      <c r="AK1370" t="s">
        <v>49</v>
      </c>
      <c r="AM1370" t="s">
        <v>903</v>
      </c>
      <c r="AN1370" t="s">
        <v>154</v>
      </c>
    </row>
    <row r="1371" spans="1:40" x14ac:dyDescent="0.2">
      <c r="A1371" t="s">
        <v>899</v>
      </c>
      <c r="B1371" t="s">
        <v>900</v>
      </c>
      <c r="C1371">
        <v>2019</v>
      </c>
      <c r="D1371" t="s">
        <v>44</v>
      </c>
      <c r="E1371" t="s">
        <v>49</v>
      </c>
      <c r="F1371" t="s">
        <v>82</v>
      </c>
      <c r="G1371" t="s">
        <v>86</v>
      </c>
      <c r="H1371" t="s">
        <v>350</v>
      </c>
      <c r="I1371" t="s">
        <v>901</v>
      </c>
      <c r="J1371">
        <v>7</v>
      </c>
      <c r="K1371" t="s">
        <v>109</v>
      </c>
      <c r="L1371">
        <v>175</v>
      </c>
      <c r="M1371">
        <v>0.9</v>
      </c>
      <c r="N1371" t="s">
        <v>125</v>
      </c>
      <c r="O1371" t="s">
        <v>125</v>
      </c>
      <c r="P1371" t="s">
        <v>902</v>
      </c>
      <c r="Q1371" s="1" t="s">
        <v>2276</v>
      </c>
      <c r="R1371" s="1" t="s">
        <v>751</v>
      </c>
      <c r="S1371" s="1" t="s">
        <v>2345</v>
      </c>
      <c r="T1371" t="s">
        <v>396</v>
      </c>
      <c r="X1371" t="s">
        <v>161</v>
      </c>
      <c r="Y1371" t="s">
        <v>2272</v>
      </c>
      <c r="Z1371" t="s">
        <v>2272</v>
      </c>
      <c r="AA1371" t="s">
        <v>2272</v>
      </c>
      <c r="AB1371" t="s">
        <v>2272</v>
      </c>
      <c r="AC1371" t="s">
        <v>162</v>
      </c>
      <c r="AD1371" t="s">
        <v>2272</v>
      </c>
      <c r="AG1371" t="s">
        <v>49</v>
      </c>
      <c r="AK1371" t="s">
        <v>49</v>
      </c>
      <c r="AM1371" t="s">
        <v>903</v>
      </c>
      <c r="AN1371" t="s">
        <v>154</v>
      </c>
    </row>
    <row r="1372" spans="1:40" x14ac:dyDescent="0.2">
      <c r="A1372" t="s">
        <v>899</v>
      </c>
      <c r="B1372" t="s">
        <v>900</v>
      </c>
      <c r="C1372">
        <v>2019</v>
      </c>
      <c r="D1372" t="s">
        <v>44</v>
      </c>
      <c r="E1372" t="s">
        <v>49</v>
      </c>
      <c r="F1372" t="s">
        <v>82</v>
      </c>
      <c r="G1372" t="s">
        <v>86</v>
      </c>
      <c r="H1372" t="s">
        <v>96</v>
      </c>
      <c r="I1372" t="s">
        <v>901</v>
      </c>
      <c r="J1372">
        <v>7</v>
      </c>
      <c r="K1372" t="s">
        <v>109</v>
      </c>
      <c r="L1372">
        <v>215</v>
      </c>
      <c r="M1372">
        <v>0.27</v>
      </c>
      <c r="N1372" t="s">
        <v>121</v>
      </c>
      <c r="O1372" t="s">
        <v>121</v>
      </c>
      <c r="P1372" t="s">
        <v>286</v>
      </c>
      <c r="Q1372" s="1" t="s">
        <v>2292</v>
      </c>
      <c r="R1372" s="1" t="s">
        <v>264</v>
      </c>
      <c r="S1372" s="1" t="s">
        <v>264</v>
      </c>
      <c r="T1372" t="s">
        <v>421</v>
      </c>
      <c r="X1372" t="s">
        <v>161</v>
      </c>
      <c r="Y1372" t="s">
        <v>2272</v>
      </c>
      <c r="Z1372" t="s">
        <v>2272</v>
      </c>
      <c r="AA1372" t="s">
        <v>2272</v>
      </c>
      <c r="AB1372" t="s">
        <v>2272</v>
      </c>
      <c r="AC1372" t="s">
        <v>162</v>
      </c>
      <c r="AD1372" t="s">
        <v>2272</v>
      </c>
      <c r="AG1372" t="s">
        <v>49</v>
      </c>
      <c r="AK1372" t="s">
        <v>49</v>
      </c>
      <c r="AM1372" t="s">
        <v>903</v>
      </c>
      <c r="AN1372" t="s">
        <v>156</v>
      </c>
    </row>
    <row r="1373" spans="1:40" x14ac:dyDescent="0.2">
      <c r="A1373" t="s">
        <v>899</v>
      </c>
      <c r="B1373" t="s">
        <v>900</v>
      </c>
      <c r="C1373">
        <v>2019</v>
      </c>
      <c r="D1373" t="s">
        <v>44</v>
      </c>
      <c r="E1373" t="s">
        <v>49</v>
      </c>
      <c r="F1373" t="s">
        <v>82</v>
      </c>
      <c r="G1373" t="s">
        <v>86</v>
      </c>
      <c r="H1373" t="s">
        <v>350</v>
      </c>
      <c r="I1373" t="s">
        <v>901</v>
      </c>
      <c r="J1373">
        <v>7</v>
      </c>
      <c r="K1373" t="s">
        <v>109</v>
      </c>
      <c r="L1373">
        <v>175</v>
      </c>
      <c r="M1373">
        <v>0.9</v>
      </c>
      <c r="N1373" t="s">
        <v>125</v>
      </c>
      <c r="O1373" t="s">
        <v>125</v>
      </c>
      <c r="P1373" t="s">
        <v>902</v>
      </c>
      <c r="Q1373" s="1" t="s">
        <v>2276</v>
      </c>
      <c r="R1373" s="1" t="s">
        <v>751</v>
      </c>
      <c r="S1373" s="1" t="s">
        <v>2345</v>
      </c>
      <c r="T1373" t="s">
        <v>421</v>
      </c>
      <c r="X1373" t="s">
        <v>161</v>
      </c>
      <c r="Y1373" t="s">
        <v>2272</v>
      </c>
      <c r="Z1373" t="s">
        <v>2272</v>
      </c>
      <c r="AA1373" t="s">
        <v>2272</v>
      </c>
      <c r="AB1373" t="s">
        <v>2272</v>
      </c>
      <c r="AC1373" t="s">
        <v>162</v>
      </c>
      <c r="AD1373" t="s">
        <v>2272</v>
      </c>
      <c r="AG1373" t="s">
        <v>49</v>
      </c>
      <c r="AK1373" t="s">
        <v>49</v>
      </c>
      <c r="AM1373" t="s">
        <v>903</v>
      </c>
      <c r="AN1373" t="s">
        <v>156</v>
      </c>
    </row>
    <row r="1374" spans="1:40" x14ac:dyDescent="0.2">
      <c r="A1374" t="s">
        <v>899</v>
      </c>
      <c r="B1374" t="s">
        <v>900</v>
      </c>
      <c r="C1374">
        <v>2019</v>
      </c>
      <c r="D1374" t="s">
        <v>44</v>
      </c>
      <c r="E1374" t="s">
        <v>49</v>
      </c>
      <c r="F1374" t="s">
        <v>82</v>
      </c>
      <c r="G1374" t="s">
        <v>86</v>
      </c>
      <c r="H1374" t="s">
        <v>96</v>
      </c>
      <c r="I1374" t="s">
        <v>901</v>
      </c>
      <c r="J1374">
        <v>7</v>
      </c>
      <c r="K1374" t="s">
        <v>109</v>
      </c>
      <c r="L1374">
        <v>215</v>
      </c>
      <c r="M1374">
        <v>0.27</v>
      </c>
      <c r="N1374" t="s">
        <v>121</v>
      </c>
      <c r="O1374" t="s">
        <v>121</v>
      </c>
      <c r="P1374" t="s">
        <v>286</v>
      </c>
      <c r="Q1374" s="1" t="s">
        <v>2292</v>
      </c>
      <c r="R1374" s="1" t="s">
        <v>264</v>
      </c>
      <c r="S1374" s="1" t="s">
        <v>264</v>
      </c>
      <c r="T1374" t="s">
        <v>396</v>
      </c>
      <c r="X1374" t="s">
        <v>161</v>
      </c>
      <c r="Y1374" t="s">
        <v>2272</v>
      </c>
      <c r="Z1374" t="s">
        <v>2272</v>
      </c>
      <c r="AA1374" t="s">
        <v>2272</v>
      </c>
      <c r="AB1374" t="s">
        <v>2272</v>
      </c>
      <c r="AC1374" t="s">
        <v>162</v>
      </c>
      <c r="AD1374" t="s">
        <v>2272</v>
      </c>
      <c r="AG1374" t="s">
        <v>49</v>
      </c>
      <c r="AK1374" t="s">
        <v>49</v>
      </c>
      <c r="AM1374" t="s">
        <v>903</v>
      </c>
      <c r="AN1374" t="s">
        <v>156</v>
      </c>
    </row>
    <row r="1375" spans="1:40" x14ac:dyDescent="0.2">
      <c r="A1375" t="s">
        <v>899</v>
      </c>
      <c r="B1375" t="s">
        <v>900</v>
      </c>
      <c r="C1375">
        <v>2019</v>
      </c>
      <c r="D1375" t="s">
        <v>44</v>
      </c>
      <c r="E1375" t="s">
        <v>49</v>
      </c>
      <c r="F1375" t="s">
        <v>82</v>
      </c>
      <c r="G1375" t="s">
        <v>86</v>
      </c>
      <c r="H1375" t="s">
        <v>350</v>
      </c>
      <c r="I1375" t="s">
        <v>901</v>
      </c>
      <c r="J1375">
        <v>7</v>
      </c>
      <c r="K1375" t="s">
        <v>109</v>
      </c>
      <c r="L1375">
        <v>175</v>
      </c>
      <c r="M1375">
        <v>0.9</v>
      </c>
      <c r="N1375" t="s">
        <v>125</v>
      </c>
      <c r="O1375" t="s">
        <v>125</v>
      </c>
      <c r="P1375" t="s">
        <v>902</v>
      </c>
      <c r="Q1375" s="1" t="s">
        <v>2276</v>
      </c>
      <c r="R1375" s="1" t="s">
        <v>751</v>
      </c>
      <c r="S1375" s="1" t="s">
        <v>2345</v>
      </c>
      <c r="T1375" t="s">
        <v>396</v>
      </c>
      <c r="X1375" t="s">
        <v>161</v>
      </c>
      <c r="Y1375" t="s">
        <v>2272</v>
      </c>
      <c r="Z1375" t="s">
        <v>2272</v>
      </c>
      <c r="AA1375" t="s">
        <v>2272</v>
      </c>
      <c r="AB1375" t="s">
        <v>2272</v>
      </c>
      <c r="AC1375" t="s">
        <v>162</v>
      </c>
      <c r="AD1375" t="s">
        <v>2272</v>
      </c>
      <c r="AG1375" t="s">
        <v>49</v>
      </c>
      <c r="AK1375" t="s">
        <v>49</v>
      </c>
      <c r="AM1375" t="s">
        <v>903</v>
      </c>
      <c r="AN1375" t="s">
        <v>156</v>
      </c>
    </row>
    <row r="1376" spans="1:40" x14ac:dyDescent="0.2">
      <c r="A1376" t="s">
        <v>899</v>
      </c>
      <c r="B1376" t="s">
        <v>900</v>
      </c>
      <c r="C1376">
        <v>2019</v>
      </c>
      <c r="D1376" t="s">
        <v>44</v>
      </c>
      <c r="E1376" t="s">
        <v>49</v>
      </c>
      <c r="F1376" t="s">
        <v>82</v>
      </c>
      <c r="G1376" t="s">
        <v>86</v>
      </c>
      <c r="H1376" t="s">
        <v>96</v>
      </c>
      <c r="I1376" t="s">
        <v>901</v>
      </c>
      <c r="J1376">
        <v>7</v>
      </c>
      <c r="K1376" t="s">
        <v>109</v>
      </c>
      <c r="L1376">
        <v>215</v>
      </c>
      <c r="M1376">
        <v>0.27</v>
      </c>
      <c r="N1376" t="s">
        <v>121</v>
      </c>
      <c r="O1376" t="s">
        <v>121</v>
      </c>
      <c r="P1376" t="s">
        <v>286</v>
      </c>
      <c r="Q1376" s="1" t="s">
        <v>2292</v>
      </c>
      <c r="R1376" s="1" t="s">
        <v>264</v>
      </c>
      <c r="S1376" s="1" t="s">
        <v>264</v>
      </c>
      <c r="T1376" t="s">
        <v>421</v>
      </c>
      <c r="X1376" t="s">
        <v>161</v>
      </c>
      <c r="Y1376" t="s">
        <v>2272</v>
      </c>
      <c r="Z1376" t="s">
        <v>2272</v>
      </c>
      <c r="AA1376" t="s">
        <v>2272</v>
      </c>
      <c r="AB1376" t="s">
        <v>2272</v>
      </c>
      <c r="AC1376" t="s">
        <v>162</v>
      </c>
      <c r="AD1376" t="s">
        <v>2272</v>
      </c>
      <c r="AG1376" t="s">
        <v>49</v>
      </c>
      <c r="AK1376" t="s">
        <v>49</v>
      </c>
      <c r="AM1376" t="s">
        <v>903</v>
      </c>
      <c r="AN1376" t="s">
        <v>191</v>
      </c>
    </row>
    <row r="1377" spans="1:45" x14ac:dyDescent="0.2">
      <c r="A1377" t="s">
        <v>899</v>
      </c>
      <c r="B1377" t="s">
        <v>900</v>
      </c>
      <c r="C1377">
        <v>2019</v>
      </c>
      <c r="D1377" t="s">
        <v>44</v>
      </c>
      <c r="E1377" t="s">
        <v>49</v>
      </c>
      <c r="F1377" t="s">
        <v>82</v>
      </c>
      <c r="G1377" t="s">
        <v>86</v>
      </c>
      <c r="H1377" t="s">
        <v>350</v>
      </c>
      <c r="I1377" t="s">
        <v>901</v>
      </c>
      <c r="J1377">
        <v>7</v>
      </c>
      <c r="K1377" t="s">
        <v>109</v>
      </c>
      <c r="L1377">
        <v>175</v>
      </c>
      <c r="M1377">
        <v>0.9</v>
      </c>
      <c r="N1377" t="s">
        <v>125</v>
      </c>
      <c r="O1377" t="s">
        <v>125</v>
      </c>
      <c r="P1377" t="s">
        <v>902</v>
      </c>
      <c r="Q1377" s="1" t="s">
        <v>2276</v>
      </c>
      <c r="R1377" s="1" t="s">
        <v>751</v>
      </c>
      <c r="S1377" s="1" t="s">
        <v>2345</v>
      </c>
      <c r="T1377" t="s">
        <v>421</v>
      </c>
      <c r="X1377" t="s">
        <v>161</v>
      </c>
      <c r="Y1377" t="s">
        <v>2272</v>
      </c>
      <c r="Z1377" t="s">
        <v>2272</v>
      </c>
      <c r="AA1377" t="s">
        <v>2272</v>
      </c>
      <c r="AB1377" t="s">
        <v>2272</v>
      </c>
      <c r="AC1377" t="s">
        <v>162</v>
      </c>
      <c r="AD1377" t="s">
        <v>2272</v>
      </c>
      <c r="AG1377" t="s">
        <v>49</v>
      </c>
      <c r="AK1377" t="s">
        <v>49</v>
      </c>
      <c r="AM1377" t="s">
        <v>903</v>
      </c>
      <c r="AN1377" t="s">
        <v>191</v>
      </c>
    </row>
    <row r="1378" spans="1:45" x14ac:dyDescent="0.2">
      <c r="A1378" t="s">
        <v>899</v>
      </c>
      <c r="B1378" t="s">
        <v>900</v>
      </c>
      <c r="C1378">
        <v>2019</v>
      </c>
      <c r="D1378" t="s">
        <v>44</v>
      </c>
      <c r="E1378" t="s">
        <v>49</v>
      </c>
      <c r="F1378" t="s">
        <v>82</v>
      </c>
      <c r="G1378" t="s">
        <v>86</v>
      </c>
      <c r="H1378" t="s">
        <v>96</v>
      </c>
      <c r="I1378" t="s">
        <v>901</v>
      </c>
      <c r="J1378">
        <v>7</v>
      </c>
      <c r="K1378" t="s">
        <v>109</v>
      </c>
      <c r="L1378">
        <v>215</v>
      </c>
      <c r="M1378">
        <v>0.27</v>
      </c>
      <c r="N1378" t="s">
        <v>121</v>
      </c>
      <c r="O1378" t="s">
        <v>121</v>
      </c>
      <c r="P1378" t="s">
        <v>286</v>
      </c>
      <c r="Q1378" s="1" t="s">
        <v>2292</v>
      </c>
      <c r="R1378" s="1" t="s">
        <v>264</v>
      </c>
      <c r="S1378" s="1" t="s">
        <v>264</v>
      </c>
      <c r="T1378" t="s">
        <v>396</v>
      </c>
      <c r="X1378" t="s">
        <v>161</v>
      </c>
      <c r="Y1378" t="s">
        <v>2272</v>
      </c>
      <c r="Z1378" t="s">
        <v>2272</v>
      </c>
      <c r="AA1378" t="s">
        <v>2272</v>
      </c>
      <c r="AB1378" t="s">
        <v>2272</v>
      </c>
      <c r="AC1378" t="s">
        <v>162</v>
      </c>
      <c r="AD1378" t="s">
        <v>2272</v>
      </c>
      <c r="AG1378" t="s">
        <v>49</v>
      </c>
      <c r="AK1378" t="s">
        <v>49</v>
      </c>
      <c r="AM1378" t="s">
        <v>903</v>
      </c>
      <c r="AN1378" t="s">
        <v>191</v>
      </c>
    </row>
    <row r="1379" spans="1:45" x14ac:dyDescent="0.2">
      <c r="A1379" t="s">
        <v>899</v>
      </c>
      <c r="B1379" t="s">
        <v>900</v>
      </c>
      <c r="C1379">
        <v>2019</v>
      </c>
      <c r="D1379" t="s">
        <v>44</v>
      </c>
      <c r="E1379" t="s">
        <v>49</v>
      </c>
      <c r="F1379" t="s">
        <v>82</v>
      </c>
      <c r="G1379" t="s">
        <v>86</v>
      </c>
      <c r="H1379" t="s">
        <v>350</v>
      </c>
      <c r="I1379" t="s">
        <v>901</v>
      </c>
      <c r="J1379">
        <v>7</v>
      </c>
      <c r="K1379" t="s">
        <v>109</v>
      </c>
      <c r="L1379">
        <v>175</v>
      </c>
      <c r="M1379">
        <v>0.9</v>
      </c>
      <c r="N1379" t="s">
        <v>125</v>
      </c>
      <c r="O1379" t="s">
        <v>125</v>
      </c>
      <c r="P1379" t="s">
        <v>902</v>
      </c>
      <c r="Q1379" s="1" t="s">
        <v>2276</v>
      </c>
      <c r="R1379" s="1" t="s">
        <v>751</v>
      </c>
      <c r="S1379" s="1" t="s">
        <v>2345</v>
      </c>
      <c r="T1379" t="s">
        <v>396</v>
      </c>
      <c r="X1379" t="s">
        <v>161</v>
      </c>
      <c r="Y1379" t="s">
        <v>2272</v>
      </c>
      <c r="Z1379" t="s">
        <v>2272</v>
      </c>
      <c r="AA1379" t="s">
        <v>2272</v>
      </c>
      <c r="AB1379" t="s">
        <v>2272</v>
      </c>
      <c r="AC1379" t="s">
        <v>162</v>
      </c>
      <c r="AD1379" t="s">
        <v>2272</v>
      </c>
      <c r="AG1379" t="s">
        <v>49</v>
      </c>
      <c r="AK1379" t="s">
        <v>49</v>
      </c>
      <c r="AM1379" t="s">
        <v>903</v>
      </c>
      <c r="AN1379" t="s">
        <v>191</v>
      </c>
    </row>
    <row r="1380" spans="1:45" x14ac:dyDescent="0.2">
      <c r="A1380" t="s">
        <v>904</v>
      </c>
      <c r="B1380" t="s">
        <v>905</v>
      </c>
      <c r="C1380">
        <v>2019</v>
      </c>
      <c r="D1380" t="s">
        <v>44</v>
      </c>
      <c r="F1380" t="s">
        <v>53</v>
      </c>
      <c r="G1380" t="s">
        <v>86</v>
      </c>
      <c r="H1380" t="s">
        <v>96</v>
      </c>
      <c r="L1380">
        <v>0.3</v>
      </c>
      <c r="Q1380" s="1" t="s">
        <v>2272</v>
      </c>
      <c r="R1380" s="1" t="s">
        <v>2272</v>
      </c>
      <c r="S1380" s="1" t="s">
        <v>2272</v>
      </c>
      <c r="Y1380" t="s">
        <v>2272</v>
      </c>
      <c r="Z1380" t="s">
        <v>2272</v>
      </c>
      <c r="AA1380" t="s">
        <v>2272</v>
      </c>
      <c r="AB1380" t="s">
        <v>2272</v>
      </c>
      <c r="AD1380" t="s">
        <v>2272</v>
      </c>
      <c r="AR1380" t="s">
        <v>144</v>
      </c>
      <c r="AS1380" t="s">
        <v>2586</v>
      </c>
    </row>
    <row r="1381" spans="1:45" x14ac:dyDescent="0.2">
      <c r="A1381" t="s">
        <v>906</v>
      </c>
      <c r="B1381" t="s">
        <v>907</v>
      </c>
      <c r="C1381">
        <v>2019</v>
      </c>
      <c r="Q1381" s="1" t="s">
        <v>2272</v>
      </c>
      <c r="R1381" s="1" t="s">
        <v>2272</v>
      </c>
      <c r="S1381" s="1" t="s">
        <v>2272</v>
      </c>
      <c r="Y1381" t="s">
        <v>2272</v>
      </c>
      <c r="Z1381" t="s">
        <v>2272</v>
      </c>
      <c r="AA1381" t="s">
        <v>2272</v>
      </c>
      <c r="AB1381" t="s">
        <v>2272</v>
      </c>
      <c r="AD1381" t="s">
        <v>2272</v>
      </c>
      <c r="AR1381" t="s">
        <v>144</v>
      </c>
      <c r="AS1381" t="s">
        <v>2583</v>
      </c>
    </row>
    <row r="1382" spans="1:45" x14ac:dyDescent="0.2">
      <c r="A1382" t="s">
        <v>908</v>
      </c>
      <c r="B1382" t="s">
        <v>909</v>
      </c>
      <c r="C1382">
        <v>2019</v>
      </c>
      <c r="D1382" t="s">
        <v>45</v>
      </c>
      <c r="E1382" t="s">
        <v>49</v>
      </c>
      <c r="F1382" t="s">
        <v>83</v>
      </c>
      <c r="G1382" t="s">
        <v>85</v>
      </c>
      <c r="H1382" t="s">
        <v>350</v>
      </c>
      <c r="I1382">
        <v>2014</v>
      </c>
      <c r="N1382" t="s">
        <v>120</v>
      </c>
      <c r="O1382" t="s">
        <v>120</v>
      </c>
      <c r="P1382" t="s">
        <v>244</v>
      </c>
      <c r="Q1382" s="1" t="s">
        <v>2276</v>
      </c>
      <c r="R1382" s="1" t="s">
        <v>669</v>
      </c>
      <c r="S1382" s="1" t="s">
        <v>168</v>
      </c>
      <c r="V1382" t="s">
        <v>194</v>
      </c>
      <c r="W1382" t="s">
        <v>910</v>
      </c>
      <c r="X1382" t="s">
        <v>615</v>
      </c>
      <c r="Y1382" t="s">
        <v>2273</v>
      </c>
      <c r="Z1382" t="s">
        <v>249</v>
      </c>
      <c r="AA1382" t="s">
        <v>2359</v>
      </c>
      <c r="AB1382" t="s">
        <v>2285</v>
      </c>
      <c r="AC1382" t="s">
        <v>152</v>
      </c>
      <c r="AD1382" t="s">
        <v>137</v>
      </c>
    </row>
    <row r="1383" spans="1:45" x14ac:dyDescent="0.2">
      <c r="A1383" t="s">
        <v>908</v>
      </c>
      <c r="B1383" t="s">
        <v>909</v>
      </c>
      <c r="C1383">
        <v>2019</v>
      </c>
      <c r="D1383" t="s">
        <v>45</v>
      </c>
      <c r="E1383" t="s">
        <v>49</v>
      </c>
      <c r="F1383" t="s">
        <v>83</v>
      </c>
      <c r="G1383" t="s">
        <v>85</v>
      </c>
      <c r="H1383" t="s">
        <v>350</v>
      </c>
      <c r="I1383">
        <v>2014</v>
      </c>
      <c r="N1383" t="s">
        <v>120</v>
      </c>
      <c r="O1383" t="s">
        <v>120</v>
      </c>
      <c r="P1383" t="s">
        <v>910</v>
      </c>
      <c r="Q1383" s="1" t="s">
        <v>2276</v>
      </c>
      <c r="R1383" s="1" t="s">
        <v>669</v>
      </c>
      <c r="S1383" s="1" t="s">
        <v>168</v>
      </c>
      <c r="V1383" t="s">
        <v>194</v>
      </c>
      <c r="W1383" t="s">
        <v>910</v>
      </c>
      <c r="X1383" t="s">
        <v>615</v>
      </c>
      <c r="Y1383" t="s">
        <v>2273</v>
      </c>
      <c r="Z1383" t="s">
        <v>249</v>
      </c>
      <c r="AA1383" t="s">
        <v>2359</v>
      </c>
      <c r="AB1383" t="s">
        <v>2285</v>
      </c>
      <c r="AC1383" t="s">
        <v>152</v>
      </c>
      <c r="AD1383" t="s">
        <v>137</v>
      </c>
    </row>
    <row r="1384" spans="1:45" x14ac:dyDescent="0.2">
      <c r="A1384" t="s">
        <v>908</v>
      </c>
      <c r="B1384" t="s">
        <v>909</v>
      </c>
      <c r="C1384">
        <v>2019</v>
      </c>
      <c r="D1384" t="s">
        <v>45</v>
      </c>
      <c r="E1384" t="s">
        <v>49</v>
      </c>
      <c r="F1384" t="s">
        <v>83</v>
      </c>
      <c r="G1384" t="s">
        <v>85</v>
      </c>
      <c r="H1384" t="s">
        <v>350</v>
      </c>
      <c r="I1384">
        <v>2014</v>
      </c>
      <c r="N1384" t="s">
        <v>120</v>
      </c>
      <c r="O1384" t="s">
        <v>120</v>
      </c>
      <c r="P1384" t="s">
        <v>911</v>
      </c>
      <c r="Q1384" s="1" t="s">
        <v>2276</v>
      </c>
      <c r="R1384" s="1" t="s">
        <v>669</v>
      </c>
      <c r="S1384" s="1" t="s">
        <v>168</v>
      </c>
      <c r="V1384" t="s">
        <v>194</v>
      </c>
      <c r="W1384" t="s">
        <v>910</v>
      </c>
      <c r="X1384" t="s">
        <v>615</v>
      </c>
      <c r="Y1384" t="s">
        <v>2273</v>
      </c>
      <c r="Z1384" t="s">
        <v>249</v>
      </c>
      <c r="AA1384" t="s">
        <v>2359</v>
      </c>
      <c r="AB1384" t="s">
        <v>2285</v>
      </c>
      <c r="AC1384" t="s">
        <v>152</v>
      </c>
      <c r="AD1384" t="s">
        <v>137</v>
      </c>
    </row>
    <row r="1385" spans="1:45" x14ac:dyDescent="0.2">
      <c r="A1385" t="s">
        <v>908</v>
      </c>
      <c r="B1385" t="s">
        <v>909</v>
      </c>
      <c r="C1385">
        <v>2019</v>
      </c>
      <c r="D1385" t="s">
        <v>45</v>
      </c>
      <c r="E1385" t="s">
        <v>49</v>
      </c>
      <c r="F1385" t="s">
        <v>83</v>
      </c>
      <c r="G1385" t="s">
        <v>85</v>
      </c>
      <c r="H1385" t="s">
        <v>350</v>
      </c>
      <c r="I1385">
        <v>2014</v>
      </c>
      <c r="M1385">
        <v>0</v>
      </c>
      <c r="N1385" t="s">
        <v>120</v>
      </c>
      <c r="O1385" t="s">
        <v>120</v>
      </c>
      <c r="P1385" t="s">
        <v>244</v>
      </c>
      <c r="Q1385" s="1" t="s">
        <v>2276</v>
      </c>
      <c r="R1385" s="1" t="s">
        <v>669</v>
      </c>
      <c r="S1385" s="1" t="s">
        <v>168</v>
      </c>
      <c r="T1385" t="s">
        <v>421</v>
      </c>
      <c r="U1385" t="s">
        <v>421</v>
      </c>
      <c r="V1385" t="s">
        <v>194</v>
      </c>
      <c r="W1385" t="s">
        <v>910</v>
      </c>
      <c r="X1385" t="s">
        <v>161</v>
      </c>
      <c r="Y1385" t="s">
        <v>2272</v>
      </c>
      <c r="Z1385" t="s">
        <v>2272</v>
      </c>
      <c r="AA1385" t="s">
        <v>2272</v>
      </c>
      <c r="AB1385" t="s">
        <v>2272</v>
      </c>
      <c r="AC1385" t="s">
        <v>162</v>
      </c>
      <c r="AD1385" t="s">
        <v>2272</v>
      </c>
      <c r="AH1385" s="4" t="s">
        <v>49</v>
      </c>
      <c r="AL1385" t="s">
        <v>49</v>
      </c>
      <c r="AM1385" t="s">
        <v>912</v>
      </c>
      <c r="AN1385" t="s">
        <v>166</v>
      </c>
      <c r="AQ1385" s="5">
        <v>1</v>
      </c>
    </row>
    <row r="1386" spans="1:45" x14ac:dyDescent="0.2">
      <c r="A1386" t="s">
        <v>908</v>
      </c>
      <c r="B1386" t="s">
        <v>909</v>
      </c>
      <c r="C1386">
        <v>2019</v>
      </c>
      <c r="D1386" t="s">
        <v>45</v>
      </c>
      <c r="E1386" t="s">
        <v>49</v>
      </c>
      <c r="F1386" t="s">
        <v>83</v>
      </c>
      <c r="G1386" t="s">
        <v>85</v>
      </c>
      <c r="H1386" t="s">
        <v>350</v>
      </c>
      <c r="I1386">
        <v>2014</v>
      </c>
      <c r="M1386">
        <v>0</v>
      </c>
      <c r="N1386" t="s">
        <v>120</v>
      </c>
      <c r="O1386" t="s">
        <v>120</v>
      </c>
      <c r="P1386" t="s">
        <v>910</v>
      </c>
      <c r="Q1386" s="1" t="s">
        <v>2276</v>
      </c>
      <c r="R1386" s="1" t="s">
        <v>669</v>
      </c>
      <c r="S1386" s="1" t="s">
        <v>168</v>
      </c>
      <c r="T1386" t="s">
        <v>421</v>
      </c>
      <c r="U1386" t="s">
        <v>421</v>
      </c>
      <c r="V1386" t="s">
        <v>194</v>
      </c>
      <c r="W1386" t="s">
        <v>910</v>
      </c>
      <c r="X1386" t="s">
        <v>161</v>
      </c>
      <c r="Y1386" t="s">
        <v>2272</v>
      </c>
      <c r="Z1386" t="s">
        <v>2272</v>
      </c>
      <c r="AA1386" t="s">
        <v>2272</v>
      </c>
      <c r="AB1386" t="s">
        <v>2272</v>
      </c>
      <c r="AC1386" t="s">
        <v>162</v>
      </c>
      <c r="AD1386" t="s">
        <v>2272</v>
      </c>
      <c r="AH1386" s="4" t="s">
        <v>49</v>
      </c>
      <c r="AL1386" t="s">
        <v>49</v>
      </c>
      <c r="AM1386" t="s">
        <v>912</v>
      </c>
      <c r="AN1386" t="s">
        <v>166</v>
      </c>
      <c r="AQ1386" s="5">
        <v>1</v>
      </c>
    </row>
    <row r="1387" spans="1:45" x14ac:dyDescent="0.2">
      <c r="A1387" t="s">
        <v>908</v>
      </c>
      <c r="B1387" t="s">
        <v>909</v>
      </c>
      <c r="C1387">
        <v>2019</v>
      </c>
      <c r="D1387" t="s">
        <v>45</v>
      </c>
      <c r="E1387" t="s">
        <v>49</v>
      </c>
      <c r="F1387" t="s">
        <v>83</v>
      </c>
      <c r="G1387" t="s">
        <v>85</v>
      </c>
      <c r="H1387" t="s">
        <v>350</v>
      </c>
      <c r="I1387">
        <v>2014</v>
      </c>
      <c r="M1387">
        <v>0</v>
      </c>
      <c r="N1387" t="s">
        <v>120</v>
      </c>
      <c r="O1387" t="s">
        <v>120</v>
      </c>
      <c r="P1387" t="s">
        <v>911</v>
      </c>
      <c r="Q1387" s="1" t="s">
        <v>2276</v>
      </c>
      <c r="R1387" s="1" t="s">
        <v>669</v>
      </c>
      <c r="S1387" s="1" t="s">
        <v>168</v>
      </c>
      <c r="T1387" t="s">
        <v>421</v>
      </c>
      <c r="U1387" t="s">
        <v>421</v>
      </c>
      <c r="V1387" t="s">
        <v>194</v>
      </c>
      <c r="W1387" t="s">
        <v>910</v>
      </c>
      <c r="X1387" t="s">
        <v>161</v>
      </c>
      <c r="Y1387" t="s">
        <v>2272</v>
      </c>
      <c r="Z1387" t="s">
        <v>2272</v>
      </c>
      <c r="AA1387" t="s">
        <v>2272</v>
      </c>
      <c r="AB1387" t="s">
        <v>2272</v>
      </c>
      <c r="AC1387" t="s">
        <v>162</v>
      </c>
      <c r="AD1387" t="s">
        <v>2272</v>
      </c>
      <c r="AH1387" s="4" t="s">
        <v>49</v>
      </c>
      <c r="AL1387" t="s">
        <v>49</v>
      </c>
      <c r="AM1387" t="s">
        <v>912</v>
      </c>
      <c r="AN1387" t="s">
        <v>166</v>
      </c>
      <c r="AQ1387" s="5">
        <v>1</v>
      </c>
    </row>
    <row r="1388" spans="1:45" x14ac:dyDescent="0.2">
      <c r="A1388" t="s">
        <v>908</v>
      </c>
      <c r="B1388" t="s">
        <v>909</v>
      </c>
      <c r="C1388">
        <v>2019</v>
      </c>
      <c r="D1388" t="s">
        <v>45</v>
      </c>
      <c r="E1388" t="s">
        <v>49</v>
      </c>
      <c r="F1388" t="s">
        <v>83</v>
      </c>
      <c r="G1388" t="s">
        <v>85</v>
      </c>
      <c r="H1388" t="s">
        <v>350</v>
      </c>
      <c r="I1388">
        <v>2014</v>
      </c>
      <c r="M1388">
        <v>0</v>
      </c>
      <c r="N1388" t="s">
        <v>120</v>
      </c>
      <c r="O1388" t="s">
        <v>120</v>
      </c>
      <c r="P1388" t="s">
        <v>244</v>
      </c>
      <c r="Q1388" s="1" t="s">
        <v>2276</v>
      </c>
      <c r="R1388" s="1" t="s">
        <v>669</v>
      </c>
      <c r="S1388" s="1" t="s">
        <v>168</v>
      </c>
      <c r="T1388" t="s">
        <v>396</v>
      </c>
      <c r="U1388" t="s">
        <v>2364</v>
      </c>
      <c r="V1388" t="s">
        <v>194</v>
      </c>
      <c r="W1388" t="s">
        <v>910</v>
      </c>
      <c r="X1388" t="s">
        <v>161</v>
      </c>
      <c r="Y1388" t="s">
        <v>2272</v>
      </c>
      <c r="Z1388" t="s">
        <v>2272</v>
      </c>
      <c r="AA1388" t="s">
        <v>2272</v>
      </c>
      <c r="AB1388" t="s">
        <v>2272</v>
      </c>
      <c r="AC1388" t="s">
        <v>162</v>
      </c>
      <c r="AD1388" t="s">
        <v>2272</v>
      </c>
      <c r="AH1388" s="4" t="s">
        <v>49</v>
      </c>
      <c r="AL1388" t="s">
        <v>49</v>
      </c>
      <c r="AM1388" t="s">
        <v>912</v>
      </c>
      <c r="AN1388" t="s">
        <v>166</v>
      </c>
      <c r="AQ1388" s="5">
        <v>0</v>
      </c>
    </row>
    <row r="1389" spans="1:45" x14ac:dyDescent="0.2">
      <c r="A1389" t="s">
        <v>908</v>
      </c>
      <c r="B1389" t="s">
        <v>909</v>
      </c>
      <c r="C1389">
        <v>2019</v>
      </c>
      <c r="D1389" t="s">
        <v>45</v>
      </c>
      <c r="E1389" t="s">
        <v>49</v>
      </c>
      <c r="F1389" t="s">
        <v>83</v>
      </c>
      <c r="G1389" t="s">
        <v>85</v>
      </c>
      <c r="H1389" t="s">
        <v>350</v>
      </c>
      <c r="I1389">
        <v>2014</v>
      </c>
      <c r="M1389">
        <v>0</v>
      </c>
      <c r="N1389" t="s">
        <v>120</v>
      </c>
      <c r="O1389" t="s">
        <v>120</v>
      </c>
      <c r="P1389" t="s">
        <v>910</v>
      </c>
      <c r="Q1389" s="1" t="s">
        <v>2276</v>
      </c>
      <c r="R1389" s="1" t="s">
        <v>669</v>
      </c>
      <c r="S1389" s="1" t="s">
        <v>168</v>
      </c>
      <c r="T1389" t="s">
        <v>396</v>
      </c>
      <c r="U1389" t="s">
        <v>2364</v>
      </c>
      <c r="V1389" t="s">
        <v>194</v>
      </c>
      <c r="W1389" t="s">
        <v>910</v>
      </c>
      <c r="X1389" t="s">
        <v>161</v>
      </c>
      <c r="Y1389" t="s">
        <v>2272</v>
      </c>
      <c r="Z1389" t="s">
        <v>2272</v>
      </c>
      <c r="AA1389" t="s">
        <v>2272</v>
      </c>
      <c r="AB1389" t="s">
        <v>2272</v>
      </c>
      <c r="AC1389" t="s">
        <v>162</v>
      </c>
      <c r="AD1389" t="s">
        <v>2272</v>
      </c>
      <c r="AH1389" s="4" t="s">
        <v>49</v>
      </c>
      <c r="AL1389" t="s">
        <v>49</v>
      </c>
      <c r="AM1389" t="s">
        <v>912</v>
      </c>
      <c r="AN1389" t="s">
        <v>166</v>
      </c>
      <c r="AQ1389" s="5">
        <v>0</v>
      </c>
    </row>
    <row r="1390" spans="1:45" x14ac:dyDescent="0.2">
      <c r="A1390" t="s">
        <v>908</v>
      </c>
      <c r="B1390" t="s">
        <v>909</v>
      </c>
      <c r="C1390">
        <v>2019</v>
      </c>
      <c r="D1390" t="s">
        <v>45</v>
      </c>
      <c r="E1390" t="s">
        <v>49</v>
      </c>
      <c r="F1390" t="s">
        <v>83</v>
      </c>
      <c r="G1390" t="s">
        <v>85</v>
      </c>
      <c r="H1390" t="s">
        <v>350</v>
      </c>
      <c r="I1390">
        <v>2014</v>
      </c>
      <c r="M1390">
        <v>0</v>
      </c>
      <c r="N1390" t="s">
        <v>120</v>
      </c>
      <c r="O1390" t="s">
        <v>120</v>
      </c>
      <c r="P1390" t="s">
        <v>911</v>
      </c>
      <c r="Q1390" s="1" t="s">
        <v>2276</v>
      </c>
      <c r="R1390" s="1" t="s">
        <v>669</v>
      </c>
      <c r="S1390" s="1" t="s">
        <v>168</v>
      </c>
      <c r="T1390" t="s">
        <v>396</v>
      </c>
      <c r="U1390" t="s">
        <v>2364</v>
      </c>
      <c r="V1390" t="s">
        <v>194</v>
      </c>
      <c r="W1390" t="s">
        <v>910</v>
      </c>
      <c r="X1390" t="s">
        <v>161</v>
      </c>
      <c r="Y1390" t="s">
        <v>2272</v>
      </c>
      <c r="Z1390" t="s">
        <v>2272</v>
      </c>
      <c r="AA1390" t="s">
        <v>2272</v>
      </c>
      <c r="AB1390" t="s">
        <v>2272</v>
      </c>
      <c r="AC1390" t="s">
        <v>162</v>
      </c>
      <c r="AD1390" t="s">
        <v>2272</v>
      </c>
      <c r="AH1390" s="4" t="s">
        <v>49</v>
      </c>
      <c r="AL1390" t="s">
        <v>49</v>
      </c>
      <c r="AM1390" t="s">
        <v>912</v>
      </c>
      <c r="AN1390" t="s">
        <v>166</v>
      </c>
      <c r="AQ1390" s="5">
        <v>0</v>
      </c>
    </row>
    <row r="1391" spans="1:45" x14ac:dyDescent="0.2">
      <c r="A1391" t="s">
        <v>908</v>
      </c>
      <c r="B1391" t="s">
        <v>909</v>
      </c>
      <c r="C1391">
        <v>2019</v>
      </c>
      <c r="D1391" t="s">
        <v>811</v>
      </c>
      <c r="E1391" t="s">
        <v>49</v>
      </c>
      <c r="F1391" t="s">
        <v>83</v>
      </c>
      <c r="G1391" t="s">
        <v>85</v>
      </c>
      <c r="H1391" t="s">
        <v>350</v>
      </c>
      <c r="I1391">
        <v>2015</v>
      </c>
      <c r="J1391">
        <v>0.17</v>
      </c>
      <c r="K1391" t="s">
        <v>101</v>
      </c>
      <c r="L1391">
        <v>0.1</v>
      </c>
      <c r="M1391">
        <v>1</v>
      </c>
      <c r="N1391" t="s">
        <v>120</v>
      </c>
      <c r="O1391" t="s">
        <v>120</v>
      </c>
      <c r="P1391" t="s">
        <v>244</v>
      </c>
      <c r="Q1391" s="1" t="s">
        <v>2276</v>
      </c>
      <c r="R1391" s="1" t="s">
        <v>669</v>
      </c>
      <c r="S1391" s="1" t="s">
        <v>168</v>
      </c>
      <c r="V1391" t="s">
        <v>194</v>
      </c>
      <c r="W1391" t="s">
        <v>910</v>
      </c>
      <c r="X1391" t="s">
        <v>211</v>
      </c>
      <c r="Y1391" t="s">
        <v>2279</v>
      </c>
      <c r="Z1391" t="s">
        <v>2280</v>
      </c>
      <c r="AA1391" t="s">
        <v>2358</v>
      </c>
      <c r="AB1391" t="s">
        <v>2290</v>
      </c>
      <c r="AC1391" t="s">
        <v>152</v>
      </c>
      <c r="AD1391" t="s">
        <v>2278</v>
      </c>
      <c r="AH1391" s="4" t="s">
        <v>49</v>
      </c>
      <c r="AI1391" t="s">
        <v>49</v>
      </c>
      <c r="AM1391" t="s">
        <v>233</v>
      </c>
      <c r="AN1391" t="s">
        <v>166</v>
      </c>
      <c r="AP1391" t="s">
        <v>157</v>
      </c>
    </row>
    <row r="1392" spans="1:45" x14ac:dyDescent="0.2">
      <c r="A1392" t="s">
        <v>908</v>
      </c>
      <c r="B1392" t="s">
        <v>909</v>
      </c>
      <c r="C1392">
        <v>2019</v>
      </c>
      <c r="D1392" t="s">
        <v>811</v>
      </c>
      <c r="E1392" t="s">
        <v>49</v>
      </c>
      <c r="F1392" t="s">
        <v>83</v>
      </c>
      <c r="G1392" t="s">
        <v>85</v>
      </c>
      <c r="H1392" t="s">
        <v>350</v>
      </c>
      <c r="I1392">
        <v>2015</v>
      </c>
      <c r="J1392">
        <v>0.17</v>
      </c>
      <c r="K1392" t="s">
        <v>101</v>
      </c>
      <c r="L1392">
        <v>0.1</v>
      </c>
      <c r="M1392">
        <v>1</v>
      </c>
      <c r="N1392" t="s">
        <v>120</v>
      </c>
      <c r="O1392" t="s">
        <v>120</v>
      </c>
      <c r="P1392" t="s">
        <v>910</v>
      </c>
      <c r="Q1392" s="1" t="s">
        <v>2276</v>
      </c>
      <c r="R1392" s="1" t="s">
        <v>669</v>
      </c>
      <c r="S1392" s="1" t="s">
        <v>168</v>
      </c>
      <c r="V1392" t="s">
        <v>194</v>
      </c>
      <c r="W1392" t="s">
        <v>910</v>
      </c>
      <c r="X1392" t="s">
        <v>211</v>
      </c>
      <c r="Y1392" t="s">
        <v>2279</v>
      </c>
      <c r="Z1392" t="s">
        <v>2280</v>
      </c>
      <c r="AA1392" t="s">
        <v>2358</v>
      </c>
      <c r="AB1392" t="s">
        <v>2290</v>
      </c>
      <c r="AC1392" t="s">
        <v>152</v>
      </c>
      <c r="AD1392" t="s">
        <v>2278</v>
      </c>
      <c r="AH1392" s="4" t="s">
        <v>49</v>
      </c>
      <c r="AI1392" t="s">
        <v>49</v>
      </c>
      <c r="AM1392" t="s">
        <v>233</v>
      </c>
      <c r="AN1392" t="s">
        <v>166</v>
      </c>
      <c r="AP1392" t="s">
        <v>157</v>
      </c>
    </row>
    <row r="1393" spans="1:43" x14ac:dyDescent="0.2">
      <c r="A1393" t="s">
        <v>908</v>
      </c>
      <c r="B1393" t="s">
        <v>909</v>
      </c>
      <c r="C1393">
        <v>2019</v>
      </c>
      <c r="D1393" t="s">
        <v>811</v>
      </c>
      <c r="E1393" t="s">
        <v>49</v>
      </c>
      <c r="F1393" t="s">
        <v>83</v>
      </c>
      <c r="G1393" t="s">
        <v>85</v>
      </c>
      <c r="H1393" t="s">
        <v>350</v>
      </c>
      <c r="I1393">
        <v>2015</v>
      </c>
      <c r="J1393">
        <v>0.17</v>
      </c>
      <c r="K1393" t="s">
        <v>101</v>
      </c>
      <c r="L1393">
        <v>0.1</v>
      </c>
      <c r="M1393">
        <v>1</v>
      </c>
      <c r="N1393" t="s">
        <v>120</v>
      </c>
      <c r="O1393" t="s">
        <v>120</v>
      </c>
      <c r="P1393" t="s">
        <v>244</v>
      </c>
      <c r="Q1393" s="1" t="s">
        <v>2276</v>
      </c>
      <c r="R1393" s="1" t="s">
        <v>669</v>
      </c>
      <c r="S1393" s="1" t="s">
        <v>168</v>
      </c>
      <c r="T1393" t="s">
        <v>396</v>
      </c>
      <c r="U1393" t="s">
        <v>168</v>
      </c>
      <c r="V1393" t="s">
        <v>194</v>
      </c>
      <c r="W1393" t="s">
        <v>910</v>
      </c>
      <c r="X1393" t="s">
        <v>161</v>
      </c>
      <c r="Y1393" t="s">
        <v>2272</v>
      </c>
      <c r="Z1393" t="s">
        <v>2272</v>
      </c>
      <c r="AA1393" t="s">
        <v>2272</v>
      </c>
      <c r="AB1393" t="s">
        <v>2272</v>
      </c>
      <c r="AC1393" t="s">
        <v>162</v>
      </c>
      <c r="AD1393" t="s">
        <v>2272</v>
      </c>
      <c r="AH1393" s="4" t="s">
        <v>49</v>
      </c>
      <c r="AI1393" t="s">
        <v>49</v>
      </c>
      <c r="AM1393" t="s">
        <v>233</v>
      </c>
      <c r="AN1393" t="s">
        <v>166</v>
      </c>
      <c r="AQ1393" s="5">
        <v>0</v>
      </c>
    </row>
    <row r="1394" spans="1:43" x14ac:dyDescent="0.2">
      <c r="A1394" t="s">
        <v>908</v>
      </c>
      <c r="B1394" t="s">
        <v>909</v>
      </c>
      <c r="C1394">
        <v>2019</v>
      </c>
      <c r="D1394" t="s">
        <v>811</v>
      </c>
      <c r="E1394" t="s">
        <v>49</v>
      </c>
      <c r="F1394" t="s">
        <v>83</v>
      </c>
      <c r="G1394" t="s">
        <v>85</v>
      </c>
      <c r="H1394" t="s">
        <v>350</v>
      </c>
      <c r="I1394">
        <v>2015</v>
      </c>
      <c r="J1394">
        <v>0.17</v>
      </c>
      <c r="K1394" t="s">
        <v>101</v>
      </c>
      <c r="L1394">
        <v>0.1</v>
      </c>
      <c r="M1394">
        <v>1</v>
      </c>
      <c r="N1394" t="s">
        <v>120</v>
      </c>
      <c r="O1394" t="s">
        <v>120</v>
      </c>
      <c r="P1394" t="s">
        <v>910</v>
      </c>
      <c r="Q1394" s="1" t="s">
        <v>2276</v>
      </c>
      <c r="R1394" s="1" t="s">
        <v>669</v>
      </c>
      <c r="S1394" s="1" t="s">
        <v>168</v>
      </c>
      <c r="T1394" t="s">
        <v>396</v>
      </c>
      <c r="U1394" t="s">
        <v>168</v>
      </c>
      <c r="V1394" t="s">
        <v>194</v>
      </c>
      <c r="W1394" t="s">
        <v>910</v>
      </c>
      <c r="X1394" t="s">
        <v>161</v>
      </c>
      <c r="Y1394" t="s">
        <v>2272</v>
      </c>
      <c r="Z1394" t="s">
        <v>2272</v>
      </c>
      <c r="AA1394" t="s">
        <v>2272</v>
      </c>
      <c r="AB1394" t="s">
        <v>2272</v>
      </c>
      <c r="AC1394" t="s">
        <v>162</v>
      </c>
      <c r="AD1394" t="s">
        <v>2272</v>
      </c>
      <c r="AH1394" s="4" t="s">
        <v>49</v>
      </c>
      <c r="AI1394" t="s">
        <v>49</v>
      </c>
      <c r="AM1394" t="s">
        <v>233</v>
      </c>
      <c r="AN1394" t="s">
        <v>166</v>
      </c>
      <c r="AQ1394" s="5">
        <v>0</v>
      </c>
    </row>
    <row r="1395" spans="1:43" x14ac:dyDescent="0.2">
      <c r="A1395" t="s">
        <v>908</v>
      </c>
      <c r="B1395" t="s">
        <v>909</v>
      </c>
      <c r="C1395">
        <v>2019</v>
      </c>
      <c r="D1395" t="s">
        <v>811</v>
      </c>
      <c r="E1395" t="s">
        <v>49</v>
      </c>
      <c r="F1395" t="s">
        <v>83</v>
      </c>
      <c r="G1395" t="s">
        <v>85</v>
      </c>
      <c r="H1395" t="s">
        <v>350</v>
      </c>
      <c r="I1395">
        <v>2015</v>
      </c>
      <c r="J1395">
        <v>0.17</v>
      </c>
      <c r="K1395" t="s">
        <v>101</v>
      </c>
      <c r="L1395">
        <v>0.1</v>
      </c>
      <c r="M1395">
        <v>1</v>
      </c>
      <c r="N1395" t="s">
        <v>120</v>
      </c>
      <c r="O1395" t="s">
        <v>120</v>
      </c>
      <c r="P1395" t="s">
        <v>244</v>
      </c>
      <c r="Q1395" s="1" t="s">
        <v>2276</v>
      </c>
      <c r="R1395" s="1" t="s">
        <v>669</v>
      </c>
      <c r="S1395" s="1" t="s">
        <v>168</v>
      </c>
      <c r="T1395" t="s">
        <v>421</v>
      </c>
      <c r="U1395" t="s">
        <v>421</v>
      </c>
      <c r="V1395" t="s">
        <v>194</v>
      </c>
      <c r="W1395" t="s">
        <v>910</v>
      </c>
      <c r="X1395" t="s">
        <v>161</v>
      </c>
      <c r="Y1395" t="s">
        <v>2272</v>
      </c>
      <c r="Z1395" t="s">
        <v>2272</v>
      </c>
      <c r="AA1395" t="s">
        <v>2272</v>
      </c>
      <c r="AB1395" t="s">
        <v>2272</v>
      </c>
      <c r="AC1395" t="s">
        <v>162</v>
      </c>
      <c r="AD1395" t="s">
        <v>2272</v>
      </c>
      <c r="AH1395" s="4" t="s">
        <v>49</v>
      </c>
      <c r="AI1395" t="s">
        <v>49</v>
      </c>
      <c r="AM1395" t="s">
        <v>233</v>
      </c>
      <c r="AN1395" t="s">
        <v>166</v>
      </c>
      <c r="AQ1395" s="5">
        <v>1</v>
      </c>
    </row>
    <row r="1396" spans="1:43" x14ac:dyDescent="0.2">
      <c r="A1396" t="s">
        <v>908</v>
      </c>
      <c r="B1396" t="s">
        <v>909</v>
      </c>
      <c r="C1396">
        <v>2019</v>
      </c>
      <c r="D1396" t="s">
        <v>811</v>
      </c>
      <c r="E1396" t="s">
        <v>49</v>
      </c>
      <c r="F1396" t="s">
        <v>83</v>
      </c>
      <c r="G1396" t="s">
        <v>85</v>
      </c>
      <c r="H1396" t="s">
        <v>350</v>
      </c>
      <c r="I1396">
        <v>2015</v>
      </c>
      <c r="J1396">
        <v>0.17</v>
      </c>
      <c r="K1396" t="s">
        <v>101</v>
      </c>
      <c r="L1396">
        <v>0.1</v>
      </c>
      <c r="M1396">
        <v>1</v>
      </c>
      <c r="N1396" t="s">
        <v>120</v>
      </c>
      <c r="O1396" t="s">
        <v>120</v>
      </c>
      <c r="P1396" t="s">
        <v>910</v>
      </c>
      <c r="Q1396" s="1" t="s">
        <v>2276</v>
      </c>
      <c r="R1396" s="1" t="s">
        <v>669</v>
      </c>
      <c r="S1396" s="1" t="s">
        <v>168</v>
      </c>
      <c r="T1396" t="s">
        <v>421</v>
      </c>
      <c r="U1396" t="s">
        <v>421</v>
      </c>
      <c r="V1396" t="s">
        <v>194</v>
      </c>
      <c r="W1396" t="s">
        <v>910</v>
      </c>
      <c r="X1396" t="s">
        <v>161</v>
      </c>
      <c r="Y1396" t="s">
        <v>2272</v>
      </c>
      <c r="Z1396" t="s">
        <v>2272</v>
      </c>
      <c r="AA1396" t="s">
        <v>2272</v>
      </c>
      <c r="AB1396" t="s">
        <v>2272</v>
      </c>
      <c r="AC1396" t="s">
        <v>162</v>
      </c>
      <c r="AD1396" t="s">
        <v>2272</v>
      </c>
      <c r="AH1396" s="4" t="s">
        <v>49</v>
      </c>
      <c r="AI1396" t="s">
        <v>49</v>
      </c>
      <c r="AM1396" t="s">
        <v>233</v>
      </c>
      <c r="AN1396" t="s">
        <v>166</v>
      </c>
      <c r="AQ1396" s="5">
        <v>1</v>
      </c>
    </row>
    <row r="1397" spans="1:43" x14ac:dyDescent="0.2">
      <c r="A1397" t="s">
        <v>908</v>
      </c>
      <c r="B1397" t="s">
        <v>909</v>
      </c>
      <c r="C1397">
        <v>2019</v>
      </c>
      <c r="D1397" t="s">
        <v>811</v>
      </c>
      <c r="E1397" t="s">
        <v>49</v>
      </c>
      <c r="F1397" t="s">
        <v>83</v>
      </c>
      <c r="G1397" t="s">
        <v>85</v>
      </c>
      <c r="H1397" t="s">
        <v>350</v>
      </c>
      <c r="I1397">
        <v>2015</v>
      </c>
      <c r="J1397">
        <v>0.17</v>
      </c>
      <c r="K1397" t="s">
        <v>101</v>
      </c>
      <c r="L1397">
        <v>0.1</v>
      </c>
      <c r="M1397">
        <v>1</v>
      </c>
      <c r="N1397" t="s">
        <v>120</v>
      </c>
      <c r="O1397" t="s">
        <v>120</v>
      </c>
      <c r="P1397" t="s">
        <v>244</v>
      </c>
      <c r="Q1397" s="1" t="s">
        <v>2276</v>
      </c>
      <c r="R1397" s="1" t="s">
        <v>669</v>
      </c>
      <c r="S1397" s="1" t="s">
        <v>168</v>
      </c>
      <c r="V1397" t="s">
        <v>194</v>
      </c>
      <c r="W1397" t="s">
        <v>910</v>
      </c>
      <c r="X1397" t="s">
        <v>211</v>
      </c>
      <c r="Y1397" t="s">
        <v>2279</v>
      </c>
      <c r="Z1397" t="s">
        <v>2280</v>
      </c>
      <c r="AA1397" t="s">
        <v>2358</v>
      </c>
      <c r="AB1397" t="s">
        <v>2290</v>
      </c>
      <c r="AC1397" t="s">
        <v>152</v>
      </c>
      <c r="AD1397" t="s">
        <v>2278</v>
      </c>
      <c r="AH1397" s="4" t="s">
        <v>49</v>
      </c>
      <c r="AI1397" t="s">
        <v>49</v>
      </c>
      <c r="AM1397" t="s">
        <v>233</v>
      </c>
      <c r="AN1397" t="s">
        <v>154</v>
      </c>
      <c r="AP1397" t="s">
        <v>51</v>
      </c>
    </row>
    <row r="1398" spans="1:43" x14ac:dyDescent="0.2">
      <c r="A1398" t="s">
        <v>908</v>
      </c>
      <c r="B1398" t="s">
        <v>909</v>
      </c>
      <c r="C1398">
        <v>2019</v>
      </c>
      <c r="D1398" t="s">
        <v>811</v>
      </c>
      <c r="E1398" t="s">
        <v>49</v>
      </c>
      <c r="F1398" t="s">
        <v>83</v>
      </c>
      <c r="G1398" t="s">
        <v>85</v>
      </c>
      <c r="H1398" t="s">
        <v>350</v>
      </c>
      <c r="I1398">
        <v>2015</v>
      </c>
      <c r="J1398">
        <v>0.17</v>
      </c>
      <c r="K1398" t="s">
        <v>101</v>
      </c>
      <c r="L1398">
        <v>0.1</v>
      </c>
      <c r="M1398">
        <v>1</v>
      </c>
      <c r="N1398" t="s">
        <v>120</v>
      </c>
      <c r="O1398" t="s">
        <v>120</v>
      </c>
      <c r="P1398" t="s">
        <v>910</v>
      </c>
      <c r="Q1398" s="1" t="s">
        <v>2276</v>
      </c>
      <c r="R1398" s="1" t="s">
        <v>669</v>
      </c>
      <c r="S1398" s="1" t="s">
        <v>168</v>
      </c>
      <c r="V1398" t="s">
        <v>194</v>
      </c>
      <c r="W1398" t="s">
        <v>910</v>
      </c>
      <c r="X1398" t="s">
        <v>211</v>
      </c>
      <c r="Y1398" t="s">
        <v>2279</v>
      </c>
      <c r="Z1398" t="s">
        <v>2280</v>
      </c>
      <c r="AA1398" t="s">
        <v>2358</v>
      </c>
      <c r="AB1398" t="s">
        <v>2290</v>
      </c>
      <c r="AC1398" t="s">
        <v>152</v>
      </c>
      <c r="AD1398" t="s">
        <v>2278</v>
      </c>
      <c r="AH1398" s="4" t="s">
        <v>49</v>
      </c>
      <c r="AI1398" t="s">
        <v>49</v>
      </c>
      <c r="AM1398" t="s">
        <v>233</v>
      </c>
      <c r="AN1398" t="s">
        <v>154</v>
      </c>
      <c r="AP1398" t="s">
        <v>51</v>
      </c>
    </row>
    <row r="1399" spans="1:43" x14ac:dyDescent="0.2">
      <c r="A1399" t="s">
        <v>908</v>
      </c>
      <c r="B1399" t="s">
        <v>909</v>
      </c>
      <c r="C1399">
        <v>2019</v>
      </c>
      <c r="D1399" t="s">
        <v>811</v>
      </c>
      <c r="E1399" t="s">
        <v>49</v>
      </c>
      <c r="F1399" t="s">
        <v>83</v>
      </c>
      <c r="G1399" t="s">
        <v>85</v>
      </c>
      <c r="H1399" t="s">
        <v>350</v>
      </c>
      <c r="I1399">
        <v>2015</v>
      </c>
      <c r="J1399">
        <v>0.17</v>
      </c>
      <c r="K1399" t="s">
        <v>101</v>
      </c>
      <c r="L1399">
        <v>0.1</v>
      </c>
      <c r="M1399">
        <v>1</v>
      </c>
      <c r="N1399" t="s">
        <v>120</v>
      </c>
      <c r="O1399" t="s">
        <v>120</v>
      </c>
      <c r="P1399" t="s">
        <v>244</v>
      </c>
      <c r="Q1399" s="1" t="s">
        <v>2276</v>
      </c>
      <c r="R1399" s="1" t="s">
        <v>669</v>
      </c>
      <c r="S1399" s="1" t="s">
        <v>168</v>
      </c>
      <c r="T1399" t="s">
        <v>396</v>
      </c>
      <c r="U1399" t="s">
        <v>168</v>
      </c>
      <c r="V1399" t="s">
        <v>194</v>
      </c>
      <c r="W1399" t="s">
        <v>910</v>
      </c>
      <c r="X1399" t="s">
        <v>161</v>
      </c>
      <c r="Y1399" t="s">
        <v>2272</v>
      </c>
      <c r="Z1399" t="s">
        <v>2272</v>
      </c>
      <c r="AA1399" t="s">
        <v>2272</v>
      </c>
      <c r="AB1399" t="s">
        <v>2272</v>
      </c>
      <c r="AC1399" t="s">
        <v>162</v>
      </c>
      <c r="AD1399" t="s">
        <v>2272</v>
      </c>
      <c r="AH1399" s="4" t="s">
        <v>49</v>
      </c>
      <c r="AI1399" t="s">
        <v>49</v>
      </c>
      <c r="AM1399" t="s">
        <v>233</v>
      </c>
      <c r="AN1399" t="s">
        <v>154</v>
      </c>
      <c r="AQ1399" s="5">
        <v>0</v>
      </c>
    </row>
    <row r="1400" spans="1:43" x14ac:dyDescent="0.2">
      <c r="A1400" t="s">
        <v>908</v>
      </c>
      <c r="B1400" t="s">
        <v>909</v>
      </c>
      <c r="C1400">
        <v>2019</v>
      </c>
      <c r="D1400" t="s">
        <v>811</v>
      </c>
      <c r="E1400" t="s">
        <v>49</v>
      </c>
      <c r="F1400" t="s">
        <v>83</v>
      </c>
      <c r="G1400" t="s">
        <v>85</v>
      </c>
      <c r="H1400" t="s">
        <v>350</v>
      </c>
      <c r="I1400">
        <v>2015</v>
      </c>
      <c r="J1400">
        <v>0.17</v>
      </c>
      <c r="K1400" t="s">
        <v>101</v>
      </c>
      <c r="L1400">
        <v>0.1</v>
      </c>
      <c r="M1400">
        <v>1</v>
      </c>
      <c r="N1400" t="s">
        <v>120</v>
      </c>
      <c r="O1400" t="s">
        <v>120</v>
      </c>
      <c r="P1400" t="s">
        <v>910</v>
      </c>
      <c r="Q1400" s="1" t="s">
        <v>2276</v>
      </c>
      <c r="R1400" s="1" t="s">
        <v>669</v>
      </c>
      <c r="S1400" s="1" t="s">
        <v>168</v>
      </c>
      <c r="T1400" t="s">
        <v>396</v>
      </c>
      <c r="U1400" t="s">
        <v>168</v>
      </c>
      <c r="V1400" t="s">
        <v>194</v>
      </c>
      <c r="W1400" t="s">
        <v>910</v>
      </c>
      <c r="X1400" t="s">
        <v>161</v>
      </c>
      <c r="Y1400" t="s">
        <v>2272</v>
      </c>
      <c r="Z1400" t="s">
        <v>2272</v>
      </c>
      <c r="AA1400" t="s">
        <v>2272</v>
      </c>
      <c r="AB1400" t="s">
        <v>2272</v>
      </c>
      <c r="AC1400" t="s">
        <v>162</v>
      </c>
      <c r="AD1400" t="s">
        <v>2272</v>
      </c>
      <c r="AH1400" s="4" t="s">
        <v>49</v>
      </c>
      <c r="AI1400" t="s">
        <v>49</v>
      </c>
      <c r="AM1400" t="s">
        <v>233</v>
      </c>
      <c r="AN1400" t="s">
        <v>154</v>
      </c>
      <c r="AQ1400" s="5">
        <v>0</v>
      </c>
    </row>
    <row r="1401" spans="1:43" x14ac:dyDescent="0.2">
      <c r="A1401" t="s">
        <v>908</v>
      </c>
      <c r="B1401" t="s">
        <v>909</v>
      </c>
      <c r="C1401">
        <v>2019</v>
      </c>
      <c r="D1401" t="s">
        <v>811</v>
      </c>
      <c r="E1401" t="s">
        <v>49</v>
      </c>
      <c r="F1401" t="s">
        <v>83</v>
      </c>
      <c r="G1401" t="s">
        <v>85</v>
      </c>
      <c r="H1401" t="s">
        <v>350</v>
      </c>
      <c r="I1401">
        <v>2015</v>
      </c>
      <c r="J1401">
        <v>0.17</v>
      </c>
      <c r="K1401" t="s">
        <v>101</v>
      </c>
      <c r="L1401">
        <v>0.1</v>
      </c>
      <c r="M1401">
        <v>1</v>
      </c>
      <c r="N1401" t="s">
        <v>120</v>
      </c>
      <c r="O1401" t="s">
        <v>120</v>
      </c>
      <c r="P1401" t="s">
        <v>244</v>
      </c>
      <c r="Q1401" s="1" t="s">
        <v>2276</v>
      </c>
      <c r="R1401" s="1" t="s">
        <v>669</v>
      </c>
      <c r="S1401" s="1" t="s">
        <v>168</v>
      </c>
      <c r="T1401" t="s">
        <v>421</v>
      </c>
      <c r="U1401" t="s">
        <v>421</v>
      </c>
      <c r="V1401" t="s">
        <v>194</v>
      </c>
      <c r="W1401" t="s">
        <v>910</v>
      </c>
      <c r="X1401" t="s">
        <v>161</v>
      </c>
      <c r="Y1401" t="s">
        <v>2272</v>
      </c>
      <c r="Z1401" t="s">
        <v>2272</v>
      </c>
      <c r="AA1401" t="s">
        <v>2272</v>
      </c>
      <c r="AB1401" t="s">
        <v>2272</v>
      </c>
      <c r="AC1401" t="s">
        <v>162</v>
      </c>
      <c r="AD1401" t="s">
        <v>2272</v>
      </c>
      <c r="AH1401" s="4" t="s">
        <v>49</v>
      </c>
      <c r="AI1401" t="s">
        <v>49</v>
      </c>
      <c r="AM1401" t="s">
        <v>233</v>
      </c>
      <c r="AN1401" t="s">
        <v>154</v>
      </c>
      <c r="AQ1401" s="5">
        <v>1</v>
      </c>
    </row>
    <row r="1402" spans="1:43" x14ac:dyDescent="0.2">
      <c r="A1402" t="s">
        <v>908</v>
      </c>
      <c r="B1402" t="s">
        <v>909</v>
      </c>
      <c r="C1402">
        <v>2019</v>
      </c>
      <c r="D1402" t="s">
        <v>811</v>
      </c>
      <c r="E1402" t="s">
        <v>49</v>
      </c>
      <c r="F1402" t="s">
        <v>83</v>
      </c>
      <c r="G1402" t="s">
        <v>85</v>
      </c>
      <c r="H1402" t="s">
        <v>350</v>
      </c>
      <c r="I1402">
        <v>2015</v>
      </c>
      <c r="J1402">
        <v>0.17</v>
      </c>
      <c r="K1402" t="s">
        <v>101</v>
      </c>
      <c r="L1402">
        <v>0.1</v>
      </c>
      <c r="M1402">
        <v>1</v>
      </c>
      <c r="N1402" t="s">
        <v>120</v>
      </c>
      <c r="O1402" t="s">
        <v>120</v>
      </c>
      <c r="P1402" t="s">
        <v>910</v>
      </c>
      <c r="Q1402" s="1" t="s">
        <v>2276</v>
      </c>
      <c r="R1402" s="1" t="s">
        <v>669</v>
      </c>
      <c r="S1402" s="1" t="s">
        <v>168</v>
      </c>
      <c r="T1402" t="s">
        <v>421</v>
      </c>
      <c r="U1402" t="s">
        <v>421</v>
      </c>
      <c r="V1402" t="s">
        <v>194</v>
      </c>
      <c r="W1402" t="s">
        <v>910</v>
      </c>
      <c r="X1402" t="s">
        <v>161</v>
      </c>
      <c r="Y1402" t="s">
        <v>2272</v>
      </c>
      <c r="Z1402" t="s">
        <v>2272</v>
      </c>
      <c r="AA1402" t="s">
        <v>2272</v>
      </c>
      <c r="AB1402" t="s">
        <v>2272</v>
      </c>
      <c r="AC1402" t="s">
        <v>162</v>
      </c>
      <c r="AD1402" t="s">
        <v>2272</v>
      </c>
      <c r="AH1402" s="4" t="s">
        <v>49</v>
      </c>
      <c r="AI1402" t="s">
        <v>49</v>
      </c>
      <c r="AM1402" t="s">
        <v>233</v>
      </c>
      <c r="AN1402" t="s">
        <v>154</v>
      </c>
      <c r="AQ1402" s="5">
        <v>1</v>
      </c>
    </row>
    <row r="1403" spans="1:43" x14ac:dyDescent="0.2">
      <c r="A1403" t="s">
        <v>908</v>
      </c>
      <c r="B1403" t="s">
        <v>909</v>
      </c>
      <c r="C1403">
        <v>2019</v>
      </c>
      <c r="D1403" t="s">
        <v>44</v>
      </c>
      <c r="E1403" t="s">
        <v>49</v>
      </c>
      <c r="F1403" t="s">
        <v>83</v>
      </c>
      <c r="G1403" t="s">
        <v>85</v>
      </c>
      <c r="H1403" t="s">
        <v>350</v>
      </c>
      <c r="I1403" t="s">
        <v>614</v>
      </c>
      <c r="J1403">
        <v>1</v>
      </c>
      <c r="K1403" t="s">
        <v>42</v>
      </c>
      <c r="L1403">
        <v>38</v>
      </c>
      <c r="M1403">
        <v>12.6</v>
      </c>
      <c r="N1403" t="s">
        <v>120</v>
      </c>
      <c r="O1403" t="s">
        <v>120</v>
      </c>
      <c r="P1403" t="s">
        <v>910</v>
      </c>
      <c r="Q1403" s="1" t="s">
        <v>2276</v>
      </c>
      <c r="R1403" s="1" t="s">
        <v>669</v>
      </c>
      <c r="S1403" s="1" t="s">
        <v>168</v>
      </c>
      <c r="T1403" t="s">
        <v>421</v>
      </c>
      <c r="U1403" t="s">
        <v>421</v>
      </c>
      <c r="V1403" t="s">
        <v>194</v>
      </c>
      <c r="W1403" t="s">
        <v>910</v>
      </c>
      <c r="X1403" t="s">
        <v>161</v>
      </c>
      <c r="Y1403" t="s">
        <v>2272</v>
      </c>
      <c r="Z1403" t="s">
        <v>2272</v>
      </c>
      <c r="AA1403" t="s">
        <v>2272</v>
      </c>
      <c r="AB1403" t="s">
        <v>2272</v>
      </c>
      <c r="AC1403" t="s">
        <v>162</v>
      </c>
      <c r="AD1403" t="s">
        <v>2272</v>
      </c>
      <c r="AH1403" s="4" t="s">
        <v>49</v>
      </c>
      <c r="AJ1403" t="s">
        <v>49</v>
      </c>
      <c r="AM1403" t="s">
        <v>913</v>
      </c>
      <c r="AN1403" t="s">
        <v>165</v>
      </c>
      <c r="AP1403" t="s">
        <v>49</v>
      </c>
    </row>
    <row r="1404" spans="1:43" x14ac:dyDescent="0.2">
      <c r="A1404" t="s">
        <v>908</v>
      </c>
      <c r="B1404" t="s">
        <v>909</v>
      </c>
      <c r="C1404">
        <v>2019</v>
      </c>
      <c r="D1404" t="s">
        <v>44</v>
      </c>
      <c r="E1404" t="s">
        <v>49</v>
      </c>
      <c r="F1404" t="s">
        <v>83</v>
      </c>
      <c r="G1404" t="s">
        <v>85</v>
      </c>
      <c r="H1404" t="s">
        <v>350</v>
      </c>
      <c r="I1404" t="s">
        <v>614</v>
      </c>
      <c r="J1404">
        <v>1</v>
      </c>
      <c r="K1404" t="s">
        <v>42</v>
      </c>
      <c r="L1404">
        <v>38</v>
      </c>
      <c r="M1404">
        <v>12.6</v>
      </c>
      <c r="N1404" t="s">
        <v>120</v>
      </c>
      <c r="O1404" t="s">
        <v>120</v>
      </c>
      <c r="P1404" t="s">
        <v>910</v>
      </c>
      <c r="Q1404" s="1" t="s">
        <v>2276</v>
      </c>
      <c r="R1404" s="1" t="s">
        <v>669</v>
      </c>
      <c r="S1404" s="1" t="s">
        <v>168</v>
      </c>
      <c r="T1404" t="s">
        <v>421</v>
      </c>
      <c r="U1404" t="s">
        <v>421</v>
      </c>
      <c r="V1404" t="s">
        <v>194</v>
      </c>
      <c r="W1404" t="s">
        <v>910</v>
      </c>
      <c r="X1404" t="s">
        <v>161</v>
      </c>
      <c r="Y1404" t="s">
        <v>2272</v>
      </c>
      <c r="Z1404" t="s">
        <v>2272</v>
      </c>
      <c r="AA1404" t="s">
        <v>2272</v>
      </c>
      <c r="AB1404" t="s">
        <v>2272</v>
      </c>
      <c r="AC1404" t="s">
        <v>162</v>
      </c>
      <c r="AD1404" t="s">
        <v>2272</v>
      </c>
      <c r="AH1404" s="4" t="s">
        <v>49</v>
      </c>
      <c r="AJ1404" t="s">
        <v>49</v>
      </c>
      <c r="AM1404" t="s">
        <v>913</v>
      </c>
      <c r="AN1404" t="s">
        <v>154</v>
      </c>
      <c r="AQ1404" s="5">
        <v>1</v>
      </c>
    </row>
    <row r="1405" spans="1:43" x14ac:dyDescent="0.2">
      <c r="A1405" t="s">
        <v>908</v>
      </c>
      <c r="B1405" t="s">
        <v>909</v>
      </c>
      <c r="C1405">
        <v>2019</v>
      </c>
      <c r="D1405" t="s">
        <v>44</v>
      </c>
      <c r="E1405" t="s">
        <v>49</v>
      </c>
      <c r="F1405" t="s">
        <v>83</v>
      </c>
      <c r="G1405" t="s">
        <v>85</v>
      </c>
      <c r="H1405" t="s">
        <v>350</v>
      </c>
      <c r="I1405" t="s">
        <v>614</v>
      </c>
      <c r="J1405">
        <v>1</v>
      </c>
      <c r="K1405" t="s">
        <v>42</v>
      </c>
      <c r="L1405">
        <v>38</v>
      </c>
      <c r="M1405">
        <v>12.6</v>
      </c>
      <c r="N1405" t="s">
        <v>120</v>
      </c>
      <c r="O1405" t="s">
        <v>120</v>
      </c>
      <c r="P1405" t="s">
        <v>910</v>
      </c>
      <c r="Q1405" s="1" t="s">
        <v>2276</v>
      </c>
      <c r="R1405" s="1" t="s">
        <v>669</v>
      </c>
      <c r="S1405" s="1" t="s">
        <v>168</v>
      </c>
      <c r="T1405" t="s">
        <v>421</v>
      </c>
      <c r="U1405" t="s">
        <v>421</v>
      </c>
      <c r="V1405" t="s">
        <v>194</v>
      </c>
      <c r="W1405" t="s">
        <v>910</v>
      </c>
      <c r="X1405" t="s">
        <v>161</v>
      </c>
      <c r="Y1405" t="s">
        <v>2272</v>
      </c>
      <c r="Z1405" t="s">
        <v>2272</v>
      </c>
      <c r="AA1405" t="s">
        <v>2272</v>
      </c>
      <c r="AB1405" t="s">
        <v>2272</v>
      </c>
      <c r="AC1405" t="s">
        <v>162</v>
      </c>
      <c r="AD1405" t="s">
        <v>2272</v>
      </c>
      <c r="AH1405" s="4" t="s">
        <v>49</v>
      </c>
      <c r="AJ1405" t="s">
        <v>49</v>
      </c>
      <c r="AM1405" t="s">
        <v>913</v>
      </c>
      <c r="AN1405" t="s">
        <v>166</v>
      </c>
      <c r="AQ1405" s="5">
        <v>1</v>
      </c>
    </row>
    <row r="1406" spans="1:43" x14ac:dyDescent="0.2">
      <c r="A1406" t="s">
        <v>908</v>
      </c>
      <c r="B1406" t="s">
        <v>909</v>
      </c>
      <c r="C1406">
        <v>2019</v>
      </c>
      <c r="D1406" t="s">
        <v>44</v>
      </c>
      <c r="E1406" t="s">
        <v>49</v>
      </c>
      <c r="F1406" t="s">
        <v>83</v>
      </c>
      <c r="G1406" t="s">
        <v>85</v>
      </c>
      <c r="H1406" t="s">
        <v>350</v>
      </c>
      <c r="I1406">
        <v>2016</v>
      </c>
      <c r="J1406">
        <v>0.08</v>
      </c>
      <c r="K1406" t="s">
        <v>101</v>
      </c>
      <c r="N1406" t="s">
        <v>120</v>
      </c>
      <c r="O1406" t="s">
        <v>120</v>
      </c>
      <c r="P1406" t="s">
        <v>910</v>
      </c>
      <c r="Q1406" s="1" t="s">
        <v>2276</v>
      </c>
      <c r="R1406" s="1" t="s">
        <v>669</v>
      </c>
      <c r="S1406" s="1" t="s">
        <v>168</v>
      </c>
      <c r="T1406" t="s">
        <v>396</v>
      </c>
      <c r="U1406" t="s">
        <v>168</v>
      </c>
      <c r="V1406" t="s">
        <v>194</v>
      </c>
      <c r="W1406" t="s">
        <v>910</v>
      </c>
      <c r="X1406" t="s">
        <v>161</v>
      </c>
      <c r="Y1406" t="s">
        <v>2272</v>
      </c>
      <c r="Z1406" t="s">
        <v>2272</v>
      </c>
      <c r="AA1406" t="s">
        <v>2272</v>
      </c>
      <c r="AB1406" t="s">
        <v>2272</v>
      </c>
      <c r="AC1406" t="s">
        <v>162</v>
      </c>
      <c r="AD1406" t="s">
        <v>2272</v>
      </c>
      <c r="AH1406" s="4" t="s">
        <v>49</v>
      </c>
      <c r="AL1406" t="s">
        <v>49</v>
      </c>
      <c r="AM1406" t="s">
        <v>914</v>
      </c>
      <c r="AN1406" t="s">
        <v>166</v>
      </c>
      <c r="AQ1406" s="5">
        <v>2</v>
      </c>
    </row>
    <row r="1407" spans="1:43" x14ac:dyDescent="0.2">
      <c r="A1407" t="s">
        <v>908</v>
      </c>
      <c r="B1407" t="s">
        <v>909</v>
      </c>
      <c r="C1407">
        <v>2019</v>
      </c>
      <c r="D1407" t="s">
        <v>44</v>
      </c>
      <c r="E1407" t="s">
        <v>49</v>
      </c>
      <c r="F1407" t="s">
        <v>83</v>
      </c>
      <c r="G1407" t="s">
        <v>85</v>
      </c>
      <c r="H1407" t="s">
        <v>350</v>
      </c>
      <c r="I1407">
        <v>2016</v>
      </c>
      <c r="J1407">
        <v>0.08</v>
      </c>
      <c r="K1407" t="s">
        <v>101</v>
      </c>
      <c r="N1407" t="s">
        <v>120</v>
      </c>
      <c r="O1407" t="s">
        <v>120</v>
      </c>
      <c r="P1407" t="s">
        <v>244</v>
      </c>
      <c r="Q1407" s="1" t="s">
        <v>2276</v>
      </c>
      <c r="R1407" s="1" t="s">
        <v>669</v>
      </c>
      <c r="S1407" s="1" t="s">
        <v>168</v>
      </c>
      <c r="T1407" t="s">
        <v>396</v>
      </c>
      <c r="U1407" t="s">
        <v>168</v>
      </c>
      <c r="V1407" t="s">
        <v>194</v>
      </c>
      <c r="W1407" t="s">
        <v>910</v>
      </c>
      <c r="X1407" t="s">
        <v>161</v>
      </c>
      <c r="Y1407" t="s">
        <v>2272</v>
      </c>
      <c r="Z1407" t="s">
        <v>2272</v>
      </c>
      <c r="AA1407" t="s">
        <v>2272</v>
      </c>
      <c r="AB1407" t="s">
        <v>2272</v>
      </c>
      <c r="AC1407" t="s">
        <v>162</v>
      </c>
      <c r="AD1407" t="s">
        <v>2272</v>
      </c>
      <c r="AH1407" s="4" t="s">
        <v>49</v>
      </c>
      <c r="AL1407" t="s">
        <v>49</v>
      </c>
      <c r="AM1407" t="s">
        <v>914</v>
      </c>
      <c r="AN1407" t="s">
        <v>166</v>
      </c>
      <c r="AQ1407" s="5">
        <v>1</v>
      </c>
    </row>
    <row r="1408" spans="1:43" x14ac:dyDescent="0.2">
      <c r="A1408" t="s">
        <v>908</v>
      </c>
      <c r="B1408" t="s">
        <v>909</v>
      </c>
      <c r="C1408">
        <v>2019</v>
      </c>
      <c r="D1408" t="s">
        <v>44</v>
      </c>
      <c r="E1408" t="s">
        <v>49</v>
      </c>
      <c r="F1408" t="s">
        <v>83</v>
      </c>
      <c r="G1408" t="s">
        <v>85</v>
      </c>
      <c r="H1408" t="s">
        <v>350</v>
      </c>
      <c r="I1408">
        <v>2016</v>
      </c>
      <c r="J1408">
        <v>0.08</v>
      </c>
      <c r="K1408" t="s">
        <v>101</v>
      </c>
      <c r="N1408" t="s">
        <v>120</v>
      </c>
      <c r="O1408" t="s">
        <v>120</v>
      </c>
      <c r="P1408" t="s">
        <v>910</v>
      </c>
      <c r="Q1408" s="1" t="s">
        <v>2276</v>
      </c>
      <c r="R1408" s="1" t="s">
        <v>669</v>
      </c>
      <c r="S1408" s="1" t="s">
        <v>168</v>
      </c>
      <c r="T1408" t="s">
        <v>396</v>
      </c>
      <c r="U1408" t="s">
        <v>168</v>
      </c>
      <c r="V1408" t="s">
        <v>194</v>
      </c>
      <c r="W1408" t="s">
        <v>910</v>
      </c>
      <c r="X1408" t="s">
        <v>161</v>
      </c>
      <c r="Y1408" t="s">
        <v>2272</v>
      </c>
      <c r="Z1408" t="s">
        <v>2272</v>
      </c>
      <c r="AA1408" t="s">
        <v>2272</v>
      </c>
      <c r="AB1408" t="s">
        <v>2272</v>
      </c>
      <c r="AC1408" t="s">
        <v>162</v>
      </c>
      <c r="AD1408" t="s">
        <v>2272</v>
      </c>
      <c r="AH1408" s="4" t="s">
        <v>49</v>
      </c>
      <c r="AL1408" t="s">
        <v>49</v>
      </c>
      <c r="AM1408" t="s">
        <v>915</v>
      </c>
      <c r="AN1408" t="s">
        <v>166</v>
      </c>
      <c r="AQ1408" s="5">
        <v>0</v>
      </c>
    </row>
    <row r="1409" spans="1:43" x14ac:dyDescent="0.2">
      <c r="A1409" t="s">
        <v>908</v>
      </c>
      <c r="B1409" t="s">
        <v>909</v>
      </c>
      <c r="C1409">
        <v>2019</v>
      </c>
      <c r="D1409" t="s">
        <v>44</v>
      </c>
      <c r="E1409" t="s">
        <v>49</v>
      </c>
      <c r="F1409" t="s">
        <v>83</v>
      </c>
      <c r="G1409" t="s">
        <v>85</v>
      </c>
      <c r="H1409" t="s">
        <v>350</v>
      </c>
      <c r="I1409">
        <v>2016</v>
      </c>
      <c r="J1409">
        <v>0.08</v>
      </c>
      <c r="K1409" t="s">
        <v>101</v>
      </c>
      <c r="N1409" t="s">
        <v>120</v>
      </c>
      <c r="O1409" t="s">
        <v>120</v>
      </c>
      <c r="P1409" t="s">
        <v>244</v>
      </c>
      <c r="Q1409" s="1" t="s">
        <v>2276</v>
      </c>
      <c r="R1409" s="1" t="s">
        <v>669</v>
      </c>
      <c r="S1409" s="1" t="s">
        <v>168</v>
      </c>
      <c r="T1409" t="s">
        <v>396</v>
      </c>
      <c r="U1409" t="s">
        <v>168</v>
      </c>
      <c r="V1409" t="s">
        <v>194</v>
      </c>
      <c r="W1409" t="s">
        <v>910</v>
      </c>
      <c r="X1409" t="s">
        <v>161</v>
      </c>
      <c r="Y1409" t="s">
        <v>2272</v>
      </c>
      <c r="Z1409" t="s">
        <v>2272</v>
      </c>
      <c r="AA1409" t="s">
        <v>2272</v>
      </c>
      <c r="AB1409" t="s">
        <v>2272</v>
      </c>
      <c r="AC1409" t="s">
        <v>162</v>
      </c>
      <c r="AD1409" t="s">
        <v>2272</v>
      </c>
      <c r="AH1409" s="4" t="s">
        <v>49</v>
      </c>
      <c r="AL1409" t="s">
        <v>49</v>
      </c>
      <c r="AM1409" t="s">
        <v>915</v>
      </c>
      <c r="AN1409" t="s">
        <v>166</v>
      </c>
      <c r="AQ1409" s="5">
        <v>0</v>
      </c>
    </row>
    <row r="1410" spans="1:43" x14ac:dyDescent="0.2">
      <c r="A1410" t="s">
        <v>908</v>
      </c>
      <c r="B1410" t="s">
        <v>909</v>
      </c>
      <c r="C1410">
        <v>2019</v>
      </c>
      <c r="D1410" t="s">
        <v>44</v>
      </c>
      <c r="E1410" t="s">
        <v>49</v>
      </c>
      <c r="F1410" t="s">
        <v>83</v>
      </c>
      <c r="G1410" t="s">
        <v>85</v>
      </c>
      <c r="H1410" t="s">
        <v>350</v>
      </c>
      <c r="I1410">
        <v>2016</v>
      </c>
      <c r="J1410">
        <v>0.08</v>
      </c>
      <c r="K1410" t="s">
        <v>101</v>
      </c>
      <c r="N1410" t="s">
        <v>120</v>
      </c>
      <c r="O1410" t="s">
        <v>120</v>
      </c>
      <c r="P1410" t="s">
        <v>910</v>
      </c>
      <c r="Q1410" s="1" t="s">
        <v>2276</v>
      </c>
      <c r="R1410" s="1" t="s">
        <v>669</v>
      </c>
      <c r="S1410" s="1" t="s">
        <v>168</v>
      </c>
      <c r="T1410" t="s">
        <v>421</v>
      </c>
      <c r="V1410" t="s">
        <v>194</v>
      </c>
      <c r="W1410" t="s">
        <v>910</v>
      </c>
      <c r="X1410" t="s">
        <v>161</v>
      </c>
      <c r="Y1410" t="s">
        <v>2272</v>
      </c>
      <c r="Z1410" t="s">
        <v>2272</v>
      </c>
      <c r="AA1410" t="s">
        <v>2272</v>
      </c>
      <c r="AB1410" t="s">
        <v>2272</v>
      </c>
      <c r="AC1410" t="s">
        <v>162</v>
      </c>
      <c r="AD1410" t="s">
        <v>2272</v>
      </c>
      <c r="AH1410" s="4" t="s">
        <v>49</v>
      </c>
      <c r="AL1410" t="s">
        <v>49</v>
      </c>
      <c r="AM1410" t="s">
        <v>914</v>
      </c>
      <c r="AN1410" t="s">
        <v>166</v>
      </c>
    </row>
    <row r="1411" spans="1:43" x14ac:dyDescent="0.2">
      <c r="A1411" t="s">
        <v>908</v>
      </c>
      <c r="B1411" t="s">
        <v>909</v>
      </c>
      <c r="C1411">
        <v>2019</v>
      </c>
      <c r="D1411" t="s">
        <v>44</v>
      </c>
      <c r="E1411" t="s">
        <v>49</v>
      </c>
      <c r="F1411" t="s">
        <v>83</v>
      </c>
      <c r="G1411" t="s">
        <v>85</v>
      </c>
      <c r="H1411" t="s">
        <v>350</v>
      </c>
      <c r="I1411">
        <v>2016</v>
      </c>
      <c r="J1411">
        <v>0.08</v>
      </c>
      <c r="K1411" t="s">
        <v>101</v>
      </c>
      <c r="N1411" t="s">
        <v>120</v>
      </c>
      <c r="O1411" t="s">
        <v>120</v>
      </c>
      <c r="P1411" t="s">
        <v>244</v>
      </c>
      <c r="Q1411" s="1" t="s">
        <v>2276</v>
      </c>
      <c r="R1411" s="1" t="s">
        <v>669</v>
      </c>
      <c r="S1411" s="1" t="s">
        <v>168</v>
      </c>
      <c r="T1411" t="s">
        <v>421</v>
      </c>
      <c r="V1411" t="s">
        <v>194</v>
      </c>
      <c r="W1411" t="s">
        <v>910</v>
      </c>
      <c r="X1411" t="s">
        <v>161</v>
      </c>
      <c r="Y1411" t="s">
        <v>2272</v>
      </c>
      <c r="Z1411" t="s">
        <v>2272</v>
      </c>
      <c r="AA1411" t="s">
        <v>2272</v>
      </c>
      <c r="AB1411" t="s">
        <v>2272</v>
      </c>
      <c r="AC1411" t="s">
        <v>162</v>
      </c>
      <c r="AD1411" t="s">
        <v>2272</v>
      </c>
      <c r="AH1411" s="4" t="s">
        <v>49</v>
      </c>
      <c r="AL1411" t="s">
        <v>49</v>
      </c>
      <c r="AM1411" t="s">
        <v>914</v>
      </c>
      <c r="AN1411" t="s">
        <v>166</v>
      </c>
    </row>
    <row r="1412" spans="1:43" x14ac:dyDescent="0.2">
      <c r="A1412" t="s">
        <v>908</v>
      </c>
      <c r="B1412" t="s">
        <v>909</v>
      </c>
      <c r="C1412">
        <v>2019</v>
      </c>
      <c r="D1412" t="s">
        <v>44</v>
      </c>
      <c r="E1412" t="s">
        <v>49</v>
      </c>
      <c r="F1412" t="s">
        <v>83</v>
      </c>
      <c r="G1412" t="s">
        <v>85</v>
      </c>
      <c r="H1412" t="s">
        <v>350</v>
      </c>
      <c r="I1412">
        <v>2016</v>
      </c>
      <c r="J1412">
        <v>0.08</v>
      </c>
      <c r="K1412" t="s">
        <v>101</v>
      </c>
      <c r="N1412" t="s">
        <v>120</v>
      </c>
      <c r="O1412" t="s">
        <v>120</v>
      </c>
      <c r="P1412" t="s">
        <v>910</v>
      </c>
      <c r="Q1412" s="1" t="s">
        <v>2276</v>
      </c>
      <c r="R1412" s="1" t="s">
        <v>669</v>
      </c>
      <c r="S1412" s="1" t="s">
        <v>168</v>
      </c>
      <c r="T1412" t="s">
        <v>421</v>
      </c>
      <c r="V1412" t="s">
        <v>194</v>
      </c>
      <c r="W1412" t="s">
        <v>910</v>
      </c>
      <c r="X1412" t="s">
        <v>161</v>
      </c>
      <c r="Y1412" t="s">
        <v>2272</v>
      </c>
      <c r="Z1412" t="s">
        <v>2272</v>
      </c>
      <c r="AA1412" t="s">
        <v>2272</v>
      </c>
      <c r="AB1412" t="s">
        <v>2272</v>
      </c>
      <c r="AC1412" t="s">
        <v>162</v>
      </c>
      <c r="AD1412" t="s">
        <v>2272</v>
      </c>
      <c r="AH1412" s="4" t="s">
        <v>49</v>
      </c>
      <c r="AL1412" t="s">
        <v>49</v>
      </c>
      <c r="AM1412" t="s">
        <v>915</v>
      </c>
      <c r="AN1412" t="s">
        <v>166</v>
      </c>
    </row>
    <row r="1413" spans="1:43" x14ac:dyDescent="0.2">
      <c r="A1413" t="s">
        <v>908</v>
      </c>
      <c r="B1413" t="s">
        <v>909</v>
      </c>
      <c r="C1413">
        <v>2019</v>
      </c>
      <c r="D1413" t="s">
        <v>44</v>
      </c>
      <c r="E1413" t="s">
        <v>49</v>
      </c>
      <c r="F1413" t="s">
        <v>83</v>
      </c>
      <c r="G1413" t="s">
        <v>85</v>
      </c>
      <c r="H1413" t="s">
        <v>350</v>
      </c>
      <c r="I1413">
        <v>2016</v>
      </c>
      <c r="J1413">
        <v>0.08</v>
      </c>
      <c r="K1413" t="s">
        <v>101</v>
      </c>
      <c r="N1413" t="s">
        <v>120</v>
      </c>
      <c r="O1413" t="s">
        <v>120</v>
      </c>
      <c r="P1413" t="s">
        <v>244</v>
      </c>
      <c r="Q1413" s="1" t="s">
        <v>2276</v>
      </c>
      <c r="R1413" s="1" t="s">
        <v>669</v>
      </c>
      <c r="S1413" s="1" t="s">
        <v>168</v>
      </c>
      <c r="T1413" t="s">
        <v>421</v>
      </c>
      <c r="V1413" t="s">
        <v>194</v>
      </c>
      <c r="W1413" t="s">
        <v>910</v>
      </c>
      <c r="X1413" t="s">
        <v>161</v>
      </c>
      <c r="Y1413" t="s">
        <v>2272</v>
      </c>
      <c r="Z1413" t="s">
        <v>2272</v>
      </c>
      <c r="AA1413" t="s">
        <v>2272</v>
      </c>
      <c r="AB1413" t="s">
        <v>2272</v>
      </c>
      <c r="AC1413" t="s">
        <v>162</v>
      </c>
      <c r="AD1413" t="s">
        <v>2272</v>
      </c>
      <c r="AH1413" s="4" t="s">
        <v>49</v>
      </c>
      <c r="AL1413" t="s">
        <v>49</v>
      </c>
      <c r="AM1413" t="s">
        <v>915</v>
      </c>
      <c r="AN1413" t="s">
        <v>166</v>
      </c>
    </row>
    <row r="1414" spans="1:43" x14ac:dyDescent="0.2">
      <c r="A1414" t="s">
        <v>908</v>
      </c>
      <c r="B1414" t="s">
        <v>909</v>
      </c>
      <c r="C1414">
        <v>2019</v>
      </c>
      <c r="D1414" t="s">
        <v>44</v>
      </c>
      <c r="E1414" t="s">
        <v>49</v>
      </c>
      <c r="F1414" t="s">
        <v>83</v>
      </c>
      <c r="G1414" t="s">
        <v>85</v>
      </c>
      <c r="H1414" t="s">
        <v>350</v>
      </c>
      <c r="I1414">
        <v>2016</v>
      </c>
      <c r="J1414">
        <v>0.17</v>
      </c>
      <c r="K1414" t="s">
        <v>101</v>
      </c>
      <c r="N1414" t="s">
        <v>120</v>
      </c>
      <c r="O1414" t="s">
        <v>120</v>
      </c>
      <c r="P1414" t="s">
        <v>910</v>
      </c>
      <c r="Q1414" s="1" t="s">
        <v>2276</v>
      </c>
      <c r="R1414" s="1" t="s">
        <v>669</v>
      </c>
      <c r="S1414" s="1" t="s">
        <v>168</v>
      </c>
      <c r="T1414" t="s">
        <v>421</v>
      </c>
      <c r="U1414" t="s">
        <v>421</v>
      </c>
      <c r="V1414" t="s">
        <v>194</v>
      </c>
      <c r="W1414" t="s">
        <v>910</v>
      </c>
      <c r="X1414" t="s">
        <v>161</v>
      </c>
      <c r="Y1414" t="s">
        <v>2272</v>
      </c>
      <c r="Z1414" t="s">
        <v>2272</v>
      </c>
      <c r="AA1414" t="s">
        <v>2272</v>
      </c>
      <c r="AB1414" t="s">
        <v>2272</v>
      </c>
      <c r="AC1414" t="s">
        <v>162</v>
      </c>
      <c r="AD1414" t="s">
        <v>2272</v>
      </c>
      <c r="AH1414" s="4" t="s">
        <v>49</v>
      </c>
      <c r="AI1414" t="s">
        <v>49</v>
      </c>
      <c r="AM1414" t="s">
        <v>233</v>
      </c>
      <c r="AN1414" t="s">
        <v>166</v>
      </c>
      <c r="AQ1414" s="5">
        <v>0</v>
      </c>
    </row>
    <row r="1415" spans="1:43" x14ac:dyDescent="0.2">
      <c r="A1415" t="s">
        <v>908</v>
      </c>
      <c r="B1415" t="s">
        <v>909</v>
      </c>
      <c r="C1415">
        <v>2019</v>
      </c>
      <c r="D1415" t="s">
        <v>44</v>
      </c>
      <c r="E1415" t="s">
        <v>49</v>
      </c>
      <c r="F1415" t="s">
        <v>83</v>
      </c>
      <c r="G1415" t="s">
        <v>85</v>
      </c>
      <c r="H1415" t="s">
        <v>350</v>
      </c>
      <c r="I1415">
        <v>2016</v>
      </c>
      <c r="J1415">
        <v>0.17</v>
      </c>
      <c r="K1415" t="s">
        <v>101</v>
      </c>
      <c r="N1415" t="s">
        <v>120</v>
      </c>
      <c r="O1415" t="s">
        <v>120</v>
      </c>
      <c r="P1415" t="s">
        <v>910</v>
      </c>
      <c r="Q1415" s="1" t="s">
        <v>2276</v>
      </c>
      <c r="R1415" s="1" t="s">
        <v>669</v>
      </c>
      <c r="S1415" s="1" t="s">
        <v>168</v>
      </c>
      <c r="T1415" t="s">
        <v>421</v>
      </c>
      <c r="U1415" t="s">
        <v>421</v>
      </c>
      <c r="V1415" t="s">
        <v>194</v>
      </c>
      <c r="W1415" t="s">
        <v>910</v>
      </c>
      <c r="X1415" t="s">
        <v>161</v>
      </c>
      <c r="Y1415" t="s">
        <v>2272</v>
      </c>
      <c r="Z1415" t="s">
        <v>2272</v>
      </c>
      <c r="AA1415" t="s">
        <v>2272</v>
      </c>
      <c r="AB1415" t="s">
        <v>2272</v>
      </c>
      <c r="AC1415" t="s">
        <v>162</v>
      </c>
      <c r="AD1415" t="s">
        <v>2272</v>
      </c>
      <c r="AH1415" s="4" t="s">
        <v>49</v>
      </c>
      <c r="AI1415" t="s">
        <v>49</v>
      </c>
      <c r="AM1415" t="s">
        <v>233</v>
      </c>
      <c r="AN1415" t="s">
        <v>154</v>
      </c>
      <c r="AQ1415" s="5">
        <v>0</v>
      </c>
    </row>
    <row r="1416" spans="1:43" x14ac:dyDescent="0.2">
      <c r="A1416" t="s">
        <v>908</v>
      </c>
      <c r="B1416" t="s">
        <v>909</v>
      </c>
      <c r="C1416">
        <v>2019</v>
      </c>
      <c r="D1416" t="s">
        <v>44</v>
      </c>
      <c r="E1416" t="s">
        <v>49</v>
      </c>
      <c r="F1416" t="s">
        <v>83</v>
      </c>
      <c r="G1416" t="s">
        <v>85</v>
      </c>
      <c r="H1416" t="s">
        <v>350</v>
      </c>
      <c r="I1416">
        <v>2016</v>
      </c>
      <c r="J1416">
        <v>0.17</v>
      </c>
      <c r="K1416" t="s">
        <v>101</v>
      </c>
      <c r="N1416" t="s">
        <v>120</v>
      </c>
      <c r="O1416" t="s">
        <v>120</v>
      </c>
      <c r="P1416" t="s">
        <v>910</v>
      </c>
      <c r="Q1416" s="1" t="s">
        <v>2276</v>
      </c>
      <c r="R1416" s="1" t="s">
        <v>669</v>
      </c>
      <c r="S1416" s="1" t="s">
        <v>168</v>
      </c>
      <c r="T1416" t="s">
        <v>421</v>
      </c>
      <c r="U1416" t="s">
        <v>421</v>
      </c>
      <c r="V1416" t="s">
        <v>194</v>
      </c>
      <c r="W1416" t="s">
        <v>910</v>
      </c>
      <c r="X1416" t="s">
        <v>161</v>
      </c>
      <c r="Y1416" t="s">
        <v>2272</v>
      </c>
      <c r="Z1416" t="s">
        <v>2272</v>
      </c>
      <c r="AA1416" t="s">
        <v>2272</v>
      </c>
      <c r="AB1416" t="s">
        <v>2272</v>
      </c>
      <c r="AC1416" t="s">
        <v>162</v>
      </c>
      <c r="AD1416" t="s">
        <v>2272</v>
      </c>
      <c r="AH1416" s="4" t="s">
        <v>49</v>
      </c>
      <c r="AI1416" t="s">
        <v>49</v>
      </c>
      <c r="AM1416" t="s">
        <v>233</v>
      </c>
      <c r="AN1416" t="s">
        <v>165</v>
      </c>
      <c r="AQ1416" s="5">
        <v>0</v>
      </c>
    </row>
    <row r="1417" spans="1:43" x14ac:dyDescent="0.2">
      <c r="A1417" t="s">
        <v>908</v>
      </c>
      <c r="B1417" t="s">
        <v>909</v>
      </c>
      <c r="C1417">
        <v>2019</v>
      </c>
      <c r="D1417" t="s">
        <v>44</v>
      </c>
      <c r="E1417" t="s">
        <v>49</v>
      </c>
      <c r="F1417" t="s">
        <v>83</v>
      </c>
      <c r="G1417" t="s">
        <v>85</v>
      </c>
      <c r="H1417" t="s">
        <v>350</v>
      </c>
      <c r="I1417">
        <v>2016</v>
      </c>
      <c r="J1417">
        <v>0.17</v>
      </c>
      <c r="K1417" t="s">
        <v>101</v>
      </c>
      <c r="N1417" t="s">
        <v>120</v>
      </c>
      <c r="O1417" t="s">
        <v>120</v>
      </c>
      <c r="P1417" t="s">
        <v>910</v>
      </c>
      <c r="Q1417" s="1" t="s">
        <v>2276</v>
      </c>
      <c r="R1417" s="1" t="s">
        <v>669</v>
      </c>
      <c r="S1417" s="1" t="s">
        <v>168</v>
      </c>
      <c r="T1417" t="s">
        <v>396</v>
      </c>
      <c r="U1417" t="s">
        <v>168</v>
      </c>
      <c r="V1417" t="s">
        <v>194</v>
      </c>
      <c r="W1417" t="s">
        <v>910</v>
      </c>
      <c r="X1417" t="s">
        <v>161</v>
      </c>
      <c r="Y1417" t="s">
        <v>2272</v>
      </c>
      <c r="Z1417" t="s">
        <v>2272</v>
      </c>
      <c r="AA1417" t="s">
        <v>2272</v>
      </c>
      <c r="AB1417" t="s">
        <v>2272</v>
      </c>
      <c r="AC1417" t="s">
        <v>162</v>
      </c>
      <c r="AD1417" t="s">
        <v>2272</v>
      </c>
      <c r="AH1417" s="4" t="s">
        <v>49</v>
      </c>
      <c r="AL1417" t="s">
        <v>49</v>
      </c>
      <c r="AM1417" t="s">
        <v>914</v>
      </c>
      <c r="AN1417" t="s">
        <v>109</v>
      </c>
      <c r="AO1417" t="s">
        <v>293</v>
      </c>
      <c r="AQ1417" s="5">
        <v>2</v>
      </c>
    </row>
    <row r="1418" spans="1:43" x14ac:dyDescent="0.2">
      <c r="A1418" t="s">
        <v>908</v>
      </c>
      <c r="B1418" t="s">
        <v>909</v>
      </c>
      <c r="C1418">
        <v>2019</v>
      </c>
      <c r="D1418" t="s">
        <v>44</v>
      </c>
      <c r="E1418" t="s">
        <v>49</v>
      </c>
      <c r="F1418" t="s">
        <v>83</v>
      </c>
      <c r="G1418" t="s">
        <v>85</v>
      </c>
      <c r="H1418" t="s">
        <v>350</v>
      </c>
      <c r="I1418">
        <v>2016</v>
      </c>
      <c r="J1418">
        <v>0.17</v>
      </c>
      <c r="K1418" t="s">
        <v>101</v>
      </c>
      <c r="N1418" t="s">
        <v>120</v>
      </c>
      <c r="O1418" t="s">
        <v>120</v>
      </c>
      <c r="P1418" t="s">
        <v>244</v>
      </c>
      <c r="Q1418" s="1" t="s">
        <v>2276</v>
      </c>
      <c r="R1418" s="1" t="s">
        <v>669</v>
      </c>
      <c r="S1418" s="1" t="s">
        <v>168</v>
      </c>
      <c r="T1418" t="s">
        <v>396</v>
      </c>
      <c r="U1418" t="s">
        <v>168</v>
      </c>
      <c r="V1418" t="s">
        <v>194</v>
      </c>
      <c r="W1418" t="s">
        <v>910</v>
      </c>
      <c r="X1418" t="s">
        <v>161</v>
      </c>
      <c r="Y1418" t="s">
        <v>2272</v>
      </c>
      <c r="Z1418" t="s">
        <v>2272</v>
      </c>
      <c r="AA1418" t="s">
        <v>2272</v>
      </c>
      <c r="AB1418" t="s">
        <v>2272</v>
      </c>
      <c r="AC1418" t="s">
        <v>162</v>
      </c>
      <c r="AD1418" t="s">
        <v>2272</v>
      </c>
      <c r="AH1418" s="4" t="s">
        <v>49</v>
      </c>
      <c r="AL1418" t="s">
        <v>49</v>
      </c>
      <c r="AM1418" t="s">
        <v>914</v>
      </c>
      <c r="AN1418" t="s">
        <v>109</v>
      </c>
      <c r="AO1418" t="s">
        <v>293</v>
      </c>
      <c r="AQ1418" s="5">
        <v>1</v>
      </c>
    </row>
    <row r="1419" spans="1:43" x14ac:dyDescent="0.2">
      <c r="A1419" t="s">
        <v>908</v>
      </c>
      <c r="B1419" t="s">
        <v>909</v>
      </c>
      <c r="C1419">
        <v>2019</v>
      </c>
      <c r="D1419" t="s">
        <v>44</v>
      </c>
      <c r="E1419" t="s">
        <v>49</v>
      </c>
      <c r="F1419" t="s">
        <v>83</v>
      </c>
      <c r="G1419" t="s">
        <v>85</v>
      </c>
      <c r="H1419" t="s">
        <v>350</v>
      </c>
      <c r="I1419">
        <v>2016</v>
      </c>
      <c r="J1419">
        <v>0.17</v>
      </c>
      <c r="K1419" t="s">
        <v>101</v>
      </c>
      <c r="N1419" t="s">
        <v>120</v>
      </c>
      <c r="O1419" t="s">
        <v>120</v>
      </c>
      <c r="P1419" t="s">
        <v>910</v>
      </c>
      <c r="Q1419" s="1" t="s">
        <v>2276</v>
      </c>
      <c r="R1419" s="1" t="s">
        <v>669</v>
      </c>
      <c r="S1419" s="1" t="s">
        <v>168</v>
      </c>
      <c r="T1419" t="s">
        <v>396</v>
      </c>
      <c r="U1419" t="s">
        <v>168</v>
      </c>
      <c r="V1419" t="s">
        <v>194</v>
      </c>
      <c r="W1419" t="s">
        <v>910</v>
      </c>
      <c r="X1419" t="s">
        <v>161</v>
      </c>
      <c r="Y1419" t="s">
        <v>2272</v>
      </c>
      <c r="Z1419" t="s">
        <v>2272</v>
      </c>
      <c r="AA1419" t="s">
        <v>2272</v>
      </c>
      <c r="AB1419" t="s">
        <v>2272</v>
      </c>
      <c r="AC1419" t="s">
        <v>162</v>
      </c>
      <c r="AD1419" t="s">
        <v>2272</v>
      </c>
      <c r="AH1419" s="4" t="s">
        <v>49</v>
      </c>
      <c r="AL1419" t="s">
        <v>49</v>
      </c>
      <c r="AM1419" t="s">
        <v>914</v>
      </c>
      <c r="AN1419" t="s">
        <v>109</v>
      </c>
      <c r="AO1419" t="s">
        <v>928</v>
      </c>
      <c r="AQ1419" s="5">
        <v>2</v>
      </c>
    </row>
    <row r="1420" spans="1:43" x14ac:dyDescent="0.2">
      <c r="A1420" t="s">
        <v>908</v>
      </c>
      <c r="B1420" t="s">
        <v>909</v>
      </c>
      <c r="C1420">
        <v>2019</v>
      </c>
      <c r="D1420" t="s">
        <v>44</v>
      </c>
      <c r="E1420" t="s">
        <v>49</v>
      </c>
      <c r="F1420" t="s">
        <v>83</v>
      </c>
      <c r="G1420" t="s">
        <v>85</v>
      </c>
      <c r="H1420" t="s">
        <v>350</v>
      </c>
      <c r="I1420">
        <v>2016</v>
      </c>
      <c r="J1420">
        <v>0.17</v>
      </c>
      <c r="K1420" t="s">
        <v>101</v>
      </c>
      <c r="N1420" t="s">
        <v>120</v>
      </c>
      <c r="O1420" t="s">
        <v>120</v>
      </c>
      <c r="P1420" t="s">
        <v>244</v>
      </c>
      <c r="Q1420" s="1" t="s">
        <v>2276</v>
      </c>
      <c r="R1420" s="1" t="s">
        <v>669</v>
      </c>
      <c r="S1420" s="1" t="s">
        <v>168</v>
      </c>
      <c r="T1420" t="s">
        <v>396</v>
      </c>
      <c r="U1420" t="s">
        <v>168</v>
      </c>
      <c r="V1420" t="s">
        <v>194</v>
      </c>
      <c r="W1420" t="s">
        <v>910</v>
      </c>
      <c r="X1420" t="s">
        <v>161</v>
      </c>
      <c r="Y1420" t="s">
        <v>2272</v>
      </c>
      <c r="Z1420" t="s">
        <v>2272</v>
      </c>
      <c r="AA1420" t="s">
        <v>2272</v>
      </c>
      <c r="AB1420" t="s">
        <v>2272</v>
      </c>
      <c r="AC1420" t="s">
        <v>162</v>
      </c>
      <c r="AD1420" t="s">
        <v>2272</v>
      </c>
      <c r="AH1420" s="4" t="s">
        <v>49</v>
      </c>
      <c r="AL1420" t="s">
        <v>49</v>
      </c>
      <c r="AM1420" t="s">
        <v>914</v>
      </c>
      <c r="AN1420" t="s">
        <v>109</v>
      </c>
      <c r="AO1420" t="s">
        <v>928</v>
      </c>
      <c r="AQ1420" s="5">
        <v>1</v>
      </c>
    </row>
    <row r="1421" spans="1:43" x14ac:dyDescent="0.2">
      <c r="A1421" t="s">
        <v>908</v>
      </c>
      <c r="B1421" t="s">
        <v>909</v>
      </c>
      <c r="C1421">
        <v>2019</v>
      </c>
      <c r="D1421" t="s">
        <v>44</v>
      </c>
      <c r="E1421" t="s">
        <v>49</v>
      </c>
      <c r="F1421" t="s">
        <v>83</v>
      </c>
      <c r="G1421" t="s">
        <v>85</v>
      </c>
      <c r="H1421" t="s">
        <v>350</v>
      </c>
      <c r="I1421">
        <v>2016</v>
      </c>
      <c r="J1421">
        <v>0.17</v>
      </c>
      <c r="K1421" t="s">
        <v>101</v>
      </c>
      <c r="N1421" t="s">
        <v>120</v>
      </c>
      <c r="O1421" t="s">
        <v>120</v>
      </c>
      <c r="P1421" t="s">
        <v>910</v>
      </c>
      <c r="Q1421" s="1" t="s">
        <v>2276</v>
      </c>
      <c r="R1421" s="1" t="s">
        <v>669</v>
      </c>
      <c r="S1421" s="1" t="s">
        <v>168</v>
      </c>
      <c r="T1421" t="s">
        <v>396</v>
      </c>
      <c r="U1421" t="s">
        <v>168</v>
      </c>
      <c r="V1421" t="s">
        <v>194</v>
      </c>
      <c r="W1421" t="s">
        <v>910</v>
      </c>
      <c r="X1421" t="s">
        <v>161</v>
      </c>
      <c r="Y1421" t="s">
        <v>2272</v>
      </c>
      <c r="Z1421" t="s">
        <v>2272</v>
      </c>
      <c r="AA1421" t="s">
        <v>2272</v>
      </c>
      <c r="AB1421" t="s">
        <v>2272</v>
      </c>
      <c r="AC1421" t="s">
        <v>162</v>
      </c>
      <c r="AD1421" t="s">
        <v>2272</v>
      </c>
      <c r="AH1421" s="4" t="s">
        <v>49</v>
      </c>
      <c r="AL1421" t="s">
        <v>49</v>
      </c>
      <c r="AM1421" t="s">
        <v>914</v>
      </c>
      <c r="AN1421" t="s">
        <v>109</v>
      </c>
      <c r="AO1421" t="s">
        <v>916</v>
      </c>
      <c r="AQ1421" s="5">
        <v>0</v>
      </c>
    </row>
    <row r="1422" spans="1:43" x14ac:dyDescent="0.2">
      <c r="A1422" t="s">
        <v>908</v>
      </c>
      <c r="B1422" t="s">
        <v>909</v>
      </c>
      <c r="C1422">
        <v>2019</v>
      </c>
      <c r="D1422" t="s">
        <v>44</v>
      </c>
      <c r="E1422" t="s">
        <v>49</v>
      </c>
      <c r="F1422" t="s">
        <v>83</v>
      </c>
      <c r="G1422" t="s">
        <v>85</v>
      </c>
      <c r="H1422" t="s">
        <v>350</v>
      </c>
      <c r="I1422">
        <v>2016</v>
      </c>
      <c r="J1422">
        <v>0.17</v>
      </c>
      <c r="K1422" t="s">
        <v>101</v>
      </c>
      <c r="N1422" t="s">
        <v>120</v>
      </c>
      <c r="O1422" t="s">
        <v>120</v>
      </c>
      <c r="P1422" t="s">
        <v>244</v>
      </c>
      <c r="Q1422" s="1" t="s">
        <v>2276</v>
      </c>
      <c r="R1422" s="1" t="s">
        <v>669</v>
      </c>
      <c r="S1422" s="1" t="s">
        <v>168</v>
      </c>
      <c r="T1422" t="s">
        <v>396</v>
      </c>
      <c r="U1422" t="s">
        <v>168</v>
      </c>
      <c r="V1422" t="s">
        <v>194</v>
      </c>
      <c r="W1422" t="s">
        <v>910</v>
      </c>
      <c r="X1422" t="s">
        <v>161</v>
      </c>
      <c r="Y1422" t="s">
        <v>2272</v>
      </c>
      <c r="Z1422" t="s">
        <v>2272</v>
      </c>
      <c r="AA1422" t="s">
        <v>2272</v>
      </c>
      <c r="AB1422" t="s">
        <v>2272</v>
      </c>
      <c r="AC1422" t="s">
        <v>162</v>
      </c>
      <c r="AD1422" t="s">
        <v>2272</v>
      </c>
      <c r="AH1422" s="4" t="s">
        <v>49</v>
      </c>
      <c r="AL1422" t="s">
        <v>49</v>
      </c>
      <c r="AM1422" t="s">
        <v>914</v>
      </c>
      <c r="AN1422" t="s">
        <v>109</v>
      </c>
      <c r="AO1422" t="s">
        <v>916</v>
      </c>
      <c r="AQ1422" s="5">
        <v>0</v>
      </c>
    </row>
    <row r="1423" spans="1:43" x14ac:dyDescent="0.2">
      <c r="A1423" t="s">
        <v>908</v>
      </c>
      <c r="B1423" t="s">
        <v>909</v>
      </c>
      <c r="C1423">
        <v>2019</v>
      </c>
      <c r="D1423" t="s">
        <v>44</v>
      </c>
      <c r="E1423" t="s">
        <v>49</v>
      </c>
      <c r="F1423" t="s">
        <v>83</v>
      </c>
      <c r="G1423" t="s">
        <v>85</v>
      </c>
      <c r="H1423" t="s">
        <v>350</v>
      </c>
      <c r="I1423">
        <v>2016</v>
      </c>
      <c r="J1423">
        <v>0.17</v>
      </c>
      <c r="K1423" t="s">
        <v>101</v>
      </c>
      <c r="N1423" t="s">
        <v>120</v>
      </c>
      <c r="O1423" t="s">
        <v>120</v>
      </c>
      <c r="P1423" t="s">
        <v>910</v>
      </c>
      <c r="Q1423" s="1" t="s">
        <v>2276</v>
      </c>
      <c r="R1423" s="1" t="s">
        <v>669</v>
      </c>
      <c r="S1423" s="1" t="s">
        <v>168</v>
      </c>
      <c r="T1423" t="s">
        <v>396</v>
      </c>
      <c r="U1423" t="s">
        <v>168</v>
      </c>
      <c r="V1423" t="s">
        <v>194</v>
      </c>
      <c r="W1423" t="s">
        <v>910</v>
      </c>
      <c r="X1423" t="s">
        <v>161</v>
      </c>
      <c r="Y1423" t="s">
        <v>2272</v>
      </c>
      <c r="Z1423" t="s">
        <v>2272</v>
      </c>
      <c r="AA1423" t="s">
        <v>2272</v>
      </c>
      <c r="AB1423" t="s">
        <v>2272</v>
      </c>
      <c r="AC1423" t="s">
        <v>162</v>
      </c>
      <c r="AD1423" t="s">
        <v>2272</v>
      </c>
      <c r="AH1423" s="4" t="s">
        <v>49</v>
      </c>
      <c r="AL1423" t="s">
        <v>49</v>
      </c>
      <c r="AM1423" t="s">
        <v>914</v>
      </c>
      <c r="AN1423" t="s">
        <v>109</v>
      </c>
      <c r="AO1423" t="s">
        <v>917</v>
      </c>
      <c r="AQ1423" s="5">
        <v>0</v>
      </c>
    </row>
    <row r="1424" spans="1:43" x14ac:dyDescent="0.2">
      <c r="A1424" t="s">
        <v>908</v>
      </c>
      <c r="B1424" t="s">
        <v>909</v>
      </c>
      <c r="C1424">
        <v>2019</v>
      </c>
      <c r="D1424" t="s">
        <v>44</v>
      </c>
      <c r="E1424" t="s">
        <v>49</v>
      </c>
      <c r="F1424" t="s">
        <v>83</v>
      </c>
      <c r="G1424" t="s">
        <v>85</v>
      </c>
      <c r="H1424" t="s">
        <v>350</v>
      </c>
      <c r="I1424">
        <v>2016</v>
      </c>
      <c r="J1424">
        <v>0.17</v>
      </c>
      <c r="K1424" t="s">
        <v>101</v>
      </c>
      <c r="N1424" t="s">
        <v>120</v>
      </c>
      <c r="O1424" t="s">
        <v>120</v>
      </c>
      <c r="P1424" t="s">
        <v>244</v>
      </c>
      <c r="Q1424" s="1" t="s">
        <v>2276</v>
      </c>
      <c r="R1424" s="1" t="s">
        <v>669</v>
      </c>
      <c r="S1424" s="1" t="s">
        <v>168</v>
      </c>
      <c r="T1424" t="s">
        <v>396</v>
      </c>
      <c r="U1424" t="s">
        <v>168</v>
      </c>
      <c r="V1424" t="s">
        <v>194</v>
      </c>
      <c r="W1424" t="s">
        <v>910</v>
      </c>
      <c r="X1424" t="s">
        <v>161</v>
      </c>
      <c r="Y1424" t="s">
        <v>2272</v>
      </c>
      <c r="Z1424" t="s">
        <v>2272</v>
      </c>
      <c r="AA1424" t="s">
        <v>2272</v>
      </c>
      <c r="AB1424" t="s">
        <v>2272</v>
      </c>
      <c r="AC1424" t="s">
        <v>162</v>
      </c>
      <c r="AD1424" t="s">
        <v>2272</v>
      </c>
      <c r="AH1424" s="4" t="s">
        <v>49</v>
      </c>
      <c r="AL1424" t="s">
        <v>49</v>
      </c>
      <c r="AM1424" t="s">
        <v>914</v>
      </c>
      <c r="AN1424" t="s">
        <v>109</v>
      </c>
      <c r="AO1424" t="s">
        <v>917</v>
      </c>
      <c r="AQ1424" s="5">
        <v>0</v>
      </c>
    </row>
    <row r="1425" spans="1:43" x14ac:dyDescent="0.2">
      <c r="A1425" t="s">
        <v>908</v>
      </c>
      <c r="B1425" t="s">
        <v>909</v>
      </c>
      <c r="C1425">
        <v>2019</v>
      </c>
      <c r="D1425" t="s">
        <v>44</v>
      </c>
      <c r="E1425" t="s">
        <v>49</v>
      </c>
      <c r="F1425" t="s">
        <v>83</v>
      </c>
      <c r="G1425" t="s">
        <v>85</v>
      </c>
      <c r="H1425" t="s">
        <v>350</v>
      </c>
      <c r="I1425">
        <v>2016</v>
      </c>
      <c r="J1425">
        <v>0.17</v>
      </c>
      <c r="K1425" t="s">
        <v>101</v>
      </c>
      <c r="N1425" t="s">
        <v>120</v>
      </c>
      <c r="O1425" t="s">
        <v>120</v>
      </c>
      <c r="P1425" t="s">
        <v>910</v>
      </c>
      <c r="Q1425" s="1" t="s">
        <v>2276</v>
      </c>
      <c r="R1425" s="1" t="s">
        <v>669</v>
      </c>
      <c r="S1425" s="1" t="s">
        <v>168</v>
      </c>
      <c r="T1425" t="s">
        <v>396</v>
      </c>
      <c r="U1425" t="s">
        <v>168</v>
      </c>
      <c r="V1425" t="s">
        <v>194</v>
      </c>
      <c r="W1425" t="s">
        <v>910</v>
      </c>
      <c r="X1425" t="s">
        <v>161</v>
      </c>
      <c r="Y1425" t="s">
        <v>2272</v>
      </c>
      <c r="Z1425" t="s">
        <v>2272</v>
      </c>
      <c r="AA1425" t="s">
        <v>2272</v>
      </c>
      <c r="AB1425" t="s">
        <v>2272</v>
      </c>
      <c r="AC1425" t="s">
        <v>162</v>
      </c>
      <c r="AD1425" t="s">
        <v>2272</v>
      </c>
      <c r="AH1425" s="4" t="s">
        <v>49</v>
      </c>
      <c r="AL1425" t="s">
        <v>49</v>
      </c>
      <c r="AM1425" t="s">
        <v>914</v>
      </c>
      <c r="AN1425" t="s">
        <v>109</v>
      </c>
      <c r="AO1425" t="s">
        <v>918</v>
      </c>
      <c r="AQ1425" s="5">
        <v>0</v>
      </c>
    </row>
    <row r="1426" spans="1:43" x14ac:dyDescent="0.2">
      <c r="A1426" t="s">
        <v>908</v>
      </c>
      <c r="B1426" t="s">
        <v>909</v>
      </c>
      <c r="C1426">
        <v>2019</v>
      </c>
      <c r="D1426" t="s">
        <v>44</v>
      </c>
      <c r="E1426" t="s">
        <v>49</v>
      </c>
      <c r="F1426" t="s">
        <v>83</v>
      </c>
      <c r="G1426" t="s">
        <v>85</v>
      </c>
      <c r="H1426" t="s">
        <v>350</v>
      </c>
      <c r="I1426">
        <v>2016</v>
      </c>
      <c r="J1426">
        <v>0.17</v>
      </c>
      <c r="K1426" t="s">
        <v>101</v>
      </c>
      <c r="N1426" t="s">
        <v>120</v>
      </c>
      <c r="O1426" t="s">
        <v>120</v>
      </c>
      <c r="P1426" t="s">
        <v>244</v>
      </c>
      <c r="Q1426" s="1" t="s">
        <v>2276</v>
      </c>
      <c r="R1426" s="1" t="s">
        <v>669</v>
      </c>
      <c r="S1426" s="1" t="s">
        <v>168</v>
      </c>
      <c r="T1426" t="s">
        <v>396</v>
      </c>
      <c r="U1426" t="s">
        <v>168</v>
      </c>
      <c r="V1426" t="s">
        <v>194</v>
      </c>
      <c r="W1426" t="s">
        <v>910</v>
      </c>
      <c r="X1426" t="s">
        <v>161</v>
      </c>
      <c r="Y1426" t="s">
        <v>2272</v>
      </c>
      <c r="Z1426" t="s">
        <v>2272</v>
      </c>
      <c r="AA1426" t="s">
        <v>2272</v>
      </c>
      <c r="AB1426" t="s">
        <v>2272</v>
      </c>
      <c r="AC1426" t="s">
        <v>162</v>
      </c>
      <c r="AD1426" t="s">
        <v>2272</v>
      </c>
      <c r="AH1426" s="4" t="s">
        <v>49</v>
      </c>
      <c r="AL1426" t="s">
        <v>49</v>
      </c>
      <c r="AM1426" t="s">
        <v>914</v>
      </c>
      <c r="AN1426" t="s">
        <v>109</v>
      </c>
      <c r="AO1426" t="s">
        <v>918</v>
      </c>
      <c r="AQ1426" s="5">
        <v>0</v>
      </c>
    </row>
    <row r="1427" spans="1:43" x14ac:dyDescent="0.2">
      <c r="A1427" t="s">
        <v>908</v>
      </c>
      <c r="B1427" t="s">
        <v>909</v>
      </c>
      <c r="C1427">
        <v>2019</v>
      </c>
      <c r="D1427" t="s">
        <v>44</v>
      </c>
      <c r="E1427" t="s">
        <v>49</v>
      </c>
      <c r="F1427" t="s">
        <v>83</v>
      </c>
      <c r="G1427" t="s">
        <v>85</v>
      </c>
      <c r="H1427" t="s">
        <v>350</v>
      </c>
      <c r="I1427">
        <v>2016</v>
      </c>
      <c r="J1427">
        <v>0.17</v>
      </c>
      <c r="K1427" t="s">
        <v>101</v>
      </c>
      <c r="N1427" t="s">
        <v>120</v>
      </c>
      <c r="O1427" t="s">
        <v>120</v>
      </c>
      <c r="P1427" t="s">
        <v>910</v>
      </c>
      <c r="Q1427" s="1" t="s">
        <v>2276</v>
      </c>
      <c r="R1427" s="1" t="s">
        <v>669</v>
      </c>
      <c r="S1427" s="1" t="s">
        <v>168</v>
      </c>
      <c r="T1427" t="s">
        <v>396</v>
      </c>
      <c r="U1427" t="s">
        <v>168</v>
      </c>
      <c r="V1427" t="s">
        <v>194</v>
      </c>
      <c r="W1427" t="s">
        <v>910</v>
      </c>
      <c r="X1427" t="s">
        <v>161</v>
      </c>
      <c r="Y1427" t="s">
        <v>2272</v>
      </c>
      <c r="Z1427" t="s">
        <v>2272</v>
      </c>
      <c r="AA1427" t="s">
        <v>2272</v>
      </c>
      <c r="AB1427" t="s">
        <v>2272</v>
      </c>
      <c r="AC1427" t="s">
        <v>162</v>
      </c>
      <c r="AD1427" t="s">
        <v>2272</v>
      </c>
      <c r="AH1427" s="4" t="s">
        <v>49</v>
      </c>
      <c r="AL1427" t="s">
        <v>49</v>
      </c>
      <c r="AM1427" t="s">
        <v>914</v>
      </c>
      <c r="AN1427" t="s">
        <v>109</v>
      </c>
      <c r="AO1427" t="s">
        <v>919</v>
      </c>
      <c r="AQ1427" s="5">
        <v>0</v>
      </c>
    </row>
    <row r="1428" spans="1:43" x14ac:dyDescent="0.2">
      <c r="A1428" t="s">
        <v>908</v>
      </c>
      <c r="B1428" t="s">
        <v>909</v>
      </c>
      <c r="C1428">
        <v>2019</v>
      </c>
      <c r="D1428" t="s">
        <v>44</v>
      </c>
      <c r="E1428" t="s">
        <v>49</v>
      </c>
      <c r="F1428" t="s">
        <v>83</v>
      </c>
      <c r="G1428" t="s">
        <v>85</v>
      </c>
      <c r="H1428" t="s">
        <v>350</v>
      </c>
      <c r="I1428">
        <v>2016</v>
      </c>
      <c r="J1428">
        <v>0.17</v>
      </c>
      <c r="K1428" t="s">
        <v>101</v>
      </c>
      <c r="N1428" t="s">
        <v>120</v>
      </c>
      <c r="O1428" t="s">
        <v>120</v>
      </c>
      <c r="P1428" t="s">
        <v>244</v>
      </c>
      <c r="Q1428" s="1" t="s">
        <v>2276</v>
      </c>
      <c r="R1428" s="1" t="s">
        <v>669</v>
      </c>
      <c r="S1428" s="1" t="s">
        <v>168</v>
      </c>
      <c r="T1428" t="s">
        <v>396</v>
      </c>
      <c r="U1428" t="s">
        <v>168</v>
      </c>
      <c r="V1428" t="s">
        <v>194</v>
      </c>
      <c r="W1428" t="s">
        <v>910</v>
      </c>
      <c r="X1428" t="s">
        <v>161</v>
      </c>
      <c r="Y1428" t="s">
        <v>2272</v>
      </c>
      <c r="Z1428" t="s">
        <v>2272</v>
      </c>
      <c r="AA1428" t="s">
        <v>2272</v>
      </c>
      <c r="AB1428" t="s">
        <v>2272</v>
      </c>
      <c r="AC1428" t="s">
        <v>162</v>
      </c>
      <c r="AD1428" t="s">
        <v>2272</v>
      </c>
      <c r="AH1428" s="4" t="s">
        <v>49</v>
      </c>
      <c r="AL1428" t="s">
        <v>49</v>
      </c>
      <c r="AM1428" t="s">
        <v>914</v>
      </c>
      <c r="AN1428" t="s">
        <v>109</v>
      </c>
      <c r="AO1428" t="s">
        <v>919</v>
      </c>
      <c r="AQ1428" s="5">
        <v>0</v>
      </c>
    </row>
    <row r="1429" spans="1:43" x14ac:dyDescent="0.2">
      <c r="A1429" t="s">
        <v>908</v>
      </c>
      <c r="B1429" t="s">
        <v>909</v>
      </c>
      <c r="C1429">
        <v>2019</v>
      </c>
      <c r="D1429" t="s">
        <v>44</v>
      </c>
      <c r="E1429" t="s">
        <v>49</v>
      </c>
      <c r="F1429" t="s">
        <v>83</v>
      </c>
      <c r="G1429" t="s">
        <v>85</v>
      </c>
      <c r="H1429" t="s">
        <v>350</v>
      </c>
      <c r="I1429">
        <v>2016</v>
      </c>
      <c r="J1429">
        <v>0.17</v>
      </c>
      <c r="K1429" t="s">
        <v>101</v>
      </c>
      <c r="N1429" t="s">
        <v>120</v>
      </c>
      <c r="O1429" t="s">
        <v>120</v>
      </c>
      <c r="P1429" t="s">
        <v>910</v>
      </c>
      <c r="Q1429" s="1" t="s">
        <v>2276</v>
      </c>
      <c r="R1429" s="1" t="s">
        <v>669</v>
      </c>
      <c r="S1429" s="1" t="s">
        <v>168</v>
      </c>
      <c r="T1429" t="s">
        <v>396</v>
      </c>
      <c r="U1429" t="s">
        <v>168</v>
      </c>
      <c r="V1429" t="s">
        <v>194</v>
      </c>
      <c r="W1429" t="s">
        <v>910</v>
      </c>
      <c r="X1429" t="s">
        <v>161</v>
      </c>
      <c r="Y1429" t="s">
        <v>2272</v>
      </c>
      <c r="Z1429" t="s">
        <v>2272</v>
      </c>
      <c r="AA1429" t="s">
        <v>2272</v>
      </c>
      <c r="AB1429" t="s">
        <v>2272</v>
      </c>
      <c r="AC1429" t="s">
        <v>162</v>
      </c>
      <c r="AD1429" t="s">
        <v>2272</v>
      </c>
      <c r="AH1429" s="4" t="s">
        <v>49</v>
      </c>
      <c r="AL1429" t="s">
        <v>49</v>
      </c>
      <c r="AM1429" t="s">
        <v>914</v>
      </c>
      <c r="AN1429" t="s">
        <v>109</v>
      </c>
      <c r="AO1429" t="s">
        <v>920</v>
      </c>
      <c r="AQ1429" s="5">
        <v>0</v>
      </c>
    </row>
    <row r="1430" spans="1:43" x14ac:dyDescent="0.2">
      <c r="A1430" t="s">
        <v>908</v>
      </c>
      <c r="B1430" t="s">
        <v>909</v>
      </c>
      <c r="C1430">
        <v>2019</v>
      </c>
      <c r="D1430" t="s">
        <v>44</v>
      </c>
      <c r="E1430" t="s">
        <v>49</v>
      </c>
      <c r="F1430" t="s">
        <v>83</v>
      </c>
      <c r="G1430" t="s">
        <v>85</v>
      </c>
      <c r="H1430" t="s">
        <v>350</v>
      </c>
      <c r="I1430">
        <v>2016</v>
      </c>
      <c r="J1430">
        <v>0.17</v>
      </c>
      <c r="K1430" t="s">
        <v>101</v>
      </c>
      <c r="N1430" t="s">
        <v>120</v>
      </c>
      <c r="O1430" t="s">
        <v>120</v>
      </c>
      <c r="P1430" t="s">
        <v>244</v>
      </c>
      <c r="Q1430" s="1" t="s">
        <v>2276</v>
      </c>
      <c r="R1430" s="1" t="s">
        <v>669</v>
      </c>
      <c r="S1430" s="1" t="s">
        <v>168</v>
      </c>
      <c r="T1430" t="s">
        <v>396</v>
      </c>
      <c r="U1430" t="s">
        <v>168</v>
      </c>
      <c r="V1430" t="s">
        <v>194</v>
      </c>
      <c r="W1430" t="s">
        <v>910</v>
      </c>
      <c r="X1430" t="s">
        <v>161</v>
      </c>
      <c r="Y1430" t="s">
        <v>2272</v>
      </c>
      <c r="Z1430" t="s">
        <v>2272</v>
      </c>
      <c r="AA1430" t="s">
        <v>2272</v>
      </c>
      <c r="AB1430" t="s">
        <v>2272</v>
      </c>
      <c r="AC1430" t="s">
        <v>162</v>
      </c>
      <c r="AD1430" t="s">
        <v>2272</v>
      </c>
      <c r="AH1430" s="4" t="s">
        <v>49</v>
      </c>
      <c r="AL1430" t="s">
        <v>49</v>
      </c>
      <c r="AM1430" t="s">
        <v>914</v>
      </c>
      <c r="AN1430" t="s">
        <v>109</v>
      </c>
      <c r="AO1430" t="s">
        <v>920</v>
      </c>
      <c r="AQ1430" s="5">
        <v>0</v>
      </c>
    </row>
    <row r="1431" spans="1:43" x14ac:dyDescent="0.2">
      <c r="A1431" t="s">
        <v>908</v>
      </c>
      <c r="B1431" t="s">
        <v>909</v>
      </c>
      <c r="C1431">
        <v>2019</v>
      </c>
      <c r="D1431" t="s">
        <v>44</v>
      </c>
      <c r="E1431" t="s">
        <v>49</v>
      </c>
      <c r="F1431" t="s">
        <v>83</v>
      </c>
      <c r="G1431" t="s">
        <v>85</v>
      </c>
      <c r="H1431" t="s">
        <v>350</v>
      </c>
      <c r="I1431">
        <v>2016</v>
      </c>
      <c r="J1431">
        <v>0.17</v>
      </c>
      <c r="K1431" t="s">
        <v>101</v>
      </c>
      <c r="N1431" t="s">
        <v>120</v>
      </c>
      <c r="O1431" t="s">
        <v>120</v>
      </c>
      <c r="P1431" t="s">
        <v>910</v>
      </c>
      <c r="Q1431" s="1" t="s">
        <v>2276</v>
      </c>
      <c r="R1431" s="1" t="s">
        <v>669</v>
      </c>
      <c r="S1431" s="1" t="s">
        <v>168</v>
      </c>
      <c r="T1431" t="s">
        <v>396</v>
      </c>
      <c r="U1431" t="s">
        <v>168</v>
      </c>
      <c r="V1431" t="s">
        <v>194</v>
      </c>
      <c r="W1431" t="s">
        <v>910</v>
      </c>
      <c r="X1431" t="s">
        <v>161</v>
      </c>
      <c r="Y1431" t="s">
        <v>2272</v>
      </c>
      <c r="Z1431" t="s">
        <v>2272</v>
      </c>
      <c r="AA1431" t="s">
        <v>2272</v>
      </c>
      <c r="AB1431" t="s">
        <v>2272</v>
      </c>
      <c r="AC1431" t="s">
        <v>162</v>
      </c>
      <c r="AD1431" t="s">
        <v>2272</v>
      </c>
      <c r="AH1431" s="4" t="s">
        <v>49</v>
      </c>
      <c r="AL1431" t="s">
        <v>49</v>
      </c>
      <c r="AM1431" t="s">
        <v>914</v>
      </c>
      <c r="AN1431" t="s">
        <v>109</v>
      </c>
      <c r="AO1431" t="s">
        <v>921</v>
      </c>
      <c r="AQ1431" s="5">
        <v>0</v>
      </c>
    </row>
    <row r="1432" spans="1:43" x14ac:dyDescent="0.2">
      <c r="A1432" t="s">
        <v>908</v>
      </c>
      <c r="B1432" t="s">
        <v>909</v>
      </c>
      <c r="C1432">
        <v>2019</v>
      </c>
      <c r="D1432" t="s">
        <v>44</v>
      </c>
      <c r="E1432" t="s">
        <v>49</v>
      </c>
      <c r="F1432" t="s">
        <v>83</v>
      </c>
      <c r="G1432" t="s">
        <v>85</v>
      </c>
      <c r="H1432" t="s">
        <v>350</v>
      </c>
      <c r="I1432">
        <v>2016</v>
      </c>
      <c r="J1432">
        <v>0.17</v>
      </c>
      <c r="K1432" t="s">
        <v>101</v>
      </c>
      <c r="N1432" t="s">
        <v>120</v>
      </c>
      <c r="O1432" t="s">
        <v>120</v>
      </c>
      <c r="P1432" t="s">
        <v>244</v>
      </c>
      <c r="Q1432" s="1" t="s">
        <v>2276</v>
      </c>
      <c r="R1432" s="1" t="s">
        <v>669</v>
      </c>
      <c r="S1432" s="1" t="s">
        <v>168</v>
      </c>
      <c r="T1432" t="s">
        <v>396</v>
      </c>
      <c r="U1432" t="s">
        <v>168</v>
      </c>
      <c r="V1432" t="s">
        <v>194</v>
      </c>
      <c r="W1432" t="s">
        <v>910</v>
      </c>
      <c r="X1432" t="s">
        <v>161</v>
      </c>
      <c r="Y1432" t="s">
        <v>2272</v>
      </c>
      <c r="Z1432" t="s">
        <v>2272</v>
      </c>
      <c r="AA1432" t="s">
        <v>2272</v>
      </c>
      <c r="AB1432" t="s">
        <v>2272</v>
      </c>
      <c r="AC1432" t="s">
        <v>162</v>
      </c>
      <c r="AD1432" t="s">
        <v>2272</v>
      </c>
      <c r="AH1432" s="4" t="s">
        <v>49</v>
      </c>
      <c r="AL1432" t="s">
        <v>49</v>
      </c>
      <c r="AM1432" t="s">
        <v>914</v>
      </c>
      <c r="AN1432" t="s">
        <v>109</v>
      </c>
      <c r="AO1432" t="s">
        <v>921</v>
      </c>
      <c r="AQ1432" s="5">
        <v>0</v>
      </c>
    </row>
    <row r="1433" spans="1:43" x14ac:dyDescent="0.2">
      <c r="A1433" t="s">
        <v>908</v>
      </c>
      <c r="B1433" t="s">
        <v>909</v>
      </c>
      <c r="C1433">
        <v>2019</v>
      </c>
      <c r="D1433" t="s">
        <v>44</v>
      </c>
      <c r="E1433" t="s">
        <v>49</v>
      </c>
      <c r="F1433" t="s">
        <v>83</v>
      </c>
      <c r="G1433" t="s">
        <v>85</v>
      </c>
      <c r="H1433" t="s">
        <v>350</v>
      </c>
      <c r="I1433">
        <v>2016</v>
      </c>
      <c r="J1433">
        <v>0.17</v>
      </c>
      <c r="K1433" t="s">
        <v>101</v>
      </c>
      <c r="N1433" t="s">
        <v>120</v>
      </c>
      <c r="O1433" t="s">
        <v>120</v>
      </c>
      <c r="P1433" t="s">
        <v>910</v>
      </c>
      <c r="Q1433" s="1" t="s">
        <v>2276</v>
      </c>
      <c r="R1433" s="1" t="s">
        <v>669</v>
      </c>
      <c r="S1433" s="1" t="s">
        <v>168</v>
      </c>
      <c r="T1433" t="s">
        <v>396</v>
      </c>
      <c r="U1433" t="s">
        <v>168</v>
      </c>
      <c r="V1433" t="s">
        <v>194</v>
      </c>
      <c r="W1433" t="s">
        <v>910</v>
      </c>
      <c r="X1433" t="s">
        <v>161</v>
      </c>
      <c r="Y1433" t="s">
        <v>2272</v>
      </c>
      <c r="Z1433" t="s">
        <v>2272</v>
      </c>
      <c r="AA1433" t="s">
        <v>2272</v>
      </c>
      <c r="AB1433" t="s">
        <v>2272</v>
      </c>
      <c r="AC1433" t="s">
        <v>162</v>
      </c>
      <c r="AD1433" t="s">
        <v>2272</v>
      </c>
      <c r="AH1433" s="4" t="s">
        <v>49</v>
      </c>
      <c r="AL1433" t="s">
        <v>49</v>
      </c>
      <c r="AM1433" t="s">
        <v>914</v>
      </c>
      <c r="AN1433" t="s">
        <v>109</v>
      </c>
      <c r="AO1433" t="s">
        <v>922</v>
      </c>
      <c r="AQ1433" s="5">
        <v>0</v>
      </c>
    </row>
    <row r="1434" spans="1:43" x14ac:dyDescent="0.2">
      <c r="A1434" t="s">
        <v>908</v>
      </c>
      <c r="B1434" t="s">
        <v>909</v>
      </c>
      <c r="C1434">
        <v>2019</v>
      </c>
      <c r="D1434" t="s">
        <v>44</v>
      </c>
      <c r="E1434" t="s">
        <v>49</v>
      </c>
      <c r="F1434" t="s">
        <v>83</v>
      </c>
      <c r="G1434" t="s">
        <v>85</v>
      </c>
      <c r="H1434" t="s">
        <v>350</v>
      </c>
      <c r="I1434">
        <v>2016</v>
      </c>
      <c r="J1434">
        <v>0.17</v>
      </c>
      <c r="K1434" t="s">
        <v>101</v>
      </c>
      <c r="N1434" t="s">
        <v>120</v>
      </c>
      <c r="O1434" t="s">
        <v>120</v>
      </c>
      <c r="P1434" t="s">
        <v>244</v>
      </c>
      <c r="Q1434" s="1" t="s">
        <v>2276</v>
      </c>
      <c r="R1434" s="1" t="s">
        <v>669</v>
      </c>
      <c r="S1434" s="1" t="s">
        <v>168</v>
      </c>
      <c r="T1434" t="s">
        <v>396</v>
      </c>
      <c r="U1434" t="s">
        <v>168</v>
      </c>
      <c r="V1434" t="s">
        <v>194</v>
      </c>
      <c r="W1434" t="s">
        <v>910</v>
      </c>
      <c r="X1434" t="s">
        <v>161</v>
      </c>
      <c r="Y1434" t="s">
        <v>2272</v>
      </c>
      <c r="Z1434" t="s">
        <v>2272</v>
      </c>
      <c r="AA1434" t="s">
        <v>2272</v>
      </c>
      <c r="AB1434" t="s">
        <v>2272</v>
      </c>
      <c r="AC1434" t="s">
        <v>162</v>
      </c>
      <c r="AD1434" t="s">
        <v>2272</v>
      </c>
      <c r="AH1434" s="4" t="s">
        <v>49</v>
      </c>
      <c r="AL1434" t="s">
        <v>49</v>
      </c>
      <c r="AM1434" t="s">
        <v>914</v>
      </c>
      <c r="AN1434" t="s">
        <v>109</v>
      </c>
      <c r="AO1434" t="s">
        <v>922</v>
      </c>
      <c r="AQ1434" s="5">
        <v>0</v>
      </c>
    </row>
    <row r="1435" spans="1:43" x14ac:dyDescent="0.2">
      <c r="A1435" t="s">
        <v>908</v>
      </c>
      <c r="B1435" t="s">
        <v>909</v>
      </c>
      <c r="C1435">
        <v>2019</v>
      </c>
      <c r="D1435" t="s">
        <v>44</v>
      </c>
      <c r="E1435" t="s">
        <v>49</v>
      </c>
      <c r="F1435" t="s">
        <v>83</v>
      </c>
      <c r="G1435" t="s">
        <v>85</v>
      </c>
      <c r="H1435" t="s">
        <v>350</v>
      </c>
      <c r="I1435">
        <v>2016</v>
      </c>
      <c r="J1435">
        <v>0.17</v>
      </c>
      <c r="K1435" t="s">
        <v>101</v>
      </c>
      <c r="N1435" t="s">
        <v>120</v>
      </c>
      <c r="O1435" t="s">
        <v>120</v>
      </c>
      <c r="P1435" t="s">
        <v>910</v>
      </c>
      <c r="Q1435" s="1" t="s">
        <v>2276</v>
      </c>
      <c r="R1435" s="1" t="s">
        <v>669</v>
      </c>
      <c r="S1435" s="1" t="s">
        <v>168</v>
      </c>
      <c r="T1435" t="s">
        <v>396</v>
      </c>
      <c r="U1435" t="s">
        <v>168</v>
      </c>
      <c r="V1435" t="s">
        <v>194</v>
      </c>
      <c r="W1435" t="s">
        <v>910</v>
      </c>
      <c r="X1435" t="s">
        <v>161</v>
      </c>
      <c r="Y1435" t="s">
        <v>2272</v>
      </c>
      <c r="Z1435" t="s">
        <v>2272</v>
      </c>
      <c r="AA1435" t="s">
        <v>2272</v>
      </c>
      <c r="AB1435" t="s">
        <v>2272</v>
      </c>
      <c r="AC1435" t="s">
        <v>162</v>
      </c>
      <c r="AD1435" t="s">
        <v>2272</v>
      </c>
      <c r="AH1435" s="4" t="s">
        <v>49</v>
      </c>
      <c r="AL1435" t="s">
        <v>49</v>
      </c>
      <c r="AM1435" t="s">
        <v>914</v>
      </c>
      <c r="AN1435" t="s">
        <v>109</v>
      </c>
      <c r="AO1435" t="s">
        <v>923</v>
      </c>
      <c r="AQ1435" s="5">
        <v>0</v>
      </c>
    </row>
    <row r="1436" spans="1:43" x14ac:dyDescent="0.2">
      <c r="A1436" t="s">
        <v>908</v>
      </c>
      <c r="B1436" t="s">
        <v>909</v>
      </c>
      <c r="C1436">
        <v>2019</v>
      </c>
      <c r="D1436" t="s">
        <v>44</v>
      </c>
      <c r="E1436" t="s">
        <v>49</v>
      </c>
      <c r="F1436" t="s">
        <v>83</v>
      </c>
      <c r="G1436" t="s">
        <v>85</v>
      </c>
      <c r="H1436" t="s">
        <v>350</v>
      </c>
      <c r="I1436">
        <v>2016</v>
      </c>
      <c r="J1436">
        <v>0.17</v>
      </c>
      <c r="K1436" t="s">
        <v>101</v>
      </c>
      <c r="N1436" t="s">
        <v>120</v>
      </c>
      <c r="O1436" t="s">
        <v>120</v>
      </c>
      <c r="P1436" t="s">
        <v>244</v>
      </c>
      <c r="Q1436" s="1" t="s">
        <v>2276</v>
      </c>
      <c r="R1436" s="1" t="s">
        <v>669</v>
      </c>
      <c r="S1436" s="1" t="s">
        <v>168</v>
      </c>
      <c r="T1436" t="s">
        <v>396</v>
      </c>
      <c r="U1436" t="s">
        <v>168</v>
      </c>
      <c r="V1436" t="s">
        <v>194</v>
      </c>
      <c r="W1436" t="s">
        <v>910</v>
      </c>
      <c r="X1436" t="s">
        <v>161</v>
      </c>
      <c r="Y1436" t="s">
        <v>2272</v>
      </c>
      <c r="Z1436" t="s">
        <v>2272</v>
      </c>
      <c r="AA1436" t="s">
        <v>2272</v>
      </c>
      <c r="AB1436" t="s">
        <v>2272</v>
      </c>
      <c r="AC1436" t="s">
        <v>162</v>
      </c>
      <c r="AD1436" t="s">
        <v>2272</v>
      </c>
      <c r="AH1436" s="4" t="s">
        <v>49</v>
      </c>
      <c r="AL1436" t="s">
        <v>49</v>
      </c>
      <c r="AM1436" t="s">
        <v>914</v>
      </c>
      <c r="AN1436" t="s">
        <v>109</v>
      </c>
      <c r="AO1436" t="s">
        <v>923</v>
      </c>
      <c r="AQ1436" s="5">
        <v>0</v>
      </c>
    </row>
    <row r="1437" spans="1:43" x14ac:dyDescent="0.2">
      <c r="A1437" t="s">
        <v>908</v>
      </c>
      <c r="B1437" t="s">
        <v>909</v>
      </c>
      <c r="C1437">
        <v>2019</v>
      </c>
      <c r="D1437" t="s">
        <v>44</v>
      </c>
      <c r="E1437" t="s">
        <v>49</v>
      </c>
      <c r="F1437" t="s">
        <v>83</v>
      </c>
      <c r="G1437" t="s">
        <v>85</v>
      </c>
      <c r="H1437" t="s">
        <v>350</v>
      </c>
      <c r="I1437">
        <v>2016</v>
      </c>
      <c r="J1437">
        <v>0.17</v>
      </c>
      <c r="K1437" t="s">
        <v>101</v>
      </c>
      <c r="N1437" t="s">
        <v>120</v>
      </c>
      <c r="O1437" t="s">
        <v>120</v>
      </c>
      <c r="P1437" t="s">
        <v>910</v>
      </c>
      <c r="Q1437" s="1" t="s">
        <v>2276</v>
      </c>
      <c r="R1437" s="1" t="s">
        <v>669</v>
      </c>
      <c r="S1437" s="1" t="s">
        <v>168</v>
      </c>
      <c r="T1437" t="s">
        <v>396</v>
      </c>
      <c r="U1437" t="s">
        <v>168</v>
      </c>
      <c r="V1437" t="s">
        <v>194</v>
      </c>
      <c r="W1437" t="s">
        <v>910</v>
      </c>
      <c r="X1437" t="s">
        <v>161</v>
      </c>
      <c r="Y1437" t="s">
        <v>2272</v>
      </c>
      <c r="Z1437" t="s">
        <v>2272</v>
      </c>
      <c r="AA1437" t="s">
        <v>2272</v>
      </c>
      <c r="AB1437" t="s">
        <v>2272</v>
      </c>
      <c r="AC1437" t="s">
        <v>162</v>
      </c>
      <c r="AD1437" t="s">
        <v>2272</v>
      </c>
      <c r="AH1437" s="4" t="s">
        <v>49</v>
      </c>
      <c r="AL1437" t="s">
        <v>49</v>
      </c>
      <c r="AM1437" t="s">
        <v>914</v>
      </c>
      <c r="AN1437" t="s">
        <v>109</v>
      </c>
      <c r="AO1437" t="s">
        <v>924</v>
      </c>
      <c r="AQ1437" s="5">
        <v>0</v>
      </c>
    </row>
    <row r="1438" spans="1:43" x14ac:dyDescent="0.2">
      <c r="A1438" t="s">
        <v>908</v>
      </c>
      <c r="B1438" t="s">
        <v>909</v>
      </c>
      <c r="C1438">
        <v>2019</v>
      </c>
      <c r="D1438" t="s">
        <v>44</v>
      </c>
      <c r="E1438" t="s">
        <v>49</v>
      </c>
      <c r="F1438" t="s">
        <v>83</v>
      </c>
      <c r="G1438" t="s">
        <v>85</v>
      </c>
      <c r="H1438" t="s">
        <v>350</v>
      </c>
      <c r="I1438">
        <v>2016</v>
      </c>
      <c r="J1438">
        <v>0.17</v>
      </c>
      <c r="K1438" t="s">
        <v>101</v>
      </c>
      <c r="N1438" t="s">
        <v>120</v>
      </c>
      <c r="O1438" t="s">
        <v>120</v>
      </c>
      <c r="P1438" t="s">
        <v>244</v>
      </c>
      <c r="Q1438" s="1" t="s">
        <v>2276</v>
      </c>
      <c r="R1438" s="1" t="s">
        <v>669</v>
      </c>
      <c r="S1438" s="1" t="s">
        <v>168</v>
      </c>
      <c r="T1438" t="s">
        <v>396</v>
      </c>
      <c r="U1438" t="s">
        <v>168</v>
      </c>
      <c r="V1438" t="s">
        <v>194</v>
      </c>
      <c r="W1438" t="s">
        <v>910</v>
      </c>
      <c r="X1438" t="s">
        <v>161</v>
      </c>
      <c r="Y1438" t="s">
        <v>2272</v>
      </c>
      <c r="Z1438" t="s">
        <v>2272</v>
      </c>
      <c r="AA1438" t="s">
        <v>2272</v>
      </c>
      <c r="AB1438" t="s">
        <v>2272</v>
      </c>
      <c r="AC1438" t="s">
        <v>162</v>
      </c>
      <c r="AD1438" t="s">
        <v>2272</v>
      </c>
      <c r="AH1438" s="4" t="s">
        <v>49</v>
      </c>
      <c r="AL1438" t="s">
        <v>49</v>
      </c>
      <c r="AM1438" t="s">
        <v>914</v>
      </c>
      <c r="AN1438" t="s">
        <v>109</v>
      </c>
      <c r="AO1438" t="s">
        <v>924</v>
      </c>
      <c r="AQ1438" s="5">
        <v>0</v>
      </c>
    </row>
    <row r="1439" spans="1:43" x14ac:dyDescent="0.2">
      <c r="A1439" t="s">
        <v>908</v>
      </c>
      <c r="B1439" t="s">
        <v>909</v>
      </c>
      <c r="C1439">
        <v>2019</v>
      </c>
      <c r="D1439" t="s">
        <v>44</v>
      </c>
      <c r="E1439" t="s">
        <v>49</v>
      </c>
      <c r="F1439" t="s">
        <v>83</v>
      </c>
      <c r="G1439" t="s">
        <v>85</v>
      </c>
      <c r="H1439" t="s">
        <v>350</v>
      </c>
      <c r="I1439">
        <v>2016</v>
      </c>
      <c r="J1439">
        <v>0.17</v>
      </c>
      <c r="K1439" t="s">
        <v>101</v>
      </c>
      <c r="N1439" t="s">
        <v>120</v>
      </c>
      <c r="O1439" t="s">
        <v>120</v>
      </c>
      <c r="P1439" t="s">
        <v>910</v>
      </c>
      <c r="Q1439" s="1" t="s">
        <v>2276</v>
      </c>
      <c r="R1439" s="1" t="s">
        <v>669</v>
      </c>
      <c r="S1439" s="1" t="s">
        <v>168</v>
      </c>
      <c r="T1439" t="s">
        <v>396</v>
      </c>
      <c r="U1439" t="s">
        <v>168</v>
      </c>
      <c r="V1439" t="s">
        <v>194</v>
      </c>
      <c r="W1439" t="s">
        <v>910</v>
      </c>
      <c r="X1439" t="s">
        <v>161</v>
      </c>
      <c r="Y1439" t="s">
        <v>2272</v>
      </c>
      <c r="Z1439" t="s">
        <v>2272</v>
      </c>
      <c r="AA1439" t="s">
        <v>2272</v>
      </c>
      <c r="AB1439" t="s">
        <v>2272</v>
      </c>
      <c r="AC1439" t="s">
        <v>162</v>
      </c>
      <c r="AD1439" t="s">
        <v>2272</v>
      </c>
      <c r="AH1439" s="4" t="s">
        <v>49</v>
      </c>
      <c r="AL1439" t="s">
        <v>49</v>
      </c>
      <c r="AM1439" t="s">
        <v>914</v>
      </c>
      <c r="AN1439" t="s">
        <v>109</v>
      </c>
      <c r="AO1439" t="s">
        <v>293</v>
      </c>
      <c r="AQ1439" s="5">
        <v>0</v>
      </c>
    </row>
    <row r="1440" spans="1:43" x14ac:dyDescent="0.2">
      <c r="A1440" t="s">
        <v>908</v>
      </c>
      <c r="B1440" t="s">
        <v>909</v>
      </c>
      <c r="C1440">
        <v>2019</v>
      </c>
      <c r="D1440" t="s">
        <v>44</v>
      </c>
      <c r="E1440" t="s">
        <v>49</v>
      </c>
      <c r="F1440" t="s">
        <v>83</v>
      </c>
      <c r="G1440" t="s">
        <v>85</v>
      </c>
      <c r="H1440" t="s">
        <v>350</v>
      </c>
      <c r="I1440">
        <v>2016</v>
      </c>
      <c r="J1440">
        <v>0.17</v>
      </c>
      <c r="K1440" t="s">
        <v>101</v>
      </c>
      <c r="N1440" t="s">
        <v>120</v>
      </c>
      <c r="O1440" t="s">
        <v>120</v>
      </c>
      <c r="P1440" t="s">
        <v>244</v>
      </c>
      <c r="Q1440" s="1" t="s">
        <v>2276</v>
      </c>
      <c r="R1440" s="1" t="s">
        <v>669</v>
      </c>
      <c r="S1440" s="1" t="s">
        <v>168</v>
      </c>
      <c r="T1440" t="s">
        <v>396</v>
      </c>
      <c r="U1440" t="s">
        <v>168</v>
      </c>
      <c r="V1440" t="s">
        <v>194</v>
      </c>
      <c r="W1440" t="s">
        <v>910</v>
      </c>
      <c r="X1440" t="s">
        <v>161</v>
      </c>
      <c r="Y1440" t="s">
        <v>2272</v>
      </c>
      <c r="Z1440" t="s">
        <v>2272</v>
      </c>
      <c r="AA1440" t="s">
        <v>2272</v>
      </c>
      <c r="AB1440" t="s">
        <v>2272</v>
      </c>
      <c r="AC1440" t="s">
        <v>162</v>
      </c>
      <c r="AD1440" t="s">
        <v>2272</v>
      </c>
      <c r="AH1440" s="4" t="s">
        <v>49</v>
      </c>
      <c r="AL1440" t="s">
        <v>49</v>
      </c>
      <c r="AM1440" t="s">
        <v>914</v>
      </c>
      <c r="AN1440" t="s">
        <v>109</v>
      </c>
      <c r="AO1440" t="s">
        <v>293</v>
      </c>
      <c r="AQ1440" s="5">
        <v>0</v>
      </c>
    </row>
    <row r="1441" spans="1:43" x14ac:dyDescent="0.2">
      <c r="A1441" t="s">
        <v>908</v>
      </c>
      <c r="B1441" t="s">
        <v>909</v>
      </c>
      <c r="C1441">
        <v>2019</v>
      </c>
      <c r="D1441" t="s">
        <v>44</v>
      </c>
      <c r="E1441" t="s">
        <v>49</v>
      </c>
      <c r="F1441" t="s">
        <v>83</v>
      </c>
      <c r="G1441" t="s">
        <v>85</v>
      </c>
      <c r="H1441" t="s">
        <v>350</v>
      </c>
      <c r="I1441">
        <v>2016</v>
      </c>
      <c r="J1441">
        <v>0.17</v>
      </c>
      <c r="K1441" t="s">
        <v>101</v>
      </c>
      <c r="N1441" t="s">
        <v>120</v>
      </c>
      <c r="O1441" t="s">
        <v>120</v>
      </c>
      <c r="P1441" t="s">
        <v>910</v>
      </c>
      <c r="Q1441" s="1" t="s">
        <v>2276</v>
      </c>
      <c r="R1441" s="1" t="s">
        <v>669</v>
      </c>
      <c r="S1441" s="1" t="s">
        <v>168</v>
      </c>
      <c r="T1441" t="s">
        <v>396</v>
      </c>
      <c r="U1441" t="s">
        <v>168</v>
      </c>
      <c r="V1441" t="s">
        <v>194</v>
      </c>
      <c r="W1441" t="s">
        <v>910</v>
      </c>
      <c r="X1441" t="s">
        <v>161</v>
      </c>
      <c r="Y1441" t="s">
        <v>2272</v>
      </c>
      <c r="Z1441" t="s">
        <v>2272</v>
      </c>
      <c r="AA1441" t="s">
        <v>2272</v>
      </c>
      <c r="AB1441" t="s">
        <v>2272</v>
      </c>
      <c r="AC1441" t="s">
        <v>162</v>
      </c>
      <c r="AD1441" t="s">
        <v>2272</v>
      </c>
      <c r="AH1441" s="4" t="s">
        <v>49</v>
      </c>
      <c r="AL1441" t="s">
        <v>49</v>
      </c>
      <c r="AM1441" t="s">
        <v>914</v>
      </c>
      <c r="AN1441" t="s">
        <v>109</v>
      </c>
      <c r="AO1441" t="s">
        <v>928</v>
      </c>
      <c r="AQ1441" s="5">
        <v>0</v>
      </c>
    </row>
    <row r="1442" spans="1:43" x14ac:dyDescent="0.2">
      <c r="A1442" t="s">
        <v>908</v>
      </c>
      <c r="B1442" t="s">
        <v>909</v>
      </c>
      <c r="C1442">
        <v>2019</v>
      </c>
      <c r="D1442" t="s">
        <v>44</v>
      </c>
      <c r="E1442" t="s">
        <v>49</v>
      </c>
      <c r="F1442" t="s">
        <v>83</v>
      </c>
      <c r="G1442" t="s">
        <v>85</v>
      </c>
      <c r="H1442" t="s">
        <v>350</v>
      </c>
      <c r="I1442">
        <v>2016</v>
      </c>
      <c r="J1442">
        <v>0.17</v>
      </c>
      <c r="K1442" t="s">
        <v>101</v>
      </c>
      <c r="N1442" t="s">
        <v>120</v>
      </c>
      <c r="O1442" t="s">
        <v>120</v>
      </c>
      <c r="P1442" t="s">
        <v>244</v>
      </c>
      <c r="Q1442" s="1" t="s">
        <v>2276</v>
      </c>
      <c r="R1442" s="1" t="s">
        <v>669</v>
      </c>
      <c r="S1442" s="1" t="s">
        <v>168</v>
      </c>
      <c r="T1442" t="s">
        <v>396</v>
      </c>
      <c r="U1442" t="s">
        <v>168</v>
      </c>
      <c r="V1442" t="s">
        <v>194</v>
      </c>
      <c r="W1442" t="s">
        <v>910</v>
      </c>
      <c r="X1442" t="s">
        <v>161</v>
      </c>
      <c r="Y1442" t="s">
        <v>2272</v>
      </c>
      <c r="Z1442" t="s">
        <v>2272</v>
      </c>
      <c r="AA1442" t="s">
        <v>2272</v>
      </c>
      <c r="AB1442" t="s">
        <v>2272</v>
      </c>
      <c r="AC1442" t="s">
        <v>162</v>
      </c>
      <c r="AD1442" t="s">
        <v>2272</v>
      </c>
      <c r="AH1442" s="4" t="s">
        <v>49</v>
      </c>
      <c r="AL1442" t="s">
        <v>49</v>
      </c>
      <c r="AM1442" t="s">
        <v>914</v>
      </c>
      <c r="AN1442" t="s">
        <v>109</v>
      </c>
      <c r="AO1442" t="s">
        <v>928</v>
      </c>
      <c r="AQ1442" s="5">
        <v>0</v>
      </c>
    </row>
    <row r="1443" spans="1:43" x14ac:dyDescent="0.2">
      <c r="A1443" t="s">
        <v>908</v>
      </c>
      <c r="B1443" t="s">
        <v>909</v>
      </c>
      <c r="C1443">
        <v>2019</v>
      </c>
      <c r="D1443" t="s">
        <v>44</v>
      </c>
      <c r="E1443" t="s">
        <v>49</v>
      </c>
      <c r="F1443" t="s">
        <v>83</v>
      </c>
      <c r="G1443" t="s">
        <v>85</v>
      </c>
      <c r="H1443" t="s">
        <v>350</v>
      </c>
      <c r="I1443">
        <v>2016</v>
      </c>
      <c r="J1443">
        <v>0.17</v>
      </c>
      <c r="K1443" t="s">
        <v>101</v>
      </c>
      <c r="N1443" t="s">
        <v>120</v>
      </c>
      <c r="O1443" t="s">
        <v>120</v>
      </c>
      <c r="P1443" t="s">
        <v>910</v>
      </c>
      <c r="Q1443" s="1" t="s">
        <v>2276</v>
      </c>
      <c r="R1443" s="1" t="s">
        <v>669</v>
      </c>
      <c r="S1443" s="1" t="s">
        <v>168</v>
      </c>
      <c r="T1443" t="s">
        <v>396</v>
      </c>
      <c r="U1443" t="s">
        <v>168</v>
      </c>
      <c r="V1443" t="s">
        <v>194</v>
      </c>
      <c r="W1443" t="s">
        <v>910</v>
      </c>
      <c r="X1443" t="s">
        <v>161</v>
      </c>
      <c r="Y1443" t="s">
        <v>2272</v>
      </c>
      <c r="Z1443" t="s">
        <v>2272</v>
      </c>
      <c r="AA1443" t="s">
        <v>2272</v>
      </c>
      <c r="AB1443" t="s">
        <v>2272</v>
      </c>
      <c r="AC1443" t="s">
        <v>162</v>
      </c>
      <c r="AD1443" t="s">
        <v>2272</v>
      </c>
      <c r="AH1443" s="4" t="s">
        <v>49</v>
      </c>
      <c r="AL1443" t="s">
        <v>49</v>
      </c>
      <c r="AM1443" t="s">
        <v>915</v>
      </c>
      <c r="AN1443" t="s">
        <v>109</v>
      </c>
      <c r="AO1443" t="s">
        <v>916</v>
      </c>
      <c r="AQ1443" s="5">
        <v>0</v>
      </c>
    </row>
    <row r="1444" spans="1:43" x14ac:dyDescent="0.2">
      <c r="A1444" t="s">
        <v>908</v>
      </c>
      <c r="B1444" t="s">
        <v>909</v>
      </c>
      <c r="C1444">
        <v>2019</v>
      </c>
      <c r="D1444" t="s">
        <v>44</v>
      </c>
      <c r="E1444" t="s">
        <v>49</v>
      </c>
      <c r="F1444" t="s">
        <v>83</v>
      </c>
      <c r="G1444" t="s">
        <v>85</v>
      </c>
      <c r="H1444" t="s">
        <v>350</v>
      </c>
      <c r="I1444">
        <v>2016</v>
      </c>
      <c r="J1444">
        <v>0.17</v>
      </c>
      <c r="K1444" t="s">
        <v>101</v>
      </c>
      <c r="N1444" t="s">
        <v>120</v>
      </c>
      <c r="O1444" t="s">
        <v>120</v>
      </c>
      <c r="P1444" t="s">
        <v>244</v>
      </c>
      <c r="Q1444" s="1" t="s">
        <v>2276</v>
      </c>
      <c r="R1444" s="1" t="s">
        <v>669</v>
      </c>
      <c r="S1444" s="1" t="s">
        <v>168</v>
      </c>
      <c r="T1444" t="s">
        <v>396</v>
      </c>
      <c r="U1444" t="s">
        <v>168</v>
      </c>
      <c r="V1444" t="s">
        <v>194</v>
      </c>
      <c r="W1444" t="s">
        <v>910</v>
      </c>
      <c r="X1444" t="s">
        <v>161</v>
      </c>
      <c r="Y1444" t="s">
        <v>2272</v>
      </c>
      <c r="Z1444" t="s">
        <v>2272</v>
      </c>
      <c r="AA1444" t="s">
        <v>2272</v>
      </c>
      <c r="AB1444" t="s">
        <v>2272</v>
      </c>
      <c r="AC1444" t="s">
        <v>162</v>
      </c>
      <c r="AD1444" t="s">
        <v>2272</v>
      </c>
      <c r="AH1444" s="4" t="s">
        <v>49</v>
      </c>
      <c r="AL1444" t="s">
        <v>49</v>
      </c>
      <c r="AM1444" t="s">
        <v>915</v>
      </c>
      <c r="AN1444" t="s">
        <v>109</v>
      </c>
      <c r="AO1444" t="s">
        <v>916</v>
      </c>
      <c r="AQ1444" s="5">
        <v>0</v>
      </c>
    </row>
    <row r="1445" spans="1:43" x14ac:dyDescent="0.2">
      <c r="A1445" t="s">
        <v>908</v>
      </c>
      <c r="B1445" t="s">
        <v>909</v>
      </c>
      <c r="C1445">
        <v>2019</v>
      </c>
      <c r="D1445" t="s">
        <v>44</v>
      </c>
      <c r="E1445" t="s">
        <v>49</v>
      </c>
      <c r="F1445" t="s">
        <v>83</v>
      </c>
      <c r="G1445" t="s">
        <v>85</v>
      </c>
      <c r="H1445" t="s">
        <v>350</v>
      </c>
      <c r="I1445">
        <v>2016</v>
      </c>
      <c r="J1445">
        <v>0.17</v>
      </c>
      <c r="K1445" t="s">
        <v>101</v>
      </c>
      <c r="N1445" t="s">
        <v>120</v>
      </c>
      <c r="O1445" t="s">
        <v>120</v>
      </c>
      <c r="P1445" t="s">
        <v>910</v>
      </c>
      <c r="Q1445" s="1" t="s">
        <v>2276</v>
      </c>
      <c r="R1445" s="1" t="s">
        <v>669</v>
      </c>
      <c r="S1445" s="1" t="s">
        <v>168</v>
      </c>
      <c r="T1445" t="s">
        <v>396</v>
      </c>
      <c r="U1445" t="s">
        <v>168</v>
      </c>
      <c r="V1445" t="s">
        <v>194</v>
      </c>
      <c r="W1445" t="s">
        <v>910</v>
      </c>
      <c r="X1445" t="s">
        <v>161</v>
      </c>
      <c r="Y1445" t="s">
        <v>2272</v>
      </c>
      <c r="Z1445" t="s">
        <v>2272</v>
      </c>
      <c r="AA1445" t="s">
        <v>2272</v>
      </c>
      <c r="AB1445" t="s">
        <v>2272</v>
      </c>
      <c r="AC1445" t="s">
        <v>162</v>
      </c>
      <c r="AD1445" t="s">
        <v>2272</v>
      </c>
      <c r="AH1445" s="4" t="s">
        <v>49</v>
      </c>
      <c r="AL1445" t="s">
        <v>49</v>
      </c>
      <c r="AM1445" t="s">
        <v>915</v>
      </c>
      <c r="AN1445" t="s">
        <v>109</v>
      </c>
      <c r="AO1445" t="s">
        <v>917</v>
      </c>
      <c r="AQ1445" s="5">
        <v>0</v>
      </c>
    </row>
    <row r="1446" spans="1:43" x14ac:dyDescent="0.2">
      <c r="A1446" t="s">
        <v>908</v>
      </c>
      <c r="B1446" t="s">
        <v>909</v>
      </c>
      <c r="C1446">
        <v>2019</v>
      </c>
      <c r="D1446" t="s">
        <v>44</v>
      </c>
      <c r="E1446" t="s">
        <v>49</v>
      </c>
      <c r="F1446" t="s">
        <v>83</v>
      </c>
      <c r="G1446" t="s">
        <v>85</v>
      </c>
      <c r="H1446" t="s">
        <v>350</v>
      </c>
      <c r="I1446">
        <v>2016</v>
      </c>
      <c r="J1446">
        <v>0.17</v>
      </c>
      <c r="K1446" t="s">
        <v>101</v>
      </c>
      <c r="N1446" t="s">
        <v>120</v>
      </c>
      <c r="O1446" t="s">
        <v>120</v>
      </c>
      <c r="P1446" t="s">
        <v>244</v>
      </c>
      <c r="Q1446" s="1" t="s">
        <v>2276</v>
      </c>
      <c r="R1446" s="1" t="s">
        <v>669</v>
      </c>
      <c r="S1446" s="1" t="s">
        <v>168</v>
      </c>
      <c r="T1446" t="s">
        <v>396</v>
      </c>
      <c r="U1446" t="s">
        <v>168</v>
      </c>
      <c r="V1446" t="s">
        <v>194</v>
      </c>
      <c r="W1446" t="s">
        <v>910</v>
      </c>
      <c r="X1446" t="s">
        <v>161</v>
      </c>
      <c r="Y1446" t="s">
        <v>2272</v>
      </c>
      <c r="Z1446" t="s">
        <v>2272</v>
      </c>
      <c r="AA1446" t="s">
        <v>2272</v>
      </c>
      <c r="AB1446" t="s">
        <v>2272</v>
      </c>
      <c r="AC1446" t="s">
        <v>162</v>
      </c>
      <c r="AD1446" t="s">
        <v>2272</v>
      </c>
      <c r="AH1446" s="4" t="s">
        <v>49</v>
      </c>
      <c r="AL1446" t="s">
        <v>49</v>
      </c>
      <c r="AM1446" t="s">
        <v>915</v>
      </c>
      <c r="AN1446" t="s">
        <v>109</v>
      </c>
      <c r="AO1446" t="s">
        <v>917</v>
      </c>
      <c r="AQ1446" s="5">
        <v>0</v>
      </c>
    </row>
    <row r="1447" spans="1:43" x14ac:dyDescent="0.2">
      <c r="A1447" t="s">
        <v>908</v>
      </c>
      <c r="B1447" t="s">
        <v>909</v>
      </c>
      <c r="C1447">
        <v>2019</v>
      </c>
      <c r="D1447" t="s">
        <v>44</v>
      </c>
      <c r="E1447" t="s">
        <v>49</v>
      </c>
      <c r="F1447" t="s">
        <v>83</v>
      </c>
      <c r="G1447" t="s">
        <v>85</v>
      </c>
      <c r="H1447" t="s">
        <v>350</v>
      </c>
      <c r="I1447">
        <v>2016</v>
      </c>
      <c r="J1447">
        <v>0.17</v>
      </c>
      <c r="K1447" t="s">
        <v>101</v>
      </c>
      <c r="N1447" t="s">
        <v>120</v>
      </c>
      <c r="O1447" t="s">
        <v>120</v>
      </c>
      <c r="P1447" t="s">
        <v>910</v>
      </c>
      <c r="Q1447" s="1" t="s">
        <v>2276</v>
      </c>
      <c r="R1447" s="1" t="s">
        <v>669</v>
      </c>
      <c r="S1447" s="1" t="s">
        <v>168</v>
      </c>
      <c r="T1447" t="s">
        <v>396</v>
      </c>
      <c r="U1447" t="s">
        <v>168</v>
      </c>
      <c r="V1447" t="s">
        <v>194</v>
      </c>
      <c r="W1447" t="s">
        <v>910</v>
      </c>
      <c r="X1447" t="s">
        <v>161</v>
      </c>
      <c r="Y1447" t="s">
        <v>2272</v>
      </c>
      <c r="Z1447" t="s">
        <v>2272</v>
      </c>
      <c r="AA1447" t="s">
        <v>2272</v>
      </c>
      <c r="AB1447" t="s">
        <v>2272</v>
      </c>
      <c r="AC1447" t="s">
        <v>162</v>
      </c>
      <c r="AD1447" t="s">
        <v>2272</v>
      </c>
      <c r="AH1447" s="4" t="s">
        <v>49</v>
      </c>
      <c r="AL1447" t="s">
        <v>49</v>
      </c>
      <c r="AM1447" t="s">
        <v>915</v>
      </c>
      <c r="AN1447" t="s">
        <v>109</v>
      </c>
      <c r="AO1447" t="s">
        <v>918</v>
      </c>
      <c r="AQ1447" s="5">
        <v>0</v>
      </c>
    </row>
    <row r="1448" spans="1:43" x14ac:dyDescent="0.2">
      <c r="A1448" t="s">
        <v>908</v>
      </c>
      <c r="B1448" t="s">
        <v>909</v>
      </c>
      <c r="C1448">
        <v>2019</v>
      </c>
      <c r="D1448" t="s">
        <v>44</v>
      </c>
      <c r="E1448" t="s">
        <v>49</v>
      </c>
      <c r="F1448" t="s">
        <v>83</v>
      </c>
      <c r="G1448" t="s">
        <v>85</v>
      </c>
      <c r="H1448" t="s">
        <v>350</v>
      </c>
      <c r="I1448">
        <v>2016</v>
      </c>
      <c r="J1448">
        <v>0.17</v>
      </c>
      <c r="K1448" t="s">
        <v>101</v>
      </c>
      <c r="N1448" t="s">
        <v>120</v>
      </c>
      <c r="O1448" t="s">
        <v>120</v>
      </c>
      <c r="P1448" t="s">
        <v>244</v>
      </c>
      <c r="Q1448" s="1" t="s">
        <v>2276</v>
      </c>
      <c r="R1448" s="1" t="s">
        <v>669</v>
      </c>
      <c r="S1448" s="1" t="s">
        <v>168</v>
      </c>
      <c r="T1448" t="s">
        <v>396</v>
      </c>
      <c r="U1448" t="s">
        <v>168</v>
      </c>
      <c r="V1448" t="s">
        <v>194</v>
      </c>
      <c r="W1448" t="s">
        <v>910</v>
      </c>
      <c r="X1448" t="s">
        <v>161</v>
      </c>
      <c r="Y1448" t="s">
        <v>2272</v>
      </c>
      <c r="Z1448" t="s">
        <v>2272</v>
      </c>
      <c r="AA1448" t="s">
        <v>2272</v>
      </c>
      <c r="AB1448" t="s">
        <v>2272</v>
      </c>
      <c r="AC1448" t="s">
        <v>162</v>
      </c>
      <c r="AD1448" t="s">
        <v>2272</v>
      </c>
      <c r="AH1448" s="4" t="s">
        <v>49</v>
      </c>
      <c r="AL1448" t="s">
        <v>49</v>
      </c>
      <c r="AM1448" t="s">
        <v>915</v>
      </c>
      <c r="AN1448" t="s">
        <v>109</v>
      </c>
      <c r="AO1448" t="s">
        <v>918</v>
      </c>
      <c r="AQ1448" s="5">
        <v>0</v>
      </c>
    </row>
    <row r="1449" spans="1:43" x14ac:dyDescent="0.2">
      <c r="A1449" t="s">
        <v>908</v>
      </c>
      <c r="B1449" t="s">
        <v>909</v>
      </c>
      <c r="C1449">
        <v>2019</v>
      </c>
      <c r="D1449" t="s">
        <v>44</v>
      </c>
      <c r="E1449" t="s">
        <v>49</v>
      </c>
      <c r="F1449" t="s">
        <v>83</v>
      </c>
      <c r="G1449" t="s">
        <v>85</v>
      </c>
      <c r="H1449" t="s">
        <v>350</v>
      </c>
      <c r="I1449">
        <v>2016</v>
      </c>
      <c r="J1449">
        <v>0.17</v>
      </c>
      <c r="K1449" t="s">
        <v>101</v>
      </c>
      <c r="N1449" t="s">
        <v>120</v>
      </c>
      <c r="O1449" t="s">
        <v>120</v>
      </c>
      <c r="P1449" t="s">
        <v>910</v>
      </c>
      <c r="Q1449" s="1" t="s">
        <v>2276</v>
      </c>
      <c r="R1449" s="1" t="s">
        <v>669</v>
      </c>
      <c r="S1449" s="1" t="s">
        <v>168</v>
      </c>
      <c r="T1449" t="s">
        <v>396</v>
      </c>
      <c r="U1449" t="s">
        <v>168</v>
      </c>
      <c r="V1449" t="s">
        <v>194</v>
      </c>
      <c r="W1449" t="s">
        <v>910</v>
      </c>
      <c r="X1449" t="s">
        <v>161</v>
      </c>
      <c r="Y1449" t="s">
        <v>2272</v>
      </c>
      <c r="Z1449" t="s">
        <v>2272</v>
      </c>
      <c r="AA1449" t="s">
        <v>2272</v>
      </c>
      <c r="AB1449" t="s">
        <v>2272</v>
      </c>
      <c r="AC1449" t="s">
        <v>162</v>
      </c>
      <c r="AD1449" t="s">
        <v>2272</v>
      </c>
      <c r="AH1449" s="4" t="s">
        <v>49</v>
      </c>
      <c r="AL1449" t="s">
        <v>49</v>
      </c>
      <c r="AM1449" t="s">
        <v>915</v>
      </c>
      <c r="AN1449" t="s">
        <v>109</v>
      </c>
      <c r="AO1449" t="s">
        <v>919</v>
      </c>
      <c r="AQ1449" s="5">
        <v>0</v>
      </c>
    </row>
    <row r="1450" spans="1:43" x14ac:dyDescent="0.2">
      <c r="A1450" t="s">
        <v>908</v>
      </c>
      <c r="B1450" t="s">
        <v>909</v>
      </c>
      <c r="C1450">
        <v>2019</v>
      </c>
      <c r="D1450" t="s">
        <v>44</v>
      </c>
      <c r="E1450" t="s">
        <v>49</v>
      </c>
      <c r="F1450" t="s">
        <v>83</v>
      </c>
      <c r="G1450" t="s">
        <v>85</v>
      </c>
      <c r="H1450" t="s">
        <v>350</v>
      </c>
      <c r="I1450">
        <v>2016</v>
      </c>
      <c r="J1450">
        <v>0.17</v>
      </c>
      <c r="K1450" t="s">
        <v>101</v>
      </c>
      <c r="N1450" t="s">
        <v>120</v>
      </c>
      <c r="O1450" t="s">
        <v>120</v>
      </c>
      <c r="P1450" t="s">
        <v>244</v>
      </c>
      <c r="Q1450" s="1" t="s">
        <v>2276</v>
      </c>
      <c r="R1450" s="1" t="s">
        <v>669</v>
      </c>
      <c r="S1450" s="1" t="s">
        <v>168</v>
      </c>
      <c r="T1450" t="s">
        <v>396</v>
      </c>
      <c r="U1450" t="s">
        <v>168</v>
      </c>
      <c r="V1450" t="s">
        <v>194</v>
      </c>
      <c r="W1450" t="s">
        <v>910</v>
      </c>
      <c r="X1450" t="s">
        <v>161</v>
      </c>
      <c r="Y1450" t="s">
        <v>2272</v>
      </c>
      <c r="Z1450" t="s">
        <v>2272</v>
      </c>
      <c r="AA1450" t="s">
        <v>2272</v>
      </c>
      <c r="AB1450" t="s">
        <v>2272</v>
      </c>
      <c r="AC1450" t="s">
        <v>162</v>
      </c>
      <c r="AD1450" t="s">
        <v>2272</v>
      </c>
      <c r="AH1450" s="4" t="s">
        <v>49</v>
      </c>
      <c r="AL1450" t="s">
        <v>49</v>
      </c>
      <c r="AM1450" t="s">
        <v>915</v>
      </c>
      <c r="AN1450" t="s">
        <v>109</v>
      </c>
      <c r="AO1450" t="s">
        <v>919</v>
      </c>
      <c r="AQ1450" s="5">
        <v>0</v>
      </c>
    </row>
    <row r="1451" spans="1:43" x14ac:dyDescent="0.2">
      <c r="A1451" t="s">
        <v>908</v>
      </c>
      <c r="B1451" t="s">
        <v>909</v>
      </c>
      <c r="C1451">
        <v>2019</v>
      </c>
      <c r="D1451" t="s">
        <v>44</v>
      </c>
      <c r="E1451" t="s">
        <v>49</v>
      </c>
      <c r="F1451" t="s">
        <v>83</v>
      </c>
      <c r="G1451" t="s">
        <v>85</v>
      </c>
      <c r="H1451" t="s">
        <v>350</v>
      </c>
      <c r="I1451">
        <v>2016</v>
      </c>
      <c r="J1451">
        <v>0.17</v>
      </c>
      <c r="K1451" t="s">
        <v>101</v>
      </c>
      <c r="N1451" t="s">
        <v>120</v>
      </c>
      <c r="O1451" t="s">
        <v>120</v>
      </c>
      <c r="P1451" t="s">
        <v>910</v>
      </c>
      <c r="Q1451" s="1" t="s">
        <v>2276</v>
      </c>
      <c r="R1451" s="1" t="s">
        <v>669</v>
      </c>
      <c r="S1451" s="1" t="s">
        <v>168</v>
      </c>
      <c r="T1451" t="s">
        <v>396</v>
      </c>
      <c r="U1451" t="s">
        <v>168</v>
      </c>
      <c r="V1451" t="s">
        <v>194</v>
      </c>
      <c r="W1451" t="s">
        <v>910</v>
      </c>
      <c r="X1451" t="s">
        <v>161</v>
      </c>
      <c r="Y1451" t="s">
        <v>2272</v>
      </c>
      <c r="Z1451" t="s">
        <v>2272</v>
      </c>
      <c r="AA1451" t="s">
        <v>2272</v>
      </c>
      <c r="AB1451" t="s">
        <v>2272</v>
      </c>
      <c r="AC1451" t="s">
        <v>162</v>
      </c>
      <c r="AD1451" t="s">
        <v>2272</v>
      </c>
      <c r="AH1451" s="4" t="s">
        <v>49</v>
      </c>
      <c r="AL1451" t="s">
        <v>49</v>
      </c>
      <c r="AM1451" t="s">
        <v>915</v>
      </c>
      <c r="AN1451" t="s">
        <v>109</v>
      </c>
      <c r="AO1451" t="s">
        <v>925</v>
      </c>
      <c r="AQ1451" s="5">
        <v>0</v>
      </c>
    </row>
    <row r="1452" spans="1:43" x14ac:dyDescent="0.2">
      <c r="A1452" t="s">
        <v>908</v>
      </c>
      <c r="B1452" t="s">
        <v>909</v>
      </c>
      <c r="C1452">
        <v>2019</v>
      </c>
      <c r="D1452" t="s">
        <v>44</v>
      </c>
      <c r="E1452" t="s">
        <v>49</v>
      </c>
      <c r="F1452" t="s">
        <v>83</v>
      </c>
      <c r="G1452" t="s">
        <v>85</v>
      </c>
      <c r="H1452" t="s">
        <v>350</v>
      </c>
      <c r="I1452">
        <v>2016</v>
      </c>
      <c r="J1452">
        <v>0.17</v>
      </c>
      <c r="K1452" t="s">
        <v>101</v>
      </c>
      <c r="N1452" t="s">
        <v>120</v>
      </c>
      <c r="O1452" t="s">
        <v>120</v>
      </c>
      <c r="P1452" t="s">
        <v>244</v>
      </c>
      <c r="Q1452" s="1" t="s">
        <v>2276</v>
      </c>
      <c r="R1452" s="1" t="s">
        <v>669</v>
      </c>
      <c r="S1452" s="1" t="s">
        <v>168</v>
      </c>
      <c r="T1452" t="s">
        <v>396</v>
      </c>
      <c r="U1452" t="s">
        <v>168</v>
      </c>
      <c r="V1452" t="s">
        <v>194</v>
      </c>
      <c r="W1452" t="s">
        <v>910</v>
      </c>
      <c r="X1452" t="s">
        <v>161</v>
      </c>
      <c r="Y1452" t="s">
        <v>2272</v>
      </c>
      <c r="Z1452" t="s">
        <v>2272</v>
      </c>
      <c r="AA1452" t="s">
        <v>2272</v>
      </c>
      <c r="AB1452" t="s">
        <v>2272</v>
      </c>
      <c r="AC1452" t="s">
        <v>162</v>
      </c>
      <c r="AD1452" t="s">
        <v>2272</v>
      </c>
      <c r="AH1452" s="4" t="s">
        <v>49</v>
      </c>
      <c r="AL1452" t="s">
        <v>49</v>
      </c>
      <c r="AM1452" t="s">
        <v>915</v>
      </c>
      <c r="AN1452" t="s">
        <v>109</v>
      </c>
      <c r="AO1452" t="s">
        <v>925</v>
      </c>
      <c r="AQ1452" s="5">
        <v>0</v>
      </c>
    </row>
    <row r="1453" spans="1:43" x14ac:dyDescent="0.2">
      <c r="A1453" t="s">
        <v>908</v>
      </c>
      <c r="B1453" t="s">
        <v>909</v>
      </c>
      <c r="C1453">
        <v>2019</v>
      </c>
      <c r="D1453" t="s">
        <v>44</v>
      </c>
      <c r="E1453" t="s">
        <v>49</v>
      </c>
      <c r="F1453" t="s">
        <v>83</v>
      </c>
      <c r="G1453" t="s">
        <v>85</v>
      </c>
      <c r="H1453" t="s">
        <v>350</v>
      </c>
      <c r="I1453">
        <v>2016</v>
      </c>
      <c r="J1453">
        <v>0.17</v>
      </c>
      <c r="K1453" t="s">
        <v>101</v>
      </c>
      <c r="N1453" t="s">
        <v>120</v>
      </c>
      <c r="O1453" t="s">
        <v>120</v>
      </c>
      <c r="P1453" t="s">
        <v>910</v>
      </c>
      <c r="Q1453" s="1" t="s">
        <v>2276</v>
      </c>
      <c r="R1453" s="1" t="s">
        <v>669</v>
      </c>
      <c r="S1453" s="1" t="s">
        <v>168</v>
      </c>
      <c r="T1453" t="s">
        <v>396</v>
      </c>
      <c r="U1453" t="s">
        <v>168</v>
      </c>
      <c r="V1453" t="s">
        <v>194</v>
      </c>
      <c r="W1453" t="s">
        <v>910</v>
      </c>
      <c r="X1453" t="s">
        <v>161</v>
      </c>
      <c r="Y1453" t="s">
        <v>2272</v>
      </c>
      <c r="Z1453" t="s">
        <v>2272</v>
      </c>
      <c r="AA1453" t="s">
        <v>2272</v>
      </c>
      <c r="AB1453" t="s">
        <v>2272</v>
      </c>
      <c r="AC1453" t="s">
        <v>162</v>
      </c>
      <c r="AD1453" t="s">
        <v>2272</v>
      </c>
      <c r="AH1453" s="4" t="s">
        <v>49</v>
      </c>
      <c r="AL1453" t="s">
        <v>49</v>
      </c>
      <c r="AM1453" t="s">
        <v>915</v>
      </c>
      <c r="AN1453" t="s">
        <v>109</v>
      </c>
      <c r="AO1453" t="s">
        <v>921</v>
      </c>
      <c r="AQ1453" s="5">
        <v>0</v>
      </c>
    </row>
    <row r="1454" spans="1:43" x14ac:dyDescent="0.2">
      <c r="A1454" t="s">
        <v>908</v>
      </c>
      <c r="B1454" t="s">
        <v>909</v>
      </c>
      <c r="C1454">
        <v>2019</v>
      </c>
      <c r="D1454" t="s">
        <v>44</v>
      </c>
      <c r="E1454" t="s">
        <v>49</v>
      </c>
      <c r="F1454" t="s">
        <v>83</v>
      </c>
      <c r="G1454" t="s">
        <v>85</v>
      </c>
      <c r="H1454" t="s">
        <v>350</v>
      </c>
      <c r="I1454">
        <v>2016</v>
      </c>
      <c r="J1454">
        <v>0.17</v>
      </c>
      <c r="K1454" t="s">
        <v>101</v>
      </c>
      <c r="N1454" t="s">
        <v>120</v>
      </c>
      <c r="O1454" t="s">
        <v>120</v>
      </c>
      <c r="P1454" t="s">
        <v>244</v>
      </c>
      <c r="Q1454" s="1" t="s">
        <v>2276</v>
      </c>
      <c r="R1454" s="1" t="s">
        <v>669</v>
      </c>
      <c r="S1454" s="1" t="s">
        <v>168</v>
      </c>
      <c r="T1454" t="s">
        <v>396</v>
      </c>
      <c r="U1454" t="s">
        <v>168</v>
      </c>
      <c r="V1454" t="s">
        <v>194</v>
      </c>
      <c r="W1454" t="s">
        <v>910</v>
      </c>
      <c r="X1454" t="s">
        <v>161</v>
      </c>
      <c r="Y1454" t="s">
        <v>2272</v>
      </c>
      <c r="Z1454" t="s">
        <v>2272</v>
      </c>
      <c r="AA1454" t="s">
        <v>2272</v>
      </c>
      <c r="AB1454" t="s">
        <v>2272</v>
      </c>
      <c r="AC1454" t="s">
        <v>162</v>
      </c>
      <c r="AD1454" t="s">
        <v>2272</v>
      </c>
      <c r="AH1454" s="4" t="s">
        <v>49</v>
      </c>
      <c r="AL1454" t="s">
        <v>49</v>
      </c>
      <c r="AM1454" t="s">
        <v>915</v>
      </c>
      <c r="AN1454" t="s">
        <v>109</v>
      </c>
      <c r="AO1454" t="s">
        <v>921</v>
      </c>
      <c r="AQ1454" s="5">
        <v>0</v>
      </c>
    </row>
    <row r="1455" spans="1:43" x14ac:dyDescent="0.2">
      <c r="A1455" t="s">
        <v>908</v>
      </c>
      <c r="B1455" t="s">
        <v>909</v>
      </c>
      <c r="C1455">
        <v>2019</v>
      </c>
      <c r="D1455" t="s">
        <v>44</v>
      </c>
      <c r="E1455" t="s">
        <v>49</v>
      </c>
      <c r="F1455" t="s">
        <v>83</v>
      </c>
      <c r="G1455" t="s">
        <v>85</v>
      </c>
      <c r="H1455" t="s">
        <v>350</v>
      </c>
      <c r="I1455">
        <v>2016</v>
      </c>
      <c r="J1455">
        <v>0.17</v>
      </c>
      <c r="K1455" t="s">
        <v>101</v>
      </c>
      <c r="N1455" t="s">
        <v>120</v>
      </c>
      <c r="O1455" t="s">
        <v>120</v>
      </c>
      <c r="P1455" t="s">
        <v>910</v>
      </c>
      <c r="Q1455" s="1" t="s">
        <v>2276</v>
      </c>
      <c r="R1455" s="1" t="s">
        <v>669</v>
      </c>
      <c r="S1455" s="1" t="s">
        <v>168</v>
      </c>
      <c r="T1455" t="s">
        <v>396</v>
      </c>
      <c r="U1455" t="s">
        <v>168</v>
      </c>
      <c r="V1455" t="s">
        <v>194</v>
      </c>
      <c r="W1455" t="s">
        <v>910</v>
      </c>
      <c r="X1455" t="s">
        <v>161</v>
      </c>
      <c r="Y1455" t="s">
        <v>2272</v>
      </c>
      <c r="Z1455" t="s">
        <v>2272</v>
      </c>
      <c r="AA1455" t="s">
        <v>2272</v>
      </c>
      <c r="AB1455" t="s">
        <v>2272</v>
      </c>
      <c r="AC1455" t="s">
        <v>162</v>
      </c>
      <c r="AD1455" t="s">
        <v>2272</v>
      </c>
      <c r="AH1455" s="4" t="s">
        <v>49</v>
      </c>
      <c r="AL1455" t="s">
        <v>49</v>
      </c>
      <c r="AM1455" t="s">
        <v>915</v>
      </c>
      <c r="AN1455" t="s">
        <v>109</v>
      </c>
      <c r="AO1455" t="s">
        <v>926</v>
      </c>
      <c r="AQ1455" s="5">
        <v>0</v>
      </c>
    </row>
    <row r="1456" spans="1:43" x14ac:dyDescent="0.2">
      <c r="A1456" t="s">
        <v>908</v>
      </c>
      <c r="B1456" t="s">
        <v>909</v>
      </c>
      <c r="C1456">
        <v>2019</v>
      </c>
      <c r="D1456" t="s">
        <v>44</v>
      </c>
      <c r="E1456" t="s">
        <v>49</v>
      </c>
      <c r="F1456" t="s">
        <v>83</v>
      </c>
      <c r="G1456" t="s">
        <v>85</v>
      </c>
      <c r="H1456" t="s">
        <v>350</v>
      </c>
      <c r="I1456">
        <v>2016</v>
      </c>
      <c r="J1456">
        <v>0.17</v>
      </c>
      <c r="K1456" t="s">
        <v>101</v>
      </c>
      <c r="N1456" t="s">
        <v>120</v>
      </c>
      <c r="O1456" t="s">
        <v>120</v>
      </c>
      <c r="P1456" t="s">
        <v>244</v>
      </c>
      <c r="Q1456" s="1" t="s">
        <v>2276</v>
      </c>
      <c r="R1456" s="1" t="s">
        <v>669</v>
      </c>
      <c r="S1456" s="1" t="s">
        <v>168</v>
      </c>
      <c r="T1456" t="s">
        <v>396</v>
      </c>
      <c r="U1456" t="s">
        <v>168</v>
      </c>
      <c r="V1456" t="s">
        <v>194</v>
      </c>
      <c r="W1456" t="s">
        <v>910</v>
      </c>
      <c r="X1456" t="s">
        <v>161</v>
      </c>
      <c r="Y1456" t="s">
        <v>2272</v>
      </c>
      <c r="Z1456" t="s">
        <v>2272</v>
      </c>
      <c r="AA1456" t="s">
        <v>2272</v>
      </c>
      <c r="AB1456" t="s">
        <v>2272</v>
      </c>
      <c r="AC1456" t="s">
        <v>162</v>
      </c>
      <c r="AD1456" t="s">
        <v>2272</v>
      </c>
      <c r="AH1456" s="4" t="s">
        <v>49</v>
      </c>
      <c r="AL1456" t="s">
        <v>49</v>
      </c>
      <c r="AM1456" t="s">
        <v>915</v>
      </c>
      <c r="AN1456" t="s">
        <v>109</v>
      </c>
      <c r="AO1456" t="s">
        <v>926</v>
      </c>
      <c r="AQ1456" s="5">
        <v>0</v>
      </c>
    </row>
    <row r="1457" spans="1:43" x14ac:dyDescent="0.2">
      <c r="A1457" t="s">
        <v>908</v>
      </c>
      <c r="B1457" t="s">
        <v>909</v>
      </c>
      <c r="C1457">
        <v>2019</v>
      </c>
      <c r="D1457" t="s">
        <v>44</v>
      </c>
      <c r="E1457" t="s">
        <v>49</v>
      </c>
      <c r="F1457" t="s">
        <v>83</v>
      </c>
      <c r="G1457" t="s">
        <v>85</v>
      </c>
      <c r="H1457" t="s">
        <v>350</v>
      </c>
      <c r="I1457">
        <v>2016</v>
      </c>
      <c r="J1457">
        <v>0.17</v>
      </c>
      <c r="K1457" t="s">
        <v>101</v>
      </c>
      <c r="N1457" t="s">
        <v>120</v>
      </c>
      <c r="O1457" t="s">
        <v>120</v>
      </c>
      <c r="P1457" t="s">
        <v>910</v>
      </c>
      <c r="Q1457" s="1" t="s">
        <v>2276</v>
      </c>
      <c r="R1457" s="1" t="s">
        <v>669</v>
      </c>
      <c r="S1457" s="1" t="s">
        <v>168</v>
      </c>
      <c r="T1457" t="s">
        <v>396</v>
      </c>
      <c r="U1457" t="s">
        <v>168</v>
      </c>
      <c r="V1457" t="s">
        <v>194</v>
      </c>
      <c r="W1457" t="s">
        <v>910</v>
      </c>
      <c r="X1457" t="s">
        <v>161</v>
      </c>
      <c r="Y1457" t="s">
        <v>2272</v>
      </c>
      <c r="Z1457" t="s">
        <v>2272</v>
      </c>
      <c r="AA1457" t="s">
        <v>2272</v>
      </c>
      <c r="AB1457" t="s">
        <v>2272</v>
      </c>
      <c r="AC1457" t="s">
        <v>162</v>
      </c>
      <c r="AD1457" t="s">
        <v>2272</v>
      </c>
      <c r="AH1457" s="4" t="s">
        <v>49</v>
      </c>
      <c r="AL1457" t="s">
        <v>49</v>
      </c>
      <c r="AM1457" t="s">
        <v>915</v>
      </c>
      <c r="AN1457" t="s">
        <v>109</v>
      </c>
      <c r="AO1457" t="s">
        <v>923</v>
      </c>
      <c r="AQ1457" s="5">
        <v>0</v>
      </c>
    </row>
    <row r="1458" spans="1:43" x14ac:dyDescent="0.2">
      <c r="A1458" t="s">
        <v>908</v>
      </c>
      <c r="B1458" t="s">
        <v>909</v>
      </c>
      <c r="C1458">
        <v>2019</v>
      </c>
      <c r="D1458" t="s">
        <v>44</v>
      </c>
      <c r="E1458" t="s">
        <v>49</v>
      </c>
      <c r="F1458" t="s">
        <v>83</v>
      </c>
      <c r="G1458" t="s">
        <v>85</v>
      </c>
      <c r="H1458" t="s">
        <v>350</v>
      </c>
      <c r="I1458">
        <v>2016</v>
      </c>
      <c r="J1458">
        <v>0.17</v>
      </c>
      <c r="K1458" t="s">
        <v>101</v>
      </c>
      <c r="N1458" t="s">
        <v>120</v>
      </c>
      <c r="O1458" t="s">
        <v>120</v>
      </c>
      <c r="P1458" t="s">
        <v>244</v>
      </c>
      <c r="Q1458" s="1" t="s">
        <v>2276</v>
      </c>
      <c r="R1458" s="1" t="s">
        <v>669</v>
      </c>
      <c r="S1458" s="1" t="s">
        <v>168</v>
      </c>
      <c r="T1458" t="s">
        <v>396</v>
      </c>
      <c r="U1458" t="s">
        <v>168</v>
      </c>
      <c r="V1458" t="s">
        <v>194</v>
      </c>
      <c r="W1458" t="s">
        <v>910</v>
      </c>
      <c r="X1458" t="s">
        <v>161</v>
      </c>
      <c r="Y1458" t="s">
        <v>2272</v>
      </c>
      <c r="Z1458" t="s">
        <v>2272</v>
      </c>
      <c r="AA1458" t="s">
        <v>2272</v>
      </c>
      <c r="AB1458" t="s">
        <v>2272</v>
      </c>
      <c r="AC1458" t="s">
        <v>162</v>
      </c>
      <c r="AD1458" t="s">
        <v>2272</v>
      </c>
      <c r="AH1458" s="4" t="s">
        <v>49</v>
      </c>
      <c r="AL1458" t="s">
        <v>49</v>
      </c>
      <c r="AM1458" t="s">
        <v>915</v>
      </c>
      <c r="AN1458" t="s">
        <v>109</v>
      </c>
      <c r="AO1458" t="s">
        <v>923</v>
      </c>
      <c r="AQ1458" s="5">
        <v>0</v>
      </c>
    </row>
    <row r="1459" spans="1:43" x14ac:dyDescent="0.2">
      <c r="A1459" t="s">
        <v>908</v>
      </c>
      <c r="B1459" t="s">
        <v>909</v>
      </c>
      <c r="C1459">
        <v>2019</v>
      </c>
      <c r="D1459" t="s">
        <v>44</v>
      </c>
      <c r="E1459" t="s">
        <v>49</v>
      </c>
      <c r="F1459" t="s">
        <v>83</v>
      </c>
      <c r="G1459" t="s">
        <v>85</v>
      </c>
      <c r="H1459" t="s">
        <v>350</v>
      </c>
      <c r="I1459">
        <v>2016</v>
      </c>
      <c r="J1459">
        <v>0.17</v>
      </c>
      <c r="K1459" t="s">
        <v>101</v>
      </c>
      <c r="N1459" t="s">
        <v>120</v>
      </c>
      <c r="O1459" t="s">
        <v>120</v>
      </c>
      <c r="P1459" t="s">
        <v>910</v>
      </c>
      <c r="Q1459" s="1" t="s">
        <v>2276</v>
      </c>
      <c r="R1459" s="1" t="s">
        <v>669</v>
      </c>
      <c r="S1459" s="1" t="s">
        <v>168</v>
      </c>
      <c r="T1459" t="s">
        <v>396</v>
      </c>
      <c r="U1459" t="s">
        <v>168</v>
      </c>
      <c r="V1459" t="s">
        <v>194</v>
      </c>
      <c r="W1459" t="s">
        <v>910</v>
      </c>
      <c r="X1459" t="s">
        <v>161</v>
      </c>
      <c r="Y1459" t="s">
        <v>2272</v>
      </c>
      <c r="Z1459" t="s">
        <v>2272</v>
      </c>
      <c r="AA1459" t="s">
        <v>2272</v>
      </c>
      <c r="AB1459" t="s">
        <v>2272</v>
      </c>
      <c r="AC1459" t="s">
        <v>162</v>
      </c>
      <c r="AD1459" t="s">
        <v>2272</v>
      </c>
      <c r="AH1459" s="4" t="s">
        <v>49</v>
      </c>
      <c r="AL1459" t="s">
        <v>49</v>
      </c>
      <c r="AM1459" t="s">
        <v>915</v>
      </c>
      <c r="AN1459" t="s">
        <v>109</v>
      </c>
      <c r="AO1459" t="s">
        <v>927</v>
      </c>
      <c r="AQ1459" s="5">
        <v>2</v>
      </c>
    </row>
    <row r="1460" spans="1:43" x14ac:dyDescent="0.2">
      <c r="A1460" t="s">
        <v>908</v>
      </c>
      <c r="B1460" t="s">
        <v>909</v>
      </c>
      <c r="C1460">
        <v>2019</v>
      </c>
      <c r="D1460" t="s">
        <v>44</v>
      </c>
      <c r="E1460" t="s">
        <v>49</v>
      </c>
      <c r="F1460" t="s">
        <v>83</v>
      </c>
      <c r="G1460" t="s">
        <v>85</v>
      </c>
      <c r="H1460" t="s">
        <v>350</v>
      </c>
      <c r="I1460">
        <v>2016</v>
      </c>
      <c r="J1460">
        <v>0.17</v>
      </c>
      <c r="K1460" t="s">
        <v>101</v>
      </c>
      <c r="N1460" t="s">
        <v>120</v>
      </c>
      <c r="O1460" t="s">
        <v>120</v>
      </c>
      <c r="P1460" t="s">
        <v>244</v>
      </c>
      <c r="Q1460" s="1" t="s">
        <v>2276</v>
      </c>
      <c r="R1460" s="1" t="s">
        <v>669</v>
      </c>
      <c r="S1460" s="1" t="s">
        <v>168</v>
      </c>
      <c r="T1460" t="s">
        <v>396</v>
      </c>
      <c r="U1460" t="s">
        <v>168</v>
      </c>
      <c r="V1460" t="s">
        <v>194</v>
      </c>
      <c r="W1460" t="s">
        <v>910</v>
      </c>
      <c r="X1460" t="s">
        <v>161</v>
      </c>
      <c r="Y1460" t="s">
        <v>2272</v>
      </c>
      <c r="Z1460" t="s">
        <v>2272</v>
      </c>
      <c r="AA1460" t="s">
        <v>2272</v>
      </c>
      <c r="AB1460" t="s">
        <v>2272</v>
      </c>
      <c r="AC1460" t="s">
        <v>162</v>
      </c>
      <c r="AD1460" t="s">
        <v>2272</v>
      </c>
      <c r="AH1460" s="4" t="s">
        <v>49</v>
      </c>
      <c r="AL1460" t="s">
        <v>49</v>
      </c>
      <c r="AM1460" t="s">
        <v>915</v>
      </c>
      <c r="AN1460" t="s">
        <v>109</v>
      </c>
      <c r="AO1460" t="s">
        <v>927</v>
      </c>
      <c r="AQ1460" s="5">
        <v>1</v>
      </c>
    </row>
    <row r="1461" spans="1:43" x14ac:dyDescent="0.2">
      <c r="A1461" t="s">
        <v>908</v>
      </c>
      <c r="B1461" t="s">
        <v>909</v>
      </c>
      <c r="C1461">
        <v>2019</v>
      </c>
      <c r="D1461" t="s">
        <v>44</v>
      </c>
      <c r="E1461" t="s">
        <v>49</v>
      </c>
      <c r="F1461" t="s">
        <v>83</v>
      </c>
      <c r="G1461" t="s">
        <v>85</v>
      </c>
      <c r="H1461" t="s">
        <v>350</v>
      </c>
      <c r="I1461">
        <v>2015</v>
      </c>
      <c r="J1461">
        <v>0.17</v>
      </c>
      <c r="K1461" t="s">
        <v>101</v>
      </c>
      <c r="L1461">
        <v>0.1</v>
      </c>
      <c r="M1461">
        <v>1</v>
      </c>
      <c r="N1461" t="s">
        <v>120</v>
      </c>
      <c r="O1461" t="s">
        <v>120</v>
      </c>
      <c r="P1461" t="s">
        <v>910</v>
      </c>
      <c r="Q1461" s="1" t="s">
        <v>2276</v>
      </c>
      <c r="R1461" s="1" t="s">
        <v>669</v>
      </c>
      <c r="S1461" s="1" t="s">
        <v>168</v>
      </c>
      <c r="T1461" t="s">
        <v>396</v>
      </c>
      <c r="U1461" t="s">
        <v>168</v>
      </c>
      <c r="V1461" t="s">
        <v>194</v>
      </c>
      <c r="W1461" t="s">
        <v>910</v>
      </c>
      <c r="X1461" t="s">
        <v>161</v>
      </c>
      <c r="Y1461" t="s">
        <v>2272</v>
      </c>
      <c r="Z1461" t="s">
        <v>2272</v>
      </c>
      <c r="AA1461" t="s">
        <v>2272</v>
      </c>
      <c r="AB1461" t="s">
        <v>2272</v>
      </c>
      <c r="AC1461" t="s">
        <v>162</v>
      </c>
      <c r="AD1461" t="s">
        <v>2272</v>
      </c>
      <c r="AH1461" s="4" t="s">
        <v>49</v>
      </c>
      <c r="AL1461" t="s">
        <v>49</v>
      </c>
      <c r="AM1461" t="s">
        <v>915</v>
      </c>
      <c r="AN1461" t="s">
        <v>109</v>
      </c>
      <c r="AO1461" t="s">
        <v>293</v>
      </c>
      <c r="AQ1461" s="5">
        <v>0</v>
      </c>
    </row>
    <row r="1462" spans="1:43" x14ac:dyDescent="0.2">
      <c r="A1462" t="s">
        <v>908</v>
      </c>
      <c r="B1462" t="s">
        <v>909</v>
      </c>
      <c r="C1462">
        <v>2019</v>
      </c>
      <c r="D1462" t="s">
        <v>44</v>
      </c>
      <c r="E1462" t="s">
        <v>49</v>
      </c>
      <c r="F1462" t="s">
        <v>83</v>
      </c>
      <c r="G1462" t="s">
        <v>85</v>
      </c>
      <c r="H1462" t="s">
        <v>350</v>
      </c>
      <c r="I1462">
        <v>2015</v>
      </c>
      <c r="J1462">
        <v>0.17</v>
      </c>
      <c r="K1462" t="s">
        <v>101</v>
      </c>
      <c r="L1462">
        <v>0.1</v>
      </c>
      <c r="M1462">
        <v>1</v>
      </c>
      <c r="N1462" t="s">
        <v>120</v>
      </c>
      <c r="O1462" t="s">
        <v>120</v>
      </c>
      <c r="P1462" t="s">
        <v>244</v>
      </c>
      <c r="Q1462" s="1" t="s">
        <v>2276</v>
      </c>
      <c r="R1462" s="1" t="s">
        <v>669</v>
      </c>
      <c r="S1462" s="1" t="s">
        <v>168</v>
      </c>
      <c r="T1462" t="s">
        <v>396</v>
      </c>
      <c r="U1462" t="s">
        <v>168</v>
      </c>
      <c r="V1462" t="s">
        <v>194</v>
      </c>
      <c r="W1462" t="s">
        <v>910</v>
      </c>
      <c r="X1462" t="s">
        <v>161</v>
      </c>
      <c r="Y1462" t="s">
        <v>2272</v>
      </c>
      <c r="Z1462" t="s">
        <v>2272</v>
      </c>
      <c r="AA1462" t="s">
        <v>2272</v>
      </c>
      <c r="AB1462" t="s">
        <v>2272</v>
      </c>
      <c r="AC1462" t="s">
        <v>162</v>
      </c>
      <c r="AD1462" t="s">
        <v>2272</v>
      </c>
      <c r="AH1462" s="4" t="s">
        <v>49</v>
      </c>
      <c r="AL1462" t="s">
        <v>49</v>
      </c>
      <c r="AM1462" t="s">
        <v>915</v>
      </c>
      <c r="AN1462" t="s">
        <v>109</v>
      </c>
      <c r="AO1462" t="s">
        <v>293</v>
      </c>
      <c r="AQ1462" s="5">
        <v>0</v>
      </c>
    </row>
    <row r="1463" spans="1:43" x14ac:dyDescent="0.2">
      <c r="A1463" t="s">
        <v>908</v>
      </c>
      <c r="B1463" t="s">
        <v>909</v>
      </c>
      <c r="C1463">
        <v>2019</v>
      </c>
      <c r="D1463" t="s">
        <v>44</v>
      </c>
      <c r="E1463" t="s">
        <v>49</v>
      </c>
      <c r="F1463" t="s">
        <v>83</v>
      </c>
      <c r="G1463" t="s">
        <v>85</v>
      </c>
      <c r="H1463" t="s">
        <v>350</v>
      </c>
      <c r="I1463">
        <v>2015</v>
      </c>
      <c r="J1463">
        <v>0.17</v>
      </c>
      <c r="K1463" t="s">
        <v>101</v>
      </c>
      <c r="L1463">
        <v>0.1</v>
      </c>
      <c r="M1463">
        <v>1</v>
      </c>
      <c r="N1463" t="s">
        <v>120</v>
      </c>
      <c r="O1463" t="s">
        <v>120</v>
      </c>
      <c r="P1463" t="s">
        <v>910</v>
      </c>
      <c r="Q1463" s="1" t="s">
        <v>2276</v>
      </c>
      <c r="R1463" s="1" t="s">
        <v>669</v>
      </c>
      <c r="S1463" s="1" t="s">
        <v>168</v>
      </c>
      <c r="T1463" t="s">
        <v>396</v>
      </c>
      <c r="U1463" t="s">
        <v>168</v>
      </c>
      <c r="V1463" t="s">
        <v>194</v>
      </c>
      <c r="W1463" t="s">
        <v>910</v>
      </c>
      <c r="X1463" t="s">
        <v>161</v>
      </c>
      <c r="Y1463" t="s">
        <v>2272</v>
      </c>
      <c r="Z1463" t="s">
        <v>2272</v>
      </c>
      <c r="AA1463" t="s">
        <v>2272</v>
      </c>
      <c r="AB1463" t="s">
        <v>2272</v>
      </c>
      <c r="AC1463" t="s">
        <v>162</v>
      </c>
      <c r="AD1463" t="s">
        <v>2272</v>
      </c>
      <c r="AH1463" s="4" t="s">
        <v>49</v>
      </c>
      <c r="AL1463" t="s">
        <v>49</v>
      </c>
      <c r="AM1463" t="s">
        <v>915</v>
      </c>
      <c r="AN1463" t="s">
        <v>109</v>
      </c>
      <c r="AO1463" t="s">
        <v>928</v>
      </c>
      <c r="AQ1463" s="5">
        <v>0</v>
      </c>
    </row>
    <row r="1464" spans="1:43" x14ac:dyDescent="0.2">
      <c r="A1464" t="s">
        <v>908</v>
      </c>
      <c r="B1464" t="s">
        <v>909</v>
      </c>
      <c r="C1464">
        <v>2019</v>
      </c>
      <c r="D1464" t="s">
        <v>44</v>
      </c>
      <c r="E1464" t="s">
        <v>49</v>
      </c>
      <c r="F1464" t="s">
        <v>83</v>
      </c>
      <c r="G1464" t="s">
        <v>85</v>
      </c>
      <c r="H1464" t="s">
        <v>350</v>
      </c>
      <c r="I1464">
        <v>2015</v>
      </c>
      <c r="J1464">
        <v>0.17</v>
      </c>
      <c r="K1464" t="s">
        <v>101</v>
      </c>
      <c r="L1464">
        <v>0.1</v>
      </c>
      <c r="M1464">
        <v>1</v>
      </c>
      <c r="N1464" t="s">
        <v>120</v>
      </c>
      <c r="O1464" t="s">
        <v>120</v>
      </c>
      <c r="P1464" t="s">
        <v>244</v>
      </c>
      <c r="Q1464" s="1" t="s">
        <v>2276</v>
      </c>
      <c r="R1464" s="1" t="s">
        <v>669</v>
      </c>
      <c r="S1464" s="1" t="s">
        <v>168</v>
      </c>
      <c r="T1464" t="s">
        <v>396</v>
      </c>
      <c r="U1464" t="s">
        <v>168</v>
      </c>
      <c r="V1464" t="s">
        <v>194</v>
      </c>
      <c r="W1464" t="s">
        <v>910</v>
      </c>
      <c r="X1464" t="s">
        <v>161</v>
      </c>
      <c r="Y1464" t="s">
        <v>2272</v>
      </c>
      <c r="Z1464" t="s">
        <v>2272</v>
      </c>
      <c r="AA1464" t="s">
        <v>2272</v>
      </c>
      <c r="AB1464" t="s">
        <v>2272</v>
      </c>
      <c r="AC1464" t="s">
        <v>162</v>
      </c>
      <c r="AD1464" t="s">
        <v>2272</v>
      </c>
      <c r="AH1464" s="4" t="s">
        <v>49</v>
      </c>
      <c r="AL1464" t="s">
        <v>49</v>
      </c>
      <c r="AM1464" t="s">
        <v>915</v>
      </c>
      <c r="AN1464" t="s">
        <v>109</v>
      </c>
      <c r="AO1464" t="s">
        <v>928</v>
      </c>
      <c r="AQ1464" s="5">
        <v>0</v>
      </c>
    </row>
    <row r="1465" spans="1:43" x14ac:dyDescent="0.2">
      <c r="A1465" t="s">
        <v>908</v>
      </c>
      <c r="B1465" t="s">
        <v>909</v>
      </c>
      <c r="C1465">
        <v>2019</v>
      </c>
      <c r="D1465" t="s">
        <v>44</v>
      </c>
      <c r="E1465" t="s">
        <v>49</v>
      </c>
      <c r="F1465" t="s">
        <v>83</v>
      </c>
      <c r="G1465" t="s">
        <v>85</v>
      </c>
      <c r="H1465" t="s">
        <v>350</v>
      </c>
      <c r="I1465">
        <v>2015</v>
      </c>
      <c r="J1465">
        <v>0.17</v>
      </c>
      <c r="K1465" t="s">
        <v>101</v>
      </c>
      <c r="L1465">
        <v>0.1</v>
      </c>
      <c r="M1465">
        <v>1</v>
      </c>
      <c r="N1465" t="s">
        <v>120</v>
      </c>
      <c r="O1465" t="s">
        <v>120</v>
      </c>
      <c r="P1465" t="s">
        <v>910</v>
      </c>
      <c r="Q1465" s="1" t="s">
        <v>2276</v>
      </c>
      <c r="R1465" s="1" t="s">
        <v>669</v>
      </c>
      <c r="S1465" s="1" t="s">
        <v>168</v>
      </c>
      <c r="T1465" t="s">
        <v>396</v>
      </c>
      <c r="U1465" t="s">
        <v>168</v>
      </c>
      <c r="V1465" t="s">
        <v>194</v>
      </c>
      <c r="W1465" t="s">
        <v>910</v>
      </c>
      <c r="X1465" t="s">
        <v>161</v>
      </c>
      <c r="Y1465" t="s">
        <v>2272</v>
      </c>
      <c r="Z1465" t="s">
        <v>2272</v>
      </c>
      <c r="AA1465" t="s">
        <v>2272</v>
      </c>
      <c r="AB1465" t="s">
        <v>2272</v>
      </c>
      <c r="AC1465" t="s">
        <v>162</v>
      </c>
      <c r="AD1465" t="s">
        <v>2272</v>
      </c>
      <c r="AH1465" s="4" t="s">
        <v>49</v>
      </c>
      <c r="AL1465" t="s">
        <v>49</v>
      </c>
      <c r="AM1465" t="s">
        <v>915</v>
      </c>
      <c r="AN1465" t="s">
        <v>109</v>
      </c>
      <c r="AO1465" t="s">
        <v>916</v>
      </c>
      <c r="AQ1465" s="5">
        <v>0</v>
      </c>
    </row>
    <row r="1466" spans="1:43" x14ac:dyDescent="0.2">
      <c r="A1466" t="s">
        <v>908</v>
      </c>
      <c r="B1466" t="s">
        <v>909</v>
      </c>
      <c r="C1466">
        <v>2019</v>
      </c>
      <c r="D1466" t="s">
        <v>44</v>
      </c>
      <c r="E1466" t="s">
        <v>49</v>
      </c>
      <c r="F1466" t="s">
        <v>83</v>
      </c>
      <c r="G1466" t="s">
        <v>85</v>
      </c>
      <c r="H1466" t="s">
        <v>350</v>
      </c>
      <c r="I1466">
        <v>2015</v>
      </c>
      <c r="J1466">
        <v>0.17</v>
      </c>
      <c r="K1466" t="s">
        <v>101</v>
      </c>
      <c r="L1466">
        <v>0.1</v>
      </c>
      <c r="M1466">
        <v>1</v>
      </c>
      <c r="N1466" t="s">
        <v>120</v>
      </c>
      <c r="O1466" t="s">
        <v>120</v>
      </c>
      <c r="P1466" t="s">
        <v>244</v>
      </c>
      <c r="Q1466" s="1" t="s">
        <v>2276</v>
      </c>
      <c r="R1466" s="1" t="s">
        <v>669</v>
      </c>
      <c r="S1466" s="1" t="s">
        <v>168</v>
      </c>
      <c r="T1466" t="s">
        <v>396</v>
      </c>
      <c r="U1466" t="s">
        <v>168</v>
      </c>
      <c r="V1466" t="s">
        <v>194</v>
      </c>
      <c r="W1466" t="s">
        <v>910</v>
      </c>
      <c r="X1466" t="s">
        <v>161</v>
      </c>
      <c r="Y1466" t="s">
        <v>2272</v>
      </c>
      <c r="Z1466" t="s">
        <v>2272</v>
      </c>
      <c r="AA1466" t="s">
        <v>2272</v>
      </c>
      <c r="AB1466" t="s">
        <v>2272</v>
      </c>
      <c r="AC1466" t="s">
        <v>162</v>
      </c>
      <c r="AD1466" t="s">
        <v>2272</v>
      </c>
      <c r="AH1466" s="4" t="s">
        <v>49</v>
      </c>
      <c r="AL1466" t="s">
        <v>49</v>
      </c>
      <c r="AM1466" t="s">
        <v>915</v>
      </c>
      <c r="AN1466" t="s">
        <v>109</v>
      </c>
      <c r="AO1466" t="s">
        <v>916</v>
      </c>
      <c r="AQ1466" s="5">
        <v>0</v>
      </c>
    </row>
    <row r="1467" spans="1:43" x14ac:dyDescent="0.2">
      <c r="A1467" t="s">
        <v>908</v>
      </c>
      <c r="B1467" t="s">
        <v>909</v>
      </c>
      <c r="C1467">
        <v>2019</v>
      </c>
      <c r="D1467" t="s">
        <v>44</v>
      </c>
      <c r="E1467" t="s">
        <v>49</v>
      </c>
      <c r="F1467" t="s">
        <v>83</v>
      </c>
      <c r="G1467" t="s">
        <v>85</v>
      </c>
      <c r="H1467" t="s">
        <v>350</v>
      </c>
      <c r="I1467">
        <v>2015</v>
      </c>
      <c r="J1467">
        <v>0.17</v>
      </c>
      <c r="K1467" t="s">
        <v>101</v>
      </c>
      <c r="L1467">
        <v>0.1</v>
      </c>
      <c r="M1467">
        <v>1</v>
      </c>
      <c r="N1467" t="s">
        <v>120</v>
      </c>
      <c r="O1467" t="s">
        <v>120</v>
      </c>
      <c r="P1467" t="s">
        <v>910</v>
      </c>
      <c r="Q1467" s="1" t="s">
        <v>2276</v>
      </c>
      <c r="R1467" s="1" t="s">
        <v>669</v>
      </c>
      <c r="S1467" s="1" t="s">
        <v>168</v>
      </c>
      <c r="T1467" t="s">
        <v>396</v>
      </c>
      <c r="U1467" t="s">
        <v>168</v>
      </c>
      <c r="V1467" t="s">
        <v>194</v>
      </c>
      <c r="W1467" t="s">
        <v>910</v>
      </c>
      <c r="X1467" t="s">
        <v>161</v>
      </c>
      <c r="Y1467" t="s">
        <v>2272</v>
      </c>
      <c r="Z1467" t="s">
        <v>2272</v>
      </c>
      <c r="AA1467" t="s">
        <v>2272</v>
      </c>
      <c r="AB1467" t="s">
        <v>2272</v>
      </c>
      <c r="AC1467" t="s">
        <v>162</v>
      </c>
      <c r="AD1467" t="s">
        <v>2272</v>
      </c>
      <c r="AH1467" s="4" t="s">
        <v>49</v>
      </c>
      <c r="AL1467" t="s">
        <v>49</v>
      </c>
      <c r="AM1467" t="s">
        <v>915</v>
      </c>
      <c r="AN1467" t="s">
        <v>109</v>
      </c>
      <c r="AO1467" t="s">
        <v>917</v>
      </c>
      <c r="AQ1467" s="5">
        <v>1</v>
      </c>
    </row>
    <row r="1468" spans="1:43" x14ac:dyDescent="0.2">
      <c r="A1468" t="s">
        <v>908</v>
      </c>
      <c r="B1468" t="s">
        <v>909</v>
      </c>
      <c r="C1468">
        <v>2019</v>
      </c>
      <c r="D1468" t="s">
        <v>44</v>
      </c>
      <c r="E1468" t="s">
        <v>49</v>
      </c>
      <c r="F1468" t="s">
        <v>83</v>
      </c>
      <c r="G1468" t="s">
        <v>85</v>
      </c>
      <c r="H1468" t="s">
        <v>350</v>
      </c>
      <c r="I1468">
        <v>2015</v>
      </c>
      <c r="J1468">
        <v>0.17</v>
      </c>
      <c r="K1468" t="s">
        <v>101</v>
      </c>
      <c r="L1468">
        <v>0.1</v>
      </c>
      <c r="M1468">
        <v>1</v>
      </c>
      <c r="N1468" t="s">
        <v>120</v>
      </c>
      <c r="O1468" t="s">
        <v>120</v>
      </c>
      <c r="P1468" t="s">
        <v>244</v>
      </c>
      <c r="Q1468" s="1" t="s">
        <v>2276</v>
      </c>
      <c r="R1468" s="1" t="s">
        <v>669</v>
      </c>
      <c r="S1468" s="1" t="s">
        <v>168</v>
      </c>
      <c r="T1468" t="s">
        <v>396</v>
      </c>
      <c r="U1468" t="s">
        <v>168</v>
      </c>
      <c r="V1468" t="s">
        <v>194</v>
      </c>
      <c r="W1468" t="s">
        <v>910</v>
      </c>
      <c r="X1468" t="s">
        <v>161</v>
      </c>
      <c r="Y1468" t="s">
        <v>2272</v>
      </c>
      <c r="Z1468" t="s">
        <v>2272</v>
      </c>
      <c r="AA1468" t="s">
        <v>2272</v>
      </c>
      <c r="AB1468" t="s">
        <v>2272</v>
      </c>
      <c r="AC1468" t="s">
        <v>162</v>
      </c>
      <c r="AD1468" t="s">
        <v>2272</v>
      </c>
      <c r="AH1468" s="4" t="s">
        <v>49</v>
      </c>
      <c r="AL1468" t="s">
        <v>49</v>
      </c>
      <c r="AM1468" t="s">
        <v>915</v>
      </c>
      <c r="AN1468" t="s">
        <v>109</v>
      </c>
      <c r="AO1468" t="s">
        <v>917</v>
      </c>
      <c r="AQ1468" s="5">
        <v>2</v>
      </c>
    </row>
    <row r="1469" spans="1:43" x14ac:dyDescent="0.2">
      <c r="A1469" t="s">
        <v>908</v>
      </c>
      <c r="B1469" t="s">
        <v>909</v>
      </c>
      <c r="C1469">
        <v>2019</v>
      </c>
      <c r="D1469" t="s">
        <v>44</v>
      </c>
      <c r="E1469" t="s">
        <v>49</v>
      </c>
      <c r="F1469" t="s">
        <v>83</v>
      </c>
      <c r="G1469" t="s">
        <v>85</v>
      </c>
      <c r="H1469" t="s">
        <v>350</v>
      </c>
      <c r="I1469">
        <v>2015</v>
      </c>
      <c r="J1469">
        <v>0.17</v>
      </c>
      <c r="K1469" t="s">
        <v>101</v>
      </c>
      <c r="L1469">
        <v>0.1</v>
      </c>
      <c r="M1469">
        <v>1</v>
      </c>
      <c r="N1469" t="s">
        <v>120</v>
      </c>
      <c r="O1469" t="s">
        <v>120</v>
      </c>
      <c r="P1469" t="s">
        <v>910</v>
      </c>
      <c r="Q1469" s="1" t="s">
        <v>2276</v>
      </c>
      <c r="R1469" s="1" t="s">
        <v>669</v>
      </c>
      <c r="S1469" s="1" t="s">
        <v>168</v>
      </c>
      <c r="T1469" t="s">
        <v>396</v>
      </c>
      <c r="U1469" t="s">
        <v>168</v>
      </c>
      <c r="V1469" t="s">
        <v>194</v>
      </c>
      <c r="W1469" t="s">
        <v>910</v>
      </c>
      <c r="X1469" t="s">
        <v>161</v>
      </c>
      <c r="Y1469" t="s">
        <v>2272</v>
      </c>
      <c r="Z1469" t="s">
        <v>2272</v>
      </c>
      <c r="AA1469" t="s">
        <v>2272</v>
      </c>
      <c r="AB1469" t="s">
        <v>2272</v>
      </c>
      <c r="AC1469" t="s">
        <v>162</v>
      </c>
      <c r="AD1469" t="s">
        <v>2272</v>
      </c>
      <c r="AH1469" s="4" t="s">
        <v>49</v>
      </c>
      <c r="AL1469" t="s">
        <v>49</v>
      </c>
      <c r="AM1469" t="s">
        <v>915</v>
      </c>
      <c r="AN1469" t="s">
        <v>109</v>
      </c>
      <c r="AO1469" t="s">
        <v>918</v>
      </c>
      <c r="AQ1469" s="5">
        <v>0</v>
      </c>
    </row>
    <row r="1470" spans="1:43" x14ac:dyDescent="0.2">
      <c r="A1470" t="s">
        <v>908</v>
      </c>
      <c r="B1470" t="s">
        <v>909</v>
      </c>
      <c r="C1470">
        <v>2019</v>
      </c>
      <c r="D1470" t="s">
        <v>44</v>
      </c>
      <c r="E1470" t="s">
        <v>49</v>
      </c>
      <c r="F1470" t="s">
        <v>83</v>
      </c>
      <c r="G1470" t="s">
        <v>85</v>
      </c>
      <c r="H1470" t="s">
        <v>350</v>
      </c>
      <c r="I1470">
        <v>2015</v>
      </c>
      <c r="J1470">
        <v>0.17</v>
      </c>
      <c r="K1470" t="s">
        <v>101</v>
      </c>
      <c r="L1470">
        <v>0.1</v>
      </c>
      <c r="M1470">
        <v>1</v>
      </c>
      <c r="N1470" t="s">
        <v>120</v>
      </c>
      <c r="O1470" t="s">
        <v>120</v>
      </c>
      <c r="P1470" t="s">
        <v>244</v>
      </c>
      <c r="Q1470" s="1" t="s">
        <v>2276</v>
      </c>
      <c r="R1470" s="1" t="s">
        <v>669</v>
      </c>
      <c r="S1470" s="1" t="s">
        <v>168</v>
      </c>
      <c r="T1470" t="s">
        <v>396</v>
      </c>
      <c r="U1470" t="s">
        <v>168</v>
      </c>
      <c r="V1470" t="s">
        <v>194</v>
      </c>
      <c r="W1470" t="s">
        <v>910</v>
      </c>
      <c r="X1470" t="s">
        <v>161</v>
      </c>
      <c r="Y1470" t="s">
        <v>2272</v>
      </c>
      <c r="Z1470" t="s">
        <v>2272</v>
      </c>
      <c r="AA1470" t="s">
        <v>2272</v>
      </c>
      <c r="AB1470" t="s">
        <v>2272</v>
      </c>
      <c r="AC1470" t="s">
        <v>162</v>
      </c>
      <c r="AD1470" t="s">
        <v>2272</v>
      </c>
      <c r="AH1470" s="4" t="s">
        <v>49</v>
      </c>
      <c r="AL1470" t="s">
        <v>49</v>
      </c>
      <c r="AM1470" t="s">
        <v>915</v>
      </c>
      <c r="AN1470" t="s">
        <v>109</v>
      </c>
      <c r="AO1470" t="s">
        <v>918</v>
      </c>
      <c r="AQ1470" s="5">
        <v>0</v>
      </c>
    </row>
    <row r="1471" spans="1:43" x14ac:dyDescent="0.2">
      <c r="A1471" t="s">
        <v>908</v>
      </c>
      <c r="B1471" t="s">
        <v>909</v>
      </c>
      <c r="C1471">
        <v>2019</v>
      </c>
      <c r="D1471" t="s">
        <v>44</v>
      </c>
      <c r="E1471" t="s">
        <v>49</v>
      </c>
      <c r="F1471" t="s">
        <v>83</v>
      </c>
      <c r="G1471" t="s">
        <v>85</v>
      </c>
      <c r="H1471" t="s">
        <v>350</v>
      </c>
      <c r="I1471">
        <v>2015</v>
      </c>
      <c r="J1471">
        <v>0.17</v>
      </c>
      <c r="K1471" t="s">
        <v>101</v>
      </c>
      <c r="L1471">
        <v>0.1</v>
      </c>
      <c r="M1471">
        <v>1</v>
      </c>
      <c r="N1471" t="s">
        <v>120</v>
      </c>
      <c r="O1471" t="s">
        <v>120</v>
      </c>
      <c r="P1471" t="s">
        <v>910</v>
      </c>
      <c r="Q1471" s="1" t="s">
        <v>2276</v>
      </c>
      <c r="R1471" s="1" t="s">
        <v>669</v>
      </c>
      <c r="S1471" s="1" t="s">
        <v>168</v>
      </c>
      <c r="T1471" t="s">
        <v>396</v>
      </c>
      <c r="U1471" t="s">
        <v>168</v>
      </c>
      <c r="V1471" t="s">
        <v>194</v>
      </c>
      <c r="W1471" t="s">
        <v>910</v>
      </c>
      <c r="X1471" t="s">
        <v>161</v>
      </c>
      <c r="Y1471" t="s">
        <v>2272</v>
      </c>
      <c r="Z1471" t="s">
        <v>2272</v>
      </c>
      <c r="AA1471" t="s">
        <v>2272</v>
      </c>
      <c r="AB1471" t="s">
        <v>2272</v>
      </c>
      <c r="AC1471" t="s">
        <v>162</v>
      </c>
      <c r="AD1471" t="s">
        <v>2272</v>
      </c>
      <c r="AH1471" s="4" t="s">
        <v>49</v>
      </c>
      <c r="AL1471" t="s">
        <v>49</v>
      </c>
      <c r="AM1471" t="s">
        <v>915</v>
      </c>
      <c r="AN1471" t="s">
        <v>109</v>
      </c>
      <c r="AO1471" t="s">
        <v>919</v>
      </c>
      <c r="AQ1471" s="5">
        <v>0</v>
      </c>
    </row>
    <row r="1472" spans="1:43" x14ac:dyDescent="0.2">
      <c r="A1472" t="s">
        <v>908</v>
      </c>
      <c r="B1472" t="s">
        <v>909</v>
      </c>
      <c r="C1472">
        <v>2019</v>
      </c>
      <c r="D1472" t="s">
        <v>44</v>
      </c>
      <c r="E1472" t="s">
        <v>49</v>
      </c>
      <c r="F1472" t="s">
        <v>83</v>
      </c>
      <c r="G1472" t="s">
        <v>85</v>
      </c>
      <c r="H1472" t="s">
        <v>350</v>
      </c>
      <c r="I1472">
        <v>2015</v>
      </c>
      <c r="J1472">
        <v>0.17</v>
      </c>
      <c r="K1472" t="s">
        <v>101</v>
      </c>
      <c r="L1472">
        <v>0.1</v>
      </c>
      <c r="M1472">
        <v>1</v>
      </c>
      <c r="N1472" t="s">
        <v>120</v>
      </c>
      <c r="O1472" t="s">
        <v>120</v>
      </c>
      <c r="P1472" t="s">
        <v>244</v>
      </c>
      <c r="Q1472" s="1" t="s">
        <v>2276</v>
      </c>
      <c r="R1472" s="1" t="s">
        <v>669</v>
      </c>
      <c r="S1472" s="1" t="s">
        <v>168</v>
      </c>
      <c r="T1472" t="s">
        <v>396</v>
      </c>
      <c r="U1472" t="s">
        <v>168</v>
      </c>
      <c r="V1472" t="s">
        <v>194</v>
      </c>
      <c r="W1472" t="s">
        <v>910</v>
      </c>
      <c r="X1472" t="s">
        <v>161</v>
      </c>
      <c r="Y1472" t="s">
        <v>2272</v>
      </c>
      <c r="Z1472" t="s">
        <v>2272</v>
      </c>
      <c r="AA1472" t="s">
        <v>2272</v>
      </c>
      <c r="AB1472" t="s">
        <v>2272</v>
      </c>
      <c r="AC1472" t="s">
        <v>162</v>
      </c>
      <c r="AD1472" t="s">
        <v>2272</v>
      </c>
      <c r="AH1472" s="4" t="s">
        <v>49</v>
      </c>
      <c r="AL1472" t="s">
        <v>49</v>
      </c>
      <c r="AM1472" t="s">
        <v>915</v>
      </c>
      <c r="AN1472" t="s">
        <v>109</v>
      </c>
      <c r="AO1472" t="s">
        <v>919</v>
      </c>
      <c r="AQ1472" s="5">
        <v>0</v>
      </c>
    </row>
    <row r="1473" spans="1:43" x14ac:dyDescent="0.2">
      <c r="A1473" t="s">
        <v>929</v>
      </c>
      <c r="B1473" t="s">
        <v>930</v>
      </c>
      <c r="C1473">
        <v>2019</v>
      </c>
      <c r="D1473" t="s">
        <v>44</v>
      </c>
      <c r="F1473" t="s">
        <v>931</v>
      </c>
      <c r="G1473" t="s">
        <v>88</v>
      </c>
      <c r="H1473" t="s">
        <v>96</v>
      </c>
      <c r="I1473">
        <v>2010</v>
      </c>
      <c r="J1473">
        <v>0.08</v>
      </c>
      <c r="K1473" t="s">
        <v>101</v>
      </c>
      <c r="N1473" t="s">
        <v>466</v>
      </c>
      <c r="O1473" t="s">
        <v>466</v>
      </c>
      <c r="P1473" t="s">
        <v>932</v>
      </c>
      <c r="Q1473" s="1" t="s">
        <v>2281</v>
      </c>
      <c r="R1473" s="1" t="s">
        <v>2301</v>
      </c>
      <c r="S1473" s="1" t="s">
        <v>2302</v>
      </c>
      <c r="T1473" t="s">
        <v>421</v>
      </c>
      <c r="U1473" t="s">
        <v>421</v>
      </c>
      <c r="X1473" t="s">
        <v>161</v>
      </c>
      <c r="Y1473" t="s">
        <v>2272</v>
      </c>
      <c r="Z1473" t="s">
        <v>2272</v>
      </c>
      <c r="AA1473" t="s">
        <v>2272</v>
      </c>
      <c r="AB1473" t="s">
        <v>2272</v>
      </c>
      <c r="AC1473" t="s">
        <v>162</v>
      </c>
      <c r="AD1473" t="s">
        <v>2272</v>
      </c>
      <c r="AG1473" t="s">
        <v>49</v>
      </c>
      <c r="AI1473" t="s">
        <v>49</v>
      </c>
      <c r="AM1473" t="s">
        <v>202</v>
      </c>
      <c r="AN1473" t="s">
        <v>166</v>
      </c>
      <c r="AQ1473" s="5">
        <v>1</v>
      </c>
    </row>
    <row r="1474" spans="1:43" x14ac:dyDescent="0.2">
      <c r="A1474" t="s">
        <v>929</v>
      </c>
      <c r="B1474" t="s">
        <v>930</v>
      </c>
      <c r="C1474">
        <v>2019</v>
      </c>
      <c r="D1474" t="s">
        <v>44</v>
      </c>
      <c r="F1474" t="s">
        <v>931</v>
      </c>
      <c r="G1474" t="s">
        <v>88</v>
      </c>
      <c r="H1474" t="s">
        <v>96</v>
      </c>
      <c r="I1474">
        <v>2010</v>
      </c>
      <c r="J1474">
        <v>0.08</v>
      </c>
      <c r="K1474" t="s">
        <v>101</v>
      </c>
      <c r="N1474" t="s">
        <v>466</v>
      </c>
      <c r="O1474" t="s">
        <v>466</v>
      </c>
      <c r="P1474" t="s">
        <v>932</v>
      </c>
      <c r="Q1474" s="1" t="s">
        <v>2281</v>
      </c>
      <c r="R1474" s="1" t="s">
        <v>2301</v>
      </c>
      <c r="S1474" s="1" t="s">
        <v>2302</v>
      </c>
      <c r="T1474" t="s">
        <v>421</v>
      </c>
      <c r="U1474" t="s">
        <v>421</v>
      </c>
      <c r="X1474" t="s">
        <v>161</v>
      </c>
      <c r="Y1474" t="s">
        <v>2272</v>
      </c>
      <c r="Z1474" t="s">
        <v>2272</v>
      </c>
      <c r="AA1474" t="s">
        <v>2272</v>
      </c>
      <c r="AB1474" t="s">
        <v>2272</v>
      </c>
      <c r="AC1474" t="s">
        <v>162</v>
      </c>
      <c r="AD1474" t="s">
        <v>2272</v>
      </c>
      <c r="AG1474" t="s">
        <v>49</v>
      </c>
      <c r="AI1474" t="s">
        <v>49</v>
      </c>
      <c r="AM1474" t="s">
        <v>202</v>
      </c>
      <c r="AN1474" t="s">
        <v>154</v>
      </c>
      <c r="AQ1474" s="5">
        <v>1</v>
      </c>
    </row>
    <row r="1475" spans="1:43" x14ac:dyDescent="0.2">
      <c r="A1475" t="s">
        <v>929</v>
      </c>
      <c r="B1475" t="s">
        <v>930</v>
      </c>
      <c r="C1475">
        <v>2019</v>
      </c>
      <c r="D1475" t="s">
        <v>44</v>
      </c>
      <c r="F1475" t="s">
        <v>931</v>
      </c>
      <c r="G1475" t="s">
        <v>88</v>
      </c>
      <c r="H1475" t="s">
        <v>96</v>
      </c>
      <c r="I1475">
        <v>2010</v>
      </c>
      <c r="J1475">
        <v>0.08</v>
      </c>
      <c r="K1475" t="s">
        <v>101</v>
      </c>
      <c r="N1475" t="s">
        <v>466</v>
      </c>
      <c r="O1475" t="s">
        <v>466</v>
      </c>
      <c r="P1475" t="s">
        <v>932</v>
      </c>
      <c r="Q1475" s="1" t="s">
        <v>2281</v>
      </c>
      <c r="R1475" s="1" t="s">
        <v>2301</v>
      </c>
      <c r="S1475" s="1" t="s">
        <v>2302</v>
      </c>
      <c r="T1475" t="s">
        <v>421</v>
      </c>
      <c r="U1475" t="s">
        <v>421</v>
      </c>
      <c r="X1475" t="s">
        <v>161</v>
      </c>
      <c r="Y1475" t="s">
        <v>2272</v>
      </c>
      <c r="Z1475" t="s">
        <v>2272</v>
      </c>
      <c r="AA1475" t="s">
        <v>2272</v>
      </c>
      <c r="AB1475" t="s">
        <v>2272</v>
      </c>
      <c r="AC1475" t="s">
        <v>162</v>
      </c>
      <c r="AD1475" t="s">
        <v>2272</v>
      </c>
      <c r="AG1475" t="s">
        <v>49</v>
      </c>
      <c r="AI1475" t="s">
        <v>49</v>
      </c>
      <c r="AM1475" t="s">
        <v>202</v>
      </c>
      <c r="AN1475" t="s">
        <v>165</v>
      </c>
      <c r="AP1475" t="s">
        <v>49</v>
      </c>
    </row>
    <row r="1476" spans="1:43" x14ac:dyDescent="0.2">
      <c r="A1476" t="s">
        <v>933</v>
      </c>
      <c r="B1476" t="s">
        <v>934</v>
      </c>
      <c r="C1476">
        <v>2019</v>
      </c>
      <c r="D1476" t="s">
        <v>44</v>
      </c>
      <c r="F1476" t="s">
        <v>652</v>
      </c>
      <c r="G1476" t="s">
        <v>91</v>
      </c>
      <c r="H1476" t="s">
        <v>350</v>
      </c>
      <c r="I1476">
        <v>2014</v>
      </c>
      <c r="J1476">
        <v>0.67</v>
      </c>
      <c r="K1476" t="s">
        <v>104</v>
      </c>
      <c r="M1476">
        <v>0</v>
      </c>
      <c r="N1476" t="s">
        <v>120</v>
      </c>
      <c r="O1476" t="s">
        <v>252</v>
      </c>
      <c r="P1476" t="s">
        <v>935</v>
      </c>
      <c r="Q1476" s="1" t="s">
        <v>2276</v>
      </c>
      <c r="R1476" s="1" t="s">
        <v>669</v>
      </c>
      <c r="S1476" s="1" t="s">
        <v>168</v>
      </c>
      <c r="X1476" t="s">
        <v>936</v>
      </c>
      <c r="Y1476" t="s">
        <v>2273</v>
      </c>
      <c r="Z1476" t="s">
        <v>249</v>
      </c>
      <c r="AA1476" t="s">
        <v>2359</v>
      </c>
      <c r="AB1476" t="s">
        <v>1419</v>
      </c>
      <c r="AC1476" t="s">
        <v>152</v>
      </c>
      <c r="AD1476" t="s">
        <v>2288</v>
      </c>
    </row>
    <row r="1477" spans="1:43" x14ac:dyDescent="0.2">
      <c r="A1477" t="s">
        <v>933</v>
      </c>
      <c r="B1477" t="s">
        <v>934</v>
      </c>
      <c r="C1477">
        <v>2019</v>
      </c>
      <c r="D1477" t="s">
        <v>44</v>
      </c>
      <c r="F1477" t="s">
        <v>652</v>
      </c>
      <c r="G1477" t="s">
        <v>91</v>
      </c>
      <c r="H1477" t="s">
        <v>350</v>
      </c>
      <c r="I1477">
        <v>2014</v>
      </c>
      <c r="J1477">
        <v>0.67</v>
      </c>
      <c r="K1477" t="s">
        <v>104</v>
      </c>
      <c r="M1477">
        <v>0</v>
      </c>
      <c r="N1477" t="s">
        <v>120</v>
      </c>
      <c r="O1477" t="s">
        <v>252</v>
      </c>
      <c r="P1477" t="s">
        <v>935</v>
      </c>
      <c r="Q1477" s="1" t="s">
        <v>2276</v>
      </c>
      <c r="R1477" s="1" t="s">
        <v>669</v>
      </c>
      <c r="S1477" s="1" t="s">
        <v>168</v>
      </c>
      <c r="X1477" t="s">
        <v>774</v>
      </c>
      <c r="Y1477" t="s">
        <v>2273</v>
      </c>
      <c r="Z1477" t="s">
        <v>249</v>
      </c>
      <c r="AA1477" t="s">
        <v>2359</v>
      </c>
      <c r="AB1477" t="s">
        <v>1419</v>
      </c>
      <c r="AC1477" t="s">
        <v>152</v>
      </c>
      <c r="AD1477" t="s">
        <v>2288</v>
      </c>
    </row>
    <row r="1478" spans="1:43" x14ac:dyDescent="0.2">
      <c r="A1478" t="s">
        <v>933</v>
      </c>
      <c r="B1478" t="s">
        <v>934</v>
      </c>
      <c r="C1478">
        <v>2019</v>
      </c>
      <c r="D1478" t="s">
        <v>44</v>
      </c>
      <c r="F1478" t="s">
        <v>652</v>
      </c>
      <c r="G1478" t="s">
        <v>91</v>
      </c>
      <c r="H1478" t="s">
        <v>350</v>
      </c>
      <c r="I1478">
        <v>2014</v>
      </c>
      <c r="J1478">
        <v>0.67</v>
      </c>
      <c r="K1478" t="s">
        <v>104</v>
      </c>
      <c r="M1478">
        <v>0</v>
      </c>
      <c r="N1478" t="s">
        <v>120</v>
      </c>
      <c r="O1478" t="s">
        <v>252</v>
      </c>
      <c r="P1478" t="s">
        <v>935</v>
      </c>
      <c r="Q1478" s="1" t="s">
        <v>2276</v>
      </c>
      <c r="R1478" s="1" t="s">
        <v>669</v>
      </c>
      <c r="S1478" s="1" t="s">
        <v>168</v>
      </c>
      <c r="X1478" t="s">
        <v>937</v>
      </c>
      <c r="Y1478" t="s">
        <v>2273</v>
      </c>
      <c r="Z1478" t="s">
        <v>249</v>
      </c>
      <c r="AA1478" t="s">
        <v>2359</v>
      </c>
      <c r="AB1478" t="s">
        <v>1979</v>
      </c>
      <c r="AC1478" t="s">
        <v>152</v>
      </c>
      <c r="AD1478" t="s">
        <v>2288</v>
      </c>
    </row>
    <row r="1479" spans="1:43" x14ac:dyDescent="0.2">
      <c r="A1479" t="s">
        <v>933</v>
      </c>
      <c r="B1479" t="s">
        <v>934</v>
      </c>
      <c r="C1479">
        <v>2019</v>
      </c>
      <c r="D1479" t="s">
        <v>44</v>
      </c>
      <c r="F1479" t="s">
        <v>652</v>
      </c>
      <c r="G1479" t="s">
        <v>91</v>
      </c>
      <c r="H1479" t="s">
        <v>350</v>
      </c>
      <c r="I1479">
        <v>2014</v>
      </c>
      <c r="J1479">
        <v>0.67</v>
      </c>
      <c r="K1479" t="s">
        <v>104</v>
      </c>
      <c r="M1479">
        <v>0</v>
      </c>
      <c r="N1479" t="s">
        <v>120</v>
      </c>
      <c r="O1479" t="s">
        <v>252</v>
      </c>
      <c r="P1479" t="s">
        <v>935</v>
      </c>
      <c r="Q1479" s="1" t="s">
        <v>2276</v>
      </c>
      <c r="R1479" s="1" t="s">
        <v>669</v>
      </c>
      <c r="S1479" s="1" t="s">
        <v>168</v>
      </c>
      <c r="X1479" t="s">
        <v>161</v>
      </c>
      <c r="Y1479" t="s">
        <v>2272</v>
      </c>
      <c r="Z1479" t="s">
        <v>2272</v>
      </c>
      <c r="AA1479" t="s">
        <v>2272</v>
      </c>
      <c r="AB1479" t="s">
        <v>2272</v>
      </c>
      <c r="AC1479" t="s">
        <v>162</v>
      </c>
      <c r="AD1479" t="s">
        <v>2272</v>
      </c>
      <c r="AF1479" t="s">
        <v>49</v>
      </c>
      <c r="AJ1479" t="s">
        <v>49</v>
      </c>
      <c r="AM1479" t="s">
        <v>197</v>
      </c>
      <c r="AN1479" t="s">
        <v>166</v>
      </c>
    </row>
    <row r="1480" spans="1:43" x14ac:dyDescent="0.2">
      <c r="A1480" t="s">
        <v>933</v>
      </c>
      <c r="B1480" t="s">
        <v>934</v>
      </c>
      <c r="C1480">
        <v>2019</v>
      </c>
      <c r="D1480" t="s">
        <v>44</v>
      </c>
      <c r="F1480" t="s">
        <v>652</v>
      </c>
      <c r="G1480" t="s">
        <v>91</v>
      </c>
      <c r="H1480" t="s">
        <v>350</v>
      </c>
      <c r="I1480">
        <v>2014</v>
      </c>
      <c r="J1480">
        <v>0.67</v>
      </c>
      <c r="K1480" t="s">
        <v>104</v>
      </c>
      <c r="M1480">
        <v>0</v>
      </c>
      <c r="N1480" t="s">
        <v>120</v>
      </c>
      <c r="O1480" t="s">
        <v>252</v>
      </c>
      <c r="P1480" t="s">
        <v>935</v>
      </c>
      <c r="Q1480" s="1" t="s">
        <v>2276</v>
      </c>
      <c r="R1480" s="1" t="s">
        <v>669</v>
      </c>
      <c r="S1480" s="1" t="s">
        <v>168</v>
      </c>
      <c r="X1480" t="s">
        <v>161</v>
      </c>
      <c r="Y1480" t="s">
        <v>2272</v>
      </c>
      <c r="Z1480" t="s">
        <v>2272</v>
      </c>
      <c r="AA1480" t="s">
        <v>2272</v>
      </c>
      <c r="AB1480" t="s">
        <v>2272</v>
      </c>
      <c r="AC1480" t="s">
        <v>162</v>
      </c>
      <c r="AD1480" t="s">
        <v>2272</v>
      </c>
      <c r="AF1480" t="s">
        <v>49</v>
      </c>
      <c r="AJ1480" t="s">
        <v>49</v>
      </c>
      <c r="AM1480" t="s">
        <v>197</v>
      </c>
      <c r="AN1480" t="s">
        <v>154</v>
      </c>
    </row>
    <row r="1481" spans="1:43" x14ac:dyDescent="0.2">
      <c r="A1481" t="s">
        <v>933</v>
      </c>
      <c r="B1481" t="s">
        <v>934</v>
      </c>
      <c r="C1481">
        <v>2019</v>
      </c>
      <c r="D1481" t="s">
        <v>44</v>
      </c>
      <c r="F1481" t="s">
        <v>652</v>
      </c>
      <c r="G1481" t="s">
        <v>91</v>
      </c>
      <c r="H1481" t="s">
        <v>350</v>
      </c>
      <c r="I1481">
        <v>2014</v>
      </c>
      <c r="J1481">
        <v>0.67</v>
      </c>
      <c r="K1481" t="s">
        <v>104</v>
      </c>
      <c r="M1481">
        <v>0</v>
      </c>
      <c r="N1481" t="s">
        <v>120</v>
      </c>
      <c r="O1481" t="s">
        <v>252</v>
      </c>
      <c r="P1481" t="s">
        <v>935</v>
      </c>
      <c r="Q1481" s="1" t="s">
        <v>2276</v>
      </c>
      <c r="R1481" s="1" t="s">
        <v>669</v>
      </c>
      <c r="S1481" s="1" t="s">
        <v>168</v>
      </c>
      <c r="X1481" t="s">
        <v>161</v>
      </c>
      <c r="Y1481" t="s">
        <v>2272</v>
      </c>
      <c r="Z1481" t="s">
        <v>2272</v>
      </c>
      <c r="AA1481" t="s">
        <v>2272</v>
      </c>
      <c r="AB1481" t="s">
        <v>2272</v>
      </c>
      <c r="AC1481" t="s">
        <v>162</v>
      </c>
      <c r="AD1481" t="s">
        <v>2272</v>
      </c>
      <c r="AF1481" t="s">
        <v>49</v>
      </c>
      <c r="AJ1481" t="s">
        <v>49</v>
      </c>
      <c r="AM1481" t="s">
        <v>197</v>
      </c>
      <c r="AN1481" t="s">
        <v>165</v>
      </c>
    </row>
    <row r="1482" spans="1:43" x14ac:dyDescent="0.2">
      <c r="A1482" t="s">
        <v>938</v>
      </c>
      <c r="B1482" t="s">
        <v>939</v>
      </c>
      <c r="C1482">
        <v>2018</v>
      </c>
      <c r="D1482" t="s">
        <v>44</v>
      </c>
      <c r="F1482" t="s">
        <v>940</v>
      </c>
      <c r="G1482" t="s">
        <v>86</v>
      </c>
      <c r="H1482" t="s">
        <v>96</v>
      </c>
      <c r="I1482">
        <v>2011</v>
      </c>
      <c r="J1482">
        <f t="shared" ref="J1482:J1493" si="36">3/12</f>
        <v>0.25</v>
      </c>
      <c r="K1482" t="s">
        <v>101</v>
      </c>
      <c r="L1482">
        <v>1000</v>
      </c>
      <c r="M1482">
        <f t="shared" ref="M1482:M1493" si="37">0.5*0.5</f>
        <v>0.25</v>
      </c>
      <c r="N1482" t="s">
        <v>126</v>
      </c>
      <c r="O1482" t="s">
        <v>126</v>
      </c>
      <c r="P1482" t="s">
        <v>941</v>
      </c>
      <c r="Q1482" s="1" t="s">
        <v>2281</v>
      </c>
      <c r="R1482" s="1" t="s">
        <v>2282</v>
      </c>
      <c r="S1482" s="1" t="s">
        <v>126</v>
      </c>
      <c r="V1482" t="s">
        <v>194</v>
      </c>
      <c r="W1482" t="s">
        <v>356</v>
      </c>
      <c r="X1482" t="s">
        <v>189</v>
      </c>
      <c r="Y1482" t="s">
        <v>2279</v>
      </c>
      <c r="Z1482" t="s">
        <v>2280</v>
      </c>
      <c r="AA1482" t="s">
        <v>2358</v>
      </c>
      <c r="AB1482" t="s">
        <v>189</v>
      </c>
      <c r="AC1482" t="s">
        <v>152</v>
      </c>
      <c r="AD1482" t="s">
        <v>2278</v>
      </c>
    </row>
    <row r="1483" spans="1:43" x14ac:dyDescent="0.2">
      <c r="A1483" t="s">
        <v>938</v>
      </c>
      <c r="B1483" t="s">
        <v>939</v>
      </c>
      <c r="C1483">
        <v>2018</v>
      </c>
      <c r="D1483" t="s">
        <v>44</v>
      </c>
      <c r="F1483" t="s">
        <v>940</v>
      </c>
      <c r="G1483" t="s">
        <v>86</v>
      </c>
      <c r="H1483" t="s">
        <v>96</v>
      </c>
      <c r="I1483">
        <v>2011</v>
      </c>
      <c r="J1483">
        <f t="shared" si="36"/>
        <v>0.25</v>
      </c>
      <c r="K1483" t="s">
        <v>101</v>
      </c>
      <c r="L1483">
        <v>1000</v>
      </c>
      <c r="M1483">
        <f t="shared" si="37"/>
        <v>0.25</v>
      </c>
      <c r="N1483" t="s">
        <v>123</v>
      </c>
      <c r="O1483" t="s">
        <v>123</v>
      </c>
      <c r="P1483" t="s">
        <v>518</v>
      </c>
      <c r="Q1483" s="1" t="s">
        <v>2281</v>
      </c>
      <c r="R1483" s="1" t="s">
        <v>2282</v>
      </c>
      <c r="S1483" s="1" t="s">
        <v>123</v>
      </c>
      <c r="V1483" t="s">
        <v>194</v>
      </c>
      <c r="W1483" t="s">
        <v>356</v>
      </c>
      <c r="X1483" t="s">
        <v>189</v>
      </c>
      <c r="Y1483" t="s">
        <v>2279</v>
      </c>
      <c r="Z1483" t="s">
        <v>2280</v>
      </c>
      <c r="AA1483" t="s">
        <v>2358</v>
      </c>
      <c r="AB1483" t="s">
        <v>189</v>
      </c>
      <c r="AC1483" t="s">
        <v>152</v>
      </c>
      <c r="AD1483" t="s">
        <v>2278</v>
      </c>
    </row>
    <row r="1484" spans="1:43" x14ac:dyDescent="0.2">
      <c r="A1484" t="s">
        <v>938</v>
      </c>
      <c r="B1484" t="s">
        <v>939</v>
      </c>
      <c r="C1484">
        <v>2018</v>
      </c>
      <c r="D1484" t="s">
        <v>44</v>
      </c>
      <c r="F1484" t="s">
        <v>940</v>
      </c>
      <c r="G1484" t="s">
        <v>86</v>
      </c>
      <c r="H1484" t="s">
        <v>96</v>
      </c>
      <c r="I1484">
        <v>2011</v>
      </c>
      <c r="J1484">
        <f t="shared" si="36"/>
        <v>0.25</v>
      </c>
      <c r="K1484" t="s">
        <v>101</v>
      </c>
      <c r="L1484">
        <v>1000</v>
      </c>
      <c r="M1484">
        <f t="shared" si="37"/>
        <v>0.25</v>
      </c>
      <c r="N1484" t="s">
        <v>126</v>
      </c>
      <c r="O1484" t="s">
        <v>126</v>
      </c>
      <c r="P1484" t="s">
        <v>2571</v>
      </c>
      <c r="Q1484" s="1" t="s">
        <v>2281</v>
      </c>
      <c r="R1484" s="1" t="s">
        <v>2282</v>
      </c>
      <c r="S1484" s="1" t="s">
        <v>126</v>
      </c>
      <c r="V1484" t="s">
        <v>194</v>
      </c>
      <c r="W1484" t="s">
        <v>356</v>
      </c>
      <c r="X1484" t="s">
        <v>189</v>
      </c>
      <c r="Y1484" t="s">
        <v>2279</v>
      </c>
      <c r="Z1484" t="s">
        <v>2280</v>
      </c>
      <c r="AA1484" t="s">
        <v>2358</v>
      </c>
      <c r="AB1484" t="s">
        <v>189</v>
      </c>
      <c r="AC1484" t="s">
        <v>152</v>
      </c>
      <c r="AD1484" t="s">
        <v>2278</v>
      </c>
      <c r="AF1484" t="s">
        <v>49</v>
      </c>
      <c r="AH1484" s="4" t="s">
        <v>49</v>
      </c>
      <c r="AI1484" t="s">
        <v>49</v>
      </c>
      <c r="AM1484" t="s">
        <v>202</v>
      </c>
      <c r="AN1484" t="s">
        <v>165</v>
      </c>
      <c r="AP1484" t="s">
        <v>49</v>
      </c>
    </row>
    <row r="1485" spans="1:43" x14ac:dyDescent="0.2">
      <c r="A1485" t="s">
        <v>938</v>
      </c>
      <c r="B1485" t="s">
        <v>939</v>
      </c>
      <c r="C1485">
        <v>2018</v>
      </c>
      <c r="D1485" t="s">
        <v>44</v>
      </c>
      <c r="F1485" t="s">
        <v>940</v>
      </c>
      <c r="G1485" t="s">
        <v>86</v>
      </c>
      <c r="H1485" t="s">
        <v>96</v>
      </c>
      <c r="I1485">
        <v>2011</v>
      </c>
      <c r="J1485">
        <f t="shared" si="36"/>
        <v>0.25</v>
      </c>
      <c r="K1485" t="s">
        <v>101</v>
      </c>
      <c r="L1485">
        <v>1000</v>
      </c>
      <c r="M1485">
        <f t="shared" si="37"/>
        <v>0.25</v>
      </c>
      <c r="N1485" t="s">
        <v>126</v>
      </c>
      <c r="O1485" t="s">
        <v>126</v>
      </c>
      <c r="P1485" t="s">
        <v>2571</v>
      </c>
      <c r="Q1485" s="1" t="s">
        <v>2281</v>
      </c>
      <c r="R1485" s="1" t="s">
        <v>2282</v>
      </c>
      <c r="S1485" s="1" t="s">
        <v>126</v>
      </c>
      <c r="T1485" t="s">
        <v>396</v>
      </c>
      <c r="U1485" s="1" t="s">
        <v>2340</v>
      </c>
      <c r="V1485" t="s">
        <v>194</v>
      </c>
      <c r="W1485" t="s">
        <v>356</v>
      </c>
      <c r="X1485" t="s">
        <v>161</v>
      </c>
      <c r="Y1485" t="s">
        <v>2272</v>
      </c>
      <c r="Z1485" t="s">
        <v>2272</v>
      </c>
      <c r="AA1485" t="s">
        <v>2272</v>
      </c>
      <c r="AB1485" t="s">
        <v>2272</v>
      </c>
      <c r="AC1485" t="s">
        <v>162</v>
      </c>
      <c r="AD1485" t="s">
        <v>2272</v>
      </c>
      <c r="AF1485" t="s">
        <v>49</v>
      </c>
      <c r="AH1485" s="4" t="s">
        <v>49</v>
      </c>
      <c r="AI1485" t="s">
        <v>49</v>
      </c>
      <c r="AM1485" t="s">
        <v>202</v>
      </c>
      <c r="AN1485" t="s">
        <v>165</v>
      </c>
      <c r="AP1485" t="s">
        <v>49</v>
      </c>
    </row>
    <row r="1486" spans="1:43" x14ac:dyDescent="0.2">
      <c r="A1486" t="s">
        <v>938</v>
      </c>
      <c r="B1486" t="s">
        <v>939</v>
      </c>
      <c r="C1486">
        <v>2018</v>
      </c>
      <c r="D1486" t="s">
        <v>44</v>
      </c>
      <c r="F1486" t="s">
        <v>940</v>
      </c>
      <c r="G1486" t="s">
        <v>86</v>
      </c>
      <c r="H1486" t="s">
        <v>96</v>
      </c>
      <c r="I1486">
        <v>2011</v>
      </c>
      <c r="J1486">
        <f t="shared" si="36"/>
        <v>0.25</v>
      </c>
      <c r="K1486" t="s">
        <v>101</v>
      </c>
      <c r="L1486">
        <v>1000</v>
      </c>
      <c r="M1486">
        <f t="shared" si="37"/>
        <v>0.25</v>
      </c>
      <c r="N1486" t="s">
        <v>126</v>
      </c>
      <c r="O1486" t="s">
        <v>126</v>
      </c>
      <c r="P1486" t="s">
        <v>2571</v>
      </c>
      <c r="Q1486" s="1" t="s">
        <v>2281</v>
      </c>
      <c r="R1486" s="1" t="s">
        <v>2282</v>
      </c>
      <c r="S1486" s="1" t="s">
        <v>126</v>
      </c>
      <c r="V1486" t="s">
        <v>194</v>
      </c>
      <c r="W1486" t="s">
        <v>356</v>
      </c>
      <c r="X1486" t="s">
        <v>189</v>
      </c>
      <c r="Y1486" t="s">
        <v>2279</v>
      </c>
      <c r="Z1486" t="s">
        <v>2280</v>
      </c>
      <c r="AA1486" t="s">
        <v>2358</v>
      </c>
      <c r="AB1486" t="s">
        <v>189</v>
      </c>
      <c r="AC1486" t="s">
        <v>152</v>
      </c>
      <c r="AD1486" t="s">
        <v>2278</v>
      </c>
      <c r="AF1486" t="s">
        <v>49</v>
      </c>
      <c r="AI1486" t="s">
        <v>49</v>
      </c>
      <c r="AM1486" t="s">
        <v>201</v>
      </c>
      <c r="AN1486" t="s">
        <v>165</v>
      </c>
      <c r="AP1486" t="s">
        <v>51</v>
      </c>
    </row>
    <row r="1487" spans="1:43" x14ac:dyDescent="0.2">
      <c r="A1487" t="s">
        <v>938</v>
      </c>
      <c r="B1487" t="s">
        <v>939</v>
      </c>
      <c r="C1487">
        <v>2018</v>
      </c>
      <c r="D1487" t="s">
        <v>44</v>
      </c>
      <c r="F1487" t="s">
        <v>940</v>
      </c>
      <c r="G1487" t="s">
        <v>86</v>
      </c>
      <c r="H1487" t="s">
        <v>96</v>
      </c>
      <c r="I1487">
        <v>2011</v>
      </c>
      <c r="J1487">
        <f t="shared" si="36"/>
        <v>0.25</v>
      </c>
      <c r="K1487" t="s">
        <v>101</v>
      </c>
      <c r="L1487">
        <v>1000</v>
      </c>
      <c r="M1487">
        <f t="shared" si="37"/>
        <v>0.25</v>
      </c>
      <c r="N1487" t="s">
        <v>126</v>
      </c>
      <c r="O1487" t="s">
        <v>126</v>
      </c>
      <c r="P1487" t="s">
        <v>2571</v>
      </c>
      <c r="Q1487" s="1" t="s">
        <v>2281</v>
      </c>
      <c r="R1487" s="1" t="s">
        <v>2282</v>
      </c>
      <c r="S1487" s="1" t="s">
        <v>126</v>
      </c>
      <c r="T1487" t="s">
        <v>396</v>
      </c>
      <c r="U1487" s="1" t="s">
        <v>2340</v>
      </c>
      <c r="V1487" t="s">
        <v>194</v>
      </c>
      <c r="W1487" t="s">
        <v>356</v>
      </c>
      <c r="X1487" t="s">
        <v>161</v>
      </c>
      <c r="Y1487" t="s">
        <v>2272</v>
      </c>
      <c r="Z1487" t="s">
        <v>2272</v>
      </c>
      <c r="AA1487" t="s">
        <v>2272</v>
      </c>
      <c r="AB1487" t="s">
        <v>2272</v>
      </c>
      <c r="AC1487" t="s">
        <v>162</v>
      </c>
      <c r="AD1487" t="s">
        <v>2272</v>
      </c>
      <c r="AF1487" t="s">
        <v>49</v>
      </c>
      <c r="AI1487" t="s">
        <v>49</v>
      </c>
      <c r="AM1487" t="s">
        <v>201</v>
      </c>
      <c r="AN1487" t="s">
        <v>165</v>
      </c>
      <c r="AQ1487" s="5">
        <v>0</v>
      </c>
    </row>
    <row r="1488" spans="1:43" x14ac:dyDescent="0.2">
      <c r="A1488" t="s">
        <v>938</v>
      </c>
      <c r="B1488" t="s">
        <v>939</v>
      </c>
      <c r="C1488">
        <v>2018</v>
      </c>
      <c r="D1488" t="s">
        <v>44</v>
      </c>
      <c r="F1488" t="s">
        <v>940</v>
      </c>
      <c r="G1488" t="s">
        <v>86</v>
      </c>
      <c r="H1488" t="s">
        <v>96</v>
      </c>
      <c r="I1488">
        <v>2011</v>
      </c>
      <c r="J1488">
        <f t="shared" si="36"/>
        <v>0.25</v>
      </c>
      <c r="K1488" t="s">
        <v>101</v>
      </c>
      <c r="L1488">
        <v>1000</v>
      </c>
      <c r="M1488">
        <f t="shared" si="37"/>
        <v>0.25</v>
      </c>
      <c r="N1488" t="s">
        <v>126</v>
      </c>
      <c r="O1488" t="s">
        <v>126</v>
      </c>
      <c r="P1488" t="s">
        <v>941</v>
      </c>
      <c r="Q1488" s="1" t="s">
        <v>2281</v>
      </c>
      <c r="R1488" s="1" t="s">
        <v>2282</v>
      </c>
      <c r="S1488" s="1" t="s">
        <v>126</v>
      </c>
      <c r="T1488" t="s">
        <v>396</v>
      </c>
      <c r="U1488" s="1" t="s">
        <v>2340</v>
      </c>
      <c r="V1488" t="s">
        <v>194</v>
      </c>
      <c r="W1488" t="s">
        <v>356</v>
      </c>
      <c r="X1488" t="s">
        <v>161</v>
      </c>
      <c r="Y1488" t="s">
        <v>2272</v>
      </c>
      <c r="Z1488" t="s">
        <v>2272</v>
      </c>
      <c r="AA1488" t="s">
        <v>2272</v>
      </c>
      <c r="AB1488" t="s">
        <v>2272</v>
      </c>
      <c r="AC1488" t="s">
        <v>162</v>
      </c>
      <c r="AD1488" t="s">
        <v>2272</v>
      </c>
      <c r="AF1488" t="s">
        <v>49</v>
      </c>
      <c r="AH1488" s="4" t="s">
        <v>49</v>
      </c>
      <c r="AI1488" t="s">
        <v>49</v>
      </c>
      <c r="AM1488" t="s">
        <v>202</v>
      </c>
      <c r="AN1488" t="s">
        <v>165</v>
      </c>
      <c r="AP1488" t="s">
        <v>49</v>
      </c>
    </row>
    <row r="1489" spans="1:45" x14ac:dyDescent="0.2">
      <c r="A1489" t="s">
        <v>938</v>
      </c>
      <c r="B1489" t="s">
        <v>939</v>
      </c>
      <c r="C1489">
        <v>2018</v>
      </c>
      <c r="D1489" t="s">
        <v>44</v>
      </c>
      <c r="F1489" t="s">
        <v>940</v>
      </c>
      <c r="G1489" t="s">
        <v>86</v>
      </c>
      <c r="H1489" t="s">
        <v>96</v>
      </c>
      <c r="I1489">
        <v>2011</v>
      </c>
      <c r="J1489">
        <f t="shared" si="36"/>
        <v>0.25</v>
      </c>
      <c r="K1489" t="s">
        <v>101</v>
      </c>
      <c r="L1489">
        <v>1000</v>
      </c>
      <c r="M1489">
        <f t="shared" si="37"/>
        <v>0.25</v>
      </c>
      <c r="N1489" t="s">
        <v>123</v>
      </c>
      <c r="O1489" t="s">
        <v>123</v>
      </c>
      <c r="P1489" t="s">
        <v>518</v>
      </c>
      <c r="Q1489" s="1" t="s">
        <v>2281</v>
      </c>
      <c r="R1489" s="1" t="s">
        <v>2282</v>
      </c>
      <c r="S1489" s="1" t="s">
        <v>123</v>
      </c>
      <c r="T1489" t="s">
        <v>396</v>
      </c>
      <c r="U1489" s="1" t="s">
        <v>2393</v>
      </c>
      <c r="V1489" t="s">
        <v>194</v>
      </c>
      <c r="W1489" t="s">
        <v>356</v>
      </c>
      <c r="X1489" t="s">
        <v>161</v>
      </c>
      <c r="Y1489" t="s">
        <v>2272</v>
      </c>
      <c r="Z1489" t="s">
        <v>2272</v>
      </c>
      <c r="AA1489" t="s">
        <v>2272</v>
      </c>
      <c r="AB1489" t="s">
        <v>2272</v>
      </c>
      <c r="AC1489" t="s">
        <v>162</v>
      </c>
      <c r="AD1489" t="s">
        <v>2272</v>
      </c>
      <c r="AF1489" t="s">
        <v>49</v>
      </c>
      <c r="AH1489" s="4" t="s">
        <v>49</v>
      </c>
      <c r="AI1489" t="s">
        <v>49</v>
      </c>
      <c r="AM1489" t="s">
        <v>202</v>
      </c>
      <c r="AN1489" t="s">
        <v>165</v>
      </c>
      <c r="AP1489" t="s">
        <v>49</v>
      </c>
    </row>
    <row r="1490" spans="1:45" x14ac:dyDescent="0.2">
      <c r="A1490" t="s">
        <v>938</v>
      </c>
      <c r="B1490" t="s">
        <v>939</v>
      </c>
      <c r="C1490">
        <v>2018</v>
      </c>
      <c r="D1490" t="s">
        <v>44</v>
      </c>
      <c r="F1490" t="s">
        <v>940</v>
      </c>
      <c r="G1490" t="s">
        <v>86</v>
      </c>
      <c r="H1490" t="s">
        <v>96</v>
      </c>
      <c r="I1490">
        <v>2011</v>
      </c>
      <c r="J1490">
        <f t="shared" si="36"/>
        <v>0.25</v>
      </c>
      <c r="K1490" t="s">
        <v>101</v>
      </c>
      <c r="L1490">
        <v>1000</v>
      </c>
      <c r="M1490">
        <f t="shared" si="37"/>
        <v>0.25</v>
      </c>
      <c r="N1490" t="s">
        <v>126</v>
      </c>
      <c r="O1490" t="s">
        <v>126</v>
      </c>
      <c r="P1490" t="s">
        <v>941</v>
      </c>
      <c r="Q1490" s="1" t="s">
        <v>2281</v>
      </c>
      <c r="R1490" s="1" t="s">
        <v>2282</v>
      </c>
      <c r="S1490" s="1" t="s">
        <v>126</v>
      </c>
      <c r="T1490" t="s">
        <v>396</v>
      </c>
      <c r="U1490" s="1" t="s">
        <v>2340</v>
      </c>
      <c r="V1490" t="s">
        <v>194</v>
      </c>
      <c r="W1490" t="s">
        <v>356</v>
      </c>
      <c r="X1490" t="s">
        <v>161</v>
      </c>
      <c r="Y1490" t="s">
        <v>2272</v>
      </c>
      <c r="Z1490" t="s">
        <v>2272</v>
      </c>
      <c r="AA1490" t="s">
        <v>2272</v>
      </c>
      <c r="AB1490" t="s">
        <v>2272</v>
      </c>
      <c r="AC1490" t="s">
        <v>162</v>
      </c>
      <c r="AD1490" t="s">
        <v>2272</v>
      </c>
      <c r="AF1490" t="s">
        <v>49</v>
      </c>
      <c r="AI1490" t="s">
        <v>49</v>
      </c>
      <c r="AM1490" t="s">
        <v>201</v>
      </c>
      <c r="AN1490" t="s">
        <v>165</v>
      </c>
      <c r="AQ1490" s="5">
        <v>0</v>
      </c>
    </row>
    <row r="1491" spans="1:45" x14ac:dyDescent="0.2">
      <c r="A1491" t="s">
        <v>938</v>
      </c>
      <c r="B1491" t="s">
        <v>939</v>
      </c>
      <c r="C1491">
        <v>2018</v>
      </c>
      <c r="D1491" t="s">
        <v>44</v>
      </c>
      <c r="F1491" t="s">
        <v>940</v>
      </c>
      <c r="G1491" t="s">
        <v>86</v>
      </c>
      <c r="H1491" t="s">
        <v>96</v>
      </c>
      <c r="I1491">
        <v>2011</v>
      </c>
      <c r="J1491">
        <f t="shared" si="36"/>
        <v>0.25</v>
      </c>
      <c r="K1491" t="s">
        <v>101</v>
      </c>
      <c r="L1491">
        <v>1000</v>
      </c>
      <c r="M1491">
        <f t="shared" si="37"/>
        <v>0.25</v>
      </c>
      <c r="N1491" t="s">
        <v>123</v>
      </c>
      <c r="O1491" t="s">
        <v>123</v>
      </c>
      <c r="P1491" t="s">
        <v>518</v>
      </c>
      <c r="Q1491" s="1" t="s">
        <v>2281</v>
      </c>
      <c r="R1491" s="1" t="s">
        <v>2282</v>
      </c>
      <c r="S1491" s="1" t="s">
        <v>123</v>
      </c>
      <c r="T1491" t="s">
        <v>396</v>
      </c>
      <c r="U1491" s="1" t="s">
        <v>2393</v>
      </c>
      <c r="V1491" t="s">
        <v>194</v>
      </c>
      <c r="W1491" t="s">
        <v>356</v>
      </c>
      <c r="X1491" t="s">
        <v>161</v>
      </c>
      <c r="Y1491" t="s">
        <v>2272</v>
      </c>
      <c r="Z1491" t="s">
        <v>2272</v>
      </c>
      <c r="AA1491" t="s">
        <v>2272</v>
      </c>
      <c r="AB1491" t="s">
        <v>2272</v>
      </c>
      <c r="AC1491" t="s">
        <v>162</v>
      </c>
      <c r="AD1491" t="s">
        <v>2272</v>
      </c>
      <c r="AF1491" t="s">
        <v>49</v>
      </c>
      <c r="AI1491" t="s">
        <v>49</v>
      </c>
      <c r="AM1491" t="s">
        <v>201</v>
      </c>
      <c r="AN1491" t="s">
        <v>165</v>
      </c>
      <c r="AQ1491" s="5">
        <v>0</v>
      </c>
    </row>
    <row r="1492" spans="1:45" x14ac:dyDescent="0.2">
      <c r="A1492" t="s">
        <v>938</v>
      </c>
      <c r="B1492" t="s">
        <v>939</v>
      </c>
      <c r="C1492">
        <v>2018</v>
      </c>
      <c r="D1492" t="s">
        <v>44</v>
      </c>
      <c r="F1492" t="s">
        <v>940</v>
      </c>
      <c r="G1492" t="s">
        <v>86</v>
      </c>
      <c r="H1492" t="s">
        <v>96</v>
      </c>
      <c r="I1492">
        <v>2011</v>
      </c>
      <c r="J1492">
        <f t="shared" si="36"/>
        <v>0.25</v>
      </c>
      <c r="K1492" t="s">
        <v>101</v>
      </c>
      <c r="L1492">
        <v>1000</v>
      </c>
      <c r="M1492">
        <f t="shared" si="37"/>
        <v>0.25</v>
      </c>
      <c r="N1492" t="s">
        <v>126</v>
      </c>
      <c r="O1492" t="s">
        <v>126</v>
      </c>
      <c r="P1492" t="s">
        <v>2571</v>
      </c>
      <c r="Q1492" s="1" t="s">
        <v>2281</v>
      </c>
      <c r="R1492" s="1" t="s">
        <v>2282</v>
      </c>
      <c r="S1492" s="1" t="s">
        <v>126</v>
      </c>
      <c r="V1492" t="s">
        <v>194</v>
      </c>
      <c r="W1492" t="s">
        <v>356</v>
      </c>
      <c r="X1492" t="s">
        <v>189</v>
      </c>
      <c r="Y1492" t="s">
        <v>2279</v>
      </c>
      <c r="Z1492" t="s">
        <v>2280</v>
      </c>
      <c r="AA1492" t="s">
        <v>2358</v>
      </c>
      <c r="AB1492" t="s">
        <v>189</v>
      </c>
      <c r="AC1492" t="s">
        <v>152</v>
      </c>
      <c r="AD1492" t="s">
        <v>2278</v>
      </c>
      <c r="AF1492" t="s">
        <v>49</v>
      </c>
      <c r="AH1492" s="4" t="s">
        <v>49</v>
      </c>
      <c r="AI1492" t="s">
        <v>49</v>
      </c>
      <c r="AM1492" t="s">
        <v>202</v>
      </c>
      <c r="AN1492" t="s">
        <v>154</v>
      </c>
      <c r="AP1492" t="s">
        <v>157</v>
      </c>
    </row>
    <row r="1493" spans="1:45" x14ac:dyDescent="0.2">
      <c r="A1493" t="s">
        <v>938</v>
      </c>
      <c r="B1493" t="s">
        <v>939</v>
      </c>
      <c r="C1493">
        <v>2018</v>
      </c>
      <c r="D1493" t="s">
        <v>44</v>
      </c>
      <c r="F1493" t="s">
        <v>940</v>
      </c>
      <c r="G1493" t="s">
        <v>86</v>
      </c>
      <c r="H1493" t="s">
        <v>96</v>
      </c>
      <c r="I1493">
        <v>2011</v>
      </c>
      <c r="J1493">
        <f t="shared" si="36"/>
        <v>0.25</v>
      </c>
      <c r="K1493" t="s">
        <v>101</v>
      </c>
      <c r="L1493">
        <v>1000</v>
      </c>
      <c r="M1493">
        <f t="shared" si="37"/>
        <v>0.25</v>
      </c>
      <c r="N1493" t="s">
        <v>126</v>
      </c>
      <c r="O1493" t="s">
        <v>126</v>
      </c>
      <c r="P1493" t="s">
        <v>2571</v>
      </c>
      <c r="Q1493" s="1" t="s">
        <v>2281</v>
      </c>
      <c r="R1493" s="1" t="s">
        <v>2282</v>
      </c>
      <c r="S1493" s="1" t="s">
        <v>126</v>
      </c>
      <c r="V1493" t="s">
        <v>194</v>
      </c>
      <c r="W1493" t="s">
        <v>356</v>
      </c>
      <c r="X1493" t="s">
        <v>189</v>
      </c>
      <c r="Y1493" t="s">
        <v>2279</v>
      </c>
      <c r="Z1493" t="s">
        <v>2280</v>
      </c>
      <c r="AA1493" t="s">
        <v>2358</v>
      </c>
      <c r="AB1493" t="s">
        <v>189</v>
      </c>
      <c r="AC1493" t="s">
        <v>152</v>
      </c>
      <c r="AD1493" t="s">
        <v>2278</v>
      </c>
      <c r="AF1493" t="s">
        <v>49</v>
      </c>
      <c r="AH1493" s="4" t="s">
        <v>49</v>
      </c>
      <c r="AI1493" t="s">
        <v>49</v>
      </c>
      <c r="AM1493" t="s">
        <v>201</v>
      </c>
      <c r="AN1493" t="s">
        <v>154</v>
      </c>
      <c r="AP1493" t="s">
        <v>157</v>
      </c>
    </row>
    <row r="1494" spans="1:45" x14ac:dyDescent="0.2">
      <c r="A1494" t="s">
        <v>942</v>
      </c>
      <c r="B1494" t="s">
        <v>943</v>
      </c>
      <c r="C1494">
        <v>2018</v>
      </c>
      <c r="D1494" t="s">
        <v>44</v>
      </c>
      <c r="F1494" t="s">
        <v>83</v>
      </c>
      <c r="G1494" t="s">
        <v>85</v>
      </c>
      <c r="H1494" t="s">
        <v>96</v>
      </c>
      <c r="I1494">
        <v>2014</v>
      </c>
      <c r="K1494" t="s">
        <v>101</v>
      </c>
      <c r="L1494">
        <v>175</v>
      </c>
      <c r="N1494" t="s">
        <v>466</v>
      </c>
      <c r="O1494" t="s">
        <v>944</v>
      </c>
      <c r="P1494" t="s">
        <v>691</v>
      </c>
      <c r="Q1494" s="1" t="s">
        <v>2281</v>
      </c>
      <c r="R1494" s="1" t="s">
        <v>2301</v>
      </c>
      <c r="S1494" s="1" t="s">
        <v>2303</v>
      </c>
      <c r="X1494" t="s">
        <v>211</v>
      </c>
      <c r="Y1494" t="s">
        <v>2279</v>
      </c>
      <c r="Z1494" t="s">
        <v>2280</v>
      </c>
      <c r="AA1494" t="s">
        <v>2358</v>
      </c>
      <c r="AB1494" t="s">
        <v>2290</v>
      </c>
      <c r="AC1494" t="s">
        <v>152</v>
      </c>
      <c r="AD1494" t="s">
        <v>2278</v>
      </c>
      <c r="AE1494" t="s">
        <v>947</v>
      </c>
      <c r="AF1494" t="s">
        <v>49</v>
      </c>
      <c r="AL1494" t="s">
        <v>49</v>
      </c>
      <c r="AM1494" t="s">
        <v>949</v>
      </c>
      <c r="AN1494" t="s">
        <v>166</v>
      </c>
      <c r="AP1494" t="s">
        <v>157</v>
      </c>
    </row>
    <row r="1495" spans="1:45" x14ac:dyDescent="0.2">
      <c r="A1495" t="s">
        <v>942</v>
      </c>
      <c r="B1495" t="s">
        <v>943</v>
      </c>
      <c r="C1495">
        <v>2018</v>
      </c>
      <c r="D1495" t="s">
        <v>44</v>
      </c>
      <c r="F1495" t="s">
        <v>83</v>
      </c>
      <c r="G1495" t="s">
        <v>85</v>
      </c>
      <c r="H1495" t="s">
        <v>96</v>
      </c>
      <c r="I1495">
        <v>2014</v>
      </c>
      <c r="K1495" t="s">
        <v>101</v>
      </c>
      <c r="L1495">
        <v>175</v>
      </c>
      <c r="N1495" t="s">
        <v>466</v>
      </c>
      <c r="O1495" t="s">
        <v>944</v>
      </c>
      <c r="P1495" t="s">
        <v>691</v>
      </c>
      <c r="Q1495" s="1" t="s">
        <v>2281</v>
      </c>
      <c r="R1495" s="1" t="s">
        <v>2301</v>
      </c>
      <c r="S1495" s="1" t="s">
        <v>2303</v>
      </c>
      <c r="X1495" t="s">
        <v>945</v>
      </c>
      <c r="Y1495" t="s">
        <v>2279</v>
      </c>
      <c r="Z1495" t="s">
        <v>2280</v>
      </c>
      <c r="AA1495" t="s">
        <v>2358</v>
      </c>
      <c r="AB1495" t="s">
        <v>2459</v>
      </c>
      <c r="AC1495" t="s">
        <v>152</v>
      </c>
      <c r="AD1495" t="s">
        <v>2278</v>
      </c>
    </row>
    <row r="1496" spans="1:45" x14ac:dyDescent="0.2">
      <c r="A1496" t="s">
        <v>942</v>
      </c>
      <c r="B1496" t="s">
        <v>943</v>
      </c>
      <c r="C1496">
        <v>2018</v>
      </c>
      <c r="D1496" t="s">
        <v>44</v>
      </c>
      <c r="F1496" t="s">
        <v>83</v>
      </c>
      <c r="G1496" t="s">
        <v>85</v>
      </c>
      <c r="H1496" t="s">
        <v>96</v>
      </c>
      <c r="I1496">
        <v>2014</v>
      </c>
      <c r="K1496" t="s">
        <v>101</v>
      </c>
      <c r="L1496">
        <v>175</v>
      </c>
      <c r="N1496" t="s">
        <v>466</v>
      </c>
      <c r="O1496" t="s">
        <v>944</v>
      </c>
      <c r="P1496" t="s">
        <v>691</v>
      </c>
      <c r="Q1496" s="1" t="s">
        <v>2281</v>
      </c>
      <c r="R1496" s="1" t="s">
        <v>2301</v>
      </c>
      <c r="S1496" s="1" t="s">
        <v>2303</v>
      </c>
      <c r="X1496" t="s">
        <v>946</v>
      </c>
      <c r="Y1496" t="s">
        <v>2279</v>
      </c>
      <c r="Z1496" t="s">
        <v>2280</v>
      </c>
      <c r="AA1496" t="s">
        <v>2358</v>
      </c>
      <c r="AB1496" t="s">
        <v>2459</v>
      </c>
      <c r="AC1496" t="s">
        <v>152</v>
      </c>
      <c r="AD1496" t="s">
        <v>2278</v>
      </c>
    </row>
    <row r="1497" spans="1:45" x14ac:dyDescent="0.2">
      <c r="A1497" t="s">
        <v>942</v>
      </c>
      <c r="B1497" t="s">
        <v>943</v>
      </c>
      <c r="C1497">
        <v>2018</v>
      </c>
      <c r="D1497" t="s">
        <v>44</v>
      </c>
      <c r="F1497" t="s">
        <v>83</v>
      </c>
      <c r="G1497" t="s">
        <v>85</v>
      </c>
      <c r="H1497" t="s">
        <v>96</v>
      </c>
      <c r="I1497">
        <v>2014</v>
      </c>
      <c r="K1497" t="s">
        <v>101</v>
      </c>
      <c r="L1497">
        <v>175</v>
      </c>
      <c r="N1497" t="s">
        <v>466</v>
      </c>
      <c r="O1497" t="s">
        <v>944</v>
      </c>
      <c r="P1497" t="s">
        <v>691</v>
      </c>
      <c r="Q1497" s="1" t="s">
        <v>2281</v>
      </c>
      <c r="R1497" s="1" t="s">
        <v>2301</v>
      </c>
      <c r="S1497" s="1" t="s">
        <v>2303</v>
      </c>
      <c r="X1497" t="s">
        <v>886</v>
      </c>
      <c r="Y1497" t="s">
        <v>2279</v>
      </c>
      <c r="Z1497" t="s">
        <v>2280</v>
      </c>
      <c r="AA1497" t="s">
        <v>2358</v>
      </c>
      <c r="AB1497" t="s">
        <v>2459</v>
      </c>
      <c r="AC1497" t="s">
        <v>315</v>
      </c>
      <c r="AD1497" t="s">
        <v>2278</v>
      </c>
      <c r="AE1497" t="s">
        <v>948</v>
      </c>
      <c r="AF1497" t="s">
        <v>49</v>
      </c>
      <c r="AL1497" t="s">
        <v>49</v>
      </c>
      <c r="AM1497" t="s">
        <v>949</v>
      </c>
      <c r="AN1497" t="s">
        <v>166</v>
      </c>
      <c r="AP1497" t="s">
        <v>49</v>
      </c>
    </row>
    <row r="1498" spans="1:45" x14ac:dyDescent="0.2">
      <c r="A1498" t="s">
        <v>942</v>
      </c>
      <c r="B1498" t="s">
        <v>943</v>
      </c>
      <c r="C1498">
        <v>2018</v>
      </c>
      <c r="D1498" t="s">
        <v>44</v>
      </c>
      <c r="F1498" t="s">
        <v>83</v>
      </c>
      <c r="G1498" t="s">
        <v>85</v>
      </c>
      <c r="H1498" t="s">
        <v>96</v>
      </c>
      <c r="I1498">
        <v>2014</v>
      </c>
      <c r="K1498" t="s">
        <v>101</v>
      </c>
      <c r="L1498">
        <v>175</v>
      </c>
      <c r="N1498" t="s">
        <v>466</v>
      </c>
      <c r="O1498" t="s">
        <v>944</v>
      </c>
      <c r="P1498" t="s">
        <v>691</v>
      </c>
      <c r="Q1498" s="1" t="s">
        <v>2281</v>
      </c>
      <c r="R1498" s="1" t="s">
        <v>2301</v>
      </c>
      <c r="S1498" s="1" t="s">
        <v>2303</v>
      </c>
      <c r="T1498" t="s">
        <v>421</v>
      </c>
      <c r="U1498" t="s">
        <v>421</v>
      </c>
      <c r="X1498" t="s">
        <v>161</v>
      </c>
      <c r="Y1498" t="s">
        <v>2272</v>
      </c>
      <c r="Z1498" t="s">
        <v>2272</v>
      </c>
      <c r="AA1498" t="s">
        <v>2272</v>
      </c>
      <c r="AB1498" t="s">
        <v>2272</v>
      </c>
      <c r="AC1498" t="s">
        <v>162</v>
      </c>
      <c r="AD1498" t="s">
        <v>2272</v>
      </c>
      <c r="AF1498" t="s">
        <v>49</v>
      </c>
      <c r="AL1498" t="s">
        <v>49</v>
      </c>
      <c r="AM1498" t="s">
        <v>949</v>
      </c>
      <c r="AN1498" t="s">
        <v>166</v>
      </c>
      <c r="AQ1498" s="5">
        <v>0</v>
      </c>
    </row>
    <row r="1499" spans="1:45" x14ac:dyDescent="0.2">
      <c r="A1499" t="s">
        <v>950</v>
      </c>
      <c r="B1499" t="s">
        <v>951</v>
      </c>
      <c r="C1499">
        <v>2018</v>
      </c>
      <c r="D1499" t="s">
        <v>44</v>
      </c>
      <c r="E1499" t="s">
        <v>49</v>
      </c>
      <c r="F1499" t="s">
        <v>952</v>
      </c>
      <c r="G1499" t="s">
        <v>91</v>
      </c>
      <c r="H1499" t="s">
        <v>350</v>
      </c>
      <c r="I1499">
        <v>2012</v>
      </c>
      <c r="J1499">
        <f>3/12</f>
        <v>0.25</v>
      </c>
      <c r="K1499" t="s">
        <v>104</v>
      </c>
      <c r="L1499">
        <v>20</v>
      </c>
      <c r="M1499">
        <v>0.28000000000000003</v>
      </c>
      <c r="N1499" t="s">
        <v>121</v>
      </c>
      <c r="O1499" t="s">
        <v>264</v>
      </c>
      <c r="P1499" t="s">
        <v>286</v>
      </c>
      <c r="Q1499" s="1" t="s">
        <v>2272</v>
      </c>
      <c r="R1499" s="1" t="s">
        <v>2272</v>
      </c>
      <c r="S1499" s="1" t="s">
        <v>2272</v>
      </c>
      <c r="X1499" t="s">
        <v>267</v>
      </c>
      <c r="Y1499" t="s">
        <v>2272</v>
      </c>
      <c r="Z1499" t="s">
        <v>2272</v>
      </c>
      <c r="AA1499" t="s">
        <v>2272</v>
      </c>
      <c r="AB1499" t="s">
        <v>2272</v>
      </c>
      <c r="AC1499" t="s">
        <v>152</v>
      </c>
      <c r="AD1499" t="s">
        <v>2272</v>
      </c>
      <c r="AE1499" t="s">
        <v>947</v>
      </c>
      <c r="AR1499" t="s">
        <v>144</v>
      </c>
      <c r="AS1499" t="s">
        <v>2585</v>
      </c>
    </row>
    <row r="1500" spans="1:45" x14ac:dyDescent="0.2">
      <c r="A1500" t="s">
        <v>953</v>
      </c>
      <c r="B1500" t="s">
        <v>954</v>
      </c>
      <c r="C1500">
        <v>2018</v>
      </c>
      <c r="D1500" t="s">
        <v>44</v>
      </c>
      <c r="F1500" t="s">
        <v>955</v>
      </c>
      <c r="G1500" t="s">
        <v>85</v>
      </c>
      <c r="H1500" t="s">
        <v>96</v>
      </c>
      <c r="I1500">
        <v>2015</v>
      </c>
      <c r="J1500">
        <v>0.57999999999999996</v>
      </c>
      <c r="K1500" t="s">
        <v>101</v>
      </c>
      <c r="M1500">
        <f>0.5*0.5</f>
        <v>0.25</v>
      </c>
      <c r="N1500" t="s">
        <v>123</v>
      </c>
      <c r="O1500" t="s">
        <v>123</v>
      </c>
      <c r="P1500" t="s">
        <v>959</v>
      </c>
      <c r="Q1500" s="1" t="s">
        <v>2281</v>
      </c>
      <c r="R1500" s="1" t="s">
        <v>2282</v>
      </c>
      <c r="S1500" s="1" t="s">
        <v>123</v>
      </c>
      <c r="X1500" t="s">
        <v>211</v>
      </c>
      <c r="Y1500" t="s">
        <v>2279</v>
      </c>
      <c r="Z1500" t="s">
        <v>2280</v>
      </c>
      <c r="AA1500" t="s">
        <v>2358</v>
      </c>
      <c r="AB1500" t="s">
        <v>2290</v>
      </c>
      <c r="AC1500" t="s">
        <v>152</v>
      </c>
      <c r="AD1500" t="s">
        <v>2278</v>
      </c>
    </row>
    <row r="1501" spans="1:45" x14ac:dyDescent="0.2">
      <c r="A1501" t="s">
        <v>953</v>
      </c>
      <c r="B1501" t="s">
        <v>954</v>
      </c>
      <c r="C1501">
        <v>2018</v>
      </c>
      <c r="D1501" t="s">
        <v>44</v>
      </c>
      <c r="F1501" t="s">
        <v>955</v>
      </c>
      <c r="G1501" t="s">
        <v>85</v>
      </c>
      <c r="H1501" t="s">
        <v>96</v>
      </c>
      <c r="I1501">
        <v>2015</v>
      </c>
      <c r="J1501">
        <v>0.57999999999999996</v>
      </c>
      <c r="K1501" t="s">
        <v>101</v>
      </c>
      <c r="M1501">
        <f>0.5*0.5</f>
        <v>0.25</v>
      </c>
      <c r="N1501" t="s">
        <v>120</v>
      </c>
      <c r="O1501" t="s">
        <v>252</v>
      </c>
      <c r="P1501" t="s">
        <v>910</v>
      </c>
      <c r="Q1501" s="1" t="s">
        <v>2276</v>
      </c>
      <c r="R1501" s="1" t="s">
        <v>669</v>
      </c>
      <c r="S1501" s="1" t="s">
        <v>168</v>
      </c>
      <c r="X1501" t="s">
        <v>211</v>
      </c>
      <c r="Y1501" t="s">
        <v>2279</v>
      </c>
      <c r="Z1501" t="s">
        <v>2280</v>
      </c>
      <c r="AA1501" t="s">
        <v>2358</v>
      </c>
      <c r="AB1501" t="s">
        <v>2290</v>
      </c>
      <c r="AC1501" t="s">
        <v>152</v>
      </c>
      <c r="AD1501" t="s">
        <v>2278</v>
      </c>
    </row>
    <row r="1502" spans="1:45" x14ac:dyDescent="0.2">
      <c r="A1502" t="s">
        <v>953</v>
      </c>
      <c r="B1502" t="s">
        <v>954</v>
      </c>
      <c r="C1502">
        <v>2018</v>
      </c>
      <c r="D1502" t="s">
        <v>44</v>
      </c>
      <c r="F1502" t="s">
        <v>955</v>
      </c>
      <c r="G1502" t="s">
        <v>85</v>
      </c>
      <c r="H1502" t="s">
        <v>96</v>
      </c>
      <c r="I1502" t="s">
        <v>960</v>
      </c>
      <c r="J1502">
        <v>2.9</v>
      </c>
      <c r="K1502" t="s">
        <v>109</v>
      </c>
      <c r="M1502">
        <v>1</v>
      </c>
      <c r="N1502" t="s">
        <v>123</v>
      </c>
      <c r="O1502" t="s">
        <v>123</v>
      </c>
      <c r="P1502" t="s">
        <v>959</v>
      </c>
      <c r="Q1502" s="1" t="s">
        <v>2281</v>
      </c>
      <c r="R1502" s="1" t="s">
        <v>2282</v>
      </c>
      <c r="S1502" s="1" t="s">
        <v>123</v>
      </c>
      <c r="X1502" t="s">
        <v>211</v>
      </c>
      <c r="Y1502" t="s">
        <v>2279</v>
      </c>
      <c r="Z1502" t="s">
        <v>2280</v>
      </c>
      <c r="AA1502" t="s">
        <v>2358</v>
      </c>
      <c r="AB1502" t="s">
        <v>2290</v>
      </c>
      <c r="AC1502" t="s">
        <v>152</v>
      </c>
      <c r="AD1502" t="s">
        <v>2278</v>
      </c>
    </row>
    <row r="1503" spans="1:45" x14ac:dyDescent="0.2">
      <c r="A1503" t="s">
        <v>953</v>
      </c>
      <c r="B1503" t="s">
        <v>954</v>
      </c>
      <c r="C1503">
        <v>2018</v>
      </c>
      <c r="D1503" t="s">
        <v>44</v>
      </c>
      <c r="F1503" t="s">
        <v>955</v>
      </c>
      <c r="G1503" t="s">
        <v>85</v>
      </c>
      <c r="H1503" t="s">
        <v>96</v>
      </c>
      <c r="I1503" t="s">
        <v>960</v>
      </c>
      <c r="J1503">
        <v>2.9</v>
      </c>
      <c r="K1503" t="s">
        <v>109</v>
      </c>
      <c r="M1503">
        <v>1</v>
      </c>
      <c r="N1503" t="s">
        <v>120</v>
      </c>
      <c r="O1503" t="s">
        <v>252</v>
      </c>
      <c r="P1503" t="s">
        <v>910</v>
      </c>
      <c r="Q1503" s="1" t="s">
        <v>2276</v>
      </c>
      <c r="R1503" s="1" t="s">
        <v>669</v>
      </c>
      <c r="S1503" s="1" t="s">
        <v>168</v>
      </c>
      <c r="X1503" t="s">
        <v>211</v>
      </c>
      <c r="Y1503" t="s">
        <v>2279</v>
      </c>
      <c r="Z1503" t="s">
        <v>2280</v>
      </c>
      <c r="AA1503" t="s">
        <v>2358</v>
      </c>
      <c r="AB1503" t="s">
        <v>2290</v>
      </c>
      <c r="AC1503" t="s">
        <v>152</v>
      </c>
      <c r="AD1503" t="s">
        <v>2278</v>
      </c>
      <c r="AE1503" t="s">
        <v>961</v>
      </c>
    </row>
    <row r="1504" spans="1:45" x14ac:dyDescent="0.2">
      <c r="A1504" t="s">
        <v>953</v>
      </c>
      <c r="B1504" t="s">
        <v>954</v>
      </c>
      <c r="C1504">
        <v>2018</v>
      </c>
      <c r="D1504" t="s">
        <v>44</v>
      </c>
      <c r="F1504" t="s">
        <v>955</v>
      </c>
      <c r="G1504" t="s">
        <v>85</v>
      </c>
      <c r="H1504" t="s">
        <v>96</v>
      </c>
      <c r="I1504">
        <v>2017</v>
      </c>
      <c r="J1504">
        <v>0</v>
      </c>
      <c r="K1504" t="s">
        <v>101</v>
      </c>
      <c r="M1504">
        <f>5*5</f>
        <v>25</v>
      </c>
      <c r="N1504" t="s">
        <v>120</v>
      </c>
      <c r="O1504" t="s">
        <v>252</v>
      </c>
      <c r="P1504" t="s">
        <v>910</v>
      </c>
      <c r="Q1504" s="1" t="s">
        <v>2276</v>
      </c>
      <c r="R1504" s="1" t="s">
        <v>669</v>
      </c>
      <c r="S1504" s="1" t="s">
        <v>168</v>
      </c>
      <c r="X1504" t="s">
        <v>293</v>
      </c>
      <c r="Y1504" t="s">
        <v>2273</v>
      </c>
      <c r="Z1504" t="s">
        <v>249</v>
      </c>
      <c r="AA1504" t="s">
        <v>2359</v>
      </c>
      <c r="AB1504" t="s">
        <v>1419</v>
      </c>
      <c r="AC1504" t="s">
        <v>152</v>
      </c>
      <c r="AD1504" t="s">
        <v>137</v>
      </c>
    </row>
    <row r="1505" spans="1:44" x14ac:dyDescent="0.2">
      <c r="A1505" t="s">
        <v>953</v>
      </c>
      <c r="B1505" t="s">
        <v>954</v>
      </c>
      <c r="C1505">
        <v>2018</v>
      </c>
      <c r="D1505" t="s">
        <v>44</v>
      </c>
      <c r="F1505" t="s">
        <v>955</v>
      </c>
      <c r="G1505" t="s">
        <v>85</v>
      </c>
      <c r="H1505" t="s">
        <v>96</v>
      </c>
      <c r="I1505">
        <v>2017</v>
      </c>
      <c r="J1505">
        <v>0</v>
      </c>
      <c r="K1505" t="s">
        <v>101</v>
      </c>
      <c r="N1505" t="s">
        <v>120</v>
      </c>
      <c r="O1505" t="s">
        <v>252</v>
      </c>
      <c r="P1505" t="s">
        <v>910</v>
      </c>
      <c r="Q1505" s="1" t="s">
        <v>2276</v>
      </c>
      <c r="R1505" s="1" t="s">
        <v>669</v>
      </c>
      <c r="S1505" s="1" t="s">
        <v>168</v>
      </c>
      <c r="X1505" t="s">
        <v>962</v>
      </c>
      <c r="Y1505" t="s">
        <v>2273</v>
      </c>
      <c r="Z1505" t="s">
        <v>249</v>
      </c>
      <c r="AA1505" t="s">
        <v>2359</v>
      </c>
      <c r="AB1505" t="s">
        <v>1979</v>
      </c>
      <c r="AC1505" t="s">
        <v>152</v>
      </c>
      <c r="AD1505" t="s">
        <v>2288</v>
      </c>
      <c r="AF1505" t="s">
        <v>49</v>
      </c>
      <c r="AI1505" t="s">
        <v>49</v>
      </c>
      <c r="AM1505" t="s">
        <v>963</v>
      </c>
      <c r="AN1505" t="s">
        <v>166</v>
      </c>
      <c r="AP1505" t="s">
        <v>157</v>
      </c>
    </row>
    <row r="1506" spans="1:44" x14ac:dyDescent="0.2">
      <c r="A1506" t="s">
        <v>953</v>
      </c>
      <c r="B1506" t="s">
        <v>954</v>
      </c>
      <c r="C1506">
        <v>2018</v>
      </c>
      <c r="D1506" t="s">
        <v>44</v>
      </c>
      <c r="F1506" t="s">
        <v>955</v>
      </c>
      <c r="G1506" t="s">
        <v>85</v>
      </c>
      <c r="H1506" t="s">
        <v>96</v>
      </c>
      <c r="I1506">
        <v>2017</v>
      </c>
      <c r="J1506">
        <v>0</v>
      </c>
      <c r="K1506" t="s">
        <v>101</v>
      </c>
      <c r="N1506" t="s">
        <v>120</v>
      </c>
      <c r="O1506" t="s">
        <v>252</v>
      </c>
      <c r="P1506" t="s">
        <v>910</v>
      </c>
      <c r="Q1506" s="1" t="s">
        <v>2276</v>
      </c>
      <c r="R1506" s="1" t="s">
        <v>669</v>
      </c>
      <c r="S1506" s="1" t="s">
        <v>168</v>
      </c>
      <c r="X1506" t="s">
        <v>962</v>
      </c>
      <c r="Y1506" t="s">
        <v>2273</v>
      </c>
      <c r="Z1506" t="s">
        <v>249</v>
      </c>
      <c r="AA1506" t="s">
        <v>2359</v>
      </c>
      <c r="AB1506" t="s">
        <v>1979</v>
      </c>
      <c r="AC1506" t="s">
        <v>152</v>
      </c>
      <c r="AD1506" t="s">
        <v>2288</v>
      </c>
      <c r="AF1506" t="s">
        <v>49</v>
      </c>
      <c r="AI1506" t="s">
        <v>49</v>
      </c>
      <c r="AM1506" t="s">
        <v>963</v>
      </c>
      <c r="AN1506" t="s">
        <v>154</v>
      </c>
      <c r="AP1506" t="s">
        <v>157</v>
      </c>
    </row>
    <row r="1507" spans="1:44" x14ac:dyDescent="0.2">
      <c r="A1507" t="s">
        <v>953</v>
      </c>
      <c r="B1507" t="s">
        <v>954</v>
      </c>
      <c r="C1507">
        <v>2018</v>
      </c>
      <c r="D1507" t="s">
        <v>44</v>
      </c>
      <c r="F1507" t="s">
        <v>955</v>
      </c>
      <c r="G1507" t="s">
        <v>85</v>
      </c>
      <c r="H1507" t="s">
        <v>96</v>
      </c>
      <c r="I1507">
        <v>2017</v>
      </c>
      <c r="J1507">
        <v>0</v>
      </c>
      <c r="K1507" t="s">
        <v>101</v>
      </c>
      <c r="N1507" t="s">
        <v>120</v>
      </c>
      <c r="O1507" t="s">
        <v>252</v>
      </c>
      <c r="P1507" t="s">
        <v>910</v>
      </c>
      <c r="Q1507" s="1" t="s">
        <v>2276</v>
      </c>
      <c r="R1507" s="1" t="s">
        <v>669</v>
      </c>
      <c r="S1507" s="1" t="s">
        <v>168</v>
      </c>
      <c r="X1507" t="s">
        <v>962</v>
      </c>
      <c r="Y1507" t="s">
        <v>2273</v>
      </c>
      <c r="Z1507" t="s">
        <v>249</v>
      </c>
      <c r="AA1507" t="s">
        <v>2359</v>
      </c>
      <c r="AB1507" t="s">
        <v>1979</v>
      </c>
      <c r="AC1507" t="s">
        <v>152</v>
      </c>
      <c r="AD1507" t="s">
        <v>2288</v>
      </c>
      <c r="AF1507" t="s">
        <v>49</v>
      </c>
      <c r="AI1507" t="s">
        <v>49</v>
      </c>
      <c r="AM1507" t="s">
        <v>963</v>
      </c>
      <c r="AN1507" t="s">
        <v>165</v>
      </c>
      <c r="AP1507" t="s">
        <v>49</v>
      </c>
    </row>
    <row r="1508" spans="1:44" x14ac:dyDescent="0.2">
      <c r="A1508" t="s">
        <v>953</v>
      </c>
      <c r="B1508" t="s">
        <v>954</v>
      </c>
      <c r="C1508">
        <v>2018</v>
      </c>
      <c r="D1508" t="s">
        <v>44</v>
      </c>
      <c r="F1508" t="s">
        <v>955</v>
      </c>
      <c r="G1508" t="s">
        <v>85</v>
      </c>
      <c r="H1508" t="s">
        <v>96</v>
      </c>
      <c r="I1508">
        <v>2017</v>
      </c>
      <c r="J1508">
        <v>0</v>
      </c>
      <c r="K1508" t="s">
        <v>101</v>
      </c>
      <c r="N1508" t="s">
        <v>120</v>
      </c>
      <c r="O1508" t="s">
        <v>252</v>
      </c>
      <c r="P1508" t="s">
        <v>910</v>
      </c>
      <c r="Q1508" s="1" t="s">
        <v>2276</v>
      </c>
      <c r="R1508" s="1" t="s">
        <v>669</v>
      </c>
      <c r="S1508" s="1" t="s">
        <v>168</v>
      </c>
      <c r="X1508" t="s">
        <v>962</v>
      </c>
      <c r="Y1508" t="s">
        <v>2273</v>
      </c>
      <c r="Z1508" t="s">
        <v>249</v>
      </c>
      <c r="AA1508" t="s">
        <v>2359</v>
      </c>
      <c r="AB1508" t="s">
        <v>1979</v>
      </c>
      <c r="AC1508" t="s">
        <v>152</v>
      </c>
      <c r="AD1508" t="s">
        <v>2288</v>
      </c>
      <c r="AF1508" t="s">
        <v>49</v>
      </c>
      <c r="AK1508" t="s">
        <v>49</v>
      </c>
      <c r="AM1508" t="s">
        <v>723</v>
      </c>
      <c r="AN1508" t="s">
        <v>166</v>
      </c>
      <c r="AP1508" t="s">
        <v>157</v>
      </c>
    </row>
    <row r="1509" spans="1:44" x14ac:dyDescent="0.2">
      <c r="A1509" t="s">
        <v>953</v>
      </c>
      <c r="B1509" t="s">
        <v>954</v>
      </c>
      <c r="C1509">
        <v>2018</v>
      </c>
      <c r="D1509" t="s">
        <v>44</v>
      </c>
      <c r="F1509" t="s">
        <v>955</v>
      </c>
      <c r="G1509" t="s">
        <v>85</v>
      </c>
      <c r="H1509" t="s">
        <v>96</v>
      </c>
      <c r="I1509">
        <v>2017</v>
      </c>
      <c r="J1509">
        <v>0</v>
      </c>
      <c r="K1509" t="s">
        <v>101</v>
      </c>
      <c r="N1509" t="s">
        <v>120</v>
      </c>
      <c r="O1509" t="s">
        <v>252</v>
      </c>
      <c r="P1509" t="s">
        <v>910</v>
      </c>
      <c r="Q1509" s="1" t="s">
        <v>2276</v>
      </c>
      <c r="R1509" s="1" t="s">
        <v>669</v>
      </c>
      <c r="S1509" s="1" t="s">
        <v>168</v>
      </c>
      <c r="X1509" t="s">
        <v>962</v>
      </c>
      <c r="Y1509" t="s">
        <v>2273</v>
      </c>
      <c r="Z1509" t="s">
        <v>249</v>
      </c>
      <c r="AA1509" t="s">
        <v>2359</v>
      </c>
      <c r="AB1509" t="s">
        <v>1979</v>
      </c>
      <c r="AC1509" t="s">
        <v>152</v>
      </c>
      <c r="AD1509" t="s">
        <v>2288</v>
      </c>
      <c r="AF1509" t="s">
        <v>49</v>
      </c>
      <c r="AK1509" t="s">
        <v>49</v>
      </c>
      <c r="AM1509" t="s">
        <v>723</v>
      </c>
      <c r="AN1509" t="s">
        <v>154</v>
      </c>
      <c r="AP1509" t="s">
        <v>157</v>
      </c>
    </row>
    <row r="1510" spans="1:44" x14ac:dyDescent="0.2">
      <c r="A1510" t="s">
        <v>953</v>
      </c>
      <c r="B1510" t="s">
        <v>954</v>
      </c>
      <c r="C1510">
        <v>2018</v>
      </c>
      <c r="D1510" t="s">
        <v>44</v>
      </c>
      <c r="F1510" t="s">
        <v>955</v>
      </c>
      <c r="G1510" t="s">
        <v>85</v>
      </c>
      <c r="H1510" t="s">
        <v>96</v>
      </c>
      <c r="I1510">
        <v>2017</v>
      </c>
      <c r="J1510">
        <v>0</v>
      </c>
      <c r="K1510" t="s">
        <v>101</v>
      </c>
      <c r="N1510" t="s">
        <v>120</v>
      </c>
      <c r="O1510" t="s">
        <v>252</v>
      </c>
      <c r="P1510" t="s">
        <v>910</v>
      </c>
      <c r="Q1510" s="1" t="s">
        <v>2276</v>
      </c>
      <c r="R1510" s="1" t="s">
        <v>669</v>
      </c>
      <c r="S1510" s="1" t="s">
        <v>168</v>
      </c>
      <c r="X1510" t="s">
        <v>962</v>
      </c>
      <c r="Y1510" t="s">
        <v>2273</v>
      </c>
      <c r="Z1510" t="s">
        <v>249</v>
      </c>
      <c r="AA1510" t="s">
        <v>2359</v>
      </c>
      <c r="AB1510" t="s">
        <v>1979</v>
      </c>
      <c r="AC1510" t="s">
        <v>152</v>
      </c>
      <c r="AD1510" t="s">
        <v>2288</v>
      </c>
      <c r="AF1510" t="s">
        <v>49</v>
      </c>
      <c r="AK1510" t="s">
        <v>49</v>
      </c>
      <c r="AM1510" t="s">
        <v>723</v>
      </c>
      <c r="AN1510" t="s">
        <v>165</v>
      </c>
      <c r="AP1510" t="s">
        <v>49</v>
      </c>
    </row>
    <row r="1511" spans="1:44" x14ac:dyDescent="0.2">
      <c r="A1511" t="s">
        <v>972</v>
      </c>
      <c r="B1511" t="s">
        <v>964</v>
      </c>
      <c r="C1511">
        <v>2018</v>
      </c>
      <c r="D1511" t="s">
        <v>44</v>
      </c>
      <c r="E1511" t="s">
        <v>49</v>
      </c>
      <c r="F1511" t="s">
        <v>710</v>
      </c>
      <c r="G1511" t="s">
        <v>86</v>
      </c>
      <c r="H1511" t="s">
        <v>350</v>
      </c>
      <c r="I1511" t="s">
        <v>965</v>
      </c>
      <c r="J1511">
        <v>34</v>
      </c>
      <c r="K1511" t="s">
        <v>109</v>
      </c>
      <c r="L1511">
        <v>160</v>
      </c>
      <c r="N1511" t="s">
        <v>120</v>
      </c>
      <c r="O1511" t="s">
        <v>252</v>
      </c>
      <c r="P1511" t="s">
        <v>966</v>
      </c>
      <c r="Q1511" s="1" t="s">
        <v>2276</v>
      </c>
      <c r="R1511" s="1" t="s">
        <v>669</v>
      </c>
      <c r="S1511" s="1" t="s">
        <v>168</v>
      </c>
      <c r="X1511" t="s">
        <v>189</v>
      </c>
      <c r="Y1511" t="s">
        <v>2279</v>
      </c>
      <c r="Z1511" t="s">
        <v>2280</v>
      </c>
      <c r="AA1511" t="s">
        <v>2358</v>
      </c>
      <c r="AB1511" t="s">
        <v>189</v>
      </c>
      <c r="AC1511" t="s">
        <v>152</v>
      </c>
      <c r="AD1511" t="s">
        <v>2278</v>
      </c>
      <c r="AR1511">
        <v>1</v>
      </c>
    </row>
    <row r="1512" spans="1:44" x14ac:dyDescent="0.2">
      <c r="A1512" t="s">
        <v>972</v>
      </c>
      <c r="B1512" t="s">
        <v>964</v>
      </c>
      <c r="C1512">
        <v>2018</v>
      </c>
      <c r="D1512" t="s">
        <v>44</v>
      </c>
      <c r="E1512" t="s">
        <v>49</v>
      </c>
      <c r="F1512" t="s">
        <v>710</v>
      </c>
      <c r="G1512" t="s">
        <v>86</v>
      </c>
      <c r="H1512" t="s">
        <v>350</v>
      </c>
      <c r="I1512">
        <v>2014</v>
      </c>
      <c r="J1512">
        <f t="shared" ref="J1512:J1526" si="38">3/12</f>
        <v>0.25</v>
      </c>
      <c r="K1512" t="s">
        <v>109</v>
      </c>
      <c r="M1512">
        <v>0</v>
      </c>
      <c r="N1512" t="s">
        <v>120</v>
      </c>
      <c r="O1512" t="s">
        <v>252</v>
      </c>
      <c r="P1512" t="s">
        <v>966</v>
      </c>
      <c r="Q1512" s="1" t="s">
        <v>2276</v>
      </c>
      <c r="R1512" s="1" t="s">
        <v>669</v>
      </c>
      <c r="S1512" s="1" t="s">
        <v>168</v>
      </c>
      <c r="X1512" t="s">
        <v>322</v>
      </c>
      <c r="Y1512" t="s">
        <v>2273</v>
      </c>
      <c r="Z1512" t="s">
        <v>249</v>
      </c>
      <c r="AA1512" t="s">
        <v>2359</v>
      </c>
      <c r="AB1512" t="s">
        <v>2285</v>
      </c>
      <c r="AC1512" t="s">
        <v>152</v>
      </c>
      <c r="AD1512" t="s">
        <v>2288</v>
      </c>
      <c r="AR1512">
        <v>1</v>
      </c>
    </row>
    <row r="1513" spans="1:44" x14ac:dyDescent="0.2">
      <c r="A1513" t="s">
        <v>972</v>
      </c>
      <c r="B1513" t="s">
        <v>964</v>
      </c>
      <c r="C1513">
        <v>2018</v>
      </c>
      <c r="D1513" t="s">
        <v>44</v>
      </c>
      <c r="E1513" t="s">
        <v>49</v>
      </c>
      <c r="F1513" t="s">
        <v>710</v>
      </c>
      <c r="G1513" t="s">
        <v>86</v>
      </c>
      <c r="H1513" t="s">
        <v>350</v>
      </c>
      <c r="I1513">
        <v>2014</v>
      </c>
      <c r="J1513">
        <f t="shared" si="38"/>
        <v>0.25</v>
      </c>
      <c r="K1513" t="s">
        <v>109</v>
      </c>
      <c r="M1513">
        <v>0</v>
      </c>
      <c r="N1513" t="s">
        <v>120</v>
      </c>
      <c r="O1513" t="s">
        <v>252</v>
      </c>
      <c r="P1513" t="s">
        <v>966</v>
      </c>
      <c r="Q1513" s="1" t="s">
        <v>2276</v>
      </c>
      <c r="R1513" s="1" t="s">
        <v>669</v>
      </c>
      <c r="S1513" s="1" t="s">
        <v>168</v>
      </c>
      <c r="X1513" t="s">
        <v>967</v>
      </c>
      <c r="Y1513" t="s">
        <v>2273</v>
      </c>
      <c r="Z1513" t="s">
        <v>249</v>
      </c>
      <c r="AA1513" t="s">
        <v>2359</v>
      </c>
      <c r="AB1513" t="s">
        <v>2285</v>
      </c>
      <c r="AC1513" t="s">
        <v>152</v>
      </c>
      <c r="AD1513" t="s">
        <v>2288</v>
      </c>
      <c r="AR1513">
        <v>1</v>
      </c>
    </row>
    <row r="1514" spans="1:44" x14ac:dyDescent="0.2">
      <c r="A1514" t="s">
        <v>972</v>
      </c>
      <c r="B1514" t="s">
        <v>964</v>
      </c>
      <c r="C1514">
        <v>2018</v>
      </c>
      <c r="D1514" t="s">
        <v>44</v>
      </c>
      <c r="E1514" t="s">
        <v>49</v>
      </c>
      <c r="F1514" t="s">
        <v>710</v>
      </c>
      <c r="G1514" t="s">
        <v>86</v>
      </c>
      <c r="H1514" t="s">
        <v>350</v>
      </c>
      <c r="I1514">
        <v>2014</v>
      </c>
      <c r="J1514">
        <f t="shared" si="38"/>
        <v>0.25</v>
      </c>
      <c r="K1514" t="s">
        <v>109</v>
      </c>
      <c r="M1514">
        <v>0</v>
      </c>
      <c r="N1514" t="s">
        <v>120</v>
      </c>
      <c r="O1514" t="s">
        <v>252</v>
      </c>
      <c r="P1514" t="s">
        <v>966</v>
      </c>
      <c r="Q1514" s="1" t="s">
        <v>2276</v>
      </c>
      <c r="R1514" s="1" t="s">
        <v>669</v>
      </c>
      <c r="S1514" s="1" t="s">
        <v>168</v>
      </c>
      <c r="X1514" t="s">
        <v>962</v>
      </c>
      <c r="Y1514" t="s">
        <v>2273</v>
      </c>
      <c r="Z1514" t="s">
        <v>249</v>
      </c>
      <c r="AA1514" t="s">
        <v>2359</v>
      </c>
      <c r="AB1514" t="s">
        <v>1979</v>
      </c>
      <c r="AC1514" t="s">
        <v>152</v>
      </c>
      <c r="AD1514" t="s">
        <v>2288</v>
      </c>
      <c r="AR1514">
        <v>1</v>
      </c>
    </row>
    <row r="1515" spans="1:44" x14ac:dyDescent="0.2">
      <c r="A1515" t="s">
        <v>972</v>
      </c>
      <c r="B1515" t="s">
        <v>964</v>
      </c>
      <c r="C1515">
        <v>2018</v>
      </c>
      <c r="D1515" t="s">
        <v>44</v>
      </c>
      <c r="E1515" t="s">
        <v>49</v>
      </c>
      <c r="F1515" t="s">
        <v>710</v>
      </c>
      <c r="G1515" t="s">
        <v>86</v>
      </c>
      <c r="H1515" t="s">
        <v>350</v>
      </c>
      <c r="I1515">
        <v>2014</v>
      </c>
      <c r="J1515">
        <f t="shared" si="38"/>
        <v>0.25</v>
      </c>
      <c r="K1515" t="s">
        <v>109</v>
      </c>
      <c r="M1515">
        <v>0</v>
      </c>
      <c r="N1515" t="s">
        <v>120</v>
      </c>
      <c r="O1515" t="s">
        <v>252</v>
      </c>
      <c r="P1515" t="s">
        <v>966</v>
      </c>
      <c r="Q1515" s="1" t="s">
        <v>2276</v>
      </c>
      <c r="R1515" s="1" t="s">
        <v>669</v>
      </c>
      <c r="S1515" s="1" t="s">
        <v>168</v>
      </c>
      <c r="X1515" t="s">
        <v>968</v>
      </c>
      <c r="Y1515" t="s">
        <v>2273</v>
      </c>
      <c r="Z1515" t="s">
        <v>249</v>
      </c>
      <c r="AA1515" t="s">
        <v>2359</v>
      </c>
      <c r="AB1515" t="s">
        <v>1979</v>
      </c>
      <c r="AC1515" t="s">
        <v>152</v>
      </c>
      <c r="AD1515" t="s">
        <v>2288</v>
      </c>
      <c r="AR1515">
        <v>1</v>
      </c>
    </row>
    <row r="1516" spans="1:44" x14ac:dyDescent="0.2">
      <c r="A1516" t="s">
        <v>972</v>
      </c>
      <c r="B1516" t="s">
        <v>964</v>
      </c>
      <c r="C1516">
        <v>2018</v>
      </c>
      <c r="D1516" t="s">
        <v>44</v>
      </c>
      <c r="E1516" t="s">
        <v>49</v>
      </c>
      <c r="F1516" t="s">
        <v>710</v>
      </c>
      <c r="G1516" t="s">
        <v>86</v>
      </c>
      <c r="H1516" t="s">
        <v>350</v>
      </c>
      <c r="I1516">
        <v>2014</v>
      </c>
      <c r="J1516">
        <f t="shared" si="38"/>
        <v>0.25</v>
      </c>
      <c r="K1516" t="s">
        <v>109</v>
      </c>
      <c r="M1516">
        <v>0</v>
      </c>
      <c r="N1516" t="s">
        <v>120</v>
      </c>
      <c r="O1516" t="s">
        <v>252</v>
      </c>
      <c r="P1516" t="s">
        <v>966</v>
      </c>
      <c r="Q1516" s="1" t="s">
        <v>2276</v>
      </c>
      <c r="R1516" s="1" t="s">
        <v>669</v>
      </c>
      <c r="S1516" s="1" t="s">
        <v>168</v>
      </c>
      <c r="X1516" t="s">
        <v>969</v>
      </c>
      <c r="Y1516" t="s">
        <v>2273</v>
      </c>
      <c r="Z1516" t="s">
        <v>2356</v>
      </c>
      <c r="AA1516" t="s">
        <v>2357</v>
      </c>
      <c r="AB1516" t="s">
        <v>2277</v>
      </c>
      <c r="AC1516" t="s">
        <v>152</v>
      </c>
      <c r="AD1516" t="s">
        <v>137</v>
      </c>
      <c r="AR1516">
        <v>1</v>
      </c>
    </row>
    <row r="1517" spans="1:44" x14ac:dyDescent="0.2">
      <c r="A1517" t="s">
        <v>972</v>
      </c>
      <c r="B1517" t="s">
        <v>964</v>
      </c>
      <c r="C1517">
        <v>2018</v>
      </c>
      <c r="D1517" t="s">
        <v>44</v>
      </c>
      <c r="E1517" t="s">
        <v>49</v>
      </c>
      <c r="F1517" t="s">
        <v>710</v>
      </c>
      <c r="G1517" t="s">
        <v>86</v>
      </c>
      <c r="H1517" t="s">
        <v>350</v>
      </c>
      <c r="I1517">
        <v>2014</v>
      </c>
      <c r="J1517">
        <f t="shared" si="38"/>
        <v>0.25</v>
      </c>
      <c r="K1517" t="s">
        <v>109</v>
      </c>
      <c r="M1517">
        <v>0</v>
      </c>
      <c r="N1517" t="s">
        <v>120</v>
      </c>
      <c r="O1517" t="s">
        <v>252</v>
      </c>
      <c r="P1517" t="s">
        <v>324</v>
      </c>
      <c r="Q1517" s="1" t="s">
        <v>2276</v>
      </c>
      <c r="R1517" s="1" t="s">
        <v>669</v>
      </c>
      <c r="S1517" s="1" t="s">
        <v>168</v>
      </c>
      <c r="T1517" t="s">
        <v>396</v>
      </c>
      <c r="U1517" t="s">
        <v>168</v>
      </c>
      <c r="X1517" t="s">
        <v>161</v>
      </c>
      <c r="Y1517" t="s">
        <v>2272</v>
      </c>
      <c r="Z1517" t="s">
        <v>2272</v>
      </c>
      <c r="AA1517" t="s">
        <v>2272</v>
      </c>
      <c r="AB1517" t="s">
        <v>2272</v>
      </c>
      <c r="AC1517" t="s">
        <v>162</v>
      </c>
      <c r="AD1517" t="s">
        <v>2272</v>
      </c>
      <c r="AF1517" t="s">
        <v>49</v>
      </c>
      <c r="AJ1517" t="s">
        <v>49</v>
      </c>
      <c r="AM1517" t="s">
        <v>970</v>
      </c>
      <c r="AN1517" t="s">
        <v>165</v>
      </c>
      <c r="AP1517" t="s">
        <v>49</v>
      </c>
      <c r="AR1517">
        <v>1</v>
      </c>
    </row>
    <row r="1518" spans="1:44" x14ac:dyDescent="0.2">
      <c r="A1518" t="s">
        <v>972</v>
      </c>
      <c r="B1518" t="s">
        <v>964</v>
      </c>
      <c r="C1518">
        <v>2018</v>
      </c>
      <c r="D1518" t="s">
        <v>44</v>
      </c>
      <c r="E1518" t="s">
        <v>49</v>
      </c>
      <c r="F1518" t="s">
        <v>710</v>
      </c>
      <c r="G1518" t="s">
        <v>86</v>
      </c>
      <c r="H1518" t="s">
        <v>350</v>
      </c>
      <c r="I1518">
        <v>2014</v>
      </c>
      <c r="J1518">
        <f t="shared" si="38"/>
        <v>0.25</v>
      </c>
      <c r="K1518" t="s">
        <v>109</v>
      </c>
      <c r="M1518">
        <v>0</v>
      </c>
      <c r="N1518" t="s">
        <v>120</v>
      </c>
      <c r="O1518" t="s">
        <v>252</v>
      </c>
      <c r="P1518" t="s">
        <v>196</v>
      </c>
      <c r="Q1518" s="1" t="s">
        <v>2276</v>
      </c>
      <c r="R1518" s="1" t="s">
        <v>669</v>
      </c>
      <c r="S1518" s="1" t="s">
        <v>168</v>
      </c>
      <c r="T1518" t="s">
        <v>396</v>
      </c>
      <c r="U1518" t="s">
        <v>168</v>
      </c>
      <c r="X1518" t="s">
        <v>161</v>
      </c>
      <c r="Y1518" t="s">
        <v>2272</v>
      </c>
      <c r="Z1518" t="s">
        <v>2272</v>
      </c>
      <c r="AA1518" t="s">
        <v>2272</v>
      </c>
      <c r="AB1518" t="s">
        <v>2272</v>
      </c>
      <c r="AC1518" t="s">
        <v>162</v>
      </c>
      <c r="AD1518" t="s">
        <v>2272</v>
      </c>
      <c r="AF1518" t="s">
        <v>49</v>
      </c>
      <c r="AJ1518" t="s">
        <v>49</v>
      </c>
      <c r="AM1518" t="s">
        <v>970</v>
      </c>
      <c r="AN1518" t="s">
        <v>165</v>
      </c>
      <c r="AP1518" t="s">
        <v>49</v>
      </c>
      <c r="AR1518">
        <v>1</v>
      </c>
    </row>
    <row r="1519" spans="1:44" x14ac:dyDescent="0.2">
      <c r="A1519" t="s">
        <v>972</v>
      </c>
      <c r="B1519" t="s">
        <v>964</v>
      </c>
      <c r="C1519">
        <v>2018</v>
      </c>
      <c r="D1519" t="s">
        <v>44</v>
      </c>
      <c r="E1519" t="s">
        <v>49</v>
      </c>
      <c r="F1519" t="s">
        <v>710</v>
      </c>
      <c r="G1519" t="s">
        <v>86</v>
      </c>
      <c r="H1519" t="s">
        <v>350</v>
      </c>
      <c r="I1519">
        <v>2014</v>
      </c>
      <c r="J1519">
        <f t="shared" si="38"/>
        <v>0.25</v>
      </c>
      <c r="K1519" t="s">
        <v>109</v>
      </c>
      <c r="M1519">
        <v>0</v>
      </c>
      <c r="N1519" t="s">
        <v>120</v>
      </c>
      <c r="O1519" t="s">
        <v>252</v>
      </c>
      <c r="P1519" t="s">
        <v>324</v>
      </c>
      <c r="Q1519" s="1" t="s">
        <v>2276</v>
      </c>
      <c r="R1519" s="1" t="s">
        <v>669</v>
      </c>
      <c r="S1519" s="1" t="s">
        <v>168</v>
      </c>
      <c r="T1519" t="s">
        <v>396</v>
      </c>
      <c r="U1519" t="s">
        <v>168</v>
      </c>
      <c r="X1519" t="s">
        <v>161</v>
      </c>
      <c r="Y1519" t="s">
        <v>2272</v>
      </c>
      <c r="Z1519" t="s">
        <v>2272</v>
      </c>
      <c r="AA1519" t="s">
        <v>2272</v>
      </c>
      <c r="AB1519" t="s">
        <v>2272</v>
      </c>
      <c r="AC1519" t="s">
        <v>162</v>
      </c>
      <c r="AD1519" t="s">
        <v>2272</v>
      </c>
      <c r="AF1519" t="s">
        <v>49</v>
      </c>
      <c r="AJ1519" t="s">
        <v>49</v>
      </c>
      <c r="AM1519" t="s">
        <v>970</v>
      </c>
      <c r="AN1519" t="s">
        <v>154</v>
      </c>
      <c r="AQ1519" s="5">
        <v>2</v>
      </c>
      <c r="AR1519">
        <v>1</v>
      </c>
    </row>
    <row r="1520" spans="1:44" x14ac:dyDescent="0.2">
      <c r="A1520" t="s">
        <v>972</v>
      </c>
      <c r="B1520" t="s">
        <v>964</v>
      </c>
      <c r="C1520">
        <v>2018</v>
      </c>
      <c r="D1520" t="s">
        <v>44</v>
      </c>
      <c r="E1520" t="s">
        <v>49</v>
      </c>
      <c r="F1520" t="s">
        <v>710</v>
      </c>
      <c r="G1520" t="s">
        <v>86</v>
      </c>
      <c r="H1520" t="s">
        <v>350</v>
      </c>
      <c r="I1520">
        <v>2014</v>
      </c>
      <c r="J1520">
        <f t="shared" si="38"/>
        <v>0.25</v>
      </c>
      <c r="K1520" t="s">
        <v>109</v>
      </c>
      <c r="M1520">
        <v>0</v>
      </c>
      <c r="N1520" t="s">
        <v>120</v>
      </c>
      <c r="O1520" t="s">
        <v>252</v>
      </c>
      <c r="P1520" t="s">
        <v>196</v>
      </c>
      <c r="Q1520" s="1" t="s">
        <v>2276</v>
      </c>
      <c r="R1520" s="1" t="s">
        <v>669</v>
      </c>
      <c r="S1520" s="1" t="s">
        <v>168</v>
      </c>
      <c r="T1520" t="s">
        <v>396</v>
      </c>
      <c r="U1520" t="s">
        <v>168</v>
      </c>
      <c r="X1520" t="s">
        <v>161</v>
      </c>
      <c r="Y1520" t="s">
        <v>2272</v>
      </c>
      <c r="Z1520" t="s">
        <v>2272</v>
      </c>
      <c r="AA1520" t="s">
        <v>2272</v>
      </c>
      <c r="AB1520" t="s">
        <v>2272</v>
      </c>
      <c r="AC1520" t="s">
        <v>162</v>
      </c>
      <c r="AD1520" t="s">
        <v>2272</v>
      </c>
      <c r="AF1520" t="s">
        <v>49</v>
      </c>
      <c r="AJ1520" t="s">
        <v>49</v>
      </c>
      <c r="AM1520" t="s">
        <v>970</v>
      </c>
      <c r="AN1520" t="s">
        <v>154</v>
      </c>
      <c r="AQ1520" s="5">
        <v>1</v>
      </c>
      <c r="AR1520">
        <v>1</v>
      </c>
    </row>
    <row r="1521" spans="1:45" x14ac:dyDescent="0.2">
      <c r="A1521" t="s">
        <v>972</v>
      </c>
      <c r="B1521" t="s">
        <v>964</v>
      </c>
      <c r="C1521">
        <v>2018</v>
      </c>
      <c r="D1521" t="s">
        <v>44</v>
      </c>
      <c r="E1521" t="s">
        <v>49</v>
      </c>
      <c r="F1521" t="s">
        <v>710</v>
      </c>
      <c r="G1521" t="s">
        <v>86</v>
      </c>
      <c r="H1521" t="s">
        <v>350</v>
      </c>
      <c r="I1521">
        <v>2014</v>
      </c>
      <c r="J1521">
        <f t="shared" si="38"/>
        <v>0.25</v>
      </c>
      <c r="K1521" t="s">
        <v>109</v>
      </c>
      <c r="M1521">
        <v>0</v>
      </c>
      <c r="N1521" t="s">
        <v>120</v>
      </c>
      <c r="O1521" t="s">
        <v>252</v>
      </c>
      <c r="P1521" t="s">
        <v>324</v>
      </c>
      <c r="Q1521" s="1" t="s">
        <v>2276</v>
      </c>
      <c r="R1521" s="1" t="s">
        <v>669</v>
      </c>
      <c r="S1521" s="1" t="s">
        <v>168</v>
      </c>
      <c r="T1521" t="s">
        <v>396</v>
      </c>
      <c r="U1521" t="s">
        <v>168</v>
      </c>
      <c r="X1521" t="s">
        <v>161</v>
      </c>
      <c r="Y1521" t="s">
        <v>2272</v>
      </c>
      <c r="Z1521" t="s">
        <v>2272</v>
      </c>
      <c r="AA1521" t="s">
        <v>2272</v>
      </c>
      <c r="AB1521" t="s">
        <v>2272</v>
      </c>
      <c r="AC1521" t="s">
        <v>162</v>
      </c>
      <c r="AD1521" t="s">
        <v>2272</v>
      </c>
      <c r="AF1521" t="s">
        <v>49</v>
      </c>
      <c r="AJ1521" t="s">
        <v>49</v>
      </c>
      <c r="AM1521" t="s">
        <v>970</v>
      </c>
      <c r="AN1521" t="s">
        <v>171</v>
      </c>
      <c r="AQ1521" s="5">
        <v>2</v>
      </c>
      <c r="AR1521">
        <v>1</v>
      </c>
    </row>
    <row r="1522" spans="1:45" x14ac:dyDescent="0.2">
      <c r="A1522" t="s">
        <v>972</v>
      </c>
      <c r="B1522" t="s">
        <v>964</v>
      </c>
      <c r="C1522">
        <v>2018</v>
      </c>
      <c r="D1522" t="s">
        <v>44</v>
      </c>
      <c r="E1522" t="s">
        <v>49</v>
      </c>
      <c r="F1522" t="s">
        <v>710</v>
      </c>
      <c r="G1522" t="s">
        <v>86</v>
      </c>
      <c r="H1522" t="s">
        <v>350</v>
      </c>
      <c r="I1522">
        <v>2014</v>
      </c>
      <c r="J1522">
        <f t="shared" si="38"/>
        <v>0.25</v>
      </c>
      <c r="K1522" t="s">
        <v>109</v>
      </c>
      <c r="M1522">
        <v>0</v>
      </c>
      <c r="N1522" t="s">
        <v>120</v>
      </c>
      <c r="O1522" t="s">
        <v>252</v>
      </c>
      <c r="P1522" t="s">
        <v>196</v>
      </c>
      <c r="Q1522" s="1" t="s">
        <v>2276</v>
      </c>
      <c r="R1522" s="1" t="s">
        <v>669</v>
      </c>
      <c r="S1522" s="1" t="s">
        <v>168</v>
      </c>
      <c r="T1522" t="s">
        <v>396</v>
      </c>
      <c r="U1522" t="s">
        <v>168</v>
      </c>
      <c r="X1522" t="s">
        <v>161</v>
      </c>
      <c r="Y1522" t="s">
        <v>2272</v>
      </c>
      <c r="Z1522" t="s">
        <v>2272</v>
      </c>
      <c r="AA1522" t="s">
        <v>2272</v>
      </c>
      <c r="AB1522" t="s">
        <v>2272</v>
      </c>
      <c r="AC1522" t="s">
        <v>162</v>
      </c>
      <c r="AD1522" t="s">
        <v>2272</v>
      </c>
      <c r="AF1522" t="s">
        <v>49</v>
      </c>
      <c r="AJ1522" t="s">
        <v>49</v>
      </c>
      <c r="AM1522" t="s">
        <v>970</v>
      </c>
      <c r="AN1522" t="s">
        <v>171</v>
      </c>
      <c r="AQ1522" s="5">
        <v>1</v>
      </c>
      <c r="AR1522">
        <v>1</v>
      </c>
    </row>
    <row r="1523" spans="1:45" x14ac:dyDescent="0.2">
      <c r="A1523" t="s">
        <v>972</v>
      </c>
      <c r="B1523" t="s">
        <v>964</v>
      </c>
      <c r="C1523">
        <v>2018</v>
      </c>
      <c r="D1523" t="s">
        <v>44</v>
      </c>
      <c r="E1523" t="s">
        <v>49</v>
      </c>
      <c r="F1523" t="s">
        <v>710</v>
      </c>
      <c r="G1523" t="s">
        <v>86</v>
      </c>
      <c r="H1523" t="s">
        <v>350</v>
      </c>
      <c r="I1523">
        <v>2014</v>
      </c>
      <c r="J1523">
        <f t="shared" si="38"/>
        <v>0.25</v>
      </c>
      <c r="K1523" t="s">
        <v>109</v>
      </c>
      <c r="M1523">
        <v>0</v>
      </c>
      <c r="N1523" t="s">
        <v>120</v>
      </c>
      <c r="O1523" t="s">
        <v>252</v>
      </c>
      <c r="P1523" t="s">
        <v>324</v>
      </c>
      <c r="Q1523" s="1" t="s">
        <v>2276</v>
      </c>
      <c r="R1523" s="1" t="s">
        <v>669</v>
      </c>
      <c r="S1523" s="1" t="s">
        <v>168</v>
      </c>
      <c r="X1523" t="s">
        <v>300</v>
      </c>
      <c r="Y1523" t="s">
        <v>2273</v>
      </c>
      <c r="Z1523" t="s">
        <v>249</v>
      </c>
      <c r="AA1523" t="s">
        <v>2359</v>
      </c>
      <c r="AB1523" t="s">
        <v>2289</v>
      </c>
      <c r="AC1523" t="s">
        <v>152</v>
      </c>
      <c r="AD1523" t="s">
        <v>2288</v>
      </c>
      <c r="AF1523" t="s">
        <v>49</v>
      </c>
      <c r="AJ1523" t="s">
        <v>49</v>
      </c>
      <c r="AM1523" t="s">
        <v>970</v>
      </c>
      <c r="AN1523" t="s">
        <v>154</v>
      </c>
      <c r="AP1523" t="s">
        <v>51</v>
      </c>
      <c r="AR1523">
        <v>1</v>
      </c>
    </row>
    <row r="1524" spans="1:45" x14ac:dyDescent="0.2">
      <c r="A1524" t="s">
        <v>972</v>
      </c>
      <c r="B1524" t="s">
        <v>964</v>
      </c>
      <c r="C1524">
        <v>2018</v>
      </c>
      <c r="D1524" t="s">
        <v>44</v>
      </c>
      <c r="E1524" t="s">
        <v>49</v>
      </c>
      <c r="F1524" t="s">
        <v>710</v>
      </c>
      <c r="G1524" t="s">
        <v>86</v>
      </c>
      <c r="H1524" t="s">
        <v>350</v>
      </c>
      <c r="I1524">
        <v>2014</v>
      </c>
      <c r="J1524">
        <f t="shared" si="38"/>
        <v>0.25</v>
      </c>
      <c r="K1524" t="s">
        <v>109</v>
      </c>
      <c r="M1524">
        <v>0</v>
      </c>
      <c r="N1524" t="s">
        <v>120</v>
      </c>
      <c r="O1524" t="s">
        <v>252</v>
      </c>
      <c r="P1524" t="s">
        <v>196</v>
      </c>
      <c r="Q1524" s="1" t="s">
        <v>2276</v>
      </c>
      <c r="R1524" s="1" t="s">
        <v>669</v>
      </c>
      <c r="S1524" s="1" t="s">
        <v>168</v>
      </c>
      <c r="X1524" t="s">
        <v>300</v>
      </c>
      <c r="Y1524" t="s">
        <v>2273</v>
      </c>
      <c r="Z1524" t="s">
        <v>249</v>
      </c>
      <c r="AA1524" t="s">
        <v>2359</v>
      </c>
      <c r="AB1524" t="s">
        <v>2289</v>
      </c>
      <c r="AC1524" t="s">
        <v>152</v>
      </c>
      <c r="AD1524" t="s">
        <v>2288</v>
      </c>
      <c r="AF1524" t="s">
        <v>49</v>
      </c>
      <c r="AJ1524" t="s">
        <v>49</v>
      </c>
      <c r="AM1524" t="s">
        <v>970</v>
      </c>
      <c r="AN1524" t="s">
        <v>154</v>
      </c>
      <c r="AP1524" t="s">
        <v>157</v>
      </c>
      <c r="AR1524">
        <v>1</v>
      </c>
    </row>
    <row r="1525" spans="1:45" x14ac:dyDescent="0.2">
      <c r="A1525" t="s">
        <v>972</v>
      </c>
      <c r="B1525" t="s">
        <v>964</v>
      </c>
      <c r="C1525">
        <v>2018</v>
      </c>
      <c r="D1525" t="s">
        <v>44</v>
      </c>
      <c r="E1525" t="s">
        <v>49</v>
      </c>
      <c r="F1525" t="s">
        <v>710</v>
      </c>
      <c r="G1525" t="s">
        <v>86</v>
      </c>
      <c r="H1525" t="s">
        <v>350</v>
      </c>
      <c r="I1525">
        <v>2014</v>
      </c>
      <c r="J1525">
        <f t="shared" si="38"/>
        <v>0.25</v>
      </c>
      <c r="K1525" t="s">
        <v>109</v>
      </c>
      <c r="M1525">
        <v>0</v>
      </c>
      <c r="N1525" t="s">
        <v>120</v>
      </c>
      <c r="O1525" t="s">
        <v>252</v>
      </c>
      <c r="P1525" t="s">
        <v>324</v>
      </c>
      <c r="Q1525" s="1" t="s">
        <v>2276</v>
      </c>
      <c r="R1525" s="1" t="s">
        <v>669</v>
      </c>
      <c r="S1525" s="1" t="s">
        <v>168</v>
      </c>
      <c r="X1525" t="s">
        <v>971</v>
      </c>
      <c r="Y1525" t="s">
        <v>2273</v>
      </c>
      <c r="Z1525" t="s">
        <v>249</v>
      </c>
      <c r="AA1525" t="s">
        <v>2274</v>
      </c>
      <c r="AB1525" t="s">
        <v>2298</v>
      </c>
      <c r="AC1525" t="s">
        <v>315</v>
      </c>
      <c r="AD1525" t="s">
        <v>2288</v>
      </c>
      <c r="AF1525" t="s">
        <v>49</v>
      </c>
      <c r="AJ1525" t="s">
        <v>49</v>
      </c>
      <c r="AM1525" t="s">
        <v>970</v>
      </c>
      <c r="AN1525" t="s">
        <v>154</v>
      </c>
      <c r="AP1525" t="s">
        <v>157</v>
      </c>
      <c r="AR1525">
        <v>1</v>
      </c>
    </row>
    <row r="1526" spans="1:45" x14ac:dyDescent="0.2">
      <c r="A1526" t="s">
        <v>972</v>
      </c>
      <c r="B1526" t="s">
        <v>964</v>
      </c>
      <c r="C1526">
        <v>2018</v>
      </c>
      <c r="D1526" t="s">
        <v>44</v>
      </c>
      <c r="E1526" t="s">
        <v>49</v>
      </c>
      <c r="F1526" t="s">
        <v>710</v>
      </c>
      <c r="G1526" t="s">
        <v>86</v>
      </c>
      <c r="H1526" t="s">
        <v>350</v>
      </c>
      <c r="I1526">
        <v>2014</v>
      </c>
      <c r="J1526">
        <f t="shared" si="38"/>
        <v>0.25</v>
      </c>
      <c r="K1526" t="s">
        <v>109</v>
      </c>
      <c r="M1526">
        <v>0</v>
      </c>
      <c r="N1526" t="s">
        <v>120</v>
      </c>
      <c r="O1526" t="s">
        <v>252</v>
      </c>
      <c r="P1526" t="s">
        <v>196</v>
      </c>
      <c r="Q1526" s="1" t="s">
        <v>2276</v>
      </c>
      <c r="R1526" s="1" t="s">
        <v>669</v>
      </c>
      <c r="S1526" s="1" t="s">
        <v>168</v>
      </c>
      <c r="X1526" t="s">
        <v>971</v>
      </c>
      <c r="Y1526" t="s">
        <v>2273</v>
      </c>
      <c r="Z1526" t="s">
        <v>249</v>
      </c>
      <c r="AA1526" t="s">
        <v>2274</v>
      </c>
      <c r="AB1526" t="s">
        <v>2298</v>
      </c>
      <c r="AC1526" t="s">
        <v>315</v>
      </c>
      <c r="AD1526" t="s">
        <v>2288</v>
      </c>
      <c r="AF1526" t="s">
        <v>49</v>
      </c>
      <c r="AJ1526" t="s">
        <v>49</v>
      </c>
      <c r="AM1526" t="s">
        <v>970</v>
      </c>
      <c r="AN1526" t="s">
        <v>154</v>
      </c>
      <c r="AP1526" t="s">
        <v>157</v>
      </c>
      <c r="AR1526">
        <v>1</v>
      </c>
    </row>
    <row r="1527" spans="1:45" x14ac:dyDescent="0.2">
      <c r="A1527" t="s">
        <v>973</v>
      </c>
      <c r="B1527" t="s">
        <v>964</v>
      </c>
      <c r="C1527">
        <v>2018</v>
      </c>
      <c r="Q1527" s="1" t="s">
        <v>2272</v>
      </c>
      <c r="R1527" s="1" t="s">
        <v>2272</v>
      </c>
      <c r="S1527" s="1" t="s">
        <v>2272</v>
      </c>
      <c r="Y1527" t="s">
        <v>2272</v>
      </c>
      <c r="Z1527" t="s">
        <v>2272</v>
      </c>
      <c r="AA1527" t="s">
        <v>2272</v>
      </c>
      <c r="AB1527" t="s">
        <v>2272</v>
      </c>
      <c r="AD1527" t="s">
        <v>2272</v>
      </c>
      <c r="AR1527" t="s">
        <v>144</v>
      </c>
      <c r="AS1527" t="s">
        <v>2585</v>
      </c>
    </row>
    <row r="1528" spans="1:45" x14ac:dyDescent="0.2">
      <c r="A1528" t="s">
        <v>974</v>
      </c>
      <c r="B1528" t="s">
        <v>975</v>
      </c>
      <c r="C1528">
        <v>2018</v>
      </c>
      <c r="D1528" t="s">
        <v>44</v>
      </c>
      <c r="F1528" t="s">
        <v>976</v>
      </c>
      <c r="G1528" t="s">
        <v>977</v>
      </c>
      <c r="H1528" t="s">
        <v>350</v>
      </c>
      <c r="I1528" t="s">
        <v>979</v>
      </c>
      <c r="J1528">
        <v>1.7</v>
      </c>
      <c r="K1528" t="s">
        <v>109</v>
      </c>
      <c r="M1528">
        <v>0</v>
      </c>
      <c r="N1528" t="s">
        <v>127</v>
      </c>
      <c r="O1528" t="s">
        <v>980</v>
      </c>
      <c r="P1528" t="s">
        <v>978</v>
      </c>
      <c r="Q1528" s="1" t="s">
        <v>2281</v>
      </c>
      <c r="R1528" s="1" t="s">
        <v>122</v>
      </c>
      <c r="S1528" s="1" t="s">
        <v>2293</v>
      </c>
      <c r="X1528" t="s">
        <v>981</v>
      </c>
      <c r="Y1528" t="s">
        <v>2273</v>
      </c>
      <c r="Z1528" t="s">
        <v>249</v>
      </c>
      <c r="AA1528" t="s">
        <v>2274</v>
      </c>
      <c r="AB1528" t="s">
        <v>2298</v>
      </c>
      <c r="AC1528" t="s">
        <v>315</v>
      </c>
      <c r="AD1528" t="s">
        <v>137</v>
      </c>
      <c r="AM1528" t="s">
        <v>201</v>
      </c>
      <c r="AN1528" t="s">
        <v>165</v>
      </c>
      <c r="AP1528" t="s">
        <v>49</v>
      </c>
      <c r="AR1528">
        <v>1</v>
      </c>
    </row>
    <row r="1529" spans="1:45" x14ac:dyDescent="0.2">
      <c r="A1529" t="s">
        <v>974</v>
      </c>
      <c r="B1529" t="s">
        <v>975</v>
      </c>
      <c r="C1529">
        <v>2018</v>
      </c>
      <c r="D1529" t="s">
        <v>44</v>
      </c>
      <c r="F1529" t="s">
        <v>976</v>
      </c>
      <c r="G1529" t="s">
        <v>977</v>
      </c>
      <c r="H1529" t="s">
        <v>350</v>
      </c>
      <c r="I1529" t="s">
        <v>979</v>
      </c>
      <c r="J1529">
        <v>1.7</v>
      </c>
      <c r="K1529" t="s">
        <v>109</v>
      </c>
      <c r="M1529">
        <v>0</v>
      </c>
      <c r="N1529" t="s">
        <v>127</v>
      </c>
      <c r="O1529" t="s">
        <v>980</v>
      </c>
      <c r="P1529" t="s">
        <v>978</v>
      </c>
      <c r="Q1529" s="1" t="s">
        <v>2281</v>
      </c>
      <c r="R1529" s="1" t="s">
        <v>122</v>
      </c>
      <c r="S1529" s="1" t="s">
        <v>2293</v>
      </c>
      <c r="X1529" t="s">
        <v>982</v>
      </c>
      <c r="Y1529" t="s">
        <v>2273</v>
      </c>
      <c r="Z1529" t="s">
        <v>249</v>
      </c>
      <c r="AA1529" t="s">
        <v>2359</v>
      </c>
      <c r="AB1529" t="s">
        <v>2289</v>
      </c>
      <c r="AC1529" t="s">
        <v>152</v>
      </c>
      <c r="AD1529" t="s">
        <v>137</v>
      </c>
      <c r="AR1529">
        <v>1</v>
      </c>
    </row>
    <row r="1530" spans="1:45" x14ac:dyDescent="0.2">
      <c r="A1530" t="s">
        <v>974</v>
      </c>
      <c r="B1530" t="s">
        <v>975</v>
      </c>
      <c r="C1530">
        <v>2018</v>
      </c>
      <c r="D1530" t="s">
        <v>44</v>
      </c>
      <c r="F1530" t="s">
        <v>976</v>
      </c>
      <c r="G1530" t="s">
        <v>977</v>
      </c>
      <c r="H1530" t="s">
        <v>350</v>
      </c>
      <c r="I1530" t="s">
        <v>979</v>
      </c>
      <c r="J1530">
        <v>1.7</v>
      </c>
      <c r="K1530" t="s">
        <v>109</v>
      </c>
      <c r="M1530">
        <v>0</v>
      </c>
      <c r="N1530" t="s">
        <v>127</v>
      </c>
      <c r="O1530" t="s">
        <v>980</v>
      </c>
      <c r="P1530" t="s">
        <v>978</v>
      </c>
      <c r="Q1530" s="1" t="s">
        <v>2281</v>
      </c>
      <c r="R1530" s="1" t="s">
        <v>122</v>
      </c>
      <c r="S1530" s="1" t="s">
        <v>2293</v>
      </c>
      <c r="X1530" t="s">
        <v>983</v>
      </c>
      <c r="Y1530" t="s">
        <v>2273</v>
      </c>
      <c r="Z1530" t="s">
        <v>249</v>
      </c>
      <c r="AA1530" t="s">
        <v>2359</v>
      </c>
      <c r="AB1530" t="s">
        <v>1419</v>
      </c>
      <c r="AC1530" t="s">
        <v>152</v>
      </c>
      <c r="AD1530" t="s">
        <v>137</v>
      </c>
      <c r="AR1530">
        <v>1</v>
      </c>
    </row>
    <row r="1531" spans="1:45" x14ac:dyDescent="0.2">
      <c r="A1531" t="s">
        <v>974</v>
      </c>
      <c r="B1531" t="s">
        <v>975</v>
      </c>
      <c r="C1531">
        <v>2018</v>
      </c>
      <c r="D1531" t="s">
        <v>44</v>
      </c>
      <c r="F1531" t="s">
        <v>976</v>
      </c>
      <c r="G1531" t="s">
        <v>977</v>
      </c>
      <c r="H1531" t="s">
        <v>350</v>
      </c>
      <c r="I1531" t="s">
        <v>979</v>
      </c>
      <c r="J1531">
        <v>1.7</v>
      </c>
      <c r="K1531" t="s">
        <v>109</v>
      </c>
      <c r="M1531">
        <v>0</v>
      </c>
      <c r="N1531" t="s">
        <v>127</v>
      </c>
      <c r="O1531" t="s">
        <v>980</v>
      </c>
      <c r="P1531" t="s">
        <v>978</v>
      </c>
      <c r="Q1531" s="1" t="s">
        <v>2281</v>
      </c>
      <c r="R1531" s="1" t="s">
        <v>122</v>
      </c>
      <c r="S1531" s="1" t="s">
        <v>2293</v>
      </c>
      <c r="X1531" t="s">
        <v>615</v>
      </c>
      <c r="Y1531" t="s">
        <v>2273</v>
      </c>
      <c r="Z1531" t="s">
        <v>249</v>
      </c>
      <c r="AA1531" t="s">
        <v>2359</v>
      </c>
      <c r="AB1531" t="s">
        <v>2285</v>
      </c>
      <c r="AC1531" t="s">
        <v>152</v>
      </c>
      <c r="AD1531" t="s">
        <v>137</v>
      </c>
      <c r="AR1531">
        <v>1</v>
      </c>
    </row>
    <row r="1532" spans="1:45" x14ac:dyDescent="0.2">
      <c r="A1532" t="s">
        <v>974</v>
      </c>
      <c r="B1532" t="s">
        <v>975</v>
      </c>
      <c r="C1532">
        <v>2018</v>
      </c>
      <c r="D1532" t="s">
        <v>44</v>
      </c>
      <c r="F1532" t="s">
        <v>976</v>
      </c>
      <c r="G1532" t="s">
        <v>977</v>
      </c>
      <c r="H1532" t="s">
        <v>350</v>
      </c>
      <c r="I1532" t="s">
        <v>979</v>
      </c>
      <c r="J1532">
        <v>1.7</v>
      </c>
      <c r="K1532" t="s">
        <v>109</v>
      </c>
      <c r="M1532">
        <v>0</v>
      </c>
      <c r="N1532" t="s">
        <v>127</v>
      </c>
      <c r="O1532" t="s">
        <v>980</v>
      </c>
      <c r="P1532" t="s">
        <v>978</v>
      </c>
      <c r="Q1532" s="1" t="s">
        <v>2281</v>
      </c>
      <c r="R1532" s="1" t="s">
        <v>122</v>
      </c>
      <c r="S1532" s="1" t="s">
        <v>2293</v>
      </c>
      <c r="X1532" t="s">
        <v>642</v>
      </c>
      <c r="Y1532" t="s">
        <v>2273</v>
      </c>
      <c r="Z1532" t="s">
        <v>249</v>
      </c>
      <c r="AA1532" t="s">
        <v>2359</v>
      </c>
      <c r="AB1532" t="s">
        <v>1979</v>
      </c>
      <c r="AC1532" t="s">
        <v>152</v>
      </c>
      <c r="AD1532" t="s">
        <v>137</v>
      </c>
      <c r="AR1532">
        <v>1</v>
      </c>
    </row>
    <row r="1533" spans="1:45" x14ac:dyDescent="0.2">
      <c r="A1533" t="s">
        <v>974</v>
      </c>
      <c r="B1533" t="s">
        <v>975</v>
      </c>
      <c r="C1533">
        <v>2018</v>
      </c>
      <c r="D1533" t="s">
        <v>44</v>
      </c>
      <c r="F1533" t="s">
        <v>976</v>
      </c>
      <c r="G1533" t="s">
        <v>977</v>
      </c>
      <c r="H1533" t="s">
        <v>350</v>
      </c>
      <c r="I1533" t="s">
        <v>979</v>
      </c>
      <c r="J1533">
        <v>1.7</v>
      </c>
      <c r="K1533" t="s">
        <v>109</v>
      </c>
      <c r="M1533">
        <v>0</v>
      </c>
      <c r="N1533" t="s">
        <v>127</v>
      </c>
      <c r="O1533" t="s">
        <v>980</v>
      </c>
      <c r="P1533" t="s">
        <v>978</v>
      </c>
      <c r="Q1533" s="1" t="s">
        <v>2281</v>
      </c>
      <c r="R1533" s="1" t="s">
        <v>122</v>
      </c>
      <c r="S1533" s="1" t="s">
        <v>2293</v>
      </c>
      <c r="X1533" t="s">
        <v>984</v>
      </c>
      <c r="Y1533" t="s">
        <v>2279</v>
      </c>
      <c r="Z1533" t="s">
        <v>2280</v>
      </c>
      <c r="AA1533" t="s">
        <v>2358</v>
      </c>
      <c r="AB1533" t="s">
        <v>189</v>
      </c>
      <c r="AC1533" t="s">
        <v>152</v>
      </c>
      <c r="AD1533" t="s">
        <v>2278</v>
      </c>
      <c r="AR1533">
        <v>1</v>
      </c>
    </row>
    <row r="1534" spans="1:45" x14ac:dyDescent="0.2">
      <c r="A1534" t="s">
        <v>974</v>
      </c>
      <c r="B1534" t="s">
        <v>975</v>
      </c>
      <c r="C1534">
        <v>2018</v>
      </c>
      <c r="D1534" t="s">
        <v>44</v>
      </c>
      <c r="F1534" t="s">
        <v>976</v>
      </c>
      <c r="G1534" t="s">
        <v>977</v>
      </c>
      <c r="H1534" t="s">
        <v>350</v>
      </c>
      <c r="I1534" t="s">
        <v>979</v>
      </c>
      <c r="J1534">
        <v>1.7</v>
      </c>
      <c r="K1534" t="s">
        <v>109</v>
      </c>
      <c r="M1534">
        <v>0</v>
      </c>
      <c r="N1534" t="s">
        <v>127</v>
      </c>
      <c r="O1534" t="s">
        <v>980</v>
      </c>
      <c r="P1534" t="s">
        <v>985</v>
      </c>
      <c r="Q1534" s="1" t="s">
        <v>2281</v>
      </c>
      <c r="R1534" s="1" t="s">
        <v>122</v>
      </c>
      <c r="S1534" s="1" t="s">
        <v>2293</v>
      </c>
      <c r="T1534" t="s">
        <v>396</v>
      </c>
      <c r="U1534" t="s">
        <v>2293</v>
      </c>
      <c r="X1534" t="s">
        <v>161</v>
      </c>
      <c r="Y1534" t="s">
        <v>2272</v>
      </c>
      <c r="Z1534" t="s">
        <v>2272</v>
      </c>
      <c r="AA1534" t="s">
        <v>2272</v>
      </c>
      <c r="AB1534" t="s">
        <v>2272</v>
      </c>
      <c r="AC1534" t="s">
        <v>162</v>
      </c>
      <c r="AD1534" t="s">
        <v>2272</v>
      </c>
      <c r="AF1534" t="s">
        <v>49</v>
      </c>
      <c r="AI1534" t="s">
        <v>49</v>
      </c>
      <c r="AM1534" t="s">
        <v>201</v>
      </c>
      <c r="AN1534" t="s">
        <v>165</v>
      </c>
      <c r="AP1534" t="s">
        <v>49</v>
      </c>
      <c r="AR1534">
        <v>1</v>
      </c>
    </row>
    <row r="1535" spans="1:45" x14ac:dyDescent="0.2">
      <c r="A1535" t="s">
        <v>974</v>
      </c>
      <c r="B1535" t="s">
        <v>975</v>
      </c>
      <c r="C1535">
        <v>2018</v>
      </c>
      <c r="D1535" t="s">
        <v>44</v>
      </c>
      <c r="F1535" t="s">
        <v>976</v>
      </c>
      <c r="G1535" t="s">
        <v>977</v>
      </c>
      <c r="H1535" t="s">
        <v>350</v>
      </c>
      <c r="I1535" t="s">
        <v>979</v>
      </c>
      <c r="J1535">
        <v>1.7</v>
      </c>
      <c r="K1535" t="s">
        <v>109</v>
      </c>
      <c r="M1535">
        <v>0</v>
      </c>
      <c r="N1535" t="s">
        <v>127</v>
      </c>
      <c r="O1535" t="s">
        <v>980</v>
      </c>
      <c r="P1535" t="s">
        <v>986</v>
      </c>
      <c r="Q1535" s="1" t="s">
        <v>2281</v>
      </c>
      <c r="R1535" s="1" t="s">
        <v>122</v>
      </c>
      <c r="S1535" s="1" t="s">
        <v>2293</v>
      </c>
      <c r="T1535" t="s">
        <v>396</v>
      </c>
      <c r="U1535" t="s">
        <v>2293</v>
      </c>
      <c r="X1535" t="s">
        <v>161</v>
      </c>
      <c r="Y1535" t="s">
        <v>2272</v>
      </c>
      <c r="Z1535" t="s">
        <v>2272</v>
      </c>
      <c r="AA1535" t="s">
        <v>2272</v>
      </c>
      <c r="AB1535" t="s">
        <v>2272</v>
      </c>
      <c r="AC1535" t="s">
        <v>162</v>
      </c>
      <c r="AD1535" t="s">
        <v>2272</v>
      </c>
      <c r="AF1535" t="s">
        <v>49</v>
      </c>
      <c r="AI1535" t="s">
        <v>49</v>
      </c>
      <c r="AM1535" t="s">
        <v>201</v>
      </c>
      <c r="AN1535" t="s">
        <v>165</v>
      </c>
      <c r="AP1535" t="s">
        <v>49</v>
      </c>
      <c r="AR1535">
        <v>1</v>
      </c>
    </row>
    <row r="1536" spans="1:45" x14ac:dyDescent="0.2">
      <c r="A1536" t="s">
        <v>974</v>
      </c>
      <c r="B1536" t="s">
        <v>975</v>
      </c>
      <c r="C1536">
        <v>2018</v>
      </c>
      <c r="D1536" t="s">
        <v>44</v>
      </c>
      <c r="F1536" t="s">
        <v>976</v>
      </c>
      <c r="G1536" t="s">
        <v>977</v>
      </c>
      <c r="H1536" t="s">
        <v>350</v>
      </c>
      <c r="I1536" t="s">
        <v>979</v>
      </c>
      <c r="J1536">
        <v>1.7</v>
      </c>
      <c r="K1536" t="s">
        <v>109</v>
      </c>
      <c r="M1536">
        <v>0</v>
      </c>
      <c r="N1536" t="s">
        <v>127</v>
      </c>
      <c r="O1536" t="s">
        <v>980</v>
      </c>
      <c r="P1536" t="s">
        <v>985</v>
      </c>
      <c r="Q1536" s="1" t="s">
        <v>2281</v>
      </c>
      <c r="R1536" s="1" t="s">
        <v>122</v>
      </c>
      <c r="S1536" s="1" t="s">
        <v>2293</v>
      </c>
      <c r="T1536" t="s">
        <v>396</v>
      </c>
      <c r="U1536" t="s">
        <v>2293</v>
      </c>
      <c r="X1536" t="s">
        <v>161</v>
      </c>
      <c r="Y1536" t="s">
        <v>2272</v>
      </c>
      <c r="Z1536" t="s">
        <v>2272</v>
      </c>
      <c r="AA1536" t="s">
        <v>2272</v>
      </c>
      <c r="AB1536" t="s">
        <v>2272</v>
      </c>
      <c r="AC1536" t="s">
        <v>162</v>
      </c>
      <c r="AD1536" t="s">
        <v>2272</v>
      </c>
      <c r="AF1536" t="s">
        <v>49</v>
      </c>
      <c r="AI1536" t="s">
        <v>49</v>
      </c>
      <c r="AM1536" t="s">
        <v>201</v>
      </c>
      <c r="AN1536" t="s">
        <v>166</v>
      </c>
      <c r="AQ1536" s="5">
        <v>1</v>
      </c>
      <c r="AR1536">
        <v>1</v>
      </c>
    </row>
    <row r="1537" spans="1:44" x14ac:dyDescent="0.2">
      <c r="A1537" t="s">
        <v>974</v>
      </c>
      <c r="B1537" t="s">
        <v>975</v>
      </c>
      <c r="C1537">
        <v>2018</v>
      </c>
      <c r="D1537" t="s">
        <v>44</v>
      </c>
      <c r="F1537" t="s">
        <v>976</v>
      </c>
      <c r="G1537" t="s">
        <v>977</v>
      </c>
      <c r="H1537" t="s">
        <v>350</v>
      </c>
      <c r="I1537" t="s">
        <v>979</v>
      </c>
      <c r="J1537">
        <v>1.7</v>
      </c>
      <c r="K1537" t="s">
        <v>109</v>
      </c>
      <c r="M1537">
        <v>0</v>
      </c>
      <c r="N1537" t="s">
        <v>127</v>
      </c>
      <c r="O1537" t="s">
        <v>980</v>
      </c>
      <c r="P1537" t="s">
        <v>986</v>
      </c>
      <c r="Q1537" s="1" t="s">
        <v>2281</v>
      </c>
      <c r="R1537" s="1" t="s">
        <v>122</v>
      </c>
      <c r="S1537" s="1" t="s">
        <v>2293</v>
      </c>
      <c r="T1537" t="s">
        <v>396</v>
      </c>
      <c r="U1537" t="s">
        <v>2293</v>
      </c>
      <c r="X1537" t="s">
        <v>161</v>
      </c>
      <c r="Y1537" t="s">
        <v>2272</v>
      </c>
      <c r="Z1537" t="s">
        <v>2272</v>
      </c>
      <c r="AA1537" t="s">
        <v>2272</v>
      </c>
      <c r="AB1537" t="s">
        <v>2272</v>
      </c>
      <c r="AC1537" t="s">
        <v>162</v>
      </c>
      <c r="AD1537" t="s">
        <v>2272</v>
      </c>
      <c r="AF1537" t="s">
        <v>49</v>
      </c>
      <c r="AI1537" t="s">
        <v>49</v>
      </c>
      <c r="AM1537" t="s">
        <v>201</v>
      </c>
      <c r="AN1537" t="s">
        <v>166</v>
      </c>
      <c r="AQ1537" s="5">
        <v>2</v>
      </c>
      <c r="AR1537">
        <v>1</v>
      </c>
    </row>
    <row r="1538" spans="1:44" x14ac:dyDescent="0.2">
      <c r="A1538" t="s">
        <v>974</v>
      </c>
      <c r="B1538" t="s">
        <v>975</v>
      </c>
      <c r="C1538">
        <v>2018</v>
      </c>
      <c r="D1538" t="s">
        <v>44</v>
      </c>
      <c r="F1538" t="s">
        <v>976</v>
      </c>
      <c r="G1538" t="s">
        <v>977</v>
      </c>
      <c r="H1538" t="s">
        <v>350</v>
      </c>
      <c r="I1538" t="s">
        <v>979</v>
      </c>
      <c r="J1538">
        <v>1.7</v>
      </c>
      <c r="K1538" t="s">
        <v>109</v>
      </c>
      <c r="M1538">
        <v>0</v>
      </c>
      <c r="N1538" t="s">
        <v>127</v>
      </c>
      <c r="O1538" t="s">
        <v>980</v>
      </c>
      <c r="P1538" t="s">
        <v>978</v>
      </c>
      <c r="Q1538" s="1" t="s">
        <v>2281</v>
      </c>
      <c r="R1538" s="1" t="s">
        <v>122</v>
      </c>
      <c r="S1538" s="1" t="s">
        <v>2293</v>
      </c>
      <c r="X1538" t="s">
        <v>981</v>
      </c>
      <c r="Y1538" t="s">
        <v>2273</v>
      </c>
      <c r="Z1538" t="s">
        <v>249</v>
      </c>
      <c r="AA1538" t="s">
        <v>2274</v>
      </c>
      <c r="AB1538" t="s">
        <v>2298</v>
      </c>
      <c r="AC1538" t="s">
        <v>315</v>
      </c>
      <c r="AD1538" t="s">
        <v>137</v>
      </c>
      <c r="AF1538" t="s">
        <v>49</v>
      </c>
      <c r="AI1538" t="s">
        <v>49</v>
      </c>
      <c r="AM1538" t="s">
        <v>201</v>
      </c>
      <c r="AN1538" t="s">
        <v>154</v>
      </c>
      <c r="AP1538" t="s">
        <v>157</v>
      </c>
      <c r="AR1538">
        <v>1</v>
      </c>
    </row>
    <row r="1539" spans="1:44" x14ac:dyDescent="0.2">
      <c r="A1539" t="s">
        <v>974</v>
      </c>
      <c r="B1539" t="s">
        <v>975</v>
      </c>
      <c r="C1539">
        <v>2018</v>
      </c>
      <c r="D1539" t="s">
        <v>44</v>
      </c>
      <c r="F1539" t="s">
        <v>976</v>
      </c>
      <c r="G1539" t="s">
        <v>977</v>
      </c>
      <c r="H1539" t="s">
        <v>350</v>
      </c>
      <c r="I1539" t="s">
        <v>979</v>
      </c>
      <c r="J1539">
        <v>1.7</v>
      </c>
      <c r="K1539" t="s">
        <v>109</v>
      </c>
      <c r="M1539">
        <v>0</v>
      </c>
      <c r="N1539" t="s">
        <v>127</v>
      </c>
      <c r="O1539" t="s">
        <v>980</v>
      </c>
      <c r="P1539" t="s">
        <v>978</v>
      </c>
      <c r="Q1539" s="1" t="s">
        <v>2281</v>
      </c>
      <c r="R1539" s="1" t="s">
        <v>122</v>
      </c>
      <c r="S1539" s="1" t="s">
        <v>2293</v>
      </c>
      <c r="X1539" t="s">
        <v>981</v>
      </c>
      <c r="Y1539" t="s">
        <v>2273</v>
      </c>
      <c r="Z1539" t="s">
        <v>249</v>
      </c>
      <c r="AA1539" t="s">
        <v>2274</v>
      </c>
      <c r="AB1539" t="s">
        <v>2298</v>
      </c>
      <c r="AC1539" t="s">
        <v>315</v>
      </c>
      <c r="AD1539" t="s">
        <v>137</v>
      </c>
      <c r="AF1539" t="s">
        <v>49</v>
      </c>
      <c r="AI1539" t="s">
        <v>49</v>
      </c>
      <c r="AM1539" t="s">
        <v>201</v>
      </c>
      <c r="AN1539" t="s">
        <v>166</v>
      </c>
      <c r="AP1539" t="s">
        <v>157</v>
      </c>
      <c r="AR1539">
        <v>1</v>
      </c>
    </row>
    <row r="1540" spans="1:44" x14ac:dyDescent="0.2">
      <c r="A1540" t="s">
        <v>974</v>
      </c>
      <c r="B1540" t="s">
        <v>975</v>
      </c>
      <c r="C1540">
        <v>2018</v>
      </c>
      <c r="D1540" t="s">
        <v>44</v>
      </c>
      <c r="F1540" t="s">
        <v>976</v>
      </c>
      <c r="G1540" t="s">
        <v>977</v>
      </c>
      <c r="H1540" t="s">
        <v>350</v>
      </c>
      <c r="I1540" t="s">
        <v>979</v>
      </c>
      <c r="J1540">
        <v>1.7</v>
      </c>
      <c r="K1540" t="s">
        <v>109</v>
      </c>
      <c r="M1540">
        <v>0</v>
      </c>
      <c r="N1540" t="s">
        <v>127</v>
      </c>
      <c r="O1540" t="s">
        <v>980</v>
      </c>
      <c r="P1540" t="s">
        <v>985</v>
      </c>
      <c r="Q1540" s="1" t="s">
        <v>2281</v>
      </c>
      <c r="R1540" s="1" t="s">
        <v>122</v>
      </c>
      <c r="S1540" s="1" t="s">
        <v>2293</v>
      </c>
      <c r="T1540" t="s">
        <v>396</v>
      </c>
      <c r="X1540" t="s">
        <v>161</v>
      </c>
      <c r="Y1540" t="s">
        <v>2272</v>
      </c>
      <c r="Z1540" t="s">
        <v>2272</v>
      </c>
      <c r="AA1540" t="s">
        <v>2272</v>
      </c>
      <c r="AB1540" t="s">
        <v>2272</v>
      </c>
      <c r="AC1540" t="s">
        <v>162</v>
      </c>
      <c r="AD1540" t="s">
        <v>2272</v>
      </c>
      <c r="AF1540" t="s">
        <v>49</v>
      </c>
      <c r="AI1540" t="s">
        <v>49</v>
      </c>
      <c r="AM1540" t="s">
        <v>201</v>
      </c>
      <c r="AN1540" t="s">
        <v>154</v>
      </c>
      <c r="AR1540">
        <v>1</v>
      </c>
    </row>
    <row r="1541" spans="1:44" x14ac:dyDescent="0.2">
      <c r="A1541" t="s">
        <v>974</v>
      </c>
      <c r="B1541" t="s">
        <v>975</v>
      </c>
      <c r="C1541">
        <v>2018</v>
      </c>
      <c r="D1541" t="s">
        <v>44</v>
      </c>
      <c r="F1541" t="s">
        <v>976</v>
      </c>
      <c r="G1541" t="s">
        <v>977</v>
      </c>
      <c r="H1541" t="s">
        <v>350</v>
      </c>
      <c r="I1541" t="s">
        <v>979</v>
      </c>
      <c r="J1541">
        <v>1.7</v>
      </c>
      <c r="K1541" t="s">
        <v>109</v>
      </c>
      <c r="M1541">
        <v>0</v>
      </c>
      <c r="N1541" t="s">
        <v>127</v>
      </c>
      <c r="O1541" t="s">
        <v>980</v>
      </c>
      <c r="P1541" t="s">
        <v>986</v>
      </c>
      <c r="Q1541" s="1" t="s">
        <v>2281</v>
      </c>
      <c r="R1541" s="1" t="s">
        <v>122</v>
      </c>
      <c r="S1541" s="1" t="s">
        <v>2293</v>
      </c>
      <c r="T1541" t="s">
        <v>396</v>
      </c>
      <c r="X1541" t="s">
        <v>161</v>
      </c>
      <c r="Y1541" t="s">
        <v>2272</v>
      </c>
      <c r="Z1541" t="s">
        <v>2272</v>
      </c>
      <c r="AA1541" t="s">
        <v>2272</v>
      </c>
      <c r="AB1541" t="s">
        <v>2272</v>
      </c>
      <c r="AC1541" t="s">
        <v>162</v>
      </c>
      <c r="AD1541" t="s">
        <v>2272</v>
      </c>
      <c r="AF1541" t="s">
        <v>49</v>
      </c>
      <c r="AI1541" t="s">
        <v>49</v>
      </c>
      <c r="AM1541" t="s">
        <v>201</v>
      </c>
      <c r="AN1541" t="s">
        <v>154</v>
      </c>
      <c r="AR1541">
        <v>1</v>
      </c>
    </row>
    <row r="1542" spans="1:44" x14ac:dyDescent="0.2">
      <c r="A1542" t="s">
        <v>987</v>
      </c>
      <c r="B1542" t="s">
        <v>988</v>
      </c>
      <c r="C1542">
        <v>2018</v>
      </c>
      <c r="D1542" t="s">
        <v>44</v>
      </c>
      <c r="E1542" t="s">
        <v>49</v>
      </c>
      <c r="F1542" t="s">
        <v>989</v>
      </c>
      <c r="G1542" t="s">
        <v>88</v>
      </c>
      <c r="H1542" t="s">
        <v>350</v>
      </c>
      <c r="L1542">
        <v>26</v>
      </c>
      <c r="M1542">
        <v>0.5</v>
      </c>
      <c r="N1542" t="s">
        <v>131</v>
      </c>
      <c r="O1542" t="s">
        <v>131</v>
      </c>
      <c r="Q1542" s="1" t="s">
        <v>2281</v>
      </c>
      <c r="R1542" s="1" t="s">
        <v>2295</v>
      </c>
      <c r="S1542" s="1" t="s">
        <v>2295</v>
      </c>
      <c r="X1542" t="s">
        <v>211</v>
      </c>
      <c r="Y1542" t="s">
        <v>2279</v>
      </c>
      <c r="Z1542" t="s">
        <v>2280</v>
      </c>
      <c r="AA1542" t="s">
        <v>2358</v>
      </c>
      <c r="AB1542" t="s">
        <v>2290</v>
      </c>
      <c r="AC1542" t="s">
        <v>152</v>
      </c>
      <c r="AD1542" t="s">
        <v>2278</v>
      </c>
      <c r="AE1542" t="s">
        <v>415</v>
      </c>
      <c r="AH1542" s="4" t="s">
        <v>49</v>
      </c>
      <c r="AI1542" t="s">
        <v>49</v>
      </c>
      <c r="AM1542" t="s">
        <v>233</v>
      </c>
      <c r="AN1542" t="s">
        <v>154</v>
      </c>
      <c r="AP1542" t="s">
        <v>157</v>
      </c>
    </row>
    <row r="1543" spans="1:44" x14ac:dyDescent="0.2">
      <c r="A1543" t="s">
        <v>987</v>
      </c>
      <c r="B1543" t="s">
        <v>988</v>
      </c>
      <c r="C1543">
        <v>2018</v>
      </c>
      <c r="D1543" t="s">
        <v>44</v>
      </c>
      <c r="E1543" t="s">
        <v>49</v>
      </c>
      <c r="F1543" t="s">
        <v>989</v>
      </c>
      <c r="G1543" t="s">
        <v>88</v>
      </c>
      <c r="H1543" t="s">
        <v>350</v>
      </c>
      <c r="L1543">
        <v>26</v>
      </c>
      <c r="M1543">
        <v>0.5</v>
      </c>
      <c r="N1543" t="s">
        <v>131</v>
      </c>
      <c r="O1543" t="s">
        <v>131</v>
      </c>
      <c r="Q1543" s="1" t="s">
        <v>2281</v>
      </c>
      <c r="R1543" s="1" t="s">
        <v>2295</v>
      </c>
      <c r="S1543" s="1" t="s">
        <v>2295</v>
      </c>
      <c r="X1543" t="s">
        <v>211</v>
      </c>
      <c r="Y1543" t="s">
        <v>2279</v>
      </c>
      <c r="Z1543" t="s">
        <v>2280</v>
      </c>
      <c r="AA1543" t="s">
        <v>2358</v>
      </c>
      <c r="AB1543" t="s">
        <v>2290</v>
      </c>
      <c r="AC1543" t="s">
        <v>152</v>
      </c>
      <c r="AD1543" t="s">
        <v>2278</v>
      </c>
      <c r="AE1543" t="s">
        <v>415</v>
      </c>
      <c r="AH1543" s="4" t="s">
        <v>49</v>
      </c>
      <c r="AI1543" t="s">
        <v>49</v>
      </c>
      <c r="AM1543" t="s">
        <v>2330</v>
      </c>
      <c r="AN1543" t="s">
        <v>171</v>
      </c>
      <c r="AP1543" t="s">
        <v>157</v>
      </c>
    </row>
    <row r="1544" spans="1:44" x14ac:dyDescent="0.2">
      <c r="A1544" t="s">
        <v>987</v>
      </c>
      <c r="B1544" t="s">
        <v>988</v>
      </c>
      <c r="C1544">
        <v>2018</v>
      </c>
      <c r="D1544" t="s">
        <v>44</v>
      </c>
      <c r="E1544" t="s">
        <v>49</v>
      </c>
      <c r="F1544" t="s">
        <v>989</v>
      </c>
      <c r="G1544" t="s">
        <v>88</v>
      </c>
      <c r="H1544" t="s">
        <v>350</v>
      </c>
      <c r="L1544">
        <v>26</v>
      </c>
      <c r="M1544">
        <v>0.5</v>
      </c>
      <c r="N1544" t="s">
        <v>131</v>
      </c>
      <c r="O1544" t="s">
        <v>131</v>
      </c>
      <c r="Q1544" s="1" t="s">
        <v>2281</v>
      </c>
      <c r="R1544" s="1" t="s">
        <v>2295</v>
      </c>
      <c r="S1544" s="1" t="s">
        <v>2295</v>
      </c>
      <c r="X1544" t="s">
        <v>211</v>
      </c>
      <c r="Y1544" t="s">
        <v>2279</v>
      </c>
      <c r="Z1544" t="s">
        <v>2280</v>
      </c>
      <c r="AA1544" t="s">
        <v>2358</v>
      </c>
      <c r="AB1544" t="s">
        <v>2290</v>
      </c>
      <c r="AC1544" t="s">
        <v>152</v>
      </c>
      <c r="AD1544" t="s">
        <v>2278</v>
      </c>
      <c r="AE1544" t="s">
        <v>415</v>
      </c>
      <c r="AH1544" s="4" t="s">
        <v>49</v>
      </c>
      <c r="AI1544" t="s">
        <v>49</v>
      </c>
      <c r="AM1544" t="s">
        <v>233</v>
      </c>
      <c r="AN1544" t="s">
        <v>109</v>
      </c>
      <c r="AO1544" t="s">
        <v>2331</v>
      </c>
      <c r="AP1544" t="s">
        <v>157</v>
      </c>
    </row>
    <row r="1545" spans="1:44" x14ac:dyDescent="0.2">
      <c r="A1545" t="s">
        <v>987</v>
      </c>
      <c r="B1545" t="s">
        <v>988</v>
      </c>
      <c r="C1545">
        <v>2018</v>
      </c>
      <c r="D1545" t="s">
        <v>44</v>
      </c>
      <c r="E1545" t="s">
        <v>49</v>
      </c>
      <c r="F1545" t="s">
        <v>989</v>
      </c>
      <c r="G1545" t="s">
        <v>88</v>
      </c>
      <c r="H1545" t="s">
        <v>350</v>
      </c>
      <c r="L1545">
        <v>26</v>
      </c>
      <c r="M1545">
        <v>0.5</v>
      </c>
      <c r="N1545" t="s">
        <v>131</v>
      </c>
      <c r="O1545" t="s">
        <v>131</v>
      </c>
      <c r="Q1545" s="1" t="s">
        <v>2281</v>
      </c>
      <c r="R1545" s="1" t="s">
        <v>2295</v>
      </c>
      <c r="S1545" s="1" t="s">
        <v>2295</v>
      </c>
      <c r="X1545" t="s">
        <v>211</v>
      </c>
      <c r="Y1545" t="s">
        <v>2279</v>
      </c>
      <c r="Z1545" t="s">
        <v>2280</v>
      </c>
      <c r="AA1545" t="s">
        <v>2358</v>
      </c>
      <c r="AB1545" t="s">
        <v>2290</v>
      </c>
      <c r="AC1545" t="s">
        <v>152</v>
      </c>
      <c r="AD1545" t="s">
        <v>2278</v>
      </c>
      <c r="AE1545" t="s">
        <v>415</v>
      </c>
      <c r="AH1545" s="4" t="s">
        <v>49</v>
      </c>
      <c r="AL1545" t="s">
        <v>49</v>
      </c>
      <c r="AM1545" t="s">
        <v>2329</v>
      </c>
      <c r="AN1545" t="s">
        <v>166</v>
      </c>
      <c r="AP1545" t="s">
        <v>157</v>
      </c>
    </row>
    <row r="1546" spans="1:44" x14ac:dyDescent="0.2">
      <c r="A1546" t="s">
        <v>987</v>
      </c>
      <c r="B1546" t="s">
        <v>988</v>
      </c>
      <c r="C1546">
        <v>2018</v>
      </c>
      <c r="D1546" t="s">
        <v>44</v>
      </c>
      <c r="E1546" t="s">
        <v>49</v>
      </c>
      <c r="F1546" t="s">
        <v>989</v>
      </c>
      <c r="G1546" t="s">
        <v>88</v>
      </c>
      <c r="H1546" t="s">
        <v>350</v>
      </c>
      <c r="L1546">
        <v>26</v>
      </c>
      <c r="M1546">
        <v>0.5</v>
      </c>
      <c r="N1546" t="s">
        <v>122</v>
      </c>
      <c r="O1546" t="s">
        <v>248</v>
      </c>
      <c r="Q1546" s="1" t="s">
        <v>2281</v>
      </c>
      <c r="R1546" s="1" t="s">
        <v>122</v>
      </c>
      <c r="S1546" s="1" t="s">
        <v>2294</v>
      </c>
      <c r="X1546" t="s">
        <v>211</v>
      </c>
      <c r="Y1546" t="s">
        <v>2279</v>
      </c>
      <c r="Z1546" t="s">
        <v>2280</v>
      </c>
      <c r="AA1546" t="s">
        <v>2358</v>
      </c>
      <c r="AB1546" t="s">
        <v>2290</v>
      </c>
      <c r="AC1546" t="s">
        <v>152</v>
      </c>
      <c r="AD1546" t="s">
        <v>2278</v>
      </c>
      <c r="AH1546" s="4" t="s">
        <v>49</v>
      </c>
      <c r="AI1546" t="s">
        <v>49</v>
      </c>
    </row>
    <row r="1547" spans="1:44" x14ac:dyDescent="0.2">
      <c r="A1547" t="s">
        <v>987</v>
      </c>
      <c r="B1547" t="s">
        <v>988</v>
      </c>
      <c r="C1547">
        <v>2018</v>
      </c>
      <c r="D1547" t="s">
        <v>44</v>
      </c>
      <c r="E1547" t="s">
        <v>49</v>
      </c>
      <c r="F1547" t="s">
        <v>989</v>
      </c>
      <c r="G1547" t="s">
        <v>88</v>
      </c>
      <c r="H1547" t="s">
        <v>350</v>
      </c>
      <c r="L1547">
        <v>26</v>
      </c>
      <c r="M1547">
        <v>0.5</v>
      </c>
      <c r="N1547" t="s">
        <v>760</v>
      </c>
      <c r="O1547" t="s">
        <v>760</v>
      </c>
      <c r="Q1547" s="1" t="s">
        <v>2292</v>
      </c>
      <c r="R1547" s="1" t="s">
        <v>760</v>
      </c>
      <c r="S1547" s="1" t="s">
        <v>760</v>
      </c>
      <c r="X1547" t="s">
        <v>161</v>
      </c>
      <c r="Y1547" t="s">
        <v>2272</v>
      </c>
      <c r="Z1547" t="s">
        <v>2272</v>
      </c>
      <c r="AA1547" t="s">
        <v>2272</v>
      </c>
      <c r="AB1547" t="s">
        <v>2272</v>
      </c>
      <c r="AC1547" t="s">
        <v>162</v>
      </c>
      <c r="AD1547" t="s">
        <v>2272</v>
      </c>
    </row>
    <row r="1548" spans="1:44" x14ac:dyDescent="0.2">
      <c r="A1548" t="s">
        <v>987</v>
      </c>
      <c r="B1548" t="s">
        <v>988</v>
      </c>
      <c r="C1548">
        <v>2018</v>
      </c>
      <c r="D1548" t="s">
        <v>44</v>
      </c>
      <c r="E1548" t="s">
        <v>49</v>
      </c>
      <c r="F1548" t="s">
        <v>989</v>
      </c>
      <c r="G1548" t="s">
        <v>88</v>
      </c>
      <c r="H1548" t="s">
        <v>350</v>
      </c>
      <c r="L1548">
        <v>26</v>
      </c>
      <c r="M1548">
        <v>0.5</v>
      </c>
      <c r="N1548" t="s">
        <v>131</v>
      </c>
      <c r="O1548" t="s">
        <v>131</v>
      </c>
      <c r="Q1548" s="1" t="s">
        <v>2281</v>
      </c>
      <c r="R1548" s="1" t="s">
        <v>2295</v>
      </c>
      <c r="S1548" s="1" t="s">
        <v>2295</v>
      </c>
      <c r="X1548" t="s">
        <v>161</v>
      </c>
      <c r="Y1548" t="s">
        <v>2272</v>
      </c>
      <c r="Z1548" t="s">
        <v>2272</v>
      </c>
      <c r="AA1548" t="s">
        <v>2272</v>
      </c>
      <c r="AB1548" t="s">
        <v>2272</v>
      </c>
      <c r="AC1548" t="s">
        <v>162</v>
      </c>
      <c r="AD1548" t="s">
        <v>2272</v>
      </c>
    </row>
    <row r="1549" spans="1:44" x14ac:dyDescent="0.2">
      <c r="A1549" t="s">
        <v>987</v>
      </c>
      <c r="B1549" t="s">
        <v>988</v>
      </c>
      <c r="C1549">
        <v>2018</v>
      </c>
      <c r="D1549" t="s">
        <v>44</v>
      </c>
      <c r="E1549" t="s">
        <v>49</v>
      </c>
      <c r="F1549" t="s">
        <v>989</v>
      </c>
      <c r="G1549" t="s">
        <v>88</v>
      </c>
      <c r="H1549" t="s">
        <v>350</v>
      </c>
      <c r="L1549">
        <v>26</v>
      </c>
      <c r="M1549">
        <v>0.5</v>
      </c>
      <c r="N1549" t="s">
        <v>122</v>
      </c>
      <c r="O1549" t="s">
        <v>248</v>
      </c>
      <c r="Q1549" s="1" t="s">
        <v>2281</v>
      </c>
      <c r="R1549" s="1" t="s">
        <v>122</v>
      </c>
      <c r="S1549" s="1" t="s">
        <v>2294</v>
      </c>
      <c r="X1549" t="s">
        <v>161</v>
      </c>
      <c r="Y1549" t="s">
        <v>2272</v>
      </c>
      <c r="Z1549" t="s">
        <v>2272</v>
      </c>
      <c r="AA1549" t="s">
        <v>2272</v>
      </c>
      <c r="AB1549" t="s">
        <v>2272</v>
      </c>
      <c r="AC1549" t="s">
        <v>162</v>
      </c>
      <c r="AD1549" t="s">
        <v>2272</v>
      </c>
    </row>
    <row r="1550" spans="1:44" x14ac:dyDescent="0.2">
      <c r="A1550" t="s">
        <v>987</v>
      </c>
      <c r="B1550" t="s">
        <v>988</v>
      </c>
      <c r="C1550">
        <v>2018</v>
      </c>
      <c r="D1550" t="s">
        <v>44</v>
      </c>
      <c r="E1550" t="s">
        <v>49</v>
      </c>
      <c r="F1550" t="s">
        <v>989</v>
      </c>
      <c r="G1550" t="s">
        <v>88</v>
      </c>
      <c r="H1550" t="s">
        <v>350</v>
      </c>
      <c r="L1550">
        <v>26</v>
      </c>
      <c r="M1550">
        <v>0.5</v>
      </c>
      <c r="N1550" t="s">
        <v>127</v>
      </c>
      <c r="O1550" t="s">
        <v>990</v>
      </c>
      <c r="Q1550" s="1" t="s">
        <v>2281</v>
      </c>
      <c r="R1550" s="1" t="s">
        <v>2291</v>
      </c>
      <c r="S1550" s="1" t="s">
        <v>2291</v>
      </c>
      <c r="X1550" t="s">
        <v>161</v>
      </c>
      <c r="Y1550" t="s">
        <v>2272</v>
      </c>
      <c r="Z1550" t="s">
        <v>2272</v>
      </c>
      <c r="AA1550" t="s">
        <v>2272</v>
      </c>
      <c r="AB1550" t="s">
        <v>2272</v>
      </c>
      <c r="AC1550" t="s">
        <v>162</v>
      </c>
      <c r="AD1550" t="s">
        <v>2272</v>
      </c>
    </row>
    <row r="1551" spans="1:44" x14ac:dyDescent="0.2">
      <c r="A1551" t="s">
        <v>987</v>
      </c>
      <c r="B1551" t="s">
        <v>988</v>
      </c>
      <c r="C1551">
        <v>2018</v>
      </c>
      <c r="D1551" t="s">
        <v>44</v>
      </c>
      <c r="E1551" t="s">
        <v>49</v>
      </c>
      <c r="F1551" t="s">
        <v>989</v>
      </c>
      <c r="G1551" t="s">
        <v>88</v>
      </c>
      <c r="H1551" t="s">
        <v>350</v>
      </c>
      <c r="L1551">
        <v>26</v>
      </c>
      <c r="M1551">
        <v>0.5</v>
      </c>
      <c r="N1551" t="s">
        <v>127</v>
      </c>
      <c r="O1551" t="s">
        <v>994</v>
      </c>
      <c r="Q1551" s="1" t="s">
        <v>2281</v>
      </c>
      <c r="R1551" s="1" t="s">
        <v>122</v>
      </c>
      <c r="S1551" s="1" t="s">
        <v>2293</v>
      </c>
      <c r="X1551" t="s">
        <v>161</v>
      </c>
      <c r="Y1551" t="s">
        <v>2272</v>
      </c>
      <c r="Z1551" t="s">
        <v>2272</v>
      </c>
      <c r="AA1551" t="s">
        <v>2272</v>
      </c>
      <c r="AB1551" t="s">
        <v>2272</v>
      </c>
      <c r="AC1551" t="s">
        <v>162</v>
      </c>
      <c r="AD1551" t="s">
        <v>2272</v>
      </c>
    </row>
    <row r="1552" spans="1:44" x14ac:dyDescent="0.2">
      <c r="A1552" t="s">
        <v>987</v>
      </c>
      <c r="B1552" t="s">
        <v>988</v>
      </c>
      <c r="C1552">
        <v>2018</v>
      </c>
      <c r="D1552" t="s">
        <v>44</v>
      </c>
      <c r="E1552" t="s">
        <v>49</v>
      </c>
      <c r="F1552" t="s">
        <v>989</v>
      </c>
      <c r="G1552" t="s">
        <v>88</v>
      </c>
      <c r="H1552" t="s">
        <v>350</v>
      </c>
      <c r="L1552">
        <v>26</v>
      </c>
      <c r="M1552">
        <v>0.5</v>
      </c>
      <c r="N1552" t="s">
        <v>466</v>
      </c>
      <c r="O1552" t="s">
        <v>991</v>
      </c>
      <c r="Q1552" s="1" t="s">
        <v>2281</v>
      </c>
      <c r="R1552" s="1" t="s">
        <v>2301</v>
      </c>
      <c r="S1552" s="1" t="s">
        <v>2303</v>
      </c>
      <c r="X1552" t="s">
        <v>161</v>
      </c>
      <c r="Y1552" t="s">
        <v>2272</v>
      </c>
      <c r="Z1552" t="s">
        <v>2272</v>
      </c>
      <c r="AA1552" t="s">
        <v>2272</v>
      </c>
      <c r="AB1552" t="s">
        <v>2272</v>
      </c>
      <c r="AC1552" t="s">
        <v>162</v>
      </c>
      <c r="AD1552" t="s">
        <v>2272</v>
      </c>
    </row>
    <row r="1553" spans="1:43" x14ac:dyDescent="0.2">
      <c r="A1553" t="s">
        <v>987</v>
      </c>
      <c r="B1553" t="s">
        <v>988</v>
      </c>
      <c r="C1553">
        <v>2018</v>
      </c>
      <c r="D1553" t="s">
        <v>44</v>
      </c>
      <c r="E1553" t="s">
        <v>49</v>
      </c>
      <c r="F1553" t="s">
        <v>989</v>
      </c>
      <c r="G1553" t="s">
        <v>88</v>
      </c>
      <c r="H1553" t="s">
        <v>350</v>
      </c>
      <c r="L1553">
        <v>26</v>
      </c>
      <c r="M1553">
        <v>0.5</v>
      </c>
      <c r="N1553" t="s">
        <v>127</v>
      </c>
      <c r="O1553" t="s">
        <v>992</v>
      </c>
      <c r="Q1553" s="1" t="s">
        <v>2281</v>
      </c>
      <c r="R1553" s="1" t="s">
        <v>122</v>
      </c>
      <c r="S1553" s="1" t="s">
        <v>2293</v>
      </c>
      <c r="X1553" t="s">
        <v>161</v>
      </c>
      <c r="Y1553" t="s">
        <v>2272</v>
      </c>
      <c r="Z1553" t="s">
        <v>2272</v>
      </c>
      <c r="AA1553" t="s">
        <v>2272</v>
      </c>
      <c r="AB1553" t="s">
        <v>2272</v>
      </c>
      <c r="AC1553" t="s">
        <v>162</v>
      </c>
      <c r="AD1553" t="s">
        <v>2272</v>
      </c>
    </row>
    <row r="1554" spans="1:43" x14ac:dyDescent="0.2">
      <c r="A1554" t="s">
        <v>987</v>
      </c>
      <c r="B1554" t="s">
        <v>988</v>
      </c>
      <c r="C1554">
        <v>2018</v>
      </c>
      <c r="D1554" t="s">
        <v>44</v>
      </c>
      <c r="E1554" t="s">
        <v>49</v>
      </c>
      <c r="F1554" t="s">
        <v>989</v>
      </c>
      <c r="G1554" t="s">
        <v>88</v>
      </c>
      <c r="H1554" t="s">
        <v>350</v>
      </c>
      <c r="L1554">
        <v>26</v>
      </c>
      <c r="M1554">
        <v>0.5</v>
      </c>
      <c r="N1554" t="s">
        <v>127</v>
      </c>
      <c r="O1554" t="s">
        <v>993</v>
      </c>
      <c r="Q1554" s="1" t="s">
        <v>2276</v>
      </c>
      <c r="R1554" s="1" t="s">
        <v>2350</v>
      </c>
      <c r="S1554" s="1" t="s">
        <v>2350</v>
      </c>
      <c r="X1554" t="s">
        <v>161</v>
      </c>
      <c r="Y1554" t="s">
        <v>2272</v>
      </c>
      <c r="Z1554" t="s">
        <v>2272</v>
      </c>
      <c r="AA1554" t="s">
        <v>2272</v>
      </c>
      <c r="AB1554" t="s">
        <v>2272</v>
      </c>
      <c r="AC1554" t="s">
        <v>162</v>
      </c>
      <c r="AD1554" t="s">
        <v>2272</v>
      </c>
    </row>
    <row r="1555" spans="1:43" x14ac:dyDescent="0.2">
      <c r="A1555" t="s">
        <v>987</v>
      </c>
      <c r="B1555" t="s">
        <v>988</v>
      </c>
      <c r="C1555">
        <v>2018</v>
      </c>
      <c r="D1555" t="s">
        <v>44</v>
      </c>
      <c r="E1555" t="s">
        <v>49</v>
      </c>
      <c r="F1555" t="s">
        <v>989</v>
      </c>
      <c r="G1555" t="s">
        <v>88</v>
      </c>
      <c r="H1555" t="s">
        <v>350</v>
      </c>
      <c r="L1555">
        <v>26</v>
      </c>
      <c r="M1555">
        <v>0.5</v>
      </c>
      <c r="N1555" t="s">
        <v>121</v>
      </c>
      <c r="O1555" t="s">
        <v>121</v>
      </c>
      <c r="Q1555" s="1" t="s">
        <v>2292</v>
      </c>
      <c r="R1555" s="1" t="s">
        <v>264</v>
      </c>
      <c r="S1555" s="1" t="s">
        <v>264</v>
      </c>
      <c r="X1555" t="s">
        <v>161</v>
      </c>
      <c r="Y1555" t="s">
        <v>2272</v>
      </c>
      <c r="Z1555" t="s">
        <v>2272</v>
      </c>
      <c r="AA1555" t="s">
        <v>2272</v>
      </c>
      <c r="AB1555" t="s">
        <v>2272</v>
      </c>
      <c r="AC1555" t="s">
        <v>162</v>
      </c>
      <c r="AD1555" t="s">
        <v>2272</v>
      </c>
    </row>
    <row r="1556" spans="1:43" x14ac:dyDescent="0.2">
      <c r="A1556" t="s">
        <v>987</v>
      </c>
      <c r="B1556" t="s">
        <v>988</v>
      </c>
      <c r="C1556">
        <v>2018</v>
      </c>
      <c r="D1556" t="s">
        <v>44</v>
      </c>
      <c r="E1556" t="s">
        <v>49</v>
      </c>
      <c r="F1556" t="s">
        <v>989</v>
      </c>
      <c r="G1556" t="s">
        <v>88</v>
      </c>
      <c r="H1556" t="s">
        <v>350</v>
      </c>
      <c r="L1556">
        <v>26</v>
      </c>
      <c r="M1556">
        <v>0.5</v>
      </c>
      <c r="N1556" t="s">
        <v>128</v>
      </c>
      <c r="O1556" t="s">
        <v>221</v>
      </c>
      <c r="Q1556" s="1" t="s">
        <v>2276</v>
      </c>
      <c r="R1556" s="1" t="s">
        <v>2350</v>
      </c>
      <c r="S1556" s="1" t="s">
        <v>2350</v>
      </c>
      <c r="X1556" t="s">
        <v>161</v>
      </c>
      <c r="Y1556" t="s">
        <v>2272</v>
      </c>
      <c r="Z1556" t="s">
        <v>2272</v>
      </c>
      <c r="AA1556" t="s">
        <v>2272</v>
      </c>
      <c r="AB1556" t="s">
        <v>2272</v>
      </c>
      <c r="AC1556" t="s">
        <v>162</v>
      </c>
      <c r="AD1556" t="s">
        <v>2272</v>
      </c>
    </row>
    <row r="1557" spans="1:43" x14ac:dyDescent="0.2">
      <c r="A1557" t="s">
        <v>995</v>
      </c>
      <c r="B1557" t="s">
        <v>996</v>
      </c>
      <c r="C1557">
        <v>2018</v>
      </c>
      <c r="D1557" t="s">
        <v>44</v>
      </c>
      <c r="F1557" t="s">
        <v>997</v>
      </c>
      <c r="G1557" t="s">
        <v>88</v>
      </c>
      <c r="H1557" t="s">
        <v>350</v>
      </c>
      <c r="I1557">
        <v>2016</v>
      </c>
      <c r="J1557">
        <v>0.17</v>
      </c>
      <c r="K1557" t="s">
        <v>101</v>
      </c>
      <c r="L1557">
        <v>10</v>
      </c>
      <c r="N1557" t="s">
        <v>121</v>
      </c>
      <c r="O1557" t="s">
        <v>121</v>
      </c>
      <c r="P1557" t="s">
        <v>1001</v>
      </c>
      <c r="Q1557" s="1" t="s">
        <v>2292</v>
      </c>
      <c r="R1557" s="1" t="s">
        <v>264</v>
      </c>
      <c r="S1557" s="1" t="s">
        <v>264</v>
      </c>
      <c r="V1557" t="s">
        <v>194</v>
      </c>
      <c r="W1557" t="s">
        <v>372</v>
      </c>
      <c r="X1557" t="s">
        <v>211</v>
      </c>
      <c r="Y1557" t="s">
        <v>2279</v>
      </c>
      <c r="Z1557" t="s">
        <v>2280</v>
      </c>
      <c r="AA1557" t="s">
        <v>2358</v>
      </c>
      <c r="AB1557" t="s">
        <v>2290</v>
      </c>
      <c r="AC1557" t="s">
        <v>152</v>
      </c>
      <c r="AD1557" t="s">
        <v>2278</v>
      </c>
      <c r="AE1557" t="s">
        <v>415</v>
      </c>
    </row>
    <row r="1558" spans="1:43" x14ac:dyDescent="0.2">
      <c r="A1558" t="s">
        <v>995</v>
      </c>
      <c r="B1558" t="s">
        <v>996</v>
      </c>
      <c r="C1558">
        <v>2018</v>
      </c>
      <c r="D1558" t="s">
        <v>44</v>
      </c>
      <c r="F1558" t="s">
        <v>997</v>
      </c>
      <c r="G1558" t="s">
        <v>88</v>
      </c>
      <c r="H1558" t="s">
        <v>350</v>
      </c>
      <c r="I1558">
        <v>2016</v>
      </c>
      <c r="J1558">
        <v>0.17</v>
      </c>
      <c r="K1558" t="s">
        <v>101</v>
      </c>
      <c r="L1558">
        <v>10</v>
      </c>
      <c r="M1558">
        <v>3.7999999999999999E-2</v>
      </c>
      <c r="N1558" t="s">
        <v>121</v>
      </c>
      <c r="O1558" t="s">
        <v>1000</v>
      </c>
      <c r="P1558" t="s">
        <v>372</v>
      </c>
      <c r="Q1558" s="1" t="s">
        <v>2292</v>
      </c>
      <c r="R1558" s="1" t="s">
        <v>264</v>
      </c>
      <c r="S1558" s="1" t="s">
        <v>264</v>
      </c>
      <c r="V1558" t="s">
        <v>194</v>
      </c>
      <c r="W1558" t="s">
        <v>372</v>
      </c>
      <c r="X1558" t="s">
        <v>171</v>
      </c>
      <c r="Y1558" t="s">
        <v>2279</v>
      </c>
      <c r="Z1558" t="s">
        <v>2280</v>
      </c>
      <c r="AA1558" t="s">
        <v>2358</v>
      </c>
      <c r="AB1558" t="s">
        <v>2580</v>
      </c>
      <c r="AC1558" t="s">
        <v>152</v>
      </c>
      <c r="AD1558" t="s">
        <v>2278</v>
      </c>
    </row>
    <row r="1559" spans="1:43" x14ac:dyDescent="0.2">
      <c r="A1559" t="s">
        <v>995</v>
      </c>
      <c r="B1559" t="s">
        <v>996</v>
      </c>
      <c r="C1559">
        <v>2018</v>
      </c>
      <c r="D1559" t="s">
        <v>44</v>
      </c>
      <c r="F1559" t="s">
        <v>997</v>
      </c>
      <c r="G1559" t="s">
        <v>88</v>
      </c>
      <c r="H1559" t="s">
        <v>350</v>
      </c>
      <c r="I1559">
        <v>2016</v>
      </c>
      <c r="J1559">
        <v>0.17</v>
      </c>
      <c r="K1559" t="s">
        <v>101</v>
      </c>
      <c r="L1559">
        <v>10</v>
      </c>
      <c r="M1559">
        <v>3.7999999999999999E-2</v>
      </c>
      <c r="N1559" t="s">
        <v>121</v>
      </c>
      <c r="O1559" t="s">
        <v>1000</v>
      </c>
      <c r="P1559" t="s">
        <v>372</v>
      </c>
      <c r="Q1559" s="1" t="s">
        <v>2292</v>
      </c>
      <c r="R1559" s="1" t="s">
        <v>264</v>
      </c>
      <c r="S1559" s="1" t="s">
        <v>264</v>
      </c>
      <c r="V1559" t="s">
        <v>194</v>
      </c>
      <c r="W1559" t="s">
        <v>372</v>
      </c>
      <c r="X1559" t="s">
        <v>998</v>
      </c>
      <c r="Y1559" t="s">
        <v>2273</v>
      </c>
      <c r="Z1559" t="s">
        <v>249</v>
      </c>
      <c r="AA1559" t="s">
        <v>2359</v>
      </c>
      <c r="AB1559" t="s">
        <v>1979</v>
      </c>
      <c r="AC1559" t="s">
        <v>152</v>
      </c>
      <c r="AD1559" t="s">
        <v>2288</v>
      </c>
    </row>
    <row r="1560" spans="1:43" x14ac:dyDescent="0.2">
      <c r="A1560" t="s">
        <v>995</v>
      </c>
      <c r="B1560" t="s">
        <v>996</v>
      </c>
      <c r="C1560">
        <v>2018</v>
      </c>
      <c r="D1560" t="s">
        <v>44</v>
      </c>
      <c r="F1560" t="s">
        <v>997</v>
      </c>
      <c r="G1560" t="s">
        <v>88</v>
      </c>
      <c r="H1560" t="s">
        <v>350</v>
      </c>
      <c r="I1560">
        <v>2016</v>
      </c>
      <c r="J1560">
        <v>0.17</v>
      </c>
      <c r="K1560" t="s">
        <v>101</v>
      </c>
      <c r="L1560">
        <v>10</v>
      </c>
      <c r="M1560">
        <v>3.7999999999999999E-2</v>
      </c>
      <c r="N1560" t="s">
        <v>121</v>
      </c>
      <c r="O1560" t="s">
        <v>1000</v>
      </c>
      <c r="P1560" t="s">
        <v>372</v>
      </c>
      <c r="Q1560" s="1" t="s">
        <v>2292</v>
      </c>
      <c r="R1560" s="1" t="s">
        <v>264</v>
      </c>
      <c r="S1560" s="1" t="s">
        <v>264</v>
      </c>
      <c r="V1560" t="s">
        <v>194</v>
      </c>
      <c r="W1560" t="s">
        <v>372</v>
      </c>
      <c r="X1560" t="s">
        <v>999</v>
      </c>
      <c r="Y1560" t="s">
        <v>2273</v>
      </c>
      <c r="Z1560" t="s">
        <v>249</v>
      </c>
      <c r="AA1560" t="s">
        <v>2359</v>
      </c>
      <c r="AB1560" t="s">
        <v>1979</v>
      </c>
      <c r="AC1560" t="s">
        <v>152</v>
      </c>
      <c r="AD1560" t="s">
        <v>2288</v>
      </c>
    </row>
    <row r="1561" spans="1:43" x14ac:dyDescent="0.2">
      <c r="A1561" t="s">
        <v>995</v>
      </c>
      <c r="B1561" t="s">
        <v>996</v>
      </c>
      <c r="C1561">
        <v>2018</v>
      </c>
      <c r="D1561" t="s">
        <v>44</v>
      </c>
      <c r="F1561" t="s">
        <v>997</v>
      </c>
      <c r="G1561" t="s">
        <v>88</v>
      </c>
      <c r="H1561" t="s">
        <v>350</v>
      </c>
      <c r="I1561">
        <v>2016</v>
      </c>
      <c r="J1561">
        <v>0.17</v>
      </c>
      <c r="K1561" t="s">
        <v>101</v>
      </c>
      <c r="L1561">
        <v>10</v>
      </c>
      <c r="M1561">
        <v>3.7999999999999999E-2</v>
      </c>
      <c r="N1561" t="s">
        <v>121</v>
      </c>
      <c r="O1561" t="s">
        <v>1000</v>
      </c>
      <c r="P1561" t="s">
        <v>372</v>
      </c>
      <c r="Q1561" s="1" t="s">
        <v>2292</v>
      </c>
      <c r="R1561" s="1" t="s">
        <v>264</v>
      </c>
      <c r="S1561" s="1" t="s">
        <v>264</v>
      </c>
      <c r="V1561" t="s">
        <v>194</v>
      </c>
      <c r="W1561" t="s">
        <v>372</v>
      </c>
      <c r="X1561" t="s">
        <v>2261</v>
      </c>
      <c r="Y1561" t="s">
        <v>2279</v>
      </c>
      <c r="Z1561" t="s">
        <v>2280</v>
      </c>
      <c r="AA1561" t="s">
        <v>2358</v>
      </c>
      <c r="AB1561" t="s">
        <v>2580</v>
      </c>
      <c r="AC1561" t="s">
        <v>315</v>
      </c>
      <c r="AD1561" t="s">
        <v>2278</v>
      </c>
    </row>
    <row r="1562" spans="1:43" x14ac:dyDescent="0.2">
      <c r="A1562" t="s">
        <v>995</v>
      </c>
      <c r="B1562" t="s">
        <v>996</v>
      </c>
      <c r="C1562">
        <v>2018</v>
      </c>
      <c r="D1562" t="s">
        <v>44</v>
      </c>
      <c r="F1562" t="s">
        <v>997</v>
      </c>
      <c r="G1562" t="s">
        <v>88</v>
      </c>
      <c r="H1562" t="s">
        <v>350</v>
      </c>
      <c r="I1562">
        <v>2016</v>
      </c>
      <c r="J1562">
        <v>0.17</v>
      </c>
      <c r="K1562" t="s">
        <v>101</v>
      </c>
      <c r="L1562">
        <v>10</v>
      </c>
      <c r="M1562">
        <v>6.25E-2</v>
      </c>
      <c r="N1562" t="s">
        <v>121</v>
      </c>
      <c r="O1562" t="s">
        <v>1000</v>
      </c>
      <c r="P1562" t="s">
        <v>372</v>
      </c>
      <c r="Q1562" s="1" t="s">
        <v>2292</v>
      </c>
      <c r="R1562" s="1" t="s">
        <v>264</v>
      </c>
      <c r="S1562" s="1" t="s">
        <v>264</v>
      </c>
      <c r="V1562" t="s">
        <v>194</v>
      </c>
      <c r="W1562" t="s">
        <v>372</v>
      </c>
      <c r="X1562" t="s">
        <v>171</v>
      </c>
      <c r="Y1562" t="s">
        <v>2279</v>
      </c>
      <c r="Z1562" t="s">
        <v>2280</v>
      </c>
      <c r="AA1562" t="s">
        <v>2358</v>
      </c>
      <c r="AB1562" t="s">
        <v>2580</v>
      </c>
      <c r="AC1562" t="s">
        <v>152</v>
      </c>
      <c r="AD1562" t="s">
        <v>2278</v>
      </c>
    </row>
    <row r="1563" spans="1:43" x14ac:dyDescent="0.2">
      <c r="A1563" t="s">
        <v>995</v>
      </c>
      <c r="B1563" t="s">
        <v>996</v>
      </c>
      <c r="C1563">
        <v>2018</v>
      </c>
      <c r="D1563" t="s">
        <v>44</v>
      </c>
      <c r="F1563" t="s">
        <v>997</v>
      </c>
      <c r="G1563" t="s">
        <v>88</v>
      </c>
      <c r="H1563" t="s">
        <v>350</v>
      </c>
      <c r="I1563">
        <v>2016</v>
      </c>
      <c r="J1563">
        <v>0.17</v>
      </c>
      <c r="K1563" t="s">
        <v>101</v>
      </c>
      <c r="L1563">
        <v>10</v>
      </c>
      <c r="N1563" t="s">
        <v>121</v>
      </c>
      <c r="O1563" t="s">
        <v>1000</v>
      </c>
      <c r="P1563" t="s">
        <v>372</v>
      </c>
      <c r="Q1563" s="1" t="s">
        <v>2292</v>
      </c>
      <c r="R1563" s="1" t="s">
        <v>264</v>
      </c>
      <c r="S1563" s="1" t="s">
        <v>264</v>
      </c>
      <c r="V1563" t="s">
        <v>194</v>
      </c>
      <c r="W1563" t="s">
        <v>372</v>
      </c>
      <c r="X1563" t="s">
        <v>211</v>
      </c>
      <c r="Y1563" t="s">
        <v>2279</v>
      </c>
      <c r="Z1563" t="s">
        <v>2280</v>
      </c>
      <c r="AA1563" t="s">
        <v>2358</v>
      </c>
      <c r="AB1563" t="s">
        <v>2290</v>
      </c>
      <c r="AC1563" t="s">
        <v>152</v>
      </c>
      <c r="AD1563" t="s">
        <v>2278</v>
      </c>
      <c r="AE1563" t="s">
        <v>415</v>
      </c>
    </row>
    <row r="1564" spans="1:43" x14ac:dyDescent="0.2">
      <c r="A1564" t="s">
        <v>995</v>
      </c>
      <c r="B1564" t="s">
        <v>996</v>
      </c>
      <c r="C1564">
        <v>2018</v>
      </c>
      <c r="D1564" t="s">
        <v>44</v>
      </c>
      <c r="F1564" t="s">
        <v>997</v>
      </c>
      <c r="G1564" t="s">
        <v>88</v>
      </c>
      <c r="H1564" t="s">
        <v>350</v>
      </c>
      <c r="I1564">
        <v>2016</v>
      </c>
      <c r="J1564">
        <v>0.17</v>
      </c>
      <c r="K1564" t="s">
        <v>101</v>
      </c>
      <c r="L1564">
        <v>10</v>
      </c>
      <c r="N1564" t="s">
        <v>121</v>
      </c>
      <c r="O1564" t="s">
        <v>1000</v>
      </c>
      <c r="P1564" t="s">
        <v>1001</v>
      </c>
      <c r="Q1564" s="1" t="s">
        <v>2292</v>
      </c>
      <c r="R1564" s="1" t="s">
        <v>264</v>
      </c>
      <c r="S1564" s="1" t="s">
        <v>264</v>
      </c>
      <c r="T1564" t="s">
        <v>396</v>
      </c>
      <c r="V1564" t="s">
        <v>194</v>
      </c>
      <c r="W1564" t="s">
        <v>372</v>
      </c>
      <c r="X1564" t="s">
        <v>161</v>
      </c>
      <c r="Y1564" t="s">
        <v>2272</v>
      </c>
      <c r="Z1564" t="s">
        <v>2272</v>
      </c>
      <c r="AA1564" t="s">
        <v>2272</v>
      </c>
      <c r="AB1564" t="s">
        <v>2272</v>
      </c>
      <c r="AC1564" t="s">
        <v>162</v>
      </c>
      <c r="AD1564" t="s">
        <v>2272</v>
      </c>
      <c r="AF1564" t="s">
        <v>49</v>
      </c>
      <c r="AI1564" t="s">
        <v>49</v>
      </c>
      <c r="AM1564" t="s">
        <v>202</v>
      </c>
    </row>
    <row r="1565" spans="1:43" x14ac:dyDescent="0.2">
      <c r="A1565" t="s">
        <v>995</v>
      </c>
      <c r="B1565" t="s">
        <v>996</v>
      </c>
      <c r="C1565">
        <v>2018</v>
      </c>
      <c r="D1565" t="s">
        <v>44</v>
      </c>
      <c r="F1565" t="s">
        <v>997</v>
      </c>
      <c r="G1565" t="s">
        <v>88</v>
      </c>
      <c r="H1565" t="s">
        <v>350</v>
      </c>
      <c r="I1565">
        <v>2016</v>
      </c>
      <c r="J1565">
        <v>0.17</v>
      </c>
      <c r="K1565" t="s">
        <v>101</v>
      </c>
      <c r="L1565">
        <v>10</v>
      </c>
      <c r="N1565" t="s">
        <v>121</v>
      </c>
      <c r="O1565" t="s">
        <v>1000</v>
      </c>
      <c r="P1565" t="s">
        <v>372</v>
      </c>
      <c r="Q1565" s="1" t="s">
        <v>2292</v>
      </c>
      <c r="R1565" s="1" t="s">
        <v>264</v>
      </c>
      <c r="S1565" s="1" t="s">
        <v>264</v>
      </c>
      <c r="T1565" t="s">
        <v>396</v>
      </c>
      <c r="V1565" t="s">
        <v>194</v>
      </c>
      <c r="W1565" t="s">
        <v>372</v>
      </c>
      <c r="X1565" t="s">
        <v>161</v>
      </c>
      <c r="Y1565" t="s">
        <v>2272</v>
      </c>
      <c r="Z1565" t="s">
        <v>2272</v>
      </c>
      <c r="AA1565" t="s">
        <v>2272</v>
      </c>
      <c r="AB1565" t="s">
        <v>2272</v>
      </c>
      <c r="AC1565" t="s">
        <v>162</v>
      </c>
      <c r="AD1565" t="s">
        <v>2272</v>
      </c>
      <c r="AF1565" t="s">
        <v>49</v>
      </c>
      <c r="AI1565" t="s">
        <v>49</v>
      </c>
      <c r="AM1565" t="s">
        <v>202</v>
      </c>
    </row>
    <row r="1566" spans="1:43" x14ac:dyDescent="0.2">
      <c r="A1566" t="s">
        <v>1002</v>
      </c>
      <c r="B1566" t="s">
        <v>1003</v>
      </c>
      <c r="C1566">
        <v>2018</v>
      </c>
      <c r="D1566" t="s">
        <v>44</v>
      </c>
      <c r="E1566" t="s">
        <v>49</v>
      </c>
      <c r="F1566" t="s">
        <v>81</v>
      </c>
      <c r="G1566" t="s">
        <v>86</v>
      </c>
      <c r="H1566" t="s">
        <v>350</v>
      </c>
      <c r="I1566" t="s">
        <v>106</v>
      </c>
      <c r="J1566">
        <v>1.17</v>
      </c>
      <c r="K1566" t="s">
        <v>42</v>
      </c>
      <c r="L1566">
        <v>22</v>
      </c>
      <c r="N1566" t="s">
        <v>129</v>
      </c>
      <c r="O1566" t="s">
        <v>129</v>
      </c>
      <c r="P1566" t="s">
        <v>757</v>
      </c>
      <c r="Q1566" s="1" t="s">
        <v>2276</v>
      </c>
      <c r="R1566" s="1" t="s">
        <v>751</v>
      </c>
      <c r="S1566" s="1" t="s">
        <v>2346</v>
      </c>
      <c r="T1566" t="s">
        <v>396</v>
      </c>
      <c r="U1566" s="1" t="s">
        <v>168</v>
      </c>
      <c r="X1566" t="s">
        <v>161</v>
      </c>
      <c r="Y1566" t="s">
        <v>2272</v>
      </c>
      <c r="Z1566" t="s">
        <v>2272</v>
      </c>
      <c r="AA1566" t="s">
        <v>2272</v>
      </c>
      <c r="AB1566" t="s">
        <v>2272</v>
      </c>
      <c r="AC1566" t="s">
        <v>162</v>
      </c>
      <c r="AD1566" t="s">
        <v>2272</v>
      </c>
      <c r="AH1566" t="s">
        <v>49</v>
      </c>
      <c r="AL1566" t="s">
        <v>49</v>
      </c>
      <c r="AM1566" t="s">
        <v>1004</v>
      </c>
      <c r="AN1566" t="s">
        <v>109</v>
      </c>
      <c r="AO1566" t="s">
        <v>1005</v>
      </c>
      <c r="AQ1566" s="5">
        <v>0</v>
      </c>
    </row>
    <row r="1567" spans="1:43" x14ac:dyDescent="0.2">
      <c r="A1567" t="s">
        <v>1002</v>
      </c>
      <c r="B1567" t="s">
        <v>1003</v>
      </c>
      <c r="C1567">
        <v>2018</v>
      </c>
      <c r="D1567" t="s">
        <v>44</v>
      </c>
      <c r="E1567" t="s">
        <v>49</v>
      </c>
      <c r="F1567" t="s">
        <v>81</v>
      </c>
      <c r="G1567" t="s">
        <v>86</v>
      </c>
      <c r="H1567" t="s">
        <v>350</v>
      </c>
      <c r="I1567" t="s">
        <v>106</v>
      </c>
      <c r="J1567">
        <v>1.17</v>
      </c>
      <c r="K1567" t="s">
        <v>42</v>
      </c>
      <c r="L1567">
        <v>22</v>
      </c>
      <c r="N1567" t="s">
        <v>120</v>
      </c>
      <c r="O1567" t="s">
        <v>252</v>
      </c>
      <c r="P1567" t="s">
        <v>756</v>
      </c>
      <c r="Q1567" s="1" t="s">
        <v>2276</v>
      </c>
      <c r="R1567" s="1" t="s">
        <v>669</v>
      </c>
      <c r="S1567" s="1" t="s">
        <v>168</v>
      </c>
      <c r="T1567" t="s">
        <v>396</v>
      </c>
      <c r="U1567" s="1" t="s">
        <v>2346</v>
      </c>
      <c r="X1567" t="s">
        <v>161</v>
      </c>
      <c r="Y1567" t="s">
        <v>2272</v>
      </c>
      <c r="Z1567" t="s">
        <v>2272</v>
      </c>
      <c r="AA1567" t="s">
        <v>2272</v>
      </c>
      <c r="AB1567" t="s">
        <v>2272</v>
      </c>
      <c r="AC1567" t="s">
        <v>162</v>
      </c>
      <c r="AD1567" t="s">
        <v>2272</v>
      </c>
      <c r="AH1567" t="s">
        <v>49</v>
      </c>
      <c r="AL1567" t="s">
        <v>49</v>
      </c>
      <c r="AM1567" t="s">
        <v>1004</v>
      </c>
      <c r="AN1567" t="s">
        <v>109</v>
      </c>
      <c r="AO1567" t="s">
        <v>1005</v>
      </c>
      <c r="AQ1567" s="5">
        <v>0</v>
      </c>
    </row>
    <row r="1568" spans="1:43" x14ac:dyDescent="0.2">
      <c r="A1568" t="s">
        <v>1002</v>
      </c>
      <c r="B1568" t="s">
        <v>1003</v>
      </c>
      <c r="C1568">
        <v>2018</v>
      </c>
      <c r="D1568" t="s">
        <v>44</v>
      </c>
      <c r="E1568" t="s">
        <v>49</v>
      </c>
      <c r="F1568" t="s">
        <v>81</v>
      </c>
      <c r="G1568" t="s">
        <v>86</v>
      </c>
      <c r="H1568" t="s">
        <v>350</v>
      </c>
      <c r="I1568" t="s">
        <v>106</v>
      </c>
      <c r="J1568">
        <v>1.17</v>
      </c>
      <c r="K1568" t="s">
        <v>42</v>
      </c>
      <c r="L1568">
        <v>22</v>
      </c>
      <c r="N1568" t="s">
        <v>129</v>
      </c>
      <c r="O1568" t="s">
        <v>129</v>
      </c>
      <c r="P1568" t="s">
        <v>757</v>
      </c>
      <c r="Q1568" s="1" t="s">
        <v>2276</v>
      </c>
      <c r="R1568" s="1" t="s">
        <v>751</v>
      </c>
      <c r="S1568" s="1" t="s">
        <v>2346</v>
      </c>
      <c r="T1568" t="s">
        <v>396</v>
      </c>
      <c r="U1568" s="1" t="s">
        <v>168</v>
      </c>
      <c r="X1568" t="s">
        <v>161</v>
      </c>
      <c r="Y1568" t="s">
        <v>2272</v>
      </c>
      <c r="Z1568" t="s">
        <v>2272</v>
      </c>
      <c r="AA1568" t="s">
        <v>2272</v>
      </c>
      <c r="AB1568" t="s">
        <v>2272</v>
      </c>
      <c r="AC1568" t="s">
        <v>162</v>
      </c>
      <c r="AD1568" t="s">
        <v>2272</v>
      </c>
      <c r="AH1568" t="s">
        <v>49</v>
      </c>
      <c r="AL1568" t="s">
        <v>49</v>
      </c>
      <c r="AM1568" t="s">
        <v>1004</v>
      </c>
      <c r="AN1568" t="s">
        <v>109</v>
      </c>
      <c r="AO1568" t="s">
        <v>1006</v>
      </c>
      <c r="AQ1568" s="5">
        <v>0</v>
      </c>
    </row>
    <row r="1569" spans="1:43" x14ac:dyDescent="0.2">
      <c r="A1569" t="s">
        <v>1002</v>
      </c>
      <c r="B1569" t="s">
        <v>1003</v>
      </c>
      <c r="C1569">
        <v>2018</v>
      </c>
      <c r="D1569" t="s">
        <v>44</v>
      </c>
      <c r="E1569" t="s">
        <v>49</v>
      </c>
      <c r="F1569" t="s">
        <v>81</v>
      </c>
      <c r="G1569" t="s">
        <v>86</v>
      </c>
      <c r="H1569" t="s">
        <v>350</v>
      </c>
      <c r="I1569" t="s">
        <v>106</v>
      </c>
      <c r="J1569">
        <v>1.17</v>
      </c>
      <c r="K1569" t="s">
        <v>42</v>
      </c>
      <c r="L1569">
        <v>22</v>
      </c>
      <c r="N1569" t="s">
        <v>120</v>
      </c>
      <c r="O1569" t="s">
        <v>252</v>
      </c>
      <c r="P1569" t="s">
        <v>756</v>
      </c>
      <c r="Q1569" s="1" t="s">
        <v>2276</v>
      </c>
      <c r="R1569" s="1" t="s">
        <v>669</v>
      </c>
      <c r="S1569" s="1" t="s">
        <v>168</v>
      </c>
      <c r="T1569" t="s">
        <v>396</v>
      </c>
      <c r="U1569" s="1" t="s">
        <v>2346</v>
      </c>
      <c r="X1569" t="s">
        <v>161</v>
      </c>
      <c r="Y1569" t="s">
        <v>2272</v>
      </c>
      <c r="Z1569" t="s">
        <v>2272</v>
      </c>
      <c r="AA1569" t="s">
        <v>2272</v>
      </c>
      <c r="AB1569" t="s">
        <v>2272</v>
      </c>
      <c r="AC1569" t="s">
        <v>162</v>
      </c>
      <c r="AD1569" t="s">
        <v>2272</v>
      </c>
      <c r="AH1569" t="s">
        <v>49</v>
      </c>
      <c r="AL1569" t="s">
        <v>49</v>
      </c>
      <c r="AM1569" t="s">
        <v>1004</v>
      </c>
      <c r="AN1569" t="s">
        <v>109</v>
      </c>
      <c r="AO1569" t="s">
        <v>1006</v>
      </c>
      <c r="AQ1569" s="5">
        <v>0</v>
      </c>
    </row>
    <row r="1570" spans="1:43" x14ac:dyDescent="0.2">
      <c r="A1570" t="s">
        <v>1002</v>
      </c>
      <c r="B1570" t="s">
        <v>1003</v>
      </c>
      <c r="C1570">
        <v>2018</v>
      </c>
      <c r="D1570" t="s">
        <v>45</v>
      </c>
      <c r="E1570" t="s">
        <v>49</v>
      </c>
      <c r="F1570" t="s">
        <v>81</v>
      </c>
      <c r="G1570" t="s">
        <v>86</v>
      </c>
      <c r="H1570" t="s">
        <v>350</v>
      </c>
      <c r="I1570">
        <v>2014</v>
      </c>
      <c r="J1570">
        <v>1.4E-2</v>
      </c>
      <c r="N1570" t="s">
        <v>129</v>
      </c>
      <c r="O1570" t="s">
        <v>129</v>
      </c>
      <c r="P1570" t="s">
        <v>757</v>
      </c>
      <c r="Q1570" s="1" t="s">
        <v>2276</v>
      </c>
      <c r="R1570" s="1" t="s">
        <v>751</v>
      </c>
      <c r="S1570" s="1" t="s">
        <v>2346</v>
      </c>
      <c r="X1570" t="s">
        <v>151</v>
      </c>
      <c r="Y1570" t="s">
        <v>2273</v>
      </c>
      <c r="Z1570" t="s">
        <v>249</v>
      </c>
      <c r="AA1570" t="s">
        <v>2274</v>
      </c>
      <c r="AB1570" t="s">
        <v>2283</v>
      </c>
      <c r="AC1570" t="s">
        <v>162</v>
      </c>
      <c r="AD1570" t="s">
        <v>137</v>
      </c>
    </row>
    <row r="1571" spans="1:43" x14ac:dyDescent="0.2">
      <c r="A1571" t="s">
        <v>1002</v>
      </c>
      <c r="B1571" t="s">
        <v>1003</v>
      </c>
      <c r="C1571">
        <v>2018</v>
      </c>
      <c r="D1571" t="s">
        <v>45</v>
      </c>
      <c r="E1571" t="s">
        <v>49</v>
      </c>
      <c r="F1571" t="s">
        <v>81</v>
      </c>
      <c r="G1571" t="s">
        <v>86</v>
      </c>
      <c r="H1571" t="s">
        <v>350</v>
      </c>
      <c r="I1571">
        <v>2014</v>
      </c>
      <c r="J1571">
        <v>1.4E-2</v>
      </c>
      <c r="N1571" t="s">
        <v>128</v>
      </c>
      <c r="O1571" t="s">
        <v>221</v>
      </c>
      <c r="P1571" t="s">
        <v>1008</v>
      </c>
      <c r="Q1571" s="1" t="s">
        <v>2276</v>
      </c>
      <c r="R1571" s="1" t="s">
        <v>751</v>
      </c>
      <c r="S1571" s="1" t="s">
        <v>2346</v>
      </c>
      <c r="X1571" t="s">
        <v>151</v>
      </c>
      <c r="Y1571" t="s">
        <v>2273</v>
      </c>
      <c r="Z1571" t="s">
        <v>249</v>
      </c>
      <c r="AA1571" t="s">
        <v>2274</v>
      </c>
      <c r="AB1571" t="s">
        <v>2283</v>
      </c>
      <c r="AC1571" t="s">
        <v>162</v>
      </c>
      <c r="AD1571" t="s">
        <v>137</v>
      </c>
    </row>
    <row r="1572" spans="1:43" x14ac:dyDescent="0.2">
      <c r="A1572" t="s">
        <v>1002</v>
      </c>
      <c r="B1572" t="s">
        <v>1003</v>
      </c>
      <c r="C1572">
        <v>2018</v>
      </c>
      <c r="D1572" t="s">
        <v>45</v>
      </c>
      <c r="E1572" t="s">
        <v>49</v>
      </c>
      <c r="F1572" t="s">
        <v>81</v>
      </c>
      <c r="G1572" t="s">
        <v>86</v>
      </c>
      <c r="H1572" t="s">
        <v>350</v>
      </c>
      <c r="I1572">
        <v>2014</v>
      </c>
      <c r="J1572">
        <v>1.4E-2</v>
      </c>
      <c r="N1572" t="s">
        <v>128</v>
      </c>
      <c r="O1572" t="s">
        <v>221</v>
      </c>
      <c r="P1572" t="s">
        <v>1009</v>
      </c>
      <c r="Q1572" s="1" t="s">
        <v>2276</v>
      </c>
      <c r="R1572" s="1" t="s">
        <v>2350</v>
      </c>
      <c r="S1572" s="1" t="s">
        <v>2350</v>
      </c>
      <c r="X1572" t="s">
        <v>151</v>
      </c>
      <c r="Y1572" t="s">
        <v>2273</v>
      </c>
      <c r="Z1572" t="s">
        <v>249</v>
      </c>
      <c r="AA1572" t="s">
        <v>2274</v>
      </c>
      <c r="AB1572" t="s">
        <v>2283</v>
      </c>
      <c r="AC1572" t="s">
        <v>162</v>
      </c>
      <c r="AD1572" t="s">
        <v>137</v>
      </c>
    </row>
    <row r="1573" spans="1:43" x14ac:dyDescent="0.2">
      <c r="A1573" t="s">
        <v>1002</v>
      </c>
      <c r="B1573" t="s">
        <v>1003</v>
      </c>
      <c r="C1573">
        <v>2018</v>
      </c>
      <c r="D1573" t="s">
        <v>45</v>
      </c>
      <c r="E1573" t="s">
        <v>49</v>
      </c>
      <c r="F1573" t="s">
        <v>81</v>
      </c>
      <c r="G1573" t="s">
        <v>86</v>
      </c>
      <c r="H1573" t="s">
        <v>350</v>
      </c>
      <c r="N1573" t="s">
        <v>129</v>
      </c>
      <c r="O1573" t="s">
        <v>129</v>
      </c>
      <c r="P1573" t="s">
        <v>757</v>
      </c>
      <c r="Q1573" s="1" t="s">
        <v>2276</v>
      </c>
      <c r="R1573" s="1" t="s">
        <v>751</v>
      </c>
      <c r="S1573" s="1" t="s">
        <v>2346</v>
      </c>
      <c r="X1573" t="s">
        <v>148</v>
      </c>
      <c r="Y1573" t="s">
        <v>2273</v>
      </c>
      <c r="Z1573" t="s">
        <v>249</v>
      </c>
      <c r="AA1573" t="s">
        <v>2274</v>
      </c>
      <c r="AB1573" t="s">
        <v>2275</v>
      </c>
      <c r="AC1573" t="s">
        <v>152</v>
      </c>
      <c r="AD1573" t="s">
        <v>137</v>
      </c>
    </row>
    <row r="1574" spans="1:43" x14ac:dyDescent="0.2">
      <c r="A1574" t="s">
        <v>1002</v>
      </c>
      <c r="B1574" t="s">
        <v>1003</v>
      </c>
      <c r="C1574">
        <v>2018</v>
      </c>
      <c r="D1574" t="s">
        <v>45</v>
      </c>
      <c r="E1574" t="s">
        <v>49</v>
      </c>
      <c r="F1574" t="s">
        <v>81</v>
      </c>
      <c r="G1574" t="s">
        <v>86</v>
      </c>
      <c r="H1574" t="s">
        <v>350</v>
      </c>
      <c r="N1574" t="s">
        <v>128</v>
      </c>
      <c r="O1574" t="s">
        <v>221</v>
      </c>
      <c r="P1574" t="s">
        <v>1008</v>
      </c>
      <c r="Q1574" s="1" t="s">
        <v>2276</v>
      </c>
      <c r="R1574" s="1" t="s">
        <v>751</v>
      </c>
      <c r="S1574" s="1" t="s">
        <v>2346</v>
      </c>
      <c r="X1574" t="s">
        <v>148</v>
      </c>
      <c r="Y1574" t="s">
        <v>2273</v>
      </c>
      <c r="Z1574" t="s">
        <v>249</v>
      </c>
      <c r="AA1574" t="s">
        <v>2274</v>
      </c>
      <c r="AB1574" t="s">
        <v>2275</v>
      </c>
      <c r="AC1574" t="s">
        <v>152</v>
      </c>
      <c r="AD1574" t="s">
        <v>137</v>
      </c>
    </row>
    <row r="1575" spans="1:43" x14ac:dyDescent="0.2">
      <c r="A1575" t="s">
        <v>1002</v>
      </c>
      <c r="B1575" t="s">
        <v>1003</v>
      </c>
      <c r="C1575">
        <v>2018</v>
      </c>
      <c r="D1575" t="s">
        <v>45</v>
      </c>
      <c r="E1575" t="s">
        <v>49</v>
      </c>
      <c r="F1575" t="s">
        <v>81</v>
      </c>
      <c r="G1575" t="s">
        <v>86</v>
      </c>
      <c r="H1575" t="s">
        <v>350</v>
      </c>
      <c r="N1575" t="s">
        <v>128</v>
      </c>
      <c r="O1575" t="s">
        <v>221</v>
      </c>
      <c r="P1575" t="s">
        <v>1009</v>
      </c>
      <c r="Q1575" s="1" t="s">
        <v>2276</v>
      </c>
      <c r="R1575" s="1" t="s">
        <v>2350</v>
      </c>
      <c r="S1575" s="1" t="s">
        <v>2350</v>
      </c>
      <c r="X1575" t="s">
        <v>148</v>
      </c>
      <c r="Y1575" t="s">
        <v>2273</v>
      </c>
      <c r="Z1575" t="s">
        <v>249</v>
      </c>
      <c r="AA1575" t="s">
        <v>2274</v>
      </c>
      <c r="AB1575" t="s">
        <v>2275</v>
      </c>
      <c r="AC1575" t="s">
        <v>152</v>
      </c>
      <c r="AD1575" t="s">
        <v>137</v>
      </c>
    </row>
    <row r="1576" spans="1:43" x14ac:dyDescent="0.2">
      <c r="A1576" t="s">
        <v>1002</v>
      </c>
      <c r="B1576" t="s">
        <v>1003</v>
      </c>
      <c r="C1576">
        <v>2018</v>
      </c>
      <c r="D1576" t="s">
        <v>45</v>
      </c>
      <c r="E1576" t="s">
        <v>49</v>
      </c>
      <c r="F1576" t="s">
        <v>81</v>
      </c>
      <c r="G1576" t="s">
        <v>86</v>
      </c>
      <c r="H1576" t="s">
        <v>350</v>
      </c>
      <c r="I1576">
        <v>2014</v>
      </c>
      <c r="J1576">
        <v>1.4E-2</v>
      </c>
      <c r="N1576" t="s">
        <v>129</v>
      </c>
      <c r="O1576" t="s">
        <v>129</v>
      </c>
      <c r="P1576" t="s">
        <v>757</v>
      </c>
      <c r="Q1576" s="1" t="s">
        <v>2276</v>
      </c>
      <c r="R1576" s="1" t="s">
        <v>751</v>
      </c>
      <c r="S1576" s="1" t="s">
        <v>2346</v>
      </c>
      <c r="X1576" t="s">
        <v>1010</v>
      </c>
      <c r="Y1576" t="s">
        <v>2273</v>
      </c>
      <c r="Z1576" t="s">
        <v>249</v>
      </c>
      <c r="AA1576" t="s">
        <v>2274</v>
      </c>
      <c r="AB1576" t="s">
        <v>2283</v>
      </c>
      <c r="AC1576" t="s">
        <v>162</v>
      </c>
      <c r="AD1576" t="s">
        <v>137</v>
      </c>
    </row>
    <row r="1577" spans="1:43" x14ac:dyDescent="0.2">
      <c r="A1577" t="s">
        <v>1002</v>
      </c>
      <c r="B1577" t="s">
        <v>1003</v>
      </c>
      <c r="C1577">
        <v>2018</v>
      </c>
      <c r="D1577" t="s">
        <v>45</v>
      </c>
      <c r="E1577" t="s">
        <v>49</v>
      </c>
      <c r="F1577" t="s">
        <v>81</v>
      </c>
      <c r="G1577" t="s">
        <v>86</v>
      </c>
      <c r="H1577" t="s">
        <v>350</v>
      </c>
      <c r="I1577">
        <v>2014</v>
      </c>
      <c r="J1577">
        <v>1.4E-2</v>
      </c>
      <c r="N1577" t="s">
        <v>128</v>
      </c>
      <c r="O1577" t="s">
        <v>221</v>
      </c>
      <c r="P1577" t="s">
        <v>1008</v>
      </c>
      <c r="Q1577" s="1" t="s">
        <v>2276</v>
      </c>
      <c r="R1577" s="1" t="s">
        <v>751</v>
      </c>
      <c r="S1577" s="1" t="s">
        <v>2346</v>
      </c>
      <c r="X1577" t="s">
        <v>1010</v>
      </c>
      <c r="Y1577" t="s">
        <v>2273</v>
      </c>
      <c r="Z1577" t="s">
        <v>249</v>
      </c>
      <c r="AA1577" t="s">
        <v>2274</v>
      </c>
      <c r="AB1577" t="s">
        <v>2283</v>
      </c>
      <c r="AC1577" t="s">
        <v>162</v>
      </c>
      <c r="AD1577" t="s">
        <v>137</v>
      </c>
    </row>
    <row r="1578" spans="1:43" x14ac:dyDescent="0.2">
      <c r="A1578" t="s">
        <v>1002</v>
      </c>
      <c r="B1578" t="s">
        <v>1003</v>
      </c>
      <c r="C1578">
        <v>2018</v>
      </c>
      <c r="D1578" t="s">
        <v>45</v>
      </c>
      <c r="E1578" t="s">
        <v>49</v>
      </c>
      <c r="F1578" t="s">
        <v>81</v>
      </c>
      <c r="G1578" t="s">
        <v>86</v>
      </c>
      <c r="H1578" t="s">
        <v>350</v>
      </c>
      <c r="I1578">
        <v>2014</v>
      </c>
      <c r="J1578">
        <v>1.4E-2</v>
      </c>
      <c r="N1578" t="s">
        <v>128</v>
      </c>
      <c r="O1578" t="s">
        <v>221</v>
      </c>
      <c r="P1578" t="s">
        <v>1009</v>
      </c>
      <c r="Q1578" s="1" t="s">
        <v>2276</v>
      </c>
      <c r="R1578" s="1" t="s">
        <v>2350</v>
      </c>
      <c r="S1578" s="1" t="s">
        <v>2350</v>
      </c>
      <c r="X1578" t="s">
        <v>1010</v>
      </c>
      <c r="Y1578" t="s">
        <v>2273</v>
      </c>
      <c r="Z1578" t="s">
        <v>249</v>
      </c>
      <c r="AA1578" t="s">
        <v>2274</v>
      </c>
      <c r="AB1578" t="s">
        <v>2283</v>
      </c>
      <c r="AC1578" t="s">
        <v>162</v>
      </c>
      <c r="AD1578" t="s">
        <v>137</v>
      </c>
    </row>
    <row r="1579" spans="1:43" x14ac:dyDescent="0.2">
      <c r="A1579" t="s">
        <v>1002</v>
      </c>
      <c r="B1579" t="s">
        <v>1003</v>
      </c>
      <c r="C1579">
        <v>2018</v>
      </c>
      <c r="D1579" t="s">
        <v>45</v>
      </c>
      <c r="E1579" t="s">
        <v>49</v>
      </c>
      <c r="F1579" t="s">
        <v>81</v>
      </c>
      <c r="G1579" t="s">
        <v>86</v>
      </c>
      <c r="H1579" t="s">
        <v>350</v>
      </c>
      <c r="I1579">
        <v>2014</v>
      </c>
      <c r="J1579">
        <v>1.4E-2</v>
      </c>
      <c r="N1579" t="s">
        <v>129</v>
      </c>
      <c r="O1579" t="s">
        <v>129</v>
      </c>
      <c r="P1579" t="s">
        <v>757</v>
      </c>
      <c r="Q1579" s="1" t="s">
        <v>2276</v>
      </c>
      <c r="R1579" s="1" t="s">
        <v>751</v>
      </c>
      <c r="S1579" s="1" t="s">
        <v>2346</v>
      </c>
      <c r="X1579" t="s">
        <v>338</v>
      </c>
      <c r="Y1579" t="s">
        <v>2273</v>
      </c>
      <c r="Z1579" t="s">
        <v>249</v>
      </c>
      <c r="AA1579" t="s">
        <v>2359</v>
      </c>
      <c r="AB1579" t="s">
        <v>1419</v>
      </c>
      <c r="AC1579" t="s">
        <v>152</v>
      </c>
      <c r="AD1579" t="s">
        <v>137</v>
      </c>
      <c r="AH1579" s="4" t="s">
        <v>49</v>
      </c>
      <c r="AL1579" t="s">
        <v>49</v>
      </c>
      <c r="AM1579" t="s">
        <v>1004</v>
      </c>
      <c r="AN1579" t="s">
        <v>109</v>
      </c>
      <c r="AO1579" t="s">
        <v>1012</v>
      </c>
      <c r="AP1579" t="s">
        <v>49</v>
      </c>
    </row>
    <row r="1580" spans="1:43" x14ac:dyDescent="0.2">
      <c r="A1580" t="s">
        <v>1002</v>
      </c>
      <c r="B1580" t="s">
        <v>1003</v>
      </c>
      <c r="C1580">
        <v>2018</v>
      </c>
      <c r="D1580" t="s">
        <v>45</v>
      </c>
      <c r="E1580" t="s">
        <v>49</v>
      </c>
      <c r="F1580" t="s">
        <v>81</v>
      </c>
      <c r="G1580" t="s">
        <v>86</v>
      </c>
      <c r="H1580" t="s">
        <v>350</v>
      </c>
      <c r="I1580">
        <v>2014</v>
      </c>
      <c r="J1580">
        <v>1.4E-2</v>
      </c>
      <c r="N1580" t="s">
        <v>128</v>
      </c>
      <c r="O1580" t="s">
        <v>221</v>
      </c>
      <c r="P1580" t="s">
        <v>1008</v>
      </c>
      <c r="Q1580" s="1" t="s">
        <v>2276</v>
      </c>
      <c r="R1580" s="1" t="s">
        <v>751</v>
      </c>
      <c r="S1580" s="1" t="s">
        <v>2346</v>
      </c>
      <c r="X1580" t="s">
        <v>338</v>
      </c>
      <c r="Y1580" t="s">
        <v>2273</v>
      </c>
      <c r="Z1580" t="s">
        <v>249</v>
      </c>
      <c r="AA1580" t="s">
        <v>2359</v>
      </c>
      <c r="AB1580" t="s">
        <v>1419</v>
      </c>
      <c r="AC1580" t="s">
        <v>152</v>
      </c>
      <c r="AD1580" t="s">
        <v>137</v>
      </c>
      <c r="AH1580" s="4" t="s">
        <v>49</v>
      </c>
      <c r="AL1580" t="s">
        <v>49</v>
      </c>
      <c r="AM1580" t="s">
        <v>1004</v>
      </c>
      <c r="AN1580" t="s">
        <v>109</v>
      </c>
      <c r="AO1580" t="s">
        <v>1012</v>
      </c>
      <c r="AP1580" t="s">
        <v>49</v>
      </c>
    </row>
    <row r="1581" spans="1:43" x14ac:dyDescent="0.2">
      <c r="A1581" t="s">
        <v>1002</v>
      </c>
      <c r="B1581" t="s">
        <v>1003</v>
      </c>
      <c r="C1581">
        <v>2018</v>
      </c>
      <c r="D1581" t="s">
        <v>45</v>
      </c>
      <c r="E1581" t="s">
        <v>49</v>
      </c>
      <c r="F1581" t="s">
        <v>81</v>
      </c>
      <c r="G1581" t="s">
        <v>86</v>
      </c>
      <c r="H1581" t="s">
        <v>350</v>
      </c>
      <c r="I1581">
        <v>2014</v>
      </c>
      <c r="J1581">
        <v>1.4E-2</v>
      </c>
      <c r="N1581" t="s">
        <v>128</v>
      </c>
      <c r="O1581" t="s">
        <v>221</v>
      </c>
      <c r="P1581" t="s">
        <v>1009</v>
      </c>
      <c r="Q1581" s="1" t="s">
        <v>2276</v>
      </c>
      <c r="R1581" s="1" t="s">
        <v>2350</v>
      </c>
      <c r="S1581" s="1" t="s">
        <v>2350</v>
      </c>
      <c r="X1581" t="s">
        <v>338</v>
      </c>
      <c r="Y1581" t="s">
        <v>2273</v>
      </c>
      <c r="Z1581" t="s">
        <v>249</v>
      </c>
      <c r="AA1581" t="s">
        <v>2359</v>
      </c>
      <c r="AB1581" t="s">
        <v>1419</v>
      </c>
      <c r="AC1581" t="s">
        <v>152</v>
      </c>
      <c r="AD1581" t="s">
        <v>137</v>
      </c>
      <c r="AH1581" s="4" t="s">
        <v>49</v>
      </c>
      <c r="AL1581" t="s">
        <v>49</v>
      </c>
      <c r="AM1581" t="s">
        <v>1004</v>
      </c>
      <c r="AN1581" t="s">
        <v>109</v>
      </c>
      <c r="AO1581" t="s">
        <v>1012</v>
      </c>
      <c r="AP1581" t="s">
        <v>49</v>
      </c>
    </row>
    <row r="1582" spans="1:43" x14ac:dyDescent="0.2">
      <c r="A1582" t="s">
        <v>1002</v>
      </c>
      <c r="B1582" t="s">
        <v>1003</v>
      </c>
      <c r="C1582">
        <v>2018</v>
      </c>
      <c r="D1582" t="s">
        <v>45</v>
      </c>
      <c r="E1582" t="s">
        <v>49</v>
      </c>
      <c r="F1582" t="s">
        <v>81</v>
      </c>
      <c r="G1582" t="s">
        <v>86</v>
      </c>
      <c r="H1582" t="s">
        <v>350</v>
      </c>
      <c r="I1582">
        <v>2014</v>
      </c>
      <c r="J1582">
        <v>1.4E-2</v>
      </c>
      <c r="N1582" t="s">
        <v>129</v>
      </c>
      <c r="O1582" t="s">
        <v>129</v>
      </c>
      <c r="P1582" t="s">
        <v>757</v>
      </c>
      <c r="Q1582" s="1" t="s">
        <v>2276</v>
      </c>
      <c r="R1582" s="1" t="s">
        <v>751</v>
      </c>
      <c r="S1582" s="1" t="s">
        <v>2346</v>
      </c>
      <c r="T1582" t="s">
        <v>396</v>
      </c>
      <c r="U1582" s="1" t="s">
        <v>2394</v>
      </c>
      <c r="X1582" t="s">
        <v>161</v>
      </c>
      <c r="Y1582" t="s">
        <v>2272</v>
      </c>
      <c r="Z1582" t="s">
        <v>2272</v>
      </c>
      <c r="AA1582" t="s">
        <v>2272</v>
      </c>
      <c r="AB1582" t="s">
        <v>2272</v>
      </c>
      <c r="AC1582" t="s">
        <v>162</v>
      </c>
      <c r="AD1582" t="s">
        <v>2272</v>
      </c>
      <c r="AH1582" s="4" t="s">
        <v>49</v>
      </c>
      <c r="AL1582" t="s">
        <v>49</v>
      </c>
      <c r="AM1582" t="s">
        <v>1004</v>
      </c>
      <c r="AN1582" t="s">
        <v>109</v>
      </c>
      <c r="AO1582" t="s">
        <v>1011</v>
      </c>
      <c r="AP1582" t="s">
        <v>49</v>
      </c>
    </row>
    <row r="1583" spans="1:43" x14ac:dyDescent="0.2">
      <c r="A1583" t="s">
        <v>1002</v>
      </c>
      <c r="B1583" t="s">
        <v>1003</v>
      </c>
      <c r="C1583">
        <v>2018</v>
      </c>
      <c r="D1583" t="s">
        <v>45</v>
      </c>
      <c r="E1583" t="s">
        <v>49</v>
      </c>
      <c r="F1583" t="s">
        <v>81</v>
      </c>
      <c r="G1583" t="s">
        <v>86</v>
      </c>
      <c r="H1583" t="s">
        <v>350</v>
      </c>
      <c r="I1583">
        <v>2014</v>
      </c>
      <c r="J1583">
        <v>1.4E-2</v>
      </c>
      <c r="N1583" t="s">
        <v>128</v>
      </c>
      <c r="O1583" t="s">
        <v>221</v>
      </c>
      <c r="P1583" t="s">
        <v>1008</v>
      </c>
      <c r="Q1583" s="1" t="s">
        <v>2276</v>
      </c>
      <c r="R1583" s="1" t="s">
        <v>751</v>
      </c>
      <c r="S1583" s="1" t="s">
        <v>2346</v>
      </c>
      <c r="T1583" t="s">
        <v>396</v>
      </c>
      <c r="U1583" s="1" t="s">
        <v>2394</v>
      </c>
      <c r="X1583" t="s">
        <v>161</v>
      </c>
      <c r="Y1583" t="s">
        <v>2272</v>
      </c>
      <c r="Z1583" t="s">
        <v>2272</v>
      </c>
      <c r="AA1583" t="s">
        <v>2272</v>
      </c>
      <c r="AB1583" t="s">
        <v>2272</v>
      </c>
      <c r="AC1583" t="s">
        <v>162</v>
      </c>
      <c r="AD1583" t="s">
        <v>2272</v>
      </c>
      <c r="AH1583" s="4" t="s">
        <v>49</v>
      </c>
      <c r="AL1583" t="s">
        <v>49</v>
      </c>
      <c r="AM1583" t="s">
        <v>1004</v>
      </c>
      <c r="AN1583" t="s">
        <v>109</v>
      </c>
      <c r="AO1583" t="s">
        <v>1011</v>
      </c>
      <c r="AP1583" t="s">
        <v>49</v>
      </c>
    </row>
    <row r="1584" spans="1:43" x14ac:dyDescent="0.2">
      <c r="A1584" t="s">
        <v>1002</v>
      </c>
      <c r="B1584" t="s">
        <v>1003</v>
      </c>
      <c r="C1584">
        <v>2018</v>
      </c>
      <c r="D1584" t="s">
        <v>45</v>
      </c>
      <c r="E1584" t="s">
        <v>49</v>
      </c>
      <c r="F1584" t="s">
        <v>81</v>
      </c>
      <c r="G1584" t="s">
        <v>86</v>
      </c>
      <c r="H1584" t="s">
        <v>350</v>
      </c>
      <c r="I1584">
        <v>2014</v>
      </c>
      <c r="J1584">
        <v>1.4E-2</v>
      </c>
      <c r="N1584" t="s">
        <v>128</v>
      </c>
      <c r="O1584" t="s">
        <v>221</v>
      </c>
      <c r="P1584" t="s">
        <v>1009</v>
      </c>
      <c r="Q1584" s="1" t="s">
        <v>2276</v>
      </c>
      <c r="R1584" s="1" t="s">
        <v>2350</v>
      </c>
      <c r="S1584" s="1" t="s">
        <v>2350</v>
      </c>
      <c r="T1584" t="s">
        <v>396</v>
      </c>
      <c r="U1584" s="1" t="s">
        <v>2395</v>
      </c>
      <c r="X1584" t="s">
        <v>161</v>
      </c>
      <c r="Y1584" t="s">
        <v>2272</v>
      </c>
      <c r="Z1584" t="s">
        <v>2272</v>
      </c>
      <c r="AA1584" t="s">
        <v>2272</v>
      </c>
      <c r="AB1584" t="s">
        <v>2272</v>
      </c>
      <c r="AC1584" t="s">
        <v>162</v>
      </c>
      <c r="AD1584" t="s">
        <v>2272</v>
      </c>
      <c r="AH1584" s="4" t="s">
        <v>49</v>
      </c>
      <c r="AL1584" t="s">
        <v>49</v>
      </c>
      <c r="AM1584" t="s">
        <v>1004</v>
      </c>
      <c r="AN1584" t="s">
        <v>109</v>
      </c>
      <c r="AO1584" t="s">
        <v>1011</v>
      </c>
      <c r="AP1584" t="s">
        <v>49</v>
      </c>
    </row>
    <row r="1585" spans="1:30" x14ac:dyDescent="0.2">
      <c r="A1585" t="s">
        <v>1002</v>
      </c>
      <c r="B1585" t="s">
        <v>1003</v>
      </c>
      <c r="C1585">
        <v>2018</v>
      </c>
      <c r="D1585" t="s">
        <v>45</v>
      </c>
      <c r="E1585" t="s">
        <v>49</v>
      </c>
      <c r="F1585" t="s">
        <v>81</v>
      </c>
      <c r="G1585" t="s">
        <v>86</v>
      </c>
      <c r="H1585" t="s">
        <v>350</v>
      </c>
      <c r="I1585">
        <v>2016</v>
      </c>
      <c r="J1585">
        <v>0.17</v>
      </c>
      <c r="N1585" t="s">
        <v>128</v>
      </c>
      <c r="O1585" t="s">
        <v>221</v>
      </c>
      <c r="P1585" t="s">
        <v>1007</v>
      </c>
      <c r="Q1585" s="1" t="s">
        <v>2276</v>
      </c>
      <c r="R1585" s="1" t="s">
        <v>751</v>
      </c>
      <c r="S1585" s="1" t="s">
        <v>2346</v>
      </c>
      <c r="X1585" t="s">
        <v>1010</v>
      </c>
      <c r="Y1585" t="s">
        <v>2273</v>
      </c>
      <c r="Z1585" t="s">
        <v>249</v>
      </c>
      <c r="AA1585" t="s">
        <v>2274</v>
      </c>
      <c r="AB1585" t="s">
        <v>2283</v>
      </c>
      <c r="AC1585" t="s">
        <v>162</v>
      </c>
      <c r="AD1585" t="s">
        <v>137</v>
      </c>
    </row>
    <row r="1586" spans="1:30" x14ac:dyDescent="0.2">
      <c r="A1586" t="s">
        <v>1002</v>
      </c>
      <c r="B1586" t="s">
        <v>1003</v>
      </c>
      <c r="C1586">
        <v>2018</v>
      </c>
      <c r="D1586" t="s">
        <v>45</v>
      </c>
      <c r="E1586" t="s">
        <v>49</v>
      </c>
      <c r="F1586" t="s">
        <v>81</v>
      </c>
      <c r="G1586" t="s">
        <v>86</v>
      </c>
      <c r="H1586" t="s">
        <v>350</v>
      </c>
      <c r="I1586">
        <v>2016</v>
      </c>
      <c r="J1586">
        <v>0.17</v>
      </c>
      <c r="N1586" t="s">
        <v>128</v>
      </c>
      <c r="O1586" t="s">
        <v>221</v>
      </c>
      <c r="P1586" t="s">
        <v>754</v>
      </c>
      <c r="Q1586" s="1" t="s">
        <v>2276</v>
      </c>
      <c r="R1586" s="1" t="s">
        <v>755</v>
      </c>
      <c r="S1586" s="1" t="s">
        <v>2352</v>
      </c>
      <c r="X1586" t="s">
        <v>1010</v>
      </c>
      <c r="Y1586" t="s">
        <v>2273</v>
      </c>
      <c r="Z1586" t="s">
        <v>249</v>
      </c>
      <c r="AA1586" t="s">
        <v>2274</v>
      </c>
      <c r="AB1586" t="s">
        <v>2283</v>
      </c>
      <c r="AC1586" t="s">
        <v>162</v>
      </c>
      <c r="AD1586" t="s">
        <v>137</v>
      </c>
    </row>
    <row r="1587" spans="1:30" x14ac:dyDescent="0.2">
      <c r="A1587" t="s">
        <v>1002</v>
      </c>
      <c r="B1587" t="s">
        <v>1003</v>
      </c>
      <c r="C1587">
        <v>2018</v>
      </c>
      <c r="D1587" t="s">
        <v>45</v>
      </c>
      <c r="E1587" t="s">
        <v>49</v>
      </c>
      <c r="F1587" t="s">
        <v>81</v>
      </c>
      <c r="G1587" t="s">
        <v>86</v>
      </c>
      <c r="H1587" t="s">
        <v>350</v>
      </c>
      <c r="I1587">
        <v>2016</v>
      </c>
      <c r="J1587">
        <v>0.17</v>
      </c>
      <c r="N1587" t="s">
        <v>129</v>
      </c>
      <c r="O1587" t="s">
        <v>129</v>
      </c>
      <c r="P1587" t="s">
        <v>757</v>
      </c>
      <c r="Q1587" s="1" t="s">
        <v>2276</v>
      </c>
      <c r="R1587" s="1" t="s">
        <v>751</v>
      </c>
      <c r="S1587" s="1" t="s">
        <v>2346</v>
      </c>
      <c r="X1587" t="s">
        <v>1010</v>
      </c>
      <c r="Y1587" t="s">
        <v>2273</v>
      </c>
      <c r="Z1587" t="s">
        <v>249</v>
      </c>
      <c r="AA1587" t="s">
        <v>2274</v>
      </c>
      <c r="AB1587" t="s">
        <v>2283</v>
      </c>
      <c r="AC1587" t="s">
        <v>162</v>
      </c>
      <c r="AD1587" t="s">
        <v>137</v>
      </c>
    </row>
    <row r="1588" spans="1:30" x14ac:dyDescent="0.2">
      <c r="A1588" t="s">
        <v>1002</v>
      </c>
      <c r="B1588" t="s">
        <v>1003</v>
      </c>
      <c r="C1588">
        <v>2018</v>
      </c>
      <c r="D1588" t="s">
        <v>45</v>
      </c>
      <c r="E1588" t="s">
        <v>49</v>
      </c>
      <c r="F1588" t="s">
        <v>81</v>
      </c>
      <c r="G1588" t="s">
        <v>86</v>
      </c>
      <c r="H1588" t="s">
        <v>350</v>
      </c>
      <c r="I1588">
        <v>2016</v>
      </c>
      <c r="J1588">
        <v>0.17</v>
      </c>
      <c r="N1588" t="s">
        <v>120</v>
      </c>
      <c r="O1588" t="s">
        <v>252</v>
      </c>
      <c r="P1588" t="s">
        <v>756</v>
      </c>
      <c r="Q1588" s="1" t="s">
        <v>2276</v>
      </c>
      <c r="R1588" s="1" t="s">
        <v>669</v>
      </c>
      <c r="S1588" s="1" t="s">
        <v>168</v>
      </c>
      <c r="X1588" t="s">
        <v>1010</v>
      </c>
      <c r="Y1588" t="s">
        <v>2273</v>
      </c>
      <c r="Z1588" t="s">
        <v>249</v>
      </c>
      <c r="AA1588" t="s">
        <v>2274</v>
      </c>
      <c r="AB1588" t="s">
        <v>2283</v>
      </c>
      <c r="AC1588" t="s">
        <v>162</v>
      </c>
      <c r="AD1588" t="s">
        <v>137</v>
      </c>
    </row>
    <row r="1589" spans="1:30" x14ac:dyDescent="0.2">
      <c r="A1589" t="s">
        <v>1002</v>
      </c>
      <c r="B1589" t="s">
        <v>1003</v>
      </c>
      <c r="C1589">
        <v>2018</v>
      </c>
      <c r="D1589" t="s">
        <v>45</v>
      </c>
      <c r="E1589" t="s">
        <v>49</v>
      </c>
      <c r="F1589" t="s">
        <v>81</v>
      </c>
      <c r="G1589" t="s">
        <v>86</v>
      </c>
      <c r="H1589" t="s">
        <v>350</v>
      </c>
      <c r="I1589">
        <v>2016</v>
      </c>
      <c r="J1589">
        <v>0.17</v>
      </c>
      <c r="N1589" t="s">
        <v>128</v>
      </c>
      <c r="O1589" t="s">
        <v>221</v>
      </c>
      <c r="P1589" t="s">
        <v>1007</v>
      </c>
      <c r="Q1589" s="1" t="s">
        <v>2276</v>
      </c>
      <c r="R1589" s="1" t="s">
        <v>751</v>
      </c>
      <c r="S1589" s="1" t="s">
        <v>2346</v>
      </c>
      <c r="X1589" t="s">
        <v>151</v>
      </c>
      <c r="Y1589" t="s">
        <v>2273</v>
      </c>
      <c r="Z1589" t="s">
        <v>249</v>
      </c>
      <c r="AA1589" t="s">
        <v>2274</v>
      </c>
      <c r="AB1589" t="s">
        <v>2283</v>
      </c>
      <c r="AC1589" t="s">
        <v>162</v>
      </c>
      <c r="AD1589" t="s">
        <v>137</v>
      </c>
    </row>
    <row r="1590" spans="1:30" x14ac:dyDescent="0.2">
      <c r="A1590" t="s">
        <v>1002</v>
      </c>
      <c r="B1590" t="s">
        <v>1003</v>
      </c>
      <c r="C1590">
        <v>2018</v>
      </c>
      <c r="D1590" t="s">
        <v>45</v>
      </c>
      <c r="E1590" t="s">
        <v>49</v>
      </c>
      <c r="F1590" t="s">
        <v>81</v>
      </c>
      <c r="G1590" t="s">
        <v>86</v>
      </c>
      <c r="H1590" t="s">
        <v>350</v>
      </c>
      <c r="I1590">
        <v>2016</v>
      </c>
      <c r="J1590">
        <v>0.17</v>
      </c>
      <c r="N1590" t="s">
        <v>128</v>
      </c>
      <c r="O1590" t="s">
        <v>221</v>
      </c>
      <c r="P1590" t="s">
        <v>754</v>
      </c>
      <c r="Q1590" s="1" t="s">
        <v>2276</v>
      </c>
      <c r="R1590" s="1" t="s">
        <v>755</v>
      </c>
      <c r="S1590" s="1" t="s">
        <v>2352</v>
      </c>
      <c r="X1590" t="s">
        <v>151</v>
      </c>
      <c r="Y1590" t="s">
        <v>2273</v>
      </c>
      <c r="Z1590" t="s">
        <v>249</v>
      </c>
      <c r="AA1590" t="s">
        <v>2274</v>
      </c>
      <c r="AB1590" t="s">
        <v>2283</v>
      </c>
      <c r="AC1590" t="s">
        <v>162</v>
      </c>
      <c r="AD1590" t="s">
        <v>137</v>
      </c>
    </row>
    <row r="1591" spans="1:30" x14ac:dyDescent="0.2">
      <c r="A1591" t="s">
        <v>1002</v>
      </c>
      <c r="B1591" t="s">
        <v>1003</v>
      </c>
      <c r="C1591">
        <v>2018</v>
      </c>
      <c r="D1591" t="s">
        <v>45</v>
      </c>
      <c r="E1591" t="s">
        <v>49</v>
      </c>
      <c r="F1591" t="s">
        <v>81</v>
      </c>
      <c r="G1591" t="s">
        <v>86</v>
      </c>
      <c r="H1591" t="s">
        <v>350</v>
      </c>
      <c r="I1591">
        <v>2016</v>
      </c>
      <c r="J1591">
        <v>0.17</v>
      </c>
      <c r="N1591" t="s">
        <v>129</v>
      </c>
      <c r="O1591" t="s">
        <v>129</v>
      </c>
      <c r="P1591" t="s">
        <v>757</v>
      </c>
      <c r="Q1591" s="1" t="s">
        <v>2276</v>
      </c>
      <c r="R1591" s="1" t="s">
        <v>751</v>
      </c>
      <c r="S1591" s="1" t="s">
        <v>2346</v>
      </c>
      <c r="X1591" t="s">
        <v>151</v>
      </c>
      <c r="Y1591" t="s">
        <v>2273</v>
      </c>
      <c r="Z1591" t="s">
        <v>249</v>
      </c>
      <c r="AA1591" t="s">
        <v>2274</v>
      </c>
      <c r="AB1591" t="s">
        <v>2283</v>
      </c>
      <c r="AC1591" t="s">
        <v>162</v>
      </c>
      <c r="AD1591" t="s">
        <v>137</v>
      </c>
    </row>
    <row r="1592" spans="1:30" x14ac:dyDescent="0.2">
      <c r="A1592" t="s">
        <v>1002</v>
      </c>
      <c r="B1592" t="s">
        <v>1003</v>
      </c>
      <c r="C1592">
        <v>2018</v>
      </c>
      <c r="D1592" t="s">
        <v>45</v>
      </c>
      <c r="E1592" t="s">
        <v>49</v>
      </c>
      <c r="F1592" t="s">
        <v>81</v>
      </c>
      <c r="G1592" t="s">
        <v>86</v>
      </c>
      <c r="H1592" t="s">
        <v>350</v>
      </c>
      <c r="I1592">
        <v>2016</v>
      </c>
      <c r="J1592">
        <v>0.17</v>
      </c>
      <c r="N1592" t="s">
        <v>120</v>
      </c>
      <c r="O1592" t="s">
        <v>252</v>
      </c>
      <c r="P1592" t="s">
        <v>756</v>
      </c>
      <c r="Q1592" s="1" t="s">
        <v>2276</v>
      </c>
      <c r="R1592" s="1" t="s">
        <v>669</v>
      </c>
      <c r="S1592" s="1" t="s">
        <v>168</v>
      </c>
      <c r="X1592" t="s">
        <v>151</v>
      </c>
      <c r="Y1592" t="s">
        <v>2273</v>
      </c>
      <c r="Z1592" t="s">
        <v>249</v>
      </c>
      <c r="AA1592" t="s">
        <v>2274</v>
      </c>
      <c r="AB1592" t="s">
        <v>2283</v>
      </c>
      <c r="AC1592" t="s">
        <v>162</v>
      </c>
      <c r="AD1592" t="s">
        <v>137</v>
      </c>
    </row>
    <row r="1593" spans="1:30" x14ac:dyDescent="0.2">
      <c r="A1593" t="s">
        <v>1002</v>
      </c>
      <c r="B1593" t="s">
        <v>1003</v>
      </c>
      <c r="C1593">
        <v>2018</v>
      </c>
      <c r="D1593" t="s">
        <v>45</v>
      </c>
      <c r="E1593" t="s">
        <v>49</v>
      </c>
      <c r="F1593" t="s">
        <v>81</v>
      </c>
      <c r="G1593" t="s">
        <v>86</v>
      </c>
      <c r="H1593" t="s">
        <v>350</v>
      </c>
      <c r="I1593">
        <v>2016</v>
      </c>
      <c r="J1593">
        <v>0.17</v>
      </c>
      <c r="N1593" t="s">
        <v>128</v>
      </c>
      <c r="O1593" t="s">
        <v>221</v>
      </c>
      <c r="P1593" t="s">
        <v>1007</v>
      </c>
      <c r="Q1593" s="1" t="s">
        <v>2276</v>
      </c>
      <c r="R1593" s="1" t="s">
        <v>751</v>
      </c>
      <c r="S1593" s="1" t="s">
        <v>2346</v>
      </c>
      <c r="X1593" t="s">
        <v>148</v>
      </c>
      <c r="Y1593" t="s">
        <v>2273</v>
      </c>
      <c r="Z1593" t="s">
        <v>249</v>
      </c>
      <c r="AA1593" t="s">
        <v>2274</v>
      </c>
      <c r="AB1593" t="s">
        <v>2275</v>
      </c>
      <c r="AC1593" t="s">
        <v>152</v>
      </c>
      <c r="AD1593" t="s">
        <v>137</v>
      </c>
    </row>
    <row r="1594" spans="1:30" x14ac:dyDescent="0.2">
      <c r="A1594" t="s">
        <v>1002</v>
      </c>
      <c r="B1594" t="s">
        <v>1003</v>
      </c>
      <c r="C1594">
        <v>2018</v>
      </c>
      <c r="D1594" t="s">
        <v>45</v>
      </c>
      <c r="E1594" t="s">
        <v>49</v>
      </c>
      <c r="F1594" t="s">
        <v>81</v>
      </c>
      <c r="G1594" t="s">
        <v>86</v>
      </c>
      <c r="H1594" t="s">
        <v>350</v>
      </c>
      <c r="I1594">
        <v>2016</v>
      </c>
      <c r="J1594">
        <v>0.17</v>
      </c>
      <c r="N1594" t="s">
        <v>128</v>
      </c>
      <c r="O1594" t="s">
        <v>221</v>
      </c>
      <c r="P1594" t="s">
        <v>754</v>
      </c>
      <c r="Q1594" s="1" t="s">
        <v>2276</v>
      </c>
      <c r="R1594" s="1" t="s">
        <v>755</v>
      </c>
      <c r="S1594" s="1" t="s">
        <v>2352</v>
      </c>
      <c r="X1594" t="s">
        <v>148</v>
      </c>
      <c r="Y1594" t="s">
        <v>2273</v>
      </c>
      <c r="Z1594" t="s">
        <v>249</v>
      </c>
      <c r="AA1594" t="s">
        <v>2274</v>
      </c>
      <c r="AB1594" t="s">
        <v>2275</v>
      </c>
      <c r="AC1594" t="s">
        <v>152</v>
      </c>
      <c r="AD1594" t="s">
        <v>137</v>
      </c>
    </row>
    <row r="1595" spans="1:30" x14ac:dyDescent="0.2">
      <c r="A1595" t="s">
        <v>1002</v>
      </c>
      <c r="B1595" t="s">
        <v>1003</v>
      </c>
      <c r="C1595">
        <v>2018</v>
      </c>
      <c r="D1595" t="s">
        <v>45</v>
      </c>
      <c r="E1595" t="s">
        <v>49</v>
      </c>
      <c r="F1595" t="s">
        <v>81</v>
      </c>
      <c r="G1595" t="s">
        <v>86</v>
      </c>
      <c r="H1595" t="s">
        <v>350</v>
      </c>
      <c r="I1595">
        <v>2016</v>
      </c>
      <c r="J1595">
        <v>0.17</v>
      </c>
      <c r="N1595" t="s">
        <v>129</v>
      </c>
      <c r="O1595" t="s">
        <v>129</v>
      </c>
      <c r="P1595" t="s">
        <v>757</v>
      </c>
      <c r="Q1595" s="1" t="s">
        <v>2276</v>
      </c>
      <c r="R1595" s="1" t="s">
        <v>751</v>
      </c>
      <c r="S1595" s="1" t="s">
        <v>2346</v>
      </c>
      <c r="X1595" t="s">
        <v>148</v>
      </c>
      <c r="Y1595" t="s">
        <v>2273</v>
      </c>
      <c r="Z1595" t="s">
        <v>249</v>
      </c>
      <c r="AA1595" t="s">
        <v>2274</v>
      </c>
      <c r="AB1595" t="s">
        <v>2275</v>
      </c>
      <c r="AC1595" t="s">
        <v>152</v>
      </c>
      <c r="AD1595" t="s">
        <v>137</v>
      </c>
    </row>
    <row r="1596" spans="1:30" x14ac:dyDescent="0.2">
      <c r="A1596" t="s">
        <v>1002</v>
      </c>
      <c r="B1596" t="s">
        <v>1003</v>
      </c>
      <c r="C1596">
        <v>2018</v>
      </c>
      <c r="D1596" t="s">
        <v>45</v>
      </c>
      <c r="E1596" t="s">
        <v>49</v>
      </c>
      <c r="F1596" t="s">
        <v>81</v>
      </c>
      <c r="G1596" t="s">
        <v>86</v>
      </c>
      <c r="H1596" t="s">
        <v>350</v>
      </c>
      <c r="I1596">
        <v>2016</v>
      </c>
      <c r="J1596">
        <v>0.17</v>
      </c>
      <c r="N1596" t="s">
        <v>120</v>
      </c>
      <c r="O1596" t="s">
        <v>252</v>
      </c>
      <c r="P1596" t="s">
        <v>756</v>
      </c>
      <c r="Q1596" s="1" t="s">
        <v>2276</v>
      </c>
      <c r="R1596" s="1" t="s">
        <v>669</v>
      </c>
      <c r="S1596" s="1" t="s">
        <v>168</v>
      </c>
      <c r="X1596" t="s">
        <v>148</v>
      </c>
      <c r="Y1596" t="s">
        <v>2273</v>
      </c>
      <c r="Z1596" t="s">
        <v>249</v>
      </c>
      <c r="AA1596" t="s">
        <v>2274</v>
      </c>
      <c r="AB1596" t="s">
        <v>2275</v>
      </c>
      <c r="AC1596" t="s">
        <v>152</v>
      </c>
      <c r="AD1596" t="s">
        <v>137</v>
      </c>
    </row>
    <row r="1597" spans="1:30" x14ac:dyDescent="0.2">
      <c r="A1597" t="s">
        <v>1002</v>
      </c>
      <c r="B1597" t="s">
        <v>1003</v>
      </c>
      <c r="C1597">
        <v>2018</v>
      </c>
      <c r="D1597" t="s">
        <v>45</v>
      </c>
      <c r="E1597" t="s">
        <v>49</v>
      </c>
      <c r="F1597" t="s">
        <v>81</v>
      </c>
      <c r="G1597" t="s">
        <v>86</v>
      </c>
      <c r="H1597" t="s">
        <v>350</v>
      </c>
      <c r="I1597">
        <v>2016</v>
      </c>
      <c r="J1597">
        <v>0.17</v>
      </c>
      <c r="N1597" t="s">
        <v>128</v>
      </c>
      <c r="O1597" t="s">
        <v>221</v>
      </c>
      <c r="P1597" t="s">
        <v>1007</v>
      </c>
      <c r="Q1597" s="1" t="s">
        <v>2276</v>
      </c>
      <c r="R1597" s="1" t="s">
        <v>751</v>
      </c>
      <c r="S1597" s="1" t="s">
        <v>2346</v>
      </c>
      <c r="X1597" t="s">
        <v>338</v>
      </c>
      <c r="Y1597" t="s">
        <v>2273</v>
      </c>
      <c r="Z1597" t="s">
        <v>249</v>
      </c>
      <c r="AA1597" t="s">
        <v>2359</v>
      </c>
      <c r="AB1597" t="s">
        <v>1419</v>
      </c>
      <c r="AC1597" t="s">
        <v>152</v>
      </c>
      <c r="AD1597" t="s">
        <v>137</v>
      </c>
    </row>
    <row r="1598" spans="1:30" x14ac:dyDescent="0.2">
      <c r="A1598" t="s">
        <v>1002</v>
      </c>
      <c r="B1598" t="s">
        <v>1003</v>
      </c>
      <c r="C1598">
        <v>2018</v>
      </c>
      <c r="D1598" t="s">
        <v>45</v>
      </c>
      <c r="E1598" t="s">
        <v>49</v>
      </c>
      <c r="F1598" t="s">
        <v>81</v>
      </c>
      <c r="G1598" t="s">
        <v>86</v>
      </c>
      <c r="H1598" t="s">
        <v>350</v>
      </c>
      <c r="I1598">
        <v>2016</v>
      </c>
      <c r="J1598">
        <v>0.17</v>
      </c>
      <c r="N1598" t="s">
        <v>128</v>
      </c>
      <c r="O1598" t="s">
        <v>221</v>
      </c>
      <c r="P1598" t="s">
        <v>754</v>
      </c>
      <c r="Q1598" s="1" t="s">
        <v>2276</v>
      </c>
      <c r="R1598" s="1" t="s">
        <v>755</v>
      </c>
      <c r="S1598" s="1" t="s">
        <v>2352</v>
      </c>
      <c r="X1598" t="s">
        <v>338</v>
      </c>
      <c r="Y1598" t="s">
        <v>2273</v>
      </c>
      <c r="Z1598" t="s">
        <v>249</v>
      </c>
      <c r="AA1598" t="s">
        <v>2359</v>
      </c>
      <c r="AB1598" t="s">
        <v>1419</v>
      </c>
      <c r="AC1598" t="s">
        <v>152</v>
      </c>
      <c r="AD1598" t="s">
        <v>137</v>
      </c>
    </row>
    <row r="1599" spans="1:30" x14ac:dyDescent="0.2">
      <c r="A1599" t="s">
        <v>1002</v>
      </c>
      <c r="B1599" t="s">
        <v>1003</v>
      </c>
      <c r="C1599">
        <v>2018</v>
      </c>
      <c r="D1599" t="s">
        <v>45</v>
      </c>
      <c r="E1599" t="s">
        <v>49</v>
      </c>
      <c r="F1599" t="s">
        <v>81</v>
      </c>
      <c r="G1599" t="s">
        <v>86</v>
      </c>
      <c r="H1599" t="s">
        <v>350</v>
      </c>
      <c r="I1599">
        <v>2016</v>
      </c>
      <c r="J1599">
        <v>0.17</v>
      </c>
      <c r="N1599" t="s">
        <v>129</v>
      </c>
      <c r="O1599" t="s">
        <v>129</v>
      </c>
      <c r="P1599" t="s">
        <v>757</v>
      </c>
      <c r="Q1599" s="1" t="s">
        <v>2276</v>
      </c>
      <c r="R1599" s="1" t="s">
        <v>751</v>
      </c>
      <c r="S1599" s="1" t="s">
        <v>2346</v>
      </c>
      <c r="X1599" t="s">
        <v>338</v>
      </c>
      <c r="Y1599" t="s">
        <v>2273</v>
      </c>
      <c r="Z1599" t="s">
        <v>249</v>
      </c>
      <c r="AA1599" t="s">
        <v>2359</v>
      </c>
      <c r="AB1599" t="s">
        <v>1419</v>
      </c>
      <c r="AC1599" t="s">
        <v>152</v>
      </c>
      <c r="AD1599" t="s">
        <v>137</v>
      </c>
    </row>
    <row r="1600" spans="1:30" x14ac:dyDescent="0.2">
      <c r="A1600" t="s">
        <v>1002</v>
      </c>
      <c r="B1600" t="s">
        <v>1003</v>
      </c>
      <c r="C1600">
        <v>2018</v>
      </c>
      <c r="D1600" t="s">
        <v>45</v>
      </c>
      <c r="E1600" t="s">
        <v>49</v>
      </c>
      <c r="F1600" t="s">
        <v>81</v>
      </c>
      <c r="G1600" t="s">
        <v>86</v>
      </c>
      <c r="H1600" t="s">
        <v>350</v>
      </c>
      <c r="I1600">
        <v>2016</v>
      </c>
      <c r="J1600">
        <v>0.17</v>
      </c>
      <c r="N1600" t="s">
        <v>120</v>
      </c>
      <c r="O1600" t="s">
        <v>252</v>
      </c>
      <c r="P1600" t="s">
        <v>756</v>
      </c>
      <c r="Q1600" s="1" t="s">
        <v>2276</v>
      </c>
      <c r="R1600" s="1" t="s">
        <v>669</v>
      </c>
      <c r="S1600" s="1" t="s">
        <v>168</v>
      </c>
      <c r="X1600" t="s">
        <v>338</v>
      </c>
      <c r="Y1600" t="s">
        <v>2273</v>
      </c>
      <c r="Z1600" t="s">
        <v>249</v>
      </c>
      <c r="AA1600" t="s">
        <v>2359</v>
      </c>
      <c r="AB1600" t="s">
        <v>1419</v>
      </c>
      <c r="AC1600" t="s">
        <v>152</v>
      </c>
      <c r="AD1600" t="s">
        <v>137</v>
      </c>
    </row>
    <row r="1601" spans="1:42" x14ac:dyDescent="0.2">
      <c r="A1601" t="s">
        <v>1002</v>
      </c>
      <c r="B1601" t="s">
        <v>1003</v>
      </c>
      <c r="C1601">
        <v>2018</v>
      </c>
      <c r="D1601" t="s">
        <v>45</v>
      </c>
      <c r="E1601" t="s">
        <v>49</v>
      </c>
      <c r="F1601" t="s">
        <v>81</v>
      </c>
      <c r="G1601" t="s">
        <v>86</v>
      </c>
      <c r="H1601" t="s">
        <v>350</v>
      </c>
      <c r="I1601">
        <v>2016</v>
      </c>
      <c r="J1601">
        <v>0.17</v>
      </c>
      <c r="N1601" t="s">
        <v>128</v>
      </c>
      <c r="O1601" t="s">
        <v>221</v>
      </c>
      <c r="P1601" t="s">
        <v>1007</v>
      </c>
      <c r="Q1601" s="1" t="s">
        <v>2276</v>
      </c>
      <c r="R1601" s="1" t="s">
        <v>751</v>
      </c>
      <c r="S1601" s="1" t="s">
        <v>2346</v>
      </c>
      <c r="X1601" t="s">
        <v>161</v>
      </c>
      <c r="Y1601" t="s">
        <v>2272</v>
      </c>
      <c r="Z1601" t="s">
        <v>2272</v>
      </c>
      <c r="AA1601" t="s">
        <v>2272</v>
      </c>
      <c r="AB1601" t="s">
        <v>2272</v>
      </c>
      <c r="AC1601" t="s">
        <v>162</v>
      </c>
      <c r="AD1601" t="s">
        <v>2272</v>
      </c>
      <c r="AH1601" s="4" t="s">
        <v>49</v>
      </c>
      <c r="AL1601" t="s">
        <v>49</v>
      </c>
      <c r="AM1601" t="s">
        <v>1004</v>
      </c>
      <c r="AN1601" t="s">
        <v>109</v>
      </c>
      <c r="AO1601" t="s">
        <v>1013</v>
      </c>
      <c r="AP1601" t="s">
        <v>51</v>
      </c>
    </row>
    <row r="1602" spans="1:42" x14ac:dyDescent="0.2">
      <c r="A1602" t="s">
        <v>1002</v>
      </c>
      <c r="B1602" t="s">
        <v>1003</v>
      </c>
      <c r="C1602">
        <v>2018</v>
      </c>
      <c r="D1602" t="s">
        <v>45</v>
      </c>
      <c r="E1602" t="s">
        <v>49</v>
      </c>
      <c r="F1602" t="s">
        <v>81</v>
      </c>
      <c r="G1602" t="s">
        <v>86</v>
      </c>
      <c r="H1602" t="s">
        <v>350</v>
      </c>
      <c r="I1602">
        <v>2016</v>
      </c>
      <c r="J1602">
        <v>0.17</v>
      </c>
      <c r="N1602" t="s">
        <v>128</v>
      </c>
      <c r="O1602" t="s">
        <v>221</v>
      </c>
      <c r="P1602" t="s">
        <v>754</v>
      </c>
      <c r="Q1602" s="1" t="s">
        <v>2276</v>
      </c>
      <c r="R1602" s="1" t="s">
        <v>755</v>
      </c>
      <c r="S1602" s="1" t="s">
        <v>2352</v>
      </c>
      <c r="X1602" t="s">
        <v>161</v>
      </c>
      <c r="Y1602" t="s">
        <v>2272</v>
      </c>
      <c r="Z1602" t="s">
        <v>2272</v>
      </c>
      <c r="AA1602" t="s">
        <v>2272</v>
      </c>
      <c r="AB1602" t="s">
        <v>2272</v>
      </c>
      <c r="AC1602" t="s">
        <v>162</v>
      </c>
      <c r="AD1602" t="s">
        <v>2272</v>
      </c>
      <c r="AH1602" s="4" t="s">
        <v>49</v>
      </c>
      <c r="AL1602" t="s">
        <v>49</v>
      </c>
      <c r="AM1602" t="s">
        <v>1004</v>
      </c>
      <c r="AN1602" t="s">
        <v>109</v>
      </c>
      <c r="AO1602" t="s">
        <v>1013</v>
      </c>
      <c r="AP1602" t="s">
        <v>51</v>
      </c>
    </row>
    <row r="1603" spans="1:42" x14ac:dyDescent="0.2">
      <c r="A1603" t="s">
        <v>1002</v>
      </c>
      <c r="B1603" t="s">
        <v>1003</v>
      </c>
      <c r="C1603">
        <v>2018</v>
      </c>
      <c r="D1603" t="s">
        <v>45</v>
      </c>
      <c r="E1603" t="s">
        <v>49</v>
      </c>
      <c r="F1603" t="s">
        <v>81</v>
      </c>
      <c r="G1603" t="s">
        <v>86</v>
      </c>
      <c r="H1603" t="s">
        <v>350</v>
      </c>
      <c r="I1603">
        <v>2016</v>
      </c>
      <c r="J1603">
        <v>0.17</v>
      </c>
      <c r="N1603" t="s">
        <v>129</v>
      </c>
      <c r="O1603" t="s">
        <v>129</v>
      </c>
      <c r="P1603" t="s">
        <v>757</v>
      </c>
      <c r="Q1603" s="1" t="s">
        <v>2276</v>
      </c>
      <c r="R1603" s="1" t="s">
        <v>751</v>
      </c>
      <c r="S1603" s="1" t="s">
        <v>2346</v>
      </c>
      <c r="X1603" t="s">
        <v>161</v>
      </c>
      <c r="Y1603" t="s">
        <v>2272</v>
      </c>
      <c r="Z1603" t="s">
        <v>2272</v>
      </c>
      <c r="AA1603" t="s">
        <v>2272</v>
      </c>
      <c r="AB1603" t="s">
        <v>2272</v>
      </c>
      <c r="AC1603" t="s">
        <v>162</v>
      </c>
      <c r="AD1603" t="s">
        <v>2272</v>
      </c>
      <c r="AH1603" s="4" t="s">
        <v>49</v>
      </c>
      <c r="AL1603" t="s">
        <v>49</v>
      </c>
      <c r="AM1603" t="s">
        <v>1004</v>
      </c>
      <c r="AN1603" t="s">
        <v>109</v>
      </c>
      <c r="AO1603" t="s">
        <v>1013</v>
      </c>
      <c r="AP1603" t="s">
        <v>51</v>
      </c>
    </row>
    <row r="1604" spans="1:42" x14ac:dyDescent="0.2">
      <c r="A1604" t="s">
        <v>1002</v>
      </c>
      <c r="B1604" t="s">
        <v>1003</v>
      </c>
      <c r="C1604">
        <v>2018</v>
      </c>
      <c r="D1604" t="s">
        <v>45</v>
      </c>
      <c r="E1604" t="s">
        <v>49</v>
      </c>
      <c r="F1604" t="s">
        <v>81</v>
      </c>
      <c r="G1604" t="s">
        <v>86</v>
      </c>
      <c r="H1604" t="s">
        <v>350</v>
      </c>
      <c r="I1604">
        <v>2016</v>
      </c>
      <c r="J1604">
        <v>0.17</v>
      </c>
      <c r="N1604" t="s">
        <v>120</v>
      </c>
      <c r="O1604" t="s">
        <v>252</v>
      </c>
      <c r="P1604" t="s">
        <v>756</v>
      </c>
      <c r="Q1604" s="1" t="s">
        <v>2276</v>
      </c>
      <c r="R1604" s="1" t="s">
        <v>669</v>
      </c>
      <c r="S1604" s="1" t="s">
        <v>168</v>
      </c>
      <c r="X1604" t="s">
        <v>161</v>
      </c>
      <c r="Y1604" t="s">
        <v>2272</v>
      </c>
      <c r="Z1604" t="s">
        <v>2272</v>
      </c>
      <c r="AA1604" t="s">
        <v>2272</v>
      </c>
      <c r="AB1604" t="s">
        <v>2272</v>
      </c>
      <c r="AC1604" t="s">
        <v>162</v>
      </c>
      <c r="AD1604" t="s">
        <v>2272</v>
      </c>
      <c r="AH1604" s="4" t="s">
        <v>49</v>
      </c>
      <c r="AL1604" t="s">
        <v>49</v>
      </c>
      <c r="AM1604" t="s">
        <v>1004</v>
      </c>
      <c r="AN1604" t="s">
        <v>109</v>
      </c>
      <c r="AO1604" t="s">
        <v>1013</v>
      </c>
      <c r="AP1604" t="s">
        <v>51</v>
      </c>
    </row>
    <row r="1605" spans="1:42" x14ac:dyDescent="0.2">
      <c r="A1605" t="s">
        <v>1014</v>
      </c>
      <c r="B1605" t="s">
        <v>239</v>
      </c>
      <c r="C1605">
        <v>2018</v>
      </c>
      <c r="D1605" t="s">
        <v>44</v>
      </c>
      <c r="F1605" t="s">
        <v>80</v>
      </c>
      <c r="G1605" t="s">
        <v>86</v>
      </c>
      <c r="H1605" t="s">
        <v>350</v>
      </c>
      <c r="I1605">
        <v>2014</v>
      </c>
      <c r="J1605">
        <v>0.08</v>
      </c>
      <c r="L1605">
        <v>25</v>
      </c>
      <c r="N1605" t="s">
        <v>128</v>
      </c>
      <c r="O1605" t="s">
        <v>1016</v>
      </c>
      <c r="P1605" t="s">
        <v>1015</v>
      </c>
      <c r="Q1605" s="1" t="s">
        <v>2276</v>
      </c>
      <c r="R1605" s="1" t="s">
        <v>751</v>
      </c>
      <c r="S1605" s="1" t="s">
        <v>2346</v>
      </c>
      <c r="V1605" t="s">
        <v>194</v>
      </c>
      <c r="W1605" t="s">
        <v>1015</v>
      </c>
      <c r="X1605" t="s">
        <v>211</v>
      </c>
      <c r="Y1605" t="s">
        <v>2279</v>
      </c>
      <c r="Z1605" t="s">
        <v>2280</v>
      </c>
      <c r="AA1605" t="s">
        <v>2358</v>
      </c>
      <c r="AB1605" t="s">
        <v>2290</v>
      </c>
      <c r="AC1605" t="s">
        <v>152</v>
      </c>
      <c r="AD1605" t="s">
        <v>2278</v>
      </c>
    </row>
    <row r="1606" spans="1:42" x14ac:dyDescent="0.2">
      <c r="A1606" t="s">
        <v>1014</v>
      </c>
      <c r="B1606" t="s">
        <v>239</v>
      </c>
      <c r="C1606">
        <v>2018</v>
      </c>
      <c r="D1606" t="s">
        <v>44</v>
      </c>
      <c r="F1606" t="s">
        <v>80</v>
      </c>
      <c r="G1606" t="s">
        <v>86</v>
      </c>
      <c r="H1606" t="s">
        <v>350</v>
      </c>
      <c r="I1606">
        <v>2014</v>
      </c>
      <c r="J1606">
        <v>0.08</v>
      </c>
      <c r="L1606">
        <v>25</v>
      </c>
      <c r="N1606" t="s">
        <v>128</v>
      </c>
      <c r="O1606" t="s">
        <v>1016</v>
      </c>
      <c r="P1606" t="s">
        <v>399</v>
      </c>
      <c r="Q1606" s="1" t="s">
        <v>2276</v>
      </c>
      <c r="R1606" s="1" t="s">
        <v>669</v>
      </c>
      <c r="S1606" s="1" t="s">
        <v>2348</v>
      </c>
      <c r="V1606" t="s">
        <v>194</v>
      </c>
      <c r="W1606" t="s">
        <v>1015</v>
      </c>
      <c r="X1606" t="s">
        <v>211</v>
      </c>
      <c r="Y1606" t="s">
        <v>2279</v>
      </c>
      <c r="Z1606" t="s">
        <v>2280</v>
      </c>
      <c r="AA1606" t="s">
        <v>2358</v>
      </c>
      <c r="AB1606" t="s">
        <v>2290</v>
      </c>
      <c r="AC1606" t="s">
        <v>152</v>
      </c>
      <c r="AD1606" t="s">
        <v>2278</v>
      </c>
    </row>
    <row r="1607" spans="1:42" x14ac:dyDescent="0.2">
      <c r="A1607" t="s">
        <v>1014</v>
      </c>
      <c r="B1607" t="s">
        <v>239</v>
      </c>
      <c r="C1607">
        <v>2018</v>
      </c>
      <c r="D1607" t="s">
        <v>44</v>
      </c>
      <c r="F1607" t="s">
        <v>80</v>
      </c>
      <c r="G1607" t="s">
        <v>86</v>
      </c>
      <c r="H1607" t="s">
        <v>350</v>
      </c>
      <c r="I1607">
        <v>2014</v>
      </c>
      <c r="J1607">
        <v>0.08</v>
      </c>
      <c r="L1607">
        <v>25</v>
      </c>
      <c r="N1607" t="s">
        <v>128</v>
      </c>
      <c r="O1607" t="s">
        <v>1016</v>
      </c>
      <c r="P1607" t="s">
        <v>1015</v>
      </c>
      <c r="Q1607" s="1" t="s">
        <v>2276</v>
      </c>
      <c r="R1607" s="1" t="s">
        <v>751</v>
      </c>
      <c r="S1607" s="1" t="s">
        <v>2346</v>
      </c>
      <c r="V1607" t="s">
        <v>194</v>
      </c>
      <c r="W1607" t="s">
        <v>1015</v>
      </c>
      <c r="X1607" t="s">
        <v>615</v>
      </c>
      <c r="Y1607" t="s">
        <v>2273</v>
      </c>
      <c r="Z1607" t="s">
        <v>249</v>
      </c>
      <c r="AA1607" t="s">
        <v>2359</v>
      </c>
      <c r="AB1607" t="s">
        <v>2285</v>
      </c>
      <c r="AC1607" t="s">
        <v>152</v>
      </c>
      <c r="AD1607" t="s">
        <v>137</v>
      </c>
    </row>
    <row r="1608" spans="1:42" x14ac:dyDescent="0.2">
      <c r="A1608" t="s">
        <v>1014</v>
      </c>
      <c r="B1608" t="s">
        <v>239</v>
      </c>
      <c r="C1608">
        <v>2018</v>
      </c>
      <c r="D1608" t="s">
        <v>44</v>
      </c>
      <c r="F1608" t="s">
        <v>80</v>
      </c>
      <c r="G1608" t="s">
        <v>86</v>
      </c>
      <c r="H1608" t="s">
        <v>350</v>
      </c>
      <c r="I1608">
        <v>2014</v>
      </c>
      <c r="J1608">
        <v>0.08</v>
      </c>
      <c r="L1608">
        <v>25</v>
      </c>
      <c r="N1608" t="s">
        <v>128</v>
      </c>
      <c r="O1608" t="s">
        <v>1016</v>
      </c>
      <c r="P1608" t="s">
        <v>399</v>
      </c>
      <c r="Q1608" s="1" t="s">
        <v>2276</v>
      </c>
      <c r="R1608" s="1" t="s">
        <v>669</v>
      </c>
      <c r="S1608" s="1" t="s">
        <v>2348</v>
      </c>
      <c r="V1608" t="s">
        <v>194</v>
      </c>
      <c r="W1608" t="s">
        <v>1015</v>
      </c>
      <c r="X1608" t="s">
        <v>615</v>
      </c>
      <c r="Y1608" t="s">
        <v>2273</v>
      </c>
      <c r="Z1608" t="s">
        <v>249</v>
      </c>
      <c r="AA1608" t="s">
        <v>2359</v>
      </c>
      <c r="AB1608" t="s">
        <v>2285</v>
      </c>
      <c r="AC1608" t="s">
        <v>152</v>
      </c>
      <c r="AD1608" t="s">
        <v>137</v>
      </c>
    </row>
    <row r="1609" spans="1:42" x14ac:dyDescent="0.2">
      <c r="A1609" t="s">
        <v>1014</v>
      </c>
      <c r="B1609" t="s">
        <v>239</v>
      </c>
      <c r="C1609">
        <v>2018</v>
      </c>
      <c r="D1609" t="s">
        <v>44</v>
      </c>
      <c r="F1609" t="s">
        <v>80</v>
      </c>
      <c r="G1609" t="s">
        <v>86</v>
      </c>
      <c r="H1609" t="s">
        <v>350</v>
      </c>
      <c r="I1609">
        <v>2014</v>
      </c>
      <c r="J1609">
        <v>0.08</v>
      </c>
      <c r="L1609">
        <v>25</v>
      </c>
      <c r="N1609" t="s">
        <v>128</v>
      </c>
      <c r="O1609" t="s">
        <v>1016</v>
      </c>
      <c r="P1609" t="s">
        <v>1015</v>
      </c>
      <c r="Q1609" s="1" t="s">
        <v>2276</v>
      </c>
      <c r="R1609" s="1" t="s">
        <v>751</v>
      </c>
      <c r="S1609" s="1" t="s">
        <v>2346</v>
      </c>
      <c r="V1609" t="s">
        <v>194</v>
      </c>
      <c r="W1609" t="s">
        <v>1015</v>
      </c>
      <c r="X1609" t="s">
        <v>642</v>
      </c>
      <c r="Y1609" t="s">
        <v>2273</v>
      </c>
      <c r="Z1609" t="s">
        <v>249</v>
      </c>
      <c r="AA1609" t="s">
        <v>2359</v>
      </c>
      <c r="AB1609" t="s">
        <v>1979</v>
      </c>
      <c r="AC1609" t="s">
        <v>152</v>
      </c>
      <c r="AD1609" t="s">
        <v>137</v>
      </c>
    </row>
    <row r="1610" spans="1:42" x14ac:dyDescent="0.2">
      <c r="A1610" t="s">
        <v>1014</v>
      </c>
      <c r="B1610" t="s">
        <v>239</v>
      </c>
      <c r="C1610">
        <v>2018</v>
      </c>
      <c r="D1610" t="s">
        <v>44</v>
      </c>
      <c r="F1610" t="s">
        <v>80</v>
      </c>
      <c r="G1610" t="s">
        <v>86</v>
      </c>
      <c r="H1610" t="s">
        <v>350</v>
      </c>
      <c r="I1610">
        <v>2014</v>
      </c>
      <c r="J1610">
        <v>0.08</v>
      </c>
      <c r="L1610">
        <v>25</v>
      </c>
      <c r="N1610" t="s">
        <v>128</v>
      </c>
      <c r="O1610" t="s">
        <v>1016</v>
      </c>
      <c r="P1610" t="s">
        <v>399</v>
      </c>
      <c r="Q1610" s="1" t="s">
        <v>2276</v>
      </c>
      <c r="R1610" s="1" t="s">
        <v>669</v>
      </c>
      <c r="S1610" s="1" t="s">
        <v>2348</v>
      </c>
      <c r="V1610" t="s">
        <v>194</v>
      </c>
      <c r="W1610" t="s">
        <v>1015</v>
      </c>
      <c r="X1610" t="s">
        <v>642</v>
      </c>
      <c r="Y1610" t="s">
        <v>2273</v>
      </c>
      <c r="Z1610" t="s">
        <v>249</v>
      </c>
      <c r="AA1610" t="s">
        <v>2359</v>
      </c>
      <c r="AB1610" t="s">
        <v>1979</v>
      </c>
      <c r="AC1610" t="s">
        <v>152</v>
      </c>
      <c r="AD1610" t="s">
        <v>137</v>
      </c>
    </row>
    <row r="1611" spans="1:42" x14ac:dyDescent="0.2">
      <c r="A1611" t="s">
        <v>1014</v>
      </c>
      <c r="B1611" t="s">
        <v>239</v>
      </c>
      <c r="C1611">
        <v>2018</v>
      </c>
      <c r="D1611" t="s">
        <v>44</v>
      </c>
      <c r="F1611" t="s">
        <v>80</v>
      </c>
      <c r="G1611" t="s">
        <v>86</v>
      </c>
      <c r="H1611" t="s">
        <v>350</v>
      </c>
      <c r="I1611">
        <v>2014</v>
      </c>
      <c r="J1611">
        <v>0.08</v>
      </c>
      <c r="L1611">
        <v>25</v>
      </c>
      <c r="N1611" t="s">
        <v>128</v>
      </c>
      <c r="O1611" t="s">
        <v>1016</v>
      </c>
      <c r="P1611" t="s">
        <v>1015</v>
      </c>
      <c r="Q1611" s="1" t="s">
        <v>2276</v>
      </c>
      <c r="R1611" s="1" t="s">
        <v>751</v>
      </c>
      <c r="S1611" s="1" t="s">
        <v>2346</v>
      </c>
      <c r="V1611" t="s">
        <v>194</v>
      </c>
      <c r="W1611" t="s">
        <v>1015</v>
      </c>
      <c r="X1611" t="s">
        <v>1017</v>
      </c>
      <c r="Y1611" t="s">
        <v>2273</v>
      </c>
      <c r="Z1611" t="s">
        <v>249</v>
      </c>
      <c r="AA1611" t="s">
        <v>2274</v>
      </c>
      <c r="AB1611" t="s">
        <v>2275</v>
      </c>
      <c r="AC1611" t="s">
        <v>152</v>
      </c>
      <c r="AD1611" t="s">
        <v>2288</v>
      </c>
    </row>
    <row r="1612" spans="1:42" x14ac:dyDescent="0.2">
      <c r="A1612" t="s">
        <v>1014</v>
      </c>
      <c r="B1612" t="s">
        <v>239</v>
      </c>
      <c r="C1612">
        <v>2018</v>
      </c>
      <c r="D1612" t="s">
        <v>44</v>
      </c>
      <c r="F1612" t="s">
        <v>80</v>
      </c>
      <c r="G1612" t="s">
        <v>86</v>
      </c>
      <c r="H1612" t="s">
        <v>350</v>
      </c>
      <c r="I1612">
        <v>2014</v>
      </c>
      <c r="J1612">
        <v>0.08</v>
      </c>
      <c r="L1612">
        <v>25</v>
      </c>
      <c r="N1612" t="s">
        <v>128</v>
      </c>
      <c r="O1612" t="s">
        <v>1016</v>
      </c>
      <c r="P1612" t="s">
        <v>399</v>
      </c>
      <c r="Q1612" s="1" t="s">
        <v>2276</v>
      </c>
      <c r="R1612" s="1" t="s">
        <v>669</v>
      </c>
      <c r="S1612" s="1" t="s">
        <v>2348</v>
      </c>
      <c r="V1612" t="s">
        <v>194</v>
      </c>
      <c r="W1612" t="s">
        <v>1015</v>
      </c>
      <c r="X1612" t="s">
        <v>1017</v>
      </c>
      <c r="Y1612" t="s">
        <v>2273</v>
      </c>
      <c r="Z1612" t="s">
        <v>249</v>
      </c>
      <c r="AA1612" t="s">
        <v>2274</v>
      </c>
      <c r="AB1612" t="s">
        <v>2275</v>
      </c>
      <c r="AC1612" t="s">
        <v>152</v>
      </c>
      <c r="AD1612" t="s">
        <v>2288</v>
      </c>
    </row>
    <row r="1613" spans="1:42" x14ac:dyDescent="0.2">
      <c r="A1613" t="s">
        <v>1014</v>
      </c>
      <c r="B1613" t="s">
        <v>239</v>
      </c>
      <c r="C1613">
        <v>2018</v>
      </c>
      <c r="D1613" t="s">
        <v>44</v>
      </c>
      <c r="F1613" t="s">
        <v>80</v>
      </c>
      <c r="G1613" t="s">
        <v>86</v>
      </c>
      <c r="H1613" t="s">
        <v>350</v>
      </c>
      <c r="I1613">
        <v>2014</v>
      </c>
      <c r="J1613">
        <v>0.08</v>
      </c>
      <c r="L1613">
        <v>25</v>
      </c>
      <c r="N1613" t="s">
        <v>128</v>
      </c>
      <c r="O1613" t="s">
        <v>1016</v>
      </c>
      <c r="P1613" t="s">
        <v>1015</v>
      </c>
      <c r="Q1613" s="1" t="s">
        <v>2276</v>
      </c>
      <c r="R1613" s="1" t="s">
        <v>751</v>
      </c>
      <c r="S1613" s="1" t="s">
        <v>2346</v>
      </c>
      <c r="V1613" t="s">
        <v>194</v>
      </c>
      <c r="W1613" t="s">
        <v>1015</v>
      </c>
      <c r="X1613" t="s">
        <v>1018</v>
      </c>
      <c r="Y1613" t="s">
        <v>2273</v>
      </c>
      <c r="Z1613" t="s">
        <v>249</v>
      </c>
      <c r="AA1613" t="s">
        <v>2274</v>
      </c>
      <c r="AB1613" t="s">
        <v>2275</v>
      </c>
      <c r="AC1613" t="s">
        <v>152</v>
      </c>
      <c r="AD1613" t="s">
        <v>2288</v>
      </c>
    </row>
    <row r="1614" spans="1:42" x14ac:dyDescent="0.2">
      <c r="A1614" t="s">
        <v>1014</v>
      </c>
      <c r="B1614" t="s">
        <v>239</v>
      </c>
      <c r="C1614">
        <v>2018</v>
      </c>
      <c r="D1614" t="s">
        <v>44</v>
      </c>
      <c r="F1614" t="s">
        <v>80</v>
      </c>
      <c r="G1614" t="s">
        <v>86</v>
      </c>
      <c r="H1614" t="s">
        <v>350</v>
      </c>
      <c r="I1614">
        <v>2014</v>
      </c>
      <c r="J1614">
        <v>0.08</v>
      </c>
      <c r="L1614">
        <v>25</v>
      </c>
      <c r="N1614" t="s">
        <v>128</v>
      </c>
      <c r="O1614" t="s">
        <v>1016</v>
      </c>
      <c r="P1614" t="s">
        <v>399</v>
      </c>
      <c r="Q1614" s="1" t="s">
        <v>2276</v>
      </c>
      <c r="R1614" s="1" t="s">
        <v>669</v>
      </c>
      <c r="S1614" s="1" t="s">
        <v>2348</v>
      </c>
      <c r="V1614" t="s">
        <v>194</v>
      </c>
      <c r="W1614" t="s">
        <v>1015</v>
      </c>
      <c r="X1614" t="s">
        <v>1018</v>
      </c>
      <c r="Y1614" t="s">
        <v>2273</v>
      </c>
      <c r="Z1614" t="s">
        <v>249</v>
      </c>
      <c r="AA1614" t="s">
        <v>2274</v>
      </c>
      <c r="AB1614" t="s">
        <v>2275</v>
      </c>
      <c r="AC1614" t="s">
        <v>152</v>
      </c>
      <c r="AD1614" t="s">
        <v>2288</v>
      </c>
    </row>
    <row r="1615" spans="1:42" x14ac:dyDescent="0.2">
      <c r="A1615" t="s">
        <v>1014</v>
      </c>
      <c r="B1615" t="s">
        <v>239</v>
      </c>
      <c r="C1615">
        <v>2018</v>
      </c>
      <c r="D1615" t="s">
        <v>44</v>
      </c>
      <c r="F1615" t="s">
        <v>80</v>
      </c>
      <c r="G1615" t="s">
        <v>86</v>
      </c>
      <c r="H1615" t="s">
        <v>350</v>
      </c>
      <c r="I1615">
        <v>2014</v>
      </c>
      <c r="J1615">
        <v>0.08</v>
      </c>
      <c r="L1615">
        <v>25</v>
      </c>
      <c r="N1615" t="s">
        <v>128</v>
      </c>
      <c r="O1615" t="s">
        <v>1016</v>
      </c>
      <c r="P1615" t="s">
        <v>1015</v>
      </c>
      <c r="Q1615" s="1" t="s">
        <v>2276</v>
      </c>
      <c r="R1615" s="1" t="s">
        <v>751</v>
      </c>
      <c r="S1615" s="1" t="s">
        <v>2346</v>
      </c>
      <c r="V1615" t="s">
        <v>194</v>
      </c>
      <c r="W1615" t="s">
        <v>1015</v>
      </c>
      <c r="X1615" t="s">
        <v>1019</v>
      </c>
      <c r="Y1615" t="s">
        <v>2273</v>
      </c>
      <c r="Z1615" t="s">
        <v>249</v>
      </c>
      <c r="AA1615" t="s">
        <v>2274</v>
      </c>
      <c r="AB1615" t="s">
        <v>2275</v>
      </c>
      <c r="AC1615" t="s">
        <v>152</v>
      </c>
      <c r="AD1615" t="s">
        <v>2288</v>
      </c>
    </row>
    <row r="1616" spans="1:42" x14ac:dyDescent="0.2">
      <c r="A1616" t="s">
        <v>1014</v>
      </c>
      <c r="B1616" t="s">
        <v>239</v>
      </c>
      <c r="C1616">
        <v>2018</v>
      </c>
      <c r="D1616" t="s">
        <v>44</v>
      </c>
      <c r="F1616" t="s">
        <v>80</v>
      </c>
      <c r="G1616" t="s">
        <v>86</v>
      </c>
      <c r="H1616" t="s">
        <v>350</v>
      </c>
      <c r="I1616">
        <v>2014</v>
      </c>
      <c r="J1616">
        <v>0.08</v>
      </c>
      <c r="L1616">
        <v>25</v>
      </c>
      <c r="N1616" t="s">
        <v>128</v>
      </c>
      <c r="O1616" t="s">
        <v>1016</v>
      </c>
      <c r="P1616" t="s">
        <v>399</v>
      </c>
      <c r="Q1616" s="1" t="s">
        <v>2276</v>
      </c>
      <c r="R1616" s="1" t="s">
        <v>669</v>
      </c>
      <c r="S1616" s="1" t="s">
        <v>2348</v>
      </c>
      <c r="V1616" t="s">
        <v>194</v>
      </c>
      <c r="W1616" t="s">
        <v>1015</v>
      </c>
      <c r="X1616" t="s">
        <v>1019</v>
      </c>
      <c r="Y1616" t="s">
        <v>2273</v>
      </c>
      <c r="Z1616" t="s">
        <v>249</v>
      </c>
      <c r="AA1616" t="s">
        <v>2274</v>
      </c>
      <c r="AB1616" t="s">
        <v>2275</v>
      </c>
      <c r="AC1616" t="s">
        <v>152</v>
      </c>
      <c r="AD1616" t="s">
        <v>2288</v>
      </c>
    </row>
    <row r="1617" spans="1:44" x14ac:dyDescent="0.2">
      <c r="A1617" t="s">
        <v>1014</v>
      </c>
      <c r="B1617" t="s">
        <v>239</v>
      </c>
      <c r="C1617">
        <v>2018</v>
      </c>
      <c r="D1617" t="s">
        <v>44</v>
      </c>
      <c r="F1617" t="s">
        <v>80</v>
      </c>
      <c r="G1617" t="s">
        <v>86</v>
      </c>
      <c r="H1617" t="s">
        <v>350</v>
      </c>
      <c r="I1617">
        <v>2014</v>
      </c>
      <c r="J1617">
        <v>0.08</v>
      </c>
      <c r="L1617">
        <v>25</v>
      </c>
      <c r="N1617" t="s">
        <v>128</v>
      </c>
      <c r="O1617" t="s">
        <v>1016</v>
      </c>
      <c r="P1617" t="s">
        <v>1015</v>
      </c>
      <c r="Q1617" s="1" t="s">
        <v>2276</v>
      </c>
      <c r="R1617" s="1" t="s">
        <v>751</v>
      </c>
      <c r="S1617" s="1" t="s">
        <v>2346</v>
      </c>
      <c r="V1617" t="s">
        <v>194</v>
      </c>
      <c r="W1617" t="s">
        <v>1015</v>
      </c>
      <c r="X1617" t="s">
        <v>1020</v>
      </c>
      <c r="Y1617" t="s">
        <v>2273</v>
      </c>
      <c r="Z1617" t="s">
        <v>249</v>
      </c>
      <c r="AA1617" t="s">
        <v>2274</v>
      </c>
      <c r="AB1617" t="s">
        <v>2275</v>
      </c>
      <c r="AC1617" t="s">
        <v>152</v>
      </c>
      <c r="AD1617" t="s">
        <v>2288</v>
      </c>
    </row>
    <row r="1618" spans="1:44" x14ac:dyDescent="0.2">
      <c r="A1618" t="s">
        <v>1014</v>
      </c>
      <c r="B1618" t="s">
        <v>239</v>
      </c>
      <c r="C1618">
        <v>2018</v>
      </c>
      <c r="D1618" t="s">
        <v>44</v>
      </c>
      <c r="F1618" t="s">
        <v>80</v>
      </c>
      <c r="G1618" t="s">
        <v>86</v>
      </c>
      <c r="H1618" t="s">
        <v>350</v>
      </c>
      <c r="I1618">
        <v>2014</v>
      </c>
      <c r="J1618">
        <v>0.08</v>
      </c>
      <c r="L1618">
        <v>25</v>
      </c>
      <c r="N1618" t="s">
        <v>128</v>
      </c>
      <c r="O1618" t="s">
        <v>1016</v>
      </c>
      <c r="P1618" t="s">
        <v>399</v>
      </c>
      <c r="Q1618" s="1" t="s">
        <v>2276</v>
      </c>
      <c r="R1618" s="1" t="s">
        <v>669</v>
      </c>
      <c r="S1618" s="1" t="s">
        <v>2348</v>
      </c>
      <c r="V1618" t="s">
        <v>194</v>
      </c>
      <c r="W1618" t="s">
        <v>1015</v>
      </c>
      <c r="X1618" t="s">
        <v>1020</v>
      </c>
      <c r="Y1618" t="s">
        <v>2273</v>
      </c>
      <c r="Z1618" t="s">
        <v>249</v>
      </c>
      <c r="AA1618" t="s">
        <v>2274</v>
      </c>
      <c r="AB1618" t="s">
        <v>2275</v>
      </c>
      <c r="AC1618" t="s">
        <v>152</v>
      </c>
      <c r="AD1618" t="s">
        <v>2288</v>
      </c>
    </row>
    <row r="1619" spans="1:44" x14ac:dyDescent="0.2">
      <c r="A1619" t="s">
        <v>1014</v>
      </c>
      <c r="B1619" t="s">
        <v>239</v>
      </c>
      <c r="C1619">
        <v>2018</v>
      </c>
      <c r="D1619" t="s">
        <v>44</v>
      </c>
      <c r="F1619" t="s">
        <v>80</v>
      </c>
      <c r="G1619" t="s">
        <v>86</v>
      </c>
      <c r="H1619" t="s">
        <v>350</v>
      </c>
      <c r="I1619">
        <v>2014</v>
      </c>
      <c r="J1619">
        <v>0.08</v>
      </c>
      <c r="L1619">
        <v>25</v>
      </c>
      <c r="N1619" t="s">
        <v>128</v>
      </c>
      <c r="O1619" t="s">
        <v>1016</v>
      </c>
      <c r="P1619" t="s">
        <v>1015</v>
      </c>
      <c r="Q1619" s="1" t="s">
        <v>2276</v>
      </c>
      <c r="R1619" s="1" t="s">
        <v>751</v>
      </c>
      <c r="S1619" s="1" t="s">
        <v>2346</v>
      </c>
      <c r="T1619" t="s">
        <v>396</v>
      </c>
      <c r="U1619" s="1" t="s">
        <v>2348</v>
      </c>
      <c r="V1619" t="s">
        <v>194</v>
      </c>
      <c r="W1619" t="s">
        <v>1015</v>
      </c>
      <c r="X1619" t="s">
        <v>161</v>
      </c>
      <c r="Y1619" t="s">
        <v>2272</v>
      </c>
      <c r="Z1619" t="s">
        <v>2272</v>
      </c>
      <c r="AA1619" t="s">
        <v>2272</v>
      </c>
      <c r="AB1619" t="s">
        <v>2272</v>
      </c>
      <c r="AC1619" t="s">
        <v>162</v>
      </c>
      <c r="AD1619" t="s">
        <v>2272</v>
      </c>
      <c r="AF1619" t="s">
        <v>49</v>
      </c>
      <c r="AK1619" t="s">
        <v>49</v>
      </c>
      <c r="AM1619" t="s">
        <v>1021</v>
      </c>
      <c r="AN1619" t="s">
        <v>166</v>
      </c>
      <c r="AQ1619" s="5">
        <v>2</v>
      </c>
    </row>
    <row r="1620" spans="1:44" x14ac:dyDescent="0.2">
      <c r="A1620" t="s">
        <v>1014</v>
      </c>
      <c r="B1620" t="s">
        <v>239</v>
      </c>
      <c r="C1620">
        <v>2018</v>
      </c>
      <c r="D1620" t="s">
        <v>44</v>
      </c>
      <c r="F1620" t="s">
        <v>80</v>
      </c>
      <c r="G1620" t="s">
        <v>86</v>
      </c>
      <c r="H1620" t="s">
        <v>350</v>
      </c>
      <c r="I1620">
        <v>2014</v>
      </c>
      <c r="J1620">
        <v>0.08</v>
      </c>
      <c r="L1620">
        <v>25</v>
      </c>
      <c r="N1620" t="s">
        <v>128</v>
      </c>
      <c r="O1620" t="s">
        <v>1016</v>
      </c>
      <c r="P1620" t="s">
        <v>399</v>
      </c>
      <c r="Q1620" s="1" t="s">
        <v>2276</v>
      </c>
      <c r="R1620" s="1" t="s">
        <v>669</v>
      </c>
      <c r="S1620" s="1" t="s">
        <v>2348</v>
      </c>
      <c r="T1620" t="s">
        <v>396</v>
      </c>
      <c r="U1620" s="1" t="s">
        <v>2346</v>
      </c>
      <c r="V1620" t="s">
        <v>194</v>
      </c>
      <c r="W1620" t="s">
        <v>1015</v>
      </c>
      <c r="X1620" t="s">
        <v>161</v>
      </c>
      <c r="Y1620" t="s">
        <v>2272</v>
      </c>
      <c r="Z1620" t="s">
        <v>2272</v>
      </c>
      <c r="AA1620" t="s">
        <v>2272</v>
      </c>
      <c r="AB1620" t="s">
        <v>2272</v>
      </c>
      <c r="AC1620" t="s">
        <v>162</v>
      </c>
      <c r="AD1620" t="s">
        <v>2272</v>
      </c>
      <c r="AF1620" t="s">
        <v>49</v>
      </c>
      <c r="AK1620" t="s">
        <v>49</v>
      </c>
      <c r="AM1620" t="s">
        <v>1021</v>
      </c>
      <c r="AN1620" t="s">
        <v>166</v>
      </c>
      <c r="AQ1620" s="5">
        <v>1</v>
      </c>
    </row>
    <row r="1621" spans="1:44" x14ac:dyDescent="0.2">
      <c r="A1621" t="s">
        <v>1014</v>
      </c>
      <c r="B1621" t="s">
        <v>239</v>
      </c>
      <c r="C1621">
        <v>2018</v>
      </c>
      <c r="D1621" t="s">
        <v>44</v>
      </c>
      <c r="F1621" t="s">
        <v>80</v>
      </c>
      <c r="G1621" t="s">
        <v>86</v>
      </c>
      <c r="H1621" t="s">
        <v>350</v>
      </c>
      <c r="I1621">
        <v>2014</v>
      </c>
      <c r="J1621">
        <v>0.08</v>
      </c>
      <c r="L1621">
        <v>25</v>
      </c>
      <c r="N1621" t="s">
        <v>128</v>
      </c>
      <c r="O1621" t="s">
        <v>1016</v>
      </c>
      <c r="P1621" t="s">
        <v>1015</v>
      </c>
      <c r="Q1621" s="1" t="s">
        <v>2276</v>
      </c>
      <c r="R1621" s="1" t="s">
        <v>751</v>
      </c>
      <c r="S1621" s="1" t="s">
        <v>2346</v>
      </c>
      <c r="T1621" t="s">
        <v>396</v>
      </c>
      <c r="U1621" s="1" t="s">
        <v>2348</v>
      </c>
      <c r="V1621" t="s">
        <v>194</v>
      </c>
      <c r="W1621" t="s">
        <v>1015</v>
      </c>
      <c r="X1621" t="s">
        <v>161</v>
      </c>
      <c r="Y1621" t="s">
        <v>2272</v>
      </c>
      <c r="Z1621" t="s">
        <v>2272</v>
      </c>
      <c r="AA1621" t="s">
        <v>2272</v>
      </c>
      <c r="AB1621" t="s">
        <v>2272</v>
      </c>
      <c r="AC1621" t="s">
        <v>162</v>
      </c>
      <c r="AD1621" t="s">
        <v>2272</v>
      </c>
      <c r="AF1621" t="s">
        <v>49</v>
      </c>
      <c r="AK1621" t="s">
        <v>49</v>
      </c>
      <c r="AM1621" t="s">
        <v>1021</v>
      </c>
      <c r="AN1621" t="s">
        <v>154</v>
      </c>
      <c r="AQ1621" s="5">
        <v>2</v>
      </c>
    </row>
    <row r="1622" spans="1:44" x14ac:dyDescent="0.2">
      <c r="A1622" t="s">
        <v>1014</v>
      </c>
      <c r="B1622" t="s">
        <v>239</v>
      </c>
      <c r="C1622">
        <v>2018</v>
      </c>
      <c r="D1622" t="s">
        <v>44</v>
      </c>
      <c r="F1622" t="s">
        <v>80</v>
      </c>
      <c r="G1622" t="s">
        <v>86</v>
      </c>
      <c r="H1622" t="s">
        <v>350</v>
      </c>
      <c r="I1622">
        <v>2014</v>
      </c>
      <c r="J1622">
        <v>0.08</v>
      </c>
      <c r="L1622">
        <v>25</v>
      </c>
      <c r="N1622" t="s">
        <v>128</v>
      </c>
      <c r="O1622" t="s">
        <v>1016</v>
      </c>
      <c r="P1622" t="s">
        <v>399</v>
      </c>
      <c r="Q1622" s="1" t="s">
        <v>2276</v>
      </c>
      <c r="R1622" s="1" t="s">
        <v>669</v>
      </c>
      <c r="S1622" s="1" t="s">
        <v>2348</v>
      </c>
      <c r="T1622" t="s">
        <v>396</v>
      </c>
      <c r="U1622" s="1" t="s">
        <v>2346</v>
      </c>
      <c r="V1622" t="s">
        <v>194</v>
      </c>
      <c r="W1622" t="s">
        <v>1015</v>
      </c>
      <c r="X1622" t="s">
        <v>161</v>
      </c>
      <c r="Y1622" t="s">
        <v>2272</v>
      </c>
      <c r="Z1622" t="s">
        <v>2272</v>
      </c>
      <c r="AA1622" t="s">
        <v>2272</v>
      </c>
      <c r="AB1622" t="s">
        <v>2272</v>
      </c>
      <c r="AC1622" t="s">
        <v>162</v>
      </c>
      <c r="AD1622" t="s">
        <v>2272</v>
      </c>
      <c r="AF1622" t="s">
        <v>49</v>
      </c>
      <c r="AK1622" t="s">
        <v>49</v>
      </c>
      <c r="AM1622" t="s">
        <v>1021</v>
      </c>
      <c r="AN1622" t="s">
        <v>154</v>
      </c>
      <c r="AQ1622" s="5">
        <v>1</v>
      </c>
    </row>
    <row r="1623" spans="1:44" x14ac:dyDescent="0.2">
      <c r="A1623" t="s">
        <v>1014</v>
      </c>
      <c r="B1623" t="s">
        <v>239</v>
      </c>
      <c r="C1623">
        <v>2018</v>
      </c>
      <c r="D1623" t="s">
        <v>44</v>
      </c>
      <c r="F1623" t="s">
        <v>80</v>
      </c>
      <c r="G1623" t="s">
        <v>86</v>
      </c>
      <c r="H1623" t="s">
        <v>350</v>
      </c>
      <c r="I1623">
        <v>2014</v>
      </c>
      <c r="J1623">
        <v>0.08</v>
      </c>
      <c r="L1623">
        <v>25</v>
      </c>
      <c r="N1623" t="s">
        <v>128</v>
      </c>
      <c r="O1623" t="s">
        <v>1016</v>
      </c>
      <c r="P1623" t="s">
        <v>1015</v>
      </c>
      <c r="Q1623" s="1" t="s">
        <v>2276</v>
      </c>
      <c r="R1623" s="1" t="s">
        <v>751</v>
      </c>
      <c r="S1623" s="1" t="s">
        <v>2346</v>
      </c>
      <c r="T1623" t="s">
        <v>396</v>
      </c>
      <c r="U1623" s="1" t="s">
        <v>2348</v>
      </c>
      <c r="V1623" t="s">
        <v>194</v>
      </c>
      <c r="W1623" t="s">
        <v>1015</v>
      </c>
      <c r="X1623" t="s">
        <v>161</v>
      </c>
      <c r="Y1623" t="s">
        <v>2272</v>
      </c>
      <c r="Z1623" t="s">
        <v>2272</v>
      </c>
      <c r="AA1623" t="s">
        <v>2272</v>
      </c>
      <c r="AB1623" t="s">
        <v>2272</v>
      </c>
      <c r="AC1623" t="s">
        <v>162</v>
      </c>
      <c r="AD1623" t="s">
        <v>2272</v>
      </c>
      <c r="AF1623" t="s">
        <v>49</v>
      </c>
      <c r="AK1623" t="s">
        <v>49</v>
      </c>
      <c r="AM1623" t="s">
        <v>1021</v>
      </c>
      <c r="AN1623" t="s">
        <v>165</v>
      </c>
      <c r="AP1623" t="s">
        <v>49</v>
      </c>
    </row>
    <row r="1624" spans="1:44" x14ac:dyDescent="0.2">
      <c r="A1624" t="s">
        <v>1014</v>
      </c>
      <c r="B1624" t="s">
        <v>239</v>
      </c>
      <c r="C1624">
        <v>2018</v>
      </c>
      <c r="D1624" t="s">
        <v>44</v>
      </c>
      <c r="F1624" t="s">
        <v>80</v>
      </c>
      <c r="G1624" t="s">
        <v>86</v>
      </c>
      <c r="H1624" t="s">
        <v>350</v>
      </c>
      <c r="I1624">
        <v>2014</v>
      </c>
      <c r="J1624">
        <v>0.08</v>
      </c>
      <c r="L1624">
        <v>25</v>
      </c>
      <c r="N1624" t="s">
        <v>128</v>
      </c>
      <c r="O1624" t="s">
        <v>1016</v>
      </c>
      <c r="P1624" t="s">
        <v>399</v>
      </c>
      <c r="Q1624" s="1" t="s">
        <v>2276</v>
      </c>
      <c r="R1624" s="1" t="s">
        <v>669</v>
      </c>
      <c r="S1624" s="1" t="s">
        <v>2348</v>
      </c>
      <c r="T1624" t="s">
        <v>396</v>
      </c>
      <c r="U1624" s="1" t="s">
        <v>2346</v>
      </c>
      <c r="V1624" t="s">
        <v>194</v>
      </c>
      <c r="W1624" t="s">
        <v>1015</v>
      </c>
      <c r="X1624" t="s">
        <v>161</v>
      </c>
      <c r="Y1624" t="s">
        <v>2272</v>
      </c>
      <c r="Z1624" t="s">
        <v>2272</v>
      </c>
      <c r="AA1624" t="s">
        <v>2272</v>
      </c>
      <c r="AB1624" t="s">
        <v>2272</v>
      </c>
      <c r="AC1624" t="s">
        <v>162</v>
      </c>
      <c r="AD1624" t="s">
        <v>2272</v>
      </c>
      <c r="AF1624" t="s">
        <v>49</v>
      </c>
      <c r="AK1624" t="s">
        <v>49</v>
      </c>
      <c r="AM1624" t="s">
        <v>1021</v>
      </c>
      <c r="AN1624" t="s">
        <v>165</v>
      </c>
      <c r="AP1624" t="s">
        <v>49</v>
      </c>
    </row>
    <row r="1625" spans="1:44" x14ac:dyDescent="0.2">
      <c r="A1625" t="s">
        <v>1022</v>
      </c>
      <c r="B1625" t="s">
        <v>1023</v>
      </c>
      <c r="C1625">
        <v>2018</v>
      </c>
      <c r="D1625" t="s">
        <v>44</v>
      </c>
      <c r="E1625" t="s">
        <v>49</v>
      </c>
      <c r="F1625" t="s">
        <v>81</v>
      </c>
      <c r="G1625" t="s">
        <v>91</v>
      </c>
      <c r="H1625" t="s">
        <v>350</v>
      </c>
      <c r="I1625" t="s">
        <v>1024</v>
      </c>
      <c r="J1625">
        <v>16</v>
      </c>
      <c r="K1625" t="s">
        <v>42</v>
      </c>
      <c r="M1625">
        <f t="shared" ref="M1625:M1638" si="39">40*2</f>
        <v>80</v>
      </c>
      <c r="N1625" t="s">
        <v>120</v>
      </c>
      <c r="O1625" t="s">
        <v>120</v>
      </c>
      <c r="P1625" t="s">
        <v>581</v>
      </c>
      <c r="Q1625" s="1" t="s">
        <v>2276</v>
      </c>
      <c r="R1625" s="1" t="s">
        <v>669</v>
      </c>
      <c r="S1625" s="1" t="s">
        <v>168</v>
      </c>
      <c r="X1625" t="s">
        <v>211</v>
      </c>
      <c r="Y1625" t="s">
        <v>2279</v>
      </c>
      <c r="Z1625" t="s">
        <v>2280</v>
      </c>
      <c r="AA1625" t="s">
        <v>2358</v>
      </c>
      <c r="AB1625" t="s">
        <v>2290</v>
      </c>
      <c r="AC1625" t="s">
        <v>152</v>
      </c>
      <c r="AD1625" t="s">
        <v>2278</v>
      </c>
      <c r="AR1625">
        <v>1</v>
      </c>
    </row>
    <row r="1626" spans="1:44" x14ac:dyDescent="0.2">
      <c r="A1626" t="s">
        <v>1022</v>
      </c>
      <c r="B1626" t="s">
        <v>1023</v>
      </c>
      <c r="C1626">
        <v>2018</v>
      </c>
      <c r="D1626" t="s">
        <v>44</v>
      </c>
      <c r="E1626" t="s">
        <v>49</v>
      </c>
      <c r="F1626" t="s">
        <v>81</v>
      </c>
      <c r="G1626" t="s">
        <v>91</v>
      </c>
      <c r="H1626" t="s">
        <v>350</v>
      </c>
      <c r="I1626" t="s">
        <v>1024</v>
      </c>
      <c r="J1626">
        <v>16</v>
      </c>
      <c r="K1626" t="s">
        <v>42</v>
      </c>
      <c r="M1626">
        <f t="shared" si="39"/>
        <v>80</v>
      </c>
      <c r="N1626" t="s">
        <v>120</v>
      </c>
      <c r="O1626" t="s">
        <v>120</v>
      </c>
      <c r="P1626" t="s">
        <v>581</v>
      </c>
      <c r="Q1626" s="1" t="s">
        <v>2276</v>
      </c>
      <c r="R1626" s="1" t="s">
        <v>669</v>
      </c>
      <c r="S1626" s="1" t="s">
        <v>168</v>
      </c>
      <c r="X1626" t="s">
        <v>150</v>
      </c>
      <c r="Y1626" t="s">
        <v>2273</v>
      </c>
      <c r="Z1626" t="s">
        <v>249</v>
      </c>
      <c r="AA1626" t="s">
        <v>2359</v>
      </c>
      <c r="AB1626" t="s">
        <v>1419</v>
      </c>
      <c r="AC1626" t="s">
        <v>152</v>
      </c>
      <c r="AD1626" t="s">
        <v>137</v>
      </c>
      <c r="AR1626">
        <v>1</v>
      </c>
    </row>
    <row r="1627" spans="1:44" x14ac:dyDescent="0.2">
      <c r="A1627" t="s">
        <v>1022</v>
      </c>
      <c r="B1627" t="s">
        <v>1023</v>
      </c>
      <c r="C1627">
        <v>2018</v>
      </c>
      <c r="D1627" t="s">
        <v>44</v>
      </c>
      <c r="E1627" t="s">
        <v>49</v>
      </c>
      <c r="F1627" t="s">
        <v>81</v>
      </c>
      <c r="G1627" t="s">
        <v>91</v>
      </c>
      <c r="H1627" t="s">
        <v>350</v>
      </c>
      <c r="I1627" t="s">
        <v>1024</v>
      </c>
      <c r="J1627">
        <v>16</v>
      </c>
      <c r="K1627" t="s">
        <v>42</v>
      </c>
      <c r="M1627">
        <f t="shared" si="39"/>
        <v>80</v>
      </c>
      <c r="N1627" t="s">
        <v>120</v>
      </c>
      <c r="O1627" t="s">
        <v>120</v>
      </c>
      <c r="P1627" t="s">
        <v>581</v>
      </c>
      <c r="Q1627" s="1" t="s">
        <v>2276</v>
      </c>
      <c r="R1627" s="1" t="s">
        <v>669</v>
      </c>
      <c r="S1627" s="1" t="s">
        <v>168</v>
      </c>
      <c r="X1627" t="s">
        <v>171</v>
      </c>
      <c r="Y1627" t="s">
        <v>2273</v>
      </c>
      <c r="Z1627" t="s">
        <v>249</v>
      </c>
      <c r="AA1627" t="s">
        <v>2359</v>
      </c>
      <c r="AB1627" t="s">
        <v>1979</v>
      </c>
      <c r="AC1627" t="s">
        <v>152</v>
      </c>
      <c r="AD1627" t="s">
        <v>137</v>
      </c>
      <c r="AF1627" t="s">
        <v>49</v>
      </c>
      <c r="AH1627" s="4" t="s">
        <v>49</v>
      </c>
      <c r="AJ1627" t="s">
        <v>49</v>
      </c>
      <c r="AM1627" t="s">
        <v>1025</v>
      </c>
      <c r="AN1627" t="s">
        <v>154</v>
      </c>
      <c r="AP1627" t="s">
        <v>51</v>
      </c>
      <c r="AR1627">
        <v>1</v>
      </c>
    </row>
    <row r="1628" spans="1:44" x14ac:dyDescent="0.2">
      <c r="A1628" t="s">
        <v>1022</v>
      </c>
      <c r="B1628" t="s">
        <v>1023</v>
      </c>
      <c r="C1628">
        <v>2018</v>
      </c>
      <c r="D1628" t="s">
        <v>44</v>
      </c>
      <c r="E1628" t="s">
        <v>49</v>
      </c>
      <c r="F1628" t="s">
        <v>81</v>
      </c>
      <c r="G1628" t="s">
        <v>91</v>
      </c>
      <c r="H1628" t="s">
        <v>350</v>
      </c>
      <c r="I1628" t="s">
        <v>1024</v>
      </c>
      <c r="J1628">
        <v>16</v>
      </c>
      <c r="K1628" t="s">
        <v>42</v>
      </c>
      <c r="M1628">
        <f t="shared" si="39"/>
        <v>80</v>
      </c>
      <c r="N1628" t="s">
        <v>120</v>
      </c>
      <c r="O1628" t="s">
        <v>120</v>
      </c>
      <c r="P1628" t="s">
        <v>581</v>
      </c>
      <c r="Q1628" s="1" t="s">
        <v>2276</v>
      </c>
      <c r="R1628" s="1" t="s">
        <v>669</v>
      </c>
      <c r="S1628" s="1" t="s">
        <v>168</v>
      </c>
      <c r="X1628" t="s">
        <v>171</v>
      </c>
      <c r="Y1628" t="s">
        <v>2273</v>
      </c>
      <c r="Z1628" t="s">
        <v>249</v>
      </c>
      <c r="AA1628" t="s">
        <v>2359</v>
      </c>
      <c r="AB1628" t="s">
        <v>1979</v>
      </c>
      <c r="AC1628" t="s">
        <v>152</v>
      </c>
      <c r="AD1628" t="s">
        <v>137</v>
      </c>
      <c r="AF1628" t="s">
        <v>49</v>
      </c>
      <c r="AJ1628" t="s">
        <v>49</v>
      </c>
      <c r="AM1628" t="s">
        <v>970</v>
      </c>
      <c r="AN1628" t="s">
        <v>154</v>
      </c>
      <c r="AP1628" t="s">
        <v>157</v>
      </c>
      <c r="AR1628">
        <v>1</v>
      </c>
    </row>
    <row r="1629" spans="1:44" x14ac:dyDescent="0.2">
      <c r="A1629" t="s">
        <v>1022</v>
      </c>
      <c r="B1629" t="s">
        <v>1023</v>
      </c>
      <c r="C1629">
        <v>2018</v>
      </c>
      <c r="D1629" t="s">
        <v>44</v>
      </c>
      <c r="E1629" t="s">
        <v>49</v>
      </c>
      <c r="F1629" t="s">
        <v>81</v>
      </c>
      <c r="G1629" t="s">
        <v>91</v>
      </c>
      <c r="H1629" t="s">
        <v>350</v>
      </c>
      <c r="I1629" t="s">
        <v>1024</v>
      </c>
      <c r="J1629">
        <v>16</v>
      </c>
      <c r="K1629" t="s">
        <v>42</v>
      </c>
      <c r="M1629">
        <f t="shared" si="39"/>
        <v>80</v>
      </c>
      <c r="N1629" t="s">
        <v>120</v>
      </c>
      <c r="O1629" t="s">
        <v>120</v>
      </c>
      <c r="P1629" t="s">
        <v>581</v>
      </c>
      <c r="Q1629" s="1" t="s">
        <v>2276</v>
      </c>
      <c r="R1629" s="1" t="s">
        <v>669</v>
      </c>
      <c r="S1629" s="1" t="s">
        <v>168</v>
      </c>
      <c r="X1629" t="s">
        <v>171</v>
      </c>
      <c r="Y1629" t="s">
        <v>2273</v>
      </c>
      <c r="Z1629" t="s">
        <v>249</v>
      </c>
      <c r="AA1629" t="s">
        <v>2359</v>
      </c>
      <c r="AB1629" t="s">
        <v>1979</v>
      </c>
      <c r="AC1629" t="s">
        <v>152</v>
      </c>
      <c r="AD1629" t="s">
        <v>137</v>
      </c>
      <c r="AF1629" t="s">
        <v>49</v>
      </c>
      <c r="AH1629" s="4" t="s">
        <v>49</v>
      </c>
      <c r="AJ1629" t="s">
        <v>49</v>
      </c>
      <c r="AM1629" t="s">
        <v>1026</v>
      </c>
      <c r="AN1629" t="s">
        <v>154</v>
      </c>
      <c r="AP1629" t="s">
        <v>157</v>
      </c>
      <c r="AR1629">
        <v>1</v>
      </c>
    </row>
    <row r="1630" spans="1:44" x14ac:dyDescent="0.2">
      <c r="A1630" t="s">
        <v>1022</v>
      </c>
      <c r="B1630" t="s">
        <v>1023</v>
      </c>
      <c r="C1630">
        <v>2018</v>
      </c>
      <c r="D1630" t="s">
        <v>44</v>
      </c>
      <c r="E1630" t="s">
        <v>49</v>
      </c>
      <c r="F1630" t="s">
        <v>81</v>
      </c>
      <c r="G1630" t="s">
        <v>91</v>
      </c>
      <c r="H1630" t="s">
        <v>350</v>
      </c>
      <c r="I1630" t="s">
        <v>1024</v>
      </c>
      <c r="J1630">
        <v>16</v>
      </c>
      <c r="K1630" t="s">
        <v>42</v>
      </c>
      <c r="M1630">
        <f t="shared" si="39"/>
        <v>80</v>
      </c>
      <c r="N1630" t="s">
        <v>120</v>
      </c>
      <c r="O1630" t="s">
        <v>120</v>
      </c>
      <c r="P1630" t="s">
        <v>581</v>
      </c>
      <c r="Q1630" s="1" t="s">
        <v>2276</v>
      </c>
      <c r="R1630" s="1" t="s">
        <v>669</v>
      </c>
      <c r="S1630" s="1" t="s">
        <v>168</v>
      </c>
      <c r="X1630" t="s">
        <v>171</v>
      </c>
      <c r="Y1630" t="s">
        <v>2273</v>
      </c>
      <c r="Z1630" t="s">
        <v>249</v>
      </c>
      <c r="AA1630" t="s">
        <v>2359</v>
      </c>
      <c r="AB1630" t="s">
        <v>1979</v>
      </c>
      <c r="AC1630" t="s">
        <v>152</v>
      </c>
      <c r="AD1630" t="s">
        <v>137</v>
      </c>
      <c r="AF1630" t="s">
        <v>49</v>
      </c>
      <c r="AH1630" s="4" t="s">
        <v>49</v>
      </c>
      <c r="AJ1630" t="s">
        <v>49</v>
      </c>
      <c r="AM1630" t="s">
        <v>1027</v>
      </c>
      <c r="AN1630" t="s">
        <v>154</v>
      </c>
      <c r="AP1630" t="s">
        <v>51</v>
      </c>
      <c r="AR1630">
        <v>1</v>
      </c>
    </row>
    <row r="1631" spans="1:44" x14ac:dyDescent="0.2">
      <c r="A1631" t="s">
        <v>1022</v>
      </c>
      <c r="B1631" t="s">
        <v>1023</v>
      </c>
      <c r="C1631">
        <v>2018</v>
      </c>
      <c r="D1631" t="s">
        <v>44</v>
      </c>
      <c r="E1631" t="s">
        <v>49</v>
      </c>
      <c r="F1631" t="s">
        <v>81</v>
      </c>
      <c r="G1631" t="s">
        <v>91</v>
      </c>
      <c r="H1631" t="s">
        <v>350</v>
      </c>
      <c r="I1631" t="s">
        <v>1024</v>
      </c>
      <c r="J1631">
        <v>16</v>
      </c>
      <c r="K1631" t="s">
        <v>42</v>
      </c>
      <c r="M1631">
        <f t="shared" si="39"/>
        <v>80</v>
      </c>
      <c r="N1631" t="s">
        <v>120</v>
      </c>
      <c r="O1631" t="s">
        <v>120</v>
      </c>
      <c r="P1631" t="s">
        <v>581</v>
      </c>
      <c r="Q1631" s="1" t="s">
        <v>2276</v>
      </c>
      <c r="R1631" s="1" t="s">
        <v>669</v>
      </c>
      <c r="S1631" s="1" t="s">
        <v>168</v>
      </c>
      <c r="X1631" t="s">
        <v>171</v>
      </c>
      <c r="Y1631" t="s">
        <v>2273</v>
      </c>
      <c r="Z1631" t="s">
        <v>249</v>
      </c>
      <c r="AA1631" t="s">
        <v>2359</v>
      </c>
      <c r="AB1631" t="s">
        <v>1979</v>
      </c>
      <c r="AC1631" t="s">
        <v>152</v>
      </c>
      <c r="AD1631" t="s">
        <v>137</v>
      </c>
      <c r="AF1631" t="s">
        <v>49</v>
      </c>
      <c r="AJ1631" t="s">
        <v>49</v>
      </c>
      <c r="AM1631" t="s">
        <v>1028</v>
      </c>
      <c r="AN1631" t="s">
        <v>154</v>
      </c>
      <c r="AP1631" t="s">
        <v>157</v>
      </c>
      <c r="AR1631">
        <v>1</v>
      </c>
    </row>
    <row r="1632" spans="1:44" x14ac:dyDescent="0.2">
      <c r="A1632" t="s">
        <v>1022</v>
      </c>
      <c r="B1632" t="s">
        <v>1023</v>
      </c>
      <c r="C1632">
        <v>2018</v>
      </c>
      <c r="D1632" t="s">
        <v>44</v>
      </c>
      <c r="E1632" t="s">
        <v>49</v>
      </c>
      <c r="F1632" t="s">
        <v>81</v>
      </c>
      <c r="G1632" t="s">
        <v>91</v>
      </c>
      <c r="H1632" t="s">
        <v>350</v>
      </c>
      <c r="I1632" t="s">
        <v>1024</v>
      </c>
      <c r="J1632">
        <v>16</v>
      </c>
      <c r="K1632" t="s">
        <v>42</v>
      </c>
      <c r="M1632">
        <f t="shared" si="39"/>
        <v>80</v>
      </c>
      <c r="N1632" t="s">
        <v>120</v>
      </c>
      <c r="O1632" t="s">
        <v>120</v>
      </c>
      <c r="P1632" t="s">
        <v>581</v>
      </c>
      <c r="Q1632" s="1" t="s">
        <v>2276</v>
      </c>
      <c r="R1632" s="1" t="s">
        <v>669</v>
      </c>
      <c r="S1632" s="1" t="s">
        <v>168</v>
      </c>
      <c r="X1632" t="s">
        <v>171</v>
      </c>
      <c r="Y1632" t="s">
        <v>2273</v>
      </c>
      <c r="Z1632" t="s">
        <v>249</v>
      </c>
      <c r="AA1632" t="s">
        <v>2359</v>
      </c>
      <c r="AB1632" t="s">
        <v>1979</v>
      </c>
      <c r="AC1632" t="s">
        <v>152</v>
      </c>
      <c r="AD1632" t="s">
        <v>137</v>
      </c>
      <c r="AF1632" t="s">
        <v>49</v>
      </c>
      <c r="AH1632" s="4" t="s">
        <v>49</v>
      </c>
      <c r="AJ1632" t="s">
        <v>49</v>
      </c>
      <c r="AM1632" t="s">
        <v>1029</v>
      </c>
      <c r="AN1632" t="s">
        <v>154</v>
      </c>
      <c r="AP1632" t="s">
        <v>157</v>
      </c>
      <c r="AR1632">
        <v>1</v>
      </c>
    </row>
    <row r="1633" spans="1:45" x14ac:dyDescent="0.2">
      <c r="A1633" t="s">
        <v>1022</v>
      </c>
      <c r="B1633" t="s">
        <v>1023</v>
      </c>
      <c r="C1633">
        <v>2018</v>
      </c>
      <c r="D1633" t="s">
        <v>44</v>
      </c>
      <c r="E1633" t="s">
        <v>49</v>
      </c>
      <c r="F1633" t="s">
        <v>81</v>
      </c>
      <c r="G1633" t="s">
        <v>91</v>
      </c>
      <c r="H1633" t="s">
        <v>350</v>
      </c>
      <c r="I1633" t="s">
        <v>1024</v>
      </c>
      <c r="J1633">
        <v>16</v>
      </c>
      <c r="K1633" t="s">
        <v>42</v>
      </c>
      <c r="M1633">
        <f t="shared" si="39"/>
        <v>80</v>
      </c>
      <c r="N1633" t="s">
        <v>120</v>
      </c>
      <c r="O1633" t="s">
        <v>120</v>
      </c>
      <c r="P1633" t="s">
        <v>581</v>
      </c>
      <c r="Q1633" s="1" t="s">
        <v>2276</v>
      </c>
      <c r="R1633" s="1" t="s">
        <v>669</v>
      </c>
      <c r="S1633" s="1" t="s">
        <v>168</v>
      </c>
      <c r="X1633" t="s">
        <v>171</v>
      </c>
      <c r="Y1633" t="s">
        <v>2273</v>
      </c>
      <c r="Z1633" t="s">
        <v>249</v>
      </c>
      <c r="AA1633" t="s">
        <v>2359</v>
      </c>
      <c r="AB1633" t="s">
        <v>1979</v>
      </c>
      <c r="AC1633" t="s">
        <v>152</v>
      </c>
      <c r="AD1633" t="s">
        <v>137</v>
      </c>
      <c r="AF1633" t="s">
        <v>49</v>
      </c>
      <c r="AH1633" s="4" t="s">
        <v>49</v>
      </c>
      <c r="AJ1633" t="s">
        <v>49</v>
      </c>
      <c r="AM1633" t="s">
        <v>1025</v>
      </c>
      <c r="AN1633" t="s">
        <v>171</v>
      </c>
      <c r="AP1633" t="s">
        <v>51</v>
      </c>
      <c r="AR1633">
        <v>1</v>
      </c>
    </row>
    <row r="1634" spans="1:45" x14ac:dyDescent="0.2">
      <c r="A1634" t="s">
        <v>1022</v>
      </c>
      <c r="B1634" t="s">
        <v>1023</v>
      </c>
      <c r="C1634">
        <v>2018</v>
      </c>
      <c r="D1634" t="s">
        <v>44</v>
      </c>
      <c r="E1634" t="s">
        <v>49</v>
      </c>
      <c r="F1634" t="s">
        <v>81</v>
      </c>
      <c r="G1634" t="s">
        <v>91</v>
      </c>
      <c r="H1634" t="s">
        <v>350</v>
      </c>
      <c r="I1634" t="s">
        <v>1024</v>
      </c>
      <c r="J1634">
        <v>16</v>
      </c>
      <c r="K1634" t="s">
        <v>42</v>
      </c>
      <c r="M1634">
        <f t="shared" si="39"/>
        <v>80</v>
      </c>
      <c r="N1634" t="s">
        <v>120</v>
      </c>
      <c r="O1634" t="s">
        <v>120</v>
      </c>
      <c r="P1634" t="s">
        <v>581</v>
      </c>
      <c r="Q1634" s="1" t="s">
        <v>2276</v>
      </c>
      <c r="R1634" s="1" t="s">
        <v>669</v>
      </c>
      <c r="S1634" s="1" t="s">
        <v>168</v>
      </c>
      <c r="X1634" t="s">
        <v>171</v>
      </c>
      <c r="Y1634" t="s">
        <v>2273</v>
      </c>
      <c r="Z1634" t="s">
        <v>249</v>
      </c>
      <c r="AA1634" t="s">
        <v>2359</v>
      </c>
      <c r="AB1634" t="s">
        <v>1979</v>
      </c>
      <c r="AC1634" t="s">
        <v>152</v>
      </c>
      <c r="AD1634" t="s">
        <v>137</v>
      </c>
      <c r="AF1634" t="s">
        <v>49</v>
      </c>
      <c r="AJ1634" t="s">
        <v>49</v>
      </c>
      <c r="AM1634" t="s">
        <v>970</v>
      </c>
      <c r="AN1634" t="s">
        <v>171</v>
      </c>
      <c r="AP1634" t="s">
        <v>51</v>
      </c>
      <c r="AR1634">
        <v>1</v>
      </c>
    </row>
    <row r="1635" spans="1:45" x14ac:dyDescent="0.2">
      <c r="A1635" t="s">
        <v>1022</v>
      </c>
      <c r="B1635" t="s">
        <v>1023</v>
      </c>
      <c r="C1635">
        <v>2018</v>
      </c>
      <c r="D1635" t="s">
        <v>44</v>
      </c>
      <c r="E1635" t="s">
        <v>49</v>
      </c>
      <c r="F1635" t="s">
        <v>81</v>
      </c>
      <c r="G1635" t="s">
        <v>91</v>
      </c>
      <c r="H1635" t="s">
        <v>350</v>
      </c>
      <c r="I1635" t="s">
        <v>1024</v>
      </c>
      <c r="J1635">
        <v>16</v>
      </c>
      <c r="K1635" t="s">
        <v>42</v>
      </c>
      <c r="M1635">
        <f t="shared" si="39"/>
        <v>80</v>
      </c>
      <c r="N1635" t="s">
        <v>120</v>
      </c>
      <c r="O1635" t="s">
        <v>120</v>
      </c>
      <c r="P1635" t="s">
        <v>581</v>
      </c>
      <c r="Q1635" s="1" t="s">
        <v>2276</v>
      </c>
      <c r="R1635" s="1" t="s">
        <v>669</v>
      </c>
      <c r="S1635" s="1" t="s">
        <v>168</v>
      </c>
      <c r="X1635" t="s">
        <v>171</v>
      </c>
      <c r="Y1635" t="s">
        <v>2273</v>
      </c>
      <c r="Z1635" t="s">
        <v>249</v>
      </c>
      <c r="AA1635" t="s">
        <v>2359</v>
      </c>
      <c r="AB1635" t="s">
        <v>1979</v>
      </c>
      <c r="AC1635" t="s">
        <v>152</v>
      </c>
      <c r="AD1635" t="s">
        <v>137</v>
      </c>
      <c r="AF1635" t="s">
        <v>49</v>
      </c>
      <c r="AH1635" s="4" t="s">
        <v>49</v>
      </c>
      <c r="AJ1635" t="s">
        <v>49</v>
      </c>
      <c r="AM1635" t="s">
        <v>1026</v>
      </c>
      <c r="AN1635" t="s">
        <v>171</v>
      </c>
      <c r="AP1635" t="s">
        <v>51</v>
      </c>
      <c r="AR1635">
        <v>1</v>
      </c>
    </row>
    <row r="1636" spans="1:45" x14ac:dyDescent="0.2">
      <c r="A1636" t="s">
        <v>1022</v>
      </c>
      <c r="B1636" t="s">
        <v>1023</v>
      </c>
      <c r="C1636">
        <v>2018</v>
      </c>
      <c r="D1636" t="s">
        <v>44</v>
      </c>
      <c r="E1636" t="s">
        <v>49</v>
      </c>
      <c r="F1636" t="s">
        <v>81</v>
      </c>
      <c r="G1636" t="s">
        <v>91</v>
      </c>
      <c r="H1636" t="s">
        <v>350</v>
      </c>
      <c r="I1636" t="s">
        <v>1024</v>
      </c>
      <c r="J1636">
        <v>16</v>
      </c>
      <c r="K1636" t="s">
        <v>42</v>
      </c>
      <c r="M1636">
        <f t="shared" si="39"/>
        <v>80</v>
      </c>
      <c r="N1636" t="s">
        <v>120</v>
      </c>
      <c r="O1636" t="s">
        <v>120</v>
      </c>
      <c r="P1636" t="s">
        <v>581</v>
      </c>
      <c r="Q1636" s="1" t="s">
        <v>2276</v>
      </c>
      <c r="R1636" s="1" t="s">
        <v>669</v>
      </c>
      <c r="S1636" s="1" t="s">
        <v>168</v>
      </c>
      <c r="X1636" t="s">
        <v>171</v>
      </c>
      <c r="Y1636" t="s">
        <v>2273</v>
      </c>
      <c r="Z1636" t="s">
        <v>249</v>
      </c>
      <c r="AA1636" t="s">
        <v>2359</v>
      </c>
      <c r="AB1636" t="s">
        <v>1979</v>
      </c>
      <c r="AC1636" t="s">
        <v>152</v>
      </c>
      <c r="AD1636" t="s">
        <v>137</v>
      </c>
      <c r="AF1636" t="s">
        <v>49</v>
      </c>
      <c r="AH1636" s="4" t="s">
        <v>49</v>
      </c>
      <c r="AJ1636" t="s">
        <v>49</v>
      </c>
      <c r="AM1636" t="s">
        <v>1025</v>
      </c>
      <c r="AN1636" t="s">
        <v>154</v>
      </c>
      <c r="AP1636" t="s">
        <v>51</v>
      </c>
      <c r="AR1636">
        <v>1</v>
      </c>
    </row>
    <row r="1637" spans="1:45" x14ac:dyDescent="0.2">
      <c r="A1637" t="s">
        <v>1022</v>
      </c>
      <c r="B1637" t="s">
        <v>1023</v>
      </c>
      <c r="C1637">
        <v>2018</v>
      </c>
      <c r="D1637" t="s">
        <v>44</v>
      </c>
      <c r="E1637" t="s">
        <v>49</v>
      </c>
      <c r="F1637" t="s">
        <v>81</v>
      </c>
      <c r="G1637" t="s">
        <v>91</v>
      </c>
      <c r="H1637" t="s">
        <v>350</v>
      </c>
      <c r="I1637" t="s">
        <v>1024</v>
      </c>
      <c r="J1637">
        <v>16</v>
      </c>
      <c r="K1637" t="s">
        <v>42</v>
      </c>
      <c r="M1637">
        <f t="shared" si="39"/>
        <v>80</v>
      </c>
      <c r="N1637" t="s">
        <v>120</v>
      </c>
      <c r="O1637" t="s">
        <v>120</v>
      </c>
      <c r="P1637" t="s">
        <v>581</v>
      </c>
      <c r="Q1637" s="1" t="s">
        <v>2276</v>
      </c>
      <c r="R1637" s="1" t="s">
        <v>669</v>
      </c>
      <c r="S1637" s="1" t="s">
        <v>168</v>
      </c>
      <c r="X1637" t="s">
        <v>171</v>
      </c>
      <c r="Y1637" t="s">
        <v>2273</v>
      </c>
      <c r="Z1637" t="s">
        <v>249</v>
      </c>
      <c r="AA1637" t="s">
        <v>2359</v>
      </c>
      <c r="AB1637" t="s">
        <v>1979</v>
      </c>
      <c r="AC1637" t="s">
        <v>152</v>
      </c>
      <c r="AD1637" t="s">
        <v>137</v>
      </c>
      <c r="AF1637" t="s">
        <v>49</v>
      </c>
      <c r="AJ1637" t="s">
        <v>49</v>
      </c>
      <c r="AM1637" t="s">
        <v>970</v>
      </c>
      <c r="AN1637" t="s">
        <v>154</v>
      </c>
      <c r="AP1637" t="s">
        <v>51</v>
      </c>
      <c r="AR1637">
        <v>1</v>
      </c>
    </row>
    <row r="1638" spans="1:45" x14ac:dyDescent="0.2">
      <c r="A1638" t="s">
        <v>1022</v>
      </c>
      <c r="B1638" t="s">
        <v>1023</v>
      </c>
      <c r="C1638">
        <v>2018</v>
      </c>
      <c r="D1638" t="s">
        <v>44</v>
      </c>
      <c r="E1638" t="s">
        <v>49</v>
      </c>
      <c r="F1638" t="s">
        <v>81</v>
      </c>
      <c r="G1638" t="s">
        <v>91</v>
      </c>
      <c r="H1638" t="s">
        <v>350</v>
      </c>
      <c r="I1638" t="s">
        <v>1024</v>
      </c>
      <c r="J1638">
        <v>16</v>
      </c>
      <c r="K1638" t="s">
        <v>42</v>
      </c>
      <c r="M1638">
        <f t="shared" si="39"/>
        <v>80</v>
      </c>
      <c r="N1638" t="s">
        <v>120</v>
      </c>
      <c r="O1638" t="s">
        <v>120</v>
      </c>
      <c r="P1638" t="s">
        <v>581</v>
      </c>
      <c r="Q1638" s="1" t="s">
        <v>2276</v>
      </c>
      <c r="R1638" s="1" t="s">
        <v>669</v>
      </c>
      <c r="S1638" s="1" t="s">
        <v>168</v>
      </c>
      <c r="X1638" t="s">
        <v>171</v>
      </c>
      <c r="Y1638" t="s">
        <v>2273</v>
      </c>
      <c r="Z1638" t="s">
        <v>249</v>
      </c>
      <c r="AA1638" t="s">
        <v>2359</v>
      </c>
      <c r="AB1638" t="s">
        <v>1979</v>
      </c>
      <c r="AC1638" t="s">
        <v>152</v>
      </c>
      <c r="AD1638" t="s">
        <v>137</v>
      </c>
      <c r="AF1638" t="s">
        <v>49</v>
      </c>
      <c r="AH1638" s="4" t="s">
        <v>49</v>
      </c>
      <c r="AJ1638" t="s">
        <v>49</v>
      </c>
      <c r="AM1638" t="s">
        <v>1026</v>
      </c>
      <c r="AN1638" t="s">
        <v>154</v>
      </c>
      <c r="AP1638" t="s">
        <v>157</v>
      </c>
      <c r="AR1638">
        <v>1</v>
      </c>
    </row>
    <row r="1639" spans="1:45" x14ac:dyDescent="0.2">
      <c r="A1639" t="s">
        <v>1030</v>
      </c>
      <c r="B1639" t="s">
        <v>1031</v>
      </c>
      <c r="C1639">
        <v>2018</v>
      </c>
      <c r="D1639" t="s">
        <v>44</v>
      </c>
      <c r="F1639" t="s">
        <v>638</v>
      </c>
      <c r="G1639" t="s">
        <v>90</v>
      </c>
      <c r="H1639" t="s">
        <v>350</v>
      </c>
      <c r="I1639" t="s">
        <v>1032</v>
      </c>
      <c r="J1639">
        <v>2</v>
      </c>
      <c r="K1639" t="s">
        <v>109</v>
      </c>
      <c r="L1639">
        <v>1570</v>
      </c>
      <c r="Q1639" s="1" t="s">
        <v>2351</v>
      </c>
      <c r="R1639" s="1" t="s">
        <v>2351</v>
      </c>
      <c r="S1639" s="1" t="s">
        <v>2351</v>
      </c>
      <c r="Y1639" t="s">
        <v>2272</v>
      </c>
      <c r="Z1639" t="s">
        <v>2272</v>
      </c>
      <c r="AA1639" t="s">
        <v>2272</v>
      </c>
      <c r="AB1639" t="s">
        <v>2272</v>
      </c>
      <c r="AD1639" t="s">
        <v>2272</v>
      </c>
      <c r="AR1639" t="s">
        <v>144</v>
      </c>
      <c r="AS1639" t="s">
        <v>2587</v>
      </c>
    </row>
    <row r="1640" spans="1:45" x14ac:dyDescent="0.2">
      <c r="A1640" t="s">
        <v>1033</v>
      </c>
      <c r="B1640" t="s">
        <v>1034</v>
      </c>
      <c r="C1640">
        <v>2018</v>
      </c>
      <c r="D1640" t="s">
        <v>44</v>
      </c>
      <c r="Q1640" s="1" t="s">
        <v>2272</v>
      </c>
      <c r="R1640" s="1" t="s">
        <v>2272</v>
      </c>
      <c r="S1640" s="1" t="s">
        <v>2272</v>
      </c>
      <c r="Y1640" t="s">
        <v>2272</v>
      </c>
      <c r="Z1640" t="s">
        <v>2272</v>
      </c>
      <c r="AA1640" t="s">
        <v>2272</v>
      </c>
      <c r="AB1640" t="s">
        <v>2272</v>
      </c>
      <c r="AD1640" t="s">
        <v>2272</v>
      </c>
      <c r="AR1640" t="s">
        <v>144</v>
      </c>
      <c r="AS1640" t="s">
        <v>2583</v>
      </c>
    </row>
    <row r="1641" spans="1:45" x14ac:dyDescent="0.2">
      <c r="A1641" t="s">
        <v>1035</v>
      </c>
      <c r="B1641" t="s">
        <v>1036</v>
      </c>
      <c r="C1641">
        <v>2018</v>
      </c>
      <c r="D1641" t="s">
        <v>44</v>
      </c>
      <c r="F1641" t="s">
        <v>608</v>
      </c>
      <c r="G1641" t="s">
        <v>91</v>
      </c>
      <c r="H1641" t="s">
        <v>96</v>
      </c>
      <c r="I1641">
        <v>2015</v>
      </c>
      <c r="J1641">
        <v>0.83</v>
      </c>
      <c r="K1641" t="s">
        <v>102</v>
      </c>
      <c r="M1641">
        <f t="shared" ref="M1641:M1656" si="40">0.25*0.25</f>
        <v>6.25E-2</v>
      </c>
      <c r="N1641" t="s">
        <v>124</v>
      </c>
      <c r="O1641" t="s">
        <v>124</v>
      </c>
      <c r="P1641" t="s">
        <v>279</v>
      </c>
      <c r="Q1641" s="1" t="s">
        <v>2292</v>
      </c>
      <c r="R1641" s="1" t="s">
        <v>124</v>
      </c>
      <c r="S1641" s="1" t="s">
        <v>124</v>
      </c>
      <c r="T1641" t="s">
        <v>396</v>
      </c>
      <c r="U1641" t="s">
        <v>760</v>
      </c>
      <c r="V1641" t="s">
        <v>194</v>
      </c>
      <c r="W1641" t="s">
        <v>1039</v>
      </c>
      <c r="X1641" t="s">
        <v>161</v>
      </c>
      <c r="Y1641" t="s">
        <v>2272</v>
      </c>
      <c r="Z1641" t="s">
        <v>2272</v>
      </c>
      <c r="AA1641" t="s">
        <v>2272</v>
      </c>
      <c r="AB1641" t="s">
        <v>2272</v>
      </c>
      <c r="AC1641" t="s">
        <v>162</v>
      </c>
      <c r="AD1641" t="s">
        <v>2272</v>
      </c>
      <c r="AG1641" t="s">
        <v>49</v>
      </c>
      <c r="AI1641" t="s">
        <v>49</v>
      </c>
      <c r="AM1641" t="s">
        <v>1038</v>
      </c>
      <c r="AN1641" t="s">
        <v>166</v>
      </c>
      <c r="AQ1641" s="5">
        <v>1</v>
      </c>
    </row>
    <row r="1642" spans="1:45" x14ac:dyDescent="0.2">
      <c r="A1642" t="s">
        <v>1035</v>
      </c>
      <c r="B1642" t="s">
        <v>1036</v>
      </c>
      <c r="C1642">
        <v>2018</v>
      </c>
      <c r="D1642" t="s">
        <v>44</v>
      </c>
      <c r="F1642" t="s">
        <v>608</v>
      </c>
      <c r="G1642" t="s">
        <v>91</v>
      </c>
      <c r="H1642" t="s">
        <v>96</v>
      </c>
      <c r="I1642">
        <v>2015</v>
      </c>
      <c r="J1642">
        <v>0.83</v>
      </c>
      <c r="K1642" t="s">
        <v>102</v>
      </c>
      <c r="M1642">
        <f t="shared" si="40"/>
        <v>6.25E-2</v>
      </c>
      <c r="N1642" t="s">
        <v>760</v>
      </c>
      <c r="O1642" t="s">
        <v>760</v>
      </c>
      <c r="P1642" t="s">
        <v>1037</v>
      </c>
      <c r="Q1642" s="1" t="s">
        <v>2292</v>
      </c>
      <c r="R1642" s="1" t="s">
        <v>760</v>
      </c>
      <c r="S1642" s="1" t="s">
        <v>760</v>
      </c>
      <c r="T1642" t="s">
        <v>396</v>
      </c>
      <c r="U1642" t="s">
        <v>124</v>
      </c>
      <c r="V1642" t="s">
        <v>194</v>
      </c>
      <c r="W1642" t="s">
        <v>1039</v>
      </c>
      <c r="X1642" t="s">
        <v>161</v>
      </c>
      <c r="Y1642" t="s">
        <v>2272</v>
      </c>
      <c r="Z1642" t="s">
        <v>2272</v>
      </c>
      <c r="AA1642" t="s">
        <v>2272</v>
      </c>
      <c r="AB1642" t="s">
        <v>2272</v>
      </c>
      <c r="AC1642" t="s">
        <v>162</v>
      </c>
      <c r="AD1642" t="s">
        <v>2272</v>
      </c>
      <c r="AG1642" t="s">
        <v>49</v>
      </c>
      <c r="AI1642" t="s">
        <v>49</v>
      </c>
      <c r="AM1642" t="s">
        <v>1038</v>
      </c>
      <c r="AN1642" t="s">
        <v>166</v>
      </c>
      <c r="AQ1642" s="5">
        <v>2</v>
      </c>
    </row>
    <row r="1643" spans="1:45" x14ac:dyDescent="0.2">
      <c r="A1643" t="s">
        <v>1035</v>
      </c>
      <c r="B1643" t="s">
        <v>1036</v>
      </c>
      <c r="C1643">
        <v>2018</v>
      </c>
      <c r="D1643" t="s">
        <v>44</v>
      </c>
      <c r="F1643" t="s">
        <v>608</v>
      </c>
      <c r="G1643" t="s">
        <v>91</v>
      </c>
      <c r="H1643" t="s">
        <v>96</v>
      </c>
      <c r="I1643">
        <v>2015</v>
      </c>
      <c r="J1643">
        <v>0.83</v>
      </c>
      <c r="K1643" t="s">
        <v>102</v>
      </c>
      <c r="M1643">
        <f t="shared" si="40"/>
        <v>6.25E-2</v>
      </c>
      <c r="N1643" t="s">
        <v>124</v>
      </c>
      <c r="O1643" t="s">
        <v>124</v>
      </c>
      <c r="P1643" t="s">
        <v>279</v>
      </c>
      <c r="Q1643" s="1" t="s">
        <v>2292</v>
      </c>
      <c r="R1643" s="1" t="s">
        <v>124</v>
      </c>
      <c r="S1643" s="1" t="s">
        <v>124</v>
      </c>
      <c r="T1643" t="s">
        <v>421</v>
      </c>
      <c r="U1643" t="s">
        <v>421</v>
      </c>
      <c r="V1643" t="s">
        <v>194</v>
      </c>
      <c r="W1643" t="s">
        <v>1039</v>
      </c>
      <c r="X1643" t="s">
        <v>161</v>
      </c>
      <c r="Y1643" t="s">
        <v>2272</v>
      </c>
      <c r="Z1643" t="s">
        <v>2272</v>
      </c>
      <c r="AA1643" t="s">
        <v>2272</v>
      </c>
      <c r="AB1643" t="s">
        <v>2272</v>
      </c>
      <c r="AC1643" t="s">
        <v>162</v>
      </c>
      <c r="AD1643" t="s">
        <v>2272</v>
      </c>
      <c r="AG1643" t="s">
        <v>49</v>
      </c>
      <c r="AI1643" t="s">
        <v>49</v>
      </c>
      <c r="AM1643" t="s">
        <v>1038</v>
      </c>
      <c r="AN1643" t="s">
        <v>166</v>
      </c>
      <c r="AQ1643" s="5">
        <v>0</v>
      </c>
    </row>
    <row r="1644" spans="1:45" x14ac:dyDescent="0.2">
      <c r="A1644" t="s">
        <v>1035</v>
      </c>
      <c r="B1644" t="s">
        <v>1036</v>
      </c>
      <c r="C1644">
        <v>2018</v>
      </c>
      <c r="D1644" t="s">
        <v>44</v>
      </c>
      <c r="F1644" t="s">
        <v>608</v>
      </c>
      <c r="G1644" t="s">
        <v>91</v>
      </c>
      <c r="H1644" t="s">
        <v>96</v>
      </c>
      <c r="I1644">
        <v>2015</v>
      </c>
      <c r="J1644">
        <v>0.83</v>
      </c>
      <c r="K1644" t="s">
        <v>102</v>
      </c>
      <c r="M1644">
        <f t="shared" si="40"/>
        <v>6.25E-2</v>
      </c>
      <c r="N1644" t="s">
        <v>760</v>
      </c>
      <c r="O1644" t="s">
        <v>760</v>
      </c>
      <c r="P1644" t="s">
        <v>1037</v>
      </c>
      <c r="Q1644" s="1" t="s">
        <v>2292</v>
      </c>
      <c r="R1644" s="1" t="s">
        <v>760</v>
      </c>
      <c r="S1644" s="1" t="s">
        <v>760</v>
      </c>
      <c r="T1644" t="s">
        <v>421</v>
      </c>
      <c r="U1644" t="s">
        <v>421</v>
      </c>
      <c r="V1644" t="s">
        <v>194</v>
      </c>
      <c r="W1644" t="s">
        <v>1039</v>
      </c>
      <c r="X1644" t="s">
        <v>161</v>
      </c>
      <c r="Y1644" t="s">
        <v>2272</v>
      </c>
      <c r="Z1644" t="s">
        <v>2272</v>
      </c>
      <c r="AA1644" t="s">
        <v>2272</v>
      </c>
      <c r="AB1644" t="s">
        <v>2272</v>
      </c>
      <c r="AC1644" t="s">
        <v>162</v>
      </c>
      <c r="AD1644" t="s">
        <v>2272</v>
      </c>
      <c r="AG1644" t="s">
        <v>49</v>
      </c>
      <c r="AI1644" t="s">
        <v>49</v>
      </c>
      <c r="AM1644" t="s">
        <v>1038</v>
      </c>
      <c r="AN1644" t="s">
        <v>166</v>
      </c>
      <c r="AQ1644" s="5">
        <v>0</v>
      </c>
    </row>
    <row r="1645" spans="1:45" x14ac:dyDescent="0.2">
      <c r="A1645" t="s">
        <v>1035</v>
      </c>
      <c r="B1645" t="s">
        <v>1036</v>
      </c>
      <c r="C1645">
        <v>2018</v>
      </c>
      <c r="D1645" t="s">
        <v>44</v>
      </c>
      <c r="F1645" t="s">
        <v>608</v>
      </c>
      <c r="G1645" t="s">
        <v>91</v>
      </c>
      <c r="H1645" t="s">
        <v>96</v>
      </c>
      <c r="I1645">
        <v>2015</v>
      </c>
      <c r="J1645">
        <v>0.83</v>
      </c>
      <c r="K1645" t="s">
        <v>102</v>
      </c>
      <c r="M1645">
        <f t="shared" si="40"/>
        <v>6.25E-2</v>
      </c>
      <c r="N1645" t="s">
        <v>124</v>
      </c>
      <c r="O1645" t="s">
        <v>124</v>
      </c>
      <c r="P1645" t="s">
        <v>279</v>
      </c>
      <c r="Q1645" s="1" t="s">
        <v>2292</v>
      </c>
      <c r="R1645" s="1" t="s">
        <v>124</v>
      </c>
      <c r="S1645" s="1" t="s">
        <v>124</v>
      </c>
      <c r="T1645" t="s">
        <v>396</v>
      </c>
      <c r="U1645" t="s">
        <v>760</v>
      </c>
      <c r="V1645" t="s">
        <v>194</v>
      </c>
      <c r="W1645" t="s">
        <v>1039</v>
      </c>
      <c r="X1645" t="s">
        <v>161</v>
      </c>
      <c r="Y1645" t="s">
        <v>2272</v>
      </c>
      <c r="Z1645" t="s">
        <v>2272</v>
      </c>
      <c r="AA1645" t="s">
        <v>2272</v>
      </c>
      <c r="AB1645" t="s">
        <v>2272</v>
      </c>
      <c r="AC1645" t="s">
        <v>162</v>
      </c>
      <c r="AD1645" t="s">
        <v>2272</v>
      </c>
      <c r="AG1645" t="s">
        <v>49</v>
      </c>
      <c r="AI1645" t="s">
        <v>49</v>
      </c>
      <c r="AM1645" t="s">
        <v>1038</v>
      </c>
      <c r="AN1645" t="s">
        <v>171</v>
      </c>
      <c r="AQ1645" s="5">
        <v>2</v>
      </c>
    </row>
    <row r="1646" spans="1:45" x14ac:dyDescent="0.2">
      <c r="A1646" t="s">
        <v>1035</v>
      </c>
      <c r="B1646" t="s">
        <v>1036</v>
      </c>
      <c r="C1646">
        <v>2018</v>
      </c>
      <c r="D1646" t="s">
        <v>44</v>
      </c>
      <c r="F1646" t="s">
        <v>608</v>
      </c>
      <c r="G1646" t="s">
        <v>91</v>
      </c>
      <c r="H1646" t="s">
        <v>96</v>
      </c>
      <c r="I1646">
        <v>2015</v>
      </c>
      <c r="J1646">
        <v>0.83</v>
      </c>
      <c r="K1646" t="s">
        <v>102</v>
      </c>
      <c r="M1646">
        <f t="shared" si="40"/>
        <v>6.25E-2</v>
      </c>
      <c r="N1646" t="s">
        <v>760</v>
      </c>
      <c r="O1646" t="s">
        <v>760</v>
      </c>
      <c r="P1646" t="s">
        <v>1037</v>
      </c>
      <c r="Q1646" s="1" t="s">
        <v>2292</v>
      </c>
      <c r="R1646" s="1" t="s">
        <v>760</v>
      </c>
      <c r="S1646" s="1" t="s">
        <v>760</v>
      </c>
      <c r="T1646" t="s">
        <v>396</v>
      </c>
      <c r="U1646" t="s">
        <v>124</v>
      </c>
      <c r="V1646" t="s">
        <v>194</v>
      </c>
      <c r="W1646" t="s">
        <v>1039</v>
      </c>
      <c r="X1646" t="s">
        <v>161</v>
      </c>
      <c r="Y1646" t="s">
        <v>2272</v>
      </c>
      <c r="Z1646" t="s">
        <v>2272</v>
      </c>
      <c r="AA1646" t="s">
        <v>2272</v>
      </c>
      <c r="AB1646" t="s">
        <v>2272</v>
      </c>
      <c r="AC1646" t="s">
        <v>162</v>
      </c>
      <c r="AD1646" t="s">
        <v>2272</v>
      </c>
      <c r="AG1646" t="s">
        <v>49</v>
      </c>
      <c r="AI1646" t="s">
        <v>49</v>
      </c>
      <c r="AM1646" t="s">
        <v>1038</v>
      </c>
      <c r="AN1646" t="s">
        <v>171</v>
      </c>
      <c r="AQ1646" s="5">
        <v>1</v>
      </c>
    </row>
    <row r="1647" spans="1:45" x14ac:dyDescent="0.2">
      <c r="A1647" t="s">
        <v>1035</v>
      </c>
      <c r="B1647" t="s">
        <v>1036</v>
      </c>
      <c r="C1647">
        <v>2018</v>
      </c>
      <c r="D1647" t="s">
        <v>44</v>
      </c>
      <c r="F1647" t="s">
        <v>608</v>
      </c>
      <c r="G1647" t="s">
        <v>91</v>
      </c>
      <c r="H1647" t="s">
        <v>96</v>
      </c>
      <c r="I1647">
        <v>2015</v>
      </c>
      <c r="J1647">
        <v>0.83</v>
      </c>
      <c r="K1647" t="s">
        <v>102</v>
      </c>
      <c r="M1647">
        <f t="shared" si="40"/>
        <v>6.25E-2</v>
      </c>
      <c r="N1647" t="s">
        <v>124</v>
      </c>
      <c r="O1647" t="s">
        <v>124</v>
      </c>
      <c r="P1647" t="s">
        <v>279</v>
      </c>
      <c r="Q1647" s="1" t="s">
        <v>2292</v>
      </c>
      <c r="R1647" s="1" t="s">
        <v>124</v>
      </c>
      <c r="S1647" s="1" t="s">
        <v>124</v>
      </c>
      <c r="T1647" t="s">
        <v>421</v>
      </c>
      <c r="U1647" t="s">
        <v>421</v>
      </c>
      <c r="V1647" t="s">
        <v>194</v>
      </c>
      <c r="W1647" t="s">
        <v>1039</v>
      </c>
      <c r="X1647" t="s">
        <v>161</v>
      </c>
      <c r="Y1647" t="s">
        <v>2272</v>
      </c>
      <c r="Z1647" t="s">
        <v>2272</v>
      </c>
      <c r="AA1647" t="s">
        <v>2272</v>
      </c>
      <c r="AB1647" t="s">
        <v>2272</v>
      </c>
      <c r="AC1647" t="s">
        <v>162</v>
      </c>
      <c r="AD1647" t="s">
        <v>2272</v>
      </c>
      <c r="AG1647" t="s">
        <v>49</v>
      </c>
      <c r="AI1647" t="s">
        <v>49</v>
      </c>
      <c r="AM1647" t="s">
        <v>1038</v>
      </c>
      <c r="AN1647" t="s">
        <v>171</v>
      </c>
      <c r="AQ1647" s="5">
        <v>2</v>
      </c>
    </row>
    <row r="1648" spans="1:45" x14ac:dyDescent="0.2">
      <c r="A1648" t="s">
        <v>1035</v>
      </c>
      <c r="B1648" t="s">
        <v>1036</v>
      </c>
      <c r="C1648">
        <v>2018</v>
      </c>
      <c r="D1648" t="s">
        <v>44</v>
      </c>
      <c r="F1648" t="s">
        <v>608</v>
      </c>
      <c r="G1648" t="s">
        <v>91</v>
      </c>
      <c r="H1648" t="s">
        <v>96</v>
      </c>
      <c r="I1648">
        <v>2015</v>
      </c>
      <c r="J1648">
        <v>0.83</v>
      </c>
      <c r="K1648" t="s">
        <v>102</v>
      </c>
      <c r="M1648">
        <f t="shared" si="40"/>
        <v>6.25E-2</v>
      </c>
      <c r="N1648" t="s">
        <v>760</v>
      </c>
      <c r="O1648" t="s">
        <v>760</v>
      </c>
      <c r="P1648" t="s">
        <v>1037</v>
      </c>
      <c r="Q1648" s="1" t="s">
        <v>2292</v>
      </c>
      <c r="R1648" s="1" t="s">
        <v>760</v>
      </c>
      <c r="S1648" s="1" t="s">
        <v>760</v>
      </c>
      <c r="T1648" t="s">
        <v>421</v>
      </c>
      <c r="U1648" t="s">
        <v>421</v>
      </c>
      <c r="V1648" t="s">
        <v>194</v>
      </c>
      <c r="W1648" t="s">
        <v>1039</v>
      </c>
      <c r="X1648" t="s">
        <v>161</v>
      </c>
      <c r="Y1648" t="s">
        <v>2272</v>
      </c>
      <c r="Z1648" t="s">
        <v>2272</v>
      </c>
      <c r="AA1648" t="s">
        <v>2272</v>
      </c>
      <c r="AB1648" t="s">
        <v>2272</v>
      </c>
      <c r="AC1648" t="s">
        <v>162</v>
      </c>
      <c r="AD1648" t="s">
        <v>2272</v>
      </c>
      <c r="AG1648" t="s">
        <v>49</v>
      </c>
      <c r="AI1648" t="s">
        <v>49</v>
      </c>
      <c r="AM1648" t="s">
        <v>1038</v>
      </c>
      <c r="AN1648" t="s">
        <v>171</v>
      </c>
      <c r="AQ1648" s="5">
        <v>0</v>
      </c>
    </row>
    <row r="1649" spans="1:45" x14ac:dyDescent="0.2">
      <c r="A1649" t="s">
        <v>1035</v>
      </c>
      <c r="B1649" t="s">
        <v>1036</v>
      </c>
      <c r="C1649">
        <v>2018</v>
      </c>
      <c r="D1649" t="s">
        <v>44</v>
      </c>
      <c r="F1649" t="s">
        <v>608</v>
      </c>
      <c r="G1649" t="s">
        <v>91</v>
      </c>
      <c r="H1649" t="s">
        <v>96</v>
      </c>
      <c r="I1649">
        <v>2015</v>
      </c>
      <c r="J1649">
        <v>0.83</v>
      </c>
      <c r="K1649" t="s">
        <v>102</v>
      </c>
      <c r="M1649">
        <f t="shared" si="40"/>
        <v>6.25E-2</v>
      </c>
      <c r="N1649" t="s">
        <v>124</v>
      </c>
      <c r="O1649" t="s">
        <v>124</v>
      </c>
      <c r="P1649" t="s">
        <v>279</v>
      </c>
      <c r="Q1649" s="1" t="s">
        <v>2292</v>
      </c>
      <c r="R1649" s="1" t="s">
        <v>124</v>
      </c>
      <c r="S1649" s="1" t="s">
        <v>124</v>
      </c>
      <c r="T1649" t="s">
        <v>396</v>
      </c>
      <c r="U1649" t="s">
        <v>760</v>
      </c>
      <c r="V1649" t="s">
        <v>194</v>
      </c>
      <c r="W1649" t="s">
        <v>1039</v>
      </c>
      <c r="X1649" t="s">
        <v>161</v>
      </c>
      <c r="Y1649" t="s">
        <v>2272</v>
      </c>
      <c r="Z1649" t="s">
        <v>2272</v>
      </c>
      <c r="AA1649" t="s">
        <v>2272</v>
      </c>
      <c r="AB1649" t="s">
        <v>2272</v>
      </c>
      <c r="AC1649" t="s">
        <v>162</v>
      </c>
      <c r="AD1649" t="s">
        <v>2272</v>
      </c>
      <c r="AG1649" t="s">
        <v>49</v>
      </c>
      <c r="AI1649" t="s">
        <v>49</v>
      </c>
      <c r="AM1649" t="s">
        <v>1038</v>
      </c>
      <c r="AN1649" t="s">
        <v>154</v>
      </c>
      <c r="AQ1649" s="5">
        <v>0</v>
      </c>
    </row>
    <row r="1650" spans="1:45" x14ac:dyDescent="0.2">
      <c r="A1650" t="s">
        <v>1035</v>
      </c>
      <c r="B1650" t="s">
        <v>1036</v>
      </c>
      <c r="C1650">
        <v>2018</v>
      </c>
      <c r="D1650" t="s">
        <v>44</v>
      </c>
      <c r="F1650" t="s">
        <v>608</v>
      </c>
      <c r="G1650" t="s">
        <v>91</v>
      </c>
      <c r="H1650" t="s">
        <v>96</v>
      </c>
      <c r="I1650">
        <v>2015</v>
      </c>
      <c r="J1650">
        <v>0.83</v>
      </c>
      <c r="K1650" t="s">
        <v>102</v>
      </c>
      <c r="M1650">
        <f t="shared" si="40"/>
        <v>6.25E-2</v>
      </c>
      <c r="N1650" t="s">
        <v>760</v>
      </c>
      <c r="O1650" t="s">
        <v>760</v>
      </c>
      <c r="P1650" t="s">
        <v>1037</v>
      </c>
      <c r="Q1650" s="1" t="s">
        <v>2292</v>
      </c>
      <c r="R1650" s="1" t="s">
        <v>760</v>
      </c>
      <c r="S1650" s="1" t="s">
        <v>760</v>
      </c>
      <c r="T1650" t="s">
        <v>396</v>
      </c>
      <c r="U1650" t="s">
        <v>124</v>
      </c>
      <c r="V1650" t="s">
        <v>194</v>
      </c>
      <c r="W1650" t="s">
        <v>1039</v>
      </c>
      <c r="X1650" t="s">
        <v>161</v>
      </c>
      <c r="Y1650" t="s">
        <v>2272</v>
      </c>
      <c r="Z1650" t="s">
        <v>2272</v>
      </c>
      <c r="AA1650" t="s">
        <v>2272</v>
      </c>
      <c r="AB1650" t="s">
        <v>2272</v>
      </c>
      <c r="AC1650" t="s">
        <v>162</v>
      </c>
      <c r="AD1650" t="s">
        <v>2272</v>
      </c>
      <c r="AG1650" t="s">
        <v>49</v>
      </c>
      <c r="AI1650" t="s">
        <v>49</v>
      </c>
      <c r="AM1650" t="s">
        <v>1038</v>
      </c>
      <c r="AN1650" t="s">
        <v>154</v>
      </c>
      <c r="AQ1650" s="5">
        <v>0</v>
      </c>
    </row>
    <row r="1651" spans="1:45" x14ac:dyDescent="0.2">
      <c r="A1651" t="s">
        <v>1035</v>
      </c>
      <c r="B1651" t="s">
        <v>1036</v>
      </c>
      <c r="C1651">
        <v>2018</v>
      </c>
      <c r="D1651" t="s">
        <v>44</v>
      </c>
      <c r="F1651" t="s">
        <v>608</v>
      </c>
      <c r="G1651" t="s">
        <v>91</v>
      </c>
      <c r="H1651" t="s">
        <v>96</v>
      </c>
      <c r="I1651">
        <v>2015</v>
      </c>
      <c r="J1651">
        <v>0.83</v>
      </c>
      <c r="K1651" t="s">
        <v>102</v>
      </c>
      <c r="M1651">
        <f t="shared" si="40"/>
        <v>6.25E-2</v>
      </c>
      <c r="N1651" t="s">
        <v>124</v>
      </c>
      <c r="O1651" t="s">
        <v>124</v>
      </c>
      <c r="P1651" t="s">
        <v>279</v>
      </c>
      <c r="Q1651" s="1" t="s">
        <v>2292</v>
      </c>
      <c r="R1651" s="1" t="s">
        <v>124</v>
      </c>
      <c r="S1651" s="1" t="s">
        <v>124</v>
      </c>
      <c r="T1651" t="s">
        <v>421</v>
      </c>
      <c r="U1651" t="s">
        <v>421</v>
      </c>
      <c r="V1651" t="s">
        <v>194</v>
      </c>
      <c r="W1651" t="s">
        <v>1039</v>
      </c>
      <c r="X1651" t="s">
        <v>161</v>
      </c>
      <c r="Y1651" t="s">
        <v>2272</v>
      </c>
      <c r="Z1651" t="s">
        <v>2272</v>
      </c>
      <c r="AA1651" t="s">
        <v>2272</v>
      </c>
      <c r="AB1651" t="s">
        <v>2272</v>
      </c>
      <c r="AC1651" t="s">
        <v>162</v>
      </c>
      <c r="AD1651" t="s">
        <v>2272</v>
      </c>
      <c r="AG1651" t="s">
        <v>49</v>
      </c>
      <c r="AI1651" t="s">
        <v>49</v>
      </c>
      <c r="AM1651" t="s">
        <v>1038</v>
      </c>
      <c r="AN1651" t="s">
        <v>154</v>
      </c>
      <c r="AQ1651" s="5">
        <v>0</v>
      </c>
    </row>
    <row r="1652" spans="1:45" x14ac:dyDescent="0.2">
      <c r="A1652" t="s">
        <v>1035</v>
      </c>
      <c r="B1652" t="s">
        <v>1036</v>
      </c>
      <c r="C1652">
        <v>2018</v>
      </c>
      <c r="D1652" t="s">
        <v>44</v>
      </c>
      <c r="F1652" t="s">
        <v>608</v>
      </c>
      <c r="G1652" t="s">
        <v>91</v>
      </c>
      <c r="H1652" t="s">
        <v>96</v>
      </c>
      <c r="I1652">
        <v>2015</v>
      </c>
      <c r="J1652">
        <v>0.83</v>
      </c>
      <c r="K1652" t="s">
        <v>102</v>
      </c>
      <c r="M1652">
        <f t="shared" si="40"/>
        <v>6.25E-2</v>
      </c>
      <c r="N1652" t="s">
        <v>760</v>
      </c>
      <c r="O1652" t="s">
        <v>760</v>
      </c>
      <c r="P1652" t="s">
        <v>1037</v>
      </c>
      <c r="Q1652" s="1" t="s">
        <v>2292</v>
      </c>
      <c r="R1652" s="1" t="s">
        <v>760</v>
      </c>
      <c r="S1652" s="1" t="s">
        <v>760</v>
      </c>
      <c r="T1652" t="s">
        <v>421</v>
      </c>
      <c r="U1652" t="s">
        <v>421</v>
      </c>
      <c r="V1652" t="s">
        <v>194</v>
      </c>
      <c r="W1652" t="s">
        <v>1039</v>
      </c>
      <c r="X1652" t="s">
        <v>161</v>
      </c>
      <c r="Y1652" t="s">
        <v>2272</v>
      </c>
      <c r="Z1652" t="s">
        <v>2272</v>
      </c>
      <c r="AA1652" t="s">
        <v>2272</v>
      </c>
      <c r="AB1652" t="s">
        <v>2272</v>
      </c>
      <c r="AC1652" t="s">
        <v>162</v>
      </c>
      <c r="AD1652" t="s">
        <v>2272</v>
      </c>
      <c r="AG1652" t="s">
        <v>49</v>
      </c>
      <c r="AI1652" t="s">
        <v>49</v>
      </c>
      <c r="AM1652" t="s">
        <v>1038</v>
      </c>
      <c r="AN1652" t="s">
        <v>154</v>
      </c>
      <c r="AQ1652" s="5">
        <v>2</v>
      </c>
    </row>
    <row r="1653" spans="1:45" x14ac:dyDescent="0.2">
      <c r="A1653" t="s">
        <v>1035</v>
      </c>
      <c r="B1653" t="s">
        <v>1036</v>
      </c>
      <c r="C1653">
        <v>2018</v>
      </c>
      <c r="D1653" t="s">
        <v>44</v>
      </c>
      <c r="F1653" t="s">
        <v>608</v>
      </c>
      <c r="G1653" t="s">
        <v>91</v>
      </c>
      <c r="H1653" t="s">
        <v>96</v>
      </c>
      <c r="I1653">
        <v>2015</v>
      </c>
      <c r="J1653">
        <v>0.83</v>
      </c>
      <c r="K1653" t="s">
        <v>102</v>
      </c>
      <c r="M1653">
        <f t="shared" si="40"/>
        <v>6.25E-2</v>
      </c>
      <c r="N1653" t="s">
        <v>124</v>
      </c>
      <c r="O1653" t="s">
        <v>124</v>
      </c>
      <c r="P1653" t="s">
        <v>279</v>
      </c>
      <c r="Q1653" s="1" t="s">
        <v>2292</v>
      </c>
      <c r="R1653" s="1" t="s">
        <v>124</v>
      </c>
      <c r="S1653" s="1" t="s">
        <v>124</v>
      </c>
      <c r="T1653" t="s">
        <v>396</v>
      </c>
      <c r="U1653" t="s">
        <v>760</v>
      </c>
      <c r="V1653" t="s">
        <v>194</v>
      </c>
      <c r="W1653" t="s">
        <v>1039</v>
      </c>
      <c r="X1653" t="s">
        <v>161</v>
      </c>
      <c r="Y1653" t="s">
        <v>2272</v>
      </c>
      <c r="Z1653" t="s">
        <v>2272</v>
      </c>
      <c r="AA1653" t="s">
        <v>2272</v>
      </c>
      <c r="AB1653" t="s">
        <v>2272</v>
      </c>
      <c r="AC1653" t="s">
        <v>162</v>
      </c>
      <c r="AD1653" t="s">
        <v>2272</v>
      </c>
      <c r="AG1653" t="s">
        <v>49</v>
      </c>
      <c r="AI1653" t="s">
        <v>49</v>
      </c>
      <c r="AM1653" t="s">
        <v>1038</v>
      </c>
      <c r="AN1653" t="s">
        <v>165</v>
      </c>
      <c r="AP1653" t="s">
        <v>49</v>
      </c>
    </row>
    <row r="1654" spans="1:45" x14ac:dyDescent="0.2">
      <c r="A1654" t="s">
        <v>1035</v>
      </c>
      <c r="B1654" t="s">
        <v>1036</v>
      </c>
      <c r="C1654">
        <v>2018</v>
      </c>
      <c r="D1654" t="s">
        <v>44</v>
      </c>
      <c r="F1654" t="s">
        <v>608</v>
      </c>
      <c r="G1654" t="s">
        <v>91</v>
      </c>
      <c r="H1654" t="s">
        <v>96</v>
      </c>
      <c r="I1654">
        <v>2015</v>
      </c>
      <c r="J1654">
        <v>0.83</v>
      </c>
      <c r="K1654" t="s">
        <v>102</v>
      </c>
      <c r="M1654">
        <f t="shared" si="40"/>
        <v>6.25E-2</v>
      </c>
      <c r="N1654" t="s">
        <v>760</v>
      </c>
      <c r="O1654" t="s">
        <v>760</v>
      </c>
      <c r="P1654" t="s">
        <v>1037</v>
      </c>
      <c r="Q1654" s="1" t="s">
        <v>2292</v>
      </c>
      <c r="R1654" s="1" t="s">
        <v>760</v>
      </c>
      <c r="S1654" s="1" t="s">
        <v>760</v>
      </c>
      <c r="T1654" t="s">
        <v>396</v>
      </c>
      <c r="U1654" t="s">
        <v>124</v>
      </c>
      <c r="V1654" t="s">
        <v>194</v>
      </c>
      <c r="W1654" t="s">
        <v>1039</v>
      </c>
      <c r="X1654" t="s">
        <v>161</v>
      </c>
      <c r="Y1654" t="s">
        <v>2272</v>
      </c>
      <c r="Z1654" t="s">
        <v>2272</v>
      </c>
      <c r="AA1654" t="s">
        <v>2272</v>
      </c>
      <c r="AB1654" t="s">
        <v>2272</v>
      </c>
      <c r="AC1654" t="s">
        <v>162</v>
      </c>
      <c r="AD1654" t="s">
        <v>2272</v>
      </c>
      <c r="AG1654" t="s">
        <v>49</v>
      </c>
      <c r="AI1654" t="s">
        <v>49</v>
      </c>
      <c r="AM1654" t="s">
        <v>1038</v>
      </c>
      <c r="AN1654" t="s">
        <v>165</v>
      </c>
      <c r="AP1654" t="s">
        <v>49</v>
      </c>
    </row>
    <row r="1655" spans="1:45" x14ac:dyDescent="0.2">
      <c r="A1655" t="s">
        <v>1035</v>
      </c>
      <c r="B1655" t="s">
        <v>1036</v>
      </c>
      <c r="C1655">
        <v>2018</v>
      </c>
      <c r="D1655" t="s">
        <v>44</v>
      </c>
      <c r="F1655" t="s">
        <v>608</v>
      </c>
      <c r="G1655" t="s">
        <v>91</v>
      </c>
      <c r="H1655" t="s">
        <v>96</v>
      </c>
      <c r="I1655">
        <v>2015</v>
      </c>
      <c r="J1655">
        <v>0.83</v>
      </c>
      <c r="K1655" t="s">
        <v>102</v>
      </c>
      <c r="M1655">
        <f t="shared" si="40"/>
        <v>6.25E-2</v>
      </c>
      <c r="N1655" t="s">
        <v>124</v>
      </c>
      <c r="O1655" t="s">
        <v>124</v>
      </c>
      <c r="P1655" t="s">
        <v>279</v>
      </c>
      <c r="Q1655" s="1" t="s">
        <v>2292</v>
      </c>
      <c r="R1655" s="1" t="s">
        <v>124</v>
      </c>
      <c r="S1655" s="1" t="s">
        <v>124</v>
      </c>
      <c r="T1655" t="s">
        <v>421</v>
      </c>
      <c r="U1655" t="s">
        <v>421</v>
      </c>
      <c r="V1655" t="s">
        <v>194</v>
      </c>
      <c r="W1655" t="s">
        <v>1039</v>
      </c>
      <c r="X1655" t="s">
        <v>161</v>
      </c>
      <c r="Y1655" t="s">
        <v>2272</v>
      </c>
      <c r="Z1655" t="s">
        <v>2272</v>
      </c>
      <c r="AA1655" t="s">
        <v>2272</v>
      </c>
      <c r="AB1655" t="s">
        <v>2272</v>
      </c>
      <c r="AC1655" t="s">
        <v>162</v>
      </c>
      <c r="AD1655" t="s">
        <v>2272</v>
      </c>
      <c r="AG1655" t="s">
        <v>49</v>
      </c>
      <c r="AI1655" t="s">
        <v>49</v>
      </c>
      <c r="AM1655" t="s">
        <v>1038</v>
      </c>
      <c r="AN1655" t="s">
        <v>165</v>
      </c>
      <c r="AP1655" t="s">
        <v>49</v>
      </c>
    </row>
    <row r="1656" spans="1:45" x14ac:dyDescent="0.2">
      <c r="A1656" t="s">
        <v>1035</v>
      </c>
      <c r="B1656" t="s">
        <v>1036</v>
      </c>
      <c r="C1656">
        <v>2018</v>
      </c>
      <c r="D1656" t="s">
        <v>44</v>
      </c>
      <c r="F1656" t="s">
        <v>608</v>
      </c>
      <c r="G1656" t="s">
        <v>91</v>
      </c>
      <c r="H1656" t="s">
        <v>96</v>
      </c>
      <c r="I1656">
        <v>2015</v>
      </c>
      <c r="J1656">
        <v>0.83</v>
      </c>
      <c r="K1656" t="s">
        <v>102</v>
      </c>
      <c r="M1656">
        <f t="shared" si="40"/>
        <v>6.25E-2</v>
      </c>
      <c r="N1656" t="s">
        <v>760</v>
      </c>
      <c r="O1656" t="s">
        <v>760</v>
      </c>
      <c r="P1656" t="s">
        <v>1037</v>
      </c>
      <c r="Q1656" s="1" t="s">
        <v>2292</v>
      </c>
      <c r="R1656" s="1" t="s">
        <v>760</v>
      </c>
      <c r="S1656" s="1" t="s">
        <v>760</v>
      </c>
      <c r="T1656" t="s">
        <v>421</v>
      </c>
      <c r="U1656" t="s">
        <v>421</v>
      </c>
      <c r="V1656" t="s">
        <v>194</v>
      </c>
      <c r="W1656" t="s">
        <v>1039</v>
      </c>
      <c r="X1656" t="s">
        <v>161</v>
      </c>
      <c r="Y1656" t="s">
        <v>2272</v>
      </c>
      <c r="Z1656" t="s">
        <v>2272</v>
      </c>
      <c r="AA1656" t="s">
        <v>2272</v>
      </c>
      <c r="AB1656" t="s">
        <v>2272</v>
      </c>
      <c r="AC1656" t="s">
        <v>162</v>
      </c>
      <c r="AD1656" t="s">
        <v>2272</v>
      </c>
      <c r="AG1656" t="s">
        <v>49</v>
      </c>
      <c r="AI1656" t="s">
        <v>49</v>
      </c>
      <c r="AM1656" t="s">
        <v>1038</v>
      </c>
      <c r="AN1656" t="s">
        <v>165</v>
      </c>
      <c r="AP1656" t="s">
        <v>49</v>
      </c>
    </row>
    <row r="1657" spans="1:45" x14ac:dyDescent="0.2">
      <c r="A1657" t="s">
        <v>1040</v>
      </c>
      <c r="B1657" t="s">
        <v>1041</v>
      </c>
      <c r="C1657">
        <v>2018</v>
      </c>
      <c r="D1657" t="s">
        <v>44</v>
      </c>
      <c r="F1657" t="s">
        <v>83</v>
      </c>
      <c r="G1657" t="s">
        <v>85</v>
      </c>
      <c r="H1657" t="s">
        <v>350</v>
      </c>
      <c r="I1657">
        <v>2012</v>
      </c>
      <c r="J1657">
        <v>0.12</v>
      </c>
      <c r="N1657" t="s">
        <v>121</v>
      </c>
      <c r="O1657" t="s">
        <v>121</v>
      </c>
      <c r="P1657" t="s">
        <v>1042</v>
      </c>
      <c r="Q1657" s="1" t="s">
        <v>2292</v>
      </c>
      <c r="R1657" s="1" t="s">
        <v>264</v>
      </c>
      <c r="S1657" s="1" t="s">
        <v>264</v>
      </c>
      <c r="X1657" t="s">
        <v>211</v>
      </c>
      <c r="Y1657" t="s">
        <v>2279</v>
      </c>
      <c r="Z1657" t="s">
        <v>2280</v>
      </c>
      <c r="AA1657" t="s">
        <v>2358</v>
      </c>
      <c r="AB1657" t="s">
        <v>2290</v>
      </c>
      <c r="AC1657" t="s">
        <v>152</v>
      </c>
      <c r="AD1657" t="s">
        <v>2278</v>
      </c>
      <c r="AH1657" s="4" t="s">
        <v>49</v>
      </c>
      <c r="AJ1657" t="s">
        <v>49</v>
      </c>
      <c r="AM1657" t="s">
        <v>1043</v>
      </c>
      <c r="AN1657" t="s">
        <v>166</v>
      </c>
      <c r="AP1657" t="s">
        <v>157</v>
      </c>
    </row>
    <row r="1658" spans="1:45" x14ac:dyDescent="0.2">
      <c r="A1658" t="s">
        <v>1040</v>
      </c>
      <c r="B1658" t="s">
        <v>1041</v>
      </c>
      <c r="C1658">
        <v>2018</v>
      </c>
      <c r="D1658" t="s">
        <v>44</v>
      </c>
      <c r="F1658" t="s">
        <v>83</v>
      </c>
      <c r="G1658" t="s">
        <v>85</v>
      </c>
      <c r="H1658" t="s">
        <v>350</v>
      </c>
      <c r="I1658">
        <v>2012</v>
      </c>
      <c r="J1658">
        <v>0.12</v>
      </c>
      <c r="N1658" t="s">
        <v>121</v>
      </c>
      <c r="O1658" t="s">
        <v>121</v>
      </c>
      <c r="P1658" t="s">
        <v>1042</v>
      </c>
      <c r="Q1658" s="1" t="s">
        <v>2292</v>
      </c>
      <c r="R1658" s="1" t="s">
        <v>264</v>
      </c>
      <c r="S1658" s="1" t="s">
        <v>264</v>
      </c>
      <c r="X1658" t="s">
        <v>211</v>
      </c>
      <c r="Y1658" t="s">
        <v>2279</v>
      </c>
      <c r="Z1658" t="s">
        <v>2280</v>
      </c>
      <c r="AA1658" t="s">
        <v>2358</v>
      </c>
      <c r="AB1658" t="s">
        <v>2290</v>
      </c>
      <c r="AC1658" t="s">
        <v>152</v>
      </c>
      <c r="AD1658" t="s">
        <v>2278</v>
      </c>
      <c r="AH1658" s="4" t="s">
        <v>49</v>
      </c>
      <c r="AJ1658" t="s">
        <v>49</v>
      </c>
      <c r="AM1658" t="s">
        <v>1044</v>
      </c>
      <c r="AN1658" t="s">
        <v>166</v>
      </c>
      <c r="AP1658" t="s">
        <v>51</v>
      </c>
    </row>
    <row r="1659" spans="1:45" x14ac:dyDescent="0.2">
      <c r="A1659" t="s">
        <v>1040</v>
      </c>
      <c r="B1659" t="s">
        <v>1041</v>
      </c>
      <c r="C1659">
        <v>2018</v>
      </c>
      <c r="D1659" t="s">
        <v>44</v>
      </c>
      <c r="F1659" t="s">
        <v>83</v>
      </c>
      <c r="G1659" t="s">
        <v>85</v>
      </c>
      <c r="H1659" t="s">
        <v>350</v>
      </c>
      <c r="I1659">
        <v>2012</v>
      </c>
      <c r="J1659">
        <v>0.12</v>
      </c>
      <c r="N1659" t="s">
        <v>121</v>
      </c>
      <c r="O1659" t="s">
        <v>121</v>
      </c>
      <c r="P1659" t="s">
        <v>1042</v>
      </c>
      <c r="Q1659" s="1" t="s">
        <v>2292</v>
      </c>
      <c r="R1659" s="1" t="s">
        <v>264</v>
      </c>
      <c r="S1659" s="1" t="s">
        <v>264</v>
      </c>
      <c r="X1659" t="s">
        <v>211</v>
      </c>
      <c r="Y1659" t="s">
        <v>2279</v>
      </c>
      <c r="Z1659" t="s">
        <v>2280</v>
      </c>
      <c r="AA1659" t="s">
        <v>2358</v>
      </c>
      <c r="AB1659" t="s">
        <v>2290</v>
      </c>
      <c r="AC1659" t="s">
        <v>152</v>
      </c>
      <c r="AD1659" t="s">
        <v>2278</v>
      </c>
      <c r="AH1659" s="4" t="s">
        <v>49</v>
      </c>
      <c r="AJ1659" t="s">
        <v>49</v>
      </c>
      <c r="AM1659" t="s">
        <v>1043</v>
      </c>
      <c r="AN1659" t="s">
        <v>154</v>
      </c>
      <c r="AP1659" t="s">
        <v>157</v>
      </c>
    </row>
    <row r="1660" spans="1:45" x14ac:dyDescent="0.2">
      <c r="A1660" t="s">
        <v>1040</v>
      </c>
      <c r="B1660" t="s">
        <v>1041</v>
      </c>
      <c r="C1660">
        <v>2018</v>
      </c>
      <c r="D1660" t="s">
        <v>44</v>
      </c>
      <c r="F1660" t="s">
        <v>83</v>
      </c>
      <c r="G1660" t="s">
        <v>85</v>
      </c>
      <c r="H1660" t="s">
        <v>350</v>
      </c>
      <c r="I1660">
        <v>2012</v>
      </c>
      <c r="J1660">
        <v>0.12</v>
      </c>
      <c r="N1660" t="s">
        <v>121</v>
      </c>
      <c r="O1660" t="s">
        <v>121</v>
      </c>
      <c r="P1660" t="s">
        <v>1042</v>
      </c>
      <c r="Q1660" s="1" t="s">
        <v>2292</v>
      </c>
      <c r="R1660" s="1" t="s">
        <v>264</v>
      </c>
      <c r="S1660" s="1" t="s">
        <v>264</v>
      </c>
      <c r="X1660" t="s">
        <v>211</v>
      </c>
      <c r="Y1660" t="s">
        <v>2279</v>
      </c>
      <c r="Z1660" t="s">
        <v>2280</v>
      </c>
      <c r="AA1660" t="s">
        <v>2358</v>
      </c>
      <c r="AB1660" t="s">
        <v>2290</v>
      </c>
      <c r="AC1660" t="s">
        <v>152</v>
      </c>
      <c r="AD1660" t="s">
        <v>2278</v>
      </c>
      <c r="AH1660" s="4" t="s">
        <v>49</v>
      </c>
      <c r="AJ1660" t="s">
        <v>49</v>
      </c>
      <c r="AM1660" t="s">
        <v>1044</v>
      </c>
      <c r="AN1660" t="s">
        <v>154</v>
      </c>
      <c r="AP1660" t="s">
        <v>51</v>
      </c>
    </row>
    <row r="1661" spans="1:45" x14ac:dyDescent="0.2">
      <c r="A1661" t="s">
        <v>1045</v>
      </c>
      <c r="B1661" t="s">
        <v>1046</v>
      </c>
      <c r="C1661">
        <v>2018</v>
      </c>
      <c r="Q1661" s="1" t="s">
        <v>2272</v>
      </c>
      <c r="R1661" s="1" t="s">
        <v>2272</v>
      </c>
      <c r="S1661" s="1" t="s">
        <v>2272</v>
      </c>
      <c r="Y1661" t="s">
        <v>2272</v>
      </c>
      <c r="Z1661" t="s">
        <v>2272</v>
      </c>
      <c r="AA1661" t="s">
        <v>2272</v>
      </c>
      <c r="AB1661" t="s">
        <v>2272</v>
      </c>
      <c r="AD1661" t="s">
        <v>2272</v>
      </c>
      <c r="AR1661" t="s">
        <v>144</v>
      </c>
      <c r="AS1661" t="s">
        <v>2583</v>
      </c>
    </row>
    <row r="1662" spans="1:45" x14ac:dyDescent="0.2">
      <c r="A1662" t="s">
        <v>1047</v>
      </c>
      <c r="B1662" t="s">
        <v>523</v>
      </c>
      <c r="C1662">
        <v>2018</v>
      </c>
      <c r="D1662" t="s">
        <v>44</v>
      </c>
      <c r="F1662" t="s">
        <v>82</v>
      </c>
      <c r="G1662" t="s">
        <v>86</v>
      </c>
      <c r="H1662" t="s">
        <v>96</v>
      </c>
      <c r="K1662" t="s">
        <v>109</v>
      </c>
      <c r="N1662" t="s">
        <v>466</v>
      </c>
      <c r="O1662" t="s">
        <v>466</v>
      </c>
      <c r="P1662" t="s">
        <v>467</v>
      </c>
      <c r="Q1662" s="1" t="s">
        <v>2281</v>
      </c>
      <c r="R1662" s="1" t="s">
        <v>2301</v>
      </c>
      <c r="S1662" s="1" t="s">
        <v>2302</v>
      </c>
      <c r="T1662" t="s">
        <v>421</v>
      </c>
      <c r="U1662" t="s">
        <v>421</v>
      </c>
      <c r="X1662" t="s">
        <v>161</v>
      </c>
      <c r="Y1662" t="s">
        <v>2272</v>
      </c>
      <c r="Z1662" t="s">
        <v>2272</v>
      </c>
      <c r="AA1662" t="s">
        <v>2272</v>
      </c>
      <c r="AB1662" t="s">
        <v>2272</v>
      </c>
      <c r="AC1662" t="s">
        <v>162</v>
      </c>
      <c r="AD1662" t="s">
        <v>2272</v>
      </c>
      <c r="AG1662" t="s">
        <v>49</v>
      </c>
      <c r="AI1662" t="s">
        <v>49</v>
      </c>
      <c r="AM1662" t="s">
        <v>202</v>
      </c>
      <c r="AN1662" t="s">
        <v>165</v>
      </c>
      <c r="AP1662" t="s">
        <v>49</v>
      </c>
    </row>
    <row r="1663" spans="1:45" x14ac:dyDescent="0.2">
      <c r="A1663" t="s">
        <v>1047</v>
      </c>
      <c r="B1663" t="s">
        <v>523</v>
      </c>
      <c r="C1663">
        <v>2018</v>
      </c>
      <c r="D1663" t="s">
        <v>44</v>
      </c>
      <c r="F1663" t="s">
        <v>82</v>
      </c>
      <c r="G1663" t="s">
        <v>86</v>
      </c>
      <c r="H1663" t="s">
        <v>96</v>
      </c>
      <c r="K1663" t="s">
        <v>109</v>
      </c>
      <c r="N1663" t="s">
        <v>466</v>
      </c>
      <c r="O1663" t="s">
        <v>466</v>
      </c>
      <c r="P1663" t="s">
        <v>467</v>
      </c>
      <c r="Q1663" s="1" t="s">
        <v>2281</v>
      </c>
      <c r="R1663" s="1" t="s">
        <v>2301</v>
      </c>
      <c r="S1663" s="1" t="s">
        <v>2302</v>
      </c>
      <c r="T1663" t="s">
        <v>421</v>
      </c>
      <c r="U1663" t="s">
        <v>421</v>
      </c>
      <c r="X1663" t="s">
        <v>161</v>
      </c>
      <c r="Y1663" t="s">
        <v>2272</v>
      </c>
      <c r="Z1663" t="s">
        <v>2272</v>
      </c>
      <c r="AA1663" t="s">
        <v>2272</v>
      </c>
      <c r="AB1663" t="s">
        <v>2272</v>
      </c>
      <c r="AC1663" t="s">
        <v>162</v>
      </c>
      <c r="AD1663" t="s">
        <v>2272</v>
      </c>
      <c r="AG1663" t="s">
        <v>49</v>
      </c>
      <c r="AI1663" t="s">
        <v>49</v>
      </c>
      <c r="AM1663" t="s">
        <v>202</v>
      </c>
      <c r="AN1663" t="s">
        <v>154</v>
      </c>
      <c r="AP1663" t="s">
        <v>49</v>
      </c>
    </row>
    <row r="1664" spans="1:45" x14ac:dyDescent="0.2">
      <c r="A1664" t="s">
        <v>1047</v>
      </c>
      <c r="B1664" t="s">
        <v>523</v>
      </c>
      <c r="C1664">
        <v>2018</v>
      </c>
      <c r="D1664" t="s">
        <v>44</v>
      </c>
      <c r="F1664" t="s">
        <v>82</v>
      </c>
      <c r="G1664" t="s">
        <v>86</v>
      </c>
      <c r="H1664" t="s">
        <v>96</v>
      </c>
      <c r="K1664" t="s">
        <v>109</v>
      </c>
      <c r="N1664" t="s">
        <v>466</v>
      </c>
      <c r="O1664" t="s">
        <v>466</v>
      </c>
      <c r="P1664" t="s">
        <v>467</v>
      </c>
      <c r="Q1664" s="1" t="s">
        <v>2281</v>
      </c>
      <c r="R1664" s="1" t="s">
        <v>2301</v>
      </c>
      <c r="S1664" s="1" t="s">
        <v>2302</v>
      </c>
      <c r="T1664" t="s">
        <v>421</v>
      </c>
      <c r="U1664" t="s">
        <v>421</v>
      </c>
      <c r="X1664" t="s">
        <v>161</v>
      </c>
      <c r="Y1664" t="s">
        <v>2272</v>
      </c>
      <c r="Z1664" t="s">
        <v>2272</v>
      </c>
      <c r="AA1664" t="s">
        <v>2272</v>
      </c>
      <c r="AB1664" t="s">
        <v>2272</v>
      </c>
      <c r="AC1664" t="s">
        <v>162</v>
      </c>
      <c r="AD1664" t="s">
        <v>2272</v>
      </c>
      <c r="AG1664" t="s">
        <v>49</v>
      </c>
      <c r="AI1664" t="s">
        <v>49</v>
      </c>
      <c r="AM1664" t="s">
        <v>202</v>
      </c>
      <c r="AN1664" t="s">
        <v>166</v>
      </c>
      <c r="AP1664" t="s">
        <v>49</v>
      </c>
    </row>
    <row r="1665" spans="1:43" x14ac:dyDescent="0.2">
      <c r="A1665" t="s">
        <v>1047</v>
      </c>
      <c r="B1665" t="s">
        <v>523</v>
      </c>
      <c r="C1665">
        <v>2018</v>
      </c>
      <c r="D1665" t="s">
        <v>44</v>
      </c>
      <c r="F1665" t="s">
        <v>82</v>
      </c>
      <c r="G1665" t="s">
        <v>86</v>
      </c>
      <c r="H1665" t="s">
        <v>96</v>
      </c>
      <c r="K1665" t="s">
        <v>109</v>
      </c>
      <c r="N1665" t="s">
        <v>466</v>
      </c>
      <c r="O1665" t="s">
        <v>466</v>
      </c>
      <c r="P1665" t="s">
        <v>467</v>
      </c>
      <c r="Q1665" s="1" t="s">
        <v>2281</v>
      </c>
      <c r="R1665" s="1" t="s">
        <v>2301</v>
      </c>
      <c r="S1665" s="1" t="s">
        <v>2302</v>
      </c>
      <c r="T1665" t="s">
        <v>421</v>
      </c>
      <c r="U1665" t="s">
        <v>421</v>
      </c>
      <c r="X1665" t="s">
        <v>161</v>
      </c>
      <c r="Y1665" t="s">
        <v>2272</v>
      </c>
      <c r="Z1665" t="s">
        <v>2272</v>
      </c>
      <c r="AA1665" t="s">
        <v>2272</v>
      </c>
      <c r="AB1665" t="s">
        <v>2272</v>
      </c>
      <c r="AC1665" t="s">
        <v>162</v>
      </c>
      <c r="AD1665" t="s">
        <v>2272</v>
      </c>
      <c r="AG1665" t="s">
        <v>49</v>
      </c>
      <c r="AI1665" t="s">
        <v>49</v>
      </c>
      <c r="AM1665" t="s">
        <v>202</v>
      </c>
      <c r="AN1665" t="s">
        <v>166</v>
      </c>
      <c r="AP1665" t="s">
        <v>49</v>
      </c>
    </row>
    <row r="1666" spans="1:43" x14ac:dyDescent="0.2">
      <c r="A1666" t="s">
        <v>1047</v>
      </c>
      <c r="B1666" t="s">
        <v>523</v>
      </c>
      <c r="C1666">
        <v>2018</v>
      </c>
      <c r="D1666" t="s">
        <v>44</v>
      </c>
      <c r="F1666" t="s">
        <v>82</v>
      </c>
      <c r="G1666" t="s">
        <v>86</v>
      </c>
      <c r="H1666" t="s">
        <v>96</v>
      </c>
      <c r="K1666" t="s">
        <v>109</v>
      </c>
      <c r="N1666" t="s">
        <v>466</v>
      </c>
      <c r="O1666" t="s">
        <v>466</v>
      </c>
      <c r="P1666" t="s">
        <v>467</v>
      </c>
      <c r="Q1666" s="1" t="s">
        <v>2281</v>
      </c>
      <c r="R1666" s="1" t="s">
        <v>2301</v>
      </c>
      <c r="S1666" s="1" t="s">
        <v>2302</v>
      </c>
      <c r="X1666" t="s">
        <v>171</v>
      </c>
      <c r="Y1666" t="s">
        <v>2279</v>
      </c>
      <c r="Z1666" t="s">
        <v>2280</v>
      </c>
      <c r="AA1666" t="s">
        <v>2358</v>
      </c>
      <c r="AB1666" t="s">
        <v>2580</v>
      </c>
      <c r="AC1666" t="s">
        <v>152</v>
      </c>
      <c r="AD1666" t="s">
        <v>2278</v>
      </c>
      <c r="AE1666" t="s">
        <v>102</v>
      </c>
      <c r="AG1666" t="s">
        <v>49</v>
      </c>
      <c r="AI1666" t="s">
        <v>49</v>
      </c>
      <c r="AM1666" t="s">
        <v>202</v>
      </c>
      <c r="AN1666" t="s">
        <v>165</v>
      </c>
      <c r="AP1666" t="s">
        <v>49</v>
      </c>
    </row>
    <row r="1667" spans="1:43" x14ac:dyDescent="0.2">
      <c r="A1667" t="s">
        <v>1047</v>
      </c>
      <c r="B1667" t="s">
        <v>523</v>
      </c>
      <c r="C1667">
        <v>2018</v>
      </c>
      <c r="D1667" t="s">
        <v>44</v>
      </c>
      <c r="F1667" t="s">
        <v>82</v>
      </c>
      <c r="G1667" t="s">
        <v>86</v>
      </c>
      <c r="H1667" t="s">
        <v>96</v>
      </c>
      <c r="K1667" t="s">
        <v>109</v>
      </c>
      <c r="N1667" t="s">
        <v>466</v>
      </c>
      <c r="O1667" t="s">
        <v>466</v>
      </c>
      <c r="P1667" t="s">
        <v>467</v>
      </c>
      <c r="Q1667" s="1" t="s">
        <v>2281</v>
      </c>
      <c r="R1667" s="1" t="s">
        <v>2301</v>
      </c>
      <c r="S1667" s="1" t="s">
        <v>2302</v>
      </c>
      <c r="X1667" t="s">
        <v>189</v>
      </c>
      <c r="Y1667" t="s">
        <v>2279</v>
      </c>
      <c r="Z1667" t="s">
        <v>2280</v>
      </c>
      <c r="AA1667" t="s">
        <v>2358</v>
      </c>
      <c r="AB1667" t="s">
        <v>189</v>
      </c>
      <c r="AC1667" t="s">
        <v>152</v>
      </c>
      <c r="AD1667" t="s">
        <v>2278</v>
      </c>
      <c r="AE1667" t="s">
        <v>2316</v>
      </c>
    </row>
    <row r="1668" spans="1:43" x14ac:dyDescent="0.2">
      <c r="A1668" t="s">
        <v>1048</v>
      </c>
      <c r="B1668" t="s">
        <v>1049</v>
      </c>
      <c r="C1668">
        <v>2018</v>
      </c>
      <c r="D1668" t="s">
        <v>44</v>
      </c>
      <c r="F1668" t="s">
        <v>628</v>
      </c>
      <c r="G1668" t="s">
        <v>91</v>
      </c>
      <c r="H1668" t="s">
        <v>158</v>
      </c>
      <c r="I1668">
        <v>2016</v>
      </c>
      <c r="J1668">
        <v>0.13</v>
      </c>
      <c r="L1668">
        <v>830</v>
      </c>
      <c r="M1668">
        <f>0.1*0.1</f>
        <v>1.0000000000000002E-2</v>
      </c>
      <c r="N1668" t="s">
        <v>121</v>
      </c>
      <c r="O1668" t="s">
        <v>264</v>
      </c>
      <c r="P1668" t="s">
        <v>286</v>
      </c>
      <c r="Q1668" s="1" t="s">
        <v>2292</v>
      </c>
      <c r="R1668" s="1" t="s">
        <v>264</v>
      </c>
      <c r="S1668" s="1" t="s">
        <v>264</v>
      </c>
      <c r="X1668" t="s">
        <v>171</v>
      </c>
      <c r="Y1668" t="s">
        <v>2279</v>
      </c>
      <c r="Z1668" t="s">
        <v>2280</v>
      </c>
      <c r="AA1668" t="s">
        <v>2358</v>
      </c>
      <c r="AB1668" t="s">
        <v>2580</v>
      </c>
      <c r="AC1668" t="s">
        <v>152</v>
      </c>
      <c r="AD1668" t="s">
        <v>2278</v>
      </c>
      <c r="AH1668" t="s">
        <v>49</v>
      </c>
      <c r="AI1668" t="s">
        <v>49</v>
      </c>
      <c r="AM1668" t="s">
        <v>233</v>
      </c>
      <c r="AN1668" t="s">
        <v>165</v>
      </c>
      <c r="AP1668" t="s">
        <v>49</v>
      </c>
    </row>
    <row r="1669" spans="1:43" x14ac:dyDescent="0.2">
      <c r="A1669" t="s">
        <v>1048</v>
      </c>
      <c r="B1669" t="s">
        <v>1049</v>
      </c>
      <c r="C1669">
        <v>2018</v>
      </c>
      <c r="D1669" t="s">
        <v>44</v>
      </c>
      <c r="F1669" t="s">
        <v>628</v>
      </c>
      <c r="G1669" t="s">
        <v>91</v>
      </c>
      <c r="H1669" t="s">
        <v>158</v>
      </c>
      <c r="I1669">
        <v>2016</v>
      </c>
      <c r="J1669">
        <v>0.13</v>
      </c>
      <c r="L1669">
        <v>830</v>
      </c>
      <c r="M1669">
        <f>0.1*0.1</f>
        <v>1.0000000000000002E-2</v>
      </c>
      <c r="N1669" t="s">
        <v>121</v>
      </c>
      <c r="O1669" t="s">
        <v>264</v>
      </c>
      <c r="P1669" t="s">
        <v>286</v>
      </c>
      <c r="Q1669" s="1" t="s">
        <v>2292</v>
      </c>
      <c r="R1669" s="1" t="s">
        <v>264</v>
      </c>
      <c r="S1669" s="1" t="s">
        <v>264</v>
      </c>
      <c r="X1669" t="s">
        <v>189</v>
      </c>
      <c r="Y1669" t="s">
        <v>2279</v>
      </c>
      <c r="Z1669" t="s">
        <v>2280</v>
      </c>
      <c r="AA1669" t="s">
        <v>2358</v>
      </c>
      <c r="AB1669" t="s">
        <v>189</v>
      </c>
      <c r="AC1669" t="s">
        <v>152</v>
      </c>
      <c r="AD1669" t="s">
        <v>2278</v>
      </c>
      <c r="AH1669" t="s">
        <v>49</v>
      </c>
      <c r="AI1669" t="s">
        <v>49</v>
      </c>
      <c r="AM1669" t="s">
        <v>233</v>
      </c>
      <c r="AN1669" t="s">
        <v>165</v>
      </c>
      <c r="AP1669" t="s">
        <v>49</v>
      </c>
    </row>
    <row r="1670" spans="1:43" x14ac:dyDescent="0.2">
      <c r="A1670" t="s">
        <v>1048</v>
      </c>
      <c r="B1670" t="s">
        <v>1049</v>
      </c>
      <c r="C1670">
        <v>2018</v>
      </c>
      <c r="D1670" t="s">
        <v>44</v>
      </c>
      <c r="F1670" t="s">
        <v>628</v>
      </c>
      <c r="G1670" t="s">
        <v>91</v>
      </c>
      <c r="H1670" t="s">
        <v>158</v>
      </c>
      <c r="I1670">
        <v>2016</v>
      </c>
      <c r="J1670">
        <v>0.13</v>
      </c>
      <c r="L1670">
        <v>830</v>
      </c>
      <c r="N1670" t="s">
        <v>121</v>
      </c>
      <c r="O1670" t="s">
        <v>264</v>
      </c>
      <c r="P1670" t="s">
        <v>286</v>
      </c>
      <c r="Q1670" s="1" t="s">
        <v>2292</v>
      </c>
      <c r="R1670" s="1" t="s">
        <v>264</v>
      </c>
      <c r="S1670" s="1" t="s">
        <v>264</v>
      </c>
      <c r="X1670" t="s">
        <v>1050</v>
      </c>
      <c r="Y1670" t="s">
        <v>2279</v>
      </c>
      <c r="Z1670" t="s">
        <v>2280</v>
      </c>
      <c r="AA1670" t="s">
        <v>2286</v>
      </c>
      <c r="AB1670" t="s">
        <v>2287</v>
      </c>
      <c r="AC1670" t="s">
        <v>162</v>
      </c>
      <c r="AD1670" t="s">
        <v>2278</v>
      </c>
      <c r="AH1670" t="s">
        <v>49</v>
      </c>
      <c r="AI1670" t="s">
        <v>49</v>
      </c>
      <c r="AM1670" t="s">
        <v>233</v>
      </c>
    </row>
    <row r="1671" spans="1:43" x14ac:dyDescent="0.2">
      <c r="A1671" t="s">
        <v>1051</v>
      </c>
      <c r="B1671" t="s">
        <v>1052</v>
      </c>
      <c r="C1671">
        <v>2018</v>
      </c>
      <c r="D1671" t="s">
        <v>44</v>
      </c>
      <c r="F1671" t="s">
        <v>1053</v>
      </c>
      <c r="G1671" t="s">
        <v>86</v>
      </c>
      <c r="H1671" t="s">
        <v>96</v>
      </c>
      <c r="I1671">
        <v>2009</v>
      </c>
      <c r="J1671">
        <v>0.8</v>
      </c>
      <c r="K1671" t="s">
        <v>101</v>
      </c>
      <c r="L1671">
        <v>5</v>
      </c>
      <c r="M1671">
        <v>0</v>
      </c>
      <c r="N1671" t="s">
        <v>126</v>
      </c>
      <c r="O1671" t="s">
        <v>126</v>
      </c>
      <c r="P1671" t="s">
        <v>941</v>
      </c>
      <c r="Q1671" s="1" t="s">
        <v>2281</v>
      </c>
      <c r="R1671" s="1" t="s">
        <v>2282</v>
      </c>
      <c r="S1671" s="1" t="s">
        <v>126</v>
      </c>
      <c r="V1671" t="s">
        <v>194</v>
      </c>
      <c r="W1671" t="s">
        <v>356</v>
      </c>
      <c r="X1671" t="s">
        <v>228</v>
      </c>
      <c r="Y1671" t="s">
        <v>2273</v>
      </c>
      <c r="Z1671" t="s">
        <v>249</v>
      </c>
      <c r="AA1671" t="s">
        <v>2359</v>
      </c>
      <c r="AB1671" t="s">
        <v>1419</v>
      </c>
      <c r="AC1671" t="s">
        <v>152</v>
      </c>
      <c r="AD1671" t="s">
        <v>137</v>
      </c>
    </row>
    <row r="1672" spans="1:43" x14ac:dyDescent="0.2">
      <c r="A1672" t="s">
        <v>1051</v>
      </c>
      <c r="B1672" t="s">
        <v>1052</v>
      </c>
      <c r="C1672">
        <v>2018</v>
      </c>
      <c r="D1672" t="s">
        <v>44</v>
      </c>
      <c r="F1672" t="s">
        <v>1053</v>
      </c>
      <c r="G1672" t="s">
        <v>86</v>
      </c>
      <c r="H1672" t="s">
        <v>96</v>
      </c>
      <c r="I1672">
        <v>2009</v>
      </c>
      <c r="J1672">
        <v>0.8</v>
      </c>
      <c r="K1672" t="s">
        <v>101</v>
      </c>
      <c r="L1672">
        <v>5</v>
      </c>
      <c r="M1672">
        <v>0</v>
      </c>
      <c r="N1672" t="s">
        <v>126</v>
      </c>
      <c r="O1672" t="s">
        <v>126</v>
      </c>
      <c r="P1672" t="s">
        <v>2571</v>
      </c>
      <c r="Q1672" s="1" t="s">
        <v>2281</v>
      </c>
      <c r="R1672" s="1" t="s">
        <v>2282</v>
      </c>
      <c r="S1672" s="1" t="s">
        <v>126</v>
      </c>
      <c r="V1672" t="s">
        <v>194</v>
      </c>
      <c r="W1672" t="s">
        <v>356</v>
      </c>
      <c r="X1672" t="s">
        <v>228</v>
      </c>
      <c r="Y1672" t="s">
        <v>2273</v>
      </c>
      <c r="Z1672" t="s">
        <v>249</v>
      </c>
      <c r="AA1672" t="s">
        <v>2359</v>
      </c>
      <c r="AB1672" t="s">
        <v>1419</v>
      </c>
      <c r="AC1672" t="s">
        <v>152</v>
      </c>
      <c r="AD1672" t="s">
        <v>137</v>
      </c>
    </row>
    <row r="1673" spans="1:43" x14ac:dyDescent="0.2">
      <c r="A1673" t="s">
        <v>1051</v>
      </c>
      <c r="B1673" t="s">
        <v>1052</v>
      </c>
      <c r="C1673">
        <v>2018</v>
      </c>
      <c r="D1673" t="s">
        <v>44</v>
      </c>
      <c r="F1673" t="s">
        <v>1053</v>
      </c>
      <c r="G1673" t="s">
        <v>86</v>
      </c>
      <c r="H1673" t="s">
        <v>96</v>
      </c>
      <c r="I1673">
        <v>2009</v>
      </c>
      <c r="J1673">
        <v>0.8</v>
      </c>
      <c r="K1673" t="s">
        <v>101</v>
      </c>
      <c r="L1673">
        <v>5</v>
      </c>
      <c r="M1673">
        <v>0</v>
      </c>
      <c r="N1673" t="s">
        <v>126</v>
      </c>
      <c r="O1673" t="s">
        <v>126</v>
      </c>
      <c r="P1673" t="s">
        <v>941</v>
      </c>
      <c r="Q1673" s="1" t="s">
        <v>2281</v>
      </c>
      <c r="R1673" s="1" t="s">
        <v>2282</v>
      </c>
      <c r="S1673" s="1" t="s">
        <v>126</v>
      </c>
      <c r="V1673" t="s">
        <v>194</v>
      </c>
      <c r="W1673" t="s">
        <v>356</v>
      </c>
      <c r="X1673" t="s">
        <v>642</v>
      </c>
      <c r="Y1673" t="s">
        <v>2273</v>
      </c>
      <c r="Z1673" t="s">
        <v>249</v>
      </c>
      <c r="AA1673" t="s">
        <v>2359</v>
      </c>
      <c r="AB1673" t="s">
        <v>1979</v>
      </c>
      <c r="AC1673" t="s">
        <v>152</v>
      </c>
      <c r="AD1673" t="s">
        <v>137</v>
      </c>
    </row>
    <row r="1674" spans="1:43" x14ac:dyDescent="0.2">
      <c r="A1674" t="s">
        <v>1051</v>
      </c>
      <c r="B1674" t="s">
        <v>1052</v>
      </c>
      <c r="C1674">
        <v>2018</v>
      </c>
      <c r="D1674" t="s">
        <v>44</v>
      </c>
      <c r="F1674" t="s">
        <v>1053</v>
      </c>
      <c r="G1674" t="s">
        <v>86</v>
      </c>
      <c r="H1674" t="s">
        <v>96</v>
      </c>
      <c r="I1674">
        <v>2009</v>
      </c>
      <c r="J1674">
        <v>0.8</v>
      </c>
      <c r="K1674" t="s">
        <v>101</v>
      </c>
      <c r="L1674">
        <v>5</v>
      </c>
      <c r="M1674">
        <v>0</v>
      </c>
      <c r="N1674" t="s">
        <v>126</v>
      </c>
      <c r="O1674" t="s">
        <v>126</v>
      </c>
      <c r="P1674" t="s">
        <v>2571</v>
      </c>
      <c r="Q1674" s="1" t="s">
        <v>2281</v>
      </c>
      <c r="R1674" s="1" t="s">
        <v>2282</v>
      </c>
      <c r="S1674" s="1" t="s">
        <v>126</v>
      </c>
      <c r="V1674" t="s">
        <v>194</v>
      </c>
      <c r="W1674" t="s">
        <v>356</v>
      </c>
      <c r="X1674" t="s">
        <v>642</v>
      </c>
      <c r="Y1674" t="s">
        <v>2273</v>
      </c>
      <c r="Z1674" t="s">
        <v>249</v>
      </c>
      <c r="AA1674" t="s">
        <v>2359</v>
      </c>
      <c r="AB1674" t="s">
        <v>1979</v>
      </c>
      <c r="AC1674" t="s">
        <v>152</v>
      </c>
      <c r="AD1674" t="s">
        <v>137</v>
      </c>
    </row>
    <row r="1675" spans="1:43" x14ac:dyDescent="0.2">
      <c r="A1675" t="s">
        <v>1051</v>
      </c>
      <c r="B1675" t="s">
        <v>1052</v>
      </c>
      <c r="C1675">
        <v>2018</v>
      </c>
      <c r="D1675" t="s">
        <v>44</v>
      </c>
      <c r="F1675" t="s">
        <v>1053</v>
      </c>
      <c r="G1675" t="s">
        <v>86</v>
      </c>
      <c r="H1675" t="s">
        <v>96</v>
      </c>
      <c r="I1675">
        <v>2009</v>
      </c>
      <c r="J1675">
        <v>0.8</v>
      </c>
      <c r="K1675" t="s">
        <v>101</v>
      </c>
      <c r="L1675">
        <v>5</v>
      </c>
      <c r="M1675">
        <v>0</v>
      </c>
      <c r="N1675" t="s">
        <v>126</v>
      </c>
      <c r="O1675" t="s">
        <v>126</v>
      </c>
      <c r="P1675" t="s">
        <v>941</v>
      </c>
      <c r="Q1675" s="1" t="s">
        <v>2281</v>
      </c>
      <c r="R1675" s="1" t="s">
        <v>2282</v>
      </c>
      <c r="S1675" s="1" t="s">
        <v>126</v>
      </c>
      <c r="V1675" t="s">
        <v>194</v>
      </c>
      <c r="W1675" t="s">
        <v>356</v>
      </c>
      <c r="X1675" t="s">
        <v>1054</v>
      </c>
      <c r="Y1675" t="s">
        <v>2273</v>
      </c>
      <c r="Z1675" t="s">
        <v>249</v>
      </c>
      <c r="AA1675" t="s">
        <v>2359</v>
      </c>
      <c r="AB1675" t="s">
        <v>2289</v>
      </c>
      <c r="AC1675" t="s">
        <v>152</v>
      </c>
      <c r="AD1675" t="s">
        <v>137</v>
      </c>
      <c r="AF1675" t="s">
        <v>49</v>
      </c>
      <c r="AJ1675" t="s">
        <v>49</v>
      </c>
      <c r="AM1675" t="s">
        <v>342</v>
      </c>
      <c r="AN1675" t="s">
        <v>154</v>
      </c>
      <c r="AP1675" t="s">
        <v>49</v>
      </c>
    </row>
    <row r="1676" spans="1:43" x14ac:dyDescent="0.2">
      <c r="A1676" t="s">
        <v>1051</v>
      </c>
      <c r="B1676" t="s">
        <v>1052</v>
      </c>
      <c r="C1676">
        <v>2018</v>
      </c>
      <c r="D1676" t="s">
        <v>44</v>
      </c>
      <c r="F1676" t="s">
        <v>1053</v>
      </c>
      <c r="G1676" t="s">
        <v>86</v>
      </c>
      <c r="H1676" t="s">
        <v>96</v>
      </c>
      <c r="I1676">
        <v>2009</v>
      </c>
      <c r="J1676">
        <v>0.8</v>
      </c>
      <c r="K1676" t="s">
        <v>101</v>
      </c>
      <c r="L1676">
        <v>5</v>
      </c>
      <c r="M1676">
        <v>0</v>
      </c>
      <c r="N1676" t="s">
        <v>126</v>
      </c>
      <c r="O1676" t="s">
        <v>126</v>
      </c>
      <c r="P1676" t="s">
        <v>2571</v>
      </c>
      <c r="Q1676" s="1" t="s">
        <v>2281</v>
      </c>
      <c r="R1676" s="1" t="s">
        <v>2282</v>
      </c>
      <c r="S1676" s="1" t="s">
        <v>126</v>
      </c>
      <c r="V1676" t="s">
        <v>194</v>
      </c>
      <c r="W1676" t="s">
        <v>356</v>
      </c>
      <c r="X1676" t="s">
        <v>1054</v>
      </c>
      <c r="Y1676" t="s">
        <v>2273</v>
      </c>
      <c r="Z1676" t="s">
        <v>249</v>
      </c>
      <c r="AA1676" t="s">
        <v>2359</v>
      </c>
      <c r="AB1676" t="s">
        <v>2289</v>
      </c>
      <c r="AC1676" t="s">
        <v>152</v>
      </c>
      <c r="AD1676" t="s">
        <v>137</v>
      </c>
      <c r="AF1676" t="s">
        <v>49</v>
      </c>
      <c r="AJ1676" t="s">
        <v>49</v>
      </c>
      <c r="AM1676" t="s">
        <v>342</v>
      </c>
      <c r="AN1676" t="s">
        <v>154</v>
      </c>
      <c r="AP1676" t="s">
        <v>49</v>
      </c>
    </row>
    <row r="1677" spans="1:43" x14ac:dyDescent="0.2">
      <c r="A1677" t="s">
        <v>1051</v>
      </c>
      <c r="B1677" t="s">
        <v>1052</v>
      </c>
      <c r="C1677">
        <v>2018</v>
      </c>
      <c r="D1677" t="s">
        <v>44</v>
      </c>
      <c r="F1677" t="s">
        <v>1053</v>
      </c>
      <c r="G1677" t="s">
        <v>86</v>
      </c>
      <c r="H1677" t="s">
        <v>96</v>
      </c>
      <c r="I1677">
        <v>2009</v>
      </c>
      <c r="J1677">
        <v>0.8</v>
      </c>
      <c r="K1677" t="s">
        <v>101</v>
      </c>
      <c r="L1677">
        <v>5</v>
      </c>
      <c r="M1677">
        <v>0</v>
      </c>
      <c r="N1677" t="s">
        <v>126</v>
      </c>
      <c r="O1677" t="s">
        <v>126</v>
      </c>
      <c r="P1677" t="s">
        <v>941</v>
      </c>
      <c r="Q1677" s="1" t="s">
        <v>2281</v>
      </c>
      <c r="R1677" s="1" t="s">
        <v>2282</v>
      </c>
      <c r="S1677" s="1" t="s">
        <v>126</v>
      </c>
      <c r="T1677" t="s">
        <v>396</v>
      </c>
      <c r="U1677" t="s">
        <v>126</v>
      </c>
      <c r="V1677" t="s">
        <v>194</v>
      </c>
      <c r="W1677" t="s">
        <v>356</v>
      </c>
      <c r="X1677" t="s">
        <v>161</v>
      </c>
      <c r="Y1677" t="s">
        <v>2272</v>
      </c>
      <c r="Z1677" t="s">
        <v>2272</v>
      </c>
      <c r="AA1677" t="s">
        <v>2272</v>
      </c>
      <c r="AB1677" t="s">
        <v>2272</v>
      </c>
      <c r="AC1677" t="s">
        <v>162</v>
      </c>
      <c r="AD1677" t="s">
        <v>2272</v>
      </c>
      <c r="AF1677" t="s">
        <v>49</v>
      </c>
      <c r="AJ1677" t="s">
        <v>49</v>
      </c>
      <c r="AM1677" t="s">
        <v>342</v>
      </c>
      <c r="AN1677" t="s">
        <v>154</v>
      </c>
      <c r="AQ1677" s="5">
        <v>1</v>
      </c>
    </row>
    <row r="1678" spans="1:43" x14ac:dyDescent="0.2">
      <c r="A1678" t="s">
        <v>1051</v>
      </c>
      <c r="B1678" t="s">
        <v>1052</v>
      </c>
      <c r="C1678">
        <v>2018</v>
      </c>
      <c r="D1678" t="s">
        <v>44</v>
      </c>
      <c r="F1678" t="s">
        <v>1053</v>
      </c>
      <c r="G1678" t="s">
        <v>86</v>
      </c>
      <c r="H1678" t="s">
        <v>96</v>
      </c>
      <c r="I1678">
        <v>2009</v>
      </c>
      <c r="J1678">
        <v>0.8</v>
      </c>
      <c r="K1678" t="s">
        <v>101</v>
      </c>
      <c r="L1678">
        <v>5</v>
      </c>
      <c r="M1678">
        <v>0</v>
      </c>
      <c r="N1678" t="s">
        <v>126</v>
      </c>
      <c r="O1678" t="s">
        <v>126</v>
      </c>
      <c r="P1678" t="s">
        <v>2571</v>
      </c>
      <c r="Q1678" s="1" t="s">
        <v>2281</v>
      </c>
      <c r="R1678" s="1" t="s">
        <v>2282</v>
      </c>
      <c r="S1678" s="1" t="s">
        <v>126</v>
      </c>
      <c r="T1678" t="s">
        <v>396</v>
      </c>
      <c r="U1678" t="s">
        <v>126</v>
      </c>
      <c r="V1678" t="s">
        <v>194</v>
      </c>
      <c r="W1678" t="s">
        <v>356</v>
      </c>
      <c r="X1678" t="s">
        <v>161</v>
      </c>
      <c r="Y1678" t="s">
        <v>2272</v>
      </c>
      <c r="Z1678" t="s">
        <v>2272</v>
      </c>
      <c r="AA1678" t="s">
        <v>2272</v>
      </c>
      <c r="AB1678" t="s">
        <v>2272</v>
      </c>
      <c r="AC1678" t="s">
        <v>162</v>
      </c>
      <c r="AD1678" t="s">
        <v>2272</v>
      </c>
      <c r="AF1678" t="s">
        <v>49</v>
      </c>
      <c r="AJ1678" t="s">
        <v>49</v>
      </c>
      <c r="AM1678" t="s">
        <v>342</v>
      </c>
      <c r="AN1678" t="s">
        <v>154</v>
      </c>
      <c r="AQ1678" s="5">
        <v>2</v>
      </c>
    </row>
    <row r="1679" spans="1:43" x14ac:dyDescent="0.2">
      <c r="A1679" t="s">
        <v>1051</v>
      </c>
      <c r="B1679" t="s">
        <v>1052</v>
      </c>
      <c r="C1679">
        <v>2018</v>
      </c>
      <c r="D1679" t="s">
        <v>44</v>
      </c>
      <c r="F1679" t="s">
        <v>1053</v>
      </c>
      <c r="G1679" t="s">
        <v>86</v>
      </c>
      <c r="H1679" t="s">
        <v>96</v>
      </c>
      <c r="I1679">
        <v>2009</v>
      </c>
      <c r="J1679">
        <v>0.8</v>
      </c>
      <c r="K1679" t="s">
        <v>101</v>
      </c>
      <c r="L1679">
        <v>5</v>
      </c>
      <c r="M1679">
        <v>0</v>
      </c>
      <c r="N1679" t="s">
        <v>126</v>
      </c>
      <c r="O1679" t="s">
        <v>126</v>
      </c>
      <c r="P1679" t="s">
        <v>941</v>
      </c>
      <c r="Q1679" s="1" t="s">
        <v>2281</v>
      </c>
      <c r="R1679" s="1" t="s">
        <v>2282</v>
      </c>
      <c r="S1679" s="1" t="s">
        <v>126</v>
      </c>
      <c r="V1679" t="s">
        <v>194</v>
      </c>
      <c r="W1679" t="s">
        <v>356</v>
      </c>
      <c r="X1679" t="s">
        <v>647</v>
      </c>
      <c r="Y1679" t="s">
        <v>2273</v>
      </c>
      <c r="Z1679" t="s">
        <v>2356</v>
      </c>
      <c r="AA1679" t="s">
        <v>2357</v>
      </c>
      <c r="AB1679" t="s">
        <v>2277</v>
      </c>
      <c r="AC1679" t="s">
        <v>152</v>
      </c>
      <c r="AD1679" t="s">
        <v>137</v>
      </c>
      <c r="AF1679" t="s">
        <v>49</v>
      </c>
      <c r="AJ1679" t="s">
        <v>49</v>
      </c>
      <c r="AM1679" t="s">
        <v>342</v>
      </c>
      <c r="AN1679" t="s">
        <v>154</v>
      </c>
      <c r="AP1679" t="s">
        <v>49</v>
      </c>
    </row>
    <row r="1680" spans="1:43" x14ac:dyDescent="0.2">
      <c r="A1680" t="s">
        <v>1051</v>
      </c>
      <c r="B1680" t="s">
        <v>1052</v>
      </c>
      <c r="C1680">
        <v>2018</v>
      </c>
      <c r="D1680" t="s">
        <v>44</v>
      </c>
      <c r="F1680" t="s">
        <v>1053</v>
      </c>
      <c r="G1680" t="s">
        <v>86</v>
      </c>
      <c r="H1680" t="s">
        <v>96</v>
      </c>
      <c r="I1680">
        <v>2009</v>
      </c>
      <c r="J1680">
        <v>0.8</v>
      </c>
      <c r="K1680" t="s">
        <v>101</v>
      </c>
      <c r="L1680">
        <v>5</v>
      </c>
      <c r="M1680">
        <v>0</v>
      </c>
      <c r="N1680" t="s">
        <v>126</v>
      </c>
      <c r="O1680" t="s">
        <v>126</v>
      </c>
      <c r="P1680" t="s">
        <v>2571</v>
      </c>
      <c r="Q1680" s="1" t="s">
        <v>2281</v>
      </c>
      <c r="R1680" s="1" t="s">
        <v>2282</v>
      </c>
      <c r="S1680" s="1" t="s">
        <v>126</v>
      </c>
      <c r="V1680" t="s">
        <v>194</v>
      </c>
      <c r="W1680" t="s">
        <v>356</v>
      </c>
      <c r="X1680" t="s">
        <v>647</v>
      </c>
      <c r="Y1680" t="s">
        <v>2273</v>
      </c>
      <c r="Z1680" t="s">
        <v>2356</v>
      </c>
      <c r="AA1680" t="s">
        <v>2357</v>
      </c>
      <c r="AB1680" t="s">
        <v>2277</v>
      </c>
      <c r="AC1680" t="s">
        <v>152</v>
      </c>
      <c r="AD1680" t="s">
        <v>137</v>
      </c>
      <c r="AF1680" t="s">
        <v>49</v>
      </c>
      <c r="AJ1680" t="s">
        <v>49</v>
      </c>
      <c r="AM1680" t="s">
        <v>342</v>
      </c>
      <c r="AN1680" t="s">
        <v>154</v>
      </c>
      <c r="AP1680" t="s">
        <v>49</v>
      </c>
    </row>
    <row r="1681" spans="1:42" x14ac:dyDescent="0.2">
      <c r="A1681" t="s">
        <v>1051</v>
      </c>
      <c r="B1681" t="s">
        <v>1052</v>
      </c>
      <c r="C1681">
        <v>2018</v>
      </c>
      <c r="D1681" t="s">
        <v>44</v>
      </c>
      <c r="F1681" t="s">
        <v>1053</v>
      </c>
      <c r="G1681" t="s">
        <v>86</v>
      </c>
      <c r="H1681" t="s">
        <v>96</v>
      </c>
      <c r="I1681">
        <v>2009</v>
      </c>
      <c r="J1681">
        <v>0.8</v>
      </c>
      <c r="K1681" t="s">
        <v>101</v>
      </c>
      <c r="L1681">
        <v>5</v>
      </c>
      <c r="M1681">
        <v>0</v>
      </c>
      <c r="N1681" t="s">
        <v>126</v>
      </c>
      <c r="O1681" t="s">
        <v>126</v>
      </c>
      <c r="P1681" t="s">
        <v>941</v>
      </c>
      <c r="Q1681" s="1" t="s">
        <v>2281</v>
      </c>
      <c r="R1681" s="1" t="s">
        <v>2282</v>
      </c>
      <c r="S1681" s="1" t="s">
        <v>126</v>
      </c>
      <c r="T1681" t="s">
        <v>396</v>
      </c>
      <c r="U1681" t="s">
        <v>126</v>
      </c>
      <c r="V1681" t="s">
        <v>194</v>
      </c>
      <c r="W1681" t="s">
        <v>356</v>
      </c>
      <c r="X1681" t="s">
        <v>161</v>
      </c>
      <c r="Y1681" t="s">
        <v>2272</v>
      </c>
      <c r="Z1681" t="s">
        <v>2272</v>
      </c>
      <c r="AA1681" t="s">
        <v>2272</v>
      </c>
      <c r="AB1681" t="s">
        <v>2272</v>
      </c>
      <c r="AC1681" t="s">
        <v>162</v>
      </c>
      <c r="AD1681" t="s">
        <v>2272</v>
      </c>
      <c r="AF1681" t="s">
        <v>49</v>
      </c>
      <c r="AJ1681" t="s">
        <v>49</v>
      </c>
      <c r="AM1681" t="s">
        <v>342</v>
      </c>
      <c r="AN1681" t="s">
        <v>165</v>
      </c>
      <c r="AP1681" t="s">
        <v>49</v>
      </c>
    </row>
    <row r="1682" spans="1:42" x14ac:dyDescent="0.2">
      <c r="A1682" t="s">
        <v>1051</v>
      </c>
      <c r="B1682" t="s">
        <v>1052</v>
      </c>
      <c r="C1682">
        <v>2018</v>
      </c>
      <c r="D1682" t="s">
        <v>44</v>
      </c>
      <c r="F1682" t="s">
        <v>1053</v>
      </c>
      <c r="G1682" t="s">
        <v>86</v>
      </c>
      <c r="H1682" t="s">
        <v>96</v>
      </c>
      <c r="I1682">
        <v>2009</v>
      </c>
      <c r="J1682">
        <v>0.8</v>
      </c>
      <c r="K1682" t="s">
        <v>101</v>
      </c>
      <c r="L1682">
        <v>5</v>
      </c>
      <c r="M1682">
        <v>0</v>
      </c>
      <c r="N1682" t="s">
        <v>126</v>
      </c>
      <c r="O1682" t="s">
        <v>126</v>
      </c>
      <c r="P1682" t="s">
        <v>2571</v>
      </c>
      <c r="Q1682" s="1" t="s">
        <v>2281</v>
      </c>
      <c r="R1682" s="1" t="s">
        <v>2282</v>
      </c>
      <c r="S1682" s="1" t="s">
        <v>126</v>
      </c>
      <c r="T1682" t="s">
        <v>396</v>
      </c>
      <c r="U1682" t="s">
        <v>126</v>
      </c>
      <c r="V1682" t="s">
        <v>194</v>
      </c>
      <c r="W1682" t="s">
        <v>356</v>
      </c>
      <c r="X1682" t="s">
        <v>161</v>
      </c>
      <c r="Y1682" t="s">
        <v>2272</v>
      </c>
      <c r="Z1682" t="s">
        <v>2272</v>
      </c>
      <c r="AA1682" t="s">
        <v>2272</v>
      </c>
      <c r="AB1682" t="s">
        <v>2272</v>
      </c>
      <c r="AC1682" t="s">
        <v>162</v>
      </c>
      <c r="AD1682" t="s">
        <v>2272</v>
      </c>
      <c r="AF1682" t="s">
        <v>49</v>
      </c>
      <c r="AJ1682" t="s">
        <v>49</v>
      </c>
      <c r="AM1682" t="s">
        <v>342</v>
      </c>
      <c r="AN1682" t="s">
        <v>165</v>
      </c>
      <c r="AP1682" t="s">
        <v>49</v>
      </c>
    </row>
    <row r="1683" spans="1:42" x14ac:dyDescent="0.2">
      <c r="A1683" t="s">
        <v>1055</v>
      </c>
      <c r="B1683" t="s">
        <v>1056</v>
      </c>
      <c r="C1683">
        <v>2018</v>
      </c>
      <c r="D1683" t="s">
        <v>44</v>
      </c>
      <c r="E1683" t="s">
        <v>49</v>
      </c>
      <c r="F1683" t="s">
        <v>824</v>
      </c>
      <c r="G1683" t="s">
        <v>88</v>
      </c>
      <c r="H1683" t="s">
        <v>350</v>
      </c>
      <c r="I1683">
        <v>2016</v>
      </c>
      <c r="J1683">
        <v>0.04</v>
      </c>
      <c r="K1683" t="s">
        <v>101</v>
      </c>
      <c r="N1683" t="s">
        <v>122</v>
      </c>
      <c r="O1683" t="s">
        <v>248</v>
      </c>
      <c r="Q1683" s="1" t="s">
        <v>2281</v>
      </c>
      <c r="R1683" s="1" t="s">
        <v>122</v>
      </c>
      <c r="S1683" s="1" t="s">
        <v>2294</v>
      </c>
      <c r="X1683" t="s">
        <v>211</v>
      </c>
      <c r="Y1683" t="s">
        <v>2279</v>
      </c>
      <c r="Z1683" t="s">
        <v>2280</v>
      </c>
      <c r="AA1683" t="s">
        <v>2358</v>
      </c>
      <c r="AB1683" t="s">
        <v>2290</v>
      </c>
      <c r="AC1683" t="s">
        <v>152</v>
      </c>
      <c r="AD1683" t="s">
        <v>2278</v>
      </c>
      <c r="AE1683" t="s">
        <v>1059</v>
      </c>
      <c r="AH1683" s="4" t="s">
        <v>49</v>
      </c>
      <c r="AI1683" t="s">
        <v>49</v>
      </c>
      <c r="AM1683" t="s">
        <v>233</v>
      </c>
      <c r="AN1683" t="s">
        <v>165</v>
      </c>
    </row>
    <row r="1684" spans="1:42" x14ac:dyDescent="0.2">
      <c r="A1684" t="s">
        <v>1055</v>
      </c>
      <c r="B1684" t="s">
        <v>1056</v>
      </c>
      <c r="C1684">
        <v>2018</v>
      </c>
      <c r="D1684" t="s">
        <v>44</v>
      </c>
      <c r="E1684" t="s">
        <v>49</v>
      </c>
      <c r="F1684" t="s">
        <v>824</v>
      </c>
      <c r="G1684" t="s">
        <v>88</v>
      </c>
      <c r="H1684" t="s">
        <v>350</v>
      </c>
      <c r="I1684">
        <v>2016</v>
      </c>
      <c r="J1684">
        <v>0.04</v>
      </c>
      <c r="K1684" t="s">
        <v>101</v>
      </c>
      <c r="N1684" t="s">
        <v>127</v>
      </c>
      <c r="O1684" t="s">
        <v>1057</v>
      </c>
      <c r="Q1684" s="1" t="s">
        <v>2281</v>
      </c>
      <c r="R1684" s="1" t="s">
        <v>122</v>
      </c>
      <c r="S1684" s="1" t="s">
        <v>2293</v>
      </c>
      <c r="X1684" t="s">
        <v>211</v>
      </c>
      <c r="Y1684" t="s">
        <v>2279</v>
      </c>
      <c r="Z1684" t="s">
        <v>2280</v>
      </c>
      <c r="AA1684" t="s">
        <v>2358</v>
      </c>
      <c r="AB1684" t="s">
        <v>2290</v>
      </c>
      <c r="AC1684" t="s">
        <v>152</v>
      </c>
      <c r="AD1684" t="s">
        <v>2278</v>
      </c>
      <c r="AE1684" t="s">
        <v>1059</v>
      </c>
      <c r="AH1684" s="4" t="s">
        <v>49</v>
      </c>
      <c r="AI1684" t="s">
        <v>49</v>
      </c>
      <c r="AM1684" t="s">
        <v>233</v>
      </c>
      <c r="AN1684" t="s">
        <v>165</v>
      </c>
    </row>
    <row r="1685" spans="1:42" x14ac:dyDescent="0.2">
      <c r="A1685" t="s">
        <v>1055</v>
      </c>
      <c r="B1685" t="s">
        <v>1056</v>
      </c>
      <c r="C1685">
        <v>2018</v>
      </c>
      <c r="D1685" t="s">
        <v>44</v>
      </c>
      <c r="E1685" t="s">
        <v>49</v>
      </c>
      <c r="F1685" t="s">
        <v>824</v>
      </c>
      <c r="G1685" t="s">
        <v>88</v>
      </c>
      <c r="H1685" t="s">
        <v>350</v>
      </c>
      <c r="I1685">
        <v>2016</v>
      </c>
      <c r="J1685">
        <v>0.04</v>
      </c>
      <c r="K1685" t="s">
        <v>101</v>
      </c>
      <c r="N1685" t="s">
        <v>131</v>
      </c>
      <c r="O1685" t="s">
        <v>131</v>
      </c>
      <c r="Q1685" s="1" t="s">
        <v>2281</v>
      </c>
      <c r="R1685" s="1" t="s">
        <v>2295</v>
      </c>
      <c r="S1685" s="1" t="s">
        <v>2295</v>
      </c>
      <c r="X1685" t="s">
        <v>211</v>
      </c>
      <c r="Y1685" t="s">
        <v>2279</v>
      </c>
      <c r="Z1685" t="s">
        <v>2280</v>
      </c>
      <c r="AA1685" t="s">
        <v>2358</v>
      </c>
      <c r="AB1685" t="s">
        <v>2290</v>
      </c>
      <c r="AC1685" t="s">
        <v>152</v>
      </c>
      <c r="AD1685" t="s">
        <v>2278</v>
      </c>
      <c r="AE1685" t="s">
        <v>1059</v>
      </c>
      <c r="AH1685" s="4" t="s">
        <v>49</v>
      </c>
      <c r="AI1685" t="s">
        <v>49</v>
      </c>
      <c r="AM1685" t="s">
        <v>233</v>
      </c>
      <c r="AN1685" t="s">
        <v>165</v>
      </c>
    </row>
    <row r="1686" spans="1:42" x14ac:dyDescent="0.2">
      <c r="A1686" t="s">
        <v>1055</v>
      </c>
      <c r="B1686" t="s">
        <v>1056</v>
      </c>
      <c r="C1686">
        <v>2018</v>
      </c>
      <c r="D1686" t="s">
        <v>44</v>
      </c>
      <c r="E1686" t="s">
        <v>49</v>
      </c>
      <c r="F1686" t="s">
        <v>824</v>
      </c>
      <c r="G1686" t="s">
        <v>88</v>
      </c>
      <c r="H1686" t="s">
        <v>350</v>
      </c>
      <c r="I1686">
        <v>2016</v>
      </c>
      <c r="J1686">
        <v>0.04</v>
      </c>
      <c r="K1686" t="s">
        <v>101</v>
      </c>
      <c r="N1686" t="s">
        <v>127</v>
      </c>
      <c r="O1686" t="s">
        <v>980</v>
      </c>
      <c r="Q1686" s="1" t="s">
        <v>2281</v>
      </c>
      <c r="R1686" s="1" t="s">
        <v>122</v>
      </c>
      <c r="S1686" s="1" t="s">
        <v>2293</v>
      </c>
      <c r="X1686" t="s">
        <v>211</v>
      </c>
      <c r="Y1686" t="s">
        <v>2279</v>
      </c>
      <c r="Z1686" t="s">
        <v>2280</v>
      </c>
      <c r="AA1686" t="s">
        <v>2358</v>
      </c>
      <c r="AB1686" t="s">
        <v>2290</v>
      </c>
      <c r="AC1686" t="s">
        <v>152</v>
      </c>
      <c r="AD1686" t="s">
        <v>2278</v>
      </c>
      <c r="AE1686" t="s">
        <v>1059</v>
      </c>
      <c r="AH1686" s="4" t="s">
        <v>49</v>
      </c>
      <c r="AI1686" t="s">
        <v>49</v>
      </c>
      <c r="AM1686" t="s">
        <v>233</v>
      </c>
      <c r="AN1686" t="s">
        <v>165</v>
      </c>
    </row>
    <row r="1687" spans="1:42" x14ac:dyDescent="0.2">
      <c r="A1687" t="s">
        <v>1055</v>
      </c>
      <c r="B1687" t="s">
        <v>1056</v>
      </c>
      <c r="C1687">
        <v>2018</v>
      </c>
      <c r="D1687" t="s">
        <v>44</v>
      </c>
      <c r="E1687" t="s">
        <v>49</v>
      </c>
      <c r="F1687" t="s">
        <v>824</v>
      </c>
      <c r="G1687" t="s">
        <v>88</v>
      </c>
      <c r="H1687" t="s">
        <v>350</v>
      </c>
      <c r="I1687">
        <v>2016</v>
      </c>
      <c r="J1687">
        <v>0.04</v>
      </c>
      <c r="K1687" t="s">
        <v>101</v>
      </c>
      <c r="N1687" t="s">
        <v>128</v>
      </c>
      <c r="O1687" t="s">
        <v>1058</v>
      </c>
      <c r="Q1687" s="1" t="s">
        <v>2276</v>
      </c>
      <c r="R1687" s="1" t="s">
        <v>2350</v>
      </c>
      <c r="S1687" s="1" t="s">
        <v>2350</v>
      </c>
      <c r="X1687" t="s">
        <v>211</v>
      </c>
      <c r="Y1687" t="s">
        <v>2279</v>
      </c>
      <c r="Z1687" t="s">
        <v>2280</v>
      </c>
      <c r="AA1687" t="s">
        <v>2358</v>
      </c>
      <c r="AB1687" t="s">
        <v>2290</v>
      </c>
      <c r="AC1687" t="s">
        <v>152</v>
      </c>
      <c r="AD1687" t="s">
        <v>2278</v>
      </c>
      <c r="AE1687" t="s">
        <v>1059</v>
      </c>
      <c r="AH1687" s="4" t="s">
        <v>49</v>
      </c>
      <c r="AI1687" t="s">
        <v>49</v>
      </c>
      <c r="AM1687" t="s">
        <v>233</v>
      </c>
      <c r="AN1687" t="s">
        <v>165</v>
      </c>
    </row>
    <row r="1688" spans="1:42" x14ac:dyDescent="0.2">
      <c r="A1688" t="s">
        <v>1055</v>
      </c>
      <c r="B1688" t="s">
        <v>1056</v>
      </c>
      <c r="C1688">
        <v>2018</v>
      </c>
      <c r="D1688" t="s">
        <v>44</v>
      </c>
      <c r="E1688" t="s">
        <v>49</v>
      </c>
      <c r="F1688" t="s">
        <v>824</v>
      </c>
      <c r="G1688" t="s">
        <v>88</v>
      </c>
      <c r="H1688" t="s">
        <v>350</v>
      </c>
      <c r="I1688">
        <v>2016</v>
      </c>
      <c r="J1688">
        <v>0.04</v>
      </c>
      <c r="K1688" t="s">
        <v>101</v>
      </c>
      <c r="N1688" t="s">
        <v>128</v>
      </c>
      <c r="O1688" t="s">
        <v>993</v>
      </c>
      <c r="Q1688" s="1" t="s">
        <v>2276</v>
      </c>
      <c r="R1688" s="1" t="s">
        <v>2350</v>
      </c>
      <c r="S1688" s="1" t="s">
        <v>2350</v>
      </c>
      <c r="X1688" t="s">
        <v>211</v>
      </c>
      <c r="Y1688" t="s">
        <v>2279</v>
      </c>
      <c r="Z1688" t="s">
        <v>2280</v>
      </c>
      <c r="AA1688" t="s">
        <v>2358</v>
      </c>
      <c r="AB1688" t="s">
        <v>2290</v>
      </c>
      <c r="AC1688" t="s">
        <v>152</v>
      </c>
      <c r="AD1688" t="s">
        <v>2278</v>
      </c>
      <c r="AE1688" t="s">
        <v>1059</v>
      </c>
      <c r="AH1688" s="4" t="s">
        <v>49</v>
      </c>
      <c r="AI1688" t="s">
        <v>49</v>
      </c>
      <c r="AM1688" t="s">
        <v>233</v>
      </c>
      <c r="AN1688" t="s">
        <v>165</v>
      </c>
    </row>
    <row r="1689" spans="1:42" x14ac:dyDescent="0.2">
      <c r="A1689" t="s">
        <v>1055</v>
      </c>
      <c r="B1689" t="s">
        <v>1056</v>
      </c>
      <c r="C1689">
        <v>2018</v>
      </c>
      <c r="D1689" t="s">
        <v>44</v>
      </c>
      <c r="E1689" t="s">
        <v>49</v>
      </c>
      <c r="F1689" t="s">
        <v>824</v>
      </c>
      <c r="G1689" t="s">
        <v>88</v>
      </c>
      <c r="H1689" t="s">
        <v>350</v>
      </c>
      <c r="I1689">
        <v>2016</v>
      </c>
      <c r="J1689">
        <v>0.04</v>
      </c>
      <c r="K1689" t="s">
        <v>101</v>
      </c>
      <c r="N1689" t="s">
        <v>122</v>
      </c>
      <c r="O1689" t="s">
        <v>248</v>
      </c>
      <c r="Q1689" s="1" t="s">
        <v>2281</v>
      </c>
      <c r="R1689" s="1" t="s">
        <v>122</v>
      </c>
      <c r="S1689" s="1" t="s">
        <v>2294</v>
      </c>
      <c r="X1689" t="s">
        <v>211</v>
      </c>
      <c r="Y1689" t="s">
        <v>2279</v>
      </c>
      <c r="Z1689" t="s">
        <v>2280</v>
      </c>
      <c r="AA1689" t="s">
        <v>2358</v>
      </c>
      <c r="AB1689" t="s">
        <v>2290</v>
      </c>
      <c r="AC1689" t="s">
        <v>152</v>
      </c>
      <c r="AD1689" t="s">
        <v>2278</v>
      </c>
      <c r="AE1689" t="s">
        <v>1059</v>
      </c>
      <c r="AH1689" s="4" t="s">
        <v>49</v>
      </c>
      <c r="AI1689" t="s">
        <v>49</v>
      </c>
      <c r="AM1689" t="s">
        <v>233</v>
      </c>
      <c r="AN1689" t="s">
        <v>154</v>
      </c>
    </row>
    <row r="1690" spans="1:42" x14ac:dyDescent="0.2">
      <c r="A1690" t="s">
        <v>1055</v>
      </c>
      <c r="B1690" t="s">
        <v>1056</v>
      </c>
      <c r="C1690">
        <v>2018</v>
      </c>
      <c r="D1690" t="s">
        <v>44</v>
      </c>
      <c r="E1690" t="s">
        <v>49</v>
      </c>
      <c r="F1690" t="s">
        <v>824</v>
      </c>
      <c r="G1690" t="s">
        <v>88</v>
      </c>
      <c r="H1690" t="s">
        <v>350</v>
      </c>
      <c r="I1690">
        <v>2016</v>
      </c>
      <c r="J1690">
        <v>0.04</v>
      </c>
      <c r="K1690" t="s">
        <v>101</v>
      </c>
      <c r="N1690" t="s">
        <v>127</v>
      </c>
      <c r="O1690" t="s">
        <v>1057</v>
      </c>
      <c r="Q1690" s="1" t="s">
        <v>2281</v>
      </c>
      <c r="R1690" s="1" t="s">
        <v>122</v>
      </c>
      <c r="S1690" s="1" t="s">
        <v>2293</v>
      </c>
      <c r="X1690" t="s">
        <v>211</v>
      </c>
      <c r="Y1690" t="s">
        <v>2279</v>
      </c>
      <c r="Z1690" t="s">
        <v>2280</v>
      </c>
      <c r="AA1690" t="s">
        <v>2358</v>
      </c>
      <c r="AB1690" t="s">
        <v>2290</v>
      </c>
      <c r="AC1690" t="s">
        <v>152</v>
      </c>
      <c r="AD1690" t="s">
        <v>2278</v>
      </c>
      <c r="AE1690" t="s">
        <v>1059</v>
      </c>
      <c r="AH1690" s="4" t="s">
        <v>49</v>
      </c>
      <c r="AI1690" t="s">
        <v>49</v>
      </c>
      <c r="AM1690" t="s">
        <v>233</v>
      </c>
      <c r="AN1690" t="s">
        <v>154</v>
      </c>
    </row>
    <row r="1691" spans="1:42" x14ac:dyDescent="0.2">
      <c r="A1691" t="s">
        <v>1055</v>
      </c>
      <c r="B1691" t="s">
        <v>1056</v>
      </c>
      <c r="C1691">
        <v>2018</v>
      </c>
      <c r="D1691" t="s">
        <v>44</v>
      </c>
      <c r="E1691" t="s">
        <v>49</v>
      </c>
      <c r="F1691" t="s">
        <v>824</v>
      </c>
      <c r="G1691" t="s">
        <v>88</v>
      </c>
      <c r="H1691" t="s">
        <v>350</v>
      </c>
      <c r="I1691">
        <v>2016</v>
      </c>
      <c r="J1691">
        <v>0.04</v>
      </c>
      <c r="K1691" t="s">
        <v>101</v>
      </c>
      <c r="N1691" t="s">
        <v>131</v>
      </c>
      <c r="O1691" t="s">
        <v>131</v>
      </c>
      <c r="Q1691" s="1" t="s">
        <v>2281</v>
      </c>
      <c r="R1691" s="1" t="s">
        <v>2295</v>
      </c>
      <c r="S1691" s="1" t="s">
        <v>2295</v>
      </c>
      <c r="X1691" t="s">
        <v>211</v>
      </c>
      <c r="Y1691" t="s">
        <v>2279</v>
      </c>
      <c r="Z1691" t="s">
        <v>2280</v>
      </c>
      <c r="AA1691" t="s">
        <v>2358</v>
      </c>
      <c r="AB1691" t="s">
        <v>2290</v>
      </c>
      <c r="AC1691" t="s">
        <v>152</v>
      </c>
      <c r="AD1691" t="s">
        <v>2278</v>
      </c>
      <c r="AE1691" t="s">
        <v>1059</v>
      </c>
      <c r="AH1691" s="4" t="s">
        <v>49</v>
      </c>
      <c r="AI1691" t="s">
        <v>49</v>
      </c>
      <c r="AM1691" t="s">
        <v>233</v>
      </c>
      <c r="AN1691" t="s">
        <v>154</v>
      </c>
    </row>
    <row r="1692" spans="1:42" x14ac:dyDescent="0.2">
      <c r="A1692" t="s">
        <v>1055</v>
      </c>
      <c r="B1692" t="s">
        <v>1056</v>
      </c>
      <c r="C1692">
        <v>2018</v>
      </c>
      <c r="D1692" t="s">
        <v>44</v>
      </c>
      <c r="E1692" t="s">
        <v>49</v>
      </c>
      <c r="F1692" t="s">
        <v>824</v>
      </c>
      <c r="G1692" t="s">
        <v>88</v>
      </c>
      <c r="H1692" t="s">
        <v>350</v>
      </c>
      <c r="I1692">
        <v>2016</v>
      </c>
      <c r="J1692">
        <v>0.04</v>
      </c>
      <c r="K1692" t="s">
        <v>101</v>
      </c>
      <c r="N1692" t="s">
        <v>127</v>
      </c>
      <c r="O1692" t="s">
        <v>980</v>
      </c>
      <c r="Q1692" s="1" t="s">
        <v>2281</v>
      </c>
      <c r="R1692" s="1" t="s">
        <v>122</v>
      </c>
      <c r="S1692" s="1" t="s">
        <v>2293</v>
      </c>
      <c r="X1692" t="s">
        <v>211</v>
      </c>
      <c r="Y1692" t="s">
        <v>2279</v>
      </c>
      <c r="Z1692" t="s">
        <v>2280</v>
      </c>
      <c r="AA1692" t="s">
        <v>2358</v>
      </c>
      <c r="AB1692" t="s">
        <v>2290</v>
      </c>
      <c r="AC1692" t="s">
        <v>152</v>
      </c>
      <c r="AD1692" t="s">
        <v>2278</v>
      </c>
      <c r="AE1692" t="s">
        <v>1059</v>
      </c>
      <c r="AH1692" s="4" t="s">
        <v>49</v>
      </c>
      <c r="AI1692" t="s">
        <v>49</v>
      </c>
      <c r="AM1692" t="s">
        <v>233</v>
      </c>
      <c r="AN1692" t="s">
        <v>154</v>
      </c>
    </row>
    <row r="1693" spans="1:42" x14ac:dyDescent="0.2">
      <c r="A1693" t="s">
        <v>1055</v>
      </c>
      <c r="B1693" t="s">
        <v>1056</v>
      </c>
      <c r="C1693">
        <v>2018</v>
      </c>
      <c r="D1693" t="s">
        <v>44</v>
      </c>
      <c r="E1693" t="s">
        <v>49</v>
      </c>
      <c r="F1693" t="s">
        <v>824</v>
      </c>
      <c r="G1693" t="s">
        <v>88</v>
      </c>
      <c r="H1693" t="s">
        <v>350</v>
      </c>
      <c r="I1693">
        <v>2016</v>
      </c>
      <c r="J1693">
        <v>0.04</v>
      </c>
      <c r="K1693" t="s">
        <v>101</v>
      </c>
      <c r="N1693" t="s">
        <v>128</v>
      </c>
      <c r="O1693" t="s">
        <v>1058</v>
      </c>
      <c r="Q1693" s="1" t="s">
        <v>2276</v>
      </c>
      <c r="R1693" s="1" t="s">
        <v>2350</v>
      </c>
      <c r="S1693" s="1" t="s">
        <v>2350</v>
      </c>
      <c r="X1693" t="s">
        <v>211</v>
      </c>
      <c r="Y1693" t="s">
        <v>2279</v>
      </c>
      <c r="Z1693" t="s">
        <v>2280</v>
      </c>
      <c r="AA1693" t="s">
        <v>2358</v>
      </c>
      <c r="AB1693" t="s">
        <v>2290</v>
      </c>
      <c r="AC1693" t="s">
        <v>152</v>
      </c>
      <c r="AD1693" t="s">
        <v>2278</v>
      </c>
      <c r="AE1693" t="s">
        <v>1059</v>
      </c>
      <c r="AH1693" s="4" t="s">
        <v>49</v>
      </c>
      <c r="AI1693" t="s">
        <v>49</v>
      </c>
      <c r="AM1693" t="s">
        <v>233</v>
      </c>
      <c r="AN1693" t="s">
        <v>154</v>
      </c>
    </row>
    <row r="1694" spans="1:42" x14ac:dyDescent="0.2">
      <c r="A1694" t="s">
        <v>1055</v>
      </c>
      <c r="B1694" t="s">
        <v>1056</v>
      </c>
      <c r="C1694">
        <v>2018</v>
      </c>
      <c r="D1694" t="s">
        <v>44</v>
      </c>
      <c r="E1694" t="s">
        <v>49</v>
      </c>
      <c r="F1694" t="s">
        <v>824</v>
      </c>
      <c r="G1694" t="s">
        <v>88</v>
      </c>
      <c r="H1694" t="s">
        <v>350</v>
      </c>
      <c r="I1694">
        <v>2016</v>
      </c>
      <c r="J1694">
        <v>0.04</v>
      </c>
      <c r="K1694" t="s">
        <v>101</v>
      </c>
      <c r="N1694" t="s">
        <v>128</v>
      </c>
      <c r="O1694" t="s">
        <v>993</v>
      </c>
      <c r="Q1694" s="1" t="s">
        <v>2276</v>
      </c>
      <c r="R1694" s="1" t="s">
        <v>2350</v>
      </c>
      <c r="S1694" s="1" t="s">
        <v>2350</v>
      </c>
      <c r="X1694" t="s">
        <v>211</v>
      </c>
      <c r="Y1694" t="s">
        <v>2279</v>
      </c>
      <c r="Z1694" t="s">
        <v>2280</v>
      </c>
      <c r="AA1694" t="s">
        <v>2358</v>
      </c>
      <c r="AB1694" t="s">
        <v>2290</v>
      </c>
      <c r="AC1694" t="s">
        <v>152</v>
      </c>
      <c r="AD1694" t="s">
        <v>2278</v>
      </c>
      <c r="AE1694" t="s">
        <v>1059</v>
      </c>
      <c r="AH1694" s="4" t="s">
        <v>49</v>
      </c>
      <c r="AI1694" t="s">
        <v>49</v>
      </c>
      <c r="AM1694" t="s">
        <v>233</v>
      </c>
      <c r="AN1694" t="s">
        <v>154</v>
      </c>
    </row>
    <row r="1695" spans="1:42" x14ac:dyDescent="0.2">
      <c r="A1695" t="s">
        <v>1055</v>
      </c>
      <c r="B1695" t="s">
        <v>1056</v>
      </c>
      <c r="C1695">
        <v>2018</v>
      </c>
      <c r="D1695" t="s">
        <v>44</v>
      </c>
      <c r="E1695" t="s">
        <v>49</v>
      </c>
      <c r="F1695" t="s">
        <v>824</v>
      </c>
      <c r="G1695" t="s">
        <v>88</v>
      </c>
      <c r="H1695" t="s">
        <v>350</v>
      </c>
      <c r="I1695">
        <v>2016</v>
      </c>
      <c r="J1695">
        <v>0.04</v>
      </c>
      <c r="K1695" t="s">
        <v>101</v>
      </c>
      <c r="N1695" t="s">
        <v>122</v>
      </c>
      <c r="O1695" t="s">
        <v>248</v>
      </c>
      <c r="Q1695" s="1" t="s">
        <v>2281</v>
      </c>
      <c r="R1695" s="1" t="s">
        <v>122</v>
      </c>
      <c r="S1695" s="1" t="s">
        <v>2294</v>
      </c>
      <c r="X1695" t="s">
        <v>211</v>
      </c>
      <c r="Y1695" t="s">
        <v>2279</v>
      </c>
      <c r="Z1695" t="s">
        <v>2280</v>
      </c>
      <c r="AA1695" t="s">
        <v>2358</v>
      </c>
      <c r="AB1695" t="s">
        <v>2290</v>
      </c>
      <c r="AC1695" t="s">
        <v>152</v>
      </c>
      <c r="AD1695" t="s">
        <v>2278</v>
      </c>
      <c r="AE1695" t="s">
        <v>1059</v>
      </c>
      <c r="AH1695" s="4" t="s">
        <v>49</v>
      </c>
      <c r="AI1695" t="s">
        <v>49</v>
      </c>
      <c r="AM1695" t="s">
        <v>233</v>
      </c>
      <c r="AN1695" t="s">
        <v>171</v>
      </c>
    </row>
    <row r="1696" spans="1:42" x14ac:dyDescent="0.2">
      <c r="A1696" t="s">
        <v>1055</v>
      </c>
      <c r="B1696" t="s">
        <v>1056</v>
      </c>
      <c r="C1696">
        <v>2018</v>
      </c>
      <c r="D1696" t="s">
        <v>44</v>
      </c>
      <c r="E1696" t="s">
        <v>49</v>
      </c>
      <c r="F1696" t="s">
        <v>824</v>
      </c>
      <c r="G1696" t="s">
        <v>88</v>
      </c>
      <c r="H1696" t="s">
        <v>350</v>
      </c>
      <c r="I1696">
        <v>2016</v>
      </c>
      <c r="J1696">
        <v>0.04</v>
      </c>
      <c r="K1696" t="s">
        <v>101</v>
      </c>
      <c r="N1696" t="s">
        <v>127</v>
      </c>
      <c r="O1696" t="s">
        <v>1057</v>
      </c>
      <c r="Q1696" s="1" t="s">
        <v>2281</v>
      </c>
      <c r="R1696" s="1" t="s">
        <v>122</v>
      </c>
      <c r="S1696" s="1" t="s">
        <v>2293</v>
      </c>
      <c r="X1696" t="s">
        <v>211</v>
      </c>
      <c r="Y1696" t="s">
        <v>2279</v>
      </c>
      <c r="Z1696" t="s">
        <v>2280</v>
      </c>
      <c r="AA1696" t="s">
        <v>2358</v>
      </c>
      <c r="AB1696" t="s">
        <v>2290</v>
      </c>
      <c r="AC1696" t="s">
        <v>152</v>
      </c>
      <c r="AD1696" t="s">
        <v>2278</v>
      </c>
      <c r="AE1696" t="s">
        <v>1059</v>
      </c>
      <c r="AH1696" s="4" t="s">
        <v>49</v>
      </c>
      <c r="AI1696" t="s">
        <v>49</v>
      </c>
      <c r="AM1696" t="s">
        <v>233</v>
      </c>
      <c r="AN1696" t="s">
        <v>171</v>
      </c>
    </row>
    <row r="1697" spans="1:43" x14ac:dyDescent="0.2">
      <c r="A1697" t="s">
        <v>1055</v>
      </c>
      <c r="B1697" t="s">
        <v>1056</v>
      </c>
      <c r="C1697">
        <v>2018</v>
      </c>
      <c r="D1697" t="s">
        <v>44</v>
      </c>
      <c r="E1697" t="s">
        <v>49</v>
      </c>
      <c r="F1697" t="s">
        <v>824</v>
      </c>
      <c r="G1697" t="s">
        <v>88</v>
      </c>
      <c r="H1697" t="s">
        <v>350</v>
      </c>
      <c r="I1697">
        <v>2016</v>
      </c>
      <c r="J1697">
        <v>0.04</v>
      </c>
      <c r="K1697" t="s">
        <v>101</v>
      </c>
      <c r="N1697" t="s">
        <v>131</v>
      </c>
      <c r="O1697" t="s">
        <v>131</v>
      </c>
      <c r="Q1697" s="1" t="s">
        <v>2281</v>
      </c>
      <c r="R1697" s="1" t="s">
        <v>2295</v>
      </c>
      <c r="S1697" s="1" t="s">
        <v>2295</v>
      </c>
      <c r="X1697" t="s">
        <v>211</v>
      </c>
      <c r="Y1697" t="s">
        <v>2279</v>
      </c>
      <c r="Z1697" t="s">
        <v>2280</v>
      </c>
      <c r="AA1697" t="s">
        <v>2358</v>
      </c>
      <c r="AB1697" t="s">
        <v>2290</v>
      </c>
      <c r="AC1697" t="s">
        <v>152</v>
      </c>
      <c r="AD1697" t="s">
        <v>2278</v>
      </c>
      <c r="AE1697" t="s">
        <v>1059</v>
      </c>
      <c r="AH1697" s="4" t="s">
        <v>49</v>
      </c>
      <c r="AI1697" t="s">
        <v>49</v>
      </c>
      <c r="AM1697" t="s">
        <v>233</v>
      </c>
      <c r="AN1697" t="s">
        <v>171</v>
      </c>
    </row>
    <row r="1698" spans="1:43" x14ac:dyDescent="0.2">
      <c r="A1698" t="s">
        <v>1055</v>
      </c>
      <c r="B1698" t="s">
        <v>1056</v>
      </c>
      <c r="C1698">
        <v>2018</v>
      </c>
      <c r="D1698" t="s">
        <v>44</v>
      </c>
      <c r="E1698" t="s">
        <v>49</v>
      </c>
      <c r="F1698" t="s">
        <v>824</v>
      </c>
      <c r="G1698" t="s">
        <v>88</v>
      </c>
      <c r="H1698" t="s">
        <v>350</v>
      </c>
      <c r="I1698">
        <v>2016</v>
      </c>
      <c r="J1698">
        <v>0.04</v>
      </c>
      <c r="K1698" t="s">
        <v>101</v>
      </c>
      <c r="N1698" t="s">
        <v>127</v>
      </c>
      <c r="O1698" t="s">
        <v>980</v>
      </c>
      <c r="Q1698" s="1" t="s">
        <v>2281</v>
      </c>
      <c r="R1698" s="1" t="s">
        <v>122</v>
      </c>
      <c r="S1698" s="1" t="s">
        <v>2293</v>
      </c>
      <c r="X1698" t="s">
        <v>211</v>
      </c>
      <c r="Y1698" t="s">
        <v>2279</v>
      </c>
      <c r="Z1698" t="s">
        <v>2280</v>
      </c>
      <c r="AA1698" t="s">
        <v>2358</v>
      </c>
      <c r="AB1698" t="s">
        <v>2290</v>
      </c>
      <c r="AC1698" t="s">
        <v>152</v>
      </c>
      <c r="AD1698" t="s">
        <v>2278</v>
      </c>
      <c r="AE1698" t="s">
        <v>1059</v>
      </c>
      <c r="AH1698" s="4" t="s">
        <v>49</v>
      </c>
      <c r="AI1698" t="s">
        <v>49</v>
      </c>
      <c r="AM1698" t="s">
        <v>233</v>
      </c>
      <c r="AN1698" t="s">
        <v>171</v>
      </c>
    </row>
    <row r="1699" spans="1:43" x14ac:dyDescent="0.2">
      <c r="A1699" t="s">
        <v>1055</v>
      </c>
      <c r="B1699" t="s">
        <v>1056</v>
      </c>
      <c r="C1699">
        <v>2018</v>
      </c>
      <c r="D1699" t="s">
        <v>44</v>
      </c>
      <c r="E1699" t="s">
        <v>49</v>
      </c>
      <c r="F1699" t="s">
        <v>824</v>
      </c>
      <c r="G1699" t="s">
        <v>88</v>
      </c>
      <c r="H1699" t="s">
        <v>350</v>
      </c>
      <c r="I1699">
        <v>2016</v>
      </c>
      <c r="J1699">
        <v>0.04</v>
      </c>
      <c r="K1699" t="s">
        <v>101</v>
      </c>
      <c r="N1699" t="s">
        <v>128</v>
      </c>
      <c r="O1699" t="s">
        <v>1058</v>
      </c>
      <c r="Q1699" s="1" t="s">
        <v>2276</v>
      </c>
      <c r="R1699" s="1" t="s">
        <v>2350</v>
      </c>
      <c r="S1699" s="1" t="s">
        <v>2350</v>
      </c>
      <c r="X1699" t="s">
        <v>211</v>
      </c>
      <c r="Y1699" t="s">
        <v>2279</v>
      </c>
      <c r="Z1699" t="s">
        <v>2280</v>
      </c>
      <c r="AA1699" t="s">
        <v>2358</v>
      </c>
      <c r="AB1699" t="s">
        <v>2290</v>
      </c>
      <c r="AC1699" t="s">
        <v>152</v>
      </c>
      <c r="AD1699" t="s">
        <v>2278</v>
      </c>
      <c r="AE1699" t="s">
        <v>1059</v>
      </c>
      <c r="AH1699" s="4" t="s">
        <v>49</v>
      </c>
      <c r="AI1699" t="s">
        <v>49</v>
      </c>
      <c r="AM1699" t="s">
        <v>233</v>
      </c>
      <c r="AN1699" t="s">
        <v>171</v>
      </c>
    </row>
    <row r="1700" spans="1:43" x14ac:dyDescent="0.2">
      <c r="A1700" t="s">
        <v>1055</v>
      </c>
      <c r="B1700" t="s">
        <v>1056</v>
      </c>
      <c r="C1700">
        <v>2018</v>
      </c>
      <c r="D1700" t="s">
        <v>44</v>
      </c>
      <c r="E1700" t="s">
        <v>49</v>
      </c>
      <c r="F1700" t="s">
        <v>824</v>
      </c>
      <c r="G1700" t="s">
        <v>88</v>
      </c>
      <c r="H1700" t="s">
        <v>350</v>
      </c>
      <c r="I1700">
        <v>2016</v>
      </c>
      <c r="J1700">
        <v>0.04</v>
      </c>
      <c r="K1700" t="s">
        <v>101</v>
      </c>
      <c r="N1700" t="s">
        <v>128</v>
      </c>
      <c r="O1700" t="s">
        <v>993</v>
      </c>
      <c r="Q1700" s="1" t="s">
        <v>2276</v>
      </c>
      <c r="R1700" s="1" t="s">
        <v>2350</v>
      </c>
      <c r="S1700" s="1" t="s">
        <v>2350</v>
      </c>
      <c r="X1700" t="s">
        <v>211</v>
      </c>
      <c r="Y1700" t="s">
        <v>2279</v>
      </c>
      <c r="Z1700" t="s">
        <v>2280</v>
      </c>
      <c r="AA1700" t="s">
        <v>2358</v>
      </c>
      <c r="AB1700" t="s">
        <v>2290</v>
      </c>
      <c r="AC1700" t="s">
        <v>152</v>
      </c>
      <c r="AD1700" t="s">
        <v>2278</v>
      </c>
      <c r="AE1700" t="s">
        <v>1059</v>
      </c>
      <c r="AH1700" s="4" t="s">
        <v>49</v>
      </c>
      <c r="AI1700" t="s">
        <v>49</v>
      </c>
      <c r="AM1700" t="s">
        <v>233</v>
      </c>
      <c r="AN1700" t="s">
        <v>171</v>
      </c>
    </row>
    <row r="1701" spans="1:43" x14ac:dyDescent="0.2">
      <c r="A1701" t="s">
        <v>1060</v>
      </c>
      <c r="B1701" t="s">
        <v>1061</v>
      </c>
      <c r="C1701">
        <v>2018</v>
      </c>
      <c r="D1701" t="s">
        <v>44</v>
      </c>
      <c r="F1701" t="s">
        <v>53</v>
      </c>
      <c r="G1701" t="s">
        <v>86</v>
      </c>
      <c r="H1701" t="s">
        <v>350</v>
      </c>
      <c r="I1701" t="s">
        <v>108</v>
      </c>
      <c r="J1701">
        <f>15/12</f>
        <v>1.25</v>
      </c>
      <c r="K1701" t="s">
        <v>102</v>
      </c>
      <c r="L1701">
        <v>100</v>
      </c>
      <c r="M1701">
        <v>0</v>
      </c>
      <c r="N1701" t="s">
        <v>466</v>
      </c>
      <c r="O1701" t="s">
        <v>466</v>
      </c>
      <c r="P1701" t="s">
        <v>1062</v>
      </c>
      <c r="Q1701" s="1" t="s">
        <v>2281</v>
      </c>
      <c r="R1701" s="1" t="s">
        <v>2301</v>
      </c>
      <c r="S1701" s="1" t="s">
        <v>2302</v>
      </c>
      <c r="X1701" t="s">
        <v>503</v>
      </c>
      <c r="Y1701" t="s">
        <v>2279</v>
      </c>
      <c r="Z1701" t="s">
        <v>2280</v>
      </c>
      <c r="AA1701" t="s">
        <v>2358</v>
      </c>
      <c r="AB1701" t="s">
        <v>2009</v>
      </c>
      <c r="AC1701" t="s">
        <v>152</v>
      </c>
      <c r="AD1701" t="s">
        <v>2278</v>
      </c>
    </row>
    <row r="1702" spans="1:43" x14ac:dyDescent="0.2">
      <c r="A1702" t="s">
        <v>1060</v>
      </c>
      <c r="B1702" t="s">
        <v>1061</v>
      </c>
      <c r="C1702">
        <v>2018</v>
      </c>
      <c r="D1702" t="s">
        <v>44</v>
      </c>
      <c r="F1702" t="s">
        <v>53</v>
      </c>
      <c r="G1702" t="s">
        <v>86</v>
      </c>
      <c r="H1702" t="s">
        <v>350</v>
      </c>
      <c r="I1702" t="s">
        <v>108</v>
      </c>
      <c r="J1702">
        <f>15/12</f>
        <v>1.25</v>
      </c>
      <c r="K1702" t="s">
        <v>102</v>
      </c>
      <c r="L1702">
        <v>100</v>
      </c>
      <c r="M1702">
        <f>0.15*0.15</f>
        <v>2.2499999999999999E-2</v>
      </c>
      <c r="N1702" t="s">
        <v>466</v>
      </c>
      <c r="O1702" t="s">
        <v>466</v>
      </c>
      <c r="P1702" t="s">
        <v>1062</v>
      </c>
      <c r="Q1702" s="1" t="s">
        <v>2281</v>
      </c>
      <c r="R1702" s="1" t="s">
        <v>2301</v>
      </c>
      <c r="S1702" s="1" t="s">
        <v>2302</v>
      </c>
      <c r="X1702" t="s">
        <v>189</v>
      </c>
      <c r="Y1702" t="s">
        <v>2279</v>
      </c>
      <c r="Z1702" t="s">
        <v>2280</v>
      </c>
      <c r="AA1702" t="s">
        <v>2358</v>
      </c>
      <c r="AB1702" t="s">
        <v>189</v>
      </c>
      <c r="AC1702" t="s">
        <v>152</v>
      </c>
      <c r="AD1702" t="s">
        <v>2278</v>
      </c>
      <c r="AF1702" t="s">
        <v>49</v>
      </c>
      <c r="AI1702" t="s">
        <v>49</v>
      </c>
      <c r="AM1702" t="s">
        <v>202</v>
      </c>
      <c r="AN1702" t="s">
        <v>154</v>
      </c>
      <c r="AP1702" t="s">
        <v>157</v>
      </c>
    </row>
    <row r="1703" spans="1:43" x14ac:dyDescent="0.2">
      <c r="A1703" t="s">
        <v>1060</v>
      </c>
      <c r="B1703" t="s">
        <v>1061</v>
      </c>
      <c r="C1703">
        <v>2018</v>
      </c>
      <c r="D1703" t="s">
        <v>44</v>
      </c>
      <c r="F1703" t="s">
        <v>53</v>
      </c>
      <c r="G1703" t="s">
        <v>86</v>
      </c>
      <c r="H1703" t="s">
        <v>350</v>
      </c>
      <c r="I1703" t="s">
        <v>108</v>
      </c>
      <c r="J1703">
        <f>15/12</f>
        <v>1.25</v>
      </c>
      <c r="K1703" t="s">
        <v>102</v>
      </c>
      <c r="L1703">
        <v>100</v>
      </c>
      <c r="M1703">
        <f>0.15*0.15</f>
        <v>2.2499999999999999E-2</v>
      </c>
      <c r="N1703" t="s">
        <v>466</v>
      </c>
      <c r="O1703" t="s">
        <v>466</v>
      </c>
      <c r="P1703" t="s">
        <v>1062</v>
      </c>
      <c r="Q1703" s="1" t="s">
        <v>2281</v>
      </c>
      <c r="R1703" s="1" t="s">
        <v>2301</v>
      </c>
      <c r="S1703" s="1" t="s">
        <v>2302</v>
      </c>
      <c r="X1703" t="s">
        <v>1063</v>
      </c>
      <c r="Y1703" t="s">
        <v>2273</v>
      </c>
      <c r="Z1703" t="s">
        <v>249</v>
      </c>
      <c r="AA1703" t="s">
        <v>2359</v>
      </c>
      <c r="AB1703" t="s">
        <v>1419</v>
      </c>
      <c r="AC1703" t="s">
        <v>152</v>
      </c>
      <c r="AD1703" t="s">
        <v>137</v>
      </c>
      <c r="AF1703" t="s">
        <v>49</v>
      </c>
      <c r="AI1703" t="s">
        <v>49</v>
      </c>
      <c r="AM1703" t="s">
        <v>202</v>
      </c>
      <c r="AN1703" t="s">
        <v>154</v>
      </c>
      <c r="AP1703" t="s">
        <v>157</v>
      </c>
    </row>
    <row r="1704" spans="1:43" x14ac:dyDescent="0.2">
      <c r="A1704" t="s">
        <v>1060</v>
      </c>
      <c r="B1704" t="s">
        <v>1061</v>
      </c>
      <c r="C1704">
        <v>2018</v>
      </c>
      <c r="D1704" t="s">
        <v>44</v>
      </c>
      <c r="F1704" t="s">
        <v>53</v>
      </c>
      <c r="G1704" t="s">
        <v>86</v>
      </c>
      <c r="H1704" t="s">
        <v>350</v>
      </c>
      <c r="I1704" t="s">
        <v>108</v>
      </c>
      <c r="J1704">
        <f>15/12</f>
        <v>1.25</v>
      </c>
      <c r="K1704" t="s">
        <v>102</v>
      </c>
      <c r="L1704">
        <v>100</v>
      </c>
      <c r="M1704">
        <f>0.15*0.15</f>
        <v>2.2499999999999999E-2</v>
      </c>
      <c r="N1704" t="s">
        <v>466</v>
      </c>
      <c r="O1704" t="s">
        <v>466</v>
      </c>
      <c r="P1704" t="s">
        <v>1062</v>
      </c>
      <c r="Q1704" s="1" t="s">
        <v>2281</v>
      </c>
      <c r="R1704" s="1" t="s">
        <v>2301</v>
      </c>
      <c r="S1704" s="1" t="s">
        <v>2302</v>
      </c>
      <c r="X1704" t="s">
        <v>189</v>
      </c>
      <c r="Y1704" t="s">
        <v>2279</v>
      </c>
      <c r="Z1704" t="s">
        <v>2280</v>
      </c>
      <c r="AA1704" t="s">
        <v>2358</v>
      </c>
      <c r="AB1704" t="s">
        <v>189</v>
      </c>
      <c r="AC1704" t="s">
        <v>152</v>
      </c>
      <c r="AD1704" t="s">
        <v>2278</v>
      </c>
      <c r="AF1704" t="s">
        <v>49</v>
      </c>
      <c r="AI1704" t="s">
        <v>49</v>
      </c>
      <c r="AM1704" t="s">
        <v>202</v>
      </c>
      <c r="AN1704" t="s">
        <v>166</v>
      </c>
      <c r="AP1704" t="s">
        <v>173</v>
      </c>
    </row>
    <row r="1705" spans="1:43" x14ac:dyDescent="0.2">
      <c r="A1705" t="s">
        <v>1060</v>
      </c>
      <c r="B1705" t="s">
        <v>1061</v>
      </c>
      <c r="C1705">
        <v>2018</v>
      </c>
      <c r="D1705" t="s">
        <v>44</v>
      </c>
      <c r="F1705" t="s">
        <v>53</v>
      </c>
      <c r="G1705" t="s">
        <v>86</v>
      </c>
      <c r="H1705" t="s">
        <v>350</v>
      </c>
      <c r="I1705" t="s">
        <v>108</v>
      </c>
      <c r="J1705">
        <f>15/12</f>
        <v>1.25</v>
      </c>
      <c r="K1705" t="s">
        <v>102</v>
      </c>
      <c r="L1705">
        <v>100</v>
      </c>
      <c r="M1705">
        <f>0.15*0.15</f>
        <v>2.2499999999999999E-2</v>
      </c>
      <c r="N1705" t="s">
        <v>466</v>
      </c>
      <c r="O1705" t="s">
        <v>466</v>
      </c>
      <c r="P1705" t="s">
        <v>1062</v>
      </c>
      <c r="Q1705" s="1" t="s">
        <v>2281</v>
      </c>
      <c r="R1705" s="1" t="s">
        <v>2301</v>
      </c>
      <c r="S1705" s="1" t="s">
        <v>2302</v>
      </c>
      <c r="X1705" t="s">
        <v>1063</v>
      </c>
      <c r="Y1705" t="s">
        <v>2273</v>
      </c>
      <c r="Z1705" t="s">
        <v>249</v>
      </c>
      <c r="AA1705" t="s">
        <v>2359</v>
      </c>
      <c r="AB1705" t="s">
        <v>1419</v>
      </c>
      <c r="AC1705" t="s">
        <v>152</v>
      </c>
      <c r="AD1705" t="s">
        <v>137</v>
      </c>
      <c r="AF1705" t="s">
        <v>49</v>
      </c>
      <c r="AI1705" t="s">
        <v>49</v>
      </c>
      <c r="AM1705" t="s">
        <v>202</v>
      </c>
      <c r="AN1705" t="s">
        <v>166</v>
      </c>
      <c r="AP1705" t="s">
        <v>173</v>
      </c>
    </row>
    <row r="1706" spans="1:43" x14ac:dyDescent="0.2">
      <c r="A1706" t="s">
        <v>1064</v>
      </c>
      <c r="B1706" t="s">
        <v>1065</v>
      </c>
      <c r="C1706">
        <v>2018</v>
      </c>
      <c r="D1706" t="s">
        <v>44</v>
      </c>
      <c r="F1706" t="s">
        <v>1066</v>
      </c>
      <c r="G1706" t="s">
        <v>86</v>
      </c>
      <c r="H1706" t="s">
        <v>96</v>
      </c>
      <c r="I1706">
        <v>2015</v>
      </c>
      <c r="J1706">
        <v>0.17</v>
      </c>
      <c r="K1706" t="s">
        <v>101</v>
      </c>
      <c r="M1706">
        <f t="shared" ref="M1706:M1715" si="41">0.1*0.1</f>
        <v>1.0000000000000002E-2</v>
      </c>
      <c r="N1706" t="s">
        <v>128</v>
      </c>
      <c r="O1706" t="s">
        <v>221</v>
      </c>
      <c r="Q1706" s="1" t="s">
        <v>2276</v>
      </c>
      <c r="R1706" s="1" t="s">
        <v>2350</v>
      </c>
      <c r="S1706" s="1" t="s">
        <v>2350</v>
      </c>
      <c r="X1706" t="s">
        <v>211</v>
      </c>
      <c r="Y1706" t="s">
        <v>2279</v>
      </c>
      <c r="Z1706" t="s">
        <v>2280</v>
      </c>
      <c r="AA1706" t="s">
        <v>2358</v>
      </c>
      <c r="AB1706" t="s">
        <v>2290</v>
      </c>
      <c r="AC1706" t="s">
        <v>152</v>
      </c>
      <c r="AD1706" t="s">
        <v>2278</v>
      </c>
    </row>
    <row r="1707" spans="1:43" x14ac:dyDescent="0.2">
      <c r="A1707" t="s">
        <v>1064</v>
      </c>
      <c r="B1707" t="s">
        <v>1065</v>
      </c>
      <c r="C1707">
        <v>2018</v>
      </c>
      <c r="D1707" t="s">
        <v>44</v>
      </c>
      <c r="F1707" t="s">
        <v>1066</v>
      </c>
      <c r="G1707" t="s">
        <v>86</v>
      </c>
      <c r="H1707" t="s">
        <v>96</v>
      </c>
      <c r="I1707">
        <v>2015</v>
      </c>
      <c r="J1707">
        <v>0.17</v>
      </c>
      <c r="K1707" t="s">
        <v>101</v>
      </c>
      <c r="M1707">
        <f t="shared" si="41"/>
        <v>1.0000000000000002E-2</v>
      </c>
      <c r="N1707" t="s">
        <v>127</v>
      </c>
      <c r="O1707" t="s">
        <v>992</v>
      </c>
      <c r="P1707" t="s">
        <v>1067</v>
      </c>
      <c r="Q1707" s="1" t="s">
        <v>2281</v>
      </c>
      <c r="R1707" s="1" t="s">
        <v>122</v>
      </c>
      <c r="S1707" s="1" t="s">
        <v>2293</v>
      </c>
      <c r="X1707" t="s">
        <v>211</v>
      </c>
      <c r="Y1707" t="s">
        <v>2279</v>
      </c>
      <c r="Z1707" t="s">
        <v>2280</v>
      </c>
      <c r="AA1707" t="s">
        <v>2358</v>
      </c>
      <c r="AB1707" t="s">
        <v>2290</v>
      </c>
      <c r="AC1707" t="s">
        <v>152</v>
      </c>
      <c r="AD1707" t="s">
        <v>2278</v>
      </c>
    </row>
    <row r="1708" spans="1:43" x14ac:dyDescent="0.2">
      <c r="A1708" t="s">
        <v>1064</v>
      </c>
      <c r="B1708" t="s">
        <v>1065</v>
      </c>
      <c r="C1708">
        <v>2018</v>
      </c>
      <c r="D1708" t="s">
        <v>44</v>
      </c>
      <c r="F1708" t="s">
        <v>1066</v>
      </c>
      <c r="G1708" t="s">
        <v>86</v>
      </c>
      <c r="H1708" t="s">
        <v>96</v>
      </c>
      <c r="I1708">
        <v>2015</v>
      </c>
      <c r="J1708">
        <v>0.17</v>
      </c>
      <c r="K1708" t="s">
        <v>101</v>
      </c>
      <c r="M1708">
        <f t="shared" si="41"/>
        <v>1.0000000000000002E-2</v>
      </c>
      <c r="N1708" t="s">
        <v>128</v>
      </c>
      <c r="O1708" t="s">
        <v>221</v>
      </c>
      <c r="Q1708" s="1" t="s">
        <v>2276</v>
      </c>
      <c r="R1708" s="1" t="s">
        <v>2350</v>
      </c>
      <c r="S1708" s="1" t="s">
        <v>2350</v>
      </c>
      <c r="T1708" t="s">
        <v>396</v>
      </c>
      <c r="U1708" t="s">
        <v>2293</v>
      </c>
      <c r="X1708" t="s">
        <v>161</v>
      </c>
      <c r="Y1708" t="s">
        <v>2272</v>
      </c>
      <c r="Z1708" t="s">
        <v>2272</v>
      </c>
      <c r="AA1708" t="s">
        <v>2272</v>
      </c>
      <c r="AB1708" t="s">
        <v>2272</v>
      </c>
      <c r="AC1708" t="s">
        <v>162</v>
      </c>
      <c r="AD1708" t="s">
        <v>2272</v>
      </c>
      <c r="AF1708" t="s">
        <v>49</v>
      </c>
      <c r="AI1708" t="s">
        <v>49</v>
      </c>
      <c r="AM1708" t="s">
        <v>202</v>
      </c>
      <c r="AN1708" t="s">
        <v>165</v>
      </c>
      <c r="AP1708" t="s">
        <v>49</v>
      </c>
    </row>
    <row r="1709" spans="1:43" x14ac:dyDescent="0.2">
      <c r="A1709" t="s">
        <v>1064</v>
      </c>
      <c r="B1709" t="s">
        <v>1065</v>
      </c>
      <c r="C1709">
        <v>2018</v>
      </c>
      <c r="D1709" t="s">
        <v>44</v>
      </c>
      <c r="F1709" t="s">
        <v>1066</v>
      </c>
      <c r="G1709" t="s">
        <v>86</v>
      </c>
      <c r="H1709" t="s">
        <v>96</v>
      </c>
      <c r="I1709">
        <v>2015</v>
      </c>
      <c r="J1709">
        <v>0.17</v>
      </c>
      <c r="K1709" t="s">
        <v>101</v>
      </c>
      <c r="M1709">
        <f t="shared" si="41"/>
        <v>1.0000000000000002E-2</v>
      </c>
      <c r="N1709" t="s">
        <v>127</v>
      </c>
      <c r="O1709" t="s">
        <v>992</v>
      </c>
      <c r="P1709" t="s">
        <v>1068</v>
      </c>
      <c r="Q1709" s="1" t="s">
        <v>2281</v>
      </c>
      <c r="R1709" s="1" t="s">
        <v>122</v>
      </c>
      <c r="S1709" s="1" t="s">
        <v>2293</v>
      </c>
      <c r="T1709" t="s">
        <v>396</v>
      </c>
      <c r="U1709" s="1" t="s">
        <v>2350</v>
      </c>
      <c r="X1709" t="s">
        <v>161</v>
      </c>
      <c r="Y1709" t="s">
        <v>2272</v>
      </c>
      <c r="Z1709" t="s">
        <v>2272</v>
      </c>
      <c r="AA1709" t="s">
        <v>2272</v>
      </c>
      <c r="AB1709" t="s">
        <v>2272</v>
      </c>
      <c r="AC1709" t="s">
        <v>162</v>
      </c>
      <c r="AD1709" t="s">
        <v>2272</v>
      </c>
      <c r="AF1709" t="s">
        <v>49</v>
      </c>
      <c r="AI1709" t="s">
        <v>49</v>
      </c>
      <c r="AM1709" t="s">
        <v>202</v>
      </c>
      <c r="AN1709" t="s">
        <v>165</v>
      </c>
      <c r="AP1709" t="s">
        <v>49</v>
      </c>
    </row>
    <row r="1710" spans="1:43" x14ac:dyDescent="0.2">
      <c r="A1710" t="s">
        <v>1064</v>
      </c>
      <c r="B1710" t="s">
        <v>1065</v>
      </c>
      <c r="C1710">
        <v>2018</v>
      </c>
      <c r="D1710" t="s">
        <v>44</v>
      </c>
      <c r="F1710" t="s">
        <v>1066</v>
      </c>
      <c r="G1710" t="s">
        <v>86</v>
      </c>
      <c r="H1710" t="s">
        <v>96</v>
      </c>
      <c r="I1710">
        <v>2015</v>
      </c>
      <c r="J1710">
        <v>0.17</v>
      </c>
      <c r="K1710" t="s">
        <v>101</v>
      </c>
      <c r="M1710">
        <f t="shared" si="41"/>
        <v>1.0000000000000002E-2</v>
      </c>
      <c r="N1710" t="s">
        <v>128</v>
      </c>
      <c r="O1710" t="s">
        <v>221</v>
      </c>
      <c r="Q1710" s="1" t="s">
        <v>2276</v>
      </c>
      <c r="R1710" s="1" t="s">
        <v>2350</v>
      </c>
      <c r="S1710" s="1" t="s">
        <v>2350</v>
      </c>
      <c r="T1710" t="s">
        <v>396</v>
      </c>
      <c r="U1710" t="s">
        <v>2293</v>
      </c>
      <c r="X1710" t="s">
        <v>161</v>
      </c>
      <c r="Y1710" t="s">
        <v>2272</v>
      </c>
      <c r="Z1710" t="s">
        <v>2272</v>
      </c>
      <c r="AA1710" t="s">
        <v>2272</v>
      </c>
      <c r="AB1710" t="s">
        <v>2272</v>
      </c>
      <c r="AC1710" t="s">
        <v>162</v>
      </c>
      <c r="AD1710" t="s">
        <v>2272</v>
      </c>
      <c r="AF1710" t="s">
        <v>49</v>
      </c>
      <c r="AI1710" t="s">
        <v>49</v>
      </c>
      <c r="AM1710" t="s">
        <v>202</v>
      </c>
      <c r="AN1710" t="s">
        <v>154</v>
      </c>
      <c r="AQ1710" s="5">
        <v>2</v>
      </c>
    </row>
    <row r="1711" spans="1:43" x14ac:dyDescent="0.2">
      <c r="A1711" t="s">
        <v>1064</v>
      </c>
      <c r="B1711" t="s">
        <v>1065</v>
      </c>
      <c r="C1711">
        <v>2018</v>
      </c>
      <c r="D1711" t="s">
        <v>44</v>
      </c>
      <c r="F1711" t="s">
        <v>1066</v>
      </c>
      <c r="G1711" t="s">
        <v>86</v>
      </c>
      <c r="H1711" t="s">
        <v>96</v>
      </c>
      <c r="I1711">
        <v>2015</v>
      </c>
      <c r="J1711">
        <v>0.17</v>
      </c>
      <c r="K1711" t="s">
        <v>101</v>
      </c>
      <c r="M1711">
        <f t="shared" si="41"/>
        <v>1.0000000000000002E-2</v>
      </c>
      <c r="N1711" t="s">
        <v>127</v>
      </c>
      <c r="O1711" t="s">
        <v>992</v>
      </c>
      <c r="P1711" t="s">
        <v>1068</v>
      </c>
      <c r="Q1711" s="1" t="s">
        <v>2281</v>
      </c>
      <c r="R1711" s="1" t="s">
        <v>122</v>
      </c>
      <c r="S1711" s="1" t="s">
        <v>2293</v>
      </c>
      <c r="T1711" t="s">
        <v>396</v>
      </c>
      <c r="U1711" s="1" t="s">
        <v>2350</v>
      </c>
      <c r="X1711" t="s">
        <v>161</v>
      </c>
      <c r="Y1711" t="s">
        <v>2272</v>
      </c>
      <c r="Z1711" t="s">
        <v>2272</v>
      </c>
      <c r="AA1711" t="s">
        <v>2272</v>
      </c>
      <c r="AB1711" t="s">
        <v>2272</v>
      </c>
      <c r="AC1711" t="s">
        <v>162</v>
      </c>
      <c r="AD1711" t="s">
        <v>2272</v>
      </c>
      <c r="AF1711" t="s">
        <v>49</v>
      </c>
      <c r="AI1711" t="s">
        <v>49</v>
      </c>
      <c r="AM1711" t="s">
        <v>202</v>
      </c>
      <c r="AN1711" t="s">
        <v>154</v>
      </c>
      <c r="AQ1711" s="5">
        <v>1</v>
      </c>
    </row>
    <row r="1712" spans="1:43" x14ac:dyDescent="0.2">
      <c r="A1712" t="s">
        <v>1064</v>
      </c>
      <c r="B1712" t="s">
        <v>1065</v>
      </c>
      <c r="C1712">
        <v>2018</v>
      </c>
      <c r="D1712" t="s">
        <v>44</v>
      </c>
      <c r="F1712" t="s">
        <v>1066</v>
      </c>
      <c r="G1712" t="s">
        <v>86</v>
      </c>
      <c r="H1712" t="s">
        <v>96</v>
      </c>
      <c r="I1712">
        <v>2015</v>
      </c>
      <c r="J1712">
        <v>0.17</v>
      </c>
      <c r="K1712" t="s">
        <v>101</v>
      </c>
      <c r="M1712">
        <f t="shared" si="41"/>
        <v>1.0000000000000002E-2</v>
      </c>
      <c r="N1712" t="s">
        <v>128</v>
      </c>
      <c r="O1712" t="s">
        <v>221</v>
      </c>
      <c r="Q1712" s="1" t="s">
        <v>2276</v>
      </c>
      <c r="R1712" s="1" t="s">
        <v>2350</v>
      </c>
      <c r="S1712" s="1" t="s">
        <v>2350</v>
      </c>
      <c r="T1712" t="s">
        <v>396</v>
      </c>
      <c r="U1712" t="s">
        <v>2293</v>
      </c>
      <c r="X1712" t="s">
        <v>161</v>
      </c>
      <c r="Y1712" t="s">
        <v>2272</v>
      </c>
      <c r="Z1712" t="s">
        <v>2272</v>
      </c>
      <c r="AA1712" t="s">
        <v>2272</v>
      </c>
      <c r="AB1712" t="s">
        <v>2272</v>
      </c>
      <c r="AC1712" t="s">
        <v>162</v>
      </c>
      <c r="AD1712" t="s">
        <v>2272</v>
      </c>
      <c r="AF1712" t="s">
        <v>49</v>
      </c>
      <c r="AI1712" t="s">
        <v>49</v>
      </c>
      <c r="AM1712" t="s">
        <v>202</v>
      </c>
      <c r="AN1712" t="s">
        <v>165</v>
      </c>
      <c r="AP1712" t="s">
        <v>49</v>
      </c>
    </row>
    <row r="1713" spans="1:45" x14ac:dyDescent="0.2">
      <c r="A1713" t="s">
        <v>1064</v>
      </c>
      <c r="B1713" t="s">
        <v>1065</v>
      </c>
      <c r="C1713">
        <v>2018</v>
      </c>
      <c r="D1713" t="s">
        <v>44</v>
      </c>
      <c r="F1713" t="s">
        <v>1066</v>
      </c>
      <c r="G1713" t="s">
        <v>86</v>
      </c>
      <c r="H1713" t="s">
        <v>96</v>
      </c>
      <c r="I1713">
        <v>2015</v>
      </c>
      <c r="J1713">
        <v>0.17</v>
      </c>
      <c r="K1713" t="s">
        <v>101</v>
      </c>
      <c r="M1713">
        <f t="shared" si="41"/>
        <v>1.0000000000000002E-2</v>
      </c>
      <c r="N1713" t="s">
        <v>127</v>
      </c>
      <c r="O1713" t="s">
        <v>992</v>
      </c>
      <c r="P1713" t="s">
        <v>1069</v>
      </c>
      <c r="Q1713" s="1" t="s">
        <v>2281</v>
      </c>
      <c r="R1713" s="1" t="s">
        <v>122</v>
      </c>
      <c r="S1713" s="1" t="s">
        <v>2293</v>
      </c>
      <c r="T1713" t="s">
        <v>396</v>
      </c>
      <c r="U1713" s="1" t="s">
        <v>2350</v>
      </c>
      <c r="X1713" t="s">
        <v>161</v>
      </c>
      <c r="Y1713" t="s">
        <v>2272</v>
      </c>
      <c r="Z1713" t="s">
        <v>2272</v>
      </c>
      <c r="AA1713" t="s">
        <v>2272</v>
      </c>
      <c r="AB1713" t="s">
        <v>2272</v>
      </c>
      <c r="AC1713" t="s">
        <v>162</v>
      </c>
      <c r="AD1713" t="s">
        <v>2272</v>
      </c>
      <c r="AF1713" t="s">
        <v>49</v>
      </c>
      <c r="AI1713" t="s">
        <v>49</v>
      </c>
      <c r="AM1713" t="s">
        <v>202</v>
      </c>
      <c r="AN1713" t="s">
        <v>165</v>
      </c>
      <c r="AP1713" t="s">
        <v>49</v>
      </c>
    </row>
    <row r="1714" spans="1:45" x14ac:dyDescent="0.2">
      <c r="A1714" t="s">
        <v>1064</v>
      </c>
      <c r="B1714" t="s">
        <v>1065</v>
      </c>
      <c r="C1714">
        <v>2018</v>
      </c>
      <c r="D1714" t="s">
        <v>44</v>
      </c>
      <c r="F1714" t="s">
        <v>1066</v>
      </c>
      <c r="G1714" t="s">
        <v>86</v>
      </c>
      <c r="H1714" t="s">
        <v>96</v>
      </c>
      <c r="I1714">
        <v>2015</v>
      </c>
      <c r="J1714">
        <v>0.17</v>
      </c>
      <c r="K1714" t="s">
        <v>101</v>
      </c>
      <c r="M1714">
        <f t="shared" si="41"/>
        <v>1.0000000000000002E-2</v>
      </c>
      <c r="N1714" t="s">
        <v>128</v>
      </c>
      <c r="O1714" t="s">
        <v>221</v>
      </c>
      <c r="Q1714" s="1" t="s">
        <v>2276</v>
      </c>
      <c r="R1714" s="1" t="s">
        <v>2350</v>
      </c>
      <c r="S1714" s="1" t="s">
        <v>2350</v>
      </c>
      <c r="T1714" t="s">
        <v>396</v>
      </c>
      <c r="U1714" t="s">
        <v>2293</v>
      </c>
      <c r="X1714" t="s">
        <v>161</v>
      </c>
      <c r="Y1714" t="s">
        <v>2272</v>
      </c>
      <c r="Z1714" t="s">
        <v>2272</v>
      </c>
      <c r="AA1714" t="s">
        <v>2272</v>
      </c>
      <c r="AB1714" t="s">
        <v>2272</v>
      </c>
      <c r="AC1714" t="s">
        <v>162</v>
      </c>
      <c r="AD1714" t="s">
        <v>2272</v>
      </c>
      <c r="AF1714" t="s">
        <v>49</v>
      </c>
      <c r="AI1714" t="s">
        <v>49</v>
      </c>
      <c r="AM1714" t="s">
        <v>202</v>
      </c>
      <c r="AN1714" t="s">
        <v>154</v>
      </c>
      <c r="AQ1714" s="5">
        <v>2</v>
      </c>
    </row>
    <row r="1715" spans="1:45" x14ac:dyDescent="0.2">
      <c r="A1715" t="s">
        <v>1064</v>
      </c>
      <c r="B1715" t="s">
        <v>1065</v>
      </c>
      <c r="C1715">
        <v>2018</v>
      </c>
      <c r="D1715" t="s">
        <v>44</v>
      </c>
      <c r="F1715" t="s">
        <v>1066</v>
      </c>
      <c r="G1715" t="s">
        <v>86</v>
      </c>
      <c r="H1715" t="s">
        <v>96</v>
      </c>
      <c r="I1715">
        <v>2015</v>
      </c>
      <c r="J1715">
        <v>0.17</v>
      </c>
      <c r="K1715" t="s">
        <v>101</v>
      </c>
      <c r="M1715">
        <f t="shared" si="41"/>
        <v>1.0000000000000002E-2</v>
      </c>
      <c r="N1715" t="s">
        <v>127</v>
      </c>
      <c r="O1715" t="s">
        <v>992</v>
      </c>
      <c r="P1715" t="s">
        <v>1069</v>
      </c>
      <c r="Q1715" s="1" t="s">
        <v>2281</v>
      </c>
      <c r="R1715" s="1" t="s">
        <v>122</v>
      </c>
      <c r="S1715" s="1" t="s">
        <v>2293</v>
      </c>
      <c r="T1715" t="s">
        <v>396</v>
      </c>
      <c r="U1715" s="1" t="s">
        <v>2350</v>
      </c>
      <c r="X1715" t="s">
        <v>161</v>
      </c>
      <c r="Y1715" t="s">
        <v>2272</v>
      </c>
      <c r="Z1715" t="s">
        <v>2272</v>
      </c>
      <c r="AA1715" t="s">
        <v>2272</v>
      </c>
      <c r="AB1715" t="s">
        <v>2272</v>
      </c>
      <c r="AC1715" t="s">
        <v>162</v>
      </c>
      <c r="AD1715" t="s">
        <v>2272</v>
      </c>
      <c r="AF1715" t="s">
        <v>49</v>
      </c>
      <c r="AI1715" t="s">
        <v>49</v>
      </c>
      <c r="AM1715" t="s">
        <v>202</v>
      </c>
      <c r="AN1715" t="s">
        <v>154</v>
      </c>
      <c r="AQ1715" s="5">
        <v>1</v>
      </c>
    </row>
    <row r="1716" spans="1:45" x14ac:dyDescent="0.2">
      <c r="A1716" t="s">
        <v>1070</v>
      </c>
      <c r="B1716" t="s">
        <v>1071</v>
      </c>
      <c r="C1716">
        <v>2018</v>
      </c>
      <c r="Q1716" s="1" t="s">
        <v>2272</v>
      </c>
      <c r="R1716" s="1" t="s">
        <v>2272</v>
      </c>
      <c r="S1716" s="1" t="s">
        <v>2272</v>
      </c>
      <c r="Y1716" t="s">
        <v>2272</v>
      </c>
      <c r="Z1716" t="s">
        <v>2272</v>
      </c>
      <c r="AA1716" t="s">
        <v>2272</v>
      </c>
      <c r="AB1716" t="s">
        <v>2272</v>
      </c>
      <c r="AD1716" t="s">
        <v>2272</v>
      </c>
      <c r="AR1716" t="s">
        <v>144</v>
      </c>
      <c r="AS1716" t="s">
        <v>2583</v>
      </c>
    </row>
    <row r="1717" spans="1:45" x14ac:dyDescent="0.2">
      <c r="A1717" t="s">
        <v>1072</v>
      </c>
      <c r="B1717" t="s">
        <v>1073</v>
      </c>
      <c r="C1717">
        <v>2018</v>
      </c>
      <c r="D1717" t="s">
        <v>44</v>
      </c>
      <c r="F1717" t="s">
        <v>81</v>
      </c>
      <c r="G1717" t="s">
        <v>91</v>
      </c>
      <c r="H1717" t="s">
        <v>350</v>
      </c>
      <c r="I1717">
        <v>2013</v>
      </c>
      <c r="J1717">
        <f t="shared" ref="J1717:J1723" si="42">9/12</f>
        <v>0.75</v>
      </c>
      <c r="K1717" t="s">
        <v>109</v>
      </c>
      <c r="L1717">
        <v>20</v>
      </c>
      <c r="N1717" t="s">
        <v>125</v>
      </c>
      <c r="O1717" t="s">
        <v>125</v>
      </c>
      <c r="P1717" t="s">
        <v>1074</v>
      </c>
      <c r="Q1717" s="1" t="s">
        <v>2276</v>
      </c>
      <c r="R1717" s="1" t="s">
        <v>751</v>
      </c>
      <c r="S1717" s="1" t="s">
        <v>2345</v>
      </c>
      <c r="X1717" t="s">
        <v>211</v>
      </c>
      <c r="Y1717" t="s">
        <v>2279</v>
      </c>
      <c r="Z1717" t="s">
        <v>2280</v>
      </c>
      <c r="AA1717" t="s">
        <v>2358</v>
      </c>
      <c r="AB1717" t="s">
        <v>2290</v>
      </c>
      <c r="AC1717" t="s">
        <v>152</v>
      </c>
      <c r="AD1717" t="s">
        <v>2278</v>
      </c>
    </row>
    <row r="1718" spans="1:45" x14ac:dyDescent="0.2">
      <c r="A1718" t="s">
        <v>1072</v>
      </c>
      <c r="B1718" t="s">
        <v>1073</v>
      </c>
      <c r="C1718">
        <v>2018</v>
      </c>
      <c r="D1718" t="s">
        <v>44</v>
      </c>
      <c r="F1718" t="s">
        <v>81</v>
      </c>
      <c r="G1718" t="s">
        <v>91</v>
      </c>
      <c r="H1718" t="s">
        <v>350</v>
      </c>
      <c r="I1718">
        <v>2013</v>
      </c>
      <c r="J1718">
        <f t="shared" si="42"/>
        <v>0.75</v>
      </c>
      <c r="K1718" t="s">
        <v>109</v>
      </c>
      <c r="L1718">
        <v>20</v>
      </c>
      <c r="N1718" t="s">
        <v>125</v>
      </c>
      <c r="O1718" t="s">
        <v>125</v>
      </c>
      <c r="P1718" t="s">
        <v>1074</v>
      </c>
      <c r="Q1718" s="1" t="s">
        <v>2276</v>
      </c>
      <c r="R1718" s="1" t="s">
        <v>751</v>
      </c>
      <c r="S1718" s="1" t="s">
        <v>2345</v>
      </c>
      <c r="T1718" t="s">
        <v>421</v>
      </c>
      <c r="U1718" t="s">
        <v>421</v>
      </c>
      <c r="X1718" t="s">
        <v>161</v>
      </c>
      <c r="Y1718" t="s">
        <v>2272</v>
      </c>
      <c r="Z1718" t="s">
        <v>2272</v>
      </c>
      <c r="AA1718" t="s">
        <v>2272</v>
      </c>
      <c r="AB1718" t="s">
        <v>2272</v>
      </c>
      <c r="AC1718" t="s">
        <v>162</v>
      </c>
      <c r="AD1718" t="s">
        <v>2272</v>
      </c>
      <c r="AG1718" t="s">
        <v>49</v>
      </c>
      <c r="AI1718" t="s">
        <v>49</v>
      </c>
      <c r="AM1718" t="s">
        <v>442</v>
      </c>
      <c r="AN1718" t="s">
        <v>154</v>
      </c>
      <c r="AQ1718" s="5">
        <v>1</v>
      </c>
    </row>
    <row r="1719" spans="1:45" x14ac:dyDescent="0.2">
      <c r="A1719" t="s">
        <v>1072</v>
      </c>
      <c r="B1719" t="s">
        <v>1073</v>
      </c>
      <c r="C1719">
        <v>2018</v>
      </c>
      <c r="D1719" t="s">
        <v>44</v>
      </c>
      <c r="F1719" t="s">
        <v>81</v>
      </c>
      <c r="G1719" t="s">
        <v>91</v>
      </c>
      <c r="H1719" t="s">
        <v>350</v>
      </c>
      <c r="I1719">
        <v>2013</v>
      </c>
      <c r="J1719">
        <f t="shared" si="42"/>
        <v>0.75</v>
      </c>
      <c r="K1719" t="s">
        <v>109</v>
      </c>
      <c r="L1719">
        <v>20</v>
      </c>
      <c r="N1719" t="s">
        <v>125</v>
      </c>
      <c r="O1719" t="s">
        <v>125</v>
      </c>
      <c r="P1719" t="s">
        <v>1074</v>
      </c>
      <c r="Q1719" s="1" t="s">
        <v>2276</v>
      </c>
      <c r="R1719" s="1" t="s">
        <v>751</v>
      </c>
      <c r="S1719" s="1" t="s">
        <v>2345</v>
      </c>
      <c r="T1719" t="s">
        <v>421</v>
      </c>
      <c r="U1719" t="s">
        <v>421</v>
      </c>
      <c r="X1719" t="s">
        <v>161</v>
      </c>
      <c r="Y1719" t="s">
        <v>2272</v>
      </c>
      <c r="Z1719" t="s">
        <v>2272</v>
      </c>
      <c r="AA1719" t="s">
        <v>2272</v>
      </c>
      <c r="AB1719" t="s">
        <v>2272</v>
      </c>
      <c r="AC1719" t="s">
        <v>162</v>
      </c>
      <c r="AD1719" t="s">
        <v>2272</v>
      </c>
      <c r="AH1719" s="4" t="s">
        <v>49</v>
      </c>
      <c r="AI1719" t="s">
        <v>49</v>
      </c>
      <c r="AM1719" t="s">
        <v>233</v>
      </c>
      <c r="AN1719" t="s">
        <v>154</v>
      </c>
      <c r="AQ1719" s="5">
        <v>1</v>
      </c>
    </row>
    <row r="1720" spans="1:45" x14ac:dyDescent="0.2">
      <c r="A1720" t="s">
        <v>1072</v>
      </c>
      <c r="B1720" t="s">
        <v>1073</v>
      </c>
      <c r="C1720">
        <v>2018</v>
      </c>
      <c r="D1720" t="s">
        <v>44</v>
      </c>
      <c r="F1720" t="s">
        <v>81</v>
      </c>
      <c r="G1720" t="s">
        <v>91</v>
      </c>
      <c r="H1720" t="s">
        <v>350</v>
      </c>
      <c r="I1720">
        <v>2013</v>
      </c>
      <c r="J1720">
        <f t="shared" si="42"/>
        <v>0.75</v>
      </c>
      <c r="K1720" t="s">
        <v>109</v>
      </c>
      <c r="L1720">
        <v>20</v>
      </c>
      <c r="N1720" t="s">
        <v>125</v>
      </c>
      <c r="O1720" t="s">
        <v>125</v>
      </c>
      <c r="P1720" t="s">
        <v>1074</v>
      </c>
      <c r="Q1720" s="1" t="s">
        <v>2276</v>
      </c>
      <c r="R1720" s="1" t="s">
        <v>751</v>
      </c>
      <c r="S1720" s="1" t="s">
        <v>2345</v>
      </c>
      <c r="T1720" t="s">
        <v>421</v>
      </c>
      <c r="U1720" t="s">
        <v>421</v>
      </c>
      <c r="X1720" t="s">
        <v>161</v>
      </c>
      <c r="Y1720" t="s">
        <v>2272</v>
      </c>
      <c r="Z1720" t="s">
        <v>2272</v>
      </c>
      <c r="AA1720" t="s">
        <v>2272</v>
      </c>
      <c r="AB1720" t="s">
        <v>2272</v>
      </c>
      <c r="AC1720" t="s">
        <v>162</v>
      </c>
      <c r="AD1720" t="s">
        <v>2272</v>
      </c>
      <c r="AF1720" t="s">
        <v>49</v>
      </c>
      <c r="AI1720" t="s">
        <v>49</v>
      </c>
      <c r="AM1720" t="s">
        <v>885</v>
      </c>
      <c r="AN1720" t="s">
        <v>154</v>
      </c>
      <c r="AQ1720" s="5">
        <v>1</v>
      </c>
    </row>
    <row r="1721" spans="1:45" x14ac:dyDescent="0.2">
      <c r="A1721" t="s">
        <v>1072</v>
      </c>
      <c r="B1721" t="s">
        <v>1073</v>
      </c>
      <c r="C1721">
        <v>2018</v>
      </c>
      <c r="D1721" t="s">
        <v>44</v>
      </c>
      <c r="F1721" t="s">
        <v>81</v>
      </c>
      <c r="G1721" t="s">
        <v>91</v>
      </c>
      <c r="H1721" t="s">
        <v>350</v>
      </c>
      <c r="I1721">
        <v>2013</v>
      </c>
      <c r="J1721">
        <f t="shared" si="42"/>
        <v>0.75</v>
      </c>
      <c r="K1721" t="s">
        <v>109</v>
      </c>
      <c r="L1721">
        <v>20</v>
      </c>
      <c r="N1721" t="s">
        <v>125</v>
      </c>
      <c r="O1721" t="s">
        <v>125</v>
      </c>
      <c r="P1721" t="s">
        <v>1074</v>
      </c>
      <c r="Q1721" s="1" t="s">
        <v>2276</v>
      </c>
      <c r="R1721" s="1" t="s">
        <v>751</v>
      </c>
      <c r="S1721" s="1" t="s">
        <v>2345</v>
      </c>
      <c r="T1721" t="s">
        <v>421</v>
      </c>
      <c r="U1721" t="s">
        <v>421</v>
      </c>
      <c r="X1721" t="s">
        <v>161</v>
      </c>
      <c r="Y1721" t="s">
        <v>2272</v>
      </c>
      <c r="Z1721" t="s">
        <v>2272</v>
      </c>
      <c r="AA1721" t="s">
        <v>2272</v>
      </c>
      <c r="AB1721" t="s">
        <v>2272</v>
      </c>
      <c r="AC1721" t="s">
        <v>162</v>
      </c>
      <c r="AD1721" t="s">
        <v>2272</v>
      </c>
      <c r="AG1721" t="s">
        <v>49</v>
      </c>
      <c r="AI1721" t="s">
        <v>49</v>
      </c>
      <c r="AM1721" t="s">
        <v>442</v>
      </c>
      <c r="AN1721" t="s">
        <v>165</v>
      </c>
      <c r="AP1721" t="s">
        <v>49</v>
      </c>
    </row>
    <row r="1722" spans="1:45" x14ac:dyDescent="0.2">
      <c r="A1722" t="s">
        <v>1072</v>
      </c>
      <c r="B1722" t="s">
        <v>1073</v>
      </c>
      <c r="C1722">
        <v>2018</v>
      </c>
      <c r="D1722" t="s">
        <v>44</v>
      </c>
      <c r="F1722" t="s">
        <v>81</v>
      </c>
      <c r="G1722" t="s">
        <v>91</v>
      </c>
      <c r="H1722" t="s">
        <v>350</v>
      </c>
      <c r="I1722">
        <v>2013</v>
      </c>
      <c r="J1722">
        <f t="shared" si="42"/>
        <v>0.75</v>
      </c>
      <c r="K1722" t="s">
        <v>109</v>
      </c>
      <c r="L1722">
        <v>20</v>
      </c>
      <c r="N1722" t="s">
        <v>125</v>
      </c>
      <c r="O1722" t="s">
        <v>125</v>
      </c>
      <c r="P1722" t="s">
        <v>1074</v>
      </c>
      <c r="Q1722" s="1" t="s">
        <v>2276</v>
      </c>
      <c r="R1722" s="1" t="s">
        <v>751</v>
      </c>
      <c r="S1722" s="1" t="s">
        <v>2345</v>
      </c>
      <c r="T1722" t="s">
        <v>421</v>
      </c>
      <c r="U1722" t="s">
        <v>421</v>
      </c>
      <c r="X1722" t="s">
        <v>161</v>
      </c>
      <c r="Y1722" t="s">
        <v>2272</v>
      </c>
      <c r="Z1722" t="s">
        <v>2272</v>
      </c>
      <c r="AA1722" t="s">
        <v>2272</v>
      </c>
      <c r="AB1722" t="s">
        <v>2272</v>
      </c>
      <c r="AC1722" t="s">
        <v>162</v>
      </c>
      <c r="AD1722" t="s">
        <v>2272</v>
      </c>
      <c r="AF1722" t="s">
        <v>49</v>
      </c>
      <c r="AI1722" t="s">
        <v>49</v>
      </c>
      <c r="AM1722" t="s">
        <v>885</v>
      </c>
      <c r="AN1722" t="s">
        <v>165</v>
      </c>
      <c r="AP1722" t="s">
        <v>49</v>
      </c>
    </row>
    <row r="1723" spans="1:45" x14ac:dyDescent="0.2">
      <c r="A1723" t="s">
        <v>1072</v>
      </c>
      <c r="B1723" t="s">
        <v>1073</v>
      </c>
      <c r="C1723">
        <v>2018</v>
      </c>
      <c r="D1723" t="s">
        <v>44</v>
      </c>
      <c r="F1723" t="s">
        <v>81</v>
      </c>
      <c r="G1723" t="s">
        <v>91</v>
      </c>
      <c r="H1723" t="s">
        <v>350</v>
      </c>
      <c r="I1723">
        <v>2013</v>
      </c>
      <c r="J1723">
        <f t="shared" si="42"/>
        <v>0.75</v>
      </c>
      <c r="K1723" t="s">
        <v>109</v>
      </c>
      <c r="L1723">
        <v>20</v>
      </c>
      <c r="N1723" t="s">
        <v>125</v>
      </c>
      <c r="O1723" t="s">
        <v>125</v>
      </c>
      <c r="P1723" t="s">
        <v>1074</v>
      </c>
      <c r="Q1723" s="1" t="s">
        <v>2276</v>
      </c>
      <c r="R1723" s="1" t="s">
        <v>751</v>
      </c>
      <c r="S1723" s="1" t="s">
        <v>2345</v>
      </c>
      <c r="T1723" t="s">
        <v>421</v>
      </c>
      <c r="U1723" t="s">
        <v>421</v>
      </c>
      <c r="X1723" t="s">
        <v>161</v>
      </c>
      <c r="Y1723" t="s">
        <v>2272</v>
      </c>
      <c r="Z1723" t="s">
        <v>2272</v>
      </c>
      <c r="AA1723" t="s">
        <v>2272</v>
      </c>
      <c r="AB1723" t="s">
        <v>2272</v>
      </c>
      <c r="AC1723" t="s">
        <v>162</v>
      </c>
      <c r="AD1723" t="s">
        <v>2272</v>
      </c>
      <c r="AH1723" s="4" t="s">
        <v>49</v>
      </c>
      <c r="AI1723" t="s">
        <v>49</v>
      </c>
      <c r="AM1723" t="s">
        <v>233</v>
      </c>
      <c r="AN1723" t="s">
        <v>165</v>
      </c>
      <c r="AP1723" t="s">
        <v>49</v>
      </c>
    </row>
    <row r="1724" spans="1:45" x14ac:dyDescent="0.2">
      <c r="A1724" t="s">
        <v>1075</v>
      </c>
      <c r="B1724" t="s">
        <v>1076</v>
      </c>
      <c r="C1724">
        <v>2018</v>
      </c>
      <c r="D1724" t="s">
        <v>44</v>
      </c>
      <c r="F1724" t="s">
        <v>1077</v>
      </c>
      <c r="G1724" t="s">
        <v>86</v>
      </c>
      <c r="H1724" t="s">
        <v>350</v>
      </c>
      <c r="I1724" t="s">
        <v>1079</v>
      </c>
      <c r="J1724">
        <v>7</v>
      </c>
      <c r="K1724" t="s">
        <v>109</v>
      </c>
      <c r="L1724">
        <v>3</v>
      </c>
      <c r="M1724">
        <f>0.5*0.5</f>
        <v>0.25</v>
      </c>
      <c r="N1724" t="s">
        <v>123</v>
      </c>
      <c r="O1724" t="s">
        <v>123</v>
      </c>
      <c r="P1724" t="s">
        <v>1078</v>
      </c>
      <c r="Q1724" s="1" t="s">
        <v>2272</v>
      </c>
      <c r="R1724" s="1" t="s">
        <v>2272</v>
      </c>
      <c r="S1724" s="1" t="s">
        <v>2272</v>
      </c>
      <c r="X1724" t="s">
        <v>189</v>
      </c>
      <c r="Y1724" t="s">
        <v>2272</v>
      </c>
      <c r="Z1724" t="s">
        <v>2272</v>
      </c>
      <c r="AA1724" t="s">
        <v>2272</v>
      </c>
      <c r="AB1724" t="s">
        <v>2272</v>
      </c>
      <c r="AC1724" t="s">
        <v>152</v>
      </c>
      <c r="AD1724" t="s">
        <v>2272</v>
      </c>
      <c r="AE1724" t="s">
        <v>851</v>
      </c>
      <c r="AM1724" t="s">
        <v>202</v>
      </c>
      <c r="AN1724" t="s">
        <v>154</v>
      </c>
      <c r="AP1724" t="s">
        <v>51</v>
      </c>
      <c r="AR1724" t="s">
        <v>144</v>
      </c>
      <c r="AS1724" t="s">
        <v>2583</v>
      </c>
    </row>
    <row r="1725" spans="1:45" x14ac:dyDescent="0.2">
      <c r="A1725" t="s">
        <v>1080</v>
      </c>
      <c r="B1725" t="s">
        <v>1081</v>
      </c>
      <c r="C1725">
        <v>2018</v>
      </c>
      <c r="D1725" t="s">
        <v>44</v>
      </c>
      <c r="F1725" t="s">
        <v>80</v>
      </c>
      <c r="G1725" t="s">
        <v>86</v>
      </c>
      <c r="H1725" t="s">
        <v>96</v>
      </c>
      <c r="I1725">
        <v>2013</v>
      </c>
      <c r="J1725">
        <v>0.08</v>
      </c>
      <c r="K1725" t="s">
        <v>101</v>
      </c>
      <c r="L1725">
        <v>150</v>
      </c>
      <c r="M1725">
        <f t="shared" ref="M1725:M1740" si="43">0.1*0.1</f>
        <v>1.0000000000000002E-2</v>
      </c>
      <c r="N1725" t="s">
        <v>127</v>
      </c>
      <c r="O1725" t="s">
        <v>1082</v>
      </c>
      <c r="P1725" t="s">
        <v>1083</v>
      </c>
      <c r="Q1725" s="1" t="s">
        <v>2281</v>
      </c>
      <c r="R1725" s="1" t="s">
        <v>2282</v>
      </c>
      <c r="S1725" s="1" t="s">
        <v>2304</v>
      </c>
      <c r="X1725" t="s">
        <v>161</v>
      </c>
      <c r="Y1725" t="s">
        <v>2272</v>
      </c>
      <c r="Z1725" t="s">
        <v>2272</v>
      </c>
      <c r="AA1725" t="s">
        <v>2272</v>
      </c>
      <c r="AB1725" t="s">
        <v>2272</v>
      </c>
      <c r="AC1725" t="s">
        <v>162</v>
      </c>
      <c r="AD1725" t="s">
        <v>2272</v>
      </c>
      <c r="AF1725" t="s">
        <v>49</v>
      </c>
      <c r="AK1725" t="s">
        <v>49</v>
      </c>
      <c r="AM1725" t="s">
        <v>1084</v>
      </c>
      <c r="AN1725" t="s">
        <v>165</v>
      </c>
    </row>
    <row r="1726" spans="1:45" x14ac:dyDescent="0.2">
      <c r="A1726" t="s">
        <v>1080</v>
      </c>
      <c r="B1726" t="s">
        <v>1081</v>
      </c>
      <c r="C1726">
        <v>2018</v>
      </c>
      <c r="D1726" t="s">
        <v>44</v>
      </c>
      <c r="F1726" t="s">
        <v>80</v>
      </c>
      <c r="G1726" t="s">
        <v>86</v>
      </c>
      <c r="H1726" t="s">
        <v>96</v>
      </c>
      <c r="I1726">
        <v>2013</v>
      </c>
      <c r="J1726">
        <v>0.08</v>
      </c>
      <c r="K1726" t="s">
        <v>101</v>
      </c>
      <c r="L1726">
        <v>150</v>
      </c>
      <c r="M1726">
        <f t="shared" si="43"/>
        <v>1.0000000000000002E-2</v>
      </c>
      <c r="N1726" t="s">
        <v>127</v>
      </c>
      <c r="O1726" t="s">
        <v>1082</v>
      </c>
      <c r="P1726" t="s">
        <v>1083</v>
      </c>
      <c r="Q1726" s="1" t="s">
        <v>2281</v>
      </c>
      <c r="R1726" s="1" t="s">
        <v>2282</v>
      </c>
      <c r="S1726" s="1" t="s">
        <v>2304</v>
      </c>
      <c r="X1726" t="s">
        <v>161</v>
      </c>
      <c r="Y1726" t="s">
        <v>2272</v>
      </c>
      <c r="Z1726" t="s">
        <v>2272</v>
      </c>
      <c r="AA1726" t="s">
        <v>2272</v>
      </c>
      <c r="AB1726" t="s">
        <v>2272</v>
      </c>
      <c r="AC1726" t="s">
        <v>162</v>
      </c>
      <c r="AD1726" t="s">
        <v>2272</v>
      </c>
      <c r="AF1726" t="s">
        <v>49</v>
      </c>
      <c r="AK1726" t="s">
        <v>49</v>
      </c>
      <c r="AM1726" t="s">
        <v>1084</v>
      </c>
      <c r="AN1726" t="s">
        <v>166</v>
      </c>
    </row>
    <row r="1727" spans="1:45" x14ac:dyDescent="0.2">
      <c r="A1727" t="s">
        <v>1080</v>
      </c>
      <c r="B1727" t="s">
        <v>1081</v>
      </c>
      <c r="C1727">
        <v>2018</v>
      </c>
      <c r="D1727" t="s">
        <v>44</v>
      </c>
      <c r="F1727" t="s">
        <v>80</v>
      </c>
      <c r="G1727" t="s">
        <v>86</v>
      </c>
      <c r="H1727" t="s">
        <v>96</v>
      </c>
      <c r="I1727">
        <v>2013</v>
      </c>
      <c r="J1727">
        <v>0.08</v>
      </c>
      <c r="K1727" t="s">
        <v>101</v>
      </c>
      <c r="L1727">
        <v>150</v>
      </c>
      <c r="M1727">
        <f t="shared" si="43"/>
        <v>1.0000000000000002E-2</v>
      </c>
      <c r="N1727" t="s">
        <v>127</v>
      </c>
      <c r="O1727" t="s">
        <v>1082</v>
      </c>
      <c r="P1727" t="s">
        <v>1083</v>
      </c>
      <c r="Q1727" s="1" t="s">
        <v>2281</v>
      </c>
      <c r="R1727" s="1" t="s">
        <v>2282</v>
      </c>
      <c r="S1727" s="1" t="s">
        <v>2304</v>
      </c>
      <c r="X1727" t="s">
        <v>161</v>
      </c>
      <c r="Y1727" t="s">
        <v>2272</v>
      </c>
      <c r="Z1727" t="s">
        <v>2272</v>
      </c>
      <c r="AA1727" t="s">
        <v>2272</v>
      </c>
      <c r="AB1727" t="s">
        <v>2272</v>
      </c>
      <c r="AC1727" t="s">
        <v>162</v>
      </c>
      <c r="AD1727" t="s">
        <v>2272</v>
      </c>
      <c r="AF1727" t="s">
        <v>49</v>
      </c>
      <c r="AK1727" t="s">
        <v>49</v>
      </c>
      <c r="AM1727" t="s">
        <v>1084</v>
      </c>
      <c r="AN1727" t="s">
        <v>154</v>
      </c>
    </row>
    <row r="1728" spans="1:45" x14ac:dyDescent="0.2">
      <c r="A1728" t="s">
        <v>1080</v>
      </c>
      <c r="B1728" t="s">
        <v>1081</v>
      </c>
      <c r="C1728">
        <v>2018</v>
      </c>
      <c r="D1728" t="s">
        <v>44</v>
      </c>
      <c r="F1728" t="s">
        <v>80</v>
      </c>
      <c r="G1728" t="s">
        <v>86</v>
      </c>
      <c r="H1728" t="s">
        <v>96</v>
      </c>
      <c r="I1728">
        <v>2013</v>
      </c>
      <c r="J1728">
        <v>0.08</v>
      </c>
      <c r="K1728" t="s">
        <v>101</v>
      </c>
      <c r="L1728">
        <v>150</v>
      </c>
      <c r="M1728">
        <f t="shared" si="43"/>
        <v>1.0000000000000002E-2</v>
      </c>
      <c r="N1728" t="s">
        <v>127</v>
      </c>
      <c r="O1728" t="s">
        <v>1082</v>
      </c>
      <c r="P1728" t="s">
        <v>1083</v>
      </c>
      <c r="Q1728" s="1" t="s">
        <v>2281</v>
      </c>
      <c r="R1728" s="1" t="s">
        <v>2282</v>
      </c>
      <c r="S1728" s="1" t="s">
        <v>2304</v>
      </c>
      <c r="X1728" t="s">
        <v>161</v>
      </c>
      <c r="Y1728" t="s">
        <v>2272</v>
      </c>
      <c r="Z1728" t="s">
        <v>2272</v>
      </c>
      <c r="AA1728" t="s">
        <v>2272</v>
      </c>
      <c r="AB1728" t="s">
        <v>2272</v>
      </c>
      <c r="AC1728" t="s">
        <v>162</v>
      </c>
      <c r="AD1728" t="s">
        <v>2272</v>
      </c>
      <c r="AF1728" t="s">
        <v>49</v>
      </c>
      <c r="AK1728" t="s">
        <v>49</v>
      </c>
      <c r="AM1728" t="s">
        <v>1084</v>
      </c>
      <c r="AN1728" t="s">
        <v>156</v>
      </c>
    </row>
    <row r="1729" spans="1:43" x14ac:dyDescent="0.2">
      <c r="A1729" t="s">
        <v>1085</v>
      </c>
      <c r="B1729" t="s">
        <v>1086</v>
      </c>
      <c r="C1729">
        <v>2018</v>
      </c>
      <c r="D1729" t="s">
        <v>44</v>
      </c>
      <c r="F1729" t="s">
        <v>955</v>
      </c>
      <c r="G1729" t="s">
        <v>85</v>
      </c>
      <c r="H1729" t="s">
        <v>96</v>
      </c>
      <c r="K1729" t="s">
        <v>101</v>
      </c>
      <c r="L1729">
        <v>50</v>
      </c>
      <c r="M1729">
        <f t="shared" si="43"/>
        <v>1.0000000000000002E-2</v>
      </c>
      <c r="N1729" t="s">
        <v>127</v>
      </c>
      <c r="O1729" t="s">
        <v>1089</v>
      </c>
      <c r="P1729" t="s">
        <v>1087</v>
      </c>
      <c r="Q1729" s="1" t="s">
        <v>2281</v>
      </c>
      <c r="R1729" s="1" t="s">
        <v>2291</v>
      </c>
      <c r="S1729" s="1" t="s">
        <v>2291</v>
      </c>
      <c r="T1729" t="s">
        <v>396</v>
      </c>
      <c r="U1729" t="s">
        <v>123</v>
      </c>
      <c r="V1729" t="s">
        <v>194</v>
      </c>
      <c r="W1729" t="s">
        <v>1087</v>
      </c>
      <c r="X1729" t="s">
        <v>161</v>
      </c>
      <c r="Y1729" t="s">
        <v>2272</v>
      </c>
      <c r="Z1729" t="s">
        <v>2272</v>
      </c>
      <c r="AA1729" t="s">
        <v>2272</v>
      </c>
      <c r="AB1729" t="s">
        <v>2272</v>
      </c>
      <c r="AC1729" t="s">
        <v>162</v>
      </c>
      <c r="AD1729" t="s">
        <v>2272</v>
      </c>
      <c r="AF1729" t="s">
        <v>49</v>
      </c>
      <c r="AJ1729" t="s">
        <v>49</v>
      </c>
      <c r="AM1729" t="s">
        <v>1090</v>
      </c>
      <c r="AN1729" t="s">
        <v>154</v>
      </c>
      <c r="AQ1729" s="5">
        <v>2</v>
      </c>
    </row>
    <row r="1730" spans="1:43" x14ac:dyDescent="0.2">
      <c r="A1730" t="s">
        <v>1085</v>
      </c>
      <c r="B1730" t="s">
        <v>1086</v>
      </c>
      <c r="C1730">
        <v>2018</v>
      </c>
      <c r="D1730" t="s">
        <v>44</v>
      </c>
      <c r="F1730" t="s">
        <v>955</v>
      </c>
      <c r="G1730" t="s">
        <v>85</v>
      </c>
      <c r="H1730" t="s">
        <v>96</v>
      </c>
      <c r="K1730" t="s">
        <v>101</v>
      </c>
      <c r="L1730">
        <v>50</v>
      </c>
      <c r="M1730">
        <f t="shared" si="43"/>
        <v>1.0000000000000002E-2</v>
      </c>
      <c r="N1730" t="s">
        <v>123</v>
      </c>
      <c r="O1730" t="s">
        <v>1088</v>
      </c>
      <c r="P1730" t="s">
        <v>200</v>
      </c>
      <c r="Q1730" s="1" t="s">
        <v>2281</v>
      </c>
      <c r="R1730" s="1" t="s">
        <v>2282</v>
      </c>
      <c r="S1730" s="1" t="s">
        <v>123</v>
      </c>
      <c r="T1730" t="s">
        <v>396</v>
      </c>
      <c r="U1730" t="s">
        <v>2291</v>
      </c>
      <c r="V1730" t="s">
        <v>194</v>
      </c>
      <c r="W1730" t="s">
        <v>1087</v>
      </c>
      <c r="X1730" t="s">
        <v>161</v>
      </c>
      <c r="Y1730" t="s">
        <v>2272</v>
      </c>
      <c r="Z1730" t="s">
        <v>2272</v>
      </c>
      <c r="AA1730" t="s">
        <v>2272</v>
      </c>
      <c r="AB1730" t="s">
        <v>2272</v>
      </c>
      <c r="AC1730" t="s">
        <v>162</v>
      </c>
      <c r="AD1730" t="s">
        <v>2272</v>
      </c>
      <c r="AF1730" t="s">
        <v>49</v>
      </c>
      <c r="AJ1730" t="s">
        <v>49</v>
      </c>
      <c r="AM1730" t="s">
        <v>1090</v>
      </c>
      <c r="AN1730" t="s">
        <v>154</v>
      </c>
      <c r="AQ1730" s="5">
        <v>1</v>
      </c>
    </row>
    <row r="1731" spans="1:43" x14ac:dyDescent="0.2">
      <c r="A1731" t="s">
        <v>1085</v>
      </c>
      <c r="B1731" t="s">
        <v>1086</v>
      </c>
      <c r="C1731">
        <v>2018</v>
      </c>
      <c r="D1731" t="s">
        <v>44</v>
      </c>
      <c r="F1731" t="s">
        <v>955</v>
      </c>
      <c r="G1731" t="s">
        <v>85</v>
      </c>
      <c r="H1731" t="s">
        <v>96</v>
      </c>
      <c r="K1731" t="s">
        <v>101</v>
      </c>
      <c r="L1731">
        <v>50</v>
      </c>
      <c r="M1731">
        <f t="shared" si="43"/>
        <v>1.0000000000000002E-2</v>
      </c>
      <c r="N1731" t="s">
        <v>127</v>
      </c>
      <c r="O1731" t="s">
        <v>1089</v>
      </c>
      <c r="P1731" t="s">
        <v>1087</v>
      </c>
      <c r="Q1731" s="1" t="s">
        <v>2281</v>
      </c>
      <c r="R1731" s="1" t="s">
        <v>2291</v>
      </c>
      <c r="S1731" s="1" t="s">
        <v>2291</v>
      </c>
      <c r="T1731" t="s">
        <v>396</v>
      </c>
      <c r="U1731" t="s">
        <v>123</v>
      </c>
      <c r="V1731" t="s">
        <v>194</v>
      </c>
      <c r="W1731" t="s">
        <v>1087</v>
      </c>
      <c r="X1731" t="s">
        <v>161</v>
      </c>
      <c r="Y1731" t="s">
        <v>2272</v>
      </c>
      <c r="Z1731" t="s">
        <v>2272</v>
      </c>
      <c r="AA1731" t="s">
        <v>2272</v>
      </c>
      <c r="AB1731" t="s">
        <v>2272</v>
      </c>
      <c r="AC1731" t="s">
        <v>162</v>
      </c>
      <c r="AD1731" t="s">
        <v>2272</v>
      </c>
      <c r="AF1731" t="s">
        <v>49</v>
      </c>
      <c r="AJ1731" t="s">
        <v>49</v>
      </c>
      <c r="AM1731" t="s">
        <v>1090</v>
      </c>
      <c r="AN1731" t="s">
        <v>166</v>
      </c>
      <c r="AQ1731" s="5">
        <v>0</v>
      </c>
    </row>
    <row r="1732" spans="1:43" x14ac:dyDescent="0.2">
      <c r="A1732" t="s">
        <v>1085</v>
      </c>
      <c r="B1732" t="s">
        <v>1086</v>
      </c>
      <c r="C1732">
        <v>2018</v>
      </c>
      <c r="D1732" t="s">
        <v>44</v>
      </c>
      <c r="F1732" t="s">
        <v>955</v>
      </c>
      <c r="G1732" t="s">
        <v>85</v>
      </c>
      <c r="H1732" t="s">
        <v>96</v>
      </c>
      <c r="K1732" t="s">
        <v>101</v>
      </c>
      <c r="L1732">
        <v>50</v>
      </c>
      <c r="M1732">
        <f t="shared" si="43"/>
        <v>1.0000000000000002E-2</v>
      </c>
      <c r="N1732" t="s">
        <v>123</v>
      </c>
      <c r="O1732" t="s">
        <v>1088</v>
      </c>
      <c r="P1732" t="s">
        <v>200</v>
      </c>
      <c r="Q1732" s="1" t="s">
        <v>2281</v>
      </c>
      <c r="R1732" s="1" t="s">
        <v>2282</v>
      </c>
      <c r="S1732" s="1" t="s">
        <v>123</v>
      </c>
      <c r="T1732" t="s">
        <v>396</v>
      </c>
      <c r="U1732" t="s">
        <v>2291</v>
      </c>
      <c r="V1732" t="s">
        <v>194</v>
      </c>
      <c r="W1732" t="s">
        <v>1087</v>
      </c>
      <c r="X1732" t="s">
        <v>161</v>
      </c>
      <c r="Y1732" t="s">
        <v>2272</v>
      </c>
      <c r="Z1732" t="s">
        <v>2272</v>
      </c>
      <c r="AA1732" t="s">
        <v>2272</v>
      </c>
      <c r="AB1732" t="s">
        <v>2272</v>
      </c>
      <c r="AC1732" t="s">
        <v>162</v>
      </c>
      <c r="AD1732" t="s">
        <v>2272</v>
      </c>
      <c r="AF1732" t="s">
        <v>49</v>
      </c>
      <c r="AJ1732" t="s">
        <v>49</v>
      </c>
      <c r="AM1732" t="s">
        <v>1090</v>
      </c>
      <c r="AN1732" t="s">
        <v>166</v>
      </c>
      <c r="AQ1732" s="5">
        <v>0</v>
      </c>
    </row>
    <row r="1733" spans="1:43" x14ac:dyDescent="0.2">
      <c r="A1733" t="s">
        <v>1085</v>
      </c>
      <c r="B1733" t="s">
        <v>1086</v>
      </c>
      <c r="C1733">
        <v>2018</v>
      </c>
      <c r="D1733" t="s">
        <v>44</v>
      </c>
      <c r="F1733" t="s">
        <v>955</v>
      </c>
      <c r="G1733" t="s">
        <v>85</v>
      </c>
      <c r="H1733" t="s">
        <v>96</v>
      </c>
      <c r="K1733" t="s">
        <v>101</v>
      </c>
      <c r="L1733">
        <v>50</v>
      </c>
      <c r="M1733">
        <f t="shared" si="43"/>
        <v>1.0000000000000002E-2</v>
      </c>
      <c r="N1733" t="s">
        <v>127</v>
      </c>
      <c r="O1733" t="s">
        <v>1089</v>
      </c>
      <c r="P1733" t="s">
        <v>1087</v>
      </c>
      <c r="Q1733" s="1" t="s">
        <v>2281</v>
      </c>
      <c r="R1733" s="1" t="s">
        <v>2291</v>
      </c>
      <c r="S1733" s="1" t="s">
        <v>2291</v>
      </c>
      <c r="T1733" t="s">
        <v>396</v>
      </c>
      <c r="U1733" t="s">
        <v>123</v>
      </c>
      <c r="V1733" t="s">
        <v>194</v>
      </c>
      <c r="W1733" t="s">
        <v>1087</v>
      </c>
      <c r="X1733" t="s">
        <v>161</v>
      </c>
      <c r="Y1733" t="s">
        <v>2272</v>
      </c>
      <c r="Z1733" t="s">
        <v>2272</v>
      </c>
      <c r="AA1733" t="s">
        <v>2272</v>
      </c>
      <c r="AB1733" t="s">
        <v>2272</v>
      </c>
      <c r="AC1733" t="s">
        <v>162</v>
      </c>
      <c r="AD1733" t="s">
        <v>2272</v>
      </c>
      <c r="AF1733" t="s">
        <v>49</v>
      </c>
      <c r="AK1733" t="s">
        <v>49</v>
      </c>
      <c r="AM1733" t="s">
        <v>2332</v>
      </c>
      <c r="AN1733" t="s">
        <v>166</v>
      </c>
      <c r="AQ1733" s="5">
        <v>2</v>
      </c>
    </row>
    <row r="1734" spans="1:43" x14ac:dyDescent="0.2">
      <c r="A1734" t="s">
        <v>1085</v>
      </c>
      <c r="B1734" t="s">
        <v>1086</v>
      </c>
      <c r="C1734">
        <v>2018</v>
      </c>
      <c r="D1734" t="s">
        <v>44</v>
      </c>
      <c r="F1734" t="s">
        <v>955</v>
      </c>
      <c r="G1734" t="s">
        <v>85</v>
      </c>
      <c r="H1734" t="s">
        <v>96</v>
      </c>
      <c r="K1734" t="s">
        <v>101</v>
      </c>
      <c r="L1734">
        <v>50</v>
      </c>
      <c r="M1734">
        <f t="shared" si="43"/>
        <v>1.0000000000000002E-2</v>
      </c>
      <c r="N1734" t="s">
        <v>123</v>
      </c>
      <c r="O1734" t="s">
        <v>1088</v>
      </c>
      <c r="P1734" t="s">
        <v>200</v>
      </c>
      <c r="Q1734" s="1" t="s">
        <v>2281</v>
      </c>
      <c r="R1734" s="1" t="s">
        <v>2282</v>
      </c>
      <c r="S1734" s="1" t="s">
        <v>123</v>
      </c>
      <c r="T1734" t="s">
        <v>396</v>
      </c>
      <c r="U1734" t="s">
        <v>2291</v>
      </c>
      <c r="V1734" t="s">
        <v>194</v>
      </c>
      <c r="W1734" t="s">
        <v>1087</v>
      </c>
      <c r="X1734" t="s">
        <v>161</v>
      </c>
      <c r="Y1734" t="s">
        <v>2272</v>
      </c>
      <c r="Z1734" t="s">
        <v>2272</v>
      </c>
      <c r="AA1734" t="s">
        <v>2272</v>
      </c>
      <c r="AB1734" t="s">
        <v>2272</v>
      </c>
      <c r="AC1734" t="s">
        <v>162</v>
      </c>
      <c r="AD1734" t="s">
        <v>2272</v>
      </c>
      <c r="AF1734" t="s">
        <v>49</v>
      </c>
      <c r="AK1734" t="s">
        <v>49</v>
      </c>
      <c r="AM1734" t="s">
        <v>2332</v>
      </c>
      <c r="AN1734" t="s">
        <v>166</v>
      </c>
      <c r="AQ1734" s="5">
        <v>1</v>
      </c>
    </row>
    <row r="1735" spans="1:43" x14ac:dyDescent="0.2">
      <c r="A1735" t="s">
        <v>1085</v>
      </c>
      <c r="B1735" t="s">
        <v>1086</v>
      </c>
      <c r="C1735">
        <v>2018</v>
      </c>
      <c r="D1735" t="s">
        <v>44</v>
      </c>
      <c r="F1735" t="s">
        <v>955</v>
      </c>
      <c r="G1735" t="s">
        <v>85</v>
      </c>
      <c r="H1735" t="s">
        <v>96</v>
      </c>
      <c r="K1735" t="s">
        <v>101</v>
      </c>
      <c r="L1735">
        <v>50</v>
      </c>
      <c r="M1735">
        <f t="shared" si="43"/>
        <v>1.0000000000000002E-2</v>
      </c>
      <c r="N1735" t="s">
        <v>127</v>
      </c>
      <c r="O1735" t="s">
        <v>1089</v>
      </c>
      <c r="P1735" t="s">
        <v>1087</v>
      </c>
      <c r="Q1735" s="1" t="s">
        <v>2281</v>
      </c>
      <c r="R1735" s="1" t="s">
        <v>2291</v>
      </c>
      <c r="S1735" s="1" t="s">
        <v>2291</v>
      </c>
      <c r="T1735" t="s">
        <v>396</v>
      </c>
      <c r="U1735" t="s">
        <v>123</v>
      </c>
      <c r="V1735" t="s">
        <v>194</v>
      </c>
      <c r="W1735" t="s">
        <v>1087</v>
      </c>
      <c r="X1735" t="s">
        <v>161</v>
      </c>
      <c r="Y1735" t="s">
        <v>2272</v>
      </c>
      <c r="Z1735" t="s">
        <v>2272</v>
      </c>
      <c r="AA1735" t="s">
        <v>2272</v>
      </c>
      <c r="AB1735" t="s">
        <v>2272</v>
      </c>
      <c r="AC1735" t="s">
        <v>162</v>
      </c>
      <c r="AD1735" t="s">
        <v>2272</v>
      </c>
      <c r="AF1735" t="s">
        <v>49</v>
      </c>
      <c r="AK1735" t="s">
        <v>49</v>
      </c>
      <c r="AM1735" t="s">
        <v>306</v>
      </c>
      <c r="AN1735" t="s">
        <v>166</v>
      </c>
      <c r="AQ1735" s="5">
        <v>1</v>
      </c>
    </row>
    <row r="1736" spans="1:43" x14ac:dyDescent="0.2">
      <c r="A1736" t="s">
        <v>1085</v>
      </c>
      <c r="B1736" t="s">
        <v>1086</v>
      </c>
      <c r="C1736">
        <v>2018</v>
      </c>
      <c r="D1736" t="s">
        <v>44</v>
      </c>
      <c r="F1736" t="s">
        <v>955</v>
      </c>
      <c r="G1736" t="s">
        <v>85</v>
      </c>
      <c r="H1736" t="s">
        <v>96</v>
      </c>
      <c r="K1736" t="s">
        <v>101</v>
      </c>
      <c r="L1736">
        <v>50</v>
      </c>
      <c r="M1736">
        <f t="shared" si="43"/>
        <v>1.0000000000000002E-2</v>
      </c>
      <c r="N1736" t="s">
        <v>123</v>
      </c>
      <c r="O1736" t="s">
        <v>1088</v>
      </c>
      <c r="P1736" t="s">
        <v>200</v>
      </c>
      <c r="Q1736" s="1" t="s">
        <v>2281</v>
      </c>
      <c r="R1736" s="1" t="s">
        <v>2282</v>
      </c>
      <c r="S1736" s="1" t="s">
        <v>123</v>
      </c>
      <c r="T1736" t="s">
        <v>396</v>
      </c>
      <c r="U1736" t="s">
        <v>2291</v>
      </c>
      <c r="V1736" t="s">
        <v>194</v>
      </c>
      <c r="W1736" t="s">
        <v>1087</v>
      </c>
      <c r="X1736" t="s">
        <v>161</v>
      </c>
      <c r="Y1736" t="s">
        <v>2272</v>
      </c>
      <c r="Z1736" t="s">
        <v>2272</v>
      </c>
      <c r="AA1736" t="s">
        <v>2272</v>
      </c>
      <c r="AB1736" t="s">
        <v>2272</v>
      </c>
      <c r="AC1736" t="s">
        <v>162</v>
      </c>
      <c r="AD1736" t="s">
        <v>2272</v>
      </c>
      <c r="AF1736" t="s">
        <v>49</v>
      </c>
      <c r="AK1736" t="s">
        <v>49</v>
      </c>
      <c r="AM1736" t="s">
        <v>306</v>
      </c>
      <c r="AN1736" t="s">
        <v>166</v>
      </c>
      <c r="AQ1736" s="5">
        <v>2</v>
      </c>
    </row>
    <row r="1737" spans="1:43" x14ac:dyDescent="0.2">
      <c r="A1737" t="s">
        <v>1085</v>
      </c>
      <c r="B1737" t="s">
        <v>1086</v>
      </c>
      <c r="C1737">
        <v>2018</v>
      </c>
      <c r="D1737" t="s">
        <v>44</v>
      </c>
      <c r="F1737" t="s">
        <v>955</v>
      </c>
      <c r="G1737" t="s">
        <v>85</v>
      </c>
      <c r="H1737" t="s">
        <v>96</v>
      </c>
      <c r="K1737" t="s">
        <v>101</v>
      </c>
      <c r="L1737">
        <v>50</v>
      </c>
      <c r="M1737">
        <f t="shared" si="43"/>
        <v>1.0000000000000002E-2</v>
      </c>
      <c r="N1737" t="s">
        <v>127</v>
      </c>
      <c r="O1737" t="s">
        <v>1089</v>
      </c>
      <c r="P1737" t="s">
        <v>1087</v>
      </c>
      <c r="Q1737" s="1" t="s">
        <v>2281</v>
      </c>
      <c r="R1737" s="1" t="s">
        <v>2291</v>
      </c>
      <c r="S1737" s="1" t="s">
        <v>2291</v>
      </c>
      <c r="T1737" t="s">
        <v>396</v>
      </c>
      <c r="U1737" t="s">
        <v>123</v>
      </c>
      <c r="V1737" t="s">
        <v>194</v>
      </c>
      <c r="W1737" t="s">
        <v>1087</v>
      </c>
      <c r="X1737" t="s">
        <v>161</v>
      </c>
      <c r="Y1737" t="s">
        <v>2272</v>
      </c>
      <c r="Z1737" t="s">
        <v>2272</v>
      </c>
      <c r="AA1737" t="s">
        <v>2272</v>
      </c>
      <c r="AB1737" t="s">
        <v>2272</v>
      </c>
      <c r="AC1737" t="s">
        <v>162</v>
      </c>
      <c r="AD1737" t="s">
        <v>2272</v>
      </c>
      <c r="AF1737" t="s">
        <v>49</v>
      </c>
      <c r="AK1737" t="s">
        <v>49</v>
      </c>
      <c r="AM1737" t="s">
        <v>306</v>
      </c>
      <c r="AN1737" t="s">
        <v>166</v>
      </c>
      <c r="AQ1737" s="5">
        <v>1</v>
      </c>
    </row>
    <row r="1738" spans="1:43" x14ac:dyDescent="0.2">
      <c r="A1738" t="s">
        <v>1085</v>
      </c>
      <c r="B1738" t="s">
        <v>1086</v>
      </c>
      <c r="C1738">
        <v>2018</v>
      </c>
      <c r="D1738" t="s">
        <v>44</v>
      </c>
      <c r="F1738" t="s">
        <v>955</v>
      </c>
      <c r="G1738" t="s">
        <v>85</v>
      </c>
      <c r="H1738" t="s">
        <v>96</v>
      </c>
      <c r="K1738" t="s">
        <v>101</v>
      </c>
      <c r="L1738">
        <v>50</v>
      </c>
      <c r="M1738">
        <f t="shared" si="43"/>
        <v>1.0000000000000002E-2</v>
      </c>
      <c r="N1738" t="s">
        <v>123</v>
      </c>
      <c r="O1738" t="s">
        <v>1088</v>
      </c>
      <c r="P1738" t="s">
        <v>200</v>
      </c>
      <c r="Q1738" s="1" t="s">
        <v>2281</v>
      </c>
      <c r="R1738" s="1" t="s">
        <v>2282</v>
      </c>
      <c r="S1738" s="1" t="s">
        <v>123</v>
      </c>
      <c r="T1738" t="s">
        <v>396</v>
      </c>
      <c r="U1738" t="s">
        <v>2291</v>
      </c>
      <c r="V1738" t="s">
        <v>194</v>
      </c>
      <c r="W1738" t="s">
        <v>1087</v>
      </c>
      <c r="X1738" t="s">
        <v>161</v>
      </c>
      <c r="Y1738" t="s">
        <v>2272</v>
      </c>
      <c r="Z1738" t="s">
        <v>2272</v>
      </c>
      <c r="AA1738" t="s">
        <v>2272</v>
      </c>
      <c r="AB1738" t="s">
        <v>2272</v>
      </c>
      <c r="AC1738" t="s">
        <v>162</v>
      </c>
      <c r="AD1738" t="s">
        <v>2272</v>
      </c>
      <c r="AF1738" t="s">
        <v>49</v>
      </c>
      <c r="AK1738" t="s">
        <v>49</v>
      </c>
      <c r="AM1738" t="s">
        <v>306</v>
      </c>
      <c r="AN1738" t="s">
        <v>166</v>
      </c>
      <c r="AQ1738" s="5">
        <v>2</v>
      </c>
    </row>
    <row r="1739" spans="1:43" x14ac:dyDescent="0.2">
      <c r="A1739" t="s">
        <v>1085</v>
      </c>
      <c r="B1739" t="s">
        <v>1086</v>
      </c>
      <c r="C1739">
        <v>2018</v>
      </c>
      <c r="D1739" t="s">
        <v>44</v>
      </c>
      <c r="F1739" t="s">
        <v>955</v>
      </c>
      <c r="G1739" t="s">
        <v>85</v>
      </c>
      <c r="H1739" t="s">
        <v>96</v>
      </c>
      <c r="K1739" t="s">
        <v>101</v>
      </c>
      <c r="L1739">
        <v>50</v>
      </c>
      <c r="M1739">
        <f t="shared" si="43"/>
        <v>1.0000000000000002E-2</v>
      </c>
      <c r="N1739" t="s">
        <v>127</v>
      </c>
      <c r="O1739" t="s">
        <v>1089</v>
      </c>
      <c r="P1739" t="s">
        <v>1087</v>
      </c>
      <c r="Q1739" s="1" t="s">
        <v>2281</v>
      </c>
      <c r="R1739" s="1" t="s">
        <v>2291</v>
      </c>
      <c r="S1739" s="1" t="s">
        <v>2291</v>
      </c>
      <c r="T1739" t="s">
        <v>396</v>
      </c>
      <c r="U1739" t="s">
        <v>123</v>
      </c>
      <c r="V1739" t="s">
        <v>194</v>
      </c>
      <c r="W1739" t="s">
        <v>1087</v>
      </c>
      <c r="X1739" t="s">
        <v>161</v>
      </c>
      <c r="Y1739" t="s">
        <v>2272</v>
      </c>
      <c r="Z1739" t="s">
        <v>2272</v>
      </c>
      <c r="AA1739" t="s">
        <v>2272</v>
      </c>
      <c r="AB1739" t="s">
        <v>2272</v>
      </c>
      <c r="AC1739" t="s">
        <v>162</v>
      </c>
      <c r="AD1739" t="s">
        <v>2272</v>
      </c>
      <c r="AF1739" t="s">
        <v>49</v>
      </c>
      <c r="AJ1739" t="s">
        <v>49</v>
      </c>
      <c r="AM1739" t="s">
        <v>1091</v>
      </c>
      <c r="AN1739" t="s">
        <v>165</v>
      </c>
      <c r="AP1739" t="s">
        <v>49</v>
      </c>
    </row>
    <row r="1740" spans="1:43" x14ac:dyDescent="0.2">
      <c r="A1740" t="s">
        <v>1085</v>
      </c>
      <c r="B1740" t="s">
        <v>1086</v>
      </c>
      <c r="C1740">
        <v>2018</v>
      </c>
      <c r="D1740" t="s">
        <v>44</v>
      </c>
      <c r="F1740" t="s">
        <v>955</v>
      </c>
      <c r="G1740" t="s">
        <v>85</v>
      </c>
      <c r="H1740" t="s">
        <v>96</v>
      </c>
      <c r="K1740" t="s">
        <v>101</v>
      </c>
      <c r="L1740">
        <v>50</v>
      </c>
      <c r="M1740">
        <f t="shared" si="43"/>
        <v>1.0000000000000002E-2</v>
      </c>
      <c r="N1740" t="s">
        <v>123</v>
      </c>
      <c r="O1740" t="s">
        <v>1088</v>
      </c>
      <c r="P1740" t="s">
        <v>200</v>
      </c>
      <c r="Q1740" s="1" t="s">
        <v>2281</v>
      </c>
      <c r="R1740" s="1" t="s">
        <v>2282</v>
      </c>
      <c r="S1740" s="1" t="s">
        <v>123</v>
      </c>
      <c r="T1740" t="s">
        <v>396</v>
      </c>
      <c r="U1740" t="s">
        <v>2291</v>
      </c>
      <c r="V1740" t="s">
        <v>194</v>
      </c>
      <c r="W1740" t="s">
        <v>1087</v>
      </c>
      <c r="X1740" t="s">
        <v>161</v>
      </c>
      <c r="Y1740" t="s">
        <v>2272</v>
      </c>
      <c r="Z1740" t="s">
        <v>2272</v>
      </c>
      <c r="AA1740" t="s">
        <v>2272</v>
      </c>
      <c r="AB1740" t="s">
        <v>2272</v>
      </c>
      <c r="AC1740" t="s">
        <v>162</v>
      </c>
      <c r="AD1740" t="s">
        <v>2272</v>
      </c>
      <c r="AF1740" t="s">
        <v>49</v>
      </c>
      <c r="AJ1740" t="s">
        <v>49</v>
      </c>
      <c r="AM1740" t="s">
        <v>1091</v>
      </c>
      <c r="AN1740" t="s">
        <v>165</v>
      </c>
      <c r="AP1740" t="s">
        <v>49</v>
      </c>
    </row>
    <row r="1741" spans="1:43" x14ac:dyDescent="0.2">
      <c r="A1741" t="s">
        <v>1092</v>
      </c>
      <c r="B1741" t="s">
        <v>876</v>
      </c>
      <c r="C1741">
        <v>2018</v>
      </c>
      <c r="D1741" t="s">
        <v>44</v>
      </c>
      <c r="F1741" t="s">
        <v>81</v>
      </c>
      <c r="G1741" t="s">
        <v>86</v>
      </c>
      <c r="H1741" t="s">
        <v>96</v>
      </c>
      <c r="I1741" t="s">
        <v>1093</v>
      </c>
      <c r="J1741">
        <v>1</v>
      </c>
      <c r="K1741" t="s">
        <v>42</v>
      </c>
      <c r="L1741">
        <v>0.05</v>
      </c>
      <c r="M1741">
        <v>0.25</v>
      </c>
      <c r="N1741" t="s">
        <v>123</v>
      </c>
      <c r="O1741" t="s">
        <v>123</v>
      </c>
      <c r="P1741" t="s">
        <v>518</v>
      </c>
      <c r="Q1741" s="1" t="s">
        <v>2281</v>
      </c>
      <c r="R1741" s="1" t="s">
        <v>2282</v>
      </c>
      <c r="S1741" s="1" t="s">
        <v>123</v>
      </c>
      <c r="X1741" t="s">
        <v>211</v>
      </c>
      <c r="Y1741" t="s">
        <v>2279</v>
      </c>
      <c r="Z1741" t="s">
        <v>2280</v>
      </c>
      <c r="AA1741" t="s">
        <v>2358</v>
      </c>
      <c r="AB1741" t="s">
        <v>2290</v>
      </c>
      <c r="AC1741" t="s">
        <v>152</v>
      </c>
      <c r="AD1741" t="s">
        <v>2278</v>
      </c>
    </row>
    <row r="1742" spans="1:43" x14ac:dyDescent="0.2">
      <c r="A1742" t="s">
        <v>1092</v>
      </c>
      <c r="B1742" t="s">
        <v>876</v>
      </c>
      <c r="C1742">
        <v>2018</v>
      </c>
      <c r="D1742" t="s">
        <v>44</v>
      </c>
      <c r="F1742" t="s">
        <v>81</v>
      </c>
      <c r="G1742" t="s">
        <v>86</v>
      </c>
      <c r="H1742" t="s">
        <v>96</v>
      </c>
      <c r="I1742" t="s">
        <v>1093</v>
      </c>
      <c r="J1742">
        <v>1</v>
      </c>
      <c r="K1742" t="s">
        <v>42</v>
      </c>
      <c r="L1742">
        <v>0.05</v>
      </c>
      <c r="M1742">
        <v>0.25</v>
      </c>
      <c r="N1742" t="s">
        <v>123</v>
      </c>
      <c r="O1742" t="s">
        <v>123</v>
      </c>
      <c r="P1742" t="s">
        <v>518</v>
      </c>
      <c r="Q1742" s="1" t="s">
        <v>2281</v>
      </c>
      <c r="R1742" s="1" t="s">
        <v>2282</v>
      </c>
      <c r="S1742" s="1" t="s">
        <v>123</v>
      </c>
      <c r="T1742" t="s">
        <v>421</v>
      </c>
      <c r="U1742" t="s">
        <v>421</v>
      </c>
      <c r="X1742" t="s">
        <v>161</v>
      </c>
      <c r="Y1742" t="s">
        <v>2272</v>
      </c>
      <c r="Z1742" t="s">
        <v>2272</v>
      </c>
      <c r="AA1742" t="s">
        <v>2272</v>
      </c>
      <c r="AB1742" t="s">
        <v>2272</v>
      </c>
      <c r="AC1742" t="s">
        <v>162</v>
      </c>
      <c r="AD1742" t="s">
        <v>2272</v>
      </c>
      <c r="AG1742" t="s">
        <v>49</v>
      </c>
      <c r="AI1742" t="s">
        <v>49</v>
      </c>
      <c r="AM1742" t="s">
        <v>202</v>
      </c>
      <c r="AN1742" t="s">
        <v>166</v>
      </c>
      <c r="AQ1742" s="5">
        <v>0</v>
      </c>
    </row>
    <row r="1743" spans="1:43" x14ac:dyDescent="0.2">
      <c r="A1743" t="s">
        <v>1092</v>
      </c>
      <c r="B1743" t="s">
        <v>876</v>
      </c>
      <c r="C1743">
        <v>2018</v>
      </c>
      <c r="D1743" t="s">
        <v>44</v>
      </c>
      <c r="F1743" t="s">
        <v>81</v>
      </c>
      <c r="G1743" t="s">
        <v>86</v>
      </c>
      <c r="H1743" t="s">
        <v>96</v>
      </c>
      <c r="I1743" t="s">
        <v>1093</v>
      </c>
      <c r="J1743">
        <v>1</v>
      </c>
      <c r="K1743" t="s">
        <v>42</v>
      </c>
      <c r="L1743">
        <v>0.05</v>
      </c>
      <c r="M1743">
        <v>0.25</v>
      </c>
      <c r="N1743" t="s">
        <v>123</v>
      </c>
      <c r="O1743" t="s">
        <v>123</v>
      </c>
      <c r="P1743" t="s">
        <v>518</v>
      </c>
      <c r="Q1743" s="1" t="s">
        <v>2281</v>
      </c>
      <c r="R1743" s="1" t="s">
        <v>2282</v>
      </c>
      <c r="S1743" s="1" t="s">
        <v>123</v>
      </c>
      <c r="T1743" t="s">
        <v>421</v>
      </c>
      <c r="U1743" t="s">
        <v>421</v>
      </c>
      <c r="X1743" t="s">
        <v>161</v>
      </c>
      <c r="Y1743" t="s">
        <v>2272</v>
      </c>
      <c r="Z1743" t="s">
        <v>2272</v>
      </c>
      <c r="AA1743" t="s">
        <v>2272</v>
      </c>
      <c r="AB1743" t="s">
        <v>2272</v>
      </c>
      <c r="AC1743" t="s">
        <v>162</v>
      </c>
      <c r="AD1743" t="s">
        <v>2272</v>
      </c>
      <c r="AG1743" t="s">
        <v>49</v>
      </c>
      <c r="AI1743" t="s">
        <v>49</v>
      </c>
      <c r="AM1743" t="s">
        <v>202</v>
      </c>
      <c r="AN1743" t="s">
        <v>154</v>
      </c>
      <c r="AQ1743" s="5">
        <v>0</v>
      </c>
    </row>
    <row r="1744" spans="1:43" x14ac:dyDescent="0.2">
      <c r="A1744" t="s">
        <v>1092</v>
      </c>
      <c r="B1744" t="s">
        <v>876</v>
      </c>
      <c r="C1744">
        <v>2018</v>
      </c>
      <c r="D1744" t="s">
        <v>44</v>
      </c>
      <c r="F1744" t="s">
        <v>81</v>
      </c>
      <c r="G1744" t="s">
        <v>86</v>
      </c>
      <c r="H1744" t="s">
        <v>96</v>
      </c>
      <c r="I1744" t="s">
        <v>1093</v>
      </c>
      <c r="J1744">
        <v>1</v>
      </c>
      <c r="K1744" t="s">
        <v>42</v>
      </c>
      <c r="L1744">
        <v>0.05</v>
      </c>
      <c r="M1744">
        <v>0.25</v>
      </c>
      <c r="N1744" t="s">
        <v>123</v>
      </c>
      <c r="O1744" t="s">
        <v>123</v>
      </c>
      <c r="P1744" t="s">
        <v>518</v>
      </c>
      <c r="Q1744" s="1" t="s">
        <v>2281</v>
      </c>
      <c r="R1744" s="1" t="s">
        <v>2282</v>
      </c>
      <c r="S1744" s="1" t="s">
        <v>123</v>
      </c>
      <c r="T1744" t="s">
        <v>421</v>
      </c>
      <c r="U1744" t="s">
        <v>421</v>
      </c>
      <c r="X1744" t="s">
        <v>161</v>
      </c>
      <c r="Y1744" t="s">
        <v>2272</v>
      </c>
      <c r="Z1744" t="s">
        <v>2272</v>
      </c>
      <c r="AA1744" t="s">
        <v>2272</v>
      </c>
      <c r="AB1744" t="s">
        <v>2272</v>
      </c>
      <c r="AC1744" t="s">
        <v>162</v>
      </c>
      <c r="AD1744" t="s">
        <v>2272</v>
      </c>
      <c r="AG1744" t="s">
        <v>49</v>
      </c>
      <c r="AL1744" t="s">
        <v>49</v>
      </c>
      <c r="AM1744" t="s">
        <v>1094</v>
      </c>
      <c r="AN1744" t="s">
        <v>166</v>
      </c>
      <c r="AQ1744" s="5">
        <v>1</v>
      </c>
    </row>
    <row r="1745" spans="1:43" x14ac:dyDescent="0.2">
      <c r="A1745" t="s">
        <v>1092</v>
      </c>
      <c r="B1745" t="s">
        <v>876</v>
      </c>
      <c r="C1745">
        <v>2018</v>
      </c>
      <c r="D1745" t="s">
        <v>44</v>
      </c>
      <c r="F1745" t="s">
        <v>81</v>
      </c>
      <c r="G1745" t="s">
        <v>86</v>
      </c>
      <c r="H1745" t="s">
        <v>96</v>
      </c>
      <c r="I1745" t="s">
        <v>1093</v>
      </c>
      <c r="J1745">
        <v>1</v>
      </c>
      <c r="K1745" t="s">
        <v>42</v>
      </c>
      <c r="L1745">
        <v>0.05</v>
      </c>
      <c r="M1745">
        <v>0.25</v>
      </c>
      <c r="N1745" t="s">
        <v>123</v>
      </c>
      <c r="O1745" t="s">
        <v>123</v>
      </c>
      <c r="P1745" t="s">
        <v>518</v>
      </c>
      <c r="Q1745" s="1" t="s">
        <v>2281</v>
      </c>
      <c r="R1745" s="1" t="s">
        <v>2282</v>
      </c>
      <c r="S1745" s="1" t="s">
        <v>123</v>
      </c>
      <c r="T1745" t="s">
        <v>421</v>
      </c>
      <c r="U1745" t="s">
        <v>421</v>
      </c>
      <c r="X1745" t="s">
        <v>161</v>
      </c>
      <c r="Y1745" t="s">
        <v>2272</v>
      </c>
      <c r="Z1745" t="s">
        <v>2272</v>
      </c>
      <c r="AA1745" t="s">
        <v>2272</v>
      </c>
      <c r="AB1745" t="s">
        <v>2272</v>
      </c>
      <c r="AC1745" t="s">
        <v>162</v>
      </c>
      <c r="AD1745" t="s">
        <v>2272</v>
      </c>
      <c r="AG1745" t="s">
        <v>49</v>
      </c>
      <c r="AK1745" t="s">
        <v>49</v>
      </c>
      <c r="AM1745" t="s">
        <v>1095</v>
      </c>
      <c r="AN1745" t="s">
        <v>166</v>
      </c>
      <c r="AQ1745" s="5">
        <v>0</v>
      </c>
    </row>
    <row r="1746" spans="1:43" x14ac:dyDescent="0.2">
      <c r="A1746" t="s">
        <v>1092</v>
      </c>
      <c r="B1746" t="s">
        <v>876</v>
      </c>
      <c r="C1746">
        <v>2018</v>
      </c>
      <c r="D1746" t="s">
        <v>44</v>
      </c>
      <c r="F1746" t="s">
        <v>81</v>
      </c>
      <c r="G1746" t="s">
        <v>86</v>
      </c>
      <c r="H1746" t="s">
        <v>96</v>
      </c>
      <c r="I1746" t="s">
        <v>1093</v>
      </c>
      <c r="J1746">
        <v>1</v>
      </c>
      <c r="K1746" t="s">
        <v>42</v>
      </c>
      <c r="L1746">
        <v>0.05</v>
      </c>
      <c r="M1746">
        <v>0.25</v>
      </c>
      <c r="N1746" t="s">
        <v>123</v>
      </c>
      <c r="O1746" t="s">
        <v>123</v>
      </c>
      <c r="P1746" t="s">
        <v>518</v>
      </c>
      <c r="Q1746" s="1" t="s">
        <v>2281</v>
      </c>
      <c r="R1746" s="1" t="s">
        <v>2282</v>
      </c>
      <c r="S1746" s="1" t="s">
        <v>123</v>
      </c>
      <c r="T1746" t="s">
        <v>421</v>
      </c>
      <c r="U1746" t="s">
        <v>421</v>
      </c>
      <c r="X1746" t="s">
        <v>161</v>
      </c>
      <c r="Y1746" t="s">
        <v>2272</v>
      </c>
      <c r="Z1746" t="s">
        <v>2272</v>
      </c>
      <c r="AA1746" t="s">
        <v>2272</v>
      </c>
      <c r="AB1746" t="s">
        <v>2272</v>
      </c>
      <c r="AC1746" t="s">
        <v>162</v>
      </c>
      <c r="AD1746" t="s">
        <v>2272</v>
      </c>
      <c r="AG1746" t="s">
        <v>49</v>
      </c>
      <c r="AK1746" t="s">
        <v>49</v>
      </c>
      <c r="AM1746" t="s">
        <v>1096</v>
      </c>
      <c r="AN1746" t="s">
        <v>166</v>
      </c>
      <c r="AQ1746" s="5">
        <v>0</v>
      </c>
    </row>
    <row r="1747" spans="1:43" x14ac:dyDescent="0.2">
      <c r="A1747" t="s">
        <v>1092</v>
      </c>
      <c r="B1747" t="s">
        <v>876</v>
      </c>
      <c r="C1747">
        <v>2018</v>
      </c>
      <c r="D1747" t="s">
        <v>44</v>
      </c>
      <c r="F1747" t="s">
        <v>81</v>
      </c>
      <c r="G1747" t="s">
        <v>86</v>
      </c>
      <c r="H1747" t="s">
        <v>96</v>
      </c>
      <c r="I1747" t="s">
        <v>1093</v>
      </c>
      <c r="J1747">
        <v>1</v>
      </c>
      <c r="K1747" t="s">
        <v>42</v>
      </c>
      <c r="L1747">
        <v>0.05</v>
      </c>
      <c r="M1747">
        <v>0.25</v>
      </c>
      <c r="N1747" t="s">
        <v>123</v>
      </c>
      <c r="O1747" t="s">
        <v>123</v>
      </c>
      <c r="P1747" t="s">
        <v>518</v>
      </c>
      <c r="Q1747" s="1" t="s">
        <v>2281</v>
      </c>
      <c r="R1747" s="1" t="s">
        <v>2282</v>
      </c>
      <c r="S1747" s="1" t="s">
        <v>123</v>
      </c>
      <c r="T1747" t="s">
        <v>421</v>
      </c>
      <c r="U1747" t="s">
        <v>421</v>
      </c>
      <c r="X1747" t="s">
        <v>161</v>
      </c>
      <c r="Y1747" t="s">
        <v>2272</v>
      </c>
      <c r="Z1747" t="s">
        <v>2272</v>
      </c>
      <c r="AA1747" t="s">
        <v>2272</v>
      </c>
      <c r="AB1747" t="s">
        <v>2272</v>
      </c>
      <c r="AC1747" t="s">
        <v>162</v>
      </c>
      <c r="AD1747" t="s">
        <v>2272</v>
      </c>
      <c r="AG1747" t="s">
        <v>49</v>
      </c>
      <c r="AI1747" t="s">
        <v>49</v>
      </c>
      <c r="AM1747" t="s">
        <v>202</v>
      </c>
      <c r="AN1747" t="s">
        <v>165</v>
      </c>
      <c r="AQ1747" s="5">
        <v>0</v>
      </c>
    </row>
    <row r="1748" spans="1:43" x14ac:dyDescent="0.2">
      <c r="A1748" t="s">
        <v>1092</v>
      </c>
      <c r="B1748" t="s">
        <v>876</v>
      </c>
      <c r="C1748">
        <v>2018</v>
      </c>
      <c r="D1748" t="s">
        <v>44</v>
      </c>
      <c r="F1748" t="s">
        <v>81</v>
      </c>
      <c r="G1748" t="s">
        <v>86</v>
      </c>
      <c r="H1748" t="s">
        <v>96</v>
      </c>
      <c r="I1748">
        <v>2011</v>
      </c>
      <c r="J1748">
        <v>8.0000000000000002E-3</v>
      </c>
      <c r="K1748" t="s">
        <v>1097</v>
      </c>
      <c r="L1748">
        <v>0.05</v>
      </c>
      <c r="N1748" t="s">
        <v>123</v>
      </c>
      <c r="O1748" t="s">
        <v>123</v>
      </c>
      <c r="P1748" t="s">
        <v>518</v>
      </c>
      <c r="Q1748" s="1" t="s">
        <v>2281</v>
      </c>
      <c r="R1748" s="1" t="s">
        <v>2282</v>
      </c>
      <c r="S1748" s="1" t="s">
        <v>123</v>
      </c>
      <c r="T1748" t="s">
        <v>421</v>
      </c>
      <c r="U1748" t="s">
        <v>421</v>
      </c>
      <c r="X1748" t="s">
        <v>161</v>
      </c>
      <c r="Y1748" t="s">
        <v>2272</v>
      </c>
      <c r="Z1748" t="s">
        <v>2272</v>
      </c>
      <c r="AA1748" t="s">
        <v>2272</v>
      </c>
      <c r="AB1748" t="s">
        <v>2272</v>
      </c>
      <c r="AC1748" t="s">
        <v>162</v>
      </c>
      <c r="AD1748" t="s">
        <v>2272</v>
      </c>
      <c r="AG1748" t="s">
        <v>49</v>
      </c>
      <c r="AI1748" t="s">
        <v>49</v>
      </c>
      <c r="AM1748" t="s">
        <v>202</v>
      </c>
      <c r="AN1748" t="s">
        <v>166</v>
      </c>
      <c r="AQ1748" s="5">
        <v>0</v>
      </c>
    </row>
    <row r="1749" spans="1:43" x14ac:dyDescent="0.2">
      <c r="A1749" t="s">
        <v>1092</v>
      </c>
      <c r="B1749" t="s">
        <v>876</v>
      </c>
      <c r="C1749">
        <v>2018</v>
      </c>
      <c r="D1749" t="s">
        <v>44</v>
      </c>
      <c r="F1749" t="s">
        <v>81</v>
      </c>
      <c r="G1749" t="s">
        <v>86</v>
      </c>
      <c r="H1749" t="s">
        <v>96</v>
      </c>
      <c r="I1749">
        <v>2011</v>
      </c>
      <c r="J1749">
        <v>8.0000000000000002E-3</v>
      </c>
      <c r="K1749" t="s">
        <v>1097</v>
      </c>
      <c r="L1749">
        <v>0.05</v>
      </c>
      <c r="N1749" t="s">
        <v>123</v>
      </c>
      <c r="O1749" t="s">
        <v>123</v>
      </c>
      <c r="P1749" t="s">
        <v>518</v>
      </c>
      <c r="Q1749" s="1" t="s">
        <v>2281</v>
      </c>
      <c r="R1749" s="1" t="s">
        <v>2282</v>
      </c>
      <c r="S1749" s="1" t="s">
        <v>123</v>
      </c>
      <c r="T1749" t="s">
        <v>421</v>
      </c>
      <c r="U1749" t="s">
        <v>421</v>
      </c>
      <c r="X1749" t="s">
        <v>161</v>
      </c>
      <c r="Y1749" t="s">
        <v>2272</v>
      </c>
      <c r="Z1749" t="s">
        <v>2272</v>
      </c>
      <c r="AA1749" t="s">
        <v>2272</v>
      </c>
      <c r="AB1749" t="s">
        <v>2272</v>
      </c>
      <c r="AC1749" t="s">
        <v>162</v>
      </c>
      <c r="AD1749" t="s">
        <v>2272</v>
      </c>
      <c r="AG1749" t="s">
        <v>49</v>
      </c>
      <c r="AI1749" t="s">
        <v>49</v>
      </c>
      <c r="AM1749" t="s">
        <v>202</v>
      </c>
      <c r="AN1749" t="s">
        <v>154</v>
      </c>
      <c r="AQ1749" s="5">
        <v>0</v>
      </c>
    </row>
    <row r="1750" spans="1:43" x14ac:dyDescent="0.2">
      <c r="A1750" t="s">
        <v>1092</v>
      </c>
      <c r="B1750" t="s">
        <v>876</v>
      </c>
      <c r="C1750">
        <v>2018</v>
      </c>
      <c r="D1750" t="s">
        <v>44</v>
      </c>
      <c r="F1750" t="s">
        <v>81</v>
      </c>
      <c r="G1750" t="s">
        <v>86</v>
      </c>
      <c r="H1750" t="s">
        <v>96</v>
      </c>
      <c r="I1750">
        <v>2011</v>
      </c>
      <c r="J1750">
        <v>8.0000000000000002E-3</v>
      </c>
      <c r="K1750" t="s">
        <v>1097</v>
      </c>
      <c r="L1750">
        <v>0.05</v>
      </c>
      <c r="N1750" t="s">
        <v>123</v>
      </c>
      <c r="O1750" t="s">
        <v>123</v>
      </c>
      <c r="P1750" t="s">
        <v>518</v>
      </c>
      <c r="Q1750" s="1" t="s">
        <v>2281</v>
      </c>
      <c r="R1750" s="1" t="s">
        <v>2282</v>
      </c>
      <c r="S1750" s="1" t="s">
        <v>123</v>
      </c>
      <c r="T1750" t="s">
        <v>421</v>
      </c>
      <c r="U1750" t="s">
        <v>421</v>
      </c>
      <c r="X1750" t="s">
        <v>161</v>
      </c>
      <c r="Y1750" t="s">
        <v>2272</v>
      </c>
      <c r="Z1750" t="s">
        <v>2272</v>
      </c>
      <c r="AA1750" t="s">
        <v>2272</v>
      </c>
      <c r="AB1750" t="s">
        <v>2272</v>
      </c>
      <c r="AC1750" t="s">
        <v>162</v>
      </c>
      <c r="AD1750" t="s">
        <v>2272</v>
      </c>
      <c r="AG1750" t="s">
        <v>49</v>
      </c>
      <c r="AK1750" t="s">
        <v>49</v>
      </c>
      <c r="AM1750" t="s">
        <v>1095</v>
      </c>
      <c r="AN1750" t="s">
        <v>166</v>
      </c>
      <c r="AQ1750" s="5">
        <v>0</v>
      </c>
    </row>
    <row r="1751" spans="1:43" x14ac:dyDescent="0.2">
      <c r="A1751" t="s">
        <v>1092</v>
      </c>
      <c r="B1751" t="s">
        <v>876</v>
      </c>
      <c r="C1751">
        <v>2018</v>
      </c>
      <c r="D1751" t="s">
        <v>44</v>
      </c>
      <c r="F1751" t="s">
        <v>81</v>
      </c>
      <c r="G1751" t="s">
        <v>86</v>
      </c>
      <c r="H1751" t="s">
        <v>96</v>
      </c>
      <c r="I1751">
        <v>2011</v>
      </c>
      <c r="J1751">
        <v>8.0000000000000002E-3</v>
      </c>
      <c r="K1751" t="s">
        <v>1097</v>
      </c>
      <c r="L1751">
        <v>0.05</v>
      </c>
      <c r="N1751" t="s">
        <v>123</v>
      </c>
      <c r="O1751" t="s">
        <v>123</v>
      </c>
      <c r="P1751" t="s">
        <v>518</v>
      </c>
      <c r="Q1751" s="1" t="s">
        <v>2281</v>
      </c>
      <c r="R1751" s="1" t="s">
        <v>2282</v>
      </c>
      <c r="S1751" s="1" t="s">
        <v>123</v>
      </c>
      <c r="T1751" t="s">
        <v>421</v>
      </c>
      <c r="U1751" t="s">
        <v>421</v>
      </c>
      <c r="X1751" t="s">
        <v>161</v>
      </c>
      <c r="Y1751" t="s">
        <v>2272</v>
      </c>
      <c r="Z1751" t="s">
        <v>2272</v>
      </c>
      <c r="AA1751" t="s">
        <v>2272</v>
      </c>
      <c r="AB1751" t="s">
        <v>2272</v>
      </c>
      <c r="AC1751" t="s">
        <v>162</v>
      </c>
      <c r="AD1751" t="s">
        <v>2272</v>
      </c>
      <c r="AG1751" t="s">
        <v>49</v>
      </c>
      <c r="AK1751" t="s">
        <v>49</v>
      </c>
      <c r="AM1751" t="s">
        <v>1096</v>
      </c>
      <c r="AN1751" t="s">
        <v>166</v>
      </c>
      <c r="AQ1751" s="5">
        <v>0</v>
      </c>
    </row>
    <row r="1752" spans="1:43" x14ac:dyDescent="0.2">
      <c r="A1752" t="s">
        <v>1092</v>
      </c>
      <c r="B1752" t="s">
        <v>876</v>
      </c>
      <c r="C1752">
        <v>2018</v>
      </c>
      <c r="D1752" t="s">
        <v>44</v>
      </c>
      <c r="F1752" t="s">
        <v>81</v>
      </c>
      <c r="G1752" t="s">
        <v>86</v>
      </c>
      <c r="H1752" t="s">
        <v>96</v>
      </c>
      <c r="I1752">
        <v>2011</v>
      </c>
      <c r="J1752">
        <v>8.0000000000000002E-3</v>
      </c>
      <c r="K1752" t="s">
        <v>1097</v>
      </c>
      <c r="L1752">
        <v>0.05</v>
      </c>
      <c r="N1752" t="s">
        <v>123</v>
      </c>
      <c r="O1752" t="s">
        <v>123</v>
      </c>
      <c r="P1752" t="s">
        <v>518</v>
      </c>
      <c r="Q1752" s="1" t="s">
        <v>2281</v>
      </c>
      <c r="R1752" s="1" t="s">
        <v>2282</v>
      </c>
      <c r="S1752" s="1" t="s">
        <v>123</v>
      </c>
      <c r="T1752" t="s">
        <v>421</v>
      </c>
      <c r="U1752" t="s">
        <v>421</v>
      </c>
      <c r="X1752" t="s">
        <v>161</v>
      </c>
      <c r="Y1752" t="s">
        <v>2272</v>
      </c>
      <c r="Z1752" t="s">
        <v>2272</v>
      </c>
      <c r="AA1752" t="s">
        <v>2272</v>
      </c>
      <c r="AB1752" t="s">
        <v>2272</v>
      </c>
      <c r="AC1752" t="s">
        <v>162</v>
      </c>
      <c r="AD1752" t="s">
        <v>2272</v>
      </c>
      <c r="AG1752" t="s">
        <v>49</v>
      </c>
      <c r="AI1752" t="s">
        <v>49</v>
      </c>
      <c r="AM1752" t="s">
        <v>202</v>
      </c>
      <c r="AN1752" t="s">
        <v>165</v>
      </c>
      <c r="AQ1752" s="5">
        <v>0</v>
      </c>
    </row>
    <row r="1753" spans="1:43" x14ac:dyDescent="0.2">
      <c r="A1753" t="s">
        <v>1098</v>
      </c>
      <c r="B1753" t="s">
        <v>1099</v>
      </c>
      <c r="C1753">
        <v>2018</v>
      </c>
      <c r="D1753" t="s">
        <v>811</v>
      </c>
      <c r="F1753" t="s">
        <v>628</v>
      </c>
      <c r="G1753" t="s">
        <v>86</v>
      </c>
      <c r="H1753" t="s">
        <v>96</v>
      </c>
      <c r="I1753" t="s">
        <v>108</v>
      </c>
      <c r="J1753">
        <f>15/12</f>
        <v>1.25</v>
      </c>
      <c r="K1753" t="s">
        <v>109</v>
      </c>
      <c r="M1753">
        <f>0.5*0.5</f>
        <v>0.25</v>
      </c>
      <c r="N1753" t="s">
        <v>120</v>
      </c>
      <c r="O1753" t="s">
        <v>120</v>
      </c>
      <c r="Q1753" s="1" t="s">
        <v>2276</v>
      </c>
      <c r="R1753" s="1" t="s">
        <v>669</v>
      </c>
      <c r="S1753" s="1" t="s">
        <v>168</v>
      </c>
      <c r="X1753" t="s">
        <v>211</v>
      </c>
      <c r="Y1753" t="s">
        <v>2279</v>
      </c>
      <c r="Z1753" t="s">
        <v>2280</v>
      </c>
      <c r="AA1753" t="s">
        <v>2358</v>
      </c>
      <c r="AB1753" t="s">
        <v>2290</v>
      </c>
      <c r="AC1753" t="s">
        <v>152</v>
      </c>
      <c r="AD1753" t="s">
        <v>2278</v>
      </c>
    </row>
    <row r="1754" spans="1:43" x14ac:dyDescent="0.2">
      <c r="A1754" t="s">
        <v>1098</v>
      </c>
      <c r="B1754" t="s">
        <v>1099</v>
      </c>
      <c r="C1754">
        <v>2018</v>
      </c>
      <c r="D1754" t="s">
        <v>811</v>
      </c>
      <c r="F1754" t="s">
        <v>628</v>
      </c>
      <c r="G1754" t="s">
        <v>86</v>
      </c>
      <c r="H1754" t="s">
        <v>96</v>
      </c>
      <c r="I1754" t="s">
        <v>108</v>
      </c>
      <c r="J1754">
        <f>15/12</f>
        <v>1.25</v>
      </c>
      <c r="K1754" t="s">
        <v>109</v>
      </c>
      <c r="M1754">
        <f>0.5*0.5</f>
        <v>0.25</v>
      </c>
      <c r="N1754" t="s">
        <v>120</v>
      </c>
      <c r="O1754" t="s">
        <v>120</v>
      </c>
      <c r="Q1754" s="1" t="s">
        <v>2276</v>
      </c>
      <c r="R1754" s="1" t="s">
        <v>669</v>
      </c>
      <c r="S1754" s="1" t="s">
        <v>168</v>
      </c>
      <c r="T1754" t="s">
        <v>421</v>
      </c>
      <c r="U1754" t="s">
        <v>421</v>
      </c>
      <c r="X1754" t="s">
        <v>161</v>
      </c>
      <c r="Y1754" t="s">
        <v>2272</v>
      </c>
      <c r="Z1754" t="s">
        <v>2272</v>
      </c>
      <c r="AA1754" t="s">
        <v>2272</v>
      </c>
      <c r="AB1754" t="s">
        <v>2272</v>
      </c>
      <c r="AC1754" t="s">
        <v>162</v>
      </c>
      <c r="AD1754" t="s">
        <v>2272</v>
      </c>
      <c r="AF1754" t="s">
        <v>49</v>
      </c>
      <c r="AI1754" t="s">
        <v>49</v>
      </c>
      <c r="AM1754" t="s">
        <v>202</v>
      </c>
      <c r="AN1754" t="s">
        <v>166</v>
      </c>
      <c r="AQ1754" s="5">
        <v>2</v>
      </c>
    </row>
    <row r="1755" spans="1:43" x14ac:dyDescent="0.2">
      <c r="A1755" t="s">
        <v>1098</v>
      </c>
      <c r="B1755" t="s">
        <v>1099</v>
      </c>
      <c r="C1755">
        <v>2018</v>
      </c>
      <c r="D1755" t="s">
        <v>811</v>
      </c>
      <c r="F1755" t="s">
        <v>628</v>
      </c>
      <c r="G1755" t="s">
        <v>86</v>
      </c>
      <c r="H1755" t="s">
        <v>96</v>
      </c>
      <c r="I1755" t="s">
        <v>108</v>
      </c>
      <c r="J1755">
        <f>15/12</f>
        <v>1.25</v>
      </c>
      <c r="K1755" t="s">
        <v>109</v>
      </c>
      <c r="M1755">
        <f>0.5*0.5</f>
        <v>0.25</v>
      </c>
      <c r="N1755" t="s">
        <v>120</v>
      </c>
      <c r="O1755" t="s">
        <v>120</v>
      </c>
      <c r="Q1755" s="1" t="s">
        <v>2276</v>
      </c>
      <c r="R1755" s="1" t="s">
        <v>669</v>
      </c>
      <c r="S1755" s="1" t="s">
        <v>168</v>
      </c>
      <c r="T1755" t="s">
        <v>421</v>
      </c>
      <c r="U1755" t="s">
        <v>421</v>
      </c>
      <c r="X1755" t="s">
        <v>161</v>
      </c>
      <c r="Y1755" t="s">
        <v>2272</v>
      </c>
      <c r="Z1755" t="s">
        <v>2272</v>
      </c>
      <c r="AA1755" t="s">
        <v>2272</v>
      </c>
      <c r="AB1755" t="s">
        <v>2272</v>
      </c>
      <c r="AC1755" t="s">
        <v>162</v>
      </c>
      <c r="AD1755" t="s">
        <v>2272</v>
      </c>
      <c r="AF1755" t="s">
        <v>49</v>
      </c>
      <c r="AI1755" t="s">
        <v>49</v>
      </c>
      <c r="AM1755" t="s">
        <v>202</v>
      </c>
      <c r="AN1755" t="s">
        <v>154</v>
      </c>
      <c r="AQ1755" s="5">
        <v>2</v>
      </c>
    </row>
    <row r="1756" spans="1:43" x14ac:dyDescent="0.2">
      <c r="A1756" t="s">
        <v>1098</v>
      </c>
      <c r="B1756" t="s">
        <v>1099</v>
      </c>
      <c r="C1756">
        <v>2018</v>
      </c>
      <c r="D1756" t="s">
        <v>811</v>
      </c>
      <c r="F1756" t="s">
        <v>628</v>
      </c>
      <c r="G1756" t="s">
        <v>86</v>
      </c>
      <c r="H1756" t="s">
        <v>96</v>
      </c>
      <c r="I1756" t="s">
        <v>108</v>
      </c>
      <c r="J1756">
        <f>15/12</f>
        <v>1.25</v>
      </c>
      <c r="K1756" t="s">
        <v>109</v>
      </c>
      <c r="M1756">
        <f>0.5*0.5</f>
        <v>0.25</v>
      </c>
      <c r="N1756" t="s">
        <v>120</v>
      </c>
      <c r="O1756" t="s">
        <v>120</v>
      </c>
      <c r="Q1756" s="1" t="s">
        <v>2276</v>
      </c>
      <c r="R1756" s="1" t="s">
        <v>669</v>
      </c>
      <c r="S1756" s="1" t="s">
        <v>168</v>
      </c>
      <c r="T1756" t="s">
        <v>421</v>
      </c>
      <c r="U1756" t="s">
        <v>421</v>
      </c>
      <c r="X1756" t="s">
        <v>161</v>
      </c>
      <c r="Y1756" t="s">
        <v>2272</v>
      </c>
      <c r="Z1756" t="s">
        <v>2272</v>
      </c>
      <c r="AA1756" t="s">
        <v>2272</v>
      </c>
      <c r="AB1756" t="s">
        <v>2272</v>
      </c>
      <c r="AC1756" t="s">
        <v>162</v>
      </c>
      <c r="AD1756" t="s">
        <v>2272</v>
      </c>
      <c r="AF1756" t="s">
        <v>49</v>
      </c>
      <c r="AI1756" t="s">
        <v>49</v>
      </c>
      <c r="AM1756" t="s">
        <v>202</v>
      </c>
      <c r="AN1756" t="s">
        <v>171</v>
      </c>
      <c r="AQ1756" s="5">
        <v>1</v>
      </c>
    </row>
    <row r="1757" spans="1:43" x14ac:dyDescent="0.2">
      <c r="A1757" t="s">
        <v>1098</v>
      </c>
      <c r="B1757" t="s">
        <v>1099</v>
      </c>
      <c r="C1757">
        <v>2018</v>
      </c>
      <c r="D1757" t="s">
        <v>811</v>
      </c>
      <c r="F1757" t="s">
        <v>628</v>
      </c>
      <c r="G1757" t="s">
        <v>86</v>
      </c>
      <c r="H1757" t="s">
        <v>96</v>
      </c>
      <c r="I1757" t="s">
        <v>108</v>
      </c>
      <c r="J1757">
        <f>15/12</f>
        <v>1.25</v>
      </c>
      <c r="K1757" t="s">
        <v>109</v>
      </c>
      <c r="M1757">
        <f>0.5*0.5</f>
        <v>0.25</v>
      </c>
      <c r="N1757" t="s">
        <v>120</v>
      </c>
      <c r="O1757" t="s">
        <v>120</v>
      </c>
      <c r="Q1757" s="1" t="s">
        <v>2276</v>
      </c>
      <c r="R1757" s="1" t="s">
        <v>669</v>
      </c>
      <c r="S1757" s="1" t="s">
        <v>168</v>
      </c>
      <c r="T1757" t="s">
        <v>421</v>
      </c>
      <c r="U1757" t="s">
        <v>421</v>
      </c>
      <c r="X1757" t="s">
        <v>161</v>
      </c>
      <c r="Y1757" t="s">
        <v>2272</v>
      </c>
      <c r="Z1757" t="s">
        <v>2272</v>
      </c>
      <c r="AA1757" t="s">
        <v>2272</v>
      </c>
      <c r="AB1757" t="s">
        <v>2272</v>
      </c>
      <c r="AC1757" t="s">
        <v>162</v>
      </c>
      <c r="AD1757" t="s">
        <v>2272</v>
      </c>
      <c r="AF1757" t="s">
        <v>49</v>
      </c>
      <c r="AI1757" t="s">
        <v>49</v>
      </c>
      <c r="AM1757" t="s">
        <v>202</v>
      </c>
      <c r="AN1757" t="s">
        <v>165</v>
      </c>
      <c r="AP1757" t="s">
        <v>49</v>
      </c>
    </row>
    <row r="1758" spans="1:43" x14ac:dyDescent="0.2">
      <c r="A1758" t="s">
        <v>1100</v>
      </c>
      <c r="B1758" t="s">
        <v>1101</v>
      </c>
      <c r="C1758">
        <v>2018</v>
      </c>
      <c r="D1758" t="s">
        <v>811</v>
      </c>
      <c r="E1758" t="s">
        <v>49</v>
      </c>
      <c r="F1758" t="s">
        <v>81</v>
      </c>
      <c r="G1758" t="s">
        <v>91</v>
      </c>
      <c r="H1758" t="s">
        <v>350</v>
      </c>
      <c r="I1758" t="s">
        <v>1103</v>
      </c>
      <c r="J1758">
        <v>9</v>
      </c>
      <c r="K1758" t="s">
        <v>109</v>
      </c>
      <c r="L1758">
        <v>38</v>
      </c>
      <c r="M1758">
        <v>80</v>
      </c>
      <c r="N1758" t="s">
        <v>120</v>
      </c>
      <c r="O1758" t="s">
        <v>1102</v>
      </c>
      <c r="P1758" t="s">
        <v>581</v>
      </c>
      <c r="Q1758" s="1" t="s">
        <v>2276</v>
      </c>
      <c r="R1758" s="1" t="s">
        <v>669</v>
      </c>
      <c r="S1758" s="1" t="s">
        <v>168</v>
      </c>
      <c r="X1758" t="s">
        <v>189</v>
      </c>
      <c r="Y1758" t="s">
        <v>2279</v>
      </c>
      <c r="Z1758" t="s">
        <v>2280</v>
      </c>
      <c r="AA1758" t="s">
        <v>2358</v>
      </c>
      <c r="AB1758" t="s">
        <v>189</v>
      </c>
      <c r="AC1758" t="s">
        <v>152</v>
      </c>
      <c r="AD1758" t="s">
        <v>2278</v>
      </c>
      <c r="AE1758" t="s">
        <v>1104</v>
      </c>
    </row>
    <row r="1759" spans="1:43" x14ac:dyDescent="0.2">
      <c r="A1759" t="s">
        <v>1100</v>
      </c>
      <c r="B1759" t="s">
        <v>1101</v>
      </c>
      <c r="C1759">
        <v>2018</v>
      </c>
      <c r="D1759" t="s">
        <v>811</v>
      </c>
      <c r="E1759" t="s">
        <v>49</v>
      </c>
      <c r="F1759" t="s">
        <v>81</v>
      </c>
      <c r="G1759" t="s">
        <v>91</v>
      </c>
      <c r="H1759" t="s">
        <v>350</v>
      </c>
      <c r="I1759" t="s">
        <v>1103</v>
      </c>
      <c r="J1759">
        <v>9</v>
      </c>
      <c r="K1759" t="s">
        <v>109</v>
      </c>
      <c r="L1759">
        <v>38</v>
      </c>
      <c r="M1759">
        <v>80</v>
      </c>
      <c r="N1759" t="s">
        <v>120</v>
      </c>
      <c r="O1759" t="s">
        <v>1102</v>
      </c>
      <c r="P1759" t="s">
        <v>581</v>
      </c>
      <c r="Q1759" s="1" t="s">
        <v>2276</v>
      </c>
      <c r="R1759" s="1" t="s">
        <v>669</v>
      </c>
      <c r="S1759" s="1" t="s">
        <v>168</v>
      </c>
      <c r="X1759" t="s">
        <v>171</v>
      </c>
      <c r="Y1759" t="s">
        <v>2279</v>
      </c>
      <c r="Z1759" t="s">
        <v>2280</v>
      </c>
      <c r="AA1759" t="s">
        <v>2358</v>
      </c>
      <c r="AB1759" t="s">
        <v>2580</v>
      </c>
      <c r="AC1759" t="s">
        <v>315</v>
      </c>
      <c r="AD1759" t="s">
        <v>2278</v>
      </c>
      <c r="AE1759" t="s">
        <v>1104</v>
      </c>
    </row>
    <row r="1760" spans="1:43" x14ac:dyDescent="0.2">
      <c r="A1760" t="s">
        <v>1100</v>
      </c>
      <c r="B1760" t="s">
        <v>1101</v>
      </c>
      <c r="C1760">
        <v>2018</v>
      </c>
      <c r="D1760" t="s">
        <v>811</v>
      </c>
      <c r="E1760" t="s">
        <v>49</v>
      </c>
      <c r="F1760" t="s">
        <v>81</v>
      </c>
      <c r="G1760" t="s">
        <v>91</v>
      </c>
      <c r="H1760" t="s">
        <v>350</v>
      </c>
      <c r="I1760" t="s">
        <v>1103</v>
      </c>
      <c r="J1760">
        <v>9</v>
      </c>
      <c r="K1760" t="s">
        <v>109</v>
      </c>
      <c r="L1760">
        <v>38</v>
      </c>
      <c r="M1760">
        <v>80</v>
      </c>
      <c r="N1760" t="s">
        <v>120</v>
      </c>
      <c r="O1760" t="s">
        <v>1102</v>
      </c>
      <c r="P1760" t="s">
        <v>581</v>
      </c>
      <c r="Q1760" s="1" t="s">
        <v>2276</v>
      </c>
      <c r="R1760" s="1" t="s">
        <v>669</v>
      </c>
      <c r="S1760" s="1" t="s">
        <v>168</v>
      </c>
      <c r="X1760" t="s">
        <v>1105</v>
      </c>
      <c r="Y1760" t="s">
        <v>2273</v>
      </c>
      <c r="Z1760" t="s">
        <v>249</v>
      </c>
      <c r="AA1760" t="s">
        <v>2359</v>
      </c>
      <c r="AB1760" t="s">
        <v>2289</v>
      </c>
      <c r="AC1760" t="s">
        <v>152</v>
      </c>
      <c r="AD1760" t="s">
        <v>2288</v>
      </c>
      <c r="AE1760" t="s">
        <v>1104</v>
      </c>
    </row>
    <row r="1761" spans="1:45" x14ac:dyDescent="0.2">
      <c r="A1761" t="s">
        <v>1100</v>
      </c>
      <c r="B1761" t="s">
        <v>1101</v>
      </c>
      <c r="C1761">
        <v>2018</v>
      </c>
      <c r="D1761" t="s">
        <v>811</v>
      </c>
      <c r="E1761" t="s">
        <v>49</v>
      </c>
      <c r="F1761" t="s">
        <v>81</v>
      </c>
      <c r="G1761" t="s">
        <v>91</v>
      </c>
      <c r="H1761" t="s">
        <v>350</v>
      </c>
      <c r="I1761" t="s">
        <v>1103</v>
      </c>
      <c r="J1761">
        <v>9</v>
      </c>
      <c r="K1761" t="s">
        <v>109</v>
      </c>
      <c r="L1761">
        <v>38</v>
      </c>
      <c r="M1761">
        <v>80</v>
      </c>
      <c r="N1761" t="s">
        <v>120</v>
      </c>
      <c r="O1761" t="s">
        <v>1102</v>
      </c>
      <c r="P1761" t="s">
        <v>581</v>
      </c>
      <c r="Q1761" s="1" t="s">
        <v>2276</v>
      </c>
      <c r="R1761" s="1" t="s">
        <v>669</v>
      </c>
      <c r="S1761" s="1" t="s">
        <v>168</v>
      </c>
      <c r="X1761" t="s">
        <v>1110</v>
      </c>
      <c r="Y1761" t="s">
        <v>2279</v>
      </c>
      <c r="Z1761" t="s">
        <v>2361</v>
      </c>
      <c r="AA1761" t="s">
        <v>2362</v>
      </c>
      <c r="AB1761" t="s">
        <v>2296</v>
      </c>
      <c r="AC1761" t="s">
        <v>162</v>
      </c>
      <c r="AD1761" t="s">
        <v>2278</v>
      </c>
      <c r="AF1761" t="s">
        <v>49</v>
      </c>
      <c r="AJ1761" t="s">
        <v>49</v>
      </c>
      <c r="AM1761" t="s">
        <v>1106</v>
      </c>
      <c r="AN1761" t="s">
        <v>171</v>
      </c>
      <c r="AP1761" t="s">
        <v>157</v>
      </c>
    </row>
    <row r="1762" spans="1:45" x14ac:dyDescent="0.2">
      <c r="A1762" t="s">
        <v>1100</v>
      </c>
      <c r="B1762" t="s">
        <v>1101</v>
      </c>
      <c r="C1762">
        <v>2018</v>
      </c>
      <c r="D1762" t="s">
        <v>811</v>
      </c>
      <c r="E1762" t="s">
        <v>49</v>
      </c>
      <c r="F1762" t="s">
        <v>81</v>
      </c>
      <c r="G1762" t="s">
        <v>91</v>
      </c>
      <c r="H1762" t="s">
        <v>350</v>
      </c>
      <c r="I1762" t="s">
        <v>1103</v>
      </c>
      <c r="J1762">
        <v>9</v>
      </c>
      <c r="K1762" t="s">
        <v>109</v>
      </c>
      <c r="L1762">
        <v>38</v>
      </c>
      <c r="M1762">
        <v>80</v>
      </c>
      <c r="N1762" t="s">
        <v>120</v>
      </c>
      <c r="O1762" t="s">
        <v>1102</v>
      </c>
      <c r="P1762" t="s">
        <v>581</v>
      </c>
      <c r="Q1762" s="1" t="s">
        <v>2276</v>
      </c>
      <c r="R1762" s="1" t="s">
        <v>669</v>
      </c>
      <c r="S1762" s="1" t="s">
        <v>168</v>
      </c>
      <c r="X1762" t="s">
        <v>1110</v>
      </c>
      <c r="Y1762" t="s">
        <v>2279</v>
      </c>
      <c r="Z1762" t="s">
        <v>2361</v>
      </c>
      <c r="AA1762" t="s">
        <v>2362</v>
      </c>
      <c r="AB1762" t="s">
        <v>2296</v>
      </c>
      <c r="AC1762" t="s">
        <v>162</v>
      </c>
      <c r="AD1762" t="s">
        <v>2278</v>
      </c>
      <c r="AF1762" t="s">
        <v>49</v>
      </c>
      <c r="AJ1762" t="s">
        <v>49</v>
      </c>
      <c r="AM1762" t="s">
        <v>1107</v>
      </c>
      <c r="AN1762" t="s">
        <v>171</v>
      </c>
      <c r="AP1762" t="s">
        <v>173</v>
      </c>
    </row>
    <row r="1763" spans="1:45" x14ac:dyDescent="0.2">
      <c r="A1763" t="s">
        <v>1100</v>
      </c>
      <c r="B1763" t="s">
        <v>1101</v>
      </c>
      <c r="C1763">
        <v>2018</v>
      </c>
      <c r="D1763" t="s">
        <v>811</v>
      </c>
      <c r="E1763" t="s">
        <v>49</v>
      </c>
      <c r="F1763" t="s">
        <v>81</v>
      </c>
      <c r="G1763" t="s">
        <v>91</v>
      </c>
      <c r="H1763" t="s">
        <v>350</v>
      </c>
      <c r="I1763" t="s">
        <v>1103</v>
      </c>
      <c r="J1763">
        <v>9</v>
      </c>
      <c r="K1763" t="s">
        <v>109</v>
      </c>
      <c r="L1763">
        <v>38</v>
      </c>
      <c r="M1763">
        <v>80</v>
      </c>
      <c r="N1763" t="s">
        <v>120</v>
      </c>
      <c r="O1763" t="s">
        <v>1102</v>
      </c>
      <c r="P1763" t="s">
        <v>581</v>
      </c>
      <c r="Q1763" s="1" t="s">
        <v>2276</v>
      </c>
      <c r="R1763" s="1" t="s">
        <v>669</v>
      </c>
      <c r="S1763" s="1" t="s">
        <v>168</v>
      </c>
      <c r="X1763" t="s">
        <v>1110</v>
      </c>
      <c r="Y1763" t="s">
        <v>2279</v>
      </c>
      <c r="Z1763" t="s">
        <v>2361</v>
      </c>
      <c r="AA1763" t="s">
        <v>2362</v>
      </c>
      <c r="AB1763" t="s">
        <v>2296</v>
      </c>
      <c r="AC1763" t="s">
        <v>162</v>
      </c>
      <c r="AD1763" t="s">
        <v>2278</v>
      </c>
      <c r="AF1763" t="s">
        <v>49</v>
      </c>
      <c r="AJ1763" t="s">
        <v>49</v>
      </c>
      <c r="AM1763" t="s">
        <v>1108</v>
      </c>
      <c r="AN1763" t="s">
        <v>171</v>
      </c>
      <c r="AP1763" t="s">
        <v>173</v>
      </c>
    </row>
    <row r="1764" spans="1:45" x14ac:dyDescent="0.2">
      <c r="A1764" t="s">
        <v>1100</v>
      </c>
      <c r="B1764" t="s">
        <v>1101</v>
      </c>
      <c r="C1764">
        <v>2018</v>
      </c>
      <c r="D1764" t="s">
        <v>811</v>
      </c>
      <c r="E1764" t="s">
        <v>49</v>
      </c>
      <c r="F1764" t="s">
        <v>81</v>
      </c>
      <c r="G1764" t="s">
        <v>91</v>
      </c>
      <c r="H1764" t="s">
        <v>350</v>
      </c>
      <c r="I1764" t="s">
        <v>1103</v>
      </c>
      <c r="J1764">
        <v>9</v>
      </c>
      <c r="K1764" t="s">
        <v>109</v>
      </c>
      <c r="L1764">
        <v>38</v>
      </c>
      <c r="M1764">
        <v>80</v>
      </c>
      <c r="N1764" t="s">
        <v>120</v>
      </c>
      <c r="O1764" t="s">
        <v>1102</v>
      </c>
      <c r="P1764" t="s">
        <v>581</v>
      </c>
      <c r="Q1764" s="1" t="s">
        <v>2276</v>
      </c>
      <c r="R1764" s="1" t="s">
        <v>669</v>
      </c>
      <c r="S1764" s="1" t="s">
        <v>168</v>
      </c>
      <c r="X1764" t="s">
        <v>1110</v>
      </c>
      <c r="Y1764" t="s">
        <v>2279</v>
      </c>
      <c r="Z1764" t="s">
        <v>2361</v>
      </c>
      <c r="AA1764" t="s">
        <v>2362</v>
      </c>
      <c r="AB1764" t="s">
        <v>2296</v>
      </c>
      <c r="AC1764" t="s">
        <v>162</v>
      </c>
      <c r="AD1764" t="s">
        <v>2278</v>
      </c>
      <c r="AF1764" t="s">
        <v>49</v>
      </c>
      <c r="AJ1764" t="s">
        <v>49</v>
      </c>
      <c r="AM1764" t="s">
        <v>1109</v>
      </c>
      <c r="AN1764" t="s">
        <v>171</v>
      </c>
      <c r="AP1764" t="s">
        <v>173</v>
      </c>
    </row>
    <row r="1765" spans="1:45" x14ac:dyDescent="0.2">
      <c r="A1765" t="s">
        <v>1100</v>
      </c>
      <c r="B1765" t="s">
        <v>1101</v>
      </c>
      <c r="C1765">
        <v>2018</v>
      </c>
      <c r="D1765" t="s">
        <v>811</v>
      </c>
      <c r="E1765" t="s">
        <v>49</v>
      </c>
      <c r="F1765" t="s">
        <v>81</v>
      </c>
      <c r="G1765" t="s">
        <v>91</v>
      </c>
      <c r="H1765" t="s">
        <v>350</v>
      </c>
      <c r="I1765" t="s">
        <v>1103</v>
      </c>
      <c r="J1765">
        <v>9</v>
      </c>
      <c r="K1765" t="s">
        <v>109</v>
      </c>
      <c r="L1765">
        <v>38</v>
      </c>
      <c r="M1765">
        <v>80</v>
      </c>
      <c r="N1765" t="s">
        <v>120</v>
      </c>
      <c r="O1765" t="s">
        <v>1102</v>
      </c>
      <c r="P1765" t="s">
        <v>581</v>
      </c>
      <c r="Q1765" s="1" t="s">
        <v>2276</v>
      </c>
      <c r="R1765" s="1" t="s">
        <v>669</v>
      </c>
      <c r="S1765" s="1" t="s">
        <v>168</v>
      </c>
      <c r="X1765" t="s">
        <v>1110</v>
      </c>
      <c r="Y1765" t="s">
        <v>2279</v>
      </c>
      <c r="Z1765" t="s">
        <v>2361</v>
      </c>
      <c r="AA1765" t="s">
        <v>2362</v>
      </c>
      <c r="AB1765" t="s">
        <v>2296</v>
      </c>
      <c r="AC1765" t="s">
        <v>162</v>
      </c>
      <c r="AD1765" t="s">
        <v>2278</v>
      </c>
      <c r="AF1765" t="s">
        <v>49</v>
      </c>
      <c r="AJ1765" t="s">
        <v>49</v>
      </c>
      <c r="AM1765" t="s">
        <v>970</v>
      </c>
      <c r="AN1765" t="s">
        <v>154</v>
      </c>
      <c r="AP1765" t="s">
        <v>173</v>
      </c>
    </row>
    <row r="1766" spans="1:45" x14ac:dyDescent="0.2">
      <c r="A1766" t="s">
        <v>1100</v>
      </c>
      <c r="B1766" t="s">
        <v>1101</v>
      </c>
      <c r="C1766">
        <v>2018</v>
      </c>
      <c r="D1766" t="s">
        <v>811</v>
      </c>
      <c r="E1766" t="s">
        <v>49</v>
      </c>
      <c r="F1766" t="s">
        <v>81</v>
      </c>
      <c r="G1766" t="s">
        <v>91</v>
      </c>
      <c r="H1766" t="s">
        <v>350</v>
      </c>
      <c r="I1766" t="s">
        <v>1103</v>
      </c>
      <c r="J1766">
        <v>9</v>
      </c>
      <c r="K1766" t="s">
        <v>109</v>
      </c>
      <c r="L1766">
        <v>38</v>
      </c>
      <c r="M1766">
        <v>80</v>
      </c>
      <c r="N1766" t="s">
        <v>120</v>
      </c>
      <c r="O1766" t="s">
        <v>1102</v>
      </c>
      <c r="P1766" t="s">
        <v>581</v>
      </c>
      <c r="Q1766" s="1" t="s">
        <v>2276</v>
      </c>
      <c r="R1766" s="1" t="s">
        <v>669</v>
      </c>
      <c r="S1766" s="1" t="s">
        <v>168</v>
      </c>
      <c r="X1766" t="s">
        <v>1110</v>
      </c>
      <c r="Y1766" t="s">
        <v>2279</v>
      </c>
      <c r="Z1766" t="s">
        <v>2361</v>
      </c>
      <c r="AA1766" t="s">
        <v>2362</v>
      </c>
      <c r="AB1766" t="s">
        <v>2296</v>
      </c>
      <c r="AC1766" t="s">
        <v>162</v>
      </c>
      <c r="AD1766" t="s">
        <v>2278</v>
      </c>
      <c r="AF1766" t="s">
        <v>49</v>
      </c>
      <c r="AJ1766" t="s">
        <v>49</v>
      </c>
      <c r="AM1766" t="s">
        <v>1108</v>
      </c>
      <c r="AN1766" t="s">
        <v>154</v>
      </c>
      <c r="AP1766" t="s">
        <v>51</v>
      </c>
    </row>
    <row r="1767" spans="1:45" x14ac:dyDescent="0.2">
      <c r="A1767" t="s">
        <v>1100</v>
      </c>
      <c r="B1767" t="s">
        <v>1101</v>
      </c>
      <c r="C1767">
        <v>2018</v>
      </c>
      <c r="D1767" t="s">
        <v>811</v>
      </c>
      <c r="E1767" t="s">
        <v>49</v>
      </c>
      <c r="F1767" t="s">
        <v>81</v>
      </c>
      <c r="G1767" t="s">
        <v>91</v>
      </c>
      <c r="H1767" t="s">
        <v>350</v>
      </c>
      <c r="I1767" t="s">
        <v>1103</v>
      </c>
      <c r="J1767">
        <v>9</v>
      </c>
      <c r="K1767" t="s">
        <v>109</v>
      </c>
      <c r="L1767">
        <v>38</v>
      </c>
      <c r="M1767">
        <v>80</v>
      </c>
      <c r="N1767" t="s">
        <v>120</v>
      </c>
      <c r="O1767" t="s">
        <v>1102</v>
      </c>
      <c r="P1767" t="s">
        <v>581</v>
      </c>
      <c r="Q1767" s="1" t="s">
        <v>2276</v>
      </c>
      <c r="R1767" s="1" t="s">
        <v>669</v>
      </c>
      <c r="S1767" s="1" t="s">
        <v>168</v>
      </c>
      <c r="X1767" t="s">
        <v>1110</v>
      </c>
      <c r="Y1767" t="s">
        <v>2279</v>
      </c>
      <c r="Z1767" t="s">
        <v>2361</v>
      </c>
      <c r="AA1767" t="s">
        <v>2362</v>
      </c>
      <c r="AB1767" t="s">
        <v>2296</v>
      </c>
      <c r="AC1767" t="s">
        <v>162</v>
      </c>
      <c r="AD1767" t="s">
        <v>2278</v>
      </c>
      <c r="AF1767" t="s">
        <v>49</v>
      </c>
      <c r="AJ1767" t="s">
        <v>49</v>
      </c>
      <c r="AM1767" t="s">
        <v>1109</v>
      </c>
      <c r="AN1767" t="s">
        <v>154</v>
      </c>
      <c r="AP1767" t="s">
        <v>51</v>
      </c>
    </row>
    <row r="1768" spans="1:45" x14ac:dyDescent="0.2">
      <c r="A1768" t="s">
        <v>1100</v>
      </c>
      <c r="B1768" t="s">
        <v>1101</v>
      </c>
      <c r="C1768">
        <v>2018</v>
      </c>
      <c r="D1768" t="s">
        <v>811</v>
      </c>
      <c r="E1768" t="s">
        <v>49</v>
      </c>
      <c r="F1768" t="s">
        <v>81</v>
      </c>
      <c r="G1768" t="s">
        <v>91</v>
      </c>
      <c r="H1768" t="s">
        <v>350</v>
      </c>
      <c r="I1768" t="s">
        <v>1103</v>
      </c>
      <c r="J1768">
        <v>9</v>
      </c>
      <c r="K1768" t="s">
        <v>109</v>
      </c>
      <c r="L1768">
        <v>38</v>
      </c>
      <c r="M1768">
        <v>80</v>
      </c>
      <c r="N1768" t="s">
        <v>120</v>
      </c>
      <c r="O1768" t="s">
        <v>1102</v>
      </c>
      <c r="P1768" t="s">
        <v>581</v>
      </c>
      <c r="Q1768" s="1" t="s">
        <v>2276</v>
      </c>
      <c r="R1768" s="1" t="s">
        <v>669</v>
      </c>
      <c r="S1768" s="1" t="s">
        <v>168</v>
      </c>
      <c r="X1768" t="s">
        <v>1110</v>
      </c>
      <c r="Y1768" t="s">
        <v>2279</v>
      </c>
      <c r="Z1768" t="s">
        <v>2361</v>
      </c>
      <c r="AA1768" t="s">
        <v>2362</v>
      </c>
      <c r="AB1768" t="s">
        <v>2296</v>
      </c>
      <c r="AC1768" t="s">
        <v>162</v>
      </c>
      <c r="AD1768" t="s">
        <v>2278</v>
      </c>
      <c r="AH1768" s="4" t="s">
        <v>49</v>
      </c>
      <c r="AI1768" t="s">
        <v>49</v>
      </c>
      <c r="AM1768" t="s">
        <v>233</v>
      </c>
      <c r="AN1768" t="s">
        <v>154</v>
      </c>
      <c r="AP1768" t="s">
        <v>51</v>
      </c>
    </row>
    <row r="1769" spans="1:45" x14ac:dyDescent="0.2">
      <c r="A1769" t="s">
        <v>1100</v>
      </c>
      <c r="B1769" t="s">
        <v>1101</v>
      </c>
      <c r="C1769">
        <v>2018</v>
      </c>
      <c r="D1769" t="s">
        <v>811</v>
      </c>
      <c r="E1769" t="s">
        <v>49</v>
      </c>
      <c r="F1769" t="s">
        <v>81</v>
      </c>
      <c r="G1769" t="s">
        <v>91</v>
      </c>
      <c r="H1769" t="s">
        <v>350</v>
      </c>
      <c r="I1769" t="s">
        <v>1103</v>
      </c>
      <c r="J1769">
        <v>9</v>
      </c>
      <c r="K1769" t="s">
        <v>109</v>
      </c>
      <c r="L1769">
        <v>38</v>
      </c>
      <c r="M1769">
        <v>80</v>
      </c>
      <c r="N1769" t="s">
        <v>120</v>
      </c>
      <c r="O1769" t="s">
        <v>1102</v>
      </c>
      <c r="P1769" t="s">
        <v>581</v>
      </c>
      <c r="Q1769" s="1" t="s">
        <v>2276</v>
      </c>
      <c r="R1769" s="1" t="s">
        <v>669</v>
      </c>
      <c r="S1769" s="1" t="s">
        <v>168</v>
      </c>
      <c r="X1769" t="s">
        <v>1110</v>
      </c>
      <c r="Y1769" t="s">
        <v>2279</v>
      </c>
      <c r="Z1769" t="s">
        <v>2361</v>
      </c>
      <c r="AA1769" t="s">
        <v>2362</v>
      </c>
      <c r="AB1769" t="s">
        <v>2296</v>
      </c>
      <c r="AC1769" t="s">
        <v>162</v>
      </c>
      <c r="AD1769" t="s">
        <v>2278</v>
      </c>
      <c r="AH1769" s="4" t="s">
        <v>49</v>
      </c>
      <c r="AI1769" t="s">
        <v>49</v>
      </c>
      <c r="AM1769" t="s">
        <v>233</v>
      </c>
      <c r="AN1769" t="s">
        <v>171</v>
      </c>
      <c r="AP1769" t="s">
        <v>173</v>
      </c>
    </row>
    <row r="1770" spans="1:45" x14ac:dyDescent="0.2">
      <c r="A1770" t="s">
        <v>1100</v>
      </c>
      <c r="B1770" t="s">
        <v>1101</v>
      </c>
      <c r="C1770">
        <v>2018</v>
      </c>
      <c r="D1770" t="s">
        <v>811</v>
      </c>
      <c r="E1770" t="s">
        <v>49</v>
      </c>
      <c r="F1770" t="s">
        <v>81</v>
      </c>
      <c r="G1770" t="s">
        <v>91</v>
      </c>
      <c r="H1770" t="s">
        <v>350</v>
      </c>
      <c r="I1770" t="s">
        <v>1103</v>
      </c>
      <c r="J1770">
        <v>9</v>
      </c>
      <c r="K1770" t="s">
        <v>109</v>
      </c>
      <c r="L1770">
        <v>38</v>
      </c>
      <c r="M1770">
        <v>80</v>
      </c>
      <c r="N1770" t="s">
        <v>120</v>
      </c>
      <c r="O1770" t="s">
        <v>1102</v>
      </c>
      <c r="P1770" t="s">
        <v>581</v>
      </c>
      <c r="Q1770" s="1" t="s">
        <v>2276</v>
      </c>
      <c r="R1770" s="1" t="s">
        <v>669</v>
      </c>
      <c r="S1770" s="1" t="s">
        <v>168</v>
      </c>
      <c r="X1770" t="s">
        <v>1110</v>
      </c>
      <c r="Y1770" t="s">
        <v>2279</v>
      </c>
      <c r="Z1770" t="s">
        <v>2361</v>
      </c>
      <c r="AA1770" t="s">
        <v>2362</v>
      </c>
      <c r="AB1770" t="s">
        <v>2296</v>
      </c>
      <c r="AC1770" t="s">
        <v>162</v>
      </c>
      <c r="AD1770" t="s">
        <v>2278</v>
      </c>
      <c r="AF1770" t="s">
        <v>49</v>
      </c>
      <c r="AJ1770" t="s">
        <v>49</v>
      </c>
      <c r="AM1770" t="s">
        <v>970</v>
      </c>
      <c r="AN1770" t="s">
        <v>165</v>
      </c>
      <c r="AP1770" t="s">
        <v>49</v>
      </c>
    </row>
    <row r="1771" spans="1:45" x14ac:dyDescent="0.2">
      <c r="A1771" t="s">
        <v>1100</v>
      </c>
      <c r="B1771" t="s">
        <v>1101</v>
      </c>
      <c r="C1771">
        <v>2018</v>
      </c>
      <c r="D1771" t="s">
        <v>811</v>
      </c>
      <c r="E1771" t="s">
        <v>49</v>
      </c>
      <c r="F1771" t="s">
        <v>81</v>
      </c>
      <c r="G1771" t="s">
        <v>91</v>
      </c>
      <c r="H1771" t="s">
        <v>350</v>
      </c>
      <c r="I1771" t="s">
        <v>1103</v>
      </c>
      <c r="J1771">
        <v>9</v>
      </c>
      <c r="K1771" t="s">
        <v>109</v>
      </c>
      <c r="L1771">
        <v>38</v>
      </c>
      <c r="M1771">
        <v>80</v>
      </c>
      <c r="N1771" t="s">
        <v>120</v>
      </c>
      <c r="O1771" t="s">
        <v>1102</v>
      </c>
      <c r="P1771" t="s">
        <v>581</v>
      </c>
      <c r="Q1771" s="1" t="s">
        <v>2276</v>
      </c>
      <c r="R1771" s="1" t="s">
        <v>669</v>
      </c>
      <c r="S1771" s="1" t="s">
        <v>168</v>
      </c>
      <c r="X1771" t="s">
        <v>1110</v>
      </c>
      <c r="Y1771" t="s">
        <v>2279</v>
      </c>
      <c r="Z1771" t="s">
        <v>2361</v>
      </c>
      <c r="AA1771" t="s">
        <v>2362</v>
      </c>
      <c r="AB1771" t="s">
        <v>2296</v>
      </c>
      <c r="AC1771" t="s">
        <v>162</v>
      </c>
      <c r="AD1771" t="s">
        <v>2278</v>
      </c>
      <c r="AF1771" t="s">
        <v>49</v>
      </c>
      <c r="AJ1771" t="s">
        <v>49</v>
      </c>
      <c r="AM1771" t="s">
        <v>1108</v>
      </c>
      <c r="AN1771" t="s">
        <v>165</v>
      </c>
      <c r="AP1771" t="s">
        <v>49</v>
      </c>
    </row>
    <row r="1772" spans="1:45" x14ac:dyDescent="0.2">
      <c r="A1772" t="s">
        <v>1100</v>
      </c>
      <c r="B1772" t="s">
        <v>1101</v>
      </c>
      <c r="C1772">
        <v>2018</v>
      </c>
      <c r="D1772" t="s">
        <v>811</v>
      </c>
      <c r="E1772" t="s">
        <v>49</v>
      </c>
      <c r="F1772" t="s">
        <v>81</v>
      </c>
      <c r="G1772" t="s">
        <v>91</v>
      </c>
      <c r="H1772" t="s">
        <v>350</v>
      </c>
      <c r="I1772" t="s">
        <v>1103</v>
      </c>
      <c r="J1772">
        <v>9</v>
      </c>
      <c r="K1772" t="s">
        <v>109</v>
      </c>
      <c r="L1772">
        <v>38</v>
      </c>
      <c r="M1772">
        <v>80</v>
      </c>
      <c r="N1772" t="s">
        <v>120</v>
      </c>
      <c r="O1772" t="s">
        <v>1102</v>
      </c>
      <c r="P1772" t="s">
        <v>581</v>
      </c>
      <c r="Q1772" s="1" t="s">
        <v>2276</v>
      </c>
      <c r="R1772" s="1" t="s">
        <v>669</v>
      </c>
      <c r="S1772" s="1" t="s">
        <v>168</v>
      </c>
      <c r="X1772" t="s">
        <v>1110</v>
      </c>
      <c r="Y1772" t="s">
        <v>2279</v>
      </c>
      <c r="Z1772" t="s">
        <v>2361</v>
      </c>
      <c r="AA1772" t="s">
        <v>2362</v>
      </c>
      <c r="AB1772" t="s">
        <v>2296</v>
      </c>
      <c r="AC1772" t="s">
        <v>162</v>
      </c>
      <c r="AD1772" t="s">
        <v>2278</v>
      </c>
      <c r="AF1772" t="s">
        <v>49</v>
      </c>
      <c r="AJ1772" t="s">
        <v>49</v>
      </c>
      <c r="AM1772" t="s">
        <v>1109</v>
      </c>
      <c r="AN1772" t="s">
        <v>165</v>
      </c>
      <c r="AP1772" t="s">
        <v>49</v>
      </c>
    </row>
    <row r="1773" spans="1:45" x14ac:dyDescent="0.2">
      <c r="A1773" t="s">
        <v>1100</v>
      </c>
      <c r="B1773" t="s">
        <v>1101</v>
      </c>
      <c r="C1773">
        <v>2018</v>
      </c>
      <c r="D1773" t="s">
        <v>811</v>
      </c>
      <c r="E1773" t="s">
        <v>49</v>
      </c>
      <c r="F1773" t="s">
        <v>81</v>
      </c>
      <c r="G1773" t="s">
        <v>91</v>
      </c>
      <c r="H1773" t="s">
        <v>350</v>
      </c>
      <c r="I1773" t="s">
        <v>1103</v>
      </c>
      <c r="J1773">
        <v>9</v>
      </c>
      <c r="K1773" t="s">
        <v>109</v>
      </c>
      <c r="L1773">
        <v>38</v>
      </c>
      <c r="M1773">
        <v>80</v>
      </c>
      <c r="N1773" t="s">
        <v>120</v>
      </c>
      <c r="O1773" t="s">
        <v>1102</v>
      </c>
      <c r="P1773" t="s">
        <v>581</v>
      </c>
      <c r="Q1773" s="1" t="s">
        <v>2276</v>
      </c>
      <c r="R1773" s="1" t="s">
        <v>669</v>
      </c>
      <c r="S1773" s="1" t="s">
        <v>168</v>
      </c>
      <c r="X1773" t="s">
        <v>1110</v>
      </c>
      <c r="Y1773" t="s">
        <v>2279</v>
      </c>
      <c r="Z1773" t="s">
        <v>2361</v>
      </c>
      <c r="AA1773" t="s">
        <v>2362</v>
      </c>
      <c r="AB1773" t="s">
        <v>2296</v>
      </c>
      <c r="AC1773" t="s">
        <v>162</v>
      </c>
      <c r="AD1773" t="s">
        <v>2278</v>
      </c>
      <c r="AH1773" s="4" t="s">
        <v>49</v>
      </c>
      <c r="AI1773" t="s">
        <v>49</v>
      </c>
      <c r="AM1773" t="s">
        <v>233</v>
      </c>
      <c r="AN1773" t="s">
        <v>165</v>
      </c>
      <c r="AP1773" t="s">
        <v>49</v>
      </c>
    </row>
    <row r="1774" spans="1:45" x14ac:dyDescent="0.2">
      <c r="A1774" t="s">
        <v>1111</v>
      </c>
      <c r="B1774" t="s">
        <v>892</v>
      </c>
      <c r="C1774">
        <v>2018</v>
      </c>
      <c r="Q1774" s="1" t="s">
        <v>2272</v>
      </c>
      <c r="R1774" s="1" t="s">
        <v>2272</v>
      </c>
      <c r="S1774" s="1" t="s">
        <v>2272</v>
      </c>
      <c r="Y1774" t="s">
        <v>2272</v>
      </c>
      <c r="Z1774" t="s">
        <v>2272</v>
      </c>
      <c r="AA1774" t="s">
        <v>2272</v>
      </c>
      <c r="AB1774" t="s">
        <v>2272</v>
      </c>
      <c r="AD1774" t="s">
        <v>2272</v>
      </c>
      <c r="AR1774" t="s">
        <v>144</v>
      </c>
      <c r="AS1774" t="s">
        <v>1112</v>
      </c>
    </row>
    <row r="1775" spans="1:45" x14ac:dyDescent="0.2">
      <c r="A1775" t="s">
        <v>1113</v>
      </c>
      <c r="B1775" t="s">
        <v>1114</v>
      </c>
      <c r="C1775">
        <v>2018</v>
      </c>
      <c r="D1775" t="s">
        <v>44</v>
      </c>
      <c r="F1775" t="s">
        <v>1115</v>
      </c>
      <c r="G1775" t="s">
        <v>86</v>
      </c>
      <c r="H1775" t="s">
        <v>350</v>
      </c>
      <c r="I1775">
        <v>2015</v>
      </c>
      <c r="J1775">
        <v>1</v>
      </c>
      <c r="K1775" t="s">
        <v>104</v>
      </c>
      <c r="M1775">
        <v>0</v>
      </c>
      <c r="N1775" t="s">
        <v>121</v>
      </c>
      <c r="O1775" t="s">
        <v>121</v>
      </c>
      <c r="P1775" t="s">
        <v>269</v>
      </c>
      <c r="Q1775" s="1" t="s">
        <v>2292</v>
      </c>
      <c r="R1775" s="1" t="s">
        <v>264</v>
      </c>
      <c r="S1775" s="1" t="s">
        <v>264</v>
      </c>
      <c r="X1775" t="s">
        <v>150</v>
      </c>
      <c r="Y1775" t="s">
        <v>2273</v>
      </c>
      <c r="Z1775" t="s">
        <v>249</v>
      </c>
      <c r="AA1775" t="s">
        <v>2359</v>
      </c>
      <c r="AB1775" t="s">
        <v>1419</v>
      </c>
      <c r="AC1775" t="s">
        <v>152</v>
      </c>
      <c r="AD1775" t="s">
        <v>137</v>
      </c>
    </row>
    <row r="1776" spans="1:45" x14ac:dyDescent="0.2">
      <c r="A1776" t="s">
        <v>1113</v>
      </c>
      <c r="B1776" t="s">
        <v>1114</v>
      </c>
      <c r="C1776">
        <v>2018</v>
      </c>
      <c r="D1776" t="s">
        <v>44</v>
      </c>
      <c r="F1776" t="s">
        <v>1115</v>
      </c>
      <c r="G1776" t="s">
        <v>86</v>
      </c>
      <c r="H1776" t="s">
        <v>350</v>
      </c>
      <c r="I1776">
        <v>2015</v>
      </c>
      <c r="J1776">
        <v>1</v>
      </c>
      <c r="K1776" t="s">
        <v>104</v>
      </c>
      <c r="M1776">
        <v>0</v>
      </c>
      <c r="N1776" t="s">
        <v>120</v>
      </c>
      <c r="O1776" t="s">
        <v>1116</v>
      </c>
      <c r="P1776" t="s">
        <v>1116</v>
      </c>
      <c r="Q1776" s="1" t="s">
        <v>2276</v>
      </c>
      <c r="R1776" s="1" t="s">
        <v>669</v>
      </c>
      <c r="S1776" s="1" t="s">
        <v>168</v>
      </c>
      <c r="X1776" t="s">
        <v>150</v>
      </c>
      <c r="Y1776" t="s">
        <v>2273</v>
      </c>
      <c r="Z1776" t="s">
        <v>249</v>
      </c>
      <c r="AA1776" t="s">
        <v>2359</v>
      </c>
      <c r="AB1776" t="s">
        <v>1419</v>
      </c>
      <c r="AC1776" t="s">
        <v>152</v>
      </c>
      <c r="AD1776" t="s">
        <v>137</v>
      </c>
    </row>
    <row r="1777" spans="1:43" x14ac:dyDescent="0.2">
      <c r="A1777" t="s">
        <v>1113</v>
      </c>
      <c r="B1777" t="s">
        <v>1114</v>
      </c>
      <c r="C1777">
        <v>2018</v>
      </c>
      <c r="D1777" t="s">
        <v>44</v>
      </c>
      <c r="F1777" t="s">
        <v>1115</v>
      </c>
      <c r="G1777" t="s">
        <v>86</v>
      </c>
      <c r="H1777" t="s">
        <v>350</v>
      </c>
      <c r="I1777">
        <v>2015</v>
      </c>
      <c r="J1777">
        <v>1</v>
      </c>
      <c r="K1777" t="s">
        <v>104</v>
      </c>
      <c r="M1777">
        <v>0</v>
      </c>
      <c r="N1777" t="s">
        <v>121</v>
      </c>
      <c r="O1777" t="s">
        <v>121</v>
      </c>
      <c r="P1777" t="s">
        <v>269</v>
      </c>
      <c r="Q1777" s="1" t="s">
        <v>2292</v>
      </c>
      <c r="R1777" s="1" t="s">
        <v>264</v>
      </c>
      <c r="S1777" s="1" t="s">
        <v>264</v>
      </c>
      <c r="X1777" t="s">
        <v>642</v>
      </c>
      <c r="Y1777" t="s">
        <v>2273</v>
      </c>
      <c r="Z1777" t="s">
        <v>249</v>
      </c>
      <c r="AA1777" t="s">
        <v>2359</v>
      </c>
      <c r="AB1777" t="s">
        <v>1979</v>
      </c>
      <c r="AC1777" t="s">
        <v>152</v>
      </c>
      <c r="AD1777" t="s">
        <v>137</v>
      </c>
    </row>
    <row r="1778" spans="1:43" x14ac:dyDescent="0.2">
      <c r="A1778" t="s">
        <v>1113</v>
      </c>
      <c r="B1778" t="s">
        <v>1114</v>
      </c>
      <c r="C1778">
        <v>2018</v>
      </c>
      <c r="D1778" t="s">
        <v>44</v>
      </c>
      <c r="F1778" t="s">
        <v>1115</v>
      </c>
      <c r="G1778" t="s">
        <v>86</v>
      </c>
      <c r="H1778" t="s">
        <v>350</v>
      </c>
      <c r="I1778">
        <v>2015</v>
      </c>
      <c r="J1778">
        <v>1</v>
      </c>
      <c r="K1778" t="s">
        <v>104</v>
      </c>
      <c r="M1778">
        <v>0</v>
      </c>
      <c r="N1778" t="s">
        <v>120</v>
      </c>
      <c r="O1778" t="s">
        <v>1116</v>
      </c>
      <c r="P1778" t="s">
        <v>1116</v>
      </c>
      <c r="Q1778" s="1" t="s">
        <v>2276</v>
      </c>
      <c r="R1778" s="1" t="s">
        <v>669</v>
      </c>
      <c r="S1778" s="1" t="s">
        <v>168</v>
      </c>
      <c r="X1778" t="s">
        <v>642</v>
      </c>
      <c r="Y1778" t="s">
        <v>2273</v>
      </c>
      <c r="Z1778" t="s">
        <v>249</v>
      </c>
      <c r="AA1778" t="s">
        <v>2359</v>
      </c>
      <c r="AB1778" t="s">
        <v>1979</v>
      </c>
      <c r="AC1778" t="s">
        <v>152</v>
      </c>
      <c r="AD1778" t="s">
        <v>137</v>
      </c>
    </row>
    <row r="1779" spans="1:43" x14ac:dyDescent="0.2">
      <c r="A1779" t="s">
        <v>1113</v>
      </c>
      <c r="B1779" t="s">
        <v>1114</v>
      </c>
      <c r="C1779">
        <v>2018</v>
      </c>
      <c r="D1779" t="s">
        <v>44</v>
      </c>
      <c r="F1779" t="s">
        <v>1115</v>
      </c>
      <c r="G1779" t="s">
        <v>86</v>
      </c>
      <c r="H1779" t="s">
        <v>350</v>
      </c>
      <c r="I1779">
        <v>2015</v>
      </c>
      <c r="J1779">
        <v>1</v>
      </c>
      <c r="K1779" t="s">
        <v>104</v>
      </c>
      <c r="M1779">
        <v>0</v>
      </c>
      <c r="N1779" t="s">
        <v>121</v>
      </c>
      <c r="O1779" t="s">
        <v>121</v>
      </c>
      <c r="P1779" t="s">
        <v>269</v>
      </c>
      <c r="Q1779" s="1" t="s">
        <v>2292</v>
      </c>
      <c r="R1779" s="1" t="s">
        <v>264</v>
      </c>
      <c r="S1779" s="1" t="s">
        <v>264</v>
      </c>
      <c r="T1779" t="s">
        <v>396</v>
      </c>
      <c r="U1779" t="s">
        <v>168</v>
      </c>
      <c r="V1779" t="s">
        <v>194</v>
      </c>
      <c r="W1779" t="s">
        <v>269</v>
      </c>
      <c r="X1779" t="s">
        <v>642</v>
      </c>
      <c r="Y1779" t="s">
        <v>2273</v>
      </c>
      <c r="Z1779" t="s">
        <v>249</v>
      </c>
      <c r="AA1779" t="s">
        <v>2359</v>
      </c>
      <c r="AB1779" t="s">
        <v>1979</v>
      </c>
      <c r="AC1779" t="s">
        <v>152</v>
      </c>
      <c r="AD1779" t="s">
        <v>137</v>
      </c>
      <c r="AF1779" t="s">
        <v>49</v>
      </c>
      <c r="AI1779" t="s">
        <v>49</v>
      </c>
      <c r="AM1779" t="s">
        <v>201</v>
      </c>
      <c r="AN1779" t="s">
        <v>166</v>
      </c>
      <c r="AQ1779" s="5">
        <v>0</v>
      </c>
    </row>
    <row r="1780" spans="1:43" x14ac:dyDescent="0.2">
      <c r="A1780" t="s">
        <v>1113</v>
      </c>
      <c r="B1780" t="s">
        <v>1114</v>
      </c>
      <c r="C1780">
        <v>2018</v>
      </c>
      <c r="D1780" t="s">
        <v>44</v>
      </c>
      <c r="F1780" t="s">
        <v>1115</v>
      </c>
      <c r="G1780" t="s">
        <v>86</v>
      </c>
      <c r="H1780" t="s">
        <v>350</v>
      </c>
      <c r="I1780">
        <v>2015</v>
      </c>
      <c r="J1780">
        <v>1</v>
      </c>
      <c r="K1780" t="s">
        <v>104</v>
      </c>
      <c r="M1780">
        <v>0</v>
      </c>
      <c r="N1780" t="s">
        <v>120</v>
      </c>
      <c r="O1780" t="s">
        <v>1116</v>
      </c>
      <c r="P1780" t="s">
        <v>1116</v>
      </c>
      <c r="Q1780" s="1" t="s">
        <v>2276</v>
      </c>
      <c r="R1780" s="1" t="s">
        <v>669</v>
      </c>
      <c r="S1780" s="1" t="s">
        <v>168</v>
      </c>
      <c r="T1780" t="s">
        <v>396</v>
      </c>
      <c r="U1780" t="s">
        <v>264</v>
      </c>
      <c r="V1780" t="s">
        <v>194</v>
      </c>
      <c r="W1780" t="s">
        <v>269</v>
      </c>
      <c r="X1780" t="s">
        <v>642</v>
      </c>
      <c r="Y1780" t="s">
        <v>2273</v>
      </c>
      <c r="Z1780" t="s">
        <v>249</v>
      </c>
      <c r="AA1780" t="s">
        <v>2359</v>
      </c>
      <c r="AB1780" t="s">
        <v>1979</v>
      </c>
      <c r="AC1780" t="s">
        <v>152</v>
      </c>
      <c r="AD1780" t="s">
        <v>137</v>
      </c>
      <c r="AF1780" t="s">
        <v>49</v>
      </c>
      <c r="AI1780" t="s">
        <v>49</v>
      </c>
      <c r="AM1780" t="s">
        <v>201</v>
      </c>
      <c r="AN1780" t="s">
        <v>166</v>
      </c>
      <c r="AQ1780" s="5">
        <v>0</v>
      </c>
    </row>
    <row r="1781" spans="1:43" x14ac:dyDescent="0.2">
      <c r="A1781" t="s">
        <v>1113</v>
      </c>
      <c r="B1781" t="s">
        <v>1114</v>
      </c>
      <c r="C1781">
        <v>2018</v>
      </c>
      <c r="D1781" t="s">
        <v>44</v>
      </c>
      <c r="F1781" t="s">
        <v>1115</v>
      </c>
      <c r="G1781" t="s">
        <v>86</v>
      </c>
      <c r="H1781" t="s">
        <v>350</v>
      </c>
      <c r="I1781">
        <v>2015</v>
      </c>
      <c r="J1781">
        <v>1</v>
      </c>
      <c r="K1781" t="s">
        <v>104</v>
      </c>
      <c r="M1781">
        <v>0</v>
      </c>
      <c r="N1781" t="s">
        <v>121</v>
      </c>
      <c r="O1781" t="s">
        <v>121</v>
      </c>
      <c r="P1781" t="s">
        <v>269</v>
      </c>
      <c r="Q1781" s="1" t="s">
        <v>2292</v>
      </c>
      <c r="R1781" s="1" t="s">
        <v>264</v>
      </c>
      <c r="S1781" s="1" t="s">
        <v>264</v>
      </c>
      <c r="T1781" t="s">
        <v>396</v>
      </c>
      <c r="U1781" t="s">
        <v>168</v>
      </c>
      <c r="V1781" t="s">
        <v>194</v>
      </c>
      <c r="W1781" t="s">
        <v>269</v>
      </c>
      <c r="X1781" t="s">
        <v>642</v>
      </c>
      <c r="Y1781" t="s">
        <v>2273</v>
      </c>
      <c r="Z1781" t="s">
        <v>249</v>
      </c>
      <c r="AA1781" t="s">
        <v>2359</v>
      </c>
      <c r="AB1781" t="s">
        <v>1979</v>
      </c>
      <c r="AC1781" t="s">
        <v>152</v>
      </c>
      <c r="AD1781" t="s">
        <v>137</v>
      </c>
      <c r="AF1781" t="s">
        <v>49</v>
      </c>
      <c r="AI1781" t="s">
        <v>49</v>
      </c>
      <c r="AM1781" t="s">
        <v>201</v>
      </c>
      <c r="AN1781" t="s">
        <v>154</v>
      </c>
      <c r="AQ1781" s="5">
        <v>2</v>
      </c>
    </row>
    <row r="1782" spans="1:43" x14ac:dyDescent="0.2">
      <c r="A1782" t="s">
        <v>1113</v>
      </c>
      <c r="B1782" t="s">
        <v>1114</v>
      </c>
      <c r="C1782">
        <v>2018</v>
      </c>
      <c r="D1782" t="s">
        <v>44</v>
      </c>
      <c r="F1782" t="s">
        <v>1115</v>
      </c>
      <c r="G1782" t="s">
        <v>86</v>
      </c>
      <c r="H1782" t="s">
        <v>350</v>
      </c>
      <c r="I1782">
        <v>2015</v>
      </c>
      <c r="J1782">
        <v>1</v>
      </c>
      <c r="K1782" t="s">
        <v>104</v>
      </c>
      <c r="M1782">
        <v>0</v>
      </c>
      <c r="N1782" t="s">
        <v>120</v>
      </c>
      <c r="O1782" t="s">
        <v>1116</v>
      </c>
      <c r="P1782" t="s">
        <v>1116</v>
      </c>
      <c r="Q1782" s="1" t="s">
        <v>2276</v>
      </c>
      <c r="R1782" s="1" t="s">
        <v>669</v>
      </c>
      <c r="S1782" s="1" t="s">
        <v>168</v>
      </c>
      <c r="T1782" t="s">
        <v>396</v>
      </c>
      <c r="U1782" t="s">
        <v>264</v>
      </c>
      <c r="V1782" t="s">
        <v>194</v>
      </c>
      <c r="W1782" t="s">
        <v>269</v>
      </c>
      <c r="X1782" t="s">
        <v>642</v>
      </c>
      <c r="Y1782" t="s">
        <v>2273</v>
      </c>
      <c r="Z1782" t="s">
        <v>249</v>
      </c>
      <c r="AA1782" t="s">
        <v>2359</v>
      </c>
      <c r="AB1782" t="s">
        <v>1979</v>
      </c>
      <c r="AC1782" t="s">
        <v>152</v>
      </c>
      <c r="AD1782" t="s">
        <v>137</v>
      </c>
      <c r="AF1782" t="s">
        <v>49</v>
      </c>
      <c r="AI1782" t="s">
        <v>49</v>
      </c>
      <c r="AM1782" t="s">
        <v>201</v>
      </c>
      <c r="AN1782" t="s">
        <v>154</v>
      </c>
      <c r="AQ1782" s="5">
        <v>1</v>
      </c>
    </row>
    <row r="1783" spans="1:43" x14ac:dyDescent="0.2">
      <c r="A1783" t="s">
        <v>1113</v>
      </c>
      <c r="B1783" t="s">
        <v>1114</v>
      </c>
      <c r="C1783">
        <v>2018</v>
      </c>
      <c r="D1783" t="s">
        <v>44</v>
      </c>
      <c r="F1783" t="s">
        <v>1115</v>
      </c>
      <c r="G1783" t="s">
        <v>86</v>
      </c>
      <c r="H1783" t="s">
        <v>350</v>
      </c>
      <c r="I1783">
        <v>2015</v>
      </c>
      <c r="J1783">
        <v>1</v>
      </c>
      <c r="K1783" t="s">
        <v>104</v>
      </c>
      <c r="M1783">
        <v>0</v>
      </c>
      <c r="N1783" t="s">
        <v>121</v>
      </c>
      <c r="O1783" t="s">
        <v>121</v>
      </c>
      <c r="P1783" t="s">
        <v>269</v>
      </c>
      <c r="Q1783" s="1" t="s">
        <v>2292</v>
      </c>
      <c r="R1783" s="1" t="s">
        <v>264</v>
      </c>
      <c r="S1783" s="1" t="s">
        <v>264</v>
      </c>
      <c r="T1783" t="s">
        <v>396</v>
      </c>
      <c r="U1783" t="s">
        <v>168</v>
      </c>
      <c r="V1783" t="s">
        <v>194</v>
      </c>
      <c r="W1783" t="s">
        <v>269</v>
      </c>
      <c r="X1783" t="s">
        <v>642</v>
      </c>
      <c r="Y1783" t="s">
        <v>2273</v>
      </c>
      <c r="Z1783" t="s">
        <v>249</v>
      </c>
      <c r="AA1783" t="s">
        <v>2359</v>
      </c>
      <c r="AB1783" t="s">
        <v>1979</v>
      </c>
      <c r="AC1783" t="s">
        <v>152</v>
      </c>
      <c r="AD1783" t="s">
        <v>137</v>
      </c>
      <c r="AF1783" t="s">
        <v>49</v>
      </c>
      <c r="AI1783" t="s">
        <v>49</v>
      </c>
      <c r="AM1783" t="s">
        <v>201</v>
      </c>
      <c r="AN1783" t="s">
        <v>165</v>
      </c>
      <c r="AP1783" t="s">
        <v>49</v>
      </c>
    </row>
    <row r="1784" spans="1:43" x14ac:dyDescent="0.2">
      <c r="A1784" t="s">
        <v>1113</v>
      </c>
      <c r="B1784" t="s">
        <v>1114</v>
      </c>
      <c r="C1784">
        <v>2018</v>
      </c>
      <c r="D1784" t="s">
        <v>44</v>
      </c>
      <c r="F1784" t="s">
        <v>1115</v>
      </c>
      <c r="G1784" t="s">
        <v>86</v>
      </c>
      <c r="H1784" t="s">
        <v>350</v>
      </c>
      <c r="I1784">
        <v>2015</v>
      </c>
      <c r="J1784">
        <v>1</v>
      </c>
      <c r="K1784" t="s">
        <v>104</v>
      </c>
      <c r="M1784">
        <v>0</v>
      </c>
      <c r="N1784" t="s">
        <v>120</v>
      </c>
      <c r="O1784" t="s">
        <v>1116</v>
      </c>
      <c r="P1784" t="s">
        <v>1116</v>
      </c>
      <c r="Q1784" s="1" t="s">
        <v>2276</v>
      </c>
      <c r="R1784" s="1" t="s">
        <v>669</v>
      </c>
      <c r="S1784" s="1" t="s">
        <v>168</v>
      </c>
      <c r="T1784" t="s">
        <v>396</v>
      </c>
      <c r="U1784" t="s">
        <v>264</v>
      </c>
      <c r="V1784" t="s">
        <v>194</v>
      </c>
      <c r="W1784" t="s">
        <v>269</v>
      </c>
      <c r="X1784" t="s">
        <v>642</v>
      </c>
      <c r="Y1784" t="s">
        <v>2273</v>
      </c>
      <c r="Z1784" t="s">
        <v>249</v>
      </c>
      <c r="AA1784" t="s">
        <v>2359</v>
      </c>
      <c r="AB1784" t="s">
        <v>1979</v>
      </c>
      <c r="AC1784" t="s">
        <v>152</v>
      </c>
      <c r="AD1784" t="s">
        <v>137</v>
      </c>
      <c r="AF1784" t="s">
        <v>49</v>
      </c>
      <c r="AI1784" t="s">
        <v>49</v>
      </c>
      <c r="AM1784" t="s">
        <v>201</v>
      </c>
      <c r="AN1784" t="s">
        <v>165</v>
      </c>
      <c r="AP1784" t="s">
        <v>49</v>
      </c>
    </row>
    <row r="1785" spans="1:43" x14ac:dyDescent="0.2">
      <c r="A1785" t="s">
        <v>1117</v>
      </c>
      <c r="B1785" t="s">
        <v>1118</v>
      </c>
      <c r="C1785">
        <v>2018</v>
      </c>
      <c r="D1785" t="s">
        <v>44</v>
      </c>
      <c r="F1785" t="s">
        <v>1119</v>
      </c>
      <c r="G1785" t="s">
        <v>88</v>
      </c>
      <c r="H1785" t="s">
        <v>350</v>
      </c>
      <c r="I1785" t="s">
        <v>1120</v>
      </c>
      <c r="J1785">
        <v>1.4</v>
      </c>
      <c r="K1785" t="s">
        <v>109</v>
      </c>
      <c r="L1785">
        <v>650</v>
      </c>
      <c r="N1785" t="s">
        <v>760</v>
      </c>
      <c r="O1785" t="s">
        <v>760</v>
      </c>
      <c r="P1785" t="s">
        <v>1121</v>
      </c>
      <c r="Q1785" s="1" t="s">
        <v>2292</v>
      </c>
      <c r="R1785" s="1" t="s">
        <v>760</v>
      </c>
      <c r="S1785" s="1" t="s">
        <v>760</v>
      </c>
      <c r="T1785" t="s">
        <v>396</v>
      </c>
      <c r="U1785" s="1" t="s">
        <v>2396</v>
      </c>
      <c r="X1785" t="s">
        <v>161</v>
      </c>
      <c r="Y1785" t="s">
        <v>2272</v>
      </c>
      <c r="Z1785" t="s">
        <v>2272</v>
      </c>
      <c r="AA1785" t="s">
        <v>2272</v>
      </c>
      <c r="AB1785" t="s">
        <v>2272</v>
      </c>
      <c r="AC1785" t="s">
        <v>162</v>
      </c>
      <c r="AD1785" t="s">
        <v>2272</v>
      </c>
      <c r="AF1785" t="s">
        <v>49</v>
      </c>
      <c r="AI1785" t="s">
        <v>49</v>
      </c>
      <c r="AM1785" t="s">
        <v>1038</v>
      </c>
      <c r="AN1785" t="s">
        <v>165</v>
      </c>
      <c r="AP1785" t="s">
        <v>49</v>
      </c>
    </row>
    <row r="1786" spans="1:43" x14ac:dyDescent="0.2">
      <c r="A1786" t="s">
        <v>1117</v>
      </c>
      <c r="B1786" t="s">
        <v>1118</v>
      </c>
      <c r="C1786">
        <v>2018</v>
      </c>
      <c r="D1786" t="s">
        <v>44</v>
      </c>
      <c r="F1786" t="s">
        <v>1119</v>
      </c>
      <c r="G1786" t="s">
        <v>88</v>
      </c>
      <c r="H1786" t="s">
        <v>350</v>
      </c>
      <c r="I1786" t="s">
        <v>1120</v>
      </c>
      <c r="J1786">
        <v>1.4</v>
      </c>
      <c r="K1786" t="s">
        <v>109</v>
      </c>
      <c r="L1786">
        <v>650</v>
      </c>
      <c r="N1786" t="s">
        <v>121</v>
      </c>
      <c r="O1786" t="s">
        <v>121</v>
      </c>
      <c r="P1786" t="s">
        <v>1122</v>
      </c>
      <c r="Q1786" s="1" t="s">
        <v>2292</v>
      </c>
      <c r="R1786" s="1" t="s">
        <v>264</v>
      </c>
      <c r="S1786" s="1" t="s">
        <v>264</v>
      </c>
      <c r="T1786" t="s">
        <v>396</v>
      </c>
      <c r="U1786" s="1" t="s">
        <v>2397</v>
      </c>
      <c r="X1786" t="s">
        <v>161</v>
      </c>
      <c r="Y1786" t="s">
        <v>2272</v>
      </c>
      <c r="Z1786" t="s">
        <v>2272</v>
      </c>
      <c r="AA1786" t="s">
        <v>2272</v>
      </c>
      <c r="AB1786" t="s">
        <v>2272</v>
      </c>
      <c r="AC1786" t="s">
        <v>162</v>
      </c>
      <c r="AD1786" t="s">
        <v>2272</v>
      </c>
      <c r="AF1786" t="s">
        <v>49</v>
      </c>
      <c r="AI1786" t="s">
        <v>49</v>
      </c>
      <c r="AM1786" t="s">
        <v>1038</v>
      </c>
      <c r="AN1786" t="s">
        <v>165</v>
      </c>
      <c r="AP1786" t="s">
        <v>49</v>
      </c>
    </row>
    <row r="1787" spans="1:43" x14ac:dyDescent="0.2">
      <c r="A1787" t="s">
        <v>1117</v>
      </c>
      <c r="B1787" t="s">
        <v>1118</v>
      </c>
      <c r="C1787">
        <v>2018</v>
      </c>
      <c r="D1787" t="s">
        <v>44</v>
      </c>
      <c r="F1787" t="s">
        <v>1119</v>
      </c>
      <c r="G1787" t="s">
        <v>88</v>
      </c>
      <c r="H1787" t="s">
        <v>350</v>
      </c>
      <c r="I1787" t="s">
        <v>1120</v>
      </c>
      <c r="J1787">
        <v>1.4</v>
      </c>
      <c r="K1787" t="s">
        <v>109</v>
      </c>
      <c r="L1787">
        <v>650</v>
      </c>
      <c r="N1787" t="s">
        <v>127</v>
      </c>
      <c r="O1787" t="s">
        <v>1123</v>
      </c>
      <c r="Q1787" s="1" t="s">
        <v>2281</v>
      </c>
      <c r="R1787" s="1" t="s">
        <v>2291</v>
      </c>
      <c r="S1787" s="1" t="s">
        <v>2291</v>
      </c>
      <c r="T1787" t="s">
        <v>396</v>
      </c>
      <c r="U1787" s="1" t="s">
        <v>2335</v>
      </c>
      <c r="X1787" t="s">
        <v>161</v>
      </c>
      <c r="Y1787" t="s">
        <v>2272</v>
      </c>
      <c r="Z1787" t="s">
        <v>2272</v>
      </c>
      <c r="AA1787" t="s">
        <v>2272</v>
      </c>
      <c r="AB1787" t="s">
        <v>2272</v>
      </c>
      <c r="AC1787" t="s">
        <v>162</v>
      </c>
      <c r="AD1787" t="s">
        <v>2272</v>
      </c>
      <c r="AF1787" t="s">
        <v>49</v>
      </c>
      <c r="AI1787" t="s">
        <v>49</v>
      </c>
      <c r="AM1787" t="s">
        <v>1038</v>
      </c>
      <c r="AN1787" t="s">
        <v>165</v>
      </c>
      <c r="AP1787" t="s">
        <v>49</v>
      </c>
    </row>
    <row r="1788" spans="1:43" x14ac:dyDescent="0.2">
      <c r="A1788" t="s">
        <v>1117</v>
      </c>
      <c r="B1788" t="s">
        <v>1118</v>
      </c>
      <c r="C1788">
        <v>2018</v>
      </c>
      <c r="D1788" t="s">
        <v>44</v>
      </c>
      <c r="F1788" t="s">
        <v>1119</v>
      </c>
      <c r="G1788" t="s">
        <v>88</v>
      </c>
      <c r="H1788" t="s">
        <v>350</v>
      </c>
      <c r="I1788" t="s">
        <v>1120</v>
      </c>
      <c r="J1788">
        <v>1.4</v>
      </c>
      <c r="K1788" t="s">
        <v>109</v>
      </c>
      <c r="L1788">
        <v>650</v>
      </c>
      <c r="N1788" t="s">
        <v>760</v>
      </c>
      <c r="O1788" t="s">
        <v>760</v>
      </c>
      <c r="P1788" t="s">
        <v>1121</v>
      </c>
      <c r="Q1788" s="1" t="s">
        <v>2292</v>
      </c>
      <c r="R1788" s="1" t="s">
        <v>760</v>
      </c>
      <c r="S1788" s="1" t="s">
        <v>760</v>
      </c>
      <c r="T1788" t="s">
        <v>421</v>
      </c>
      <c r="U1788" t="s">
        <v>421</v>
      </c>
      <c r="X1788" t="s">
        <v>161</v>
      </c>
      <c r="Y1788" t="s">
        <v>2272</v>
      </c>
      <c r="Z1788" t="s">
        <v>2272</v>
      </c>
      <c r="AA1788" t="s">
        <v>2272</v>
      </c>
      <c r="AB1788" t="s">
        <v>2272</v>
      </c>
      <c r="AC1788" t="s">
        <v>162</v>
      </c>
      <c r="AD1788" t="s">
        <v>2272</v>
      </c>
      <c r="AF1788" t="s">
        <v>49</v>
      </c>
      <c r="AI1788" t="s">
        <v>49</v>
      </c>
      <c r="AM1788" t="s">
        <v>1038</v>
      </c>
      <c r="AN1788" t="s">
        <v>165</v>
      </c>
      <c r="AP1788" t="s">
        <v>49</v>
      </c>
    </row>
    <row r="1789" spans="1:43" x14ac:dyDescent="0.2">
      <c r="A1789" t="s">
        <v>1117</v>
      </c>
      <c r="B1789" t="s">
        <v>1118</v>
      </c>
      <c r="C1789">
        <v>2018</v>
      </c>
      <c r="D1789" t="s">
        <v>44</v>
      </c>
      <c r="F1789" t="s">
        <v>1119</v>
      </c>
      <c r="G1789" t="s">
        <v>88</v>
      </c>
      <c r="H1789" t="s">
        <v>350</v>
      </c>
      <c r="I1789" t="s">
        <v>1120</v>
      </c>
      <c r="J1789">
        <v>1.4</v>
      </c>
      <c r="K1789" t="s">
        <v>109</v>
      </c>
      <c r="L1789">
        <v>650</v>
      </c>
      <c r="N1789" t="s">
        <v>121</v>
      </c>
      <c r="O1789" t="s">
        <v>121</v>
      </c>
      <c r="P1789" t="s">
        <v>1122</v>
      </c>
      <c r="Q1789" s="1" t="s">
        <v>2292</v>
      </c>
      <c r="R1789" s="1" t="s">
        <v>264</v>
      </c>
      <c r="S1789" s="1" t="s">
        <v>264</v>
      </c>
      <c r="T1789" t="s">
        <v>421</v>
      </c>
      <c r="U1789" t="s">
        <v>421</v>
      </c>
      <c r="X1789" t="s">
        <v>161</v>
      </c>
      <c r="Y1789" t="s">
        <v>2272</v>
      </c>
      <c r="Z1789" t="s">
        <v>2272</v>
      </c>
      <c r="AA1789" t="s">
        <v>2272</v>
      </c>
      <c r="AB1789" t="s">
        <v>2272</v>
      </c>
      <c r="AC1789" t="s">
        <v>162</v>
      </c>
      <c r="AD1789" t="s">
        <v>2272</v>
      </c>
      <c r="AF1789" t="s">
        <v>49</v>
      </c>
      <c r="AI1789" t="s">
        <v>49</v>
      </c>
      <c r="AM1789" t="s">
        <v>1038</v>
      </c>
      <c r="AN1789" t="s">
        <v>165</v>
      </c>
      <c r="AP1789" t="s">
        <v>49</v>
      </c>
    </row>
    <row r="1790" spans="1:43" x14ac:dyDescent="0.2">
      <c r="A1790" t="s">
        <v>1117</v>
      </c>
      <c r="B1790" t="s">
        <v>1118</v>
      </c>
      <c r="C1790">
        <v>2018</v>
      </c>
      <c r="D1790" t="s">
        <v>44</v>
      </c>
      <c r="F1790" t="s">
        <v>1119</v>
      </c>
      <c r="G1790" t="s">
        <v>88</v>
      </c>
      <c r="H1790" t="s">
        <v>350</v>
      </c>
      <c r="I1790" t="s">
        <v>1120</v>
      </c>
      <c r="J1790">
        <v>1.4</v>
      </c>
      <c r="K1790" t="s">
        <v>109</v>
      </c>
      <c r="L1790">
        <v>650</v>
      </c>
      <c r="N1790" t="s">
        <v>127</v>
      </c>
      <c r="O1790" t="s">
        <v>1123</v>
      </c>
      <c r="Q1790" s="1" t="s">
        <v>2281</v>
      </c>
      <c r="R1790" s="1" t="s">
        <v>2291</v>
      </c>
      <c r="S1790" s="1" t="s">
        <v>2291</v>
      </c>
      <c r="T1790" t="s">
        <v>421</v>
      </c>
      <c r="U1790" t="s">
        <v>421</v>
      </c>
      <c r="X1790" t="s">
        <v>161</v>
      </c>
      <c r="Y1790" t="s">
        <v>2272</v>
      </c>
      <c r="Z1790" t="s">
        <v>2272</v>
      </c>
      <c r="AA1790" t="s">
        <v>2272</v>
      </c>
      <c r="AB1790" t="s">
        <v>2272</v>
      </c>
      <c r="AC1790" t="s">
        <v>162</v>
      </c>
      <c r="AD1790" t="s">
        <v>2272</v>
      </c>
      <c r="AF1790" t="s">
        <v>49</v>
      </c>
      <c r="AI1790" t="s">
        <v>49</v>
      </c>
      <c r="AM1790" t="s">
        <v>1038</v>
      </c>
      <c r="AN1790" t="s">
        <v>165</v>
      </c>
      <c r="AP1790" t="s">
        <v>49</v>
      </c>
    </row>
    <row r="1791" spans="1:43" x14ac:dyDescent="0.2">
      <c r="A1791" t="s">
        <v>1117</v>
      </c>
      <c r="B1791" t="s">
        <v>1118</v>
      </c>
      <c r="C1791">
        <v>2018</v>
      </c>
      <c r="D1791" t="s">
        <v>44</v>
      </c>
      <c r="F1791" t="s">
        <v>1119</v>
      </c>
      <c r="G1791" t="s">
        <v>88</v>
      </c>
      <c r="H1791" t="s">
        <v>350</v>
      </c>
      <c r="I1791" t="s">
        <v>1120</v>
      </c>
      <c r="J1791">
        <v>1.4</v>
      </c>
      <c r="K1791" t="s">
        <v>109</v>
      </c>
      <c r="L1791">
        <v>650</v>
      </c>
      <c r="N1791" t="s">
        <v>760</v>
      </c>
      <c r="O1791" t="s">
        <v>760</v>
      </c>
      <c r="P1791" t="s">
        <v>1121</v>
      </c>
      <c r="Q1791" s="1" t="s">
        <v>2292</v>
      </c>
      <c r="R1791" s="1" t="s">
        <v>760</v>
      </c>
      <c r="S1791" s="1" t="s">
        <v>760</v>
      </c>
      <c r="T1791" t="s">
        <v>396</v>
      </c>
      <c r="U1791" s="1" t="s">
        <v>2396</v>
      </c>
      <c r="X1791" t="s">
        <v>161</v>
      </c>
      <c r="Y1791" t="s">
        <v>2272</v>
      </c>
      <c r="Z1791" t="s">
        <v>2272</v>
      </c>
      <c r="AA1791" t="s">
        <v>2272</v>
      </c>
      <c r="AB1791" t="s">
        <v>2272</v>
      </c>
      <c r="AC1791" t="s">
        <v>162</v>
      </c>
      <c r="AD1791" t="s">
        <v>2272</v>
      </c>
      <c r="AF1791" t="s">
        <v>49</v>
      </c>
      <c r="AK1791" t="s">
        <v>49</v>
      </c>
      <c r="AM1791" t="s">
        <v>295</v>
      </c>
      <c r="AN1791" t="s">
        <v>165</v>
      </c>
      <c r="AP1791" t="s">
        <v>49</v>
      </c>
    </row>
    <row r="1792" spans="1:43" x14ac:dyDescent="0.2">
      <c r="A1792" t="s">
        <v>1117</v>
      </c>
      <c r="B1792" t="s">
        <v>1118</v>
      </c>
      <c r="C1792">
        <v>2018</v>
      </c>
      <c r="D1792" t="s">
        <v>44</v>
      </c>
      <c r="F1792" t="s">
        <v>1119</v>
      </c>
      <c r="G1792" t="s">
        <v>88</v>
      </c>
      <c r="H1792" t="s">
        <v>350</v>
      </c>
      <c r="I1792" t="s">
        <v>1120</v>
      </c>
      <c r="J1792">
        <v>1.4</v>
      </c>
      <c r="K1792" t="s">
        <v>109</v>
      </c>
      <c r="L1792">
        <v>650</v>
      </c>
      <c r="N1792" t="s">
        <v>121</v>
      </c>
      <c r="O1792" t="s">
        <v>121</v>
      </c>
      <c r="P1792" t="s">
        <v>1122</v>
      </c>
      <c r="Q1792" s="1" t="s">
        <v>2292</v>
      </c>
      <c r="R1792" s="1" t="s">
        <v>264</v>
      </c>
      <c r="S1792" s="1" t="s">
        <v>264</v>
      </c>
      <c r="T1792" t="s">
        <v>396</v>
      </c>
      <c r="U1792" s="1" t="s">
        <v>2397</v>
      </c>
      <c r="X1792" t="s">
        <v>161</v>
      </c>
      <c r="Y1792" t="s">
        <v>2272</v>
      </c>
      <c r="Z1792" t="s">
        <v>2272</v>
      </c>
      <c r="AA1792" t="s">
        <v>2272</v>
      </c>
      <c r="AB1792" t="s">
        <v>2272</v>
      </c>
      <c r="AC1792" t="s">
        <v>162</v>
      </c>
      <c r="AD1792" t="s">
        <v>2272</v>
      </c>
      <c r="AF1792" t="s">
        <v>49</v>
      </c>
      <c r="AK1792" t="s">
        <v>49</v>
      </c>
      <c r="AM1792" t="s">
        <v>295</v>
      </c>
      <c r="AN1792" t="s">
        <v>165</v>
      </c>
      <c r="AP1792" t="s">
        <v>49</v>
      </c>
    </row>
    <row r="1793" spans="1:43" x14ac:dyDescent="0.2">
      <c r="A1793" t="s">
        <v>1117</v>
      </c>
      <c r="B1793" t="s">
        <v>1118</v>
      </c>
      <c r="C1793">
        <v>2018</v>
      </c>
      <c r="D1793" t="s">
        <v>44</v>
      </c>
      <c r="F1793" t="s">
        <v>1119</v>
      </c>
      <c r="G1793" t="s">
        <v>88</v>
      </c>
      <c r="H1793" t="s">
        <v>350</v>
      </c>
      <c r="I1793" t="s">
        <v>1120</v>
      </c>
      <c r="J1793">
        <v>1.4</v>
      </c>
      <c r="K1793" t="s">
        <v>109</v>
      </c>
      <c r="L1793">
        <v>650</v>
      </c>
      <c r="N1793" t="s">
        <v>127</v>
      </c>
      <c r="O1793" t="s">
        <v>1123</v>
      </c>
      <c r="Q1793" s="1" t="s">
        <v>2281</v>
      </c>
      <c r="R1793" s="1" t="s">
        <v>2291</v>
      </c>
      <c r="S1793" s="1" t="s">
        <v>2291</v>
      </c>
      <c r="T1793" t="s">
        <v>396</v>
      </c>
      <c r="U1793" s="1" t="s">
        <v>2335</v>
      </c>
      <c r="X1793" t="s">
        <v>161</v>
      </c>
      <c r="Y1793" t="s">
        <v>2272</v>
      </c>
      <c r="Z1793" t="s">
        <v>2272</v>
      </c>
      <c r="AA1793" t="s">
        <v>2272</v>
      </c>
      <c r="AB1793" t="s">
        <v>2272</v>
      </c>
      <c r="AC1793" t="s">
        <v>162</v>
      </c>
      <c r="AD1793" t="s">
        <v>2272</v>
      </c>
      <c r="AF1793" t="s">
        <v>49</v>
      </c>
      <c r="AK1793" t="s">
        <v>49</v>
      </c>
      <c r="AM1793" t="s">
        <v>295</v>
      </c>
      <c r="AN1793" t="s">
        <v>165</v>
      </c>
      <c r="AP1793" t="s">
        <v>49</v>
      </c>
    </row>
    <row r="1794" spans="1:43" x14ac:dyDescent="0.2">
      <c r="A1794" t="s">
        <v>1117</v>
      </c>
      <c r="B1794" t="s">
        <v>1118</v>
      </c>
      <c r="C1794">
        <v>2018</v>
      </c>
      <c r="D1794" t="s">
        <v>44</v>
      </c>
      <c r="F1794" t="s">
        <v>1119</v>
      </c>
      <c r="G1794" t="s">
        <v>88</v>
      </c>
      <c r="H1794" t="s">
        <v>350</v>
      </c>
      <c r="I1794" t="s">
        <v>1120</v>
      </c>
      <c r="J1794">
        <v>1.4</v>
      </c>
      <c r="K1794" t="s">
        <v>109</v>
      </c>
      <c r="L1794">
        <v>650</v>
      </c>
      <c r="N1794" t="s">
        <v>760</v>
      </c>
      <c r="O1794" t="s">
        <v>760</v>
      </c>
      <c r="P1794" t="s">
        <v>1121</v>
      </c>
      <c r="Q1794" s="1" t="s">
        <v>2292</v>
      </c>
      <c r="R1794" s="1" t="s">
        <v>760</v>
      </c>
      <c r="S1794" s="1" t="s">
        <v>760</v>
      </c>
      <c r="T1794" t="s">
        <v>421</v>
      </c>
      <c r="U1794" t="s">
        <v>421</v>
      </c>
      <c r="X1794" t="s">
        <v>161</v>
      </c>
      <c r="Y1794" t="s">
        <v>2272</v>
      </c>
      <c r="Z1794" t="s">
        <v>2272</v>
      </c>
      <c r="AA1794" t="s">
        <v>2272</v>
      </c>
      <c r="AB1794" t="s">
        <v>2272</v>
      </c>
      <c r="AC1794" t="s">
        <v>162</v>
      </c>
      <c r="AD1794" t="s">
        <v>2272</v>
      </c>
      <c r="AF1794" t="s">
        <v>49</v>
      </c>
      <c r="AK1794" t="s">
        <v>49</v>
      </c>
      <c r="AM1794" t="s">
        <v>295</v>
      </c>
      <c r="AN1794" t="s">
        <v>165</v>
      </c>
      <c r="AP1794" t="s">
        <v>49</v>
      </c>
    </row>
    <row r="1795" spans="1:43" x14ac:dyDescent="0.2">
      <c r="A1795" t="s">
        <v>1117</v>
      </c>
      <c r="B1795" t="s">
        <v>1118</v>
      </c>
      <c r="C1795">
        <v>2018</v>
      </c>
      <c r="D1795" t="s">
        <v>44</v>
      </c>
      <c r="F1795" t="s">
        <v>1119</v>
      </c>
      <c r="G1795" t="s">
        <v>88</v>
      </c>
      <c r="H1795" t="s">
        <v>350</v>
      </c>
      <c r="I1795" t="s">
        <v>1120</v>
      </c>
      <c r="J1795">
        <v>1.4</v>
      </c>
      <c r="K1795" t="s">
        <v>109</v>
      </c>
      <c r="L1795">
        <v>650</v>
      </c>
      <c r="N1795" t="s">
        <v>121</v>
      </c>
      <c r="O1795" t="s">
        <v>121</v>
      </c>
      <c r="P1795" t="s">
        <v>1122</v>
      </c>
      <c r="Q1795" s="1" t="s">
        <v>2292</v>
      </c>
      <c r="R1795" s="1" t="s">
        <v>264</v>
      </c>
      <c r="S1795" s="1" t="s">
        <v>264</v>
      </c>
      <c r="T1795" t="s">
        <v>421</v>
      </c>
      <c r="U1795" t="s">
        <v>421</v>
      </c>
      <c r="X1795" t="s">
        <v>161</v>
      </c>
      <c r="Y1795" t="s">
        <v>2272</v>
      </c>
      <c r="Z1795" t="s">
        <v>2272</v>
      </c>
      <c r="AA1795" t="s">
        <v>2272</v>
      </c>
      <c r="AB1795" t="s">
        <v>2272</v>
      </c>
      <c r="AC1795" t="s">
        <v>162</v>
      </c>
      <c r="AD1795" t="s">
        <v>2272</v>
      </c>
      <c r="AF1795" t="s">
        <v>49</v>
      </c>
      <c r="AK1795" t="s">
        <v>49</v>
      </c>
      <c r="AM1795" t="s">
        <v>295</v>
      </c>
      <c r="AN1795" t="s">
        <v>165</v>
      </c>
      <c r="AP1795" t="s">
        <v>49</v>
      </c>
    </row>
    <row r="1796" spans="1:43" x14ac:dyDescent="0.2">
      <c r="A1796" t="s">
        <v>1117</v>
      </c>
      <c r="B1796" t="s">
        <v>1118</v>
      </c>
      <c r="C1796">
        <v>2018</v>
      </c>
      <c r="D1796" t="s">
        <v>44</v>
      </c>
      <c r="F1796" t="s">
        <v>1119</v>
      </c>
      <c r="G1796" t="s">
        <v>88</v>
      </c>
      <c r="H1796" t="s">
        <v>350</v>
      </c>
      <c r="I1796" t="s">
        <v>1120</v>
      </c>
      <c r="J1796">
        <v>1.4</v>
      </c>
      <c r="K1796" t="s">
        <v>109</v>
      </c>
      <c r="L1796">
        <v>650</v>
      </c>
      <c r="N1796" t="s">
        <v>127</v>
      </c>
      <c r="O1796" t="s">
        <v>1123</v>
      </c>
      <c r="Q1796" s="1" t="s">
        <v>2281</v>
      </c>
      <c r="R1796" s="1" t="s">
        <v>2291</v>
      </c>
      <c r="S1796" s="1" t="s">
        <v>2291</v>
      </c>
      <c r="T1796" t="s">
        <v>421</v>
      </c>
      <c r="U1796" t="s">
        <v>421</v>
      </c>
      <c r="X1796" t="s">
        <v>161</v>
      </c>
      <c r="Y1796" t="s">
        <v>2272</v>
      </c>
      <c r="Z1796" t="s">
        <v>2272</v>
      </c>
      <c r="AA1796" t="s">
        <v>2272</v>
      </c>
      <c r="AB1796" t="s">
        <v>2272</v>
      </c>
      <c r="AC1796" t="s">
        <v>162</v>
      </c>
      <c r="AD1796" t="s">
        <v>2272</v>
      </c>
      <c r="AF1796" t="s">
        <v>49</v>
      </c>
      <c r="AK1796" t="s">
        <v>49</v>
      </c>
      <c r="AM1796" t="s">
        <v>295</v>
      </c>
      <c r="AN1796" t="s">
        <v>165</v>
      </c>
      <c r="AP1796" t="s">
        <v>49</v>
      </c>
    </row>
    <row r="1797" spans="1:43" x14ac:dyDescent="0.2">
      <c r="A1797" t="s">
        <v>1117</v>
      </c>
      <c r="B1797" t="s">
        <v>1118</v>
      </c>
      <c r="C1797">
        <v>2018</v>
      </c>
      <c r="D1797" t="s">
        <v>44</v>
      </c>
      <c r="F1797" t="s">
        <v>1119</v>
      </c>
      <c r="G1797" t="s">
        <v>88</v>
      </c>
      <c r="H1797" t="s">
        <v>350</v>
      </c>
      <c r="I1797" t="s">
        <v>1120</v>
      </c>
      <c r="J1797">
        <v>1.4</v>
      </c>
      <c r="K1797" t="s">
        <v>109</v>
      </c>
      <c r="L1797">
        <v>650</v>
      </c>
      <c r="N1797" t="s">
        <v>760</v>
      </c>
      <c r="O1797" t="s">
        <v>760</v>
      </c>
      <c r="P1797" t="s">
        <v>1121</v>
      </c>
      <c r="Q1797" s="1" t="s">
        <v>2292</v>
      </c>
      <c r="R1797" s="1" t="s">
        <v>760</v>
      </c>
      <c r="S1797" s="1" t="s">
        <v>760</v>
      </c>
      <c r="T1797" t="s">
        <v>396</v>
      </c>
      <c r="U1797" s="1" t="s">
        <v>2396</v>
      </c>
      <c r="X1797" t="s">
        <v>161</v>
      </c>
      <c r="Y1797" t="s">
        <v>2272</v>
      </c>
      <c r="Z1797" t="s">
        <v>2272</v>
      </c>
      <c r="AA1797" t="s">
        <v>2272</v>
      </c>
      <c r="AB1797" t="s">
        <v>2272</v>
      </c>
      <c r="AC1797" t="s">
        <v>162</v>
      </c>
      <c r="AD1797" t="s">
        <v>2272</v>
      </c>
      <c r="AF1797" t="s">
        <v>49</v>
      </c>
      <c r="AK1797" t="s">
        <v>49</v>
      </c>
      <c r="AM1797" t="s">
        <v>295</v>
      </c>
      <c r="AN1797" t="s">
        <v>166</v>
      </c>
      <c r="AQ1797" s="5">
        <v>0</v>
      </c>
    </row>
    <row r="1798" spans="1:43" x14ac:dyDescent="0.2">
      <c r="A1798" t="s">
        <v>1117</v>
      </c>
      <c r="B1798" t="s">
        <v>1118</v>
      </c>
      <c r="C1798">
        <v>2018</v>
      </c>
      <c r="D1798" t="s">
        <v>44</v>
      </c>
      <c r="F1798" t="s">
        <v>1119</v>
      </c>
      <c r="G1798" t="s">
        <v>88</v>
      </c>
      <c r="H1798" t="s">
        <v>350</v>
      </c>
      <c r="I1798" t="s">
        <v>1120</v>
      </c>
      <c r="J1798">
        <v>1.4</v>
      </c>
      <c r="K1798" t="s">
        <v>109</v>
      </c>
      <c r="L1798">
        <v>650</v>
      </c>
      <c r="N1798" t="s">
        <v>121</v>
      </c>
      <c r="O1798" t="s">
        <v>121</v>
      </c>
      <c r="P1798" t="s">
        <v>1122</v>
      </c>
      <c r="Q1798" s="1" t="s">
        <v>2292</v>
      </c>
      <c r="R1798" s="1" t="s">
        <v>264</v>
      </c>
      <c r="S1798" s="1" t="s">
        <v>264</v>
      </c>
      <c r="T1798" t="s">
        <v>396</v>
      </c>
      <c r="U1798" s="1" t="s">
        <v>2397</v>
      </c>
      <c r="X1798" t="s">
        <v>161</v>
      </c>
      <c r="Y1798" t="s">
        <v>2272</v>
      </c>
      <c r="Z1798" t="s">
        <v>2272</v>
      </c>
      <c r="AA1798" t="s">
        <v>2272</v>
      </c>
      <c r="AB1798" t="s">
        <v>2272</v>
      </c>
      <c r="AC1798" t="s">
        <v>162</v>
      </c>
      <c r="AD1798" t="s">
        <v>2272</v>
      </c>
      <c r="AF1798" t="s">
        <v>49</v>
      </c>
      <c r="AK1798" t="s">
        <v>49</v>
      </c>
      <c r="AM1798" t="s">
        <v>295</v>
      </c>
      <c r="AN1798" t="s">
        <v>166</v>
      </c>
      <c r="AQ1798" s="5">
        <v>0</v>
      </c>
    </row>
    <row r="1799" spans="1:43" x14ac:dyDescent="0.2">
      <c r="A1799" t="s">
        <v>1117</v>
      </c>
      <c r="B1799" t="s">
        <v>1118</v>
      </c>
      <c r="C1799">
        <v>2018</v>
      </c>
      <c r="D1799" t="s">
        <v>44</v>
      </c>
      <c r="F1799" t="s">
        <v>1119</v>
      </c>
      <c r="G1799" t="s">
        <v>88</v>
      </c>
      <c r="H1799" t="s">
        <v>350</v>
      </c>
      <c r="I1799" t="s">
        <v>1120</v>
      </c>
      <c r="J1799">
        <v>1.4</v>
      </c>
      <c r="K1799" t="s">
        <v>109</v>
      </c>
      <c r="L1799">
        <v>650</v>
      </c>
      <c r="N1799" t="s">
        <v>127</v>
      </c>
      <c r="O1799" t="s">
        <v>1123</v>
      </c>
      <c r="Q1799" s="1" t="s">
        <v>2281</v>
      </c>
      <c r="R1799" s="1" t="s">
        <v>2291</v>
      </c>
      <c r="S1799" s="1" t="s">
        <v>2291</v>
      </c>
      <c r="T1799" t="s">
        <v>396</v>
      </c>
      <c r="U1799" s="1" t="s">
        <v>2335</v>
      </c>
      <c r="X1799" t="s">
        <v>161</v>
      </c>
      <c r="Y1799" t="s">
        <v>2272</v>
      </c>
      <c r="Z1799" t="s">
        <v>2272</v>
      </c>
      <c r="AA1799" t="s">
        <v>2272</v>
      </c>
      <c r="AB1799" t="s">
        <v>2272</v>
      </c>
      <c r="AC1799" t="s">
        <v>162</v>
      </c>
      <c r="AD1799" t="s">
        <v>2272</v>
      </c>
      <c r="AF1799" t="s">
        <v>49</v>
      </c>
      <c r="AK1799" t="s">
        <v>49</v>
      </c>
      <c r="AM1799" t="s">
        <v>295</v>
      </c>
      <c r="AN1799" t="s">
        <v>166</v>
      </c>
      <c r="AQ1799" s="5">
        <v>0</v>
      </c>
    </row>
    <row r="1800" spans="1:43" x14ac:dyDescent="0.2">
      <c r="A1800" t="s">
        <v>1117</v>
      </c>
      <c r="B1800" t="s">
        <v>1118</v>
      </c>
      <c r="C1800">
        <v>2018</v>
      </c>
      <c r="D1800" t="s">
        <v>44</v>
      </c>
      <c r="F1800" t="s">
        <v>1119</v>
      </c>
      <c r="G1800" t="s">
        <v>88</v>
      </c>
      <c r="H1800" t="s">
        <v>350</v>
      </c>
      <c r="I1800" t="s">
        <v>1120</v>
      </c>
      <c r="J1800">
        <v>1.4</v>
      </c>
      <c r="K1800" t="s">
        <v>109</v>
      </c>
      <c r="L1800">
        <v>650</v>
      </c>
      <c r="N1800" t="s">
        <v>760</v>
      </c>
      <c r="O1800" t="s">
        <v>760</v>
      </c>
      <c r="P1800" t="s">
        <v>1121</v>
      </c>
      <c r="Q1800" s="1" t="s">
        <v>2292</v>
      </c>
      <c r="R1800" s="1" t="s">
        <v>760</v>
      </c>
      <c r="S1800" s="1" t="s">
        <v>760</v>
      </c>
      <c r="T1800" t="s">
        <v>421</v>
      </c>
      <c r="U1800" t="s">
        <v>421</v>
      </c>
      <c r="X1800" t="s">
        <v>161</v>
      </c>
      <c r="Y1800" t="s">
        <v>2272</v>
      </c>
      <c r="Z1800" t="s">
        <v>2272</v>
      </c>
      <c r="AA1800" t="s">
        <v>2272</v>
      </c>
      <c r="AB1800" t="s">
        <v>2272</v>
      </c>
      <c r="AC1800" t="s">
        <v>162</v>
      </c>
      <c r="AD1800" t="s">
        <v>2272</v>
      </c>
      <c r="AF1800" t="s">
        <v>49</v>
      </c>
      <c r="AK1800" t="s">
        <v>49</v>
      </c>
      <c r="AM1800" t="s">
        <v>295</v>
      </c>
      <c r="AN1800" t="s">
        <v>166</v>
      </c>
      <c r="AQ1800" s="5">
        <v>0</v>
      </c>
    </row>
    <row r="1801" spans="1:43" x14ac:dyDescent="0.2">
      <c r="A1801" t="s">
        <v>1117</v>
      </c>
      <c r="B1801" t="s">
        <v>1118</v>
      </c>
      <c r="C1801">
        <v>2018</v>
      </c>
      <c r="D1801" t="s">
        <v>44</v>
      </c>
      <c r="F1801" t="s">
        <v>1119</v>
      </c>
      <c r="G1801" t="s">
        <v>88</v>
      </c>
      <c r="H1801" t="s">
        <v>350</v>
      </c>
      <c r="I1801" t="s">
        <v>1120</v>
      </c>
      <c r="J1801">
        <v>1.4</v>
      </c>
      <c r="K1801" t="s">
        <v>109</v>
      </c>
      <c r="L1801">
        <v>650</v>
      </c>
      <c r="N1801" t="s">
        <v>121</v>
      </c>
      <c r="O1801" t="s">
        <v>121</v>
      </c>
      <c r="P1801" t="s">
        <v>1122</v>
      </c>
      <c r="Q1801" s="1" t="s">
        <v>2292</v>
      </c>
      <c r="R1801" s="1" t="s">
        <v>264</v>
      </c>
      <c r="S1801" s="1" t="s">
        <v>264</v>
      </c>
      <c r="T1801" t="s">
        <v>421</v>
      </c>
      <c r="U1801" t="s">
        <v>421</v>
      </c>
      <c r="X1801" t="s">
        <v>161</v>
      </c>
      <c r="Y1801" t="s">
        <v>2272</v>
      </c>
      <c r="Z1801" t="s">
        <v>2272</v>
      </c>
      <c r="AA1801" t="s">
        <v>2272</v>
      </c>
      <c r="AB1801" t="s">
        <v>2272</v>
      </c>
      <c r="AC1801" t="s">
        <v>162</v>
      </c>
      <c r="AD1801" t="s">
        <v>2272</v>
      </c>
      <c r="AF1801" t="s">
        <v>49</v>
      </c>
      <c r="AK1801" t="s">
        <v>49</v>
      </c>
      <c r="AM1801" t="s">
        <v>295</v>
      </c>
      <c r="AN1801" t="s">
        <v>166</v>
      </c>
      <c r="AQ1801" s="5">
        <v>0</v>
      </c>
    </row>
    <row r="1802" spans="1:43" x14ac:dyDescent="0.2">
      <c r="A1802" t="s">
        <v>1117</v>
      </c>
      <c r="B1802" t="s">
        <v>1118</v>
      </c>
      <c r="C1802">
        <v>2018</v>
      </c>
      <c r="D1802" t="s">
        <v>44</v>
      </c>
      <c r="F1802" t="s">
        <v>1119</v>
      </c>
      <c r="G1802" t="s">
        <v>88</v>
      </c>
      <c r="H1802" t="s">
        <v>350</v>
      </c>
      <c r="I1802" t="s">
        <v>1120</v>
      </c>
      <c r="J1802">
        <v>1.4</v>
      </c>
      <c r="K1802" t="s">
        <v>109</v>
      </c>
      <c r="L1802">
        <v>650</v>
      </c>
      <c r="N1802" t="s">
        <v>127</v>
      </c>
      <c r="O1802" t="s">
        <v>1123</v>
      </c>
      <c r="Q1802" s="1" t="s">
        <v>2281</v>
      </c>
      <c r="R1802" s="1" t="s">
        <v>2291</v>
      </c>
      <c r="S1802" s="1" t="s">
        <v>2291</v>
      </c>
      <c r="T1802" t="s">
        <v>421</v>
      </c>
      <c r="U1802" t="s">
        <v>421</v>
      </c>
      <c r="X1802" t="s">
        <v>161</v>
      </c>
      <c r="Y1802" t="s">
        <v>2272</v>
      </c>
      <c r="Z1802" t="s">
        <v>2272</v>
      </c>
      <c r="AA1802" t="s">
        <v>2272</v>
      </c>
      <c r="AB1802" t="s">
        <v>2272</v>
      </c>
      <c r="AC1802" t="s">
        <v>162</v>
      </c>
      <c r="AD1802" t="s">
        <v>2272</v>
      </c>
      <c r="AF1802" t="s">
        <v>49</v>
      </c>
      <c r="AK1802" t="s">
        <v>49</v>
      </c>
      <c r="AM1802" t="s">
        <v>295</v>
      </c>
      <c r="AN1802" t="s">
        <v>166</v>
      </c>
      <c r="AQ1802" s="5">
        <v>0</v>
      </c>
    </row>
    <row r="1803" spans="1:43" x14ac:dyDescent="0.2">
      <c r="A1803" t="s">
        <v>1117</v>
      </c>
      <c r="B1803" t="s">
        <v>1118</v>
      </c>
      <c r="C1803">
        <v>2018</v>
      </c>
      <c r="D1803" t="s">
        <v>44</v>
      </c>
      <c r="F1803" t="s">
        <v>1119</v>
      </c>
      <c r="G1803" t="s">
        <v>88</v>
      </c>
      <c r="H1803" t="s">
        <v>350</v>
      </c>
      <c r="I1803" t="s">
        <v>1120</v>
      </c>
      <c r="J1803">
        <v>1.4</v>
      </c>
      <c r="K1803" t="s">
        <v>109</v>
      </c>
      <c r="L1803">
        <v>650</v>
      </c>
      <c r="N1803" t="s">
        <v>760</v>
      </c>
      <c r="O1803" t="s">
        <v>760</v>
      </c>
      <c r="P1803" t="s">
        <v>1121</v>
      </c>
      <c r="Q1803" s="1" t="s">
        <v>2292</v>
      </c>
      <c r="R1803" s="1" t="s">
        <v>760</v>
      </c>
      <c r="S1803" s="1" t="s">
        <v>760</v>
      </c>
      <c r="T1803" t="s">
        <v>396</v>
      </c>
      <c r="U1803" s="1" t="s">
        <v>2396</v>
      </c>
      <c r="X1803" t="s">
        <v>161</v>
      </c>
      <c r="Y1803" t="s">
        <v>2272</v>
      </c>
      <c r="Z1803" t="s">
        <v>2272</v>
      </c>
      <c r="AA1803" t="s">
        <v>2272</v>
      </c>
      <c r="AB1803" t="s">
        <v>2272</v>
      </c>
      <c r="AC1803" t="s">
        <v>162</v>
      </c>
      <c r="AD1803" t="s">
        <v>2272</v>
      </c>
      <c r="AF1803" t="s">
        <v>49</v>
      </c>
      <c r="AK1803" t="s">
        <v>49</v>
      </c>
      <c r="AM1803" t="s">
        <v>295</v>
      </c>
      <c r="AN1803" t="s">
        <v>154</v>
      </c>
      <c r="AQ1803" s="5">
        <v>0</v>
      </c>
    </row>
    <row r="1804" spans="1:43" x14ac:dyDescent="0.2">
      <c r="A1804" t="s">
        <v>1117</v>
      </c>
      <c r="B1804" t="s">
        <v>1118</v>
      </c>
      <c r="C1804">
        <v>2018</v>
      </c>
      <c r="D1804" t="s">
        <v>44</v>
      </c>
      <c r="F1804" t="s">
        <v>1119</v>
      </c>
      <c r="G1804" t="s">
        <v>88</v>
      </c>
      <c r="H1804" t="s">
        <v>350</v>
      </c>
      <c r="I1804" t="s">
        <v>1120</v>
      </c>
      <c r="J1804">
        <v>1.4</v>
      </c>
      <c r="K1804" t="s">
        <v>109</v>
      </c>
      <c r="L1804">
        <v>650</v>
      </c>
      <c r="N1804" t="s">
        <v>121</v>
      </c>
      <c r="O1804" t="s">
        <v>121</v>
      </c>
      <c r="P1804" t="s">
        <v>1122</v>
      </c>
      <c r="Q1804" s="1" t="s">
        <v>2292</v>
      </c>
      <c r="R1804" s="1" t="s">
        <v>264</v>
      </c>
      <c r="S1804" s="1" t="s">
        <v>264</v>
      </c>
      <c r="T1804" t="s">
        <v>396</v>
      </c>
      <c r="U1804" s="1" t="s">
        <v>2397</v>
      </c>
      <c r="X1804" t="s">
        <v>161</v>
      </c>
      <c r="Y1804" t="s">
        <v>2272</v>
      </c>
      <c r="Z1804" t="s">
        <v>2272</v>
      </c>
      <c r="AA1804" t="s">
        <v>2272</v>
      </c>
      <c r="AB1804" t="s">
        <v>2272</v>
      </c>
      <c r="AC1804" t="s">
        <v>162</v>
      </c>
      <c r="AD1804" t="s">
        <v>2272</v>
      </c>
      <c r="AF1804" t="s">
        <v>49</v>
      </c>
      <c r="AK1804" t="s">
        <v>49</v>
      </c>
      <c r="AM1804" t="s">
        <v>295</v>
      </c>
      <c r="AN1804" t="s">
        <v>154</v>
      </c>
      <c r="AQ1804" s="5">
        <v>0</v>
      </c>
    </row>
    <row r="1805" spans="1:43" x14ac:dyDescent="0.2">
      <c r="A1805" t="s">
        <v>1117</v>
      </c>
      <c r="B1805" t="s">
        <v>1118</v>
      </c>
      <c r="C1805">
        <v>2018</v>
      </c>
      <c r="D1805" t="s">
        <v>44</v>
      </c>
      <c r="F1805" t="s">
        <v>1119</v>
      </c>
      <c r="G1805" t="s">
        <v>88</v>
      </c>
      <c r="H1805" t="s">
        <v>350</v>
      </c>
      <c r="I1805" t="s">
        <v>1120</v>
      </c>
      <c r="J1805">
        <v>1.4</v>
      </c>
      <c r="K1805" t="s">
        <v>109</v>
      </c>
      <c r="L1805">
        <v>650</v>
      </c>
      <c r="N1805" t="s">
        <v>127</v>
      </c>
      <c r="O1805" t="s">
        <v>1123</v>
      </c>
      <c r="Q1805" s="1" t="s">
        <v>2281</v>
      </c>
      <c r="R1805" s="1" t="s">
        <v>2291</v>
      </c>
      <c r="S1805" s="1" t="s">
        <v>2291</v>
      </c>
      <c r="T1805" t="s">
        <v>396</v>
      </c>
      <c r="U1805" s="1" t="s">
        <v>2335</v>
      </c>
      <c r="X1805" t="s">
        <v>161</v>
      </c>
      <c r="Y1805" t="s">
        <v>2272</v>
      </c>
      <c r="Z1805" t="s">
        <v>2272</v>
      </c>
      <c r="AA1805" t="s">
        <v>2272</v>
      </c>
      <c r="AB1805" t="s">
        <v>2272</v>
      </c>
      <c r="AC1805" t="s">
        <v>162</v>
      </c>
      <c r="AD1805" t="s">
        <v>2272</v>
      </c>
      <c r="AF1805" t="s">
        <v>49</v>
      </c>
      <c r="AK1805" t="s">
        <v>49</v>
      </c>
      <c r="AM1805" t="s">
        <v>295</v>
      </c>
      <c r="AN1805" t="s">
        <v>154</v>
      </c>
      <c r="AQ1805" s="5">
        <v>0</v>
      </c>
    </row>
    <row r="1806" spans="1:43" x14ac:dyDescent="0.2">
      <c r="A1806" t="s">
        <v>1117</v>
      </c>
      <c r="B1806" t="s">
        <v>1118</v>
      </c>
      <c r="C1806">
        <v>2018</v>
      </c>
      <c r="D1806" t="s">
        <v>44</v>
      </c>
      <c r="F1806" t="s">
        <v>1119</v>
      </c>
      <c r="G1806" t="s">
        <v>88</v>
      </c>
      <c r="H1806" t="s">
        <v>350</v>
      </c>
      <c r="I1806" t="s">
        <v>1120</v>
      </c>
      <c r="J1806">
        <v>1.4</v>
      </c>
      <c r="K1806" t="s">
        <v>109</v>
      </c>
      <c r="L1806">
        <v>650</v>
      </c>
      <c r="N1806" t="s">
        <v>760</v>
      </c>
      <c r="O1806" t="s">
        <v>760</v>
      </c>
      <c r="P1806" t="s">
        <v>1121</v>
      </c>
      <c r="Q1806" s="1" t="s">
        <v>2292</v>
      </c>
      <c r="R1806" s="1" t="s">
        <v>760</v>
      </c>
      <c r="S1806" s="1" t="s">
        <v>760</v>
      </c>
      <c r="T1806" t="s">
        <v>421</v>
      </c>
      <c r="U1806" t="s">
        <v>421</v>
      </c>
      <c r="X1806" t="s">
        <v>161</v>
      </c>
      <c r="Y1806" t="s">
        <v>2272</v>
      </c>
      <c r="Z1806" t="s">
        <v>2272</v>
      </c>
      <c r="AA1806" t="s">
        <v>2272</v>
      </c>
      <c r="AB1806" t="s">
        <v>2272</v>
      </c>
      <c r="AC1806" t="s">
        <v>162</v>
      </c>
      <c r="AD1806" t="s">
        <v>2272</v>
      </c>
      <c r="AF1806" t="s">
        <v>49</v>
      </c>
      <c r="AK1806" t="s">
        <v>49</v>
      </c>
      <c r="AM1806" t="s">
        <v>295</v>
      </c>
      <c r="AN1806" t="s">
        <v>154</v>
      </c>
      <c r="AQ1806" s="5">
        <v>0</v>
      </c>
    </row>
    <row r="1807" spans="1:43" x14ac:dyDescent="0.2">
      <c r="A1807" t="s">
        <v>1117</v>
      </c>
      <c r="B1807" t="s">
        <v>1118</v>
      </c>
      <c r="C1807">
        <v>2018</v>
      </c>
      <c r="D1807" t="s">
        <v>44</v>
      </c>
      <c r="F1807" t="s">
        <v>1119</v>
      </c>
      <c r="G1807" t="s">
        <v>88</v>
      </c>
      <c r="H1807" t="s">
        <v>350</v>
      </c>
      <c r="I1807" t="s">
        <v>1120</v>
      </c>
      <c r="J1807">
        <v>1.4</v>
      </c>
      <c r="K1807" t="s">
        <v>109</v>
      </c>
      <c r="L1807">
        <v>650</v>
      </c>
      <c r="N1807" t="s">
        <v>121</v>
      </c>
      <c r="O1807" t="s">
        <v>121</v>
      </c>
      <c r="P1807" t="s">
        <v>1122</v>
      </c>
      <c r="Q1807" s="1" t="s">
        <v>2292</v>
      </c>
      <c r="R1807" s="1" t="s">
        <v>264</v>
      </c>
      <c r="S1807" s="1" t="s">
        <v>264</v>
      </c>
      <c r="T1807" t="s">
        <v>421</v>
      </c>
      <c r="U1807" t="s">
        <v>421</v>
      </c>
      <c r="X1807" t="s">
        <v>161</v>
      </c>
      <c r="Y1807" t="s">
        <v>2272</v>
      </c>
      <c r="Z1807" t="s">
        <v>2272</v>
      </c>
      <c r="AA1807" t="s">
        <v>2272</v>
      </c>
      <c r="AB1807" t="s">
        <v>2272</v>
      </c>
      <c r="AC1807" t="s">
        <v>162</v>
      </c>
      <c r="AD1807" t="s">
        <v>2272</v>
      </c>
      <c r="AF1807" t="s">
        <v>49</v>
      </c>
      <c r="AK1807" t="s">
        <v>49</v>
      </c>
      <c r="AM1807" t="s">
        <v>295</v>
      </c>
      <c r="AN1807" t="s">
        <v>154</v>
      </c>
      <c r="AQ1807" s="5">
        <v>0</v>
      </c>
    </row>
    <row r="1808" spans="1:43" x14ac:dyDescent="0.2">
      <c r="A1808" t="s">
        <v>1117</v>
      </c>
      <c r="B1808" t="s">
        <v>1118</v>
      </c>
      <c r="C1808">
        <v>2018</v>
      </c>
      <c r="D1808" t="s">
        <v>44</v>
      </c>
      <c r="F1808" t="s">
        <v>1119</v>
      </c>
      <c r="G1808" t="s">
        <v>88</v>
      </c>
      <c r="H1808" t="s">
        <v>350</v>
      </c>
      <c r="I1808" t="s">
        <v>1120</v>
      </c>
      <c r="J1808">
        <v>1.4</v>
      </c>
      <c r="K1808" t="s">
        <v>109</v>
      </c>
      <c r="L1808">
        <v>650</v>
      </c>
      <c r="N1808" t="s">
        <v>127</v>
      </c>
      <c r="O1808" t="s">
        <v>1123</v>
      </c>
      <c r="Q1808" s="1" t="s">
        <v>2281</v>
      </c>
      <c r="R1808" s="1" t="s">
        <v>2291</v>
      </c>
      <c r="S1808" s="1" t="s">
        <v>2291</v>
      </c>
      <c r="T1808" t="s">
        <v>421</v>
      </c>
      <c r="U1808" t="s">
        <v>421</v>
      </c>
      <c r="X1808" t="s">
        <v>161</v>
      </c>
      <c r="Y1808" t="s">
        <v>2272</v>
      </c>
      <c r="Z1808" t="s">
        <v>2272</v>
      </c>
      <c r="AA1808" t="s">
        <v>2272</v>
      </c>
      <c r="AB1808" t="s">
        <v>2272</v>
      </c>
      <c r="AC1808" t="s">
        <v>162</v>
      </c>
      <c r="AD1808" t="s">
        <v>2272</v>
      </c>
      <c r="AF1808" t="s">
        <v>49</v>
      </c>
      <c r="AK1808" t="s">
        <v>49</v>
      </c>
      <c r="AM1808" t="s">
        <v>295</v>
      </c>
      <c r="AN1808" t="s">
        <v>154</v>
      </c>
      <c r="AQ1808" s="5">
        <v>0</v>
      </c>
    </row>
    <row r="1809" spans="1:45" x14ac:dyDescent="0.2">
      <c r="A1809" t="s">
        <v>1117</v>
      </c>
      <c r="B1809" t="s">
        <v>1118</v>
      </c>
      <c r="C1809">
        <v>2018</v>
      </c>
      <c r="D1809" t="s">
        <v>44</v>
      </c>
      <c r="F1809" t="s">
        <v>1119</v>
      </c>
      <c r="G1809" t="s">
        <v>88</v>
      </c>
      <c r="H1809" t="s">
        <v>350</v>
      </c>
      <c r="I1809" t="s">
        <v>1120</v>
      </c>
      <c r="J1809">
        <v>1.4</v>
      </c>
      <c r="K1809" t="s">
        <v>109</v>
      </c>
      <c r="L1809">
        <v>650</v>
      </c>
      <c r="N1809" t="s">
        <v>760</v>
      </c>
      <c r="O1809" t="s">
        <v>760</v>
      </c>
      <c r="P1809" t="s">
        <v>1121</v>
      </c>
      <c r="Q1809" s="1" t="s">
        <v>2292</v>
      </c>
      <c r="R1809" s="1" t="s">
        <v>760</v>
      </c>
      <c r="S1809" s="1" t="s">
        <v>760</v>
      </c>
      <c r="T1809" t="s">
        <v>396</v>
      </c>
      <c r="U1809" s="1"/>
      <c r="X1809" t="s">
        <v>161</v>
      </c>
      <c r="Y1809" t="s">
        <v>2272</v>
      </c>
      <c r="Z1809" t="s">
        <v>2272</v>
      </c>
      <c r="AA1809" t="s">
        <v>2272</v>
      </c>
      <c r="AB1809" t="s">
        <v>2272</v>
      </c>
      <c r="AC1809" t="s">
        <v>162</v>
      </c>
      <c r="AD1809" t="s">
        <v>2272</v>
      </c>
      <c r="AF1809" t="s">
        <v>49</v>
      </c>
      <c r="AK1809" t="s">
        <v>49</v>
      </c>
      <c r="AM1809" t="s">
        <v>295</v>
      </c>
      <c r="AN1809" t="s">
        <v>156</v>
      </c>
    </row>
    <row r="1810" spans="1:45" x14ac:dyDescent="0.2">
      <c r="A1810" t="s">
        <v>1117</v>
      </c>
      <c r="B1810" t="s">
        <v>1118</v>
      </c>
      <c r="C1810">
        <v>2018</v>
      </c>
      <c r="D1810" t="s">
        <v>44</v>
      </c>
      <c r="F1810" t="s">
        <v>1119</v>
      </c>
      <c r="G1810" t="s">
        <v>88</v>
      </c>
      <c r="H1810" t="s">
        <v>350</v>
      </c>
      <c r="I1810" t="s">
        <v>1120</v>
      </c>
      <c r="J1810">
        <v>1.4</v>
      </c>
      <c r="K1810" t="s">
        <v>109</v>
      </c>
      <c r="L1810">
        <v>650</v>
      </c>
      <c r="N1810" t="s">
        <v>121</v>
      </c>
      <c r="O1810" t="s">
        <v>121</v>
      </c>
      <c r="P1810" t="s">
        <v>1122</v>
      </c>
      <c r="Q1810" s="1" t="s">
        <v>2292</v>
      </c>
      <c r="R1810" s="1" t="s">
        <v>264</v>
      </c>
      <c r="S1810" s="1" t="s">
        <v>264</v>
      </c>
      <c r="T1810" t="s">
        <v>396</v>
      </c>
      <c r="U1810" s="1"/>
      <c r="X1810" t="s">
        <v>161</v>
      </c>
      <c r="Y1810" t="s">
        <v>2272</v>
      </c>
      <c r="Z1810" t="s">
        <v>2272</v>
      </c>
      <c r="AA1810" t="s">
        <v>2272</v>
      </c>
      <c r="AB1810" t="s">
        <v>2272</v>
      </c>
      <c r="AC1810" t="s">
        <v>162</v>
      </c>
      <c r="AD1810" t="s">
        <v>2272</v>
      </c>
      <c r="AF1810" t="s">
        <v>49</v>
      </c>
      <c r="AK1810" t="s">
        <v>49</v>
      </c>
      <c r="AM1810" t="s">
        <v>295</v>
      </c>
      <c r="AN1810" t="s">
        <v>156</v>
      </c>
    </row>
    <row r="1811" spans="1:45" x14ac:dyDescent="0.2">
      <c r="A1811" t="s">
        <v>1117</v>
      </c>
      <c r="B1811" t="s">
        <v>1118</v>
      </c>
      <c r="C1811">
        <v>2018</v>
      </c>
      <c r="D1811" t="s">
        <v>44</v>
      </c>
      <c r="F1811" t="s">
        <v>1119</v>
      </c>
      <c r="G1811" t="s">
        <v>88</v>
      </c>
      <c r="H1811" t="s">
        <v>350</v>
      </c>
      <c r="I1811" t="s">
        <v>1120</v>
      </c>
      <c r="J1811">
        <v>1.4</v>
      </c>
      <c r="K1811" t="s">
        <v>109</v>
      </c>
      <c r="L1811">
        <v>650</v>
      </c>
      <c r="N1811" t="s">
        <v>127</v>
      </c>
      <c r="O1811" t="s">
        <v>1123</v>
      </c>
      <c r="Q1811" s="1" t="s">
        <v>2281</v>
      </c>
      <c r="R1811" s="1" t="s">
        <v>2291</v>
      </c>
      <c r="S1811" s="1" t="s">
        <v>2291</v>
      </c>
      <c r="T1811" t="s">
        <v>396</v>
      </c>
      <c r="U1811" s="1"/>
      <c r="X1811" t="s">
        <v>161</v>
      </c>
      <c r="Y1811" t="s">
        <v>2272</v>
      </c>
      <c r="Z1811" t="s">
        <v>2272</v>
      </c>
      <c r="AA1811" t="s">
        <v>2272</v>
      </c>
      <c r="AB1811" t="s">
        <v>2272</v>
      </c>
      <c r="AC1811" t="s">
        <v>162</v>
      </c>
      <c r="AD1811" t="s">
        <v>2272</v>
      </c>
      <c r="AF1811" t="s">
        <v>49</v>
      </c>
      <c r="AK1811" t="s">
        <v>49</v>
      </c>
      <c r="AM1811" t="s">
        <v>295</v>
      </c>
      <c r="AN1811" t="s">
        <v>156</v>
      </c>
    </row>
    <row r="1812" spans="1:45" x14ac:dyDescent="0.2">
      <c r="A1812" t="s">
        <v>1117</v>
      </c>
      <c r="B1812" t="s">
        <v>1118</v>
      </c>
      <c r="C1812">
        <v>2018</v>
      </c>
      <c r="D1812" t="s">
        <v>44</v>
      </c>
      <c r="F1812" t="s">
        <v>1119</v>
      </c>
      <c r="G1812" t="s">
        <v>88</v>
      </c>
      <c r="H1812" t="s">
        <v>350</v>
      </c>
      <c r="I1812" t="s">
        <v>1120</v>
      </c>
      <c r="J1812">
        <v>1.4</v>
      </c>
      <c r="K1812" t="s">
        <v>109</v>
      </c>
      <c r="L1812">
        <v>650</v>
      </c>
      <c r="N1812" t="s">
        <v>760</v>
      </c>
      <c r="O1812" t="s">
        <v>760</v>
      </c>
      <c r="P1812" t="s">
        <v>1121</v>
      </c>
      <c r="Q1812" s="1" t="s">
        <v>2292</v>
      </c>
      <c r="R1812" s="1" t="s">
        <v>760</v>
      </c>
      <c r="S1812" s="1" t="s">
        <v>760</v>
      </c>
      <c r="T1812" t="s">
        <v>421</v>
      </c>
      <c r="X1812" t="s">
        <v>161</v>
      </c>
      <c r="Y1812" t="s">
        <v>2272</v>
      </c>
      <c r="Z1812" t="s">
        <v>2272</v>
      </c>
      <c r="AA1812" t="s">
        <v>2272</v>
      </c>
      <c r="AB1812" t="s">
        <v>2272</v>
      </c>
      <c r="AC1812" t="s">
        <v>162</v>
      </c>
      <c r="AD1812" t="s">
        <v>2272</v>
      </c>
      <c r="AF1812" t="s">
        <v>49</v>
      </c>
      <c r="AK1812" t="s">
        <v>49</v>
      </c>
      <c r="AM1812" t="s">
        <v>295</v>
      </c>
      <c r="AN1812" t="s">
        <v>156</v>
      </c>
    </row>
    <row r="1813" spans="1:45" x14ac:dyDescent="0.2">
      <c r="A1813" t="s">
        <v>1117</v>
      </c>
      <c r="B1813" t="s">
        <v>1118</v>
      </c>
      <c r="C1813">
        <v>2018</v>
      </c>
      <c r="D1813" t="s">
        <v>44</v>
      </c>
      <c r="F1813" t="s">
        <v>1119</v>
      </c>
      <c r="G1813" t="s">
        <v>88</v>
      </c>
      <c r="H1813" t="s">
        <v>350</v>
      </c>
      <c r="I1813" t="s">
        <v>1120</v>
      </c>
      <c r="J1813">
        <v>1.4</v>
      </c>
      <c r="K1813" t="s">
        <v>109</v>
      </c>
      <c r="L1813">
        <v>650</v>
      </c>
      <c r="N1813" t="s">
        <v>121</v>
      </c>
      <c r="O1813" t="s">
        <v>121</v>
      </c>
      <c r="P1813" t="s">
        <v>1122</v>
      </c>
      <c r="Q1813" s="1" t="s">
        <v>2292</v>
      </c>
      <c r="R1813" s="1" t="s">
        <v>264</v>
      </c>
      <c r="S1813" s="1" t="s">
        <v>264</v>
      </c>
      <c r="T1813" t="s">
        <v>421</v>
      </c>
      <c r="X1813" t="s">
        <v>161</v>
      </c>
      <c r="Y1813" t="s">
        <v>2272</v>
      </c>
      <c r="Z1813" t="s">
        <v>2272</v>
      </c>
      <c r="AA1813" t="s">
        <v>2272</v>
      </c>
      <c r="AB1813" t="s">
        <v>2272</v>
      </c>
      <c r="AC1813" t="s">
        <v>162</v>
      </c>
      <c r="AD1813" t="s">
        <v>2272</v>
      </c>
      <c r="AF1813" t="s">
        <v>49</v>
      </c>
      <c r="AK1813" t="s">
        <v>49</v>
      </c>
      <c r="AM1813" t="s">
        <v>295</v>
      </c>
      <c r="AN1813" t="s">
        <v>156</v>
      </c>
    </row>
    <row r="1814" spans="1:45" x14ac:dyDescent="0.2">
      <c r="A1814" t="s">
        <v>1117</v>
      </c>
      <c r="B1814" t="s">
        <v>1118</v>
      </c>
      <c r="C1814">
        <v>2018</v>
      </c>
      <c r="D1814" t="s">
        <v>44</v>
      </c>
      <c r="F1814" t="s">
        <v>1119</v>
      </c>
      <c r="G1814" t="s">
        <v>88</v>
      </c>
      <c r="H1814" t="s">
        <v>350</v>
      </c>
      <c r="I1814" t="s">
        <v>1120</v>
      </c>
      <c r="J1814">
        <v>1.4</v>
      </c>
      <c r="K1814" t="s">
        <v>109</v>
      </c>
      <c r="L1814">
        <v>650</v>
      </c>
      <c r="N1814" t="s">
        <v>127</v>
      </c>
      <c r="O1814" t="s">
        <v>1123</v>
      </c>
      <c r="Q1814" s="1" t="s">
        <v>2281</v>
      </c>
      <c r="R1814" s="1" t="s">
        <v>2291</v>
      </c>
      <c r="S1814" s="1" t="s">
        <v>2291</v>
      </c>
      <c r="T1814" t="s">
        <v>421</v>
      </c>
      <c r="X1814" t="s">
        <v>161</v>
      </c>
      <c r="Y1814" t="s">
        <v>2272</v>
      </c>
      <c r="Z1814" t="s">
        <v>2272</v>
      </c>
      <c r="AA1814" t="s">
        <v>2272</v>
      </c>
      <c r="AB1814" t="s">
        <v>2272</v>
      </c>
      <c r="AC1814" t="s">
        <v>162</v>
      </c>
      <c r="AD1814" t="s">
        <v>2272</v>
      </c>
      <c r="AF1814" t="s">
        <v>49</v>
      </c>
      <c r="AK1814" t="s">
        <v>49</v>
      </c>
      <c r="AM1814" t="s">
        <v>295</v>
      </c>
      <c r="AN1814" t="s">
        <v>156</v>
      </c>
    </row>
    <row r="1815" spans="1:45" x14ac:dyDescent="0.2">
      <c r="A1815" t="s">
        <v>1124</v>
      </c>
      <c r="B1815" t="s">
        <v>943</v>
      </c>
      <c r="C1815">
        <v>2017</v>
      </c>
      <c r="D1815" t="s">
        <v>811</v>
      </c>
      <c r="F1815" t="s">
        <v>715</v>
      </c>
      <c r="G1815" t="s">
        <v>85</v>
      </c>
      <c r="H1815" t="s">
        <v>96</v>
      </c>
      <c r="I1815">
        <v>2015</v>
      </c>
      <c r="J1815">
        <v>1</v>
      </c>
      <c r="K1815" t="s">
        <v>42</v>
      </c>
      <c r="M1815">
        <f>0.06*0.06</f>
        <v>3.5999999999999999E-3</v>
      </c>
      <c r="N1815" t="s">
        <v>466</v>
      </c>
      <c r="O1815" t="s">
        <v>944</v>
      </c>
      <c r="P1815" t="s">
        <v>691</v>
      </c>
      <c r="Q1815" s="1" t="s">
        <v>2281</v>
      </c>
      <c r="R1815" s="1" t="s">
        <v>2301</v>
      </c>
      <c r="S1815" s="1" t="s">
        <v>2303</v>
      </c>
      <c r="T1815" t="s">
        <v>421</v>
      </c>
      <c r="U1815" t="s">
        <v>421</v>
      </c>
      <c r="X1815" t="s">
        <v>161</v>
      </c>
      <c r="Y1815" t="s">
        <v>2272</v>
      </c>
      <c r="Z1815" t="s">
        <v>2272</v>
      </c>
      <c r="AA1815" t="s">
        <v>2272</v>
      </c>
      <c r="AB1815" t="s">
        <v>2272</v>
      </c>
      <c r="AC1815" t="s">
        <v>162</v>
      </c>
      <c r="AD1815" t="s">
        <v>2272</v>
      </c>
      <c r="AF1815" t="s">
        <v>49</v>
      </c>
      <c r="AI1815" t="s">
        <v>49</v>
      </c>
      <c r="AM1815" t="s">
        <v>1189</v>
      </c>
      <c r="AN1815" t="s">
        <v>165</v>
      </c>
      <c r="AP1815" t="s">
        <v>49</v>
      </c>
    </row>
    <row r="1816" spans="1:45" x14ac:dyDescent="0.2">
      <c r="A1816" t="s">
        <v>1124</v>
      </c>
      <c r="B1816" t="s">
        <v>943</v>
      </c>
      <c r="C1816">
        <v>2017</v>
      </c>
      <c r="D1816" t="s">
        <v>811</v>
      </c>
      <c r="F1816" t="s">
        <v>715</v>
      </c>
      <c r="G1816" t="s">
        <v>85</v>
      </c>
      <c r="H1816" t="s">
        <v>96</v>
      </c>
      <c r="I1816">
        <v>2015</v>
      </c>
      <c r="J1816">
        <v>1</v>
      </c>
      <c r="K1816" t="s">
        <v>42</v>
      </c>
      <c r="M1816">
        <f>0.06*0.06</f>
        <v>3.5999999999999999E-3</v>
      </c>
      <c r="N1816" t="s">
        <v>466</v>
      </c>
      <c r="O1816" t="s">
        <v>944</v>
      </c>
      <c r="P1816" t="s">
        <v>691</v>
      </c>
      <c r="Q1816" s="1" t="s">
        <v>2281</v>
      </c>
      <c r="R1816" s="1" t="s">
        <v>2301</v>
      </c>
      <c r="S1816" s="1" t="s">
        <v>2303</v>
      </c>
      <c r="T1816" t="s">
        <v>421</v>
      </c>
      <c r="U1816" t="s">
        <v>421</v>
      </c>
      <c r="X1816" t="s">
        <v>161</v>
      </c>
      <c r="Y1816" t="s">
        <v>2272</v>
      </c>
      <c r="Z1816" t="s">
        <v>2272</v>
      </c>
      <c r="AA1816" t="s">
        <v>2272</v>
      </c>
      <c r="AB1816" t="s">
        <v>2272</v>
      </c>
      <c r="AC1816" t="s">
        <v>162</v>
      </c>
      <c r="AD1816" t="s">
        <v>2272</v>
      </c>
      <c r="AF1816" t="s">
        <v>49</v>
      </c>
      <c r="AI1816" t="s">
        <v>49</v>
      </c>
      <c r="AM1816" t="s">
        <v>1189</v>
      </c>
      <c r="AN1816" t="s">
        <v>166</v>
      </c>
      <c r="AQ1816" s="5">
        <v>0</v>
      </c>
    </row>
    <row r="1817" spans="1:45" x14ac:dyDescent="0.2">
      <c r="A1817" t="s">
        <v>1124</v>
      </c>
      <c r="B1817" t="s">
        <v>943</v>
      </c>
      <c r="C1817">
        <v>2017</v>
      </c>
      <c r="D1817" t="s">
        <v>811</v>
      </c>
      <c r="F1817" t="s">
        <v>715</v>
      </c>
      <c r="G1817" t="s">
        <v>85</v>
      </c>
      <c r="H1817" t="s">
        <v>96</v>
      </c>
      <c r="I1817">
        <v>2015</v>
      </c>
      <c r="J1817">
        <v>1</v>
      </c>
      <c r="K1817" t="s">
        <v>42</v>
      </c>
      <c r="M1817">
        <f>0.06*0.06</f>
        <v>3.5999999999999999E-3</v>
      </c>
      <c r="N1817" t="s">
        <v>466</v>
      </c>
      <c r="O1817" t="s">
        <v>944</v>
      </c>
      <c r="P1817" t="s">
        <v>691</v>
      </c>
      <c r="Q1817" s="1" t="s">
        <v>2281</v>
      </c>
      <c r="R1817" s="1" t="s">
        <v>2301</v>
      </c>
      <c r="S1817" s="1" t="s">
        <v>2303</v>
      </c>
      <c r="T1817" t="s">
        <v>421</v>
      </c>
      <c r="U1817" t="s">
        <v>421</v>
      </c>
      <c r="X1817" t="s">
        <v>161</v>
      </c>
      <c r="Y1817" t="s">
        <v>2272</v>
      </c>
      <c r="Z1817" t="s">
        <v>2272</v>
      </c>
      <c r="AA1817" t="s">
        <v>2272</v>
      </c>
      <c r="AB1817" t="s">
        <v>2272</v>
      </c>
      <c r="AC1817" t="s">
        <v>162</v>
      </c>
      <c r="AD1817" t="s">
        <v>2272</v>
      </c>
      <c r="AF1817" t="s">
        <v>49</v>
      </c>
      <c r="AI1817" t="s">
        <v>49</v>
      </c>
      <c r="AM1817" t="s">
        <v>1189</v>
      </c>
      <c r="AN1817" t="s">
        <v>154</v>
      </c>
      <c r="AQ1817" s="5">
        <v>0</v>
      </c>
    </row>
    <row r="1818" spans="1:45" x14ac:dyDescent="0.2">
      <c r="A1818" t="s">
        <v>1125</v>
      </c>
      <c r="B1818" t="s">
        <v>1126</v>
      </c>
      <c r="C1818">
        <v>2017</v>
      </c>
      <c r="Q1818" s="1" t="s">
        <v>2272</v>
      </c>
      <c r="R1818" s="1" t="s">
        <v>2272</v>
      </c>
      <c r="S1818" s="1" t="s">
        <v>2272</v>
      </c>
      <c r="Y1818" t="s">
        <v>2272</v>
      </c>
      <c r="Z1818" t="s">
        <v>2272</v>
      </c>
      <c r="AA1818" t="s">
        <v>2272</v>
      </c>
      <c r="AB1818" t="s">
        <v>2272</v>
      </c>
      <c r="AD1818" t="s">
        <v>2272</v>
      </c>
      <c r="AR1818" t="s">
        <v>144</v>
      </c>
      <c r="AS1818" t="s">
        <v>2583</v>
      </c>
    </row>
    <row r="1819" spans="1:45" x14ac:dyDescent="0.2">
      <c r="A1819" t="s">
        <v>1127</v>
      </c>
      <c r="B1819" t="s">
        <v>185</v>
      </c>
      <c r="C1819">
        <v>2017</v>
      </c>
      <c r="Q1819" s="1" t="s">
        <v>2272</v>
      </c>
      <c r="R1819" s="1" t="s">
        <v>2272</v>
      </c>
      <c r="S1819" s="1" t="s">
        <v>2272</v>
      </c>
      <c r="Y1819" t="s">
        <v>2272</v>
      </c>
      <c r="Z1819" t="s">
        <v>2272</v>
      </c>
      <c r="AA1819" t="s">
        <v>2272</v>
      </c>
      <c r="AB1819" t="s">
        <v>2272</v>
      </c>
      <c r="AD1819" t="s">
        <v>2272</v>
      </c>
      <c r="AR1819" t="s">
        <v>144</v>
      </c>
      <c r="AS1819" t="s">
        <v>2583</v>
      </c>
    </row>
    <row r="1820" spans="1:45" x14ac:dyDescent="0.2">
      <c r="A1820" t="s">
        <v>1128</v>
      </c>
      <c r="B1820" t="s">
        <v>1129</v>
      </c>
      <c r="C1820">
        <v>2017</v>
      </c>
      <c r="D1820" t="s">
        <v>811</v>
      </c>
      <c r="F1820" t="s">
        <v>652</v>
      </c>
      <c r="G1820" t="s">
        <v>91</v>
      </c>
      <c r="H1820" t="s">
        <v>96</v>
      </c>
      <c r="I1820">
        <v>2015</v>
      </c>
      <c r="K1820" t="s">
        <v>101</v>
      </c>
      <c r="M1820">
        <f>0.05*0.05</f>
        <v>2.5000000000000005E-3</v>
      </c>
      <c r="N1820" t="s">
        <v>126</v>
      </c>
      <c r="O1820" t="s">
        <v>1130</v>
      </c>
      <c r="P1820" t="s">
        <v>1131</v>
      </c>
      <c r="Q1820" s="1" t="s">
        <v>2272</v>
      </c>
      <c r="R1820" s="1" t="s">
        <v>2272</v>
      </c>
      <c r="S1820" s="1" t="s">
        <v>2272</v>
      </c>
      <c r="Y1820" t="s">
        <v>2272</v>
      </c>
      <c r="Z1820" t="s">
        <v>2272</v>
      </c>
      <c r="AA1820" t="s">
        <v>2272</v>
      </c>
      <c r="AB1820" t="s">
        <v>2272</v>
      </c>
      <c r="AD1820" t="s">
        <v>2272</v>
      </c>
      <c r="AR1820" t="s">
        <v>144</v>
      </c>
      <c r="AS1820" t="s">
        <v>2583</v>
      </c>
    </row>
    <row r="1821" spans="1:45" x14ac:dyDescent="0.2">
      <c r="A1821" t="s">
        <v>1132</v>
      </c>
      <c r="B1821" t="s">
        <v>964</v>
      </c>
      <c r="C1821">
        <v>2017</v>
      </c>
      <c r="D1821" t="s">
        <v>44</v>
      </c>
      <c r="Q1821" s="1" t="s">
        <v>2272</v>
      </c>
      <c r="R1821" s="1" t="s">
        <v>2272</v>
      </c>
      <c r="S1821" s="1" t="s">
        <v>2272</v>
      </c>
      <c r="Y1821" t="s">
        <v>2272</v>
      </c>
      <c r="Z1821" t="s">
        <v>2272</v>
      </c>
      <c r="AA1821" t="s">
        <v>2272</v>
      </c>
      <c r="AB1821" t="s">
        <v>2272</v>
      </c>
      <c r="AD1821" t="s">
        <v>2272</v>
      </c>
      <c r="AR1821" t="s">
        <v>144</v>
      </c>
      <c r="AS1821" t="s">
        <v>2587</v>
      </c>
    </row>
    <row r="1822" spans="1:45" x14ac:dyDescent="0.2">
      <c r="A1822" t="s">
        <v>2333</v>
      </c>
      <c r="B1822" t="s">
        <v>1133</v>
      </c>
      <c r="C1822">
        <v>2017</v>
      </c>
      <c r="D1822" t="s">
        <v>585</v>
      </c>
      <c r="Q1822" s="1"/>
      <c r="R1822" s="1"/>
      <c r="S1822" s="1"/>
      <c r="AG1822" s="1"/>
      <c r="AH1822" s="1"/>
      <c r="AS1822" t="s">
        <v>2665</v>
      </c>
    </row>
    <row r="1823" spans="1:45" x14ac:dyDescent="0.2">
      <c r="A1823" t="s">
        <v>1136</v>
      </c>
      <c r="B1823" t="s">
        <v>1137</v>
      </c>
      <c r="C1823">
        <v>2017</v>
      </c>
      <c r="D1823" t="s">
        <v>44</v>
      </c>
      <c r="E1823" t="s">
        <v>49</v>
      </c>
      <c r="F1823" t="s">
        <v>81</v>
      </c>
      <c r="G1823" t="s">
        <v>86</v>
      </c>
      <c r="H1823" t="s">
        <v>350</v>
      </c>
      <c r="I1823" t="s">
        <v>1120</v>
      </c>
      <c r="J1823">
        <v>1</v>
      </c>
      <c r="K1823" t="s">
        <v>42</v>
      </c>
      <c r="L1823">
        <v>450</v>
      </c>
      <c r="M1823">
        <v>6.25E-2</v>
      </c>
      <c r="N1823" t="s">
        <v>123</v>
      </c>
      <c r="O1823" t="s">
        <v>123</v>
      </c>
      <c r="P1823" t="s">
        <v>518</v>
      </c>
      <c r="Q1823" s="1" t="s">
        <v>2281</v>
      </c>
      <c r="R1823" s="1" t="s">
        <v>2282</v>
      </c>
      <c r="S1823" s="1" t="s">
        <v>123</v>
      </c>
      <c r="X1823" t="s">
        <v>1138</v>
      </c>
      <c r="Y1823" t="s">
        <v>2273</v>
      </c>
      <c r="Z1823" t="s">
        <v>2356</v>
      </c>
      <c r="AA1823" t="s">
        <v>2357</v>
      </c>
      <c r="AB1823" t="s">
        <v>2277</v>
      </c>
      <c r="AC1823" t="s">
        <v>315</v>
      </c>
      <c r="AD1823" t="s">
        <v>2288</v>
      </c>
    </row>
    <row r="1824" spans="1:45" x14ac:dyDescent="0.2">
      <c r="A1824" t="s">
        <v>1136</v>
      </c>
      <c r="B1824" t="s">
        <v>1137</v>
      </c>
      <c r="C1824">
        <v>2017</v>
      </c>
      <c r="D1824" t="s">
        <v>44</v>
      </c>
      <c r="E1824" t="s">
        <v>49</v>
      </c>
      <c r="F1824" t="s">
        <v>81</v>
      </c>
      <c r="G1824" t="s">
        <v>86</v>
      </c>
      <c r="H1824" t="s">
        <v>350</v>
      </c>
      <c r="I1824" t="s">
        <v>1120</v>
      </c>
      <c r="J1824">
        <v>1</v>
      </c>
      <c r="K1824" t="s">
        <v>42</v>
      </c>
      <c r="L1824">
        <v>450</v>
      </c>
      <c r="M1824">
        <v>6.25E-2</v>
      </c>
      <c r="N1824" t="s">
        <v>123</v>
      </c>
      <c r="O1824" t="s">
        <v>123</v>
      </c>
      <c r="P1824" t="s">
        <v>518</v>
      </c>
      <c r="Q1824" s="1" t="s">
        <v>2281</v>
      </c>
      <c r="R1824" s="1" t="s">
        <v>2282</v>
      </c>
      <c r="S1824" s="1" t="s">
        <v>123</v>
      </c>
      <c r="X1824" t="s">
        <v>1139</v>
      </c>
      <c r="Y1824" t="s">
        <v>2273</v>
      </c>
      <c r="Z1824" t="s">
        <v>249</v>
      </c>
      <c r="AA1824" t="s">
        <v>2359</v>
      </c>
      <c r="AB1824" t="s">
        <v>1979</v>
      </c>
      <c r="AC1824" t="s">
        <v>152</v>
      </c>
      <c r="AD1824" t="s">
        <v>137</v>
      </c>
    </row>
    <row r="1825" spans="1:43" x14ac:dyDescent="0.2">
      <c r="A1825" t="s">
        <v>1136</v>
      </c>
      <c r="B1825" t="s">
        <v>1137</v>
      </c>
      <c r="C1825">
        <v>2017</v>
      </c>
      <c r="D1825" t="s">
        <v>44</v>
      </c>
      <c r="E1825" t="s">
        <v>49</v>
      </c>
      <c r="F1825" t="s">
        <v>81</v>
      </c>
      <c r="G1825" t="s">
        <v>86</v>
      </c>
      <c r="H1825" t="s">
        <v>350</v>
      </c>
      <c r="I1825" t="s">
        <v>1120</v>
      </c>
      <c r="J1825">
        <v>1</v>
      </c>
      <c r="K1825" t="s">
        <v>42</v>
      </c>
      <c r="L1825">
        <v>450</v>
      </c>
      <c r="M1825">
        <v>6.25E-2</v>
      </c>
      <c r="N1825" t="s">
        <v>123</v>
      </c>
      <c r="O1825" t="s">
        <v>123</v>
      </c>
      <c r="P1825" t="s">
        <v>518</v>
      </c>
      <c r="Q1825" s="1" t="s">
        <v>2281</v>
      </c>
      <c r="R1825" s="1" t="s">
        <v>2282</v>
      </c>
      <c r="S1825" s="1" t="s">
        <v>123</v>
      </c>
      <c r="X1825" t="s">
        <v>1140</v>
      </c>
      <c r="Y1825" t="s">
        <v>2273</v>
      </c>
      <c r="Z1825" t="s">
        <v>249</v>
      </c>
      <c r="AA1825" t="s">
        <v>2359</v>
      </c>
      <c r="AB1825" t="s">
        <v>1419</v>
      </c>
      <c r="AC1825" t="s">
        <v>152</v>
      </c>
      <c r="AD1825" t="s">
        <v>137</v>
      </c>
    </row>
    <row r="1826" spans="1:43" x14ac:dyDescent="0.2">
      <c r="A1826" t="s">
        <v>1136</v>
      </c>
      <c r="B1826" t="s">
        <v>1137</v>
      </c>
      <c r="C1826">
        <v>2017</v>
      </c>
      <c r="D1826" t="s">
        <v>44</v>
      </c>
      <c r="E1826" t="s">
        <v>49</v>
      </c>
      <c r="F1826" t="s">
        <v>81</v>
      </c>
      <c r="G1826" t="s">
        <v>86</v>
      </c>
      <c r="H1826" t="s">
        <v>350</v>
      </c>
      <c r="I1826" t="s">
        <v>1120</v>
      </c>
      <c r="J1826">
        <v>1</v>
      </c>
      <c r="K1826" t="s">
        <v>42</v>
      </c>
      <c r="L1826">
        <v>450</v>
      </c>
      <c r="M1826">
        <v>6.25E-2</v>
      </c>
      <c r="N1826" t="s">
        <v>123</v>
      </c>
      <c r="O1826" t="s">
        <v>123</v>
      </c>
      <c r="P1826" t="s">
        <v>518</v>
      </c>
      <c r="Q1826" s="1" t="s">
        <v>2281</v>
      </c>
      <c r="R1826" s="1" t="s">
        <v>2282</v>
      </c>
      <c r="S1826" s="1" t="s">
        <v>123</v>
      </c>
      <c r="X1826" t="s">
        <v>1141</v>
      </c>
      <c r="Y1826" t="s">
        <v>2273</v>
      </c>
      <c r="Z1826" t="s">
        <v>249</v>
      </c>
      <c r="AA1826" t="s">
        <v>2359</v>
      </c>
      <c r="AB1826" t="s">
        <v>1419</v>
      </c>
      <c r="AC1826" t="s">
        <v>152</v>
      </c>
      <c r="AD1826" t="s">
        <v>137</v>
      </c>
    </row>
    <row r="1827" spans="1:43" x14ac:dyDescent="0.2">
      <c r="A1827" t="s">
        <v>1136</v>
      </c>
      <c r="B1827" t="s">
        <v>1137</v>
      </c>
      <c r="C1827">
        <v>2017</v>
      </c>
      <c r="D1827" t="s">
        <v>44</v>
      </c>
      <c r="E1827" t="s">
        <v>49</v>
      </c>
      <c r="F1827" t="s">
        <v>81</v>
      </c>
      <c r="G1827" t="s">
        <v>86</v>
      </c>
      <c r="H1827" t="s">
        <v>350</v>
      </c>
      <c r="I1827" t="s">
        <v>1120</v>
      </c>
      <c r="J1827">
        <v>1</v>
      </c>
      <c r="K1827" t="s">
        <v>42</v>
      </c>
      <c r="L1827">
        <v>450</v>
      </c>
      <c r="M1827">
        <v>6.25E-2</v>
      </c>
      <c r="N1827" t="s">
        <v>123</v>
      </c>
      <c r="O1827" t="s">
        <v>123</v>
      </c>
      <c r="P1827" t="s">
        <v>518</v>
      </c>
      <c r="Q1827" s="1" t="s">
        <v>2281</v>
      </c>
      <c r="R1827" s="1" t="s">
        <v>2282</v>
      </c>
      <c r="S1827" s="1" t="s">
        <v>123</v>
      </c>
      <c r="X1827" t="s">
        <v>1142</v>
      </c>
      <c r="Y1827" t="s">
        <v>2273</v>
      </c>
      <c r="Z1827" t="s">
        <v>249</v>
      </c>
      <c r="AA1827" t="s">
        <v>2359</v>
      </c>
      <c r="AB1827" t="s">
        <v>1419</v>
      </c>
      <c r="AC1827" t="s">
        <v>152</v>
      </c>
      <c r="AD1827" t="s">
        <v>137</v>
      </c>
    </row>
    <row r="1828" spans="1:43" x14ac:dyDescent="0.2">
      <c r="A1828" t="s">
        <v>1136</v>
      </c>
      <c r="B1828" t="s">
        <v>1137</v>
      </c>
      <c r="C1828">
        <v>2017</v>
      </c>
      <c r="D1828" t="s">
        <v>44</v>
      </c>
      <c r="E1828" t="s">
        <v>49</v>
      </c>
      <c r="F1828" t="s">
        <v>81</v>
      </c>
      <c r="G1828" t="s">
        <v>86</v>
      </c>
      <c r="H1828" t="s">
        <v>350</v>
      </c>
      <c r="I1828" t="s">
        <v>1120</v>
      </c>
      <c r="J1828">
        <v>1</v>
      </c>
      <c r="K1828" t="s">
        <v>42</v>
      </c>
      <c r="L1828">
        <v>450</v>
      </c>
      <c r="M1828">
        <v>6.25E-2</v>
      </c>
      <c r="N1828" t="s">
        <v>123</v>
      </c>
      <c r="O1828" t="s">
        <v>123</v>
      </c>
      <c r="P1828" t="s">
        <v>518</v>
      </c>
      <c r="Q1828" s="1" t="s">
        <v>2281</v>
      </c>
      <c r="R1828" s="1" t="s">
        <v>2282</v>
      </c>
      <c r="S1828" s="1" t="s">
        <v>123</v>
      </c>
      <c r="X1828" t="s">
        <v>1143</v>
      </c>
      <c r="Y1828" t="s">
        <v>2273</v>
      </c>
      <c r="Z1828" t="s">
        <v>2356</v>
      </c>
      <c r="AA1828" t="s">
        <v>2357</v>
      </c>
      <c r="AB1828" t="s">
        <v>2277</v>
      </c>
      <c r="AC1828" t="s">
        <v>152</v>
      </c>
      <c r="AD1828" t="s">
        <v>2288</v>
      </c>
    </row>
    <row r="1829" spans="1:43" x14ac:dyDescent="0.2">
      <c r="A1829" t="s">
        <v>1136</v>
      </c>
      <c r="B1829" t="s">
        <v>1137</v>
      </c>
      <c r="C1829">
        <v>2017</v>
      </c>
      <c r="D1829" t="s">
        <v>44</v>
      </c>
      <c r="E1829" t="s">
        <v>49</v>
      </c>
      <c r="F1829" t="s">
        <v>81</v>
      </c>
      <c r="G1829" t="s">
        <v>86</v>
      </c>
      <c r="H1829" t="s">
        <v>350</v>
      </c>
      <c r="I1829" t="s">
        <v>1120</v>
      </c>
      <c r="J1829">
        <v>1</v>
      </c>
      <c r="K1829" t="s">
        <v>42</v>
      </c>
      <c r="L1829">
        <v>450</v>
      </c>
      <c r="M1829">
        <v>6.25E-2</v>
      </c>
      <c r="N1829" t="s">
        <v>123</v>
      </c>
      <c r="O1829" t="s">
        <v>123</v>
      </c>
      <c r="P1829" t="s">
        <v>518</v>
      </c>
      <c r="Q1829" s="1" t="s">
        <v>2281</v>
      </c>
      <c r="R1829" s="1" t="s">
        <v>2282</v>
      </c>
      <c r="S1829" s="1" t="s">
        <v>123</v>
      </c>
      <c r="X1829" t="s">
        <v>211</v>
      </c>
      <c r="Y1829" t="s">
        <v>2279</v>
      </c>
      <c r="Z1829" t="s">
        <v>2280</v>
      </c>
      <c r="AA1829" t="s">
        <v>2358</v>
      </c>
      <c r="AB1829" t="s">
        <v>2290</v>
      </c>
      <c r="AC1829" t="s">
        <v>152</v>
      </c>
      <c r="AD1829" t="s">
        <v>2278</v>
      </c>
      <c r="AE1829" t="s">
        <v>1144</v>
      </c>
      <c r="AF1829" t="s">
        <v>49</v>
      </c>
      <c r="AJ1829" t="s">
        <v>49</v>
      </c>
      <c r="AM1829" t="s">
        <v>1145</v>
      </c>
      <c r="AN1829" t="s">
        <v>154</v>
      </c>
      <c r="AP1829" t="s">
        <v>157</v>
      </c>
    </row>
    <row r="1830" spans="1:43" x14ac:dyDescent="0.2">
      <c r="A1830" t="s">
        <v>1146</v>
      </c>
      <c r="B1830" t="s">
        <v>1147</v>
      </c>
      <c r="C1830">
        <v>2017</v>
      </c>
      <c r="D1830" t="s">
        <v>44</v>
      </c>
      <c r="F1830" t="s">
        <v>81</v>
      </c>
      <c r="G1830" t="s">
        <v>86</v>
      </c>
      <c r="H1830" t="s">
        <v>96</v>
      </c>
      <c r="I1830">
        <v>2013</v>
      </c>
      <c r="J1830">
        <v>0.04</v>
      </c>
      <c r="K1830" t="s">
        <v>109</v>
      </c>
      <c r="M1830">
        <v>0.25</v>
      </c>
      <c r="N1830" t="s">
        <v>760</v>
      </c>
      <c r="O1830" t="s">
        <v>760</v>
      </c>
      <c r="P1830" t="s">
        <v>761</v>
      </c>
      <c r="Q1830" s="1" t="s">
        <v>2292</v>
      </c>
      <c r="R1830" s="1" t="s">
        <v>760</v>
      </c>
      <c r="S1830" s="1" t="s">
        <v>760</v>
      </c>
      <c r="T1830" t="s">
        <v>396</v>
      </c>
      <c r="U1830" t="s">
        <v>124</v>
      </c>
      <c r="X1830" t="s">
        <v>161</v>
      </c>
      <c r="Y1830" t="s">
        <v>2272</v>
      </c>
      <c r="Z1830" t="s">
        <v>2272</v>
      </c>
      <c r="AA1830" t="s">
        <v>2272</v>
      </c>
      <c r="AB1830" t="s">
        <v>2272</v>
      </c>
      <c r="AC1830" t="s">
        <v>162</v>
      </c>
      <c r="AD1830" t="s">
        <v>2272</v>
      </c>
      <c r="AF1830" t="s">
        <v>49</v>
      </c>
      <c r="AK1830" t="s">
        <v>49</v>
      </c>
      <c r="AM1830" t="s">
        <v>1148</v>
      </c>
      <c r="AN1830" t="s">
        <v>166</v>
      </c>
      <c r="AQ1830" s="5">
        <v>2</v>
      </c>
    </row>
    <row r="1831" spans="1:43" x14ac:dyDescent="0.2">
      <c r="A1831" t="s">
        <v>1146</v>
      </c>
      <c r="B1831" t="s">
        <v>1147</v>
      </c>
      <c r="C1831">
        <v>2017</v>
      </c>
      <c r="D1831" t="s">
        <v>44</v>
      </c>
      <c r="F1831" t="s">
        <v>81</v>
      </c>
      <c r="G1831" t="s">
        <v>86</v>
      </c>
      <c r="H1831" t="s">
        <v>96</v>
      </c>
      <c r="I1831">
        <v>2013</v>
      </c>
      <c r="J1831">
        <v>0.04</v>
      </c>
      <c r="K1831" t="s">
        <v>109</v>
      </c>
      <c r="M1831">
        <v>0.25</v>
      </c>
      <c r="N1831" t="s">
        <v>124</v>
      </c>
      <c r="O1831" t="s">
        <v>124</v>
      </c>
      <c r="P1831" t="s">
        <v>279</v>
      </c>
      <c r="Q1831" s="1" t="s">
        <v>2292</v>
      </c>
      <c r="R1831" s="1" t="s">
        <v>124</v>
      </c>
      <c r="S1831" s="1" t="s">
        <v>124</v>
      </c>
      <c r="T1831" t="s">
        <v>396</v>
      </c>
      <c r="U1831" t="s">
        <v>760</v>
      </c>
      <c r="X1831" t="s">
        <v>161</v>
      </c>
      <c r="Y1831" t="s">
        <v>2272</v>
      </c>
      <c r="Z1831" t="s">
        <v>2272</v>
      </c>
      <c r="AA1831" t="s">
        <v>2272</v>
      </c>
      <c r="AB1831" t="s">
        <v>2272</v>
      </c>
      <c r="AC1831" t="s">
        <v>162</v>
      </c>
      <c r="AD1831" t="s">
        <v>2272</v>
      </c>
      <c r="AF1831" t="s">
        <v>49</v>
      </c>
      <c r="AK1831" t="s">
        <v>49</v>
      </c>
      <c r="AM1831" t="s">
        <v>1148</v>
      </c>
      <c r="AN1831" t="s">
        <v>166</v>
      </c>
      <c r="AQ1831" s="5">
        <v>1</v>
      </c>
    </row>
    <row r="1832" spans="1:43" x14ac:dyDescent="0.2">
      <c r="A1832" t="s">
        <v>1146</v>
      </c>
      <c r="B1832" t="s">
        <v>1147</v>
      </c>
      <c r="C1832">
        <v>2017</v>
      </c>
      <c r="D1832" t="s">
        <v>44</v>
      </c>
      <c r="F1832" t="s">
        <v>81</v>
      </c>
      <c r="G1832" t="s">
        <v>86</v>
      </c>
      <c r="H1832" t="s">
        <v>96</v>
      </c>
      <c r="I1832">
        <v>2013</v>
      </c>
      <c r="J1832">
        <v>0.04</v>
      </c>
      <c r="K1832" t="s">
        <v>109</v>
      </c>
      <c r="M1832">
        <v>0.25</v>
      </c>
      <c r="N1832" t="s">
        <v>760</v>
      </c>
      <c r="O1832" t="s">
        <v>760</v>
      </c>
      <c r="P1832" t="s">
        <v>761</v>
      </c>
      <c r="Q1832" s="1" t="s">
        <v>2292</v>
      </c>
      <c r="R1832" s="1" t="s">
        <v>760</v>
      </c>
      <c r="S1832" s="1" t="s">
        <v>760</v>
      </c>
      <c r="T1832" t="s">
        <v>396</v>
      </c>
      <c r="U1832" t="s">
        <v>124</v>
      </c>
      <c r="X1832" t="s">
        <v>161</v>
      </c>
      <c r="Y1832" t="s">
        <v>2272</v>
      </c>
      <c r="Z1832" t="s">
        <v>2272</v>
      </c>
      <c r="AA1832" t="s">
        <v>2272</v>
      </c>
      <c r="AB1832" t="s">
        <v>2272</v>
      </c>
      <c r="AC1832" t="s">
        <v>162</v>
      </c>
      <c r="AD1832" t="s">
        <v>2272</v>
      </c>
      <c r="AF1832" t="s">
        <v>49</v>
      </c>
      <c r="AK1832" t="s">
        <v>49</v>
      </c>
      <c r="AM1832" t="s">
        <v>1148</v>
      </c>
      <c r="AN1832" t="s">
        <v>171</v>
      </c>
      <c r="AQ1832" s="5">
        <v>2</v>
      </c>
    </row>
    <row r="1833" spans="1:43" x14ac:dyDescent="0.2">
      <c r="A1833" t="s">
        <v>1146</v>
      </c>
      <c r="B1833" t="s">
        <v>1147</v>
      </c>
      <c r="C1833">
        <v>2017</v>
      </c>
      <c r="D1833" t="s">
        <v>44</v>
      </c>
      <c r="F1833" t="s">
        <v>81</v>
      </c>
      <c r="G1833" t="s">
        <v>86</v>
      </c>
      <c r="H1833" t="s">
        <v>96</v>
      </c>
      <c r="I1833">
        <v>2013</v>
      </c>
      <c r="J1833">
        <v>0.04</v>
      </c>
      <c r="K1833" t="s">
        <v>109</v>
      </c>
      <c r="M1833">
        <v>0.25</v>
      </c>
      <c r="N1833" t="s">
        <v>124</v>
      </c>
      <c r="O1833" t="s">
        <v>124</v>
      </c>
      <c r="P1833" t="s">
        <v>279</v>
      </c>
      <c r="Q1833" s="1" t="s">
        <v>2292</v>
      </c>
      <c r="R1833" s="1" t="s">
        <v>124</v>
      </c>
      <c r="S1833" s="1" t="s">
        <v>124</v>
      </c>
      <c r="T1833" t="s">
        <v>396</v>
      </c>
      <c r="U1833" t="s">
        <v>760</v>
      </c>
      <c r="X1833" t="s">
        <v>161</v>
      </c>
      <c r="Y1833" t="s">
        <v>2272</v>
      </c>
      <c r="Z1833" t="s">
        <v>2272</v>
      </c>
      <c r="AA1833" t="s">
        <v>2272</v>
      </c>
      <c r="AB1833" t="s">
        <v>2272</v>
      </c>
      <c r="AC1833" t="s">
        <v>162</v>
      </c>
      <c r="AD1833" t="s">
        <v>2272</v>
      </c>
      <c r="AF1833" t="s">
        <v>49</v>
      </c>
      <c r="AK1833" t="s">
        <v>49</v>
      </c>
      <c r="AM1833" t="s">
        <v>1148</v>
      </c>
      <c r="AN1833" t="s">
        <v>171</v>
      </c>
      <c r="AQ1833" s="5">
        <v>1</v>
      </c>
    </row>
    <row r="1834" spans="1:43" x14ac:dyDescent="0.2">
      <c r="A1834" t="s">
        <v>1146</v>
      </c>
      <c r="B1834" t="s">
        <v>1147</v>
      </c>
      <c r="C1834">
        <v>2017</v>
      </c>
      <c r="D1834" t="s">
        <v>44</v>
      </c>
      <c r="F1834" t="s">
        <v>81</v>
      </c>
      <c r="G1834" t="s">
        <v>86</v>
      </c>
      <c r="H1834" t="s">
        <v>96</v>
      </c>
      <c r="I1834">
        <v>2013</v>
      </c>
      <c r="J1834">
        <v>0.04</v>
      </c>
      <c r="K1834" t="s">
        <v>109</v>
      </c>
      <c r="M1834">
        <v>0.25</v>
      </c>
      <c r="N1834" t="s">
        <v>760</v>
      </c>
      <c r="O1834" t="s">
        <v>760</v>
      </c>
      <c r="P1834" t="s">
        <v>761</v>
      </c>
      <c r="Q1834" s="1" t="s">
        <v>2292</v>
      </c>
      <c r="R1834" s="1" t="s">
        <v>760</v>
      </c>
      <c r="S1834" s="1" t="s">
        <v>760</v>
      </c>
      <c r="T1834" t="s">
        <v>396</v>
      </c>
      <c r="U1834" t="s">
        <v>124</v>
      </c>
      <c r="X1834" t="s">
        <v>161</v>
      </c>
      <c r="Y1834" t="s">
        <v>2272</v>
      </c>
      <c r="Z1834" t="s">
        <v>2272</v>
      </c>
      <c r="AA1834" t="s">
        <v>2272</v>
      </c>
      <c r="AB1834" t="s">
        <v>2272</v>
      </c>
      <c r="AC1834" t="s">
        <v>162</v>
      </c>
      <c r="AD1834" t="s">
        <v>2272</v>
      </c>
      <c r="AH1834" s="4" t="s">
        <v>49</v>
      </c>
      <c r="AI1834" t="s">
        <v>49</v>
      </c>
      <c r="AM1834" t="s">
        <v>233</v>
      </c>
      <c r="AN1834" t="s">
        <v>166</v>
      </c>
      <c r="AQ1834" s="5">
        <v>1</v>
      </c>
    </row>
    <row r="1835" spans="1:43" x14ac:dyDescent="0.2">
      <c r="A1835" t="s">
        <v>1146</v>
      </c>
      <c r="B1835" t="s">
        <v>1147</v>
      </c>
      <c r="C1835">
        <v>2017</v>
      </c>
      <c r="D1835" t="s">
        <v>44</v>
      </c>
      <c r="F1835" t="s">
        <v>81</v>
      </c>
      <c r="G1835" t="s">
        <v>86</v>
      </c>
      <c r="H1835" t="s">
        <v>96</v>
      </c>
      <c r="I1835">
        <v>2013</v>
      </c>
      <c r="J1835">
        <v>0.04</v>
      </c>
      <c r="K1835" t="s">
        <v>109</v>
      </c>
      <c r="M1835">
        <v>0.25</v>
      </c>
      <c r="N1835" t="s">
        <v>124</v>
      </c>
      <c r="O1835" t="s">
        <v>124</v>
      </c>
      <c r="P1835" t="s">
        <v>279</v>
      </c>
      <c r="Q1835" s="1" t="s">
        <v>2292</v>
      </c>
      <c r="R1835" s="1" t="s">
        <v>124</v>
      </c>
      <c r="S1835" s="1" t="s">
        <v>124</v>
      </c>
      <c r="T1835" t="s">
        <v>396</v>
      </c>
      <c r="U1835" t="s">
        <v>760</v>
      </c>
      <c r="X1835" t="s">
        <v>161</v>
      </c>
      <c r="Y1835" t="s">
        <v>2272</v>
      </c>
      <c r="Z1835" t="s">
        <v>2272</v>
      </c>
      <c r="AA1835" t="s">
        <v>2272</v>
      </c>
      <c r="AB1835" t="s">
        <v>2272</v>
      </c>
      <c r="AC1835" t="s">
        <v>162</v>
      </c>
      <c r="AD1835" t="s">
        <v>2272</v>
      </c>
      <c r="AH1835" s="4" t="s">
        <v>49</v>
      </c>
      <c r="AI1835" t="s">
        <v>49</v>
      </c>
      <c r="AM1835" t="s">
        <v>233</v>
      </c>
      <c r="AN1835" t="s">
        <v>166</v>
      </c>
      <c r="AQ1835" s="5">
        <v>2</v>
      </c>
    </row>
    <row r="1836" spans="1:43" x14ac:dyDescent="0.2">
      <c r="A1836" t="s">
        <v>1146</v>
      </c>
      <c r="B1836" t="s">
        <v>1147</v>
      </c>
      <c r="C1836">
        <v>2017</v>
      </c>
      <c r="D1836" t="s">
        <v>44</v>
      </c>
      <c r="F1836" t="s">
        <v>81</v>
      </c>
      <c r="G1836" t="s">
        <v>86</v>
      </c>
      <c r="H1836" t="s">
        <v>96</v>
      </c>
      <c r="I1836">
        <v>2013</v>
      </c>
      <c r="J1836">
        <v>0.04</v>
      </c>
      <c r="K1836" t="s">
        <v>109</v>
      </c>
      <c r="M1836">
        <v>0.25</v>
      </c>
      <c r="N1836" t="s">
        <v>760</v>
      </c>
      <c r="O1836" t="s">
        <v>760</v>
      </c>
      <c r="P1836" t="s">
        <v>761</v>
      </c>
      <c r="Q1836" s="1" t="s">
        <v>2292</v>
      </c>
      <c r="R1836" s="1" t="s">
        <v>760</v>
      </c>
      <c r="S1836" s="1" t="s">
        <v>760</v>
      </c>
      <c r="T1836" t="s">
        <v>396</v>
      </c>
      <c r="U1836" t="s">
        <v>124</v>
      </c>
      <c r="X1836" t="s">
        <v>161</v>
      </c>
      <c r="Y1836" t="s">
        <v>2272</v>
      </c>
      <c r="Z1836" t="s">
        <v>2272</v>
      </c>
      <c r="AA1836" t="s">
        <v>2272</v>
      </c>
      <c r="AB1836" t="s">
        <v>2272</v>
      </c>
      <c r="AC1836" t="s">
        <v>162</v>
      </c>
      <c r="AD1836" t="s">
        <v>2272</v>
      </c>
      <c r="AH1836" s="4" t="s">
        <v>49</v>
      </c>
      <c r="AI1836" t="s">
        <v>49</v>
      </c>
      <c r="AM1836" t="s">
        <v>233</v>
      </c>
      <c r="AN1836" t="s">
        <v>171</v>
      </c>
      <c r="AQ1836" s="5">
        <v>1</v>
      </c>
    </row>
    <row r="1837" spans="1:43" x14ac:dyDescent="0.2">
      <c r="A1837" t="s">
        <v>1146</v>
      </c>
      <c r="B1837" t="s">
        <v>1147</v>
      </c>
      <c r="C1837">
        <v>2017</v>
      </c>
      <c r="D1837" t="s">
        <v>44</v>
      </c>
      <c r="F1837" t="s">
        <v>81</v>
      </c>
      <c r="G1837" t="s">
        <v>86</v>
      </c>
      <c r="H1837" t="s">
        <v>96</v>
      </c>
      <c r="I1837">
        <v>2013</v>
      </c>
      <c r="J1837">
        <v>0.04</v>
      </c>
      <c r="K1837" t="s">
        <v>109</v>
      </c>
      <c r="M1837">
        <v>0.25</v>
      </c>
      <c r="N1837" t="s">
        <v>124</v>
      </c>
      <c r="O1837" t="s">
        <v>124</v>
      </c>
      <c r="P1837" t="s">
        <v>279</v>
      </c>
      <c r="Q1837" s="1" t="s">
        <v>2292</v>
      </c>
      <c r="R1837" s="1" t="s">
        <v>124</v>
      </c>
      <c r="S1837" s="1" t="s">
        <v>124</v>
      </c>
      <c r="T1837" t="s">
        <v>396</v>
      </c>
      <c r="U1837" t="s">
        <v>760</v>
      </c>
      <c r="X1837" t="s">
        <v>161</v>
      </c>
      <c r="Y1837" t="s">
        <v>2272</v>
      </c>
      <c r="Z1837" t="s">
        <v>2272</v>
      </c>
      <c r="AA1837" t="s">
        <v>2272</v>
      </c>
      <c r="AB1837" t="s">
        <v>2272</v>
      </c>
      <c r="AC1837" t="s">
        <v>162</v>
      </c>
      <c r="AD1837" t="s">
        <v>2272</v>
      </c>
      <c r="AH1837" s="4" t="s">
        <v>49</v>
      </c>
      <c r="AI1837" t="s">
        <v>49</v>
      </c>
      <c r="AM1837" t="s">
        <v>233</v>
      </c>
      <c r="AN1837" t="s">
        <v>171</v>
      </c>
      <c r="AQ1837" s="5">
        <v>2</v>
      </c>
    </row>
    <row r="1838" spans="1:43" x14ac:dyDescent="0.2">
      <c r="A1838" t="s">
        <v>1146</v>
      </c>
      <c r="B1838" t="s">
        <v>1147</v>
      </c>
      <c r="C1838">
        <v>2017</v>
      </c>
      <c r="D1838" t="s">
        <v>44</v>
      </c>
      <c r="F1838" t="s">
        <v>81</v>
      </c>
      <c r="G1838" t="s">
        <v>86</v>
      </c>
      <c r="H1838" t="s">
        <v>96</v>
      </c>
      <c r="I1838">
        <v>2013</v>
      </c>
      <c r="J1838">
        <v>0.04</v>
      </c>
      <c r="K1838" t="s">
        <v>109</v>
      </c>
      <c r="M1838">
        <v>0.25</v>
      </c>
      <c r="N1838" t="s">
        <v>760</v>
      </c>
      <c r="O1838" t="s">
        <v>760</v>
      </c>
      <c r="P1838" t="s">
        <v>761</v>
      </c>
      <c r="Q1838" s="1" t="s">
        <v>2292</v>
      </c>
      <c r="R1838" s="1" t="s">
        <v>760</v>
      </c>
      <c r="S1838" s="1" t="s">
        <v>760</v>
      </c>
      <c r="T1838" t="s">
        <v>396</v>
      </c>
      <c r="U1838" t="s">
        <v>124</v>
      </c>
      <c r="X1838" t="s">
        <v>161</v>
      </c>
      <c r="Y1838" t="s">
        <v>2272</v>
      </c>
      <c r="Z1838" t="s">
        <v>2272</v>
      </c>
      <c r="AA1838" t="s">
        <v>2272</v>
      </c>
      <c r="AB1838" t="s">
        <v>2272</v>
      </c>
      <c r="AC1838" t="s">
        <v>162</v>
      </c>
      <c r="AD1838" t="s">
        <v>2272</v>
      </c>
      <c r="AF1838" t="s">
        <v>49</v>
      </c>
      <c r="AK1838" t="s">
        <v>49</v>
      </c>
      <c r="AM1838" t="s">
        <v>1149</v>
      </c>
      <c r="AN1838" t="s">
        <v>166</v>
      </c>
      <c r="AQ1838" s="5">
        <v>0</v>
      </c>
    </row>
    <row r="1839" spans="1:43" x14ac:dyDescent="0.2">
      <c r="A1839" t="s">
        <v>1146</v>
      </c>
      <c r="B1839" t="s">
        <v>1147</v>
      </c>
      <c r="C1839">
        <v>2017</v>
      </c>
      <c r="D1839" t="s">
        <v>44</v>
      </c>
      <c r="F1839" t="s">
        <v>81</v>
      </c>
      <c r="G1839" t="s">
        <v>86</v>
      </c>
      <c r="H1839" t="s">
        <v>96</v>
      </c>
      <c r="I1839">
        <v>2013</v>
      </c>
      <c r="J1839">
        <v>0.04</v>
      </c>
      <c r="K1839" t="s">
        <v>109</v>
      </c>
      <c r="M1839">
        <v>0.25</v>
      </c>
      <c r="N1839" t="s">
        <v>124</v>
      </c>
      <c r="O1839" t="s">
        <v>124</v>
      </c>
      <c r="P1839" t="s">
        <v>279</v>
      </c>
      <c r="Q1839" s="1" t="s">
        <v>2292</v>
      </c>
      <c r="R1839" s="1" t="s">
        <v>124</v>
      </c>
      <c r="S1839" s="1" t="s">
        <v>124</v>
      </c>
      <c r="T1839" t="s">
        <v>396</v>
      </c>
      <c r="U1839" t="s">
        <v>760</v>
      </c>
      <c r="X1839" t="s">
        <v>161</v>
      </c>
      <c r="Y1839" t="s">
        <v>2272</v>
      </c>
      <c r="Z1839" t="s">
        <v>2272</v>
      </c>
      <c r="AA1839" t="s">
        <v>2272</v>
      </c>
      <c r="AB1839" t="s">
        <v>2272</v>
      </c>
      <c r="AC1839" t="s">
        <v>162</v>
      </c>
      <c r="AD1839" t="s">
        <v>2272</v>
      </c>
      <c r="AF1839" t="s">
        <v>49</v>
      </c>
      <c r="AK1839" t="s">
        <v>49</v>
      </c>
      <c r="AM1839" t="s">
        <v>1149</v>
      </c>
      <c r="AN1839" t="s">
        <v>166</v>
      </c>
      <c r="AQ1839" s="5">
        <v>0</v>
      </c>
    </row>
    <row r="1840" spans="1:43" x14ac:dyDescent="0.2">
      <c r="A1840" t="s">
        <v>1146</v>
      </c>
      <c r="B1840" t="s">
        <v>1147</v>
      </c>
      <c r="C1840">
        <v>2017</v>
      </c>
      <c r="D1840" t="s">
        <v>44</v>
      </c>
      <c r="F1840" t="s">
        <v>81</v>
      </c>
      <c r="G1840" t="s">
        <v>86</v>
      </c>
      <c r="H1840" t="s">
        <v>96</v>
      </c>
      <c r="I1840">
        <v>2013</v>
      </c>
      <c r="J1840">
        <v>0.04</v>
      </c>
      <c r="K1840" t="s">
        <v>109</v>
      </c>
      <c r="M1840">
        <v>0.25</v>
      </c>
      <c r="N1840" t="s">
        <v>760</v>
      </c>
      <c r="O1840" t="s">
        <v>760</v>
      </c>
      <c r="P1840" t="s">
        <v>761</v>
      </c>
      <c r="Q1840" s="1" t="s">
        <v>2292</v>
      </c>
      <c r="R1840" s="1" t="s">
        <v>760</v>
      </c>
      <c r="S1840" s="1" t="s">
        <v>760</v>
      </c>
      <c r="T1840" t="s">
        <v>396</v>
      </c>
      <c r="U1840" t="s">
        <v>124</v>
      </c>
      <c r="X1840" t="s">
        <v>161</v>
      </c>
      <c r="Y1840" t="s">
        <v>2272</v>
      </c>
      <c r="Z1840" t="s">
        <v>2272</v>
      </c>
      <c r="AA1840" t="s">
        <v>2272</v>
      </c>
      <c r="AB1840" t="s">
        <v>2272</v>
      </c>
      <c r="AC1840" t="s">
        <v>162</v>
      </c>
      <c r="AD1840" t="s">
        <v>2272</v>
      </c>
      <c r="AF1840" t="s">
        <v>49</v>
      </c>
      <c r="AK1840" t="s">
        <v>49</v>
      </c>
      <c r="AM1840" t="s">
        <v>1149</v>
      </c>
      <c r="AN1840" t="s">
        <v>171</v>
      </c>
      <c r="AQ1840" s="5">
        <v>0</v>
      </c>
    </row>
    <row r="1841" spans="1:43" x14ac:dyDescent="0.2">
      <c r="A1841" t="s">
        <v>1146</v>
      </c>
      <c r="B1841" t="s">
        <v>1147</v>
      </c>
      <c r="C1841">
        <v>2017</v>
      </c>
      <c r="D1841" t="s">
        <v>44</v>
      </c>
      <c r="F1841" t="s">
        <v>81</v>
      </c>
      <c r="G1841" t="s">
        <v>86</v>
      </c>
      <c r="H1841" t="s">
        <v>96</v>
      </c>
      <c r="I1841">
        <v>2013</v>
      </c>
      <c r="J1841">
        <v>0.04</v>
      </c>
      <c r="K1841" t="s">
        <v>109</v>
      </c>
      <c r="M1841">
        <v>0.25</v>
      </c>
      <c r="N1841" t="s">
        <v>124</v>
      </c>
      <c r="O1841" t="s">
        <v>124</v>
      </c>
      <c r="P1841" t="s">
        <v>279</v>
      </c>
      <c r="Q1841" s="1" t="s">
        <v>2292</v>
      </c>
      <c r="R1841" s="1" t="s">
        <v>124</v>
      </c>
      <c r="S1841" s="1" t="s">
        <v>124</v>
      </c>
      <c r="T1841" t="s">
        <v>396</v>
      </c>
      <c r="U1841" t="s">
        <v>760</v>
      </c>
      <c r="X1841" t="s">
        <v>161</v>
      </c>
      <c r="Y1841" t="s">
        <v>2272</v>
      </c>
      <c r="Z1841" t="s">
        <v>2272</v>
      </c>
      <c r="AA1841" t="s">
        <v>2272</v>
      </c>
      <c r="AB1841" t="s">
        <v>2272</v>
      </c>
      <c r="AC1841" t="s">
        <v>162</v>
      </c>
      <c r="AD1841" t="s">
        <v>2272</v>
      </c>
      <c r="AF1841" t="s">
        <v>49</v>
      </c>
      <c r="AK1841" t="s">
        <v>49</v>
      </c>
      <c r="AM1841" t="s">
        <v>1149</v>
      </c>
      <c r="AN1841" t="s">
        <v>171</v>
      </c>
      <c r="AQ1841" s="5">
        <v>0</v>
      </c>
    </row>
    <row r="1842" spans="1:43" x14ac:dyDescent="0.2">
      <c r="A1842" t="s">
        <v>1146</v>
      </c>
      <c r="B1842" t="s">
        <v>1147</v>
      </c>
      <c r="C1842">
        <v>2017</v>
      </c>
      <c r="D1842" t="s">
        <v>44</v>
      </c>
      <c r="F1842" t="s">
        <v>81</v>
      </c>
      <c r="G1842" t="s">
        <v>86</v>
      </c>
      <c r="H1842" t="s">
        <v>96</v>
      </c>
      <c r="I1842">
        <v>2013</v>
      </c>
      <c r="J1842">
        <v>0.04</v>
      </c>
      <c r="K1842" t="s">
        <v>109</v>
      </c>
      <c r="M1842">
        <v>0.25</v>
      </c>
      <c r="N1842" t="s">
        <v>760</v>
      </c>
      <c r="O1842" t="s">
        <v>760</v>
      </c>
      <c r="P1842" t="s">
        <v>761</v>
      </c>
      <c r="Q1842" s="1" t="s">
        <v>2292</v>
      </c>
      <c r="R1842" s="1" t="s">
        <v>760</v>
      </c>
      <c r="S1842" s="1" t="s">
        <v>760</v>
      </c>
      <c r="T1842" t="s">
        <v>396</v>
      </c>
      <c r="U1842" t="s">
        <v>124</v>
      </c>
      <c r="X1842" t="s">
        <v>161</v>
      </c>
      <c r="Y1842" t="s">
        <v>2272</v>
      </c>
      <c r="Z1842" t="s">
        <v>2272</v>
      </c>
      <c r="AA1842" t="s">
        <v>2272</v>
      </c>
      <c r="AB1842" t="s">
        <v>2272</v>
      </c>
      <c r="AC1842" t="s">
        <v>162</v>
      </c>
      <c r="AD1842" t="s">
        <v>2272</v>
      </c>
      <c r="AF1842" t="s">
        <v>49</v>
      </c>
      <c r="AH1842" s="4" t="s">
        <v>49</v>
      </c>
      <c r="AJ1842" t="s">
        <v>49</v>
      </c>
      <c r="AM1842" t="s">
        <v>688</v>
      </c>
      <c r="AN1842" t="s">
        <v>165</v>
      </c>
      <c r="AP1842" t="s">
        <v>49</v>
      </c>
    </row>
    <row r="1843" spans="1:43" x14ac:dyDescent="0.2">
      <c r="A1843" t="s">
        <v>1146</v>
      </c>
      <c r="B1843" t="s">
        <v>1147</v>
      </c>
      <c r="C1843">
        <v>2017</v>
      </c>
      <c r="D1843" t="s">
        <v>44</v>
      </c>
      <c r="F1843" t="s">
        <v>81</v>
      </c>
      <c r="G1843" t="s">
        <v>86</v>
      </c>
      <c r="H1843" t="s">
        <v>96</v>
      </c>
      <c r="I1843">
        <v>2013</v>
      </c>
      <c r="J1843">
        <v>0.04</v>
      </c>
      <c r="K1843" t="s">
        <v>109</v>
      </c>
      <c r="M1843">
        <v>0.25</v>
      </c>
      <c r="N1843" t="s">
        <v>124</v>
      </c>
      <c r="O1843" t="s">
        <v>124</v>
      </c>
      <c r="P1843" t="s">
        <v>279</v>
      </c>
      <c r="Q1843" s="1" t="s">
        <v>2292</v>
      </c>
      <c r="R1843" s="1" t="s">
        <v>124</v>
      </c>
      <c r="S1843" s="1" t="s">
        <v>124</v>
      </c>
      <c r="T1843" t="s">
        <v>396</v>
      </c>
      <c r="U1843" t="s">
        <v>760</v>
      </c>
      <c r="X1843" t="s">
        <v>161</v>
      </c>
      <c r="Y1843" t="s">
        <v>2272</v>
      </c>
      <c r="Z1843" t="s">
        <v>2272</v>
      </c>
      <c r="AA1843" t="s">
        <v>2272</v>
      </c>
      <c r="AB1843" t="s">
        <v>2272</v>
      </c>
      <c r="AC1843" t="s">
        <v>162</v>
      </c>
      <c r="AD1843" t="s">
        <v>2272</v>
      </c>
      <c r="AF1843" t="s">
        <v>49</v>
      </c>
      <c r="AH1843" s="4" t="s">
        <v>49</v>
      </c>
      <c r="AJ1843" t="s">
        <v>49</v>
      </c>
      <c r="AM1843" t="s">
        <v>688</v>
      </c>
      <c r="AN1843" t="s">
        <v>165</v>
      </c>
      <c r="AP1843" t="s">
        <v>49</v>
      </c>
    </row>
    <row r="1844" spans="1:43" x14ac:dyDescent="0.2">
      <c r="A1844" t="s">
        <v>1146</v>
      </c>
      <c r="B1844" t="s">
        <v>1147</v>
      </c>
      <c r="C1844">
        <v>2017</v>
      </c>
      <c r="D1844" t="s">
        <v>44</v>
      </c>
      <c r="F1844" t="s">
        <v>81</v>
      </c>
      <c r="G1844" t="s">
        <v>86</v>
      </c>
      <c r="H1844" t="s">
        <v>96</v>
      </c>
      <c r="I1844">
        <v>2013</v>
      </c>
      <c r="J1844">
        <v>0.04</v>
      </c>
      <c r="K1844" t="s">
        <v>109</v>
      </c>
      <c r="M1844">
        <v>0.25</v>
      </c>
      <c r="N1844" t="s">
        <v>760</v>
      </c>
      <c r="O1844" t="s">
        <v>760</v>
      </c>
      <c r="P1844" t="s">
        <v>761</v>
      </c>
      <c r="Q1844" s="1" t="s">
        <v>2292</v>
      </c>
      <c r="R1844" s="1" t="s">
        <v>760</v>
      </c>
      <c r="S1844" s="1" t="s">
        <v>760</v>
      </c>
      <c r="T1844" t="s">
        <v>396</v>
      </c>
      <c r="U1844" t="s">
        <v>124</v>
      </c>
      <c r="X1844" t="s">
        <v>161</v>
      </c>
      <c r="Y1844" t="s">
        <v>2272</v>
      </c>
      <c r="Z1844" t="s">
        <v>2272</v>
      </c>
      <c r="AA1844" t="s">
        <v>2272</v>
      </c>
      <c r="AB1844" t="s">
        <v>2272</v>
      </c>
      <c r="AC1844" t="s">
        <v>162</v>
      </c>
      <c r="AD1844" t="s">
        <v>2272</v>
      </c>
      <c r="AG1844" t="s">
        <v>49</v>
      </c>
      <c r="AK1844" t="s">
        <v>49</v>
      </c>
      <c r="AM1844" t="s">
        <v>306</v>
      </c>
      <c r="AN1844" t="s">
        <v>166</v>
      </c>
      <c r="AQ1844" s="5">
        <v>2</v>
      </c>
    </row>
    <row r="1845" spans="1:43" x14ac:dyDescent="0.2">
      <c r="A1845" t="s">
        <v>1146</v>
      </c>
      <c r="B1845" t="s">
        <v>1147</v>
      </c>
      <c r="C1845">
        <v>2017</v>
      </c>
      <c r="D1845" t="s">
        <v>44</v>
      </c>
      <c r="F1845" t="s">
        <v>81</v>
      </c>
      <c r="G1845" t="s">
        <v>86</v>
      </c>
      <c r="H1845" t="s">
        <v>96</v>
      </c>
      <c r="I1845">
        <v>2013</v>
      </c>
      <c r="J1845">
        <v>0.04</v>
      </c>
      <c r="K1845" t="s">
        <v>109</v>
      </c>
      <c r="M1845">
        <v>0.25</v>
      </c>
      <c r="N1845" t="s">
        <v>124</v>
      </c>
      <c r="O1845" t="s">
        <v>124</v>
      </c>
      <c r="P1845" t="s">
        <v>279</v>
      </c>
      <c r="Q1845" s="1" t="s">
        <v>2292</v>
      </c>
      <c r="R1845" s="1" t="s">
        <v>124</v>
      </c>
      <c r="S1845" s="1" t="s">
        <v>124</v>
      </c>
      <c r="T1845" t="s">
        <v>396</v>
      </c>
      <c r="U1845" t="s">
        <v>760</v>
      </c>
      <c r="X1845" t="s">
        <v>161</v>
      </c>
      <c r="Y1845" t="s">
        <v>2272</v>
      </c>
      <c r="Z1845" t="s">
        <v>2272</v>
      </c>
      <c r="AA1845" t="s">
        <v>2272</v>
      </c>
      <c r="AB1845" t="s">
        <v>2272</v>
      </c>
      <c r="AC1845" t="s">
        <v>162</v>
      </c>
      <c r="AD1845" t="s">
        <v>2272</v>
      </c>
      <c r="AG1845" t="s">
        <v>49</v>
      </c>
      <c r="AK1845" t="s">
        <v>49</v>
      </c>
      <c r="AM1845" t="s">
        <v>306</v>
      </c>
      <c r="AN1845" t="s">
        <v>166</v>
      </c>
      <c r="AQ1845" s="5">
        <v>1</v>
      </c>
    </row>
    <row r="1846" spans="1:43" x14ac:dyDescent="0.2">
      <c r="A1846" t="s">
        <v>1146</v>
      </c>
      <c r="B1846" t="s">
        <v>1147</v>
      </c>
      <c r="C1846">
        <v>2017</v>
      </c>
      <c r="D1846" t="s">
        <v>44</v>
      </c>
      <c r="F1846" t="s">
        <v>81</v>
      </c>
      <c r="G1846" t="s">
        <v>86</v>
      </c>
      <c r="H1846" t="s">
        <v>96</v>
      </c>
      <c r="I1846">
        <v>2013</v>
      </c>
      <c r="J1846">
        <v>0.04</v>
      </c>
      <c r="K1846" t="s">
        <v>109</v>
      </c>
      <c r="M1846">
        <v>0.25</v>
      </c>
      <c r="N1846" t="s">
        <v>760</v>
      </c>
      <c r="O1846" t="s">
        <v>760</v>
      </c>
      <c r="P1846" t="s">
        <v>761</v>
      </c>
      <c r="Q1846" s="1" t="s">
        <v>2292</v>
      </c>
      <c r="R1846" s="1" t="s">
        <v>760</v>
      </c>
      <c r="S1846" s="1" t="s">
        <v>760</v>
      </c>
      <c r="T1846" t="s">
        <v>396</v>
      </c>
      <c r="U1846" t="s">
        <v>124</v>
      </c>
      <c r="X1846" t="s">
        <v>161</v>
      </c>
      <c r="Y1846" t="s">
        <v>2272</v>
      </c>
      <c r="Z1846" t="s">
        <v>2272</v>
      </c>
      <c r="AA1846" t="s">
        <v>2272</v>
      </c>
      <c r="AB1846" t="s">
        <v>2272</v>
      </c>
      <c r="AC1846" t="s">
        <v>162</v>
      </c>
      <c r="AD1846" t="s">
        <v>2272</v>
      </c>
      <c r="AF1846" t="s">
        <v>49</v>
      </c>
      <c r="AK1846" t="s">
        <v>49</v>
      </c>
      <c r="AM1846" t="s">
        <v>424</v>
      </c>
      <c r="AN1846" t="s">
        <v>166</v>
      </c>
      <c r="AQ1846" s="5">
        <v>2</v>
      </c>
    </row>
    <row r="1847" spans="1:43" x14ac:dyDescent="0.2">
      <c r="A1847" t="s">
        <v>1146</v>
      </c>
      <c r="B1847" t="s">
        <v>1147</v>
      </c>
      <c r="C1847">
        <v>2017</v>
      </c>
      <c r="D1847" t="s">
        <v>44</v>
      </c>
      <c r="F1847" t="s">
        <v>81</v>
      </c>
      <c r="G1847" t="s">
        <v>86</v>
      </c>
      <c r="H1847" t="s">
        <v>96</v>
      </c>
      <c r="I1847">
        <v>2013</v>
      </c>
      <c r="J1847">
        <v>0.04</v>
      </c>
      <c r="K1847" t="s">
        <v>109</v>
      </c>
      <c r="M1847">
        <v>0.25</v>
      </c>
      <c r="N1847" t="s">
        <v>124</v>
      </c>
      <c r="O1847" t="s">
        <v>124</v>
      </c>
      <c r="P1847" t="s">
        <v>279</v>
      </c>
      <c r="Q1847" s="1" t="s">
        <v>2292</v>
      </c>
      <c r="R1847" s="1" t="s">
        <v>124</v>
      </c>
      <c r="S1847" s="1" t="s">
        <v>124</v>
      </c>
      <c r="T1847" t="s">
        <v>396</v>
      </c>
      <c r="U1847" t="s">
        <v>760</v>
      </c>
      <c r="X1847" t="s">
        <v>161</v>
      </c>
      <c r="Y1847" t="s">
        <v>2272</v>
      </c>
      <c r="Z1847" t="s">
        <v>2272</v>
      </c>
      <c r="AA1847" t="s">
        <v>2272</v>
      </c>
      <c r="AB1847" t="s">
        <v>2272</v>
      </c>
      <c r="AC1847" t="s">
        <v>162</v>
      </c>
      <c r="AD1847" t="s">
        <v>2272</v>
      </c>
      <c r="AF1847" t="s">
        <v>49</v>
      </c>
      <c r="AK1847" t="s">
        <v>49</v>
      </c>
      <c r="AM1847" t="s">
        <v>424</v>
      </c>
      <c r="AN1847" t="s">
        <v>166</v>
      </c>
      <c r="AQ1847" s="5">
        <v>1</v>
      </c>
    </row>
    <row r="1848" spans="1:43" x14ac:dyDescent="0.2">
      <c r="A1848" t="s">
        <v>1146</v>
      </c>
      <c r="B1848" t="s">
        <v>1147</v>
      </c>
      <c r="C1848">
        <v>2017</v>
      </c>
      <c r="D1848" t="s">
        <v>44</v>
      </c>
      <c r="F1848" t="s">
        <v>81</v>
      </c>
      <c r="G1848" t="s">
        <v>86</v>
      </c>
      <c r="H1848" t="s">
        <v>96</v>
      </c>
      <c r="I1848">
        <v>2013</v>
      </c>
      <c r="J1848">
        <v>0.04</v>
      </c>
      <c r="K1848" t="s">
        <v>109</v>
      </c>
      <c r="M1848">
        <v>0.25</v>
      </c>
      <c r="N1848" t="s">
        <v>760</v>
      </c>
      <c r="O1848" t="s">
        <v>760</v>
      </c>
      <c r="P1848" t="s">
        <v>761</v>
      </c>
      <c r="Q1848" s="1" t="s">
        <v>2292</v>
      </c>
      <c r="R1848" s="1" t="s">
        <v>760</v>
      </c>
      <c r="S1848" s="1" t="s">
        <v>760</v>
      </c>
      <c r="T1848" t="s">
        <v>396</v>
      </c>
      <c r="U1848" t="s">
        <v>124</v>
      </c>
      <c r="X1848" t="s">
        <v>161</v>
      </c>
      <c r="Y1848" t="s">
        <v>2272</v>
      </c>
      <c r="Z1848" t="s">
        <v>2272</v>
      </c>
      <c r="AA1848" t="s">
        <v>2272</v>
      </c>
      <c r="AB1848" t="s">
        <v>2272</v>
      </c>
      <c r="AC1848" t="s">
        <v>162</v>
      </c>
      <c r="AD1848" t="s">
        <v>2272</v>
      </c>
      <c r="AG1848" t="s">
        <v>49</v>
      </c>
      <c r="AI1848" t="s">
        <v>49</v>
      </c>
      <c r="AM1848" t="s">
        <v>442</v>
      </c>
      <c r="AN1848" t="s">
        <v>165</v>
      </c>
      <c r="AP1848" t="s">
        <v>49</v>
      </c>
    </row>
    <row r="1849" spans="1:43" x14ac:dyDescent="0.2">
      <c r="A1849" t="s">
        <v>1146</v>
      </c>
      <c r="B1849" t="s">
        <v>1147</v>
      </c>
      <c r="C1849">
        <v>2017</v>
      </c>
      <c r="D1849" t="s">
        <v>44</v>
      </c>
      <c r="F1849" t="s">
        <v>81</v>
      </c>
      <c r="G1849" t="s">
        <v>86</v>
      </c>
      <c r="H1849" t="s">
        <v>96</v>
      </c>
      <c r="I1849">
        <v>2013</v>
      </c>
      <c r="J1849">
        <v>0.04</v>
      </c>
      <c r="K1849" t="s">
        <v>109</v>
      </c>
      <c r="M1849">
        <v>0.25</v>
      </c>
      <c r="N1849" t="s">
        <v>124</v>
      </c>
      <c r="O1849" t="s">
        <v>124</v>
      </c>
      <c r="P1849" t="s">
        <v>279</v>
      </c>
      <c r="Q1849" s="1" t="s">
        <v>2292</v>
      </c>
      <c r="R1849" s="1" t="s">
        <v>124</v>
      </c>
      <c r="S1849" s="1" t="s">
        <v>124</v>
      </c>
      <c r="T1849" t="s">
        <v>396</v>
      </c>
      <c r="U1849" t="s">
        <v>760</v>
      </c>
      <c r="X1849" t="s">
        <v>161</v>
      </c>
      <c r="Y1849" t="s">
        <v>2272</v>
      </c>
      <c r="Z1849" t="s">
        <v>2272</v>
      </c>
      <c r="AA1849" t="s">
        <v>2272</v>
      </c>
      <c r="AB1849" t="s">
        <v>2272</v>
      </c>
      <c r="AC1849" t="s">
        <v>162</v>
      </c>
      <c r="AD1849" t="s">
        <v>2272</v>
      </c>
      <c r="AG1849" t="s">
        <v>49</v>
      </c>
      <c r="AI1849" t="s">
        <v>49</v>
      </c>
      <c r="AM1849" t="s">
        <v>442</v>
      </c>
      <c r="AN1849" t="s">
        <v>165</v>
      </c>
      <c r="AP1849" t="s">
        <v>49</v>
      </c>
    </row>
    <row r="1850" spans="1:43" x14ac:dyDescent="0.2">
      <c r="A1850" t="s">
        <v>1150</v>
      </c>
      <c r="B1850" t="s">
        <v>203</v>
      </c>
      <c r="C1850">
        <v>2017</v>
      </c>
      <c r="D1850" t="s">
        <v>44</v>
      </c>
      <c r="E1850" t="s">
        <v>49</v>
      </c>
      <c r="F1850" t="s">
        <v>628</v>
      </c>
      <c r="G1850" t="s">
        <v>86</v>
      </c>
      <c r="H1850" t="s">
        <v>96</v>
      </c>
      <c r="L1850">
        <v>350</v>
      </c>
      <c r="M1850">
        <f>0.2*0.2</f>
        <v>4.0000000000000008E-2</v>
      </c>
      <c r="N1850" t="s">
        <v>132</v>
      </c>
      <c r="O1850" t="s">
        <v>549</v>
      </c>
      <c r="P1850" t="s">
        <v>1151</v>
      </c>
      <c r="Q1850" s="1" t="s">
        <v>2276</v>
      </c>
      <c r="R1850" s="1" t="s">
        <v>669</v>
      </c>
      <c r="S1850" s="1" t="s">
        <v>168</v>
      </c>
      <c r="X1850" t="s">
        <v>211</v>
      </c>
      <c r="Y1850" t="s">
        <v>2279</v>
      </c>
      <c r="Z1850" t="s">
        <v>2280</v>
      </c>
      <c r="AA1850" t="s">
        <v>2358</v>
      </c>
      <c r="AB1850" t="s">
        <v>2290</v>
      </c>
      <c r="AC1850" t="s">
        <v>152</v>
      </c>
      <c r="AD1850" t="s">
        <v>2278</v>
      </c>
      <c r="AF1850" t="s">
        <v>49</v>
      </c>
      <c r="AI1850" t="s">
        <v>49</v>
      </c>
      <c r="AM1850" t="s">
        <v>1152</v>
      </c>
      <c r="AN1850" t="s">
        <v>165</v>
      </c>
      <c r="AP1850" t="s">
        <v>49</v>
      </c>
    </row>
    <row r="1851" spans="1:43" x14ac:dyDescent="0.2">
      <c r="A1851" t="s">
        <v>1153</v>
      </c>
      <c r="B1851" t="s">
        <v>1154</v>
      </c>
      <c r="C1851">
        <v>2017</v>
      </c>
      <c r="D1851" t="s">
        <v>811</v>
      </c>
      <c r="F1851" t="s">
        <v>81</v>
      </c>
      <c r="G1851" t="s">
        <v>88</v>
      </c>
      <c r="H1851" t="s">
        <v>350</v>
      </c>
      <c r="I1851">
        <v>2009</v>
      </c>
      <c r="J1851">
        <v>0.12</v>
      </c>
      <c r="K1851" t="s">
        <v>1097</v>
      </c>
      <c r="N1851" t="s">
        <v>760</v>
      </c>
      <c r="O1851" t="s">
        <v>760</v>
      </c>
      <c r="P1851" t="s">
        <v>1121</v>
      </c>
      <c r="Q1851" s="1" t="s">
        <v>2292</v>
      </c>
      <c r="R1851" s="1" t="s">
        <v>760</v>
      </c>
      <c r="S1851" s="1" t="s">
        <v>760</v>
      </c>
      <c r="X1851" t="s">
        <v>1155</v>
      </c>
      <c r="Y1851" t="s">
        <v>2273</v>
      </c>
      <c r="Z1851" t="s">
        <v>249</v>
      </c>
      <c r="AA1851" t="s">
        <v>2274</v>
      </c>
      <c r="AB1851" t="s">
        <v>2283</v>
      </c>
      <c r="AC1851" t="s">
        <v>162</v>
      </c>
      <c r="AD1851" t="s">
        <v>2288</v>
      </c>
      <c r="AF1851" t="s">
        <v>49</v>
      </c>
      <c r="AK1851" t="s">
        <v>49</v>
      </c>
      <c r="AM1851" t="s">
        <v>131</v>
      </c>
      <c r="AN1851" t="s">
        <v>109</v>
      </c>
      <c r="AO1851" t="s">
        <v>1157</v>
      </c>
      <c r="AP1851" t="s">
        <v>157</v>
      </c>
    </row>
    <row r="1852" spans="1:43" x14ac:dyDescent="0.2">
      <c r="A1852" t="s">
        <v>1153</v>
      </c>
      <c r="B1852" t="s">
        <v>1154</v>
      </c>
      <c r="C1852">
        <v>2017</v>
      </c>
      <c r="D1852" t="s">
        <v>44</v>
      </c>
      <c r="F1852" t="s">
        <v>81</v>
      </c>
      <c r="G1852" t="s">
        <v>88</v>
      </c>
      <c r="H1852" t="s">
        <v>350</v>
      </c>
      <c r="J1852">
        <v>0</v>
      </c>
      <c r="K1852" t="s">
        <v>101</v>
      </c>
      <c r="L1852">
        <v>1.4E-2</v>
      </c>
      <c r="N1852" t="s">
        <v>760</v>
      </c>
      <c r="O1852" t="s">
        <v>760</v>
      </c>
      <c r="P1852" t="s">
        <v>1121</v>
      </c>
      <c r="Q1852" s="1" t="s">
        <v>2292</v>
      </c>
      <c r="R1852" s="1" t="s">
        <v>760</v>
      </c>
      <c r="S1852" s="1" t="s">
        <v>760</v>
      </c>
      <c r="X1852" t="s">
        <v>1155</v>
      </c>
      <c r="Y1852" t="s">
        <v>2273</v>
      </c>
      <c r="Z1852" t="s">
        <v>249</v>
      </c>
      <c r="AA1852" t="s">
        <v>2274</v>
      </c>
      <c r="AB1852" t="s">
        <v>2283</v>
      </c>
      <c r="AC1852" t="s">
        <v>162</v>
      </c>
      <c r="AD1852" t="s">
        <v>2288</v>
      </c>
      <c r="AF1852" t="s">
        <v>49</v>
      </c>
      <c r="AK1852" t="s">
        <v>49</v>
      </c>
      <c r="AM1852" t="s">
        <v>131</v>
      </c>
      <c r="AN1852" t="s">
        <v>109</v>
      </c>
      <c r="AO1852" t="s">
        <v>1156</v>
      </c>
      <c r="AP1852" t="s">
        <v>49</v>
      </c>
    </row>
    <row r="1853" spans="1:43" x14ac:dyDescent="0.2">
      <c r="A1853" t="s">
        <v>1153</v>
      </c>
      <c r="B1853" t="s">
        <v>1154</v>
      </c>
      <c r="C1853">
        <v>2017</v>
      </c>
      <c r="D1853" t="s">
        <v>44</v>
      </c>
      <c r="F1853" t="s">
        <v>81</v>
      </c>
      <c r="G1853" t="s">
        <v>88</v>
      </c>
      <c r="H1853" t="s">
        <v>350</v>
      </c>
      <c r="J1853">
        <v>0</v>
      </c>
      <c r="K1853" t="s">
        <v>101</v>
      </c>
      <c r="L1853">
        <v>1.4E-2</v>
      </c>
      <c r="N1853" t="s">
        <v>760</v>
      </c>
      <c r="O1853" t="s">
        <v>760</v>
      </c>
      <c r="P1853" t="s">
        <v>1121</v>
      </c>
      <c r="Q1853" s="1" t="s">
        <v>2292</v>
      </c>
      <c r="R1853" s="1" t="s">
        <v>760</v>
      </c>
      <c r="S1853" s="1" t="s">
        <v>760</v>
      </c>
      <c r="X1853" t="s">
        <v>1155</v>
      </c>
      <c r="Y1853" t="s">
        <v>2273</v>
      </c>
      <c r="Z1853" t="s">
        <v>249</v>
      </c>
      <c r="AA1853" t="s">
        <v>2274</v>
      </c>
      <c r="AB1853" t="s">
        <v>2283</v>
      </c>
      <c r="AC1853" t="s">
        <v>162</v>
      </c>
      <c r="AD1853" t="s">
        <v>2288</v>
      </c>
      <c r="AF1853" t="s">
        <v>49</v>
      </c>
      <c r="AK1853" t="s">
        <v>49</v>
      </c>
      <c r="AM1853" t="s">
        <v>131</v>
      </c>
      <c r="AN1853" t="s">
        <v>154</v>
      </c>
      <c r="AP1853" t="s">
        <v>157</v>
      </c>
    </row>
    <row r="1854" spans="1:43" x14ac:dyDescent="0.2">
      <c r="A1854" t="s">
        <v>1153</v>
      </c>
      <c r="B1854" t="s">
        <v>1154</v>
      </c>
      <c r="C1854">
        <v>2017</v>
      </c>
      <c r="D1854" t="s">
        <v>44</v>
      </c>
      <c r="F1854" t="s">
        <v>81</v>
      </c>
      <c r="G1854" t="s">
        <v>88</v>
      </c>
      <c r="H1854" t="s">
        <v>350</v>
      </c>
      <c r="J1854">
        <v>0</v>
      </c>
      <c r="K1854" t="s">
        <v>101</v>
      </c>
      <c r="L1854">
        <v>1.4E-2</v>
      </c>
      <c r="N1854" t="s">
        <v>760</v>
      </c>
      <c r="O1854" t="s">
        <v>760</v>
      </c>
      <c r="P1854" t="s">
        <v>1121</v>
      </c>
      <c r="Q1854" s="1" t="s">
        <v>2292</v>
      </c>
      <c r="R1854" s="1" t="s">
        <v>760</v>
      </c>
      <c r="S1854" s="1" t="s">
        <v>760</v>
      </c>
      <c r="X1854" t="s">
        <v>1155</v>
      </c>
      <c r="Y1854" t="s">
        <v>2273</v>
      </c>
      <c r="Z1854" t="s">
        <v>249</v>
      </c>
      <c r="AA1854" t="s">
        <v>2274</v>
      </c>
      <c r="AB1854" t="s">
        <v>2283</v>
      </c>
      <c r="AC1854" t="s">
        <v>162</v>
      </c>
      <c r="AD1854" t="s">
        <v>2288</v>
      </c>
      <c r="AF1854" t="s">
        <v>49</v>
      </c>
      <c r="AK1854" t="s">
        <v>49</v>
      </c>
      <c r="AM1854" t="s">
        <v>131</v>
      </c>
      <c r="AN1854" t="s">
        <v>165</v>
      </c>
      <c r="AP1854" t="s">
        <v>49</v>
      </c>
    </row>
    <row r="1855" spans="1:43" x14ac:dyDescent="0.2">
      <c r="A1855" t="s">
        <v>1158</v>
      </c>
      <c r="B1855" t="s">
        <v>1159</v>
      </c>
      <c r="C1855">
        <v>2017</v>
      </c>
      <c r="D1855" t="s">
        <v>44</v>
      </c>
      <c r="F1855" t="s">
        <v>1119</v>
      </c>
      <c r="G1855" t="s">
        <v>88</v>
      </c>
      <c r="H1855" t="s">
        <v>350</v>
      </c>
      <c r="I1855">
        <v>2010</v>
      </c>
      <c r="J1855">
        <v>0.08</v>
      </c>
      <c r="K1855" t="s">
        <v>101</v>
      </c>
      <c r="M1855" s="8">
        <v>1.01736E-5</v>
      </c>
      <c r="N1855" t="s">
        <v>121</v>
      </c>
      <c r="O1855" t="s">
        <v>121</v>
      </c>
      <c r="P1855" t="s">
        <v>2257</v>
      </c>
      <c r="Q1855" s="1" t="s">
        <v>2351</v>
      </c>
      <c r="R1855" s="1" t="s">
        <v>2351</v>
      </c>
      <c r="S1855" s="1" t="s">
        <v>2351</v>
      </c>
      <c r="T1855" t="s">
        <v>421</v>
      </c>
      <c r="X1855" t="s">
        <v>161</v>
      </c>
      <c r="Y1855" t="s">
        <v>2272</v>
      </c>
      <c r="Z1855" t="s">
        <v>2272</v>
      </c>
      <c r="AA1855" t="s">
        <v>2272</v>
      </c>
      <c r="AB1855" t="s">
        <v>2272</v>
      </c>
      <c r="AC1855" t="s">
        <v>162</v>
      </c>
      <c r="AD1855" t="s">
        <v>2272</v>
      </c>
      <c r="AF1855" t="s">
        <v>49</v>
      </c>
      <c r="AG1855" t="s">
        <v>49</v>
      </c>
      <c r="AI1855" t="s">
        <v>49</v>
      </c>
      <c r="AM1855" t="s">
        <v>202</v>
      </c>
      <c r="AN1855" t="s">
        <v>165</v>
      </c>
    </row>
    <row r="1856" spans="1:43" x14ac:dyDescent="0.2">
      <c r="A1856" t="s">
        <v>1158</v>
      </c>
      <c r="B1856" t="s">
        <v>1159</v>
      </c>
      <c r="C1856">
        <v>2017</v>
      </c>
      <c r="D1856" t="s">
        <v>44</v>
      </c>
      <c r="F1856" t="s">
        <v>1119</v>
      </c>
      <c r="G1856" t="s">
        <v>88</v>
      </c>
      <c r="H1856" t="s">
        <v>350</v>
      </c>
      <c r="I1856">
        <v>2010</v>
      </c>
      <c r="J1856">
        <v>0.08</v>
      </c>
      <c r="K1856" t="s">
        <v>101</v>
      </c>
      <c r="M1856" s="8">
        <v>8.8202600000000008E-5</v>
      </c>
      <c r="N1856" t="s">
        <v>129</v>
      </c>
      <c r="O1856" t="s">
        <v>1160</v>
      </c>
      <c r="P1856" t="s">
        <v>1161</v>
      </c>
      <c r="Q1856" s="1" t="s">
        <v>2276</v>
      </c>
      <c r="R1856" s="1" t="s">
        <v>2350</v>
      </c>
      <c r="S1856" s="1" t="s">
        <v>2350</v>
      </c>
      <c r="T1856" t="s">
        <v>421</v>
      </c>
      <c r="X1856" t="s">
        <v>161</v>
      </c>
      <c r="Y1856" t="s">
        <v>2272</v>
      </c>
      <c r="Z1856" t="s">
        <v>2272</v>
      </c>
      <c r="AA1856" t="s">
        <v>2272</v>
      </c>
      <c r="AB1856" t="s">
        <v>2272</v>
      </c>
      <c r="AC1856" t="s">
        <v>162</v>
      </c>
      <c r="AD1856" t="s">
        <v>2272</v>
      </c>
      <c r="AF1856" t="s">
        <v>49</v>
      </c>
      <c r="AI1856" t="s">
        <v>49</v>
      </c>
      <c r="AM1856" t="s">
        <v>202</v>
      </c>
      <c r="AN1856" t="s">
        <v>165</v>
      </c>
    </row>
    <row r="1857" spans="1:45" x14ac:dyDescent="0.2">
      <c r="A1857" t="s">
        <v>1158</v>
      </c>
      <c r="B1857" t="s">
        <v>1159</v>
      </c>
      <c r="C1857">
        <v>2017</v>
      </c>
      <c r="D1857" t="s">
        <v>44</v>
      </c>
      <c r="F1857" t="s">
        <v>1119</v>
      </c>
      <c r="G1857" t="s">
        <v>88</v>
      </c>
      <c r="H1857" t="s">
        <v>350</v>
      </c>
      <c r="I1857">
        <v>2010</v>
      </c>
      <c r="J1857">
        <v>0.08</v>
      </c>
      <c r="K1857" t="s">
        <v>101</v>
      </c>
      <c r="M1857" s="8">
        <v>1.01736E-5</v>
      </c>
      <c r="N1857" t="s">
        <v>121</v>
      </c>
      <c r="O1857" t="s">
        <v>121</v>
      </c>
      <c r="P1857" t="s">
        <v>2257</v>
      </c>
      <c r="Q1857" s="1" t="s">
        <v>2351</v>
      </c>
      <c r="R1857" s="1" t="s">
        <v>2351</v>
      </c>
      <c r="S1857" s="1" t="s">
        <v>2351</v>
      </c>
      <c r="T1857" t="s">
        <v>396</v>
      </c>
      <c r="X1857" t="s">
        <v>161</v>
      </c>
      <c r="Y1857" t="s">
        <v>2272</v>
      </c>
      <c r="Z1857" t="s">
        <v>2272</v>
      </c>
      <c r="AA1857" t="s">
        <v>2272</v>
      </c>
      <c r="AB1857" t="s">
        <v>2272</v>
      </c>
      <c r="AC1857" t="s">
        <v>162</v>
      </c>
      <c r="AD1857" t="s">
        <v>2272</v>
      </c>
      <c r="AF1857" t="s">
        <v>49</v>
      </c>
      <c r="AG1857" t="s">
        <v>49</v>
      </c>
      <c r="AI1857" t="s">
        <v>49</v>
      </c>
      <c r="AM1857" t="s">
        <v>202</v>
      </c>
      <c r="AN1857" t="s">
        <v>165</v>
      </c>
    </row>
    <row r="1858" spans="1:45" x14ac:dyDescent="0.2">
      <c r="A1858" t="s">
        <v>1158</v>
      </c>
      <c r="B1858" t="s">
        <v>1159</v>
      </c>
      <c r="C1858">
        <v>2017</v>
      </c>
      <c r="D1858" t="s">
        <v>44</v>
      </c>
      <c r="F1858" t="s">
        <v>1119</v>
      </c>
      <c r="G1858" t="s">
        <v>88</v>
      </c>
      <c r="H1858" t="s">
        <v>350</v>
      </c>
      <c r="I1858">
        <v>2010</v>
      </c>
      <c r="J1858">
        <v>0.08</v>
      </c>
      <c r="K1858" t="s">
        <v>101</v>
      </c>
      <c r="M1858" s="8">
        <v>8.8202600000000008E-5</v>
      </c>
      <c r="N1858" t="s">
        <v>129</v>
      </c>
      <c r="O1858" t="s">
        <v>1160</v>
      </c>
      <c r="P1858" t="s">
        <v>1161</v>
      </c>
      <c r="Q1858" s="1" t="s">
        <v>2276</v>
      </c>
      <c r="R1858" s="1" t="s">
        <v>2350</v>
      </c>
      <c r="S1858" s="1" t="s">
        <v>2350</v>
      </c>
      <c r="T1858" t="s">
        <v>396</v>
      </c>
      <c r="X1858" t="s">
        <v>161</v>
      </c>
      <c r="Y1858" t="s">
        <v>2272</v>
      </c>
      <c r="Z1858" t="s">
        <v>2272</v>
      </c>
      <c r="AA1858" t="s">
        <v>2272</v>
      </c>
      <c r="AB1858" t="s">
        <v>2272</v>
      </c>
      <c r="AC1858" t="s">
        <v>162</v>
      </c>
      <c r="AD1858" t="s">
        <v>2272</v>
      </c>
      <c r="AF1858" t="s">
        <v>49</v>
      </c>
      <c r="AI1858" t="s">
        <v>49</v>
      </c>
      <c r="AM1858" t="s">
        <v>202</v>
      </c>
      <c r="AN1858" t="s">
        <v>165</v>
      </c>
    </row>
    <row r="1859" spans="1:45" x14ac:dyDescent="0.2">
      <c r="A1859" t="s">
        <v>1158</v>
      </c>
      <c r="B1859" t="s">
        <v>1159</v>
      </c>
      <c r="C1859">
        <v>2017</v>
      </c>
      <c r="D1859" t="s">
        <v>44</v>
      </c>
      <c r="F1859" t="s">
        <v>1119</v>
      </c>
      <c r="G1859" t="s">
        <v>88</v>
      </c>
      <c r="H1859" t="s">
        <v>350</v>
      </c>
      <c r="I1859">
        <v>2010</v>
      </c>
      <c r="J1859">
        <v>0.08</v>
      </c>
      <c r="K1859" t="s">
        <v>101</v>
      </c>
      <c r="M1859" s="8">
        <v>1.01736E-5</v>
      </c>
      <c r="N1859" t="s">
        <v>121</v>
      </c>
      <c r="O1859" t="s">
        <v>121</v>
      </c>
      <c r="P1859" t="s">
        <v>2257</v>
      </c>
      <c r="Q1859" s="1" t="s">
        <v>2351</v>
      </c>
      <c r="R1859" s="1" t="s">
        <v>2351</v>
      </c>
      <c r="S1859" s="1" t="s">
        <v>2351</v>
      </c>
      <c r="T1859" t="s">
        <v>421</v>
      </c>
      <c r="X1859" t="s">
        <v>161</v>
      </c>
      <c r="Y1859" t="s">
        <v>2272</v>
      </c>
      <c r="Z1859" t="s">
        <v>2272</v>
      </c>
      <c r="AA1859" t="s">
        <v>2272</v>
      </c>
      <c r="AB1859" t="s">
        <v>2272</v>
      </c>
      <c r="AC1859" t="s">
        <v>162</v>
      </c>
      <c r="AD1859" t="s">
        <v>2272</v>
      </c>
      <c r="AF1859" t="s">
        <v>49</v>
      </c>
      <c r="AG1859" t="s">
        <v>49</v>
      </c>
      <c r="AI1859" t="s">
        <v>49</v>
      </c>
      <c r="AM1859" t="s">
        <v>202</v>
      </c>
      <c r="AN1859" t="s">
        <v>166</v>
      </c>
    </row>
    <row r="1860" spans="1:45" x14ac:dyDescent="0.2">
      <c r="A1860" t="s">
        <v>1158</v>
      </c>
      <c r="B1860" t="s">
        <v>1159</v>
      </c>
      <c r="C1860">
        <v>2017</v>
      </c>
      <c r="D1860" t="s">
        <v>44</v>
      </c>
      <c r="F1860" t="s">
        <v>1119</v>
      </c>
      <c r="G1860" t="s">
        <v>88</v>
      </c>
      <c r="H1860" t="s">
        <v>350</v>
      </c>
      <c r="I1860">
        <v>2010</v>
      </c>
      <c r="J1860">
        <v>0.08</v>
      </c>
      <c r="K1860" t="s">
        <v>101</v>
      </c>
      <c r="M1860" s="8">
        <v>8.8202600000000008E-5</v>
      </c>
      <c r="N1860" t="s">
        <v>129</v>
      </c>
      <c r="O1860" t="s">
        <v>1160</v>
      </c>
      <c r="P1860" t="s">
        <v>1161</v>
      </c>
      <c r="Q1860" s="1" t="s">
        <v>2276</v>
      </c>
      <c r="R1860" s="1" t="s">
        <v>2350</v>
      </c>
      <c r="S1860" s="1" t="s">
        <v>2350</v>
      </c>
      <c r="T1860" t="s">
        <v>421</v>
      </c>
      <c r="X1860" t="s">
        <v>161</v>
      </c>
      <c r="Y1860" t="s">
        <v>2272</v>
      </c>
      <c r="Z1860" t="s">
        <v>2272</v>
      </c>
      <c r="AA1860" t="s">
        <v>2272</v>
      </c>
      <c r="AB1860" t="s">
        <v>2272</v>
      </c>
      <c r="AC1860" t="s">
        <v>162</v>
      </c>
      <c r="AD1860" t="s">
        <v>2272</v>
      </c>
      <c r="AF1860" t="s">
        <v>49</v>
      </c>
      <c r="AI1860" t="s">
        <v>49</v>
      </c>
      <c r="AM1860" t="s">
        <v>202</v>
      </c>
      <c r="AN1860" t="s">
        <v>166</v>
      </c>
    </row>
    <row r="1861" spans="1:45" x14ac:dyDescent="0.2">
      <c r="A1861" t="s">
        <v>1158</v>
      </c>
      <c r="B1861" t="s">
        <v>1159</v>
      </c>
      <c r="C1861">
        <v>2017</v>
      </c>
      <c r="D1861" t="s">
        <v>44</v>
      </c>
      <c r="F1861" t="s">
        <v>1119</v>
      </c>
      <c r="G1861" t="s">
        <v>88</v>
      </c>
      <c r="H1861" t="s">
        <v>350</v>
      </c>
      <c r="I1861">
        <v>2010</v>
      </c>
      <c r="J1861">
        <v>0.08</v>
      </c>
      <c r="K1861" t="s">
        <v>101</v>
      </c>
      <c r="M1861" s="8">
        <v>1.01736E-5</v>
      </c>
      <c r="N1861" t="s">
        <v>121</v>
      </c>
      <c r="O1861" t="s">
        <v>121</v>
      </c>
      <c r="P1861" t="s">
        <v>2257</v>
      </c>
      <c r="Q1861" s="1" t="s">
        <v>2351</v>
      </c>
      <c r="R1861" s="1" t="s">
        <v>2351</v>
      </c>
      <c r="S1861" s="1" t="s">
        <v>2351</v>
      </c>
      <c r="T1861" t="s">
        <v>396</v>
      </c>
      <c r="X1861" t="s">
        <v>161</v>
      </c>
      <c r="Y1861" t="s">
        <v>2272</v>
      </c>
      <c r="Z1861" t="s">
        <v>2272</v>
      </c>
      <c r="AA1861" t="s">
        <v>2272</v>
      </c>
      <c r="AB1861" t="s">
        <v>2272</v>
      </c>
      <c r="AC1861" t="s">
        <v>162</v>
      </c>
      <c r="AD1861" t="s">
        <v>2272</v>
      </c>
      <c r="AF1861" t="s">
        <v>49</v>
      </c>
      <c r="AG1861" t="s">
        <v>49</v>
      </c>
      <c r="AI1861" t="s">
        <v>49</v>
      </c>
      <c r="AM1861" t="s">
        <v>202</v>
      </c>
      <c r="AN1861" t="s">
        <v>166</v>
      </c>
    </row>
    <row r="1862" spans="1:45" x14ac:dyDescent="0.2">
      <c r="A1862" t="s">
        <v>1158</v>
      </c>
      <c r="B1862" t="s">
        <v>1159</v>
      </c>
      <c r="C1862">
        <v>2017</v>
      </c>
      <c r="D1862" t="s">
        <v>44</v>
      </c>
      <c r="F1862" t="s">
        <v>1119</v>
      </c>
      <c r="G1862" t="s">
        <v>88</v>
      </c>
      <c r="H1862" t="s">
        <v>350</v>
      </c>
      <c r="I1862">
        <v>2010</v>
      </c>
      <c r="J1862">
        <v>0.08</v>
      </c>
      <c r="K1862" t="s">
        <v>101</v>
      </c>
      <c r="M1862" s="8">
        <v>8.8202600000000008E-5</v>
      </c>
      <c r="N1862" t="s">
        <v>129</v>
      </c>
      <c r="O1862" t="s">
        <v>1160</v>
      </c>
      <c r="P1862" t="s">
        <v>1161</v>
      </c>
      <c r="Q1862" s="1" t="s">
        <v>2276</v>
      </c>
      <c r="R1862" s="1" t="s">
        <v>2350</v>
      </c>
      <c r="S1862" s="1" t="s">
        <v>2350</v>
      </c>
      <c r="T1862" t="s">
        <v>396</v>
      </c>
      <c r="X1862" t="s">
        <v>161</v>
      </c>
      <c r="Y1862" t="s">
        <v>2272</v>
      </c>
      <c r="Z1862" t="s">
        <v>2272</v>
      </c>
      <c r="AA1862" t="s">
        <v>2272</v>
      </c>
      <c r="AB1862" t="s">
        <v>2272</v>
      </c>
      <c r="AC1862" t="s">
        <v>162</v>
      </c>
      <c r="AD1862" t="s">
        <v>2272</v>
      </c>
      <c r="AF1862" t="s">
        <v>49</v>
      </c>
      <c r="AI1862" t="s">
        <v>49</v>
      </c>
      <c r="AM1862" t="s">
        <v>202</v>
      </c>
      <c r="AN1862" t="s">
        <v>166</v>
      </c>
    </row>
    <row r="1863" spans="1:45" x14ac:dyDescent="0.2">
      <c r="A1863" t="s">
        <v>1158</v>
      </c>
      <c r="B1863" t="s">
        <v>1159</v>
      </c>
      <c r="C1863">
        <v>2017</v>
      </c>
      <c r="D1863" t="s">
        <v>44</v>
      </c>
      <c r="F1863" t="s">
        <v>1119</v>
      </c>
      <c r="G1863" t="s">
        <v>88</v>
      </c>
      <c r="H1863" t="s">
        <v>350</v>
      </c>
      <c r="I1863">
        <v>2010</v>
      </c>
      <c r="J1863">
        <v>0.08</v>
      </c>
      <c r="K1863" t="s">
        <v>101</v>
      </c>
      <c r="M1863" s="8">
        <v>1.01736E-5</v>
      </c>
      <c r="N1863" t="s">
        <v>121</v>
      </c>
      <c r="O1863" t="s">
        <v>121</v>
      </c>
      <c r="P1863" t="s">
        <v>2257</v>
      </c>
      <c r="Q1863" s="1" t="s">
        <v>2351</v>
      </c>
      <c r="R1863" s="1" t="s">
        <v>2351</v>
      </c>
      <c r="S1863" s="1" t="s">
        <v>2351</v>
      </c>
      <c r="T1863" t="s">
        <v>421</v>
      </c>
      <c r="X1863" t="s">
        <v>161</v>
      </c>
      <c r="Y1863" t="s">
        <v>2272</v>
      </c>
      <c r="Z1863" t="s">
        <v>2272</v>
      </c>
      <c r="AA1863" t="s">
        <v>2272</v>
      </c>
      <c r="AB1863" t="s">
        <v>2272</v>
      </c>
      <c r="AC1863" t="s">
        <v>162</v>
      </c>
      <c r="AD1863" t="s">
        <v>2272</v>
      </c>
      <c r="AF1863" t="s">
        <v>49</v>
      </c>
      <c r="AG1863" t="s">
        <v>49</v>
      </c>
      <c r="AI1863" t="s">
        <v>49</v>
      </c>
      <c r="AM1863" t="s">
        <v>202</v>
      </c>
      <c r="AN1863" t="s">
        <v>154</v>
      </c>
    </row>
    <row r="1864" spans="1:45" x14ac:dyDescent="0.2">
      <c r="A1864" t="s">
        <v>1158</v>
      </c>
      <c r="B1864" t="s">
        <v>1159</v>
      </c>
      <c r="C1864">
        <v>2017</v>
      </c>
      <c r="D1864" t="s">
        <v>44</v>
      </c>
      <c r="F1864" t="s">
        <v>1119</v>
      </c>
      <c r="G1864" t="s">
        <v>88</v>
      </c>
      <c r="H1864" t="s">
        <v>350</v>
      </c>
      <c r="I1864">
        <v>2010</v>
      </c>
      <c r="J1864">
        <v>0.08</v>
      </c>
      <c r="K1864" t="s">
        <v>101</v>
      </c>
      <c r="M1864" s="8">
        <v>8.8202600000000008E-5</v>
      </c>
      <c r="N1864" t="s">
        <v>129</v>
      </c>
      <c r="O1864" t="s">
        <v>1160</v>
      </c>
      <c r="P1864" t="s">
        <v>1161</v>
      </c>
      <c r="Q1864" s="1" t="s">
        <v>2276</v>
      </c>
      <c r="R1864" s="1" t="s">
        <v>2350</v>
      </c>
      <c r="S1864" s="1" t="s">
        <v>2350</v>
      </c>
      <c r="T1864" t="s">
        <v>421</v>
      </c>
      <c r="X1864" t="s">
        <v>161</v>
      </c>
      <c r="Y1864" t="s">
        <v>2272</v>
      </c>
      <c r="Z1864" t="s">
        <v>2272</v>
      </c>
      <c r="AA1864" t="s">
        <v>2272</v>
      </c>
      <c r="AB1864" t="s">
        <v>2272</v>
      </c>
      <c r="AC1864" t="s">
        <v>162</v>
      </c>
      <c r="AD1864" t="s">
        <v>2272</v>
      </c>
      <c r="AF1864" t="s">
        <v>49</v>
      </c>
      <c r="AI1864" t="s">
        <v>49</v>
      </c>
      <c r="AM1864" t="s">
        <v>202</v>
      </c>
      <c r="AN1864" t="s">
        <v>154</v>
      </c>
    </row>
    <row r="1865" spans="1:45" x14ac:dyDescent="0.2">
      <c r="A1865" t="s">
        <v>1158</v>
      </c>
      <c r="B1865" t="s">
        <v>1159</v>
      </c>
      <c r="C1865">
        <v>2017</v>
      </c>
      <c r="D1865" t="s">
        <v>44</v>
      </c>
      <c r="F1865" t="s">
        <v>1119</v>
      </c>
      <c r="G1865" t="s">
        <v>88</v>
      </c>
      <c r="H1865" t="s">
        <v>350</v>
      </c>
      <c r="I1865">
        <v>2010</v>
      </c>
      <c r="J1865">
        <v>0.08</v>
      </c>
      <c r="K1865" t="s">
        <v>101</v>
      </c>
      <c r="M1865" s="8">
        <v>1.01736E-5</v>
      </c>
      <c r="N1865" t="s">
        <v>121</v>
      </c>
      <c r="O1865" t="s">
        <v>121</v>
      </c>
      <c r="P1865" t="s">
        <v>2257</v>
      </c>
      <c r="Q1865" s="1" t="s">
        <v>2351</v>
      </c>
      <c r="R1865" s="1" t="s">
        <v>2351</v>
      </c>
      <c r="S1865" s="1" t="s">
        <v>2351</v>
      </c>
      <c r="T1865" t="s">
        <v>396</v>
      </c>
      <c r="X1865" t="s">
        <v>161</v>
      </c>
      <c r="Y1865" t="s">
        <v>2272</v>
      </c>
      <c r="Z1865" t="s">
        <v>2272</v>
      </c>
      <c r="AA1865" t="s">
        <v>2272</v>
      </c>
      <c r="AB1865" t="s">
        <v>2272</v>
      </c>
      <c r="AC1865" t="s">
        <v>162</v>
      </c>
      <c r="AD1865" t="s">
        <v>2272</v>
      </c>
      <c r="AF1865" t="s">
        <v>49</v>
      </c>
      <c r="AG1865" t="s">
        <v>49</v>
      </c>
      <c r="AI1865" t="s">
        <v>49</v>
      </c>
      <c r="AM1865" t="s">
        <v>202</v>
      </c>
      <c r="AN1865" t="s">
        <v>154</v>
      </c>
    </row>
    <row r="1866" spans="1:45" x14ac:dyDescent="0.2">
      <c r="A1866" t="s">
        <v>1158</v>
      </c>
      <c r="B1866" t="s">
        <v>1159</v>
      </c>
      <c r="C1866">
        <v>2017</v>
      </c>
      <c r="D1866" t="s">
        <v>44</v>
      </c>
      <c r="F1866" t="s">
        <v>1119</v>
      </c>
      <c r="G1866" t="s">
        <v>88</v>
      </c>
      <c r="H1866" t="s">
        <v>350</v>
      </c>
      <c r="I1866">
        <v>2010</v>
      </c>
      <c r="J1866">
        <v>0.08</v>
      </c>
      <c r="K1866" t="s">
        <v>101</v>
      </c>
      <c r="M1866" s="8">
        <f>3.14*(0.0106/2)^2</f>
        <v>8.8202600000000008E-5</v>
      </c>
      <c r="N1866" t="s">
        <v>129</v>
      </c>
      <c r="O1866" t="s">
        <v>1160</v>
      </c>
      <c r="P1866" t="s">
        <v>1161</v>
      </c>
      <c r="Q1866" s="1" t="s">
        <v>2276</v>
      </c>
      <c r="R1866" s="1" t="s">
        <v>2350</v>
      </c>
      <c r="S1866" s="1" t="s">
        <v>2350</v>
      </c>
      <c r="T1866" t="s">
        <v>396</v>
      </c>
      <c r="X1866" t="s">
        <v>161</v>
      </c>
      <c r="Y1866" t="s">
        <v>2272</v>
      </c>
      <c r="Z1866" t="s">
        <v>2272</v>
      </c>
      <c r="AA1866" t="s">
        <v>2272</v>
      </c>
      <c r="AB1866" t="s">
        <v>2272</v>
      </c>
      <c r="AC1866" t="s">
        <v>162</v>
      </c>
      <c r="AD1866" t="s">
        <v>2272</v>
      </c>
      <c r="AF1866" t="s">
        <v>49</v>
      </c>
      <c r="AI1866" t="s">
        <v>49</v>
      </c>
      <c r="AM1866" t="s">
        <v>202</v>
      </c>
      <c r="AN1866" t="s">
        <v>154</v>
      </c>
    </row>
    <row r="1867" spans="1:45" x14ac:dyDescent="0.2">
      <c r="A1867" t="s">
        <v>1162</v>
      </c>
      <c r="B1867" t="s">
        <v>1163</v>
      </c>
      <c r="C1867">
        <v>2017</v>
      </c>
      <c r="Q1867" s="1" t="s">
        <v>2272</v>
      </c>
      <c r="R1867" s="1" t="s">
        <v>2272</v>
      </c>
      <c r="S1867" s="1" t="s">
        <v>2272</v>
      </c>
      <c r="Y1867" t="s">
        <v>2272</v>
      </c>
      <c r="Z1867" t="s">
        <v>2272</v>
      </c>
      <c r="AA1867" t="s">
        <v>2272</v>
      </c>
      <c r="AB1867" t="s">
        <v>2272</v>
      </c>
      <c r="AD1867" t="s">
        <v>2272</v>
      </c>
      <c r="AR1867" t="s">
        <v>144</v>
      </c>
      <c r="AS1867" t="s">
        <v>2583</v>
      </c>
    </row>
    <row r="1868" spans="1:45" x14ac:dyDescent="0.2">
      <c r="A1868" t="s">
        <v>1164</v>
      </c>
      <c r="B1868" t="s">
        <v>1165</v>
      </c>
      <c r="C1868">
        <v>2017</v>
      </c>
      <c r="D1868" t="s">
        <v>44</v>
      </c>
      <c r="F1868" t="s">
        <v>57</v>
      </c>
      <c r="G1868" t="s">
        <v>89</v>
      </c>
      <c r="H1868" t="s">
        <v>96</v>
      </c>
      <c r="I1868" t="s">
        <v>458</v>
      </c>
      <c r="J1868">
        <v>0.67</v>
      </c>
      <c r="K1868" t="s">
        <v>109</v>
      </c>
      <c r="L1868">
        <v>3500</v>
      </c>
      <c r="M1868">
        <f>0.2*0.2</f>
        <v>4.0000000000000008E-2</v>
      </c>
      <c r="N1868" t="s">
        <v>123</v>
      </c>
      <c r="O1868" t="s">
        <v>123</v>
      </c>
      <c r="P1868" t="s">
        <v>1166</v>
      </c>
      <c r="Q1868" s="1" t="s">
        <v>2281</v>
      </c>
      <c r="R1868" s="1" t="s">
        <v>2282</v>
      </c>
      <c r="S1868" s="1" t="s">
        <v>123</v>
      </c>
      <c r="T1868" t="s">
        <v>421</v>
      </c>
      <c r="U1868" t="s">
        <v>421</v>
      </c>
      <c r="V1868" t="s">
        <v>194</v>
      </c>
      <c r="W1868" t="s">
        <v>182</v>
      </c>
      <c r="X1868" t="s">
        <v>161</v>
      </c>
      <c r="Y1868" t="s">
        <v>2272</v>
      </c>
      <c r="Z1868" t="s">
        <v>2272</v>
      </c>
      <c r="AA1868" t="s">
        <v>2272</v>
      </c>
      <c r="AB1868" t="s">
        <v>2272</v>
      </c>
      <c r="AC1868" t="s">
        <v>162</v>
      </c>
      <c r="AD1868" t="s">
        <v>2272</v>
      </c>
      <c r="AF1868" t="s">
        <v>49</v>
      </c>
      <c r="AJ1868" t="s">
        <v>49</v>
      </c>
      <c r="AM1868" t="s">
        <v>1167</v>
      </c>
      <c r="AN1868" t="s">
        <v>165</v>
      </c>
      <c r="AP1868" t="s">
        <v>49</v>
      </c>
    </row>
    <row r="1869" spans="1:45" x14ac:dyDescent="0.2">
      <c r="A1869" t="s">
        <v>1164</v>
      </c>
      <c r="B1869" t="s">
        <v>1165</v>
      </c>
      <c r="C1869">
        <v>2017</v>
      </c>
      <c r="D1869" t="s">
        <v>44</v>
      </c>
      <c r="F1869" t="s">
        <v>57</v>
      </c>
      <c r="G1869" t="s">
        <v>89</v>
      </c>
      <c r="H1869" t="s">
        <v>96</v>
      </c>
      <c r="I1869" t="s">
        <v>458</v>
      </c>
      <c r="J1869">
        <v>0.67</v>
      </c>
      <c r="K1869" t="s">
        <v>109</v>
      </c>
      <c r="L1869">
        <v>3500</v>
      </c>
      <c r="M1869">
        <f>0.2*0.2</f>
        <v>4.0000000000000008E-2</v>
      </c>
      <c r="N1869" t="s">
        <v>123</v>
      </c>
      <c r="O1869" t="s">
        <v>123</v>
      </c>
      <c r="P1869" t="s">
        <v>1166</v>
      </c>
      <c r="Q1869" s="1" t="s">
        <v>2281</v>
      </c>
      <c r="R1869" s="1" t="s">
        <v>2282</v>
      </c>
      <c r="S1869" s="1" t="s">
        <v>123</v>
      </c>
      <c r="T1869" t="s">
        <v>421</v>
      </c>
      <c r="U1869" t="s">
        <v>421</v>
      </c>
      <c r="V1869" t="s">
        <v>194</v>
      </c>
      <c r="W1869" t="s">
        <v>182</v>
      </c>
      <c r="X1869" t="s">
        <v>161</v>
      </c>
      <c r="Y1869" t="s">
        <v>2272</v>
      </c>
      <c r="Z1869" t="s">
        <v>2272</v>
      </c>
      <c r="AA1869" t="s">
        <v>2272</v>
      </c>
      <c r="AB1869" t="s">
        <v>2272</v>
      </c>
      <c r="AC1869" t="s">
        <v>162</v>
      </c>
      <c r="AD1869" t="s">
        <v>2272</v>
      </c>
      <c r="AF1869" t="s">
        <v>49</v>
      </c>
      <c r="AJ1869" t="s">
        <v>49</v>
      </c>
      <c r="AM1869" t="s">
        <v>1167</v>
      </c>
      <c r="AN1869" t="s">
        <v>166</v>
      </c>
      <c r="AQ1869" s="5">
        <v>1</v>
      </c>
    </row>
    <row r="1870" spans="1:45" x14ac:dyDescent="0.2">
      <c r="A1870" t="s">
        <v>1164</v>
      </c>
      <c r="B1870" t="s">
        <v>1165</v>
      </c>
      <c r="C1870">
        <v>2017</v>
      </c>
      <c r="D1870" t="s">
        <v>44</v>
      </c>
      <c r="F1870" t="s">
        <v>57</v>
      </c>
      <c r="G1870" t="s">
        <v>89</v>
      </c>
      <c r="H1870" t="s">
        <v>96</v>
      </c>
      <c r="I1870" t="s">
        <v>458</v>
      </c>
      <c r="J1870">
        <v>0.67</v>
      </c>
      <c r="K1870" t="s">
        <v>109</v>
      </c>
      <c r="L1870">
        <v>3500</v>
      </c>
      <c r="M1870">
        <f>0.2*0.2</f>
        <v>4.0000000000000008E-2</v>
      </c>
      <c r="N1870" t="s">
        <v>123</v>
      </c>
      <c r="O1870" t="s">
        <v>123</v>
      </c>
      <c r="P1870" t="s">
        <v>1166</v>
      </c>
      <c r="Q1870" s="1" t="s">
        <v>2281</v>
      </c>
      <c r="R1870" s="1" t="s">
        <v>2282</v>
      </c>
      <c r="S1870" s="1" t="s">
        <v>123</v>
      </c>
      <c r="T1870" t="s">
        <v>421</v>
      </c>
      <c r="U1870" t="s">
        <v>421</v>
      </c>
      <c r="V1870" t="s">
        <v>194</v>
      </c>
      <c r="W1870" t="s">
        <v>182</v>
      </c>
      <c r="X1870" t="s">
        <v>161</v>
      </c>
      <c r="Y1870" t="s">
        <v>2272</v>
      </c>
      <c r="Z1870" t="s">
        <v>2272</v>
      </c>
      <c r="AA1870" t="s">
        <v>2272</v>
      </c>
      <c r="AB1870" t="s">
        <v>2272</v>
      </c>
      <c r="AC1870" t="s">
        <v>162</v>
      </c>
      <c r="AD1870" t="s">
        <v>2272</v>
      </c>
      <c r="AF1870" t="s">
        <v>49</v>
      </c>
      <c r="AJ1870" t="s">
        <v>49</v>
      </c>
      <c r="AM1870" t="s">
        <v>1167</v>
      </c>
      <c r="AN1870" t="s">
        <v>154</v>
      </c>
      <c r="AQ1870" s="5">
        <v>1</v>
      </c>
    </row>
    <row r="1871" spans="1:45" x14ac:dyDescent="0.2">
      <c r="A1871" t="s">
        <v>1164</v>
      </c>
      <c r="B1871" t="s">
        <v>1165</v>
      </c>
      <c r="C1871">
        <v>2017</v>
      </c>
      <c r="D1871" t="s">
        <v>44</v>
      </c>
      <c r="F1871" t="s">
        <v>57</v>
      </c>
      <c r="G1871" t="s">
        <v>89</v>
      </c>
      <c r="H1871" t="s">
        <v>96</v>
      </c>
      <c r="I1871" t="s">
        <v>458</v>
      </c>
      <c r="J1871">
        <v>0.67</v>
      </c>
      <c r="K1871" t="s">
        <v>109</v>
      </c>
      <c r="L1871">
        <v>3500</v>
      </c>
      <c r="M1871">
        <f>0.5*0.5</f>
        <v>0.25</v>
      </c>
      <c r="N1871" t="s">
        <v>123</v>
      </c>
      <c r="O1871" t="s">
        <v>123</v>
      </c>
      <c r="P1871" t="s">
        <v>1166</v>
      </c>
      <c r="Q1871" s="1" t="s">
        <v>2281</v>
      </c>
      <c r="R1871" s="1" t="s">
        <v>2282</v>
      </c>
      <c r="S1871" s="1" t="s">
        <v>123</v>
      </c>
      <c r="V1871" t="s">
        <v>194</v>
      </c>
      <c r="W1871" t="s">
        <v>182</v>
      </c>
      <c r="X1871" t="s">
        <v>211</v>
      </c>
      <c r="Y1871" t="s">
        <v>2279</v>
      </c>
      <c r="Z1871" t="s">
        <v>2280</v>
      </c>
      <c r="AA1871" t="s">
        <v>2358</v>
      </c>
      <c r="AB1871" t="s">
        <v>2290</v>
      </c>
      <c r="AC1871" t="s">
        <v>152</v>
      </c>
      <c r="AD1871" t="s">
        <v>2278</v>
      </c>
      <c r="AE1871" t="s">
        <v>1168</v>
      </c>
    </row>
    <row r="1872" spans="1:45" x14ac:dyDescent="0.2">
      <c r="A1872" t="s">
        <v>1164</v>
      </c>
      <c r="B1872" t="s">
        <v>1165</v>
      </c>
      <c r="C1872">
        <v>2017</v>
      </c>
      <c r="D1872" t="s">
        <v>44</v>
      </c>
      <c r="F1872" t="s">
        <v>57</v>
      </c>
      <c r="G1872" t="s">
        <v>89</v>
      </c>
      <c r="H1872" t="s">
        <v>96</v>
      </c>
      <c r="I1872" t="s">
        <v>458</v>
      </c>
      <c r="J1872">
        <v>0.67</v>
      </c>
      <c r="K1872" t="s">
        <v>109</v>
      </c>
      <c r="L1872">
        <v>3500</v>
      </c>
      <c r="M1872">
        <f>0.5*0.5</f>
        <v>0.25</v>
      </c>
      <c r="N1872" t="s">
        <v>123</v>
      </c>
      <c r="O1872" t="s">
        <v>123</v>
      </c>
      <c r="P1872" t="s">
        <v>1166</v>
      </c>
      <c r="Q1872" s="1" t="s">
        <v>2281</v>
      </c>
      <c r="R1872" s="1" t="s">
        <v>2282</v>
      </c>
      <c r="S1872" s="1" t="s">
        <v>123</v>
      </c>
      <c r="V1872" t="s">
        <v>194</v>
      </c>
      <c r="W1872" t="s">
        <v>182</v>
      </c>
      <c r="X1872" t="s">
        <v>150</v>
      </c>
      <c r="Y1872" t="s">
        <v>2273</v>
      </c>
      <c r="Z1872" t="s">
        <v>249</v>
      </c>
      <c r="AA1872" t="s">
        <v>2359</v>
      </c>
      <c r="AB1872" t="s">
        <v>1419</v>
      </c>
      <c r="AC1872" t="s">
        <v>152</v>
      </c>
      <c r="AD1872" t="s">
        <v>137</v>
      </c>
      <c r="AE1872" t="s">
        <v>1168</v>
      </c>
      <c r="AF1872" t="s">
        <v>49</v>
      </c>
      <c r="AJ1872" t="s">
        <v>49</v>
      </c>
      <c r="AM1872" t="s">
        <v>1167</v>
      </c>
      <c r="AN1872" t="s">
        <v>166</v>
      </c>
      <c r="AP1872" t="s">
        <v>51</v>
      </c>
    </row>
    <row r="1873" spans="1:42" x14ac:dyDescent="0.2">
      <c r="A1873" t="s">
        <v>1164</v>
      </c>
      <c r="B1873" t="s">
        <v>1165</v>
      </c>
      <c r="C1873">
        <v>2017</v>
      </c>
      <c r="D1873" t="s">
        <v>44</v>
      </c>
      <c r="F1873" t="s">
        <v>57</v>
      </c>
      <c r="G1873" t="s">
        <v>89</v>
      </c>
      <c r="H1873" t="s">
        <v>96</v>
      </c>
      <c r="I1873" t="s">
        <v>458</v>
      </c>
      <c r="J1873">
        <v>0.67</v>
      </c>
      <c r="K1873" t="s">
        <v>109</v>
      </c>
      <c r="L1873">
        <v>3500</v>
      </c>
      <c r="M1873">
        <f>0.5*0.5</f>
        <v>0.25</v>
      </c>
      <c r="N1873" t="s">
        <v>123</v>
      </c>
      <c r="O1873" t="s">
        <v>123</v>
      </c>
      <c r="P1873" t="s">
        <v>1166</v>
      </c>
      <c r="Q1873" s="1" t="s">
        <v>2281</v>
      </c>
      <c r="R1873" s="1" t="s">
        <v>2282</v>
      </c>
      <c r="S1873" s="1" t="s">
        <v>123</v>
      </c>
      <c r="V1873" t="s">
        <v>194</v>
      </c>
      <c r="W1873" t="s">
        <v>182</v>
      </c>
      <c r="X1873" t="s">
        <v>150</v>
      </c>
      <c r="Y1873" t="s">
        <v>2273</v>
      </c>
      <c r="Z1873" t="s">
        <v>249</v>
      </c>
      <c r="AA1873" t="s">
        <v>2359</v>
      </c>
      <c r="AB1873" t="s">
        <v>1419</v>
      </c>
      <c r="AC1873" t="s">
        <v>152</v>
      </c>
      <c r="AD1873" t="s">
        <v>137</v>
      </c>
      <c r="AE1873" t="s">
        <v>1168</v>
      </c>
      <c r="AF1873" t="s">
        <v>49</v>
      </c>
      <c r="AJ1873" t="s">
        <v>49</v>
      </c>
      <c r="AM1873" t="s">
        <v>1167</v>
      </c>
      <c r="AN1873" t="s">
        <v>154</v>
      </c>
      <c r="AP1873" t="s">
        <v>51</v>
      </c>
    </row>
    <row r="1874" spans="1:42" x14ac:dyDescent="0.2">
      <c r="A1874" t="s">
        <v>1169</v>
      </c>
      <c r="B1874" t="s">
        <v>1170</v>
      </c>
      <c r="C1874">
        <v>2017</v>
      </c>
      <c r="D1874" t="s">
        <v>44</v>
      </c>
      <c r="F1874" t="s">
        <v>81</v>
      </c>
      <c r="G1874" t="s">
        <v>86</v>
      </c>
      <c r="H1874" t="s">
        <v>96</v>
      </c>
      <c r="M1874">
        <v>1</v>
      </c>
      <c r="N1874" t="s">
        <v>760</v>
      </c>
      <c r="O1874" t="s">
        <v>1171</v>
      </c>
      <c r="P1874" t="s">
        <v>761</v>
      </c>
      <c r="Q1874" s="1" t="s">
        <v>2292</v>
      </c>
      <c r="R1874" s="1" t="s">
        <v>760</v>
      </c>
      <c r="S1874" s="1" t="s">
        <v>760</v>
      </c>
      <c r="X1874" t="s">
        <v>211</v>
      </c>
      <c r="Y1874" t="s">
        <v>2279</v>
      </c>
      <c r="Z1874" t="s">
        <v>2280</v>
      </c>
      <c r="AA1874" t="s">
        <v>2358</v>
      </c>
      <c r="AB1874" t="s">
        <v>2290</v>
      </c>
      <c r="AC1874" t="s">
        <v>152</v>
      </c>
      <c r="AD1874" t="s">
        <v>2278</v>
      </c>
    </row>
    <row r="1875" spans="1:42" x14ac:dyDescent="0.2">
      <c r="A1875" t="s">
        <v>1169</v>
      </c>
      <c r="B1875" t="s">
        <v>1170</v>
      </c>
      <c r="C1875">
        <v>2017</v>
      </c>
      <c r="D1875" t="s">
        <v>44</v>
      </c>
      <c r="F1875" t="s">
        <v>81</v>
      </c>
      <c r="G1875" t="s">
        <v>86</v>
      </c>
      <c r="H1875" t="s">
        <v>96</v>
      </c>
      <c r="M1875">
        <v>1</v>
      </c>
      <c r="N1875" t="s">
        <v>760</v>
      </c>
      <c r="O1875" t="s">
        <v>1172</v>
      </c>
      <c r="P1875" t="s">
        <v>1121</v>
      </c>
      <c r="Q1875" s="1" t="s">
        <v>2292</v>
      </c>
      <c r="R1875" s="1" t="s">
        <v>760</v>
      </c>
      <c r="S1875" s="1" t="s">
        <v>760</v>
      </c>
      <c r="X1875" t="s">
        <v>211</v>
      </c>
      <c r="Y1875" t="s">
        <v>2279</v>
      </c>
      <c r="Z1875" t="s">
        <v>2280</v>
      </c>
      <c r="AA1875" t="s">
        <v>2358</v>
      </c>
      <c r="AB1875" t="s">
        <v>2290</v>
      </c>
      <c r="AC1875" t="s">
        <v>152</v>
      </c>
      <c r="AD1875" t="s">
        <v>2278</v>
      </c>
    </row>
    <row r="1876" spans="1:42" x14ac:dyDescent="0.2">
      <c r="A1876" t="s">
        <v>1169</v>
      </c>
      <c r="B1876" t="s">
        <v>1170</v>
      </c>
      <c r="C1876">
        <v>2017</v>
      </c>
      <c r="D1876" t="s">
        <v>44</v>
      </c>
      <c r="F1876" t="s">
        <v>81</v>
      </c>
      <c r="G1876" t="s">
        <v>86</v>
      </c>
      <c r="H1876" t="s">
        <v>96</v>
      </c>
      <c r="M1876">
        <v>1</v>
      </c>
      <c r="N1876" t="s">
        <v>124</v>
      </c>
      <c r="O1876" t="s">
        <v>1173</v>
      </c>
      <c r="P1876" t="s">
        <v>279</v>
      </c>
      <c r="Q1876" s="1" t="s">
        <v>2292</v>
      </c>
      <c r="R1876" s="1" t="s">
        <v>124</v>
      </c>
      <c r="S1876" s="1" t="s">
        <v>124</v>
      </c>
      <c r="X1876" t="s">
        <v>211</v>
      </c>
      <c r="Y1876" t="s">
        <v>2279</v>
      </c>
      <c r="Z1876" t="s">
        <v>2280</v>
      </c>
      <c r="AA1876" t="s">
        <v>2358</v>
      </c>
      <c r="AB1876" t="s">
        <v>2290</v>
      </c>
      <c r="AC1876" t="s">
        <v>152</v>
      </c>
      <c r="AD1876" t="s">
        <v>2278</v>
      </c>
    </row>
    <row r="1877" spans="1:42" x14ac:dyDescent="0.2">
      <c r="A1877" t="s">
        <v>1169</v>
      </c>
      <c r="B1877" t="s">
        <v>1170</v>
      </c>
      <c r="C1877">
        <v>2017</v>
      </c>
      <c r="D1877" t="s">
        <v>44</v>
      </c>
      <c r="F1877" t="s">
        <v>81</v>
      </c>
      <c r="G1877" t="s">
        <v>86</v>
      </c>
      <c r="H1877" t="s">
        <v>96</v>
      </c>
      <c r="M1877">
        <v>1</v>
      </c>
      <c r="N1877" t="s">
        <v>760</v>
      </c>
      <c r="O1877" t="s">
        <v>1171</v>
      </c>
      <c r="P1877" t="s">
        <v>761</v>
      </c>
      <c r="Q1877" s="1" t="s">
        <v>2292</v>
      </c>
      <c r="R1877" s="1" t="s">
        <v>760</v>
      </c>
      <c r="S1877" s="1" t="s">
        <v>760</v>
      </c>
      <c r="X1877" t="s">
        <v>1174</v>
      </c>
      <c r="Y1877" t="s">
        <v>2279</v>
      </c>
      <c r="Z1877" t="s">
        <v>2280</v>
      </c>
      <c r="AA1877" t="s">
        <v>2286</v>
      </c>
      <c r="AB1877" t="s">
        <v>2328</v>
      </c>
      <c r="AC1877" t="s">
        <v>162</v>
      </c>
      <c r="AD1877" t="s">
        <v>2278</v>
      </c>
    </row>
    <row r="1878" spans="1:42" x14ac:dyDescent="0.2">
      <c r="A1878" t="s">
        <v>1169</v>
      </c>
      <c r="B1878" t="s">
        <v>1170</v>
      </c>
      <c r="C1878">
        <v>2017</v>
      </c>
      <c r="D1878" t="s">
        <v>44</v>
      </c>
      <c r="F1878" t="s">
        <v>81</v>
      </c>
      <c r="G1878" t="s">
        <v>86</v>
      </c>
      <c r="H1878" t="s">
        <v>96</v>
      </c>
      <c r="M1878">
        <v>1</v>
      </c>
      <c r="N1878" t="s">
        <v>760</v>
      </c>
      <c r="O1878" t="s">
        <v>1172</v>
      </c>
      <c r="P1878" t="s">
        <v>1121</v>
      </c>
      <c r="Q1878" s="1" t="s">
        <v>2292</v>
      </c>
      <c r="R1878" s="1" t="s">
        <v>760</v>
      </c>
      <c r="S1878" s="1" t="s">
        <v>760</v>
      </c>
      <c r="X1878" t="s">
        <v>1174</v>
      </c>
      <c r="Y1878" t="s">
        <v>2279</v>
      </c>
      <c r="Z1878" t="s">
        <v>2280</v>
      </c>
      <c r="AA1878" t="s">
        <v>2286</v>
      </c>
      <c r="AB1878" t="s">
        <v>2328</v>
      </c>
      <c r="AC1878" t="s">
        <v>162</v>
      </c>
      <c r="AD1878" t="s">
        <v>2278</v>
      </c>
    </row>
    <row r="1879" spans="1:42" x14ac:dyDescent="0.2">
      <c r="A1879" t="s">
        <v>1169</v>
      </c>
      <c r="B1879" t="s">
        <v>1170</v>
      </c>
      <c r="C1879">
        <v>2017</v>
      </c>
      <c r="D1879" t="s">
        <v>44</v>
      </c>
      <c r="F1879" t="s">
        <v>81</v>
      </c>
      <c r="G1879" t="s">
        <v>86</v>
      </c>
      <c r="H1879" t="s">
        <v>96</v>
      </c>
      <c r="M1879">
        <v>1</v>
      </c>
      <c r="N1879" t="s">
        <v>124</v>
      </c>
      <c r="O1879" t="s">
        <v>1173</v>
      </c>
      <c r="P1879" t="s">
        <v>279</v>
      </c>
      <c r="Q1879" s="1" t="s">
        <v>2292</v>
      </c>
      <c r="R1879" s="1" t="s">
        <v>124</v>
      </c>
      <c r="S1879" s="1" t="s">
        <v>124</v>
      </c>
      <c r="X1879" t="s">
        <v>1174</v>
      </c>
      <c r="Y1879" t="s">
        <v>2279</v>
      </c>
      <c r="Z1879" t="s">
        <v>2280</v>
      </c>
      <c r="AA1879" t="s">
        <v>2286</v>
      </c>
      <c r="AB1879" t="s">
        <v>2328</v>
      </c>
      <c r="AC1879" t="s">
        <v>162</v>
      </c>
      <c r="AD1879" t="s">
        <v>2278</v>
      </c>
    </row>
    <row r="1880" spans="1:42" x14ac:dyDescent="0.2">
      <c r="A1880" t="s">
        <v>1169</v>
      </c>
      <c r="B1880" t="s">
        <v>1170</v>
      </c>
      <c r="C1880">
        <v>2017</v>
      </c>
      <c r="D1880" t="s">
        <v>44</v>
      </c>
      <c r="F1880" t="s">
        <v>81</v>
      </c>
      <c r="G1880" t="s">
        <v>86</v>
      </c>
      <c r="H1880" t="s">
        <v>96</v>
      </c>
      <c r="M1880">
        <v>1</v>
      </c>
      <c r="N1880" t="s">
        <v>760</v>
      </c>
      <c r="O1880" t="s">
        <v>1171</v>
      </c>
      <c r="P1880" t="s">
        <v>761</v>
      </c>
      <c r="Q1880" s="1" t="s">
        <v>2292</v>
      </c>
      <c r="R1880" s="1" t="s">
        <v>760</v>
      </c>
      <c r="S1880" s="1" t="s">
        <v>760</v>
      </c>
      <c r="X1880" t="s">
        <v>1175</v>
      </c>
      <c r="Y1880" t="s">
        <v>2279</v>
      </c>
      <c r="Z1880" t="s">
        <v>2280</v>
      </c>
      <c r="AA1880" t="s">
        <v>2358</v>
      </c>
      <c r="AB1880" t="s">
        <v>189</v>
      </c>
      <c r="AC1880" t="s">
        <v>152</v>
      </c>
      <c r="AD1880" t="s">
        <v>2278</v>
      </c>
    </row>
    <row r="1881" spans="1:42" x14ac:dyDescent="0.2">
      <c r="A1881" t="s">
        <v>1169</v>
      </c>
      <c r="B1881" t="s">
        <v>1170</v>
      </c>
      <c r="C1881">
        <v>2017</v>
      </c>
      <c r="D1881" t="s">
        <v>44</v>
      </c>
      <c r="F1881" t="s">
        <v>81</v>
      </c>
      <c r="G1881" t="s">
        <v>86</v>
      </c>
      <c r="H1881" t="s">
        <v>96</v>
      </c>
      <c r="M1881">
        <v>1</v>
      </c>
      <c r="N1881" t="s">
        <v>760</v>
      </c>
      <c r="O1881" t="s">
        <v>1172</v>
      </c>
      <c r="P1881" t="s">
        <v>1121</v>
      </c>
      <c r="Q1881" s="1" t="s">
        <v>2292</v>
      </c>
      <c r="R1881" s="1" t="s">
        <v>760</v>
      </c>
      <c r="S1881" s="1" t="s">
        <v>760</v>
      </c>
      <c r="X1881" t="s">
        <v>1175</v>
      </c>
      <c r="Y1881" t="s">
        <v>2279</v>
      </c>
      <c r="Z1881" t="s">
        <v>2280</v>
      </c>
      <c r="AA1881" t="s">
        <v>2358</v>
      </c>
      <c r="AB1881" t="s">
        <v>189</v>
      </c>
      <c r="AC1881" t="s">
        <v>152</v>
      </c>
      <c r="AD1881" t="s">
        <v>2278</v>
      </c>
    </row>
    <row r="1882" spans="1:42" x14ac:dyDescent="0.2">
      <c r="A1882" t="s">
        <v>1169</v>
      </c>
      <c r="B1882" t="s">
        <v>1170</v>
      </c>
      <c r="C1882">
        <v>2017</v>
      </c>
      <c r="D1882" t="s">
        <v>44</v>
      </c>
      <c r="F1882" t="s">
        <v>81</v>
      </c>
      <c r="G1882" t="s">
        <v>86</v>
      </c>
      <c r="H1882" t="s">
        <v>96</v>
      </c>
      <c r="M1882">
        <v>1</v>
      </c>
      <c r="N1882" t="s">
        <v>124</v>
      </c>
      <c r="O1882" t="s">
        <v>1173</v>
      </c>
      <c r="P1882" t="s">
        <v>279</v>
      </c>
      <c r="Q1882" s="1" t="s">
        <v>2292</v>
      </c>
      <c r="R1882" s="1" t="s">
        <v>124</v>
      </c>
      <c r="S1882" s="1" t="s">
        <v>124</v>
      </c>
      <c r="X1882" t="s">
        <v>267</v>
      </c>
      <c r="Y1882" t="s">
        <v>2279</v>
      </c>
      <c r="Z1882" t="s">
        <v>2280</v>
      </c>
      <c r="AA1882" t="s">
        <v>2358</v>
      </c>
      <c r="AB1882" t="s">
        <v>189</v>
      </c>
      <c r="AC1882" t="s">
        <v>152</v>
      </c>
      <c r="AD1882" t="s">
        <v>2278</v>
      </c>
    </row>
    <row r="1883" spans="1:42" x14ac:dyDescent="0.2">
      <c r="A1883" t="s">
        <v>1169</v>
      </c>
      <c r="B1883" t="s">
        <v>1170</v>
      </c>
      <c r="C1883">
        <v>2017</v>
      </c>
      <c r="D1883" t="s">
        <v>44</v>
      </c>
      <c r="F1883" t="s">
        <v>81</v>
      </c>
      <c r="G1883" t="s">
        <v>86</v>
      </c>
      <c r="H1883" t="s">
        <v>96</v>
      </c>
      <c r="M1883">
        <v>0.25</v>
      </c>
      <c r="N1883" t="s">
        <v>760</v>
      </c>
      <c r="O1883" t="s">
        <v>1171</v>
      </c>
      <c r="P1883" t="s">
        <v>761</v>
      </c>
      <c r="Q1883" s="1" t="s">
        <v>2292</v>
      </c>
      <c r="R1883" s="1" t="s">
        <v>760</v>
      </c>
      <c r="S1883" s="1" t="s">
        <v>760</v>
      </c>
      <c r="X1883" t="s">
        <v>1176</v>
      </c>
      <c r="Y1883" t="s">
        <v>2273</v>
      </c>
      <c r="Z1883" t="s">
        <v>249</v>
      </c>
      <c r="AA1883" t="s">
        <v>2274</v>
      </c>
      <c r="AB1883" t="s">
        <v>2283</v>
      </c>
      <c r="AC1883" t="s">
        <v>152</v>
      </c>
      <c r="AD1883" t="s">
        <v>137</v>
      </c>
    </row>
    <row r="1884" spans="1:42" x14ac:dyDescent="0.2">
      <c r="A1884" t="s">
        <v>1169</v>
      </c>
      <c r="B1884" t="s">
        <v>1170</v>
      </c>
      <c r="C1884">
        <v>2017</v>
      </c>
      <c r="D1884" t="s">
        <v>44</v>
      </c>
      <c r="F1884" t="s">
        <v>81</v>
      </c>
      <c r="G1884" t="s">
        <v>86</v>
      </c>
      <c r="H1884" t="s">
        <v>96</v>
      </c>
      <c r="M1884">
        <v>0.25</v>
      </c>
      <c r="N1884" t="s">
        <v>760</v>
      </c>
      <c r="O1884" t="s">
        <v>1172</v>
      </c>
      <c r="P1884" t="s">
        <v>1121</v>
      </c>
      <c r="Q1884" s="1" t="s">
        <v>2292</v>
      </c>
      <c r="R1884" s="1" t="s">
        <v>760</v>
      </c>
      <c r="S1884" s="1" t="s">
        <v>760</v>
      </c>
      <c r="X1884" t="s">
        <v>1176</v>
      </c>
      <c r="Y1884" t="s">
        <v>2273</v>
      </c>
      <c r="Z1884" t="s">
        <v>249</v>
      </c>
      <c r="AA1884" t="s">
        <v>2274</v>
      </c>
      <c r="AB1884" t="s">
        <v>2283</v>
      </c>
      <c r="AC1884" t="s">
        <v>152</v>
      </c>
      <c r="AD1884" t="s">
        <v>137</v>
      </c>
    </row>
    <row r="1885" spans="1:42" x14ac:dyDescent="0.2">
      <c r="A1885" t="s">
        <v>1169</v>
      </c>
      <c r="B1885" t="s">
        <v>1170</v>
      </c>
      <c r="C1885">
        <v>2017</v>
      </c>
      <c r="D1885" t="s">
        <v>44</v>
      </c>
      <c r="F1885" t="s">
        <v>81</v>
      </c>
      <c r="G1885" t="s">
        <v>86</v>
      </c>
      <c r="H1885" t="s">
        <v>96</v>
      </c>
      <c r="M1885">
        <v>0.25</v>
      </c>
      <c r="N1885" t="s">
        <v>124</v>
      </c>
      <c r="O1885" t="s">
        <v>1173</v>
      </c>
      <c r="P1885" t="s">
        <v>279</v>
      </c>
      <c r="Q1885" s="1" t="s">
        <v>2292</v>
      </c>
      <c r="R1885" s="1" t="s">
        <v>124</v>
      </c>
      <c r="S1885" s="1" t="s">
        <v>124</v>
      </c>
      <c r="X1885" t="s">
        <v>1176</v>
      </c>
      <c r="Y1885" t="s">
        <v>2273</v>
      </c>
      <c r="Z1885" t="s">
        <v>249</v>
      </c>
      <c r="AA1885" t="s">
        <v>2274</v>
      </c>
      <c r="AB1885" t="s">
        <v>2283</v>
      </c>
      <c r="AC1885" t="s">
        <v>152</v>
      </c>
      <c r="AD1885" t="s">
        <v>137</v>
      </c>
    </row>
    <row r="1886" spans="1:42" x14ac:dyDescent="0.2">
      <c r="A1886" t="s">
        <v>1169</v>
      </c>
      <c r="B1886" t="s">
        <v>1170</v>
      </c>
      <c r="C1886">
        <v>2017</v>
      </c>
      <c r="D1886" t="s">
        <v>44</v>
      </c>
      <c r="F1886" t="s">
        <v>81</v>
      </c>
      <c r="G1886" t="s">
        <v>86</v>
      </c>
      <c r="H1886" t="s">
        <v>96</v>
      </c>
      <c r="M1886">
        <v>0.25</v>
      </c>
      <c r="N1886" t="s">
        <v>760</v>
      </c>
      <c r="O1886" t="s">
        <v>1171</v>
      </c>
      <c r="P1886" t="s">
        <v>761</v>
      </c>
      <c r="Q1886" s="1" t="s">
        <v>2292</v>
      </c>
      <c r="R1886" s="1" t="s">
        <v>760</v>
      </c>
      <c r="S1886" s="1" t="s">
        <v>760</v>
      </c>
      <c r="X1886" t="s">
        <v>177</v>
      </c>
      <c r="Y1886" t="s">
        <v>2273</v>
      </c>
      <c r="Z1886" t="s">
        <v>249</v>
      </c>
      <c r="AA1886" t="s">
        <v>2359</v>
      </c>
      <c r="AB1886" t="s">
        <v>1419</v>
      </c>
      <c r="AC1886" t="s">
        <v>152</v>
      </c>
      <c r="AD1886" t="s">
        <v>2288</v>
      </c>
    </row>
    <row r="1887" spans="1:42" x14ac:dyDescent="0.2">
      <c r="A1887" t="s">
        <v>1169</v>
      </c>
      <c r="B1887" t="s">
        <v>1170</v>
      </c>
      <c r="C1887">
        <v>2017</v>
      </c>
      <c r="D1887" t="s">
        <v>44</v>
      </c>
      <c r="F1887" t="s">
        <v>81</v>
      </c>
      <c r="G1887" t="s">
        <v>86</v>
      </c>
      <c r="H1887" t="s">
        <v>96</v>
      </c>
      <c r="M1887">
        <v>0.25</v>
      </c>
      <c r="N1887" t="s">
        <v>760</v>
      </c>
      <c r="O1887" t="s">
        <v>1172</v>
      </c>
      <c r="P1887" t="s">
        <v>1121</v>
      </c>
      <c r="Q1887" s="1" t="s">
        <v>2292</v>
      </c>
      <c r="R1887" s="1" t="s">
        <v>760</v>
      </c>
      <c r="S1887" s="1" t="s">
        <v>760</v>
      </c>
      <c r="X1887" t="s">
        <v>177</v>
      </c>
      <c r="Y1887" t="s">
        <v>2273</v>
      </c>
      <c r="Z1887" t="s">
        <v>249</v>
      </c>
      <c r="AA1887" t="s">
        <v>2359</v>
      </c>
      <c r="AB1887" t="s">
        <v>1419</v>
      </c>
      <c r="AC1887" t="s">
        <v>152</v>
      </c>
      <c r="AD1887" t="s">
        <v>2288</v>
      </c>
    </row>
    <row r="1888" spans="1:42" x14ac:dyDescent="0.2">
      <c r="A1888" t="s">
        <v>1169</v>
      </c>
      <c r="B1888" t="s">
        <v>1170</v>
      </c>
      <c r="C1888">
        <v>2017</v>
      </c>
      <c r="D1888" t="s">
        <v>44</v>
      </c>
      <c r="F1888" t="s">
        <v>81</v>
      </c>
      <c r="G1888" t="s">
        <v>86</v>
      </c>
      <c r="H1888" t="s">
        <v>96</v>
      </c>
      <c r="M1888">
        <v>0.25</v>
      </c>
      <c r="N1888" t="s">
        <v>124</v>
      </c>
      <c r="O1888" t="s">
        <v>1173</v>
      </c>
      <c r="P1888" t="s">
        <v>279</v>
      </c>
      <c r="Q1888" s="1" t="s">
        <v>2292</v>
      </c>
      <c r="R1888" s="1" t="s">
        <v>124</v>
      </c>
      <c r="S1888" s="1" t="s">
        <v>124</v>
      </c>
      <c r="X1888" t="s">
        <v>177</v>
      </c>
      <c r="Y1888" t="s">
        <v>2273</v>
      </c>
      <c r="Z1888" t="s">
        <v>249</v>
      </c>
      <c r="AA1888" t="s">
        <v>2359</v>
      </c>
      <c r="AB1888" t="s">
        <v>1419</v>
      </c>
      <c r="AC1888" t="s">
        <v>152</v>
      </c>
      <c r="AD1888" t="s">
        <v>2288</v>
      </c>
    </row>
    <row r="1889" spans="1:43" x14ac:dyDescent="0.2">
      <c r="A1889" t="s">
        <v>1177</v>
      </c>
      <c r="B1889" t="s">
        <v>1178</v>
      </c>
      <c r="C1889">
        <v>2017</v>
      </c>
      <c r="D1889" t="s">
        <v>44</v>
      </c>
      <c r="F1889" t="s">
        <v>81</v>
      </c>
      <c r="G1889" t="s">
        <v>91</v>
      </c>
      <c r="H1889" t="s">
        <v>350</v>
      </c>
      <c r="I1889">
        <v>2010</v>
      </c>
      <c r="J1889">
        <v>0.17</v>
      </c>
      <c r="K1889" t="s">
        <v>101</v>
      </c>
      <c r="L1889">
        <v>14</v>
      </c>
      <c r="M1889">
        <v>50</v>
      </c>
      <c r="N1889" t="s">
        <v>120</v>
      </c>
      <c r="O1889" t="s">
        <v>216</v>
      </c>
      <c r="P1889" t="s">
        <v>1179</v>
      </c>
      <c r="Q1889" s="1" t="s">
        <v>2276</v>
      </c>
      <c r="R1889" s="1" t="s">
        <v>669</v>
      </c>
      <c r="S1889" s="1" t="s">
        <v>168</v>
      </c>
      <c r="X1889" t="s">
        <v>189</v>
      </c>
      <c r="Y1889" t="s">
        <v>2279</v>
      </c>
      <c r="Z1889" t="s">
        <v>2280</v>
      </c>
      <c r="AA1889" t="s">
        <v>2358</v>
      </c>
      <c r="AB1889" t="s">
        <v>189</v>
      </c>
      <c r="AC1889" t="s">
        <v>152</v>
      </c>
      <c r="AD1889" t="s">
        <v>2278</v>
      </c>
    </row>
    <row r="1890" spans="1:43" x14ac:dyDescent="0.2">
      <c r="A1890" t="s">
        <v>1177</v>
      </c>
      <c r="B1890" t="s">
        <v>1178</v>
      </c>
      <c r="C1890">
        <v>2017</v>
      </c>
      <c r="D1890" t="s">
        <v>44</v>
      </c>
      <c r="F1890" t="s">
        <v>81</v>
      </c>
      <c r="G1890" t="s">
        <v>91</v>
      </c>
      <c r="H1890" t="s">
        <v>350</v>
      </c>
      <c r="I1890">
        <v>2010</v>
      </c>
      <c r="J1890">
        <v>0.17</v>
      </c>
      <c r="K1890" t="s">
        <v>101</v>
      </c>
      <c r="L1890">
        <v>14</v>
      </c>
      <c r="N1890" t="s">
        <v>120</v>
      </c>
      <c r="O1890" t="s">
        <v>216</v>
      </c>
      <c r="P1890" t="s">
        <v>1179</v>
      </c>
      <c r="Q1890" s="1" t="s">
        <v>2276</v>
      </c>
      <c r="R1890" s="1" t="s">
        <v>669</v>
      </c>
      <c r="S1890" s="1" t="s">
        <v>168</v>
      </c>
      <c r="X1890" t="s">
        <v>293</v>
      </c>
      <c r="Y1890" t="s">
        <v>2273</v>
      </c>
      <c r="Z1890" t="s">
        <v>249</v>
      </c>
      <c r="AA1890" t="s">
        <v>2359</v>
      </c>
      <c r="AB1890" t="s">
        <v>1419</v>
      </c>
      <c r="AC1890" t="s">
        <v>152</v>
      </c>
      <c r="AD1890" t="s">
        <v>137</v>
      </c>
    </row>
    <row r="1891" spans="1:43" x14ac:dyDescent="0.2">
      <c r="A1891" t="s">
        <v>1177</v>
      </c>
      <c r="B1891" t="s">
        <v>1178</v>
      </c>
      <c r="C1891">
        <v>2017</v>
      </c>
      <c r="D1891" t="s">
        <v>44</v>
      </c>
      <c r="F1891" t="s">
        <v>81</v>
      </c>
      <c r="G1891" t="s">
        <v>91</v>
      </c>
      <c r="H1891" t="s">
        <v>350</v>
      </c>
      <c r="I1891">
        <v>2010</v>
      </c>
      <c r="J1891">
        <v>0.17</v>
      </c>
      <c r="K1891" t="s">
        <v>101</v>
      </c>
      <c r="L1891">
        <v>14</v>
      </c>
      <c r="N1891" t="s">
        <v>120</v>
      </c>
      <c r="O1891" t="s">
        <v>216</v>
      </c>
      <c r="P1891" t="s">
        <v>1179</v>
      </c>
      <c r="Q1891" s="1" t="s">
        <v>2276</v>
      </c>
      <c r="R1891" s="1" t="s">
        <v>669</v>
      </c>
      <c r="S1891" s="1" t="s">
        <v>168</v>
      </c>
      <c r="X1891" t="s">
        <v>826</v>
      </c>
      <c r="Y1891" t="s">
        <v>2273</v>
      </c>
      <c r="Z1891" t="s">
        <v>249</v>
      </c>
      <c r="AA1891" t="s">
        <v>2359</v>
      </c>
      <c r="AB1891" t="s">
        <v>1419</v>
      </c>
      <c r="AC1891" t="s">
        <v>152</v>
      </c>
      <c r="AD1891" t="s">
        <v>137</v>
      </c>
    </row>
    <row r="1892" spans="1:43" x14ac:dyDescent="0.2">
      <c r="A1892" t="s">
        <v>1177</v>
      </c>
      <c r="B1892" t="s">
        <v>1178</v>
      </c>
      <c r="C1892">
        <v>2017</v>
      </c>
      <c r="D1892" t="s">
        <v>44</v>
      </c>
      <c r="F1892" t="s">
        <v>81</v>
      </c>
      <c r="G1892" t="s">
        <v>91</v>
      </c>
      <c r="H1892" t="s">
        <v>350</v>
      </c>
      <c r="I1892">
        <v>2010</v>
      </c>
      <c r="J1892">
        <v>0.17</v>
      </c>
      <c r="K1892" t="s">
        <v>101</v>
      </c>
      <c r="L1892">
        <v>14</v>
      </c>
      <c r="N1892" t="s">
        <v>120</v>
      </c>
      <c r="O1892" t="s">
        <v>216</v>
      </c>
      <c r="P1892" t="s">
        <v>1179</v>
      </c>
      <c r="Q1892" s="1" t="s">
        <v>2276</v>
      </c>
      <c r="R1892" s="1" t="s">
        <v>669</v>
      </c>
      <c r="S1892" s="1" t="s">
        <v>168</v>
      </c>
      <c r="X1892" t="s">
        <v>1180</v>
      </c>
      <c r="Y1892" t="s">
        <v>2279</v>
      </c>
      <c r="Z1892" t="s">
        <v>2280</v>
      </c>
      <c r="AA1892" t="s">
        <v>2358</v>
      </c>
      <c r="AB1892" t="s">
        <v>2459</v>
      </c>
      <c r="AC1892" t="s">
        <v>315</v>
      </c>
      <c r="AD1892" t="s">
        <v>2278</v>
      </c>
    </row>
    <row r="1893" spans="1:43" x14ac:dyDescent="0.2">
      <c r="A1893" t="s">
        <v>1177</v>
      </c>
      <c r="B1893" t="s">
        <v>1178</v>
      </c>
      <c r="C1893">
        <v>2017</v>
      </c>
      <c r="D1893" t="s">
        <v>44</v>
      </c>
      <c r="F1893" t="s">
        <v>81</v>
      </c>
      <c r="G1893" t="s">
        <v>91</v>
      </c>
      <c r="H1893" t="s">
        <v>350</v>
      </c>
      <c r="I1893">
        <v>2010</v>
      </c>
      <c r="J1893">
        <v>0.08</v>
      </c>
      <c r="K1893" t="s">
        <v>101</v>
      </c>
      <c r="L1893">
        <v>14</v>
      </c>
      <c r="N1893" t="s">
        <v>120</v>
      </c>
      <c r="O1893" t="s">
        <v>216</v>
      </c>
      <c r="P1893" t="s">
        <v>217</v>
      </c>
      <c r="Q1893" s="1" t="s">
        <v>2276</v>
      </c>
      <c r="R1893" s="1" t="s">
        <v>669</v>
      </c>
      <c r="S1893" s="1" t="s">
        <v>168</v>
      </c>
      <c r="T1893" t="s">
        <v>396</v>
      </c>
      <c r="U1893" s="1" t="s">
        <v>168</v>
      </c>
      <c r="X1893" t="s">
        <v>161</v>
      </c>
      <c r="Y1893" t="s">
        <v>2272</v>
      </c>
      <c r="Z1893" t="s">
        <v>2272</v>
      </c>
      <c r="AA1893" t="s">
        <v>2272</v>
      </c>
      <c r="AB1893" t="s">
        <v>2272</v>
      </c>
      <c r="AC1893" t="s">
        <v>162</v>
      </c>
      <c r="AD1893" t="s">
        <v>2272</v>
      </c>
      <c r="AF1893" t="s">
        <v>49</v>
      </c>
      <c r="AI1893" t="s">
        <v>49</v>
      </c>
      <c r="AM1893" t="s">
        <v>262</v>
      </c>
      <c r="AN1893" t="s">
        <v>165</v>
      </c>
      <c r="AP1893" t="s">
        <v>49</v>
      </c>
    </row>
    <row r="1894" spans="1:43" x14ac:dyDescent="0.2">
      <c r="A1894" t="s">
        <v>1177</v>
      </c>
      <c r="B1894" t="s">
        <v>1178</v>
      </c>
      <c r="C1894">
        <v>2017</v>
      </c>
      <c r="D1894" t="s">
        <v>44</v>
      </c>
      <c r="F1894" t="s">
        <v>81</v>
      </c>
      <c r="G1894" t="s">
        <v>91</v>
      </c>
      <c r="H1894" t="s">
        <v>350</v>
      </c>
      <c r="I1894">
        <v>2010</v>
      </c>
      <c r="J1894">
        <v>0.08</v>
      </c>
      <c r="K1894" t="s">
        <v>101</v>
      </c>
      <c r="L1894">
        <v>14</v>
      </c>
      <c r="N1894" t="s">
        <v>120</v>
      </c>
      <c r="O1894" t="s">
        <v>216</v>
      </c>
      <c r="P1894" t="s">
        <v>1181</v>
      </c>
      <c r="Q1894" s="1" t="s">
        <v>2276</v>
      </c>
      <c r="R1894" s="1" t="s">
        <v>669</v>
      </c>
      <c r="S1894" s="1" t="s">
        <v>168</v>
      </c>
      <c r="T1894" t="s">
        <v>396</v>
      </c>
      <c r="U1894" s="1" t="s">
        <v>168</v>
      </c>
      <c r="X1894" t="s">
        <v>161</v>
      </c>
      <c r="Y1894" t="s">
        <v>2272</v>
      </c>
      <c r="Z1894" t="s">
        <v>2272</v>
      </c>
      <c r="AA1894" t="s">
        <v>2272</v>
      </c>
      <c r="AB1894" t="s">
        <v>2272</v>
      </c>
      <c r="AC1894" t="s">
        <v>162</v>
      </c>
      <c r="AD1894" t="s">
        <v>2272</v>
      </c>
      <c r="AF1894" t="s">
        <v>49</v>
      </c>
      <c r="AI1894" t="s">
        <v>49</v>
      </c>
      <c r="AM1894" t="s">
        <v>262</v>
      </c>
      <c r="AN1894" t="s">
        <v>165</v>
      </c>
      <c r="AP1894" t="s">
        <v>49</v>
      </c>
    </row>
    <row r="1895" spans="1:43" x14ac:dyDescent="0.2">
      <c r="A1895" t="s">
        <v>1182</v>
      </c>
      <c r="B1895" t="s">
        <v>1183</v>
      </c>
      <c r="C1895">
        <v>2017</v>
      </c>
      <c r="D1895" t="s">
        <v>44</v>
      </c>
      <c r="F1895" t="s">
        <v>81</v>
      </c>
      <c r="G1895" t="s">
        <v>86</v>
      </c>
      <c r="H1895" t="s">
        <v>96</v>
      </c>
      <c r="K1895" t="s">
        <v>101</v>
      </c>
      <c r="M1895">
        <v>0</v>
      </c>
      <c r="N1895" t="s">
        <v>126</v>
      </c>
      <c r="O1895" t="s">
        <v>126</v>
      </c>
      <c r="P1895" t="s">
        <v>188</v>
      </c>
      <c r="Q1895" s="1" t="s">
        <v>2281</v>
      </c>
      <c r="R1895" s="1" t="s">
        <v>2282</v>
      </c>
      <c r="S1895" s="1" t="s">
        <v>126</v>
      </c>
      <c r="X1895" t="s">
        <v>1185</v>
      </c>
      <c r="Y1895" t="s">
        <v>2279</v>
      </c>
      <c r="Z1895" t="s">
        <v>2280</v>
      </c>
      <c r="AA1895" t="s">
        <v>2358</v>
      </c>
      <c r="AB1895" t="s">
        <v>2459</v>
      </c>
      <c r="AC1895" t="s">
        <v>152</v>
      </c>
      <c r="AD1895" t="s">
        <v>2278</v>
      </c>
      <c r="AF1895" t="s">
        <v>49</v>
      </c>
      <c r="AI1895" t="s">
        <v>49</v>
      </c>
      <c r="AM1895" t="s">
        <v>1152</v>
      </c>
      <c r="AN1895" t="s">
        <v>154</v>
      </c>
      <c r="AP1895" t="s">
        <v>173</v>
      </c>
    </row>
    <row r="1896" spans="1:43" x14ac:dyDescent="0.2">
      <c r="A1896" t="s">
        <v>1182</v>
      </c>
      <c r="B1896" t="s">
        <v>1183</v>
      </c>
      <c r="C1896">
        <v>2017</v>
      </c>
      <c r="D1896" t="s">
        <v>44</v>
      </c>
      <c r="F1896" t="s">
        <v>81</v>
      </c>
      <c r="G1896" t="s">
        <v>86</v>
      </c>
      <c r="H1896" t="s">
        <v>96</v>
      </c>
      <c r="K1896" t="s">
        <v>101</v>
      </c>
      <c r="M1896">
        <v>0</v>
      </c>
      <c r="N1896" t="s">
        <v>126</v>
      </c>
      <c r="O1896" t="s">
        <v>126</v>
      </c>
      <c r="P1896" t="s">
        <v>188</v>
      </c>
      <c r="Q1896" s="1" t="s">
        <v>2281</v>
      </c>
      <c r="R1896" s="1" t="s">
        <v>2282</v>
      </c>
      <c r="S1896" s="1" t="s">
        <v>126</v>
      </c>
      <c r="X1896" t="s">
        <v>1184</v>
      </c>
      <c r="Y1896" t="s">
        <v>2279</v>
      </c>
      <c r="Z1896" t="s">
        <v>2280</v>
      </c>
      <c r="AA1896" t="s">
        <v>2286</v>
      </c>
      <c r="AB1896" t="s">
        <v>2287</v>
      </c>
      <c r="AC1896" t="s">
        <v>162</v>
      </c>
      <c r="AD1896" t="s">
        <v>2278</v>
      </c>
      <c r="AF1896" t="s">
        <v>49</v>
      </c>
      <c r="AI1896" t="s">
        <v>49</v>
      </c>
      <c r="AM1896" t="s">
        <v>1152</v>
      </c>
      <c r="AN1896" t="s">
        <v>154</v>
      </c>
      <c r="AP1896" t="s">
        <v>49</v>
      </c>
    </row>
    <row r="1897" spans="1:43" x14ac:dyDescent="0.2">
      <c r="A1897" t="s">
        <v>1182</v>
      </c>
      <c r="B1897" t="s">
        <v>1183</v>
      </c>
      <c r="C1897">
        <v>2017</v>
      </c>
      <c r="D1897" t="s">
        <v>44</v>
      </c>
      <c r="F1897" t="s">
        <v>81</v>
      </c>
      <c r="G1897" t="s">
        <v>86</v>
      </c>
      <c r="H1897" t="s">
        <v>96</v>
      </c>
      <c r="K1897" t="s">
        <v>101</v>
      </c>
      <c r="M1897">
        <v>0</v>
      </c>
      <c r="N1897" t="s">
        <v>126</v>
      </c>
      <c r="O1897" t="s">
        <v>126</v>
      </c>
      <c r="P1897" t="s">
        <v>188</v>
      </c>
      <c r="Q1897" s="1" t="s">
        <v>2281</v>
      </c>
      <c r="R1897" s="1" t="s">
        <v>2282</v>
      </c>
      <c r="S1897" s="1" t="s">
        <v>126</v>
      </c>
      <c r="X1897" t="s">
        <v>1185</v>
      </c>
      <c r="Y1897" t="s">
        <v>2279</v>
      </c>
      <c r="Z1897" t="s">
        <v>2280</v>
      </c>
      <c r="AA1897" t="s">
        <v>2358</v>
      </c>
      <c r="AB1897" t="s">
        <v>2459</v>
      </c>
      <c r="AC1897" t="s">
        <v>152</v>
      </c>
      <c r="AD1897" t="s">
        <v>2278</v>
      </c>
      <c r="AF1897" t="s">
        <v>49</v>
      </c>
      <c r="AH1897" s="4" t="s">
        <v>49</v>
      </c>
      <c r="AJ1897" t="s">
        <v>49</v>
      </c>
      <c r="AM1897" t="s">
        <v>1186</v>
      </c>
      <c r="AN1897" t="s">
        <v>154</v>
      </c>
      <c r="AP1897" t="s">
        <v>51</v>
      </c>
    </row>
    <row r="1898" spans="1:43" x14ac:dyDescent="0.2">
      <c r="A1898" t="s">
        <v>1182</v>
      </c>
      <c r="B1898" t="s">
        <v>1183</v>
      </c>
      <c r="C1898">
        <v>2017</v>
      </c>
      <c r="D1898" t="s">
        <v>44</v>
      </c>
      <c r="F1898" t="s">
        <v>81</v>
      </c>
      <c r="G1898" t="s">
        <v>86</v>
      </c>
      <c r="H1898" t="s">
        <v>96</v>
      </c>
      <c r="K1898" t="s">
        <v>101</v>
      </c>
      <c r="M1898">
        <v>0</v>
      </c>
      <c r="N1898" t="s">
        <v>126</v>
      </c>
      <c r="O1898" t="s">
        <v>126</v>
      </c>
      <c r="P1898" t="s">
        <v>188</v>
      </c>
      <c r="Q1898" s="1" t="s">
        <v>2281</v>
      </c>
      <c r="R1898" s="1" t="s">
        <v>2282</v>
      </c>
      <c r="S1898" s="1" t="s">
        <v>126</v>
      </c>
      <c r="X1898" t="s">
        <v>1184</v>
      </c>
      <c r="Y1898" t="s">
        <v>2279</v>
      </c>
      <c r="Z1898" t="s">
        <v>2280</v>
      </c>
      <c r="AA1898" t="s">
        <v>2286</v>
      </c>
      <c r="AB1898" t="s">
        <v>2287</v>
      </c>
      <c r="AC1898" t="s">
        <v>162</v>
      </c>
      <c r="AD1898" t="s">
        <v>2278</v>
      </c>
      <c r="AF1898" t="s">
        <v>49</v>
      </c>
      <c r="AH1898" s="4" t="s">
        <v>49</v>
      </c>
      <c r="AJ1898" t="s">
        <v>49</v>
      </c>
      <c r="AM1898" t="s">
        <v>1186</v>
      </c>
      <c r="AN1898" t="s">
        <v>154</v>
      </c>
      <c r="AP1898" t="s">
        <v>49</v>
      </c>
    </row>
    <row r="1899" spans="1:43" x14ac:dyDescent="0.2">
      <c r="A1899" t="s">
        <v>1182</v>
      </c>
      <c r="B1899" t="s">
        <v>1183</v>
      </c>
      <c r="C1899">
        <v>2017</v>
      </c>
      <c r="D1899" t="s">
        <v>811</v>
      </c>
      <c r="F1899" t="s">
        <v>81</v>
      </c>
      <c r="G1899" t="s">
        <v>86</v>
      </c>
      <c r="H1899" t="s">
        <v>96</v>
      </c>
      <c r="K1899" t="s">
        <v>101</v>
      </c>
      <c r="M1899">
        <v>0</v>
      </c>
      <c r="N1899" t="s">
        <v>126</v>
      </c>
      <c r="O1899" t="s">
        <v>126</v>
      </c>
      <c r="P1899" t="s">
        <v>188</v>
      </c>
      <c r="Q1899" s="1" t="s">
        <v>2281</v>
      </c>
      <c r="R1899" s="1" t="s">
        <v>2282</v>
      </c>
      <c r="S1899" s="1" t="s">
        <v>126</v>
      </c>
      <c r="X1899" t="s">
        <v>1185</v>
      </c>
      <c r="Y1899" t="s">
        <v>2279</v>
      </c>
      <c r="Z1899" t="s">
        <v>2280</v>
      </c>
      <c r="AA1899" t="s">
        <v>2358</v>
      </c>
      <c r="AB1899" t="s">
        <v>2459</v>
      </c>
      <c r="AC1899" t="s">
        <v>152</v>
      </c>
      <c r="AD1899" t="s">
        <v>2278</v>
      </c>
      <c r="AF1899" t="s">
        <v>49</v>
      </c>
      <c r="AI1899" t="s">
        <v>49</v>
      </c>
      <c r="AM1899" t="s">
        <v>1152</v>
      </c>
      <c r="AN1899" t="s">
        <v>154</v>
      </c>
      <c r="AP1899" t="s">
        <v>157</v>
      </c>
    </row>
    <row r="1900" spans="1:43" x14ac:dyDescent="0.2">
      <c r="A1900" t="s">
        <v>1182</v>
      </c>
      <c r="B1900" t="s">
        <v>1183</v>
      </c>
      <c r="C1900">
        <v>2017</v>
      </c>
      <c r="D1900" t="s">
        <v>811</v>
      </c>
      <c r="F1900" t="s">
        <v>81</v>
      </c>
      <c r="G1900" t="s">
        <v>86</v>
      </c>
      <c r="H1900" t="s">
        <v>96</v>
      </c>
      <c r="K1900" t="s">
        <v>101</v>
      </c>
      <c r="M1900">
        <v>0</v>
      </c>
      <c r="N1900" t="s">
        <v>126</v>
      </c>
      <c r="O1900" t="s">
        <v>126</v>
      </c>
      <c r="P1900" t="s">
        <v>188</v>
      </c>
      <c r="Q1900" s="1" t="s">
        <v>2281</v>
      </c>
      <c r="R1900" s="1" t="s">
        <v>2282</v>
      </c>
      <c r="S1900" s="1" t="s">
        <v>126</v>
      </c>
      <c r="X1900" t="s">
        <v>1185</v>
      </c>
      <c r="Y1900" t="s">
        <v>2279</v>
      </c>
      <c r="Z1900" t="s">
        <v>2280</v>
      </c>
      <c r="AA1900" t="s">
        <v>2358</v>
      </c>
      <c r="AB1900" t="s">
        <v>2459</v>
      </c>
      <c r="AC1900" t="s">
        <v>152</v>
      </c>
      <c r="AD1900" t="s">
        <v>2278</v>
      </c>
      <c r="AF1900" t="s">
        <v>49</v>
      </c>
      <c r="AI1900" t="s">
        <v>49</v>
      </c>
      <c r="AM1900" t="s">
        <v>1152</v>
      </c>
      <c r="AN1900" t="s">
        <v>165</v>
      </c>
      <c r="AP1900" t="s">
        <v>49</v>
      </c>
    </row>
    <row r="1901" spans="1:43" x14ac:dyDescent="0.2">
      <c r="A1901" t="s">
        <v>1182</v>
      </c>
      <c r="B1901" t="s">
        <v>1183</v>
      </c>
      <c r="C1901">
        <v>2017</v>
      </c>
      <c r="D1901" t="s">
        <v>811</v>
      </c>
      <c r="F1901" t="s">
        <v>81</v>
      </c>
      <c r="G1901" t="s">
        <v>86</v>
      </c>
      <c r="H1901" t="s">
        <v>96</v>
      </c>
      <c r="K1901" t="s">
        <v>101</v>
      </c>
      <c r="M1901">
        <v>0</v>
      </c>
      <c r="N1901" t="s">
        <v>126</v>
      </c>
      <c r="O1901" t="s">
        <v>126</v>
      </c>
      <c r="P1901" t="s">
        <v>188</v>
      </c>
      <c r="Q1901" s="1" t="s">
        <v>2281</v>
      </c>
      <c r="R1901" s="1" t="s">
        <v>2282</v>
      </c>
      <c r="S1901" s="1" t="s">
        <v>126</v>
      </c>
      <c r="X1901" t="s">
        <v>1185</v>
      </c>
      <c r="Y1901" t="s">
        <v>2279</v>
      </c>
      <c r="Z1901" t="s">
        <v>2280</v>
      </c>
      <c r="AA1901" t="s">
        <v>2358</v>
      </c>
      <c r="AB1901" t="s">
        <v>2459</v>
      </c>
      <c r="AC1901" t="s">
        <v>152</v>
      </c>
      <c r="AD1901" t="s">
        <v>2278</v>
      </c>
      <c r="AF1901" t="s">
        <v>49</v>
      </c>
      <c r="AH1901" s="4" t="s">
        <v>49</v>
      </c>
      <c r="AJ1901" t="s">
        <v>49</v>
      </c>
      <c r="AM1901" t="s">
        <v>1186</v>
      </c>
      <c r="AN1901" t="s">
        <v>154</v>
      </c>
      <c r="AP1901" t="s">
        <v>51</v>
      </c>
    </row>
    <row r="1902" spans="1:43" x14ac:dyDescent="0.2">
      <c r="A1902" t="s">
        <v>1182</v>
      </c>
      <c r="B1902" t="s">
        <v>1183</v>
      </c>
      <c r="C1902">
        <v>2017</v>
      </c>
      <c r="D1902" t="s">
        <v>811</v>
      </c>
      <c r="F1902" t="s">
        <v>81</v>
      </c>
      <c r="G1902" t="s">
        <v>86</v>
      </c>
      <c r="H1902" t="s">
        <v>96</v>
      </c>
      <c r="K1902" t="s">
        <v>101</v>
      </c>
      <c r="M1902">
        <v>0</v>
      </c>
      <c r="N1902" t="s">
        <v>126</v>
      </c>
      <c r="O1902" t="s">
        <v>126</v>
      </c>
      <c r="P1902" t="s">
        <v>188</v>
      </c>
      <c r="Q1902" s="1" t="s">
        <v>2281</v>
      </c>
      <c r="R1902" s="1" t="s">
        <v>2282</v>
      </c>
      <c r="S1902" s="1" t="s">
        <v>126</v>
      </c>
      <c r="X1902" t="s">
        <v>1185</v>
      </c>
      <c r="Y1902" t="s">
        <v>2279</v>
      </c>
      <c r="Z1902" t="s">
        <v>2280</v>
      </c>
      <c r="AA1902" t="s">
        <v>2358</v>
      </c>
      <c r="AB1902" t="s">
        <v>2459</v>
      </c>
      <c r="AC1902" t="s">
        <v>152</v>
      </c>
      <c r="AD1902" t="s">
        <v>2278</v>
      </c>
      <c r="AF1902" t="s">
        <v>49</v>
      </c>
      <c r="AH1902" s="4" t="s">
        <v>49</v>
      </c>
      <c r="AJ1902" t="s">
        <v>49</v>
      </c>
      <c r="AM1902" t="s">
        <v>1186</v>
      </c>
      <c r="AN1902" t="s">
        <v>165</v>
      </c>
      <c r="AP1902" t="s">
        <v>51</v>
      </c>
    </row>
    <row r="1903" spans="1:43" x14ac:dyDescent="0.2">
      <c r="A1903" t="s">
        <v>1187</v>
      </c>
      <c r="B1903" t="s">
        <v>1188</v>
      </c>
      <c r="C1903">
        <v>2017</v>
      </c>
      <c r="D1903" t="s">
        <v>44</v>
      </c>
      <c r="F1903" t="s">
        <v>931</v>
      </c>
      <c r="G1903" t="s">
        <v>88</v>
      </c>
      <c r="H1903" t="s">
        <v>350</v>
      </c>
      <c r="I1903">
        <v>2015</v>
      </c>
      <c r="J1903">
        <v>0.17</v>
      </c>
      <c r="K1903" t="s">
        <v>101</v>
      </c>
      <c r="L1903">
        <v>28</v>
      </c>
      <c r="N1903" t="s">
        <v>128</v>
      </c>
      <c r="O1903" t="s">
        <v>1190</v>
      </c>
      <c r="P1903" t="s">
        <v>672</v>
      </c>
      <c r="Q1903" s="1" t="s">
        <v>2276</v>
      </c>
      <c r="R1903" s="1" t="s">
        <v>669</v>
      </c>
      <c r="S1903" s="1" t="s">
        <v>168</v>
      </c>
      <c r="T1903" t="s">
        <v>396</v>
      </c>
      <c r="U1903" t="s">
        <v>2398</v>
      </c>
      <c r="X1903" t="s">
        <v>161</v>
      </c>
      <c r="Y1903" t="s">
        <v>2272</v>
      </c>
      <c r="Z1903" t="s">
        <v>2272</v>
      </c>
      <c r="AA1903" t="s">
        <v>2272</v>
      </c>
      <c r="AB1903" t="s">
        <v>2272</v>
      </c>
      <c r="AC1903" t="s">
        <v>162</v>
      </c>
      <c r="AD1903" t="s">
        <v>2272</v>
      </c>
      <c r="AH1903" s="4" t="s">
        <v>49</v>
      </c>
      <c r="AJ1903" t="s">
        <v>49</v>
      </c>
      <c r="AM1903" t="s">
        <v>1192</v>
      </c>
      <c r="AN1903" t="s">
        <v>166</v>
      </c>
      <c r="AQ1903" s="5">
        <v>1</v>
      </c>
    </row>
    <row r="1904" spans="1:43" x14ac:dyDescent="0.2">
      <c r="A1904" t="s">
        <v>1187</v>
      </c>
      <c r="B1904" t="s">
        <v>1188</v>
      </c>
      <c r="C1904">
        <v>2017</v>
      </c>
      <c r="D1904" t="s">
        <v>44</v>
      </c>
      <c r="F1904" t="s">
        <v>931</v>
      </c>
      <c r="G1904" t="s">
        <v>88</v>
      </c>
      <c r="H1904" t="s">
        <v>350</v>
      </c>
      <c r="I1904">
        <v>2015</v>
      </c>
      <c r="J1904">
        <v>0.17</v>
      </c>
      <c r="K1904" t="s">
        <v>101</v>
      </c>
      <c r="L1904">
        <v>28</v>
      </c>
      <c r="N1904" t="s">
        <v>121</v>
      </c>
      <c r="O1904" t="s">
        <v>121</v>
      </c>
      <c r="P1904" t="s">
        <v>1191</v>
      </c>
      <c r="Q1904" s="1" t="s">
        <v>2292</v>
      </c>
      <c r="R1904" s="1" t="s">
        <v>264</v>
      </c>
      <c r="S1904" s="1" t="s">
        <v>264</v>
      </c>
      <c r="T1904" t="s">
        <v>396</v>
      </c>
      <c r="U1904" t="s">
        <v>2399</v>
      </c>
      <c r="X1904" t="s">
        <v>161</v>
      </c>
      <c r="Y1904" t="s">
        <v>2272</v>
      </c>
      <c r="Z1904" t="s">
        <v>2272</v>
      </c>
      <c r="AA1904" t="s">
        <v>2272</v>
      </c>
      <c r="AB1904" t="s">
        <v>2272</v>
      </c>
      <c r="AC1904" t="s">
        <v>162</v>
      </c>
      <c r="AD1904" t="s">
        <v>2272</v>
      </c>
      <c r="AH1904" s="4" t="s">
        <v>49</v>
      </c>
      <c r="AJ1904" t="s">
        <v>49</v>
      </c>
      <c r="AM1904" t="s">
        <v>1192</v>
      </c>
      <c r="AN1904" t="s">
        <v>166</v>
      </c>
      <c r="AQ1904" s="5">
        <v>3</v>
      </c>
    </row>
    <row r="1905" spans="1:43" x14ac:dyDescent="0.2">
      <c r="A1905" t="s">
        <v>1187</v>
      </c>
      <c r="B1905" t="s">
        <v>1188</v>
      </c>
      <c r="C1905">
        <v>2017</v>
      </c>
      <c r="D1905" t="s">
        <v>44</v>
      </c>
      <c r="F1905" t="s">
        <v>931</v>
      </c>
      <c r="G1905" t="s">
        <v>88</v>
      </c>
      <c r="H1905" t="s">
        <v>350</v>
      </c>
      <c r="I1905">
        <v>2015</v>
      </c>
      <c r="J1905">
        <v>0.17</v>
      </c>
      <c r="K1905" t="s">
        <v>101</v>
      </c>
      <c r="L1905">
        <v>28</v>
      </c>
      <c r="N1905" t="s">
        <v>122</v>
      </c>
      <c r="O1905" t="s">
        <v>1195</v>
      </c>
      <c r="Q1905" s="1" t="s">
        <v>2351</v>
      </c>
      <c r="R1905" s="1" t="s">
        <v>2351</v>
      </c>
      <c r="S1905" s="1" t="s">
        <v>2351</v>
      </c>
      <c r="T1905" t="s">
        <v>396</v>
      </c>
      <c r="U1905" t="s">
        <v>2363</v>
      </c>
      <c r="X1905" t="s">
        <v>161</v>
      </c>
      <c r="Y1905" t="s">
        <v>2272</v>
      </c>
      <c r="Z1905" t="s">
        <v>2272</v>
      </c>
      <c r="AA1905" t="s">
        <v>2272</v>
      </c>
      <c r="AB1905" t="s">
        <v>2272</v>
      </c>
      <c r="AC1905" t="s">
        <v>162</v>
      </c>
      <c r="AD1905" t="s">
        <v>2272</v>
      </c>
      <c r="AH1905" s="4" t="s">
        <v>49</v>
      </c>
      <c r="AJ1905" t="s">
        <v>49</v>
      </c>
      <c r="AM1905" t="s">
        <v>1192</v>
      </c>
      <c r="AN1905" t="s">
        <v>166</v>
      </c>
      <c r="AQ1905" s="5">
        <v>2</v>
      </c>
    </row>
    <row r="1906" spans="1:43" x14ac:dyDescent="0.2">
      <c r="A1906" t="s">
        <v>1187</v>
      </c>
      <c r="B1906" t="s">
        <v>1188</v>
      </c>
      <c r="C1906">
        <v>2017</v>
      </c>
      <c r="D1906" t="s">
        <v>44</v>
      </c>
      <c r="F1906" t="s">
        <v>931</v>
      </c>
      <c r="G1906" t="s">
        <v>88</v>
      </c>
      <c r="H1906" t="s">
        <v>350</v>
      </c>
      <c r="I1906">
        <v>2015</v>
      </c>
      <c r="J1906">
        <v>0.17</v>
      </c>
      <c r="K1906" t="s">
        <v>101</v>
      </c>
      <c r="L1906">
        <v>28</v>
      </c>
      <c r="N1906" t="s">
        <v>128</v>
      </c>
      <c r="O1906" t="s">
        <v>1190</v>
      </c>
      <c r="P1906" t="s">
        <v>672</v>
      </c>
      <c r="Q1906" s="1" t="s">
        <v>2276</v>
      </c>
      <c r="R1906" s="1" t="s">
        <v>669</v>
      </c>
      <c r="S1906" s="1" t="s">
        <v>168</v>
      </c>
      <c r="T1906" t="s">
        <v>396</v>
      </c>
      <c r="U1906" t="s">
        <v>2398</v>
      </c>
      <c r="X1906" t="s">
        <v>161</v>
      </c>
      <c r="Y1906" t="s">
        <v>2272</v>
      </c>
      <c r="Z1906" t="s">
        <v>2272</v>
      </c>
      <c r="AA1906" t="s">
        <v>2272</v>
      </c>
      <c r="AB1906" t="s">
        <v>2272</v>
      </c>
      <c r="AC1906" t="s">
        <v>162</v>
      </c>
      <c r="AD1906" t="s">
        <v>2272</v>
      </c>
      <c r="AH1906" s="4" t="s">
        <v>49</v>
      </c>
      <c r="AJ1906" t="s">
        <v>49</v>
      </c>
      <c r="AM1906" t="s">
        <v>1193</v>
      </c>
      <c r="AN1906" t="s">
        <v>166</v>
      </c>
      <c r="AQ1906" s="5">
        <v>2</v>
      </c>
    </row>
    <row r="1907" spans="1:43" x14ac:dyDescent="0.2">
      <c r="A1907" t="s">
        <v>1187</v>
      </c>
      <c r="B1907" t="s">
        <v>1188</v>
      </c>
      <c r="C1907">
        <v>2017</v>
      </c>
      <c r="D1907" t="s">
        <v>44</v>
      </c>
      <c r="F1907" t="s">
        <v>931</v>
      </c>
      <c r="G1907" t="s">
        <v>88</v>
      </c>
      <c r="H1907" t="s">
        <v>350</v>
      </c>
      <c r="I1907">
        <v>2015</v>
      </c>
      <c r="J1907">
        <v>0.17</v>
      </c>
      <c r="K1907" t="s">
        <v>101</v>
      </c>
      <c r="L1907">
        <v>28</v>
      </c>
      <c r="N1907" t="s">
        <v>121</v>
      </c>
      <c r="O1907" t="s">
        <v>121</v>
      </c>
      <c r="P1907" t="s">
        <v>1191</v>
      </c>
      <c r="Q1907" s="1" t="s">
        <v>2292</v>
      </c>
      <c r="R1907" s="1" t="s">
        <v>264</v>
      </c>
      <c r="S1907" s="1" t="s">
        <v>264</v>
      </c>
      <c r="T1907" t="s">
        <v>396</v>
      </c>
      <c r="U1907" t="s">
        <v>2399</v>
      </c>
      <c r="X1907" t="s">
        <v>161</v>
      </c>
      <c r="Y1907" t="s">
        <v>2272</v>
      </c>
      <c r="Z1907" t="s">
        <v>2272</v>
      </c>
      <c r="AA1907" t="s">
        <v>2272</v>
      </c>
      <c r="AB1907" t="s">
        <v>2272</v>
      </c>
      <c r="AC1907" t="s">
        <v>162</v>
      </c>
      <c r="AD1907" t="s">
        <v>2272</v>
      </c>
      <c r="AH1907" s="4" t="s">
        <v>49</v>
      </c>
      <c r="AJ1907" t="s">
        <v>49</v>
      </c>
      <c r="AM1907" t="s">
        <v>1193</v>
      </c>
      <c r="AN1907" t="s">
        <v>166</v>
      </c>
      <c r="AQ1907" s="5">
        <v>2</v>
      </c>
    </row>
    <row r="1908" spans="1:43" x14ac:dyDescent="0.2">
      <c r="A1908" t="s">
        <v>1187</v>
      </c>
      <c r="B1908" t="s">
        <v>1188</v>
      </c>
      <c r="C1908">
        <v>2017</v>
      </c>
      <c r="D1908" t="s">
        <v>44</v>
      </c>
      <c r="F1908" t="s">
        <v>931</v>
      </c>
      <c r="G1908" t="s">
        <v>88</v>
      </c>
      <c r="H1908" t="s">
        <v>350</v>
      </c>
      <c r="I1908">
        <v>2015</v>
      </c>
      <c r="J1908">
        <v>0.17</v>
      </c>
      <c r="K1908" t="s">
        <v>101</v>
      </c>
      <c r="L1908">
        <v>28</v>
      </c>
      <c r="N1908" t="s">
        <v>122</v>
      </c>
      <c r="O1908" t="s">
        <v>1195</v>
      </c>
      <c r="Q1908" s="1" t="s">
        <v>2351</v>
      </c>
      <c r="R1908" s="1" t="s">
        <v>2351</v>
      </c>
      <c r="S1908" s="1" t="s">
        <v>2351</v>
      </c>
      <c r="T1908" t="s">
        <v>396</v>
      </c>
      <c r="U1908" t="s">
        <v>2363</v>
      </c>
      <c r="X1908" t="s">
        <v>161</v>
      </c>
      <c r="Y1908" t="s">
        <v>2272</v>
      </c>
      <c r="Z1908" t="s">
        <v>2272</v>
      </c>
      <c r="AA1908" t="s">
        <v>2272</v>
      </c>
      <c r="AB1908" t="s">
        <v>2272</v>
      </c>
      <c r="AC1908" t="s">
        <v>162</v>
      </c>
      <c r="AD1908" t="s">
        <v>2272</v>
      </c>
      <c r="AH1908" s="4" t="s">
        <v>49</v>
      </c>
      <c r="AJ1908" t="s">
        <v>49</v>
      </c>
      <c r="AM1908" t="s">
        <v>1193</v>
      </c>
      <c r="AN1908" t="s">
        <v>166</v>
      </c>
      <c r="AQ1908" s="5">
        <v>1</v>
      </c>
    </row>
    <row r="1909" spans="1:43" x14ac:dyDescent="0.2">
      <c r="A1909" t="s">
        <v>1187</v>
      </c>
      <c r="B1909" t="s">
        <v>1188</v>
      </c>
      <c r="C1909">
        <v>2017</v>
      </c>
      <c r="D1909" t="s">
        <v>44</v>
      </c>
      <c r="F1909" t="s">
        <v>931</v>
      </c>
      <c r="G1909" t="s">
        <v>88</v>
      </c>
      <c r="H1909" t="s">
        <v>350</v>
      </c>
      <c r="I1909">
        <v>2015</v>
      </c>
      <c r="J1909">
        <v>0.17</v>
      </c>
      <c r="K1909" t="s">
        <v>101</v>
      </c>
      <c r="L1909">
        <v>28</v>
      </c>
      <c r="N1909" t="s">
        <v>128</v>
      </c>
      <c r="O1909" t="s">
        <v>1190</v>
      </c>
      <c r="P1909" t="s">
        <v>672</v>
      </c>
      <c r="Q1909" s="1" t="s">
        <v>2276</v>
      </c>
      <c r="R1909" s="1" t="s">
        <v>669</v>
      </c>
      <c r="S1909" s="1" t="s">
        <v>168</v>
      </c>
      <c r="T1909" t="s">
        <v>396</v>
      </c>
      <c r="U1909" t="s">
        <v>2398</v>
      </c>
      <c r="X1909" t="s">
        <v>161</v>
      </c>
      <c r="Y1909" t="s">
        <v>2272</v>
      </c>
      <c r="Z1909" t="s">
        <v>2272</v>
      </c>
      <c r="AA1909" t="s">
        <v>2272</v>
      </c>
      <c r="AB1909" t="s">
        <v>2272</v>
      </c>
      <c r="AC1909" t="s">
        <v>162</v>
      </c>
      <c r="AD1909" t="s">
        <v>2272</v>
      </c>
      <c r="AH1909" s="4" t="s">
        <v>49</v>
      </c>
      <c r="AJ1909" t="s">
        <v>49</v>
      </c>
      <c r="AM1909" t="s">
        <v>1194</v>
      </c>
      <c r="AN1909" t="s">
        <v>166</v>
      </c>
      <c r="AQ1909" s="5">
        <v>2</v>
      </c>
    </row>
    <row r="1910" spans="1:43" x14ac:dyDescent="0.2">
      <c r="A1910" t="s">
        <v>1187</v>
      </c>
      <c r="B1910" t="s">
        <v>1188</v>
      </c>
      <c r="C1910">
        <v>2017</v>
      </c>
      <c r="D1910" t="s">
        <v>44</v>
      </c>
      <c r="F1910" t="s">
        <v>931</v>
      </c>
      <c r="G1910" t="s">
        <v>88</v>
      </c>
      <c r="H1910" t="s">
        <v>350</v>
      </c>
      <c r="I1910">
        <v>2015</v>
      </c>
      <c r="J1910">
        <v>0.17</v>
      </c>
      <c r="K1910" t="s">
        <v>101</v>
      </c>
      <c r="L1910">
        <v>28</v>
      </c>
      <c r="N1910" t="s">
        <v>121</v>
      </c>
      <c r="O1910" t="s">
        <v>121</v>
      </c>
      <c r="P1910" t="s">
        <v>1191</v>
      </c>
      <c r="Q1910" s="1" t="s">
        <v>2292</v>
      </c>
      <c r="R1910" s="1" t="s">
        <v>264</v>
      </c>
      <c r="S1910" s="1" t="s">
        <v>264</v>
      </c>
      <c r="T1910" t="s">
        <v>396</v>
      </c>
      <c r="U1910" t="s">
        <v>2399</v>
      </c>
      <c r="X1910" t="s">
        <v>161</v>
      </c>
      <c r="Y1910" t="s">
        <v>2272</v>
      </c>
      <c r="Z1910" t="s">
        <v>2272</v>
      </c>
      <c r="AA1910" t="s">
        <v>2272</v>
      </c>
      <c r="AB1910" t="s">
        <v>2272</v>
      </c>
      <c r="AC1910" t="s">
        <v>162</v>
      </c>
      <c r="AD1910" t="s">
        <v>2272</v>
      </c>
      <c r="AH1910" s="4" t="s">
        <v>49</v>
      </c>
      <c r="AJ1910" t="s">
        <v>49</v>
      </c>
      <c r="AM1910" t="s">
        <v>1194</v>
      </c>
      <c r="AN1910" t="s">
        <v>166</v>
      </c>
      <c r="AQ1910" s="5">
        <v>3</v>
      </c>
    </row>
    <row r="1911" spans="1:43" x14ac:dyDescent="0.2">
      <c r="A1911" t="s">
        <v>1187</v>
      </c>
      <c r="B1911" t="s">
        <v>1188</v>
      </c>
      <c r="C1911">
        <v>2017</v>
      </c>
      <c r="D1911" t="s">
        <v>44</v>
      </c>
      <c r="F1911" t="s">
        <v>931</v>
      </c>
      <c r="G1911" t="s">
        <v>88</v>
      </c>
      <c r="H1911" t="s">
        <v>350</v>
      </c>
      <c r="I1911">
        <v>2015</v>
      </c>
      <c r="J1911">
        <v>0.17</v>
      </c>
      <c r="K1911" t="s">
        <v>101</v>
      </c>
      <c r="L1911">
        <v>28</v>
      </c>
      <c r="N1911" t="s">
        <v>122</v>
      </c>
      <c r="O1911" t="s">
        <v>1195</v>
      </c>
      <c r="Q1911" s="1" t="s">
        <v>2351</v>
      </c>
      <c r="R1911" s="1" t="s">
        <v>2351</v>
      </c>
      <c r="S1911" s="1" t="s">
        <v>2351</v>
      </c>
      <c r="T1911" t="s">
        <v>396</v>
      </c>
      <c r="U1911" t="s">
        <v>2363</v>
      </c>
      <c r="X1911" t="s">
        <v>161</v>
      </c>
      <c r="Y1911" t="s">
        <v>2272</v>
      </c>
      <c r="Z1911" t="s">
        <v>2272</v>
      </c>
      <c r="AA1911" t="s">
        <v>2272</v>
      </c>
      <c r="AB1911" t="s">
        <v>2272</v>
      </c>
      <c r="AC1911" t="s">
        <v>162</v>
      </c>
      <c r="AD1911" t="s">
        <v>2272</v>
      </c>
      <c r="AH1911" s="4" t="s">
        <v>49</v>
      </c>
      <c r="AJ1911" t="s">
        <v>49</v>
      </c>
      <c r="AM1911" t="s">
        <v>1194</v>
      </c>
      <c r="AN1911" t="s">
        <v>166</v>
      </c>
      <c r="AQ1911" s="5">
        <v>1</v>
      </c>
    </row>
    <row r="1912" spans="1:43" x14ac:dyDescent="0.2">
      <c r="A1912" t="s">
        <v>1187</v>
      </c>
      <c r="B1912" t="s">
        <v>1188</v>
      </c>
      <c r="C1912">
        <v>2017</v>
      </c>
      <c r="D1912" t="s">
        <v>44</v>
      </c>
      <c r="F1912" t="s">
        <v>931</v>
      </c>
      <c r="G1912" t="s">
        <v>88</v>
      </c>
      <c r="H1912" t="s">
        <v>350</v>
      </c>
      <c r="I1912">
        <v>2015</v>
      </c>
      <c r="J1912">
        <v>0.17</v>
      </c>
      <c r="K1912" t="s">
        <v>101</v>
      </c>
      <c r="L1912">
        <v>28</v>
      </c>
      <c r="N1912" t="s">
        <v>128</v>
      </c>
      <c r="O1912" t="s">
        <v>1190</v>
      </c>
      <c r="P1912" t="s">
        <v>672</v>
      </c>
      <c r="Q1912" s="1" t="s">
        <v>2276</v>
      </c>
      <c r="R1912" s="1" t="s">
        <v>669</v>
      </c>
      <c r="S1912" s="1" t="s">
        <v>168</v>
      </c>
      <c r="T1912" t="s">
        <v>396</v>
      </c>
      <c r="U1912" t="s">
        <v>2398</v>
      </c>
      <c r="X1912" t="s">
        <v>161</v>
      </c>
      <c r="Y1912" t="s">
        <v>2272</v>
      </c>
      <c r="Z1912" t="s">
        <v>2272</v>
      </c>
      <c r="AA1912" t="s">
        <v>2272</v>
      </c>
      <c r="AB1912" t="s">
        <v>2272</v>
      </c>
      <c r="AC1912" t="s">
        <v>162</v>
      </c>
      <c r="AD1912" t="s">
        <v>2272</v>
      </c>
      <c r="AH1912" s="4" t="s">
        <v>49</v>
      </c>
      <c r="AJ1912" t="s">
        <v>49</v>
      </c>
      <c r="AM1912" t="s">
        <v>1192</v>
      </c>
      <c r="AN1912" t="s">
        <v>165</v>
      </c>
      <c r="AP1912" t="s">
        <v>49</v>
      </c>
    </row>
    <row r="1913" spans="1:43" x14ac:dyDescent="0.2">
      <c r="A1913" t="s">
        <v>1187</v>
      </c>
      <c r="B1913" t="s">
        <v>1188</v>
      </c>
      <c r="C1913">
        <v>2017</v>
      </c>
      <c r="D1913" t="s">
        <v>44</v>
      </c>
      <c r="F1913" t="s">
        <v>931</v>
      </c>
      <c r="G1913" t="s">
        <v>88</v>
      </c>
      <c r="H1913" t="s">
        <v>350</v>
      </c>
      <c r="I1913">
        <v>2015</v>
      </c>
      <c r="J1913">
        <v>0.17</v>
      </c>
      <c r="K1913" t="s">
        <v>101</v>
      </c>
      <c r="L1913">
        <v>28</v>
      </c>
      <c r="N1913" t="s">
        <v>121</v>
      </c>
      <c r="O1913" t="s">
        <v>121</v>
      </c>
      <c r="P1913" t="s">
        <v>1191</v>
      </c>
      <c r="Q1913" s="1" t="s">
        <v>2292</v>
      </c>
      <c r="R1913" s="1" t="s">
        <v>264</v>
      </c>
      <c r="S1913" s="1" t="s">
        <v>264</v>
      </c>
      <c r="T1913" t="s">
        <v>396</v>
      </c>
      <c r="U1913" t="s">
        <v>2399</v>
      </c>
      <c r="X1913" t="s">
        <v>161</v>
      </c>
      <c r="Y1913" t="s">
        <v>2272</v>
      </c>
      <c r="Z1913" t="s">
        <v>2272</v>
      </c>
      <c r="AA1913" t="s">
        <v>2272</v>
      </c>
      <c r="AB1913" t="s">
        <v>2272</v>
      </c>
      <c r="AC1913" t="s">
        <v>162</v>
      </c>
      <c r="AD1913" t="s">
        <v>2272</v>
      </c>
      <c r="AH1913" s="4" t="s">
        <v>49</v>
      </c>
      <c r="AJ1913" t="s">
        <v>49</v>
      </c>
      <c r="AM1913" t="s">
        <v>1192</v>
      </c>
      <c r="AN1913" t="s">
        <v>165</v>
      </c>
      <c r="AP1913" t="s">
        <v>49</v>
      </c>
    </row>
    <row r="1914" spans="1:43" x14ac:dyDescent="0.2">
      <c r="A1914" t="s">
        <v>1187</v>
      </c>
      <c r="B1914" t="s">
        <v>1188</v>
      </c>
      <c r="C1914">
        <v>2017</v>
      </c>
      <c r="D1914" t="s">
        <v>44</v>
      </c>
      <c r="F1914" t="s">
        <v>931</v>
      </c>
      <c r="G1914" t="s">
        <v>88</v>
      </c>
      <c r="H1914" t="s">
        <v>350</v>
      </c>
      <c r="I1914">
        <v>2015</v>
      </c>
      <c r="J1914">
        <v>0.17</v>
      </c>
      <c r="K1914" t="s">
        <v>101</v>
      </c>
      <c r="L1914">
        <v>28</v>
      </c>
      <c r="N1914" t="s">
        <v>122</v>
      </c>
      <c r="O1914" t="s">
        <v>1195</v>
      </c>
      <c r="Q1914" s="1" t="s">
        <v>2351</v>
      </c>
      <c r="R1914" s="1" t="s">
        <v>2351</v>
      </c>
      <c r="S1914" s="1" t="s">
        <v>2351</v>
      </c>
      <c r="T1914" t="s">
        <v>396</v>
      </c>
      <c r="U1914" t="s">
        <v>2363</v>
      </c>
      <c r="X1914" t="s">
        <v>161</v>
      </c>
      <c r="Y1914" t="s">
        <v>2272</v>
      </c>
      <c r="Z1914" t="s">
        <v>2272</v>
      </c>
      <c r="AA1914" t="s">
        <v>2272</v>
      </c>
      <c r="AB1914" t="s">
        <v>2272</v>
      </c>
      <c r="AC1914" t="s">
        <v>162</v>
      </c>
      <c r="AD1914" t="s">
        <v>2272</v>
      </c>
      <c r="AH1914" s="4" t="s">
        <v>49</v>
      </c>
      <c r="AJ1914" t="s">
        <v>49</v>
      </c>
      <c r="AM1914" t="s">
        <v>1192</v>
      </c>
      <c r="AN1914" t="s">
        <v>165</v>
      </c>
      <c r="AP1914" t="s">
        <v>49</v>
      </c>
    </row>
    <row r="1915" spans="1:43" x14ac:dyDescent="0.2">
      <c r="A1915" t="s">
        <v>1187</v>
      </c>
      <c r="B1915" t="s">
        <v>1188</v>
      </c>
      <c r="C1915">
        <v>2017</v>
      </c>
      <c r="D1915" t="s">
        <v>44</v>
      </c>
      <c r="F1915" t="s">
        <v>931</v>
      </c>
      <c r="G1915" t="s">
        <v>88</v>
      </c>
      <c r="H1915" t="s">
        <v>350</v>
      </c>
      <c r="I1915">
        <v>2015</v>
      </c>
      <c r="J1915">
        <v>0.17</v>
      </c>
      <c r="K1915" t="s">
        <v>101</v>
      </c>
      <c r="L1915">
        <v>28</v>
      </c>
      <c r="N1915" t="s">
        <v>128</v>
      </c>
      <c r="O1915" t="s">
        <v>1190</v>
      </c>
      <c r="P1915" t="s">
        <v>672</v>
      </c>
      <c r="Q1915" s="1" t="s">
        <v>2276</v>
      </c>
      <c r="R1915" s="1" t="s">
        <v>669</v>
      </c>
      <c r="S1915" s="1" t="s">
        <v>168</v>
      </c>
      <c r="T1915" t="s">
        <v>396</v>
      </c>
      <c r="U1915" t="s">
        <v>2398</v>
      </c>
      <c r="X1915" t="s">
        <v>161</v>
      </c>
      <c r="Y1915" t="s">
        <v>2272</v>
      </c>
      <c r="Z1915" t="s">
        <v>2272</v>
      </c>
      <c r="AA1915" t="s">
        <v>2272</v>
      </c>
      <c r="AB1915" t="s">
        <v>2272</v>
      </c>
      <c r="AC1915" t="s">
        <v>162</v>
      </c>
      <c r="AD1915" t="s">
        <v>2272</v>
      </c>
      <c r="AH1915" s="4" t="s">
        <v>49</v>
      </c>
      <c r="AJ1915" t="s">
        <v>49</v>
      </c>
      <c r="AM1915" t="s">
        <v>1193</v>
      </c>
      <c r="AN1915" t="s">
        <v>165</v>
      </c>
      <c r="AP1915" t="s">
        <v>49</v>
      </c>
    </row>
    <row r="1916" spans="1:43" x14ac:dyDescent="0.2">
      <c r="A1916" t="s">
        <v>1187</v>
      </c>
      <c r="B1916" t="s">
        <v>1188</v>
      </c>
      <c r="C1916">
        <v>2017</v>
      </c>
      <c r="D1916" t="s">
        <v>44</v>
      </c>
      <c r="F1916" t="s">
        <v>931</v>
      </c>
      <c r="G1916" t="s">
        <v>88</v>
      </c>
      <c r="H1916" t="s">
        <v>350</v>
      </c>
      <c r="I1916">
        <v>2015</v>
      </c>
      <c r="J1916">
        <v>0.17</v>
      </c>
      <c r="K1916" t="s">
        <v>101</v>
      </c>
      <c r="L1916">
        <v>28</v>
      </c>
      <c r="N1916" t="s">
        <v>121</v>
      </c>
      <c r="O1916" t="s">
        <v>121</v>
      </c>
      <c r="P1916" t="s">
        <v>1191</v>
      </c>
      <c r="Q1916" s="1" t="s">
        <v>2292</v>
      </c>
      <c r="R1916" s="1" t="s">
        <v>264</v>
      </c>
      <c r="S1916" s="1" t="s">
        <v>264</v>
      </c>
      <c r="T1916" t="s">
        <v>396</v>
      </c>
      <c r="U1916" t="s">
        <v>2399</v>
      </c>
      <c r="X1916" t="s">
        <v>161</v>
      </c>
      <c r="Y1916" t="s">
        <v>2272</v>
      </c>
      <c r="Z1916" t="s">
        <v>2272</v>
      </c>
      <c r="AA1916" t="s">
        <v>2272</v>
      </c>
      <c r="AB1916" t="s">
        <v>2272</v>
      </c>
      <c r="AC1916" t="s">
        <v>162</v>
      </c>
      <c r="AD1916" t="s">
        <v>2272</v>
      </c>
      <c r="AH1916" s="4" t="s">
        <v>49</v>
      </c>
      <c r="AJ1916" t="s">
        <v>49</v>
      </c>
      <c r="AM1916" t="s">
        <v>1193</v>
      </c>
      <c r="AN1916" t="s">
        <v>165</v>
      </c>
      <c r="AP1916" t="s">
        <v>49</v>
      </c>
    </row>
    <row r="1917" spans="1:43" x14ac:dyDescent="0.2">
      <c r="A1917" t="s">
        <v>1187</v>
      </c>
      <c r="B1917" t="s">
        <v>1188</v>
      </c>
      <c r="C1917">
        <v>2017</v>
      </c>
      <c r="D1917" t="s">
        <v>44</v>
      </c>
      <c r="F1917" t="s">
        <v>931</v>
      </c>
      <c r="G1917" t="s">
        <v>88</v>
      </c>
      <c r="H1917" t="s">
        <v>350</v>
      </c>
      <c r="I1917">
        <v>2015</v>
      </c>
      <c r="J1917">
        <v>0.17</v>
      </c>
      <c r="K1917" t="s">
        <v>101</v>
      </c>
      <c r="L1917">
        <v>28</v>
      </c>
      <c r="N1917" t="s">
        <v>122</v>
      </c>
      <c r="O1917" t="s">
        <v>1195</v>
      </c>
      <c r="Q1917" s="1" t="s">
        <v>2351</v>
      </c>
      <c r="R1917" s="1" t="s">
        <v>2351</v>
      </c>
      <c r="S1917" s="1" t="s">
        <v>2351</v>
      </c>
      <c r="T1917" t="s">
        <v>396</v>
      </c>
      <c r="U1917" t="s">
        <v>2363</v>
      </c>
      <c r="X1917" t="s">
        <v>161</v>
      </c>
      <c r="Y1917" t="s">
        <v>2272</v>
      </c>
      <c r="Z1917" t="s">
        <v>2272</v>
      </c>
      <c r="AA1917" t="s">
        <v>2272</v>
      </c>
      <c r="AB1917" t="s">
        <v>2272</v>
      </c>
      <c r="AC1917" t="s">
        <v>162</v>
      </c>
      <c r="AD1917" t="s">
        <v>2272</v>
      </c>
      <c r="AH1917" s="4" t="s">
        <v>49</v>
      </c>
      <c r="AJ1917" t="s">
        <v>49</v>
      </c>
      <c r="AM1917" t="s">
        <v>1193</v>
      </c>
      <c r="AN1917" t="s">
        <v>165</v>
      </c>
      <c r="AP1917" t="s">
        <v>49</v>
      </c>
    </row>
    <row r="1918" spans="1:43" x14ac:dyDescent="0.2">
      <c r="A1918" t="s">
        <v>1187</v>
      </c>
      <c r="B1918" t="s">
        <v>1188</v>
      </c>
      <c r="C1918">
        <v>2017</v>
      </c>
      <c r="D1918" t="s">
        <v>44</v>
      </c>
      <c r="F1918" t="s">
        <v>931</v>
      </c>
      <c r="G1918" t="s">
        <v>88</v>
      </c>
      <c r="H1918" t="s">
        <v>350</v>
      </c>
      <c r="I1918">
        <v>2015</v>
      </c>
      <c r="J1918">
        <v>0.17</v>
      </c>
      <c r="K1918" t="s">
        <v>101</v>
      </c>
      <c r="L1918">
        <v>28</v>
      </c>
      <c r="N1918" t="s">
        <v>128</v>
      </c>
      <c r="O1918" t="s">
        <v>1190</v>
      </c>
      <c r="P1918" t="s">
        <v>672</v>
      </c>
      <c r="Q1918" s="1" t="s">
        <v>2276</v>
      </c>
      <c r="R1918" s="1" t="s">
        <v>669</v>
      </c>
      <c r="S1918" s="1" t="s">
        <v>168</v>
      </c>
      <c r="T1918" t="s">
        <v>396</v>
      </c>
      <c r="U1918" t="s">
        <v>2398</v>
      </c>
      <c r="X1918" t="s">
        <v>161</v>
      </c>
      <c r="Y1918" t="s">
        <v>2272</v>
      </c>
      <c r="Z1918" t="s">
        <v>2272</v>
      </c>
      <c r="AA1918" t="s">
        <v>2272</v>
      </c>
      <c r="AB1918" t="s">
        <v>2272</v>
      </c>
      <c r="AC1918" t="s">
        <v>162</v>
      </c>
      <c r="AD1918" t="s">
        <v>2272</v>
      </c>
      <c r="AH1918" s="4" t="s">
        <v>49</v>
      </c>
      <c r="AJ1918" t="s">
        <v>49</v>
      </c>
      <c r="AM1918" t="s">
        <v>1194</v>
      </c>
      <c r="AN1918" t="s">
        <v>165</v>
      </c>
      <c r="AP1918" t="s">
        <v>49</v>
      </c>
    </row>
    <row r="1919" spans="1:43" x14ac:dyDescent="0.2">
      <c r="A1919" t="s">
        <v>1187</v>
      </c>
      <c r="B1919" t="s">
        <v>1188</v>
      </c>
      <c r="C1919">
        <v>2017</v>
      </c>
      <c r="D1919" t="s">
        <v>44</v>
      </c>
      <c r="F1919" t="s">
        <v>931</v>
      </c>
      <c r="G1919" t="s">
        <v>88</v>
      </c>
      <c r="H1919" t="s">
        <v>350</v>
      </c>
      <c r="I1919">
        <v>2015</v>
      </c>
      <c r="J1919">
        <v>0.17</v>
      </c>
      <c r="K1919" t="s">
        <v>101</v>
      </c>
      <c r="L1919">
        <v>28</v>
      </c>
      <c r="N1919" t="s">
        <v>121</v>
      </c>
      <c r="O1919" t="s">
        <v>121</v>
      </c>
      <c r="P1919" t="s">
        <v>1191</v>
      </c>
      <c r="Q1919" s="1" t="s">
        <v>2292</v>
      </c>
      <c r="R1919" s="1" t="s">
        <v>264</v>
      </c>
      <c r="S1919" s="1" t="s">
        <v>264</v>
      </c>
      <c r="T1919" t="s">
        <v>396</v>
      </c>
      <c r="U1919" t="s">
        <v>2399</v>
      </c>
      <c r="X1919" t="s">
        <v>161</v>
      </c>
      <c r="Y1919" t="s">
        <v>2272</v>
      </c>
      <c r="Z1919" t="s">
        <v>2272</v>
      </c>
      <c r="AA1919" t="s">
        <v>2272</v>
      </c>
      <c r="AB1919" t="s">
        <v>2272</v>
      </c>
      <c r="AC1919" t="s">
        <v>162</v>
      </c>
      <c r="AD1919" t="s">
        <v>2272</v>
      </c>
      <c r="AH1919" s="4" t="s">
        <v>49</v>
      </c>
      <c r="AJ1919" t="s">
        <v>49</v>
      </c>
      <c r="AM1919" t="s">
        <v>1194</v>
      </c>
      <c r="AN1919" t="s">
        <v>165</v>
      </c>
      <c r="AP1919" t="s">
        <v>49</v>
      </c>
    </row>
    <row r="1920" spans="1:43" x14ac:dyDescent="0.2">
      <c r="A1920" t="s">
        <v>1187</v>
      </c>
      <c r="B1920" t="s">
        <v>1188</v>
      </c>
      <c r="C1920">
        <v>2017</v>
      </c>
      <c r="D1920" t="s">
        <v>44</v>
      </c>
      <c r="F1920" t="s">
        <v>931</v>
      </c>
      <c r="G1920" t="s">
        <v>88</v>
      </c>
      <c r="H1920" t="s">
        <v>350</v>
      </c>
      <c r="I1920">
        <v>2015</v>
      </c>
      <c r="J1920">
        <v>0.17</v>
      </c>
      <c r="K1920" t="s">
        <v>101</v>
      </c>
      <c r="L1920">
        <v>28</v>
      </c>
      <c r="N1920" t="s">
        <v>122</v>
      </c>
      <c r="O1920" t="s">
        <v>1195</v>
      </c>
      <c r="Q1920" s="1" t="s">
        <v>2351</v>
      </c>
      <c r="R1920" s="1" t="s">
        <v>2351</v>
      </c>
      <c r="S1920" s="1" t="s">
        <v>2351</v>
      </c>
      <c r="T1920" t="s">
        <v>396</v>
      </c>
      <c r="U1920" t="s">
        <v>2363</v>
      </c>
      <c r="X1920" t="s">
        <v>161</v>
      </c>
      <c r="Y1920" t="s">
        <v>2272</v>
      </c>
      <c r="Z1920" t="s">
        <v>2272</v>
      </c>
      <c r="AA1920" t="s">
        <v>2272</v>
      </c>
      <c r="AB1920" t="s">
        <v>2272</v>
      </c>
      <c r="AC1920" t="s">
        <v>162</v>
      </c>
      <c r="AD1920" t="s">
        <v>2272</v>
      </c>
      <c r="AH1920" s="4" t="s">
        <v>49</v>
      </c>
      <c r="AJ1920" t="s">
        <v>49</v>
      </c>
      <c r="AM1920" t="s">
        <v>1194</v>
      </c>
      <c r="AN1920" t="s">
        <v>165</v>
      </c>
      <c r="AP1920" t="s">
        <v>49</v>
      </c>
    </row>
    <row r="1921" spans="1:42" x14ac:dyDescent="0.2">
      <c r="A1921" t="s">
        <v>1187</v>
      </c>
      <c r="B1921" t="s">
        <v>1188</v>
      </c>
      <c r="C1921">
        <v>2017</v>
      </c>
      <c r="D1921" t="s">
        <v>44</v>
      </c>
      <c r="F1921" t="s">
        <v>931</v>
      </c>
      <c r="G1921" t="s">
        <v>88</v>
      </c>
      <c r="H1921" t="s">
        <v>350</v>
      </c>
      <c r="I1921">
        <v>2015</v>
      </c>
      <c r="J1921">
        <v>0.17</v>
      </c>
      <c r="K1921" t="s">
        <v>101</v>
      </c>
      <c r="L1921">
        <v>28</v>
      </c>
      <c r="M1921">
        <v>0.25</v>
      </c>
      <c r="N1921" t="s">
        <v>121</v>
      </c>
      <c r="O1921" t="s">
        <v>121</v>
      </c>
      <c r="P1921" t="s">
        <v>1191</v>
      </c>
      <c r="Q1921" s="1" t="s">
        <v>2292</v>
      </c>
      <c r="R1921" s="1" t="s">
        <v>264</v>
      </c>
      <c r="S1921" s="1" t="s">
        <v>264</v>
      </c>
      <c r="X1921" t="s">
        <v>211</v>
      </c>
      <c r="Y1921" t="s">
        <v>2279</v>
      </c>
      <c r="Z1921" t="s">
        <v>2280</v>
      </c>
      <c r="AA1921" t="s">
        <v>2358</v>
      </c>
      <c r="AB1921" t="s">
        <v>2290</v>
      </c>
      <c r="AC1921" t="s">
        <v>152</v>
      </c>
      <c r="AD1921" t="s">
        <v>2278</v>
      </c>
    </row>
    <row r="1922" spans="1:42" x14ac:dyDescent="0.2">
      <c r="A1922" t="s">
        <v>1187</v>
      </c>
      <c r="B1922" t="s">
        <v>1188</v>
      </c>
      <c r="C1922">
        <v>2017</v>
      </c>
      <c r="D1922" t="s">
        <v>44</v>
      </c>
      <c r="F1922" t="s">
        <v>931</v>
      </c>
      <c r="G1922" t="s">
        <v>88</v>
      </c>
      <c r="H1922" t="s">
        <v>350</v>
      </c>
      <c r="I1922">
        <v>2015</v>
      </c>
      <c r="J1922">
        <v>0.17</v>
      </c>
      <c r="K1922" t="s">
        <v>101</v>
      </c>
      <c r="L1922">
        <v>28</v>
      </c>
      <c r="M1922">
        <v>0.25</v>
      </c>
      <c r="N1922" t="s">
        <v>121</v>
      </c>
      <c r="O1922" t="s">
        <v>121</v>
      </c>
      <c r="P1922" t="s">
        <v>1191</v>
      </c>
      <c r="Q1922" s="1" t="s">
        <v>2292</v>
      </c>
      <c r="R1922" s="1" t="s">
        <v>264</v>
      </c>
      <c r="S1922" s="1" t="s">
        <v>264</v>
      </c>
      <c r="X1922" t="s">
        <v>527</v>
      </c>
      <c r="Y1922" t="s">
        <v>2273</v>
      </c>
      <c r="Z1922" t="s">
        <v>249</v>
      </c>
      <c r="AA1922" t="s">
        <v>2359</v>
      </c>
      <c r="AB1922" t="s">
        <v>1419</v>
      </c>
      <c r="AC1922" t="s">
        <v>152</v>
      </c>
      <c r="AD1922" t="s">
        <v>137</v>
      </c>
    </row>
    <row r="1923" spans="1:42" x14ac:dyDescent="0.2">
      <c r="A1923" t="s">
        <v>1187</v>
      </c>
      <c r="B1923" t="s">
        <v>1188</v>
      </c>
      <c r="C1923">
        <v>2017</v>
      </c>
      <c r="D1923" t="s">
        <v>44</v>
      </c>
      <c r="F1923" t="s">
        <v>931</v>
      </c>
      <c r="G1923" t="s">
        <v>88</v>
      </c>
      <c r="H1923" t="s">
        <v>350</v>
      </c>
      <c r="I1923">
        <v>2015</v>
      </c>
      <c r="J1923">
        <v>0.17</v>
      </c>
      <c r="K1923" t="s">
        <v>101</v>
      </c>
      <c r="L1923">
        <v>28</v>
      </c>
      <c r="M1923">
        <v>0.25</v>
      </c>
      <c r="N1923" t="s">
        <v>128</v>
      </c>
      <c r="O1923" t="s">
        <v>1190</v>
      </c>
      <c r="P1923" t="s">
        <v>672</v>
      </c>
      <c r="Q1923" s="1" t="s">
        <v>2276</v>
      </c>
      <c r="R1923" s="1" t="s">
        <v>669</v>
      </c>
      <c r="S1923" s="1" t="s">
        <v>168</v>
      </c>
      <c r="X1923" t="s">
        <v>211</v>
      </c>
      <c r="Y1923" t="s">
        <v>2279</v>
      </c>
      <c r="Z1923" t="s">
        <v>2280</v>
      </c>
      <c r="AA1923" t="s">
        <v>2358</v>
      </c>
      <c r="AB1923" t="s">
        <v>2290</v>
      </c>
      <c r="AC1923" t="s">
        <v>152</v>
      </c>
      <c r="AD1923" t="s">
        <v>2278</v>
      </c>
      <c r="AH1923" s="4" t="s">
        <v>49</v>
      </c>
      <c r="AJ1923" t="s">
        <v>49</v>
      </c>
      <c r="AM1923" t="s">
        <v>1197</v>
      </c>
      <c r="AN1923" t="s">
        <v>166</v>
      </c>
      <c r="AP1923" t="s">
        <v>51</v>
      </c>
    </row>
    <row r="1924" spans="1:42" x14ac:dyDescent="0.2">
      <c r="A1924" t="s">
        <v>1187</v>
      </c>
      <c r="B1924" t="s">
        <v>1188</v>
      </c>
      <c r="C1924">
        <v>2017</v>
      </c>
      <c r="D1924" t="s">
        <v>44</v>
      </c>
      <c r="F1924" t="s">
        <v>931</v>
      </c>
      <c r="G1924" t="s">
        <v>88</v>
      </c>
      <c r="H1924" t="s">
        <v>350</v>
      </c>
      <c r="I1924">
        <v>2015</v>
      </c>
      <c r="J1924">
        <v>0.17</v>
      </c>
      <c r="K1924" t="s">
        <v>101</v>
      </c>
      <c r="L1924">
        <v>28</v>
      </c>
      <c r="M1924">
        <v>0.25</v>
      </c>
      <c r="N1924" t="s">
        <v>128</v>
      </c>
      <c r="O1924" t="s">
        <v>1190</v>
      </c>
      <c r="P1924" t="s">
        <v>672</v>
      </c>
      <c r="Q1924" s="1" t="s">
        <v>2276</v>
      </c>
      <c r="R1924" s="1" t="s">
        <v>669</v>
      </c>
      <c r="S1924" s="1" t="s">
        <v>168</v>
      </c>
      <c r="X1924" t="s">
        <v>527</v>
      </c>
      <c r="Y1924" t="s">
        <v>2273</v>
      </c>
      <c r="Z1924" t="s">
        <v>249</v>
      </c>
      <c r="AA1924" t="s">
        <v>2359</v>
      </c>
      <c r="AB1924" t="s">
        <v>1419</v>
      </c>
      <c r="AC1924" t="s">
        <v>152</v>
      </c>
      <c r="AD1924" t="s">
        <v>137</v>
      </c>
      <c r="AH1924" s="4" t="s">
        <v>49</v>
      </c>
      <c r="AJ1924" t="s">
        <v>49</v>
      </c>
      <c r="AM1924" t="s">
        <v>1197</v>
      </c>
      <c r="AN1924" t="s">
        <v>166</v>
      </c>
      <c r="AP1924" t="s">
        <v>157</v>
      </c>
    </row>
    <row r="1925" spans="1:42" x14ac:dyDescent="0.2">
      <c r="A1925" t="s">
        <v>1187</v>
      </c>
      <c r="B1925" t="s">
        <v>1188</v>
      </c>
      <c r="C1925">
        <v>2017</v>
      </c>
      <c r="D1925" t="s">
        <v>44</v>
      </c>
      <c r="F1925" t="s">
        <v>931</v>
      </c>
      <c r="G1925" t="s">
        <v>88</v>
      </c>
      <c r="H1925" t="s">
        <v>350</v>
      </c>
      <c r="I1925">
        <v>2015</v>
      </c>
      <c r="J1925">
        <v>0.17</v>
      </c>
      <c r="K1925" t="s">
        <v>101</v>
      </c>
      <c r="L1925">
        <v>28</v>
      </c>
      <c r="M1925">
        <v>0.25</v>
      </c>
      <c r="N1925" t="s">
        <v>128</v>
      </c>
      <c r="O1925" t="s">
        <v>1190</v>
      </c>
      <c r="P1925" t="s">
        <v>672</v>
      </c>
      <c r="Q1925" s="1" t="s">
        <v>2276</v>
      </c>
      <c r="R1925" s="1" t="s">
        <v>669</v>
      </c>
      <c r="S1925" s="1" t="s">
        <v>168</v>
      </c>
      <c r="X1925" t="s">
        <v>211</v>
      </c>
      <c r="Y1925" t="s">
        <v>2279</v>
      </c>
      <c r="Z1925" t="s">
        <v>2280</v>
      </c>
      <c r="AA1925" t="s">
        <v>2358</v>
      </c>
      <c r="AB1925" t="s">
        <v>2290</v>
      </c>
      <c r="AC1925" t="s">
        <v>152</v>
      </c>
      <c r="AD1925" t="s">
        <v>2278</v>
      </c>
      <c r="AH1925" s="4" t="s">
        <v>49</v>
      </c>
      <c r="AJ1925" t="s">
        <v>49</v>
      </c>
      <c r="AM1925" t="s">
        <v>1193</v>
      </c>
      <c r="AN1925" t="s">
        <v>166</v>
      </c>
      <c r="AP1925" t="s">
        <v>51</v>
      </c>
    </row>
    <row r="1926" spans="1:42" x14ac:dyDescent="0.2">
      <c r="A1926" t="s">
        <v>1187</v>
      </c>
      <c r="B1926" t="s">
        <v>1188</v>
      </c>
      <c r="C1926">
        <v>2017</v>
      </c>
      <c r="D1926" t="s">
        <v>44</v>
      </c>
      <c r="F1926" t="s">
        <v>931</v>
      </c>
      <c r="G1926" t="s">
        <v>88</v>
      </c>
      <c r="H1926" t="s">
        <v>350</v>
      </c>
      <c r="I1926">
        <v>2015</v>
      </c>
      <c r="J1926">
        <v>0.17</v>
      </c>
      <c r="K1926" t="s">
        <v>101</v>
      </c>
      <c r="L1926">
        <v>28</v>
      </c>
      <c r="M1926">
        <v>0.25</v>
      </c>
      <c r="N1926" t="s">
        <v>128</v>
      </c>
      <c r="O1926" t="s">
        <v>1190</v>
      </c>
      <c r="P1926" t="s">
        <v>672</v>
      </c>
      <c r="Q1926" s="1" t="s">
        <v>2276</v>
      </c>
      <c r="R1926" s="1" t="s">
        <v>669</v>
      </c>
      <c r="S1926" s="1" t="s">
        <v>168</v>
      </c>
      <c r="X1926" t="s">
        <v>527</v>
      </c>
      <c r="Y1926" t="s">
        <v>2273</v>
      </c>
      <c r="Z1926" t="s">
        <v>249</v>
      </c>
      <c r="AA1926" t="s">
        <v>2359</v>
      </c>
      <c r="AB1926" t="s">
        <v>1419</v>
      </c>
      <c r="AC1926" t="s">
        <v>152</v>
      </c>
      <c r="AD1926" t="s">
        <v>137</v>
      </c>
      <c r="AH1926" s="4" t="s">
        <v>49</v>
      </c>
      <c r="AJ1926" t="s">
        <v>49</v>
      </c>
      <c r="AM1926" t="s">
        <v>1193</v>
      </c>
      <c r="AN1926" t="s">
        <v>166</v>
      </c>
      <c r="AP1926" t="s">
        <v>51</v>
      </c>
    </row>
    <row r="1927" spans="1:42" x14ac:dyDescent="0.2">
      <c r="A1927" t="s">
        <v>1187</v>
      </c>
      <c r="B1927" t="s">
        <v>1188</v>
      </c>
      <c r="C1927">
        <v>2017</v>
      </c>
      <c r="D1927" t="s">
        <v>44</v>
      </c>
      <c r="F1927" t="s">
        <v>931</v>
      </c>
      <c r="G1927" t="s">
        <v>88</v>
      </c>
      <c r="H1927" t="s">
        <v>350</v>
      </c>
      <c r="I1927">
        <v>2015</v>
      </c>
      <c r="J1927">
        <v>0.17</v>
      </c>
      <c r="K1927" t="s">
        <v>101</v>
      </c>
      <c r="L1927">
        <v>28</v>
      </c>
      <c r="M1927">
        <v>0.25</v>
      </c>
      <c r="N1927" t="s">
        <v>128</v>
      </c>
      <c r="O1927" t="s">
        <v>1190</v>
      </c>
      <c r="P1927" t="s">
        <v>672</v>
      </c>
      <c r="Q1927" s="1" t="s">
        <v>2276</v>
      </c>
      <c r="R1927" s="1" t="s">
        <v>669</v>
      </c>
      <c r="S1927" s="1" t="s">
        <v>168</v>
      </c>
      <c r="X1927" t="s">
        <v>211</v>
      </c>
      <c r="Y1927" t="s">
        <v>2279</v>
      </c>
      <c r="Z1927" t="s">
        <v>2280</v>
      </c>
      <c r="AA1927" t="s">
        <v>2358</v>
      </c>
      <c r="AB1927" t="s">
        <v>2290</v>
      </c>
      <c r="AC1927" t="s">
        <v>152</v>
      </c>
      <c r="AD1927" t="s">
        <v>2278</v>
      </c>
      <c r="AH1927" s="4" t="s">
        <v>49</v>
      </c>
      <c r="AJ1927" t="s">
        <v>49</v>
      </c>
      <c r="AM1927" t="s">
        <v>1194</v>
      </c>
      <c r="AN1927" t="s">
        <v>166</v>
      </c>
      <c r="AP1927" t="s">
        <v>51</v>
      </c>
    </row>
    <row r="1928" spans="1:42" x14ac:dyDescent="0.2">
      <c r="A1928" t="s">
        <v>1187</v>
      </c>
      <c r="B1928" t="s">
        <v>1188</v>
      </c>
      <c r="C1928">
        <v>2017</v>
      </c>
      <c r="D1928" t="s">
        <v>44</v>
      </c>
      <c r="F1928" t="s">
        <v>931</v>
      </c>
      <c r="G1928" t="s">
        <v>88</v>
      </c>
      <c r="H1928" t="s">
        <v>350</v>
      </c>
      <c r="I1928">
        <v>2015</v>
      </c>
      <c r="J1928">
        <v>0.17</v>
      </c>
      <c r="K1928" t="s">
        <v>101</v>
      </c>
      <c r="L1928">
        <v>28</v>
      </c>
      <c r="M1928">
        <v>0.25</v>
      </c>
      <c r="N1928" t="s">
        <v>128</v>
      </c>
      <c r="O1928" t="s">
        <v>1190</v>
      </c>
      <c r="P1928" t="s">
        <v>672</v>
      </c>
      <c r="Q1928" s="1" t="s">
        <v>2276</v>
      </c>
      <c r="R1928" s="1" t="s">
        <v>669</v>
      </c>
      <c r="S1928" s="1" t="s">
        <v>168</v>
      </c>
      <c r="X1928" t="s">
        <v>527</v>
      </c>
      <c r="Y1928" t="s">
        <v>2273</v>
      </c>
      <c r="Z1928" t="s">
        <v>249</v>
      </c>
      <c r="AA1928" t="s">
        <v>2359</v>
      </c>
      <c r="AB1928" t="s">
        <v>1419</v>
      </c>
      <c r="AC1928" t="s">
        <v>152</v>
      </c>
      <c r="AD1928" t="s">
        <v>137</v>
      </c>
      <c r="AH1928" s="4" t="s">
        <v>49</v>
      </c>
      <c r="AJ1928" t="s">
        <v>49</v>
      </c>
      <c r="AM1928" t="s">
        <v>1194</v>
      </c>
      <c r="AN1928" t="s">
        <v>166</v>
      </c>
      <c r="AP1928" t="s">
        <v>51</v>
      </c>
    </row>
    <row r="1929" spans="1:42" x14ac:dyDescent="0.2">
      <c r="A1929" t="s">
        <v>1187</v>
      </c>
      <c r="B1929" t="s">
        <v>1188</v>
      </c>
      <c r="C1929">
        <v>2017</v>
      </c>
      <c r="D1929" t="s">
        <v>44</v>
      </c>
      <c r="F1929" t="s">
        <v>931</v>
      </c>
      <c r="G1929" t="s">
        <v>88</v>
      </c>
      <c r="H1929" t="s">
        <v>350</v>
      </c>
      <c r="I1929">
        <v>2015</v>
      </c>
      <c r="J1929">
        <v>0.17</v>
      </c>
      <c r="K1929" t="s">
        <v>101</v>
      </c>
      <c r="L1929">
        <v>28</v>
      </c>
      <c r="M1929">
        <v>0.25</v>
      </c>
      <c r="N1929" t="s">
        <v>122</v>
      </c>
      <c r="O1929" t="s">
        <v>1195</v>
      </c>
      <c r="Q1929" s="1" t="s">
        <v>2351</v>
      </c>
      <c r="R1929" s="1" t="s">
        <v>2351</v>
      </c>
      <c r="S1929" s="1" t="s">
        <v>2351</v>
      </c>
      <c r="X1929" t="s">
        <v>211</v>
      </c>
      <c r="Y1929" t="s">
        <v>2279</v>
      </c>
      <c r="Z1929" t="s">
        <v>2280</v>
      </c>
      <c r="AA1929" t="s">
        <v>2358</v>
      </c>
      <c r="AB1929" t="s">
        <v>2290</v>
      </c>
      <c r="AC1929" t="s">
        <v>152</v>
      </c>
      <c r="AD1929" t="s">
        <v>2278</v>
      </c>
    </row>
    <row r="1930" spans="1:42" x14ac:dyDescent="0.2">
      <c r="A1930" t="s">
        <v>1187</v>
      </c>
      <c r="B1930" t="s">
        <v>1188</v>
      </c>
      <c r="C1930">
        <v>2017</v>
      </c>
      <c r="D1930" t="s">
        <v>44</v>
      </c>
      <c r="F1930" t="s">
        <v>931</v>
      </c>
      <c r="G1930" t="s">
        <v>88</v>
      </c>
      <c r="H1930" t="s">
        <v>350</v>
      </c>
      <c r="I1930">
        <v>2015</v>
      </c>
      <c r="J1930">
        <v>0.17</v>
      </c>
      <c r="K1930" t="s">
        <v>101</v>
      </c>
      <c r="L1930">
        <v>28</v>
      </c>
      <c r="N1930" t="s">
        <v>122</v>
      </c>
      <c r="O1930" t="s">
        <v>1195</v>
      </c>
      <c r="Q1930" s="1" t="s">
        <v>2351</v>
      </c>
      <c r="R1930" s="1" t="s">
        <v>2351</v>
      </c>
      <c r="S1930" s="1" t="s">
        <v>2351</v>
      </c>
      <c r="X1930" t="s">
        <v>1196</v>
      </c>
      <c r="Y1930" t="s">
        <v>2279</v>
      </c>
      <c r="Z1930" t="s">
        <v>2280</v>
      </c>
      <c r="AA1930" t="s">
        <v>2286</v>
      </c>
      <c r="AB1930" t="s">
        <v>2305</v>
      </c>
      <c r="AC1930" t="s">
        <v>162</v>
      </c>
      <c r="AD1930" t="s">
        <v>2278</v>
      </c>
    </row>
    <row r="1931" spans="1:42" x14ac:dyDescent="0.2">
      <c r="A1931" t="s">
        <v>1198</v>
      </c>
      <c r="B1931" t="s">
        <v>1199</v>
      </c>
      <c r="C1931">
        <v>2017</v>
      </c>
      <c r="D1931" t="s">
        <v>44</v>
      </c>
      <c r="F1931" t="s">
        <v>1200</v>
      </c>
      <c r="G1931" t="s">
        <v>88</v>
      </c>
      <c r="H1931" t="s">
        <v>350</v>
      </c>
      <c r="K1931" t="s">
        <v>101</v>
      </c>
      <c r="L1931">
        <v>20</v>
      </c>
      <c r="M1931">
        <v>0.25</v>
      </c>
      <c r="N1931" t="s">
        <v>122</v>
      </c>
      <c r="O1931" t="s">
        <v>1201</v>
      </c>
      <c r="P1931" t="s">
        <v>1204</v>
      </c>
      <c r="Q1931" s="1" t="s">
        <v>2281</v>
      </c>
      <c r="R1931" s="1" t="s">
        <v>122</v>
      </c>
      <c r="S1931" s="1" t="s">
        <v>2294</v>
      </c>
      <c r="X1931" t="s">
        <v>1206</v>
      </c>
      <c r="Y1931" t="s">
        <v>2279</v>
      </c>
      <c r="Z1931" t="s">
        <v>2280</v>
      </c>
      <c r="AA1931" t="s">
        <v>2286</v>
      </c>
      <c r="AB1931" t="s">
        <v>2287</v>
      </c>
      <c r="AC1931" t="s">
        <v>152</v>
      </c>
      <c r="AD1931" t="s">
        <v>2278</v>
      </c>
    </row>
    <row r="1932" spans="1:42" x14ac:dyDescent="0.2">
      <c r="A1932" t="s">
        <v>1198</v>
      </c>
      <c r="B1932" t="s">
        <v>1199</v>
      </c>
      <c r="C1932">
        <v>2017</v>
      </c>
      <c r="D1932" t="s">
        <v>44</v>
      </c>
      <c r="F1932" t="s">
        <v>1200</v>
      </c>
      <c r="G1932" t="s">
        <v>88</v>
      </c>
      <c r="H1932" t="s">
        <v>350</v>
      </c>
      <c r="K1932" t="s">
        <v>101</v>
      </c>
      <c r="L1932">
        <v>20</v>
      </c>
      <c r="M1932">
        <v>0.25</v>
      </c>
      <c r="N1932" t="s">
        <v>122</v>
      </c>
      <c r="O1932" t="s">
        <v>1202</v>
      </c>
      <c r="P1932" t="s">
        <v>1205</v>
      </c>
      <c r="Q1932" s="1" t="s">
        <v>2281</v>
      </c>
      <c r="R1932" s="1" t="s">
        <v>122</v>
      </c>
      <c r="S1932" s="1" t="s">
        <v>2293</v>
      </c>
      <c r="X1932" t="s">
        <v>1206</v>
      </c>
      <c r="Y1932" t="s">
        <v>2279</v>
      </c>
      <c r="Z1932" t="s">
        <v>2280</v>
      </c>
      <c r="AA1932" t="s">
        <v>2286</v>
      </c>
      <c r="AB1932" t="s">
        <v>2287</v>
      </c>
      <c r="AC1932" t="s">
        <v>152</v>
      </c>
      <c r="AD1932" t="s">
        <v>2278</v>
      </c>
    </row>
    <row r="1933" spans="1:42" x14ac:dyDescent="0.2">
      <c r="A1933" t="s">
        <v>1198</v>
      </c>
      <c r="B1933" t="s">
        <v>1199</v>
      </c>
      <c r="C1933">
        <v>2017</v>
      </c>
      <c r="D1933" t="s">
        <v>44</v>
      </c>
      <c r="F1933" t="s">
        <v>1200</v>
      </c>
      <c r="G1933" t="s">
        <v>88</v>
      </c>
      <c r="H1933" t="s">
        <v>350</v>
      </c>
      <c r="K1933" t="s">
        <v>101</v>
      </c>
      <c r="L1933">
        <v>20</v>
      </c>
      <c r="M1933">
        <v>0.25</v>
      </c>
      <c r="N1933" t="s">
        <v>122</v>
      </c>
      <c r="O1933" t="s">
        <v>1203</v>
      </c>
      <c r="P1933" t="s">
        <v>1207</v>
      </c>
      <c r="Q1933" s="1" t="s">
        <v>2281</v>
      </c>
      <c r="R1933" s="1" t="s">
        <v>122</v>
      </c>
      <c r="S1933" s="1" t="s">
        <v>2294</v>
      </c>
      <c r="X1933" t="s">
        <v>1206</v>
      </c>
      <c r="Y1933" t="s">
        <v>2279</v>
      </c>
      <c r="Z1933" t="s">
        <v>2280</v>
      </c>
      <c r="AA1933" t="s">
        <v>2286</v>
      </c>
      <c r="AB1933" t="s">
        <v>2287</v>
      </c>
      <c r="AC1933" t="s">
        <v>152</v>
      </c>
      <c r="AD1933" t="s">
        <v>2278</v>
      </c>
    </row>
    <row r="1934" spans="1:42" x14ac:dyDescent="0.2">
      <c r="A1934" t="s">
        <v>1198</v>
      </c>
      <c r="B1934" t="s">
        <v>1199</v>
      </c>
      <c r="C1934">
        <v>2017</v>
      </c>
      <c r="D1934" t="s">
        <v>44</v>
      </c>
      <c r="F1934" t="s">
        <v>1200</v>
      </c>
      <c r="G1934" t="s">
        <v>88</v>
      </c>
      <c r="H1934" t="s">
        <v>350</v>
      </c>
      <c r="K1934" t="s">
        <v>101</v>
      </c>
      <c r="L1934">
        <v>20</v>
      </c>
      <c r="M1934">
        <v>0.25</v>
      </c>
      <c r="N1934" t="s">
        <v>122</v>
      </c>
      <c r="O1934" t="s">
        <v>1201</v>
      </c>
      <c r="P1934" t="s">
        <v>1204</v>
      </c>
      <c r="Q1934" s="1" t="s">
        <v>2281</v>
      </c>
      <c r="R1934" s="1" t="s">
        <v>122</v>
      </c>
      <c r="S1934" s="1" t="s">
        <v>2294</v>
      </c>
      <c r="X1934" t="s">
        <v>1208</v>
      </c>
      <c r="Y1934" t="s">
        <v>2279</v>
      </c>
      <c r="Z1934" t="s">
        <v>2280</v>
      </c>
      <c r="AA1934" t="s">
        <v>2286</v>
      </c>
      <c r="AB1934" t="s">
        <v>2305</v>
      </c>
      <c r="AC1934" t="s">
        <v>152</v>
      </c>
      <c r="AD1934" t="s">
        <v>2278</v>
      </c>
    </row>
    <row r="1935" spans="1:42" x14ac:dyDescent="0.2">
      <c r="A1935" t="s">
        <v>1198</v>
      </c>
      <c r="B1935" t="s">
        <v>1199</v>
      </c>
      <c r="C1935">
        <v>2017</v>
      </c>
      <c r="D1935" t="s">
        <v>44</v>
      </c>
      <c r="F1935" t="s">
        <v>1200</v>
      </c>
      <c r="G1935" t="s">
        <v>88</v>
      </c>
      <c r="H1935" t="s">
        <v>350</v>
      </c>
      <c r="K1935" t="s">
        <v>101</v>
      </c>
      <c r="L1935">
        <v>20</v>
      </c>
      <c r="M1935">
        <v>0.25</v>
      </c>
      <c r="N1935" t="s">
        <v>122</v>
      </c>
      <c r="O1935" t="s">
        <v>1202</v>
      </c>
      <c r="P1935" t="s">
        <v>1205</v>
      </c>
      <c r="Q1935" s="1" t="s">
        <v>2281</v>
      </c>
      <c r="R1935" s="1" t="s">
        <v>122</v>
      </c>
      <c r="S1935" s="1" t="s">
        <v>2293</v>
      </c>
      <c r="X1935" t="s">
        <v>1208</v>
      </c>
      <c r="Y1935" t="s">
        <v>2279</v>
      </c>
      <c r="Z1935" t="s">
        <v>2280</v>
      </c>
      <c r="AA1935" t="s">
        <v>2286</v>
      </c>
      <c r="AB1935" t="s">
        <v>2305</v>
      </c>
      <c r="AC1935" t="s">
        <v>152</v>
      </c>
      <c r="AD1935" t="s">
        <v>2278</v>
      </c>
    </row>
    <row r="1936" spans="1:42" x14ac:dyDescent="0.2">
      <c r="A1936" t="s">
        <v>1198</v>
      </c>
      <c r="B1936" t="s">
        <v>1199</v>
      </c>
      <c r="C1936">
        <v>2017</v>
      </c>
      <c r="D1936" t="s">
        <v>44</v>
      </c>
      <c r="F1936" t="s">
        <v>1200</v>
      </c>
      <c r="G1936" t="s">
        <v>88</v>
      </c>
      <c r="H1936" t="s">
        <v>350</v>
      </c>
      <c r="K1936" t="s">
        <v>101</v>
      </c>
      <c r="L1936">
        <v>20</v>
      </c>
      <c r="M1936">
        <v>0.25</v>
      </c>
      <c r="N1936" t="s">
        <v>122</v>
      </c>
      <c r="O1936" t="s">
        <v>1203</v>
      </c>
      <c r="P1936" t="s">
        <v>1207</v>
      </c>
      <c r="Q1936" s="1" t="s">
        <v>2281</v>
      </c>
      <c r="R1936" s="1" t="s">
        <v>122</v>
      </c>
      <c r="S1936" s="1" t="s">
        <v>2294</v>
      </c>
      <c r="X1936" t="s">
        <v>1208</v>
      </c>
      <c r="Y1936" t="s">
        <v>2279</v>
      </c>
      <c r="Z1936" t="s">
        <v>2280</v>
      </c>
      <c r="AA1936" t="s">
        <v>2286</v>
      </c>
      <c r="AB1936" t="s">
        <v>2305</v>
      </c>
      <c r="AC1936" t="s">
        <v>152</v>
      </c>
      <c r="AD1936" t="s">
        <v>2278</v>
      </c>
    </row>
    <row r="1937" spans="1:43" x14ac:dyDescent="0.2">
      <c r="A1937" t="s">
        <v>1198</v>
      </c>
      <c r="B1937" t="s">
        <v>1199</v>
      </c>
      <c r="C1937">
        <v>2017</v>
      </c>
      <c r="D1937" t="s">
        <v>44</v>
      </c>
      <c r="F1937" t="s">
        <v>1200</v>
      </c>
      <c r="G1937" t="s">
        <v>88</v>
      </c>
      <c r="H1937" t="s">
        <v>350</v>
      </c>
      <c r="K1937" t="s">
        <v>101</v>
      </c>
      <c r="L1937">
        <v>20</v>
      </c>
      <c r="M1937">
        <v>0.25</v>
      </c>
      <c r="N1937" t="s">
        <v>122</v>
      </c>
      <c r="O1937" t="s">
        <v>1201</v>
      </c>
      <c r="P1937" t="s">
        <v>1204</v>
      </c>
      <c r="Q1937" s="1" t="s">
        <v>2281</v>
      </c>
      <c r="R1937" s="1" t="s">
        <v>122</v>
      </c>
      <c r="S1937" s="1" t="s">
        <v>2294</v>
      </c>
      <c r="T1937" t="s">
        <v>396</v>
      </c>
      <c r="U1937" t="s">
        <v>2337</v>
      </c>
      <c r="X1937" t="s">
        <v>161</v>
      </c>
      <c r="Y1937" t="s">
        <v>2272</v>
      </c>
      <c r="Z1937" t="s">
        <v>2272</v>
      </c>
      <c r="AA1937" t="s">
        <v>2272</v>
      </c>
      <c r="AB1937" t="s">
        <v>2272</v>
      </c>
      <c r="AC1937" t="s">
        <v>162</v>
      </c>
      <c r="AD1937" t="s">
        <v>2272</v>
      </c>
      <c r="AF1937" t="s">
        <v>49</v>
      </c>
      <c r="AL1937" t="s">
        <v>49</v>
      </c>
      <c r="AM1937" t="s">
        <v>1209</v>
      </c>
      <c r="AN1937" t="s">
        <v>166</v>
      </c>
      <c r="AQ1937" s="5">
        <v>2</v>
      </c>
    </row>
    <row r="1938" spans="1:43" x14ac:dyDescent="0.2">
      <c r="A1938" t="s">
        <v>1198</v>
      </c>
      <c r="B1938" t="s">
        <v>1199</v>
      </c>
      <c r="C1938">
        <v>2017</v>
      </c>
      <c r="D1938" t="s">
        <v>44</v>
      </c>
      <c r="F1938" t="s">
        <v>1200</v>
      </c>
      <c r="G1938" t="s">
        <v>88</v>
      </c>
      <c r="H1938" t="s">
        <v>350</v>
      </c>
      <c r="K1938" t="s">
        <v>101</v>
      </c>
      <c r="L1938">
        <v>20</v>
      </c>
      <c r="M1938">
        <v>0.25</v>
      </c>
      <c r="N1938" t="s">
        <v>122</v>
      </c>
      <c r="O1938" t="s">
        <v>1202</v>
      </c>
      <c r="P1938" t="s">
        <v>1205</v>
      </c>
      <c r="Q1938" s="1" t="s">
        <v>2281</v>
      </c>
      <c r="R1938" s="1" t="s">
        <v>122</v>
      </c>
      <c r="S1938" s="1" t="s">
        <v>2293</v>
      </c>
      <c r="T1938" t="s">
        <v>396</v>
      </c>
      <c r="U1938" t="s">
        <v>2336</v>
      </c>
      <c r="X1938" t="s">
        <v>161</v>
      </c>
      <c r="Y1938" t="s">
        <v>2272</v>
      </c>
      <c r="Z1938" t="s">
        <v>2272</v>
      </c>
      <c r="AA1938" t="s">
        <v>2272</v>
      </c>
      <c r="AB1938" t="s">
        <v>2272</v>
      </c>
      <c r="AC1938" t="s">
        <v>162</v>
      </c>
      <c r="AD1938" t="s">
        <v>2272</v>
      </c>
      <c r="AF1938" t="s">
        <v>49</v>
      </c>
      <c r="AL1938" t="s">
        <v>49</v>
      </c>
      <c r="AM1938" t="s">
        <v>1209</v>
      </c>
      <c r="AN1938" t="s">
        <v>166</v>
      </c>
      <c r="AQ1938" s="5">
        <v>3</v>
      </c>
    </row>
    <row r="1939" spans="1:43" x14ac:dyDescent="0.2">
      <c r="A1939" t="s">
        <v>1198</v>
      </c>
      <c r="B1939" t="s">
        <v>1199</v>
      </c>
      <c r="C1939">
        <v>2017</v>
      </c>
      <c r="D1939" t="s">
        <v>44</v>
      </c>
      <c r="F1939" t="s">
        <v>1200</v>
      </c>
      <c r="G1939" t="s">
        <v>88</v>
      </c>
      <c r="H1939" t="s">
        <v>350</v>
      </c>
      <c r="K1939" t="s">
        <v>101</v>
      </c>
      <c r="L1939">
        <v>20</v>
      </c>
      <c r="M1939">
        <v>0.25</v>
      </c>
      <c r="N1939" t="s">
        <v>122</v>
      </c>
      <c r="O1939" t="s">
        <v>1203</v>
      </c>
      <c r="P1939" t="s">
        <v>1207</v>
      </c>
      <c r="Q1939" s="1" t="s">
        <v>2281</v>
      </c>
      <c r="R1939" s="1" t="s">
        <v>122</v>
      </c>
      <c r="S1939" s="1" t="s">
        <v>2294</v>
      </c>
      <c r="T1939" t="s">
        <v>396</v>
      </c>
      <c r="U1939" t="s">
        <v>2337</v>
      </c>
      <c r="X1939" t="s">
        <v>161</v>
      </c>
      <c r="Y1939" t="s">
        <v>2272</v>
      </c>
      <c r="Z1939" t="s">
        <v>2272</v>
      </c>
      <c r="AA1939" t="s">
        <v>2272</v>
      </c>
      <c r="AB1939" t="s">
        <v>2272</v>
      </c>
      <c r="AC1939" t="s">
        <v>162</v>
      </c>
      <c r="AD1939" t="s">
        <v>2272</v>
      </c>
      <c r="AF1939" t="s">
        <v>49</v>
      </c>
      <c r="AL1939" t="s">
        <v>49</v>
      </c>
      <c r="AM1939" t="s">
        <v>1209</v>
      </c>
      <c r="AN1939" t="s">
        <v>166</v>
      </c>
      <c r="AQ1939" s="5">
        <v>1</v>
      </c>
    </row>
    <row r="1940" spans="1:43" x14ac:dyDescent="0.2">
      <c r="A1940" t="s">
        <v>1198</v>
      </c>
      <c r="B1940" t="s">
        <v>1199</v>
      </c>
      <c r="C1940">
        <v>2017</v>
      </c>
      <c r="D1940" t="s">
        <v>44</v>
      </c>
      <c r="F1940" t="s">
        <v>1200</v>
      </c>
      <c r="G1940" t="s">
        <v>88</v>
      </c>
      <c r="H1940" t="s">
        <v>350</v>
      </c>
      <c r="K1940" t="s">
        <v>101</v>
      </c>
      <c r="L1940">
        <v>20</v>
      </c>
      <c r="M1940">
        <v>0.25</v>
      </c>
      <c r="N1940" t="s">
        <v>122</v>
      </c>
      <c r="O1940" t="s">
        <v>1201</v>
      </c>
      <c r="P1940" t="s">
        <v>1204</v>
      </c>
      <c r="Q1940" s="1" t="s">
        <v>2281</v>
      </c>
      <c r="R1940" s="1" t="s">
        <v>122</v>
      </c>
      <c r="S1940" s="1" t="s">
        <v>2294</v>
      </c>
      <c r="T1940" t="s">
        <v>396</v>
      </c>
      <c r="U1940" t="s">
        <v>2337</v>
      </c>
      <c r="X1940" t="s">
        <v>161</v>
      </c>
      <c r="Y1940" t="s">
        <v>2272</v>
      </c>
      <c r="Z1940" t="s">
        <v>2272</v>
      </c>
      <c r="AA1940" t="s">
        <v>2272</v>
      </c>
      <c r="AB1940" t="s">
        <v>2272</v>
      </c>
      <c r="AC1940" t="s">
        <v>162</v>
      </c>
      <c r="AD1940" t="s">
        <v>2272</v>
      </c>
      <c r="AF1940" t="s">
        <v>49</v>
      </c>
      <c r="AL1940" t="s">
        <v>49</v>
      </c>
      <c r="AM1940" t="s">
        <v>1209</v>
      </c>
      <c r="AN1940" t="s">
        <v>109</v>
      </c>
      <c r="AO1940" t="s">
        <v>1210</v>
      </c>
      <c r="AP1940" t="s">
        <v>49</v>
      </c>
    </row>
    <row r="1941" spans="1:43" x14ac:dyDescent="0.2">
      <c r="A1941" t="s">
        <v>1198</v>
      </c>
      <c r="B1941" t="s">
        <v>1199</v>
      </c>
      <c r="C1941">
        <v>2017</v>
      </c>
      <c r="D1941" t="s">
        <v>44</v>
      </c>
      <c r="F1941" t="s">
        <v>1200</v>
      </c>
      <c r="G1941" t="s">
        <v>88</v>
      </c>
      <c r="H1941" t="s">
        <v>350</v>
      </c>
      <c r="K1941" t="s">
        <v>101</v>
      </c>
      <c r="L1941">
        <v>20</v>
      </c>
      <c r="M1941">
        <v>0.25</v>
      </c>
      <c r="N1941" t="s">
        <v>122</v>
      </c>
      <c r="O1941" t="s">
        <v>1202</v>
      </c>
      <c r="P1941" t="s">
        <v>1205</v>
      </c>
      <c r="Q1941" s="1" t="s">
        <v>2281</v>
      </c>
      <c r="R1941" s="1" t="s">
        <v>122</v>
      </c>
      <c r="S1941" s="1" t="s">
        <v>2293</v>
      </c>
      <c r="T1941" t="s">
        <v>396</v>
      </c>
      <c r="U1941" t="s">
        <v>2336</v>
      </c>
      <c r="X1941" t="s">
        <v>161</v>
      </c>
      <c r="Y1941" t="s">
        <v>2272</v>
      </c>
      <c r="Z1941" t="s">
        <v>2272</v>
      </c>
      <c r="AA1941" t="s">
        <v>2272</v>
      </c>
      <c r="AB1941" t="s">
        <v>2272</v>
      </c>
      <c r="AC1941" t="s">
        <v>162</v>
      </c>
      <c r="AD1941" t="s">
        <v>2272</v>
      </c>
      <c r="AF1941" t="s">
        <v>49</v>
      </c>
      <c r="AL1941" t="s">
        <v>49</v>
      </c>
      <c r="AM1941" t="s">
        <v>1209</v>
      </c>
      <c r="AN1941" t="s">
        <v>109</v>
      </c>
      <c r="AO1941" t="s">
        <v>1210</v>
      </c>
      <c r="AP1941" t="s">
        <v>49</v>
      </c>
    </row>
    <row r="1942" spans="1:43" x14ac:dyDescent="0.2">
      <c r="A1942" t="s">
        <v>1198</v>
      </c>
      <c r="B1942" t="s">
        <v>1199</v>
      </c>
      <c r="C1942">
        <v>2017</v>
      </c>
      <c r="D1942" t="s">
        <v>44</v>
      </c>
      <c r="F1942" t="s">
        <v>1200</v>
      </c>
      <c r="G1942" t="s">
        <v>88</v>
      </c>
      <c r="H1942" t="s">
        <v>350</v>
      </c>
      <c r="K1942" t="s">
        <v>101</v>
      </c>
      <c r="L1942">
        <v>20</v>
      </c>
      <c r="M1942">
        <v>0.25</v>
      </c>
      <c r="N1942" t="s">
        <v>122</v>
      </c>
      <c r="O1942" t="s">
        <v>1203</v>
      </c>
      <c r="P1942" t="s">
        <v>1207</v>
      </c>
      <c r="Q1942" s="1" t="s">
        <v>2281</v>
      </c>
      <c r="R1942" s="1" t="s">
        <v>122</v>
      </c>
      <c r="S1942" s="1" t="s">
        <v>2294</v>
      </c>
      <c r="T1942" t="s">
        <v>396</v>
      </c>
      <c r="U1942" t="s">
        <v>2337</v>
      </c>
      <c r="X1942" t="s">
        <v>161</v>
      </c>
      <c r="Y1942" t="s">
        <v>2272</v>
      </c>
      <c r="Z1942" t="s">
        <v>2272</v>
      </c>
      <c r="AA1942" t="s">
        <v>2272</v>
      </c>
      <c r="AB1942" t="s">
        <v>2272</v>
      </c>
      <c r="AC1942" t="s">
        <v>162</v>
      </c>
      <c r="AD1942" t="s">
        <v>2272</v>
      </c>
      <c r="AF1942" t="s">
        <v>49</v>
      </c>
      <c r="AL1942" t="s">
        <v>49</v>
      </c>
      <c r="AM1942" t="s">
        <v>1209</v>
      </c>
      <c r="AN1942" t="s">
        <v>109</v>
      </c>
      <c r="AO1942" t="s">
        <v>1210</v>
      </c>
      <c r="AP1942" t="s">
        <v>49</v>
      </c>
    </row>
    <row r="1943" spans="1:43" x14ac:dyDescent="0.2">
      <c r="A1943" t="s">
        <v>1198</v>
      </c>
      <c r="B1943" t="s">
        <v>1199</v>
      </c>
      <c r="C1943">
        <v>2017</v>
      </c>
      <c r="D1943" t="s">
        <v>44</v>
      </c>
      <c r="F1943" t="s">
        <v>1200</v>
      </c>
      <c r="G1943" t="s">
        <v>88</v>
      </c>
      <c r="H1943" t="s">
        <v>350</v>
      </c>
      <c r="K1943" t="s">
        <v>101</v>
      </c>
      <c r="L1943">
        <v>20</v>
      </c>
      <c r="M1943">
        <v>0.25</v>
      </c>
      <c r="N1943" t="s">
        <v>122</v>
      </c>
      <c r="O1943" t="s">
        <v>1201</v>
      </c>
      <c r="P1943" t="s">
        <v>1204</v>
      </c>
      <c r="Q1943" s="1" t="s">
        <v>2281</v>
      </c>
      <c r="R1943" s="1" t="s">
        <v>122</v>
      </c>
      <c r="S1943" s="1" t="s">
        <v>2294</v>
      </c>
      <c r="T1943" t="s">
        <v>396</v>
      </c>
      <c r="U1943" t="s">
        <v>2337</v>
      </c>
      <c r="X1943" t="s">
        <v>161</v>
      </c>
      <c r="Y1943" t="s">
        <v>2272</v>
      </c>
      <c r="Z1943" t="s">
        <v>2272</v>
      </c>
      <c r="AA1943" t="s">
        <v>2272</v>
      </c>
      <c r="AB1943" t="s">
        <v>2272</v>
      </c>
      <c r="AC1943" t="s">
        <v>162</v>
      </c>
      <c r="AD1943" t="s">
        <v>2272</v>
      </c>
      <c r="AF1943" t="s">
        <v>49</v>
      </c>
      <c r="AL1943" t="s">
        <v>49</v>
      </c>
      <c r="AM1943" t="s">
        <v>1209</v>
      </c>
      <c r="AN1943" t="s">
        <v>109</v>
      </c>
      <c r="AO1943" t="s">
        <v>855</v>
      </c>
      <c r="AQ1943" s="5">
        <v>2</v>
      </c>
    </row>
    <row r="1944" spans="1:43" x14ac:dyDescent="0.2">
      <c r="A1944" t="s">
        <v>1198</v>
      </c>
      <c r="B1944" t="s">
        <v>1199</v>
      </c>
      <c r="C1944">
        <v>2017</v>
      </c>
      <c r="D1944" t="s">
        <v>44</v>
      </c>
      <c r="F1944" t="s">
        <v>1200</v>
      </c>
      <c r="G1944" t="s">
        <v>88</v>
      </c>
      <c r="H1944" t="s">
        <v>350</v>
      </c>
      <c r="K1944" t="s">
        <v>101</v>
      </c>
      <c r="L1944">
        <v>20</v>
      </c>
      <c r="M1944">
        <v>0.25</v>
      </c>
      <c r="N1944" t="s">
        <v>122</v>
      </c>
      <c r="O1944" t="s">
        <v>1202</v>
      </c>
      <c r="P1944" t="s">
        <v>1205</v>
      </c>
      <c r="Q1944" s="1" t="s">
        <v>2281</v>
      </c>
      <c r="R1944" s="1" t="s">
        <v>122</v>
      </c>
      <c r="S1944" s="1" t="s">
        <v>2293</v>
      </c>
      <c r="T1944" t="s">
        <v>396</v>
      </c>
      <c r="U1944" t="s">
        <v>2336</v>
      </c>
      <c r="X1944" t="s">
        <v>161</v>
      </c>
      <c r="Y1944" t="s">
        <v>2272</v>
      </c>
      <c r="Z1944" t="s">
        <v>2272</v>
      </c>
      <c r="AA1944" t="s">
        <v>2272</v>
      </c>
      <c r="AB1944" t="s">
        <v>2272</v>
      </c>
      <c r="AC1944" t="s">
        <v>162</v>
      </c>
      <c r="AD1944" t="s">
        <v>2272</v>
      </c>
      <c r="AF1944" t="s">
        <v>49</v>
      </c>
      <c r="AL1944" t="s">
        <v>49</v>
      </c>
      <c r="AM1944" t="s">
        <v>1209</v>
      </c>
      <c r="AN1944" t="s">
        <v>109</v>
      </c>
      <c r="AO1944" t="s">
        <v>855</v>
      </c>
      <c r="AQ1944" s="5">
        <v>1</v>
      </c>
    </row>
    <row r="1945" spans="1:43" x14ac:dyDescent="0.2">
      <c r="A1945" t="s">
        <v>1198</v>
      </c>
      <c r="B1945" t="s">
        <v>1199</v>
      </c>
      <c r="C1945">
        <v>2017</v>
      </c>
      <c r="D1945" t="s">
        <v>44</v>
      </c>
      <c r="F1945" t="s">
        <v>1200</v>
      </c>
      <c r="G1945" t="s">
        <v>88</v>
      </c>
      <c r="H1945" t="s">
        <v>350</v>
      </c>
      <c r="K1945" t="s">
        <v>101</v>
      </c>
      <c r="L1945">
        <v>20</v>
      </c>
      <c r="M1945">
        <v>0.25</v>
      </c>
      <c r="N1945" t="s">
        <v>122</v>
      </c>
      <c r="O1945" t="s">
        <v>1203</v>
      </c>
      <c r="P1945" t="s">
        <v>1207</v>
      </c>
      <c r="Q1945" s="1" t="s">
        <v>2281</v>
      </c>
      <c r="R1945" s="1" t="s">
        <v>122</v>
      </c>
      <c r="S1945" s="1" t="s">
        <v>2294</v>
      </c>
      <c r="T1945" t="s">
        <v>396</v>
      </c>
      <c r="U1945" t="s">
        <v>2337</v>
      </c>
      <c r="X1945" t="s">
        <v>161</v>
      </c>
      <c r="Y1945" t="s">
        <v>2272</v>
      </c>
      <c r="Z1945" t="s">
        <v>2272</v>
      </c>
      <c r="AA1945" t="s">
        <v>2272</v>
      </c>
      <c r="AB1945" t="s">
        <v>2272</v>
      </c>
      <c r="AC1945" t="s">
        <v>162</v>
      </c>
      <c r="AD1945" t="s">
        <v>2272</v>
      </c>
      <c r="AF1945" t="s">
        <v>49</v>
      </c>
      <c r="AL1945" t="s">
        <v>49</v>
      </c>
      <c r="AM1945" t="s">
        <v>1209</v>
      </c>
      <c r="AN1945" t="s">
        <v>109</v>
      </c>
      <c r="AO1945" t="s">
        <v>855</v>
      </c>
      <c r="AQ1945" s="5">
        <v>1</v>
      </c>
    </row>
    <row r="1946" spans="1:43" x14ac:dyDescent="0.2">
      <c r="A1946" t="s">
        <v>1198</v>
      </c>
      <c r="B1946" t="s">
        <v>1199</v>
      </c>
      <c r="C1946">
        <v>2017</v>
      </c>
      <c r="D1946" t="s">
        <v>44</v>
      </c>
      <c r="F1946" t="s">
        <v>1200</v>
      </c>
      <c r="G1946" t="s">
        <v>88</v>
      </c>
      <c r="H1946" t="s">
        <v>350</v>
      </c>
      <c r="K1946" t="s">
        <v>101</v>
      </c>
      <c r="L1946">
        <v>20</v>
      </c>
      <c r="M1946">
        <v>0.25</v>
      </c>
      <c r="N1946" t="s">
        <v>122</v>
      </c>
      <c r="O1946" t="s">
        <v>1201</v>
      </c>
      <c r="P1946" t="s">
        <v>1204</v>
      </c>
      <c r="Q1946" s="1" t="s">
        <v>2281</v>
      </c>
      <c r="R1946" s="1" t="s">
        <v>122</v>
      </c>
      <c r="S1946" s="1" t="s">
        <v>2294</v>
      </c>
      <c r="T1946" t="s">
        <v>396</v>
      </c>
      <c r="U1946" t="s">
        <v>2337</v>
      </c>
      <c r="X1946" t="s">
        <v>161</v>
      </c>
      <c r="Y1946" t="s">
        <v>2272</v>
      </c>
      <c r="Z1946" t="s">
        <v>2272</v>
      </c>
      <c r="AA1946" t="s">
        <v>2272</v>
      </c>
      <c r="AB1946" t="s">
        <v>2272</v>
      </c>
      <c r="AC1946" t="s">
        <v>162</v>
      </c>
      <c r="AD1946" t="s">
        <v>2272</v>
      </c>
      <c r="AF1946" t="s">
        <v>49</v>
      </c>
      <c r="AL1946" t="s">
        <v>49</v>
      </c>
      <c r="AM1946" t="s">
        <v>1209</v>
      </c>
      <c r="AN1946" t="s">
        <v>109</v>
      </c>
      <c r="AO1946" t="s">
        <v>1211</v>
      </c>
      <c r="AQ1946" s="5">
        <v>2</v>
      </c>
    </row>
    <row r="1947" spans="1:43" x14ac:dyDescent="0.2">
      <c r="A1947" t="s">
        <v>1198</v>
      </c>
      <c r="B1947" t="s">
        <v>1199</v>
      </c>
      <c r="C1947">
        <v>2017</v>
      </c>
      <c r="D1947" t="s">
        <v>44</v>
      </c>
      <c r="F1947" t="s">
        <v>1200</v>
      </c>
      <c r="G1947" t="s">
        <v>88</v>
      </c>
      <c r="H1947" t="s">
        <v>350</v>
      </c>
      <c r="K1947" t="s">
        <v>101</v>
      </c>
      <c r="L1947">
        <v>20</v>
      </c>
      <c r="M1947">
        <v>0.25</v>
      </c>
      <c r="N1947" t="s">
        <v>122</v>
      </c>
      <c r="O1947" t="s">
        <v>1202</v>
      </c>
      <c r="P1947" t="s">
        <v>1205</v>
      </c>
      <c r="Q1947" s="1" t="s">
        <v>2281</v>
      </c>
      <c r="R1947" s="1" t="s">
        <v>122</v>
      </c>
      <c r="S1947" s="1" t="s">
        <v>2293</v>
      </c>
      <c r="T1947" t="s">
        <v>396</v>
      </c>
      <c r="U1947" t="s">
        <v>2336</v>
      </c>
      <c r="X1947" t="s">
        <v>161</v>
      </c>
      <c r="Y1947" t="s">
        <v>2272</v>
      </c>
      <c r="Z1947" t="s">
        <v>2272</v>
      </c>
      <c r="AA1947" t="s">
        <v>2272</v>
      </c>
      <c r="AB1947" t="s">
        <v>2272</v>
      </c>
      <c r="AC1947" t="s">
        <v>162</v>
      </c>
      <c r="AD1947" t="s">
        <v>2272</v>
      </c>
      <c r="AF1947" t="s">
        <v>49</v>
      </c>
      <c r="AL1947" t="s">
        <v>49</v>
      </c>
      <c r="AM1947" t="s">
        <v>1209</v>
      </c>
      <c r="AN1947" t="s">
        <v>109</v>
      </c>
      <c r="AO1947" t="s">
        <v>1211</v>
      </c>
      <c r="AQ1947" s="5">
        <v>2</v>
      </c>
    </row>
    <row r="1948" spans="1:43" x14ac:dyDescent="0.2">
      <c r="A1948" t="s">
        <v>1198</v>
      </c>
      <c r="B1948" t="s">
        <v>1199</v>
      </c>
      <c r="C1948">
        <v>2017</v>
      </c>
      <c r="D1948" t="s">
        <v>44</v>
      </c>
      <c r="F1948" t="s">
        <v>1200</v>
      </c>
      <c r="G1948" t="s">
        <v>88</v>
      </c>
      <c r="H1948" t="s">
        <v>350</v>
      </c>
      <c r="K1948" t="s">
        <v>101</v>
      </c>
      <c r="L1948">
        <v>20</v>
      </c>
      <c r="M1948">
        <v>0.25</v>
      </c>
      <c r="N1948" t="s">
        <v>122</v>
      </c>
      <c r="O1948" t="s">
        <v>1203</v>
      </c>
      <c r="P1948" t="s">
        <v>1207</v>
      </c>
      <c r="Q1948" s="1" t="s">
        <v>2281</v>
      </c>
      <c r="R1948" s="1" t="s">
        <v>122</v>
      </c>
      <c r="S1948" s="1" t="s">
        <v>2294</v>
      </c>
      <c r="T1948" t="s">
        <v>396</v>
      </c>
      <c r="U1948" t="s">
        <v>2337</v>
      </c>
      <c r="X1948" t="s">
        <v>161</v>
      </c>
      <c r="Y1948" t="s">
        <v>2272</v>
      </c>
      <c r="Z1948" t="s">
        <v>2272</v>
      </c>
      <c r="AA1948" t="s">
        <v>2272</v>
      </c>
      <c r="AB1948" t="s">
        <v>2272</v>
      </c>
      <c r="AC1948" t="s">
        <v>162</v>
      </c>
      <c r="AD1948" t="s">
        <v>2272</v>
      </c>
      <c r="AF1948" t="s">
        <v>49</v>
      </c>
      <c r="AL1948" t="s">
        <v>49</v>
      </c>
      <c r="AM1948" t="s">
        <v>1209</v>
      </c>
      <c r="AN1948" t="s">
        <v>109</v>
      </c>
      <c r="AO1948" t="s">
        <v>1211</v>
      </c>
      <c r="AQ1948" s="5">
        <v>1</v>
      </c>
    </row>
    <row r="1949" spans="1:43" x14ac:dyDescent="0.2">
      <c r="A1949" t="s">
        <v>1198</v>
      </c>
      <c r="B1949" t="s">
        <v>1199</v>
      </c>
      <c r="C1949">
        <v>2017</v>
      </c>
      <c r="D1949" t="s">
        <v>44</v>
      </c>
      <c r="F1949" t="s">
        <v>1200</v>
      </c>
      <c r="G1949" t="s">
        <v>88</v>
      </c>
      <c r="H1949" t="s">
        <v>350</v>
      </c>
      <c r="K1949" t="s">
        <v>101</v>
      </c>
      <c r="L1949">
        <v>20</v>
      </c>
      <c r="M1949">
        <v>0.25</v>
      </c>
      <c r="N1949" t="s">
        <v>122</v>
      </c>
      <c r="O1949" t="s">
        <v>1201</v>
      </c>
      <c r="P1949" t="s">
        <v>1204</v>
      </c>
      <c r="Q1949" s="1" t="s">
        <v>2281</v>
      </c>
      <c r="R1949" s="1" t="s">
        <v>122</v>
      </c>
      <c r="S1949" s="1" t="s">
        <v>2294</v>
      </c>
      <c r="T1949" t="s">
        <v>396</v>
      </c>
      <c r="U1949" t="s">
        <v>2337</v>
      </c>
      <c r="X1949" t="s">
        <v>161</v>
      </c>
      <c r="Y1949" t="s">
        <v>2272</v>
      </c>
      <c r="Z1949" t="s">
        <v>2272</v>
      </c>
      <c r="AA1949" t="s">
        <v>2272</v>
      </c>
      <c r="AB1949" t="s">
        <v>2272</v>
      </c>
      <c r="AC1949" t="s">
        <v>162</v>
      </c>
      <c r="AD1949" t="s">
        <v>2272</v>
      </c>
      <c r="AF1949" t="s">
        <v>49</v>
      </c>
      <c r="AL1949" t="s">
        <v>49</v>
      </c>
      <c r="AM1949" t="s">
        <v>1209</v>
      </c>
      <c r="AN1949" t="s">
        <v>109</v>
      </c>
      <c r="AO1949" t="s">
        <v>1138</v>
      </c>
      <c r="AP1949" t="s">
        <v>51</v>
      </c>
      <c r="AQ1949" s="5">
        <v>0</v>
      </c>
    </row>
    <row r="1950" spans="1:43" x14ac:dyDescent="0.2">
      <c r="A1950" t="s">
        <v>1198</v>
      </c>
      <c r="B1950" t="s">
        <v>1199</v>
      </c>
      <c r="C1950">
        <v>2017</v>
      </c>
      <c r="D1950" t="s">
        <v>44</v>
      </c>
      <c r="F1950" t="s">
        <v>1200</v>
      </c>
      <c r="G1950" t="s">
        <v>88</v>
      </c>
      <c r="H1950" t="s">
        <v>350</v>
      </c>
      <c r="K1950" t="s">
        <v>101</v>
      </c>
      <c r="L1950">
        <v>20</v>
      </c>
      <c r="M1950">
        <v>0.25</v>
      </c>
      <c r="N1950" t="s">
        <v>122</v>
      </c>
      <c r="O1950" t="s">
        <v>1202</v>
      </c>
      <c r="P1950" t="s">
        <v>1205</v>
      </c>
      <c r="Q1950" s="1" t="s">
        <v>2281</v>
      </c>
      <c r="R1950" s="1" t="s">
        <v>122</v>
      </c>
      <c r="S1950" s="1" t="s">
        <v>2293</v>
      </c>
      <c r="T1950" t="s">
        <v>396</v>
      </c>
      <c r="U1950" t="s">
        <v>2336</v>
      </c>
      <c r="X1950" t="s">
        <v>161</v>
      </c>
      <c r="Y1950" t="s">
        <v>2272</v>
      </c>
      <c r="Z1950" t="s">
        <v>2272</v>
      </c>
      <c r="AA1950" t="s">
        <v>2272</v>
      </c>
      <c r="AB1950" t="s">
        <v>2272</v>
      </c>
      <c r="AC1950" t="s">
        <v>162</v>
      </c>
      <c r="AD1950" t="s">
        <v>2272</v>
      </c>
      <c r="AF1950" t="s">
        <v>49</v>
      </c>
      <c r="AL1950" t="s">
        <v>49</v>
      </c>
      <c r="AM1950" t="s">
        <v>1209</v>
      </c>
      <c r="AN1950" t="s">
        <v>109</v>
      </c>
      <c r="AO1950" t="s">
        <v>1138</v>
      </c>
      <c r="AP1950" t="s">
        <v>51</v>
      </c>
      <c r="AQ1950" s="5">
        <v>0</v>
      </c>
    </row>
    <row r="1951" spans="1:43" x14ac:dyDescent="0.2">
      <c r="A1951" t="s">
        <v>1198</v>
      </c>
      <c r="B1951" t="s">
        <v>1199</v>
      </c>
      <c r="C1951">
        <v>2017</v>
      </c>
      <c r="D1951" t="s">
        <v>44</v>
      </c>
      <c r="F1951" t="s">
        <v>1200</v>
      </c>
      <c r="G1951" t="s">
        <v>88</v>
      </c>
      <c r="H1951" t="s">
        <v>350</v>
      </c>
      <c r="K1951" t="s">
        <v>101</v>
      </c>
      <c r="L1951">
        <v>20</v>
      </c>
      <c r="M1951">
        <v>0.25</v>
      </c>
      <c r="N1951" t="s">
        <v>122</v>
      </c>
      <c r="O1951" t="s">
        <v>1203</v>
      </c>
      <c r="P1951" t="s">
        <v>1207</v>
      </c>
      <c r="Q1951" s="1" t="s">
        <v>2281</v>
      </c>
      <c r="R1951" s="1" t="s">
        <v>122</v>
      </c>
      <c r="S1951" s="1" t="s">
        <v>2294</v>
      </c>
      <c r="T1951" t="s">
        <v>396</v>
      </c>
      <c r="U1951" t="s">
        <v>2337</v>
      </c>
      <c r="X1951" t="s">
        <v>161</v>
      </c>
      <c r="Y1951" t="s">
        <v>2272</v>
      </c>
      <c r="Z1951" t="s">
        <v>2272</v>
      </c>
      <c r="AA1951" t="s">
        <v>2272</v>
      </c>
      <c r="AB1951" t="s">
        <v>2272</v>
      </c>
      <c r="AC1951" t="s">
        <v>162</v>
      </c>
      <c r="AD1951" t="s">
        <v>2272</v>
      </c>
      <c r="AF1951" t="s">
        <v>49</v>
      </c>
      <c r="AL1951" t="s">
        <v>49</v>
      </c>
      <c r="AM1951" t="s">
        <v>1209</v>
      </c>
      <c r="AN1951" t="s">
        <v>109</v>
      </c>
      <c r="AO1951" t="s">
        <v>1138</v>
      </c>
      <c r="AP1951" t="s">
        <v>51</v>
      </c>
      <c r="AQ1951" s="5">
        <v>0</v>
      </c>
    </row>
    <row r="1952" spans="1:43" x14ac:dyDescent="0.2">
      <c r="A1952" t="s">
        <v>1212</v>
      </c>
      <c r="B1952" t="s">
        <v>872</v>
      </c>
      <c r="C1952">
        <v>2017</v>
      </c>
      <c r="D1952" t="s">
        <v>44</v>
      </c>
      <c r="E1952" t="s">
        <v>49</v>
      </c>
      <c r="F1952" t="s">
        <v>81</v>
      </c>
      <c r="G1952" t="s">
        <v>86</v>
      </c>
      <c r="H1952" t="s">
        <v>350</v>
      </c>
      <c r="I1952" t="s">
        <v>1213</v>
      </c>
      <c r="J1952">
        <v>38</v>
      </c>
      <c r="K1952" t="s">
        <v>109</v>
      </c>
      <c r="L1952">
        <v>2</v>
      </c>
      <c r="M1952">
        <v>0.25</v>
      </c>
      <c r="N1952" t="s">
        <v>128</v>
      </c>
      <c r="O1952" t="s">
        <v>1214</v>
      </c>
      <c r="P1952" t="s">
        <v>2575</v>
      </c>
      <c r="Q1952" s="1" t="s">
        <v>2276</v>
      </c>
      <c r="R1952" s="1" t="s">
        <v>2350</v>
      </c>
      <c r="S1952" s="1" t="s">
        <v>2350</v>
      </c>
      <c r="X1952" t="s">
        <v>211</v>
      </c>
      <c r="Y1952" t="s">
        <v>2279</v>
      </c>
      <c r="Z1952" t="s">
        <v>2280</v>
      </c>
      <c r="AA1952" t="s">
        <v>2358</v>
      </c>
      <c r="AB1952" t="s">
        <v>2290</v>
      </c>
      <c r="AC1952" t="s">
        <v>152</v>
      </c>
      <c r="AD1952" t="s">
        <v>2278</v>
      </c>
      <c r="AE1952" t="s">
        <v>1215</v>
      </c>
    </row>
    <row r="1953" spans="1:44" x14ac:dyDescent="0.2">
      <c r="A1953" t="s">
        <v>1212</v>
      </c>
      <c r="B1953" t="s">
        <v>872</v>
      </c>
      <c r="C1953">
        <v>2017</v>
      </c>
      <c r="D1953" t="s">
        <v>44</v>
      </c>
      <c r="E1953" t="s">
        <v>49</v>
      </c>
      <c r="F1953" t="s">
        <v>81</v>
      </c>
      <c r="G1953" t="s">
        <v>86</v>
      </c>
      <c r="H1953" t="s">
        <v>350</v>
      </c>
      <c r="K1953" t="s">
        <v>101</v>
      </c>
      <c r="L1953">
        <v>2</v>
      </c>
      <c r="M1953">
        <v>0</v>
      </c>
      <c r="N1953" t="s">
        <v>128</v>
      </c>
      <c r="O1953" t="s">
        <v>1214</v>
      </c>
      <c r="P1953" t="s">
        <v>1217</v>
      </c>
      <c r="Q1953" s="1" t="s">
        <v>2276</v>
      </c>
      <c r="R1953" s="1" t="s">
        <v>2350</v>
      </c>
      <c r="S1953" s="1" t="s">
        <v>2350</v>
      </c>
      <c r="V1953" t="s">
        <v>194</v>
      </c>
      <c r="W1953" t="s">
        <v>1216</v>
      </c>
      <c r="X1953" t="s">
        <v>293</v>
      </c>
      <c r="Y1953" t="s">
        <v>2273</v>
      </c>
      <c r="Z1953" t="s">
        <v>249</v>
      </c>
      <c r="AA1953" t="s">
        <v>2359</v>
      </c>
      <c r="AB1953" t="s">
        <v>1419</v>
      </c>
      <c r="AC1953" t="s">
        <v>152</v>
      </c>
      <c r="AD1953" t="s">
        <v>137</v>
      </c>
      <c r="AR1953">
        <v>1</v>
      </c>
    </row>
    <row r="1954" spans="1:44" x14ac:dyDescent="0.2">
      <c r="A1954" t="s">
        <v>1212</v>
      </c>
      <c r="B1954" t="s">
        <v>872</v>
      </c>
      <c r="C1954">
        <v>2017</v>
      </c>
      <c r="D1954" t="s">
        <v>44</v>
      </c>
      <c r="E1954" t="s">
        <v>49</v>
      </c>
      <c r="F1954" t="s">
        <v>81</v>
      </c>
      <c r="G1954" t="s">
        <v>86</v>
      </c>
      <c r="H1954" t="s">
        <v>350</v>
      </c>
      <c r="K1954" t="s">
        <v>101</v>
      </c>
      <c r="L1954">
        <v>2</v>
      </c>
      <c r="M1954">
        <v>0</v>
      </c>
      <c r="N1954" t="s">
        <v>120</v>
      </c>
      <c r="O1954" t="s">
        <v>252</v>
      </c>
      <c r="P1954" t="s">
        <v>756</v>
      </c>
      <c r="Q1954" s="1" t="s">
        <v>2276</v>
      </c>
      <c r="R1954" s="1" t="s">
        <v>669</v>
      </c>
      <c r="S1954" s="1" t="s">
        <v>168</v>
      </c>
      <c r="T1954" t="s">
        <v>396</v>
      </c>
      <c r="V1954" t="s">
        <v>194</v>
      </c>
      <c r="W1954" t="s">
        <v>1216</v>
      </c>
      <c r="X1954" t="s">
        <v>148</v>
      </c>
      <c r="Y1954" t="s">
        <v>2273</v>
      </c>
      <c r="Z1954" t="s">
        <v>249</v>
      </c>
      <c r="AA1954" t="s">
        <v>2274</v>
      </c>
      <c r="AB1954" t="s">
        <v>2275</v>
      </c>
      <c r="AC1954" t="s">
        <v>152</v>
      </c>
      <c r="AD1954" t="s">
        <v>137</v>
      </c>
      <c r="AF1954" t="s">
        <v>49</v>
      </c>
      <c r="AI1954" t="s">
        <v>49</v>
      </c>
      <c r="AM1954" t="s">
        <v>262</v>
      </c>
      <c r="AN1954" t="s">
        <v>166</v>
      </c>
      <c r="AR1954">
        <v>1</v>
      </c>
    </row>
    <row r="1955" spans="1:44" x14ac:dyDescent="0.2">
      <c r="A1955" t="s">
        <v>1212</v>
      </c>
      <c r="B1955" t="s">
        <v>872</v>
      </c>
      <c r="C1955">
        <v>2017</v>
      </c>
      <c r="D1955" t="s">
        <v>44</v>
      </c>
      <c r="E1955" t="s">
        <v>49</v>
      </c>
      <c r="F1955" t="s">
        <v>81</v>
      </c>
      <c r="G1955" t="s">
        <v>86</v>
      </c>
      <c r="H1955" t="s">
        <v>350</v>
      </c>
      <c r="K1955" t="s">
        <v>101</v>
      </c>
      <c r="L1955">
        <v>2</v>
      </c>
      <c r="M1955">
        <v>0</v>
      </c>
      <c r="N1955" t="s">
        <v>128</v>
      </c>
      <c r="O1955" t="s">
        <v>1222</v>
      </c>
      <c r="P1955" t="s">
        <v>1218</v>
      </c>
      <c r="Q1955" s="1" t="s">
        <v>2276</v>
      </c>
      <c r="R1955" s="1" t="s">
        <v>755</v>
      </c>
      <c r="S1955" s="1" t="s">
        <v>2349</v>
      </c>
      <c r="T1955" t="s">
        <v>396</v>
      </c>
      <c r="V1955" t="s">
        <v>194</v>
      </c>
      <c r="W1955" t="s">
        <v>1216</v>
      </c>
      <c r="X1955" t="s">
        <v>148</v>
      </c>
      <c r="Y1955" t="s">
        <v>2273</v>
      </c>
      <c r="Z1955" t="s">
        <v>249</v>
      </c>
      <c r="AA1955" t="s">
        <v>2274</v>
      </c>
      <c r="AB1955" t="s">
        <v>2275</v>
      </c>
      <c r="AC1955" t="s">
        <v>152</v>
      </c>
      <c r="AD1955" t="s">
        <v>137</v>
      </c>
      <c r="AF1955" t="s">
        <v>49</v>
      </c>
      <c r="AI1955" t="s">
        <v>49</v>
      </c>
      <c r="AM1955" t="s">
        <v>262</v>
      </c>
      <c r="AN1955" t="s">
        <v>166</v>
      </c>
      <c r="AR1955">
        <v>1</v>
      </c>
    </row>
    <row r="1956" spans="1:44" x14ac:dyDescent="0.2">
      <c r="A1956" t="s">
        <v>1212</v>
      </c>
      <c r="B1956" t="s">
        <v>872</v>
      </c>
      <c r="C1956">
        <v>2017</v>
      </c>
      <c r="D1956" t="s">
        <v>44</v>
      </c>
      <c r="E1956" t="s">
        <v>49</v>
      </c>
      <c r="F1956" t="s">
        <v>81</v>
      </c>
      <c r="G1956" t="s">
        <v>86</v>
      </c>
      <c r="H1956" t="s">
        <v>350</v>
      </c>
      <c r="K1956" t="s">
        <v>101</v>
      </c>
      <c r="L1956">
        <v>2</v>
      </c>
      <c r="M1956">
        <v>0</v>
      </c>
      <c r="N1956" t="s">
        <v>128</v>
      </c>
      <c r="O1956" t="s">
        <v>1223</v>
      </c>
      <c r="P1956" t="s">
        <v>1007</v>
      </c>
      <c r="Q1956" s="1" t="s">
        <v>2276</v>
      </c>
      <c r="R1956" s="1" t="s">
        <v>751</v>
      </c>
      <c r="S1956" s="1" t="s">
        <v>2346</v>
      </c>
      <c r="T1956" t="s">
        <v>396</v>
      </c>
      <c r="V1956" t="s">
        <v>194</v>
      </c>
      <c r="W1956" t="s">
        <v>1216</v>
      </c>
      <c r="X1956" t="s">
        <v>148</v>
      </c>
      <c r="Y1956" t="s">
        <v>2273</v>
      </c>
      <c r="Z1956" t="s">
        <v>249</v>
      </c>
      <c r="AA1956" t="s">
        <v>2274</v>
      </c>
      <c r="AB1956" t="s">
        <v>2275</v>
      </c>
      <c r="AC1956" t="s">
        <v>152</v>
      </c>
      <c r="AD1956" t="s">
        <v>137</v>
      </c>
      <c r="AF1956" t="s">
        <v>49</v>
      </c>
      <c r="AI1956" t="s">
        <v>49</v>
      </c>
      <c r="AM1956" t="s">
        <v>262</v>
      </c>
      <c r="AN1956" t="s">
        <v>166</v>
      </c>
      <c r="AR1956">
        <v>1</v>
      </c>
    </row>
    <row r="1957" spans="1:44" x14ac:dyDescent="0.2">
      <c r="A1957" t="s">
        <v>1212</v>
      </c>
      <c r="B1957" t="s">
        <v>872</v>
      </c>
      <c r="C1957">
        <v>2017</v>
      </c>
      <c r="D1957" t="s">
        <v>44</v>
      </c>
      <c r="E1957" t="s">
        <v>49</v>
      </c>
      <c r="F1957" t="s">
        <v>81</v>
      </c>
      <c r="G1957" t="s">
        <v>86</v>
      </c>
      <c r="H1957" t="s">
        <v>350</v>
      </c>
      <c r="K1957" t="s">
        <v>101</v>
      </c>
      <c r="L1957">
        <v>2</v>
      </c>
      <c r="M1957">
        <v>0</v>
      </c>
      <c r="N1957" t="s">
        <v>128</v>
      </c>
      <c r="O1957" t="s">
        <v>1224</v>
      </c>
      <c r="P1957" t="s">
        <v>1219</v>
      </c>
      <c r="Q1957" s="1" t="s">
        <v>2276</v>
      </c>
      <c r="R1957" s="1" t="s">
        <v>669</v>
      </c>
      <c r="S1957" s="1" t="s">
        <v>168</v>
      </c>
      <c r="T1957" t="s">
        <v>396</v>
      </c>
      <c r="V1957" t="s">
        <v>194</v>
      </c>
      <c r="W1957" t="s">
        <v>1216</v>
      </c>
      <c r="X1957" t="s">
        <v>148</v>
      </c>
      <c r="Y1957" t="s">
        <v>2273</v>
      </c>
      <c r="Z1957" t="s">
        <v>249</v>
      </c>
      <c r="AA1957" t="s">
        <v>2274</v>
      </c>
      <c r="AB1957" t="s">
        <v>2275</v>
      </c>
      <c r="AC1957" t="s">
        <v>152</v>
      </c>
      <c r="AD1957" t="s">
        <v>137</v>
      </c>
      <c r="AF1957" t="s">
        <v>49</v>
      </c>
      <c r="AI1957" t="s">
        <v>49</v>
      </c>
      <c r="AM1957" t="s">
        <v>262</v>
      </c>
      <c r="AN1957" t="s">
        <v>166</v>
      </c>
      <c r="AR1957">
        <v>1</v>
      </c>
    </row>
    <row r="1958" spans="1:44" x14ac:dyDescent="0.2">
      <c r="A1958" t="s">
        <v>1212</v>
      </c>
      <c r="B1958" t="s">
        <v>872</v>
      </c>
      <c r="C1958">
        <v>2017</v>
      </c>
      <c r="D1958" t="s">
        <v>44</v>
      </c>
      <c r="E1958" t="s">
        <v>49</v>
      </c>
      <c r="F1958" t="s">
        <v>81</v>
      </c>
      <c r="G1958" t="s">
        <v>86</v>
      </c>
      <c r="H1958" t="s">
        <v>350</v>
      </c>
      <c r="K1958" t="s">
        <v>101</v>
      </c>
      <c r="L1958">
        <v>2</v>
      </c>
      <c r="M1958">
        <v>0</v>
      </c>
      <c r="N1958" t="s">
        <v>128</v>
      </c>
      <c r="O1958" t="s">
        <v>1224</v>
      </c>
      <c r="P1958" t="s">
        <v>1220</v>
      </c>
      <c r="Q1958" s="1" t="s">
        <v>2276</v>
      </c>
      <c r="R1958" s="1" t="s">
        <v>751</v>
      </c>
      <c r="S1958" s="1" t="s">
        <v>2346</v>
      </c>
      <c r="T1958" t="s">
        <v>396</v>
      </c>
      <c r="V1958" t="s">
        <v>194</v>
      </c>
      <c r="W1958" t="s">
        <v>1216</v>
      </c>
      <c r="X1958" t="s">
        <v>148</v>
      </c>
      <c r="Y1958" t="s">
        <v>2273</v>
      </c>
      <c r="Z1958" t="s">
        <v>249</v>
      </c>
      <c r="AA1958" t="s">
        <v>2274</v>
      </c>
      <c r="AB1958" t="s">
        <v>2275</v>
      </c>
      <c r="AC1958" t="s">
        <v>152</v>
      </c>
      <c r="AD1958" t="s">
        <v>137</v>
      </c>
      <c r="AF1958" t="s">
        <v>49</v>
      </c>
      <c r="AI1958" t="s">
        <v>49</v>
      </c>
      <c r="AM1958" t="s">
        <v>262</v>
      </c>
      <c r="AN1958" t="s">
        <v>166</v>
      </c>
      <c r="AR1958">
        <v>1</v>
      </c>
    </row>
    <row r="1959" spans="1:44" x14ac:dyDescent="0.2">
      <c r="A1959" t="s">
        <v>1212</v>
      </c>
      <c r="B1959" t="s">
        <v>872</v>
      </c>
      <c r="C1959">
        <v>2017</v>
      </c>
      <c r="D1959" t="s">
        <v>44</v>
      </c>
      <c r="E1959" t="s">
        <v>49</v>
      </c>
      <c r="F1959" t="s">
        <v>81</v>
      </c>
      <c r="G1959" t="s">
        <v>86</v>
      </c>
      <c r="H1959" t="s">
        <v>350</v>
      </c>
      <c r="K1959" t="s">
        <v>101</v>
      </c>
      <c r="L1959">
        <v>2</v>
      </c>
      <c r="M1959">
        <v>0</v>
      </c>
      <c r="N1959" t="s">
        <v>128</v>
      </c>
      <c r="O1959" t="s">
        <v>1222</v>
      </c>
      <c r="P1959" t="s">
        <v>754</v>
      </c>
      <c r="Q1959" s="1" t="s">
        <v>2276</v>
      </c>
      <c r="R1959" s="1" t="s">
        <v>755</v>
      </c>
      <c r="S1959" s="1" t="s">
        <v>2352</v>
      </c>
      <c r="T1959" t="s">
        <v>396</v>
      </c>
      <c r="V1959" t="s">
        <v>194</v>
      </c>
      <c r="W1959" t="s">
        <v>1216</v>
      </c>
      <c r="X1959" t="s">
        <v>148</v>
      </c>
      <c r="Y1959" t="s">
        <v>2273</v>
      </c>
      <c r="Z1959" t="s">
        <v>249</v>
      </c>
      <c r="AA1959" t="s">
        <v>2274</v>
      </c>
      <c r="AB1959" t="s">
        <v>2275</v>
      </c>
      <c r="AC1959" t="s">
        <v>152</v>
      </c>
      <c r="AD1959" t="s">
        <v>137</v>
      </c>
      <c r="AF1959" t="s">
        <v>49</v>
      </c>
      <c r="AI1959" t="s">
        <v>49</v>
      </c>
      <c r="AM1959" t="s">
        <v>262</v>
      </c>
      <c r="AN1959" t="s">
        <v>166</v>
      </c>
      <c r="AR1959">
        <v>1</v>
      </c>
    </row>
    <row r="1960" spans="1:44" x14ac:dyDescent="0.2">
      <c r="A1960" t="s">
        <v>1212</v>
      </c>
      <c r="B1960" t="s">
        <v>872</v>
      </c>
      <c r="C1960">
        <v>2017</v>
      </c>
      <c r="D1960" t="s">
        <v>44</v>
      </c>
      <c r="E1960" t="s">
        <v>49</v>
      </c>
      <c r="F1960" t="s">
        <v>81</v>
      </c>
      <c r="G1960" t="s">
        <v>86</v>
      </c>
      <c r="H1960" t="s">
        <v>350</v>
      </c>
      <c r="K1960" t="s">
        <v>101</v>
      </c>
      <c r="L1960">
        <v>2</v>
      </c>
      <c r="M1960">
        <v>0</v>
      </c>
      <c r="N1960" t="s">
        <v>128</v>
      </c>
      <c r="O1960" t="s">
        <v>1224</v>
      </c>
      <c r="P1960" t="s">
        <v>1221</v>
      </c>
      <c r="Q1960" s="1" t="s">
        <v>2276</v>
      </c>
      <c r="R1960" s="1" t="s">
        <v>751</v>
      </c>
      <c r="S1960" s="1" t="s">
        <v>2346</v>
      </c>
      <c r="T1960" t="s">
        <v>396</v>
      </c>
      <c r="V1960" t="s">
        <v>194</v>
      </c>
      <c r="W1960" t="s">
        <v>1216</v>
      </c>
      <c r="X1960" t="s">
        <v>148</v>
      </c>
      <c r="Y1960" t="s">
        <v>2273</v>
      </c>
      <c r="Z1960" t="s">
        <v>249</v>
      </c>
      <c r="AA1960" t="s">
        <v>2274</v>
      </c>
      <c r="AB1960" t="s">
        <v>2275</v>
      </c>
      <c r="AC1960" t="s">
        <v>152</v>
      </c>
      <c r="AD1960" t="s">
        <v>137</v>
      </c>
      <c r="AF1960" t="s">
        <v>49</v>
      </c>
      <c r="AI1960" t="s">
        <v>49</v>
      </c>
      <c r="AM1960" t="s">
        <v>262</v>
      </c>
      <c r="AN1960" t="s">
        <v>166</v>
      </c>
      <c r="AR1960">
        <v>1</v>
      </c>
    </row>
    <row r="1961" spans="1:44" x14ac:dyDescent="0.2">
      <c r="A1961" t="s">
        <v>1212</v>
      </c>
      <c r="B1961" t="s">
        <v>872</v>
      </c>
      <c r="C1961">
        <v>2017</v>
      </c>
      <c r="D1961" t="s">
        <v>44</v>
      </c>
      <c r="E1961" t="s">
        <v>49</v>
      </c>
      <c r="F1961" t="s">
        <v>81</v>
      </c>
      <c r="G1961" t="s">
        <v>86</v>
      </c>
      <c r="H1961" t="s">
        <v>350</v>
      </c>
      <c r="K1961" t="s">
        <v>101</v>
      </c>
      <c r="L1961">
        <v>2</v>
      </c>
      <c r="M1961">
        <v>0</v>
      </c>
      <c r="N1961" t="s">
        <v>128</v>
      </c>
      <c r="O1961" t="s">
        <v>1224</v>
      </c>
      <c r="P1961" t="s">
        <v>757</v>
      </c>
      <c r="Q1961" s="1" t="s">
        <v>2276</v>
      </c>
      <c r="R1961" s="1" t="s">
        <v>751</v>
      </c>
      <c r="S1961" s="1" t="s">
        <v>2346</v>
      </c>
      <c r="T1961" t="s">
        <v>396</v>
      </c>
      <c r="V1961" t="s">
        <v>194</v>
      </c>
      <c r="W1961" t="s">
        <v>1216</v>
      </c>
      <c r="X1961" t="s">
        <v>148</v>
      </c>
      <c r="Y1961" t="s">
        <v>2273</v>
      </c>
      <c r="Z1961" t="s">
        <v>249</v>
      </c>
      <c r="AA1961" t="s">
        <v>2274</v>
      </c>
      <c r="AB1961" t="s">
        <v>2275</v>
      </c>
      <c r="AC1961" t="s">
        <v>152</v>
      </c>
      <c r="AD1961" t="s">
        <v>137</v>
      </c>
      <c r="AF1961" t="s">
        <v>49</v>
      </c>
      <c r="AI1961" t="s">
        <v>49</v>
      </c>
      <c r="AM1961" t="s">
        <v>262</v>
      </c>
      <c r="AN1961" t="s">
        <v>166</v>
      </c>
      <c r="AR1961">
        <v>1</v>
      </c>
    </row>
    <row r="1962" spans="1:44" x14ac:dyDescent="0.2">
      <c r="A1962" t="s">
        <v>1212</v>
      </c>
      <c r="B1962" t="s">
        <v>872</v>
      </c>
      <c r="C1962">
        <v>2017</v>
      </c>
      <c r="D1962" t="s">
        <v>44</v>
      </c>
      <c r="E1962" t="s">
        <v>49</v>
      </c>
      <c r="F1962" t="s">
        <v>81</v>
      </c>
      <c r="G1962" t="s">
        <v>86</v>
      </c>
      <c r="H1962" t="s">
        <v>350</v>
      </c>
      <c r="K1962" t="s">
        <v>101</v>
      </c>
      <c r="L1962">
        <v>2</v>
      </c>
      <c r="M1962">
        <v>0</v>
      </c>
      <c r="N1962" t="s">
        <v>120</v>
      </c>
      <c r="O1962" t="s">
        <v>252</v>
      </c>
      <c r="P1962" t="s">
        <v>756</v>
      </c>
      <c r="Q1962" s="1" t="s">
        <v>2276</v>
      </c>
      <c r="R1962" s="1" t="s">
        <v>669</v>
      </c>
      <c r="S1962" s="1" t="s">
        <v>168</v>
      </c>
      <c r="T1962" t="s">
        <v>396</v>
      </c>
      <c r="V1962" t="s">
        <v>194</v>
      </c>
      <c r="W1962" t="s">
        <v>1216</v>
      </c>
      <c r="X1962" t="s">
        <v>148</v>
      </c>
      <c r="Y1962" t="s">
        <v>2273</v>
      </c>
      <c r="Z1962" t="s">
        <v>249</v>
      </c>
      <c r="AA1962" t="s">
        <v>2274</v>
      </c>
      <c r="AB1962" t="s">
        <v>2275</v>
      </c>
      <c r="AC1962" t="s">
        <v>152</v>
      </c>
      <c r="AD1962" t="s">
        <v>137</v>
      </c>
      <c r="AF1962" t="s">
        <v>49</v>
      </c>
      <c r="AI1962" t="s">
        <v>49</v>
      </c>
      <c r="AM1962" t="s">
        <v>262</v>
      </c>
      <c r="AN1962" t="s">
        <v>154</v>
      </c>
      <c r="AR1962">
        <v>1</v>
      </c>
    </row>
    <row r="1963" spans="1:44" x14ac:dyDescent="0.2">
      <c r="A1963" t="s">
        <v>1212</v>
      </c>
      <c r="B1963" t="s">
        <v>872</v>
      </c>
      <c r="C1963">
        <v>2017</v>
      </c>
      <c r="D1963" t="s">
        <v>44</v>
      </c>
      <c r="E1963" t="s">
        <v>49</v>
      </c>
      <c r="F1963" t="s">
        <v>81</v>
      </c>
      <c r="G1963" t="s">
        <v>86</v>
      </c>
      <c r="H1963" t="s">
        <v>350</v>
      </c>
      <c r="K1963" t="s">
        <v>101</v>
      </c>
      <c r="L1963">
        <v>2</v>
      </c>
      <c r="M1963">
        <v>0</v>
      </c>
      <c r="N1963" t="s">
        <v>128</v>
      </c>
      <c r="O1963" t="s">
        <v>1222</v>
      </c>
      <c r="P1963" t="s">
        <v>1218</v>
      </c>
      <c r="Q1963" s="1" t="s">
        <v>2276</v>
      </c>
      <c r="R1963" s="1" t="s">
        <v>755</v>
      </c>
      <c r="S1963" s="1" t="s">
        <v>2349</v>
      </c>
      <c r="T1963" t="s">
        <v>396</v>
      </c>
      <c r="V1963" t="s">
        <v>194</v>
      </c>
      <c r="W1963" t="s">
        <v>1216</v>
      </c>
      <c r="X1963" t="s">
        <v>148</v>
      </c>
      <c r="Y1963" t="s">
        <v>2273</v>
      </c>
      <c r="Z1963" t="s">
        <v>249</v>
      </c>
      <c r="AA1963" t="s">
        <v>2274</v>
      </c>
      <c r="AB1963" t="s">
        <v>2275</v>
      </c>
      <c r="AC1963" t="s">
        <v>152</v>
      </c>
      <c r="AD1963" t="s">
        <v>137</v>
      </c>
      <c r="AF1963" t="s">
        <v>49</v>
      </c>
      <c r="AI1963" t="s">
        <v>49</v>
      </c>
      <c r="AM1963" t="s">
        <v>262</v>
      </c>
      <c r="AN1963" t="s">
        <v>154</v>
      </c>
      <c r="AR1963">
        <v>1</v>
      </c>
    </row>
    <row r="1964" spans="1:44" x14ac:dyDescent="0.2">
      <c r="A1964" t="s">
        <v>1212</v>
      </c>
      <c r="B1964" t="s">
        <v>872</v>
      </c>
      <c r="C1964">
        <v>2017</v>
      </c>
      <c r="D1964" t="s">
        <v>44</v>
      </c>
      <c r="E1964" t="s">
        <v>49</v>
      </c>
      <c r="F1964" t="s">
        <v>81</v>
      </c>
      <c r="G1964" t="s">
        <v>86</v>
      </c>
      <c r="H1964" t="s">
        <v>350</v>
      </c>
      <c r="K1964" t="s">
        <v>101</v>
      </c>
      <c r="L1964">
        <v>2</v>
      </c>
      <c r="M1964">
        <v>0</v>
      </c>
      <c r="N1964" t="s">
        <v>128</v>
      </c>
      <c r="O1964" t="s">
        <v>1223</v>
      </c>
      <c r="P1964" t="s">
        <v>1007</v>
      </c>
      <c r="Q1964" s="1" t="s">
        <v>2276</v>
      </c>
      <c r="R1964" s="1" t="s">
        <v>751</v>
      </c>
      <c r="S1964" s="1" t="s">
        <v>2346</v>
      </c>
      <c r="T1964" t="s">
        <v>396</v>
      </c>
      <c r="V1964" t="s">
        <v>194</v>
      </c>
      <c r="W1964" t="s">
        <v>1216</v>
      </c>
      <c r="X1964" t="s">
        <v>148</v>
      </c>
      <c r="Y1964" t="s">
        <v>2273</v>
      </c>
      <c r="Z1964" t="s">
        <v>249</v>
      </c>
      <c r="AA1964" t="s">
        <v>2274</v>
      </c>
      <c r="AB1964" t="s">
        <v>2275</v>
      </c>
      <c r="AC1964" t="s">
        <v>152</v>
      </c>
      <c r="AD1964" t="s">
        <v>137</v>
      </c>
      <c r="AF1964" t="s">
        <v>49</v>
      </c>
      <c r="AI1964" t="s">
        <v>49</v>
      </c>
      <c r="AM1964" t="s">
        <v>262</v>
      </c>
      <c r="AN1964" t="s">
        <v>154</v>
      </c>
      <c r="AR1964">
        <v>1</v>
      </c>
    </row>
    <row r="1965" spans="1:44" x14ac:dyDescent="0.2">
      <c r="A1965" t="s">
        <v>1212</v>
      </c>
      <c r="B1965" t="s">
        <v>872</v>
      </c>
      <c r="C1965">
        <v>2017</v>
      </c>
      <c r="D1965" t="s">
        <v>44</v>
      </c>
      <c r="E1965" t="s">
        <v>49</v>
      </c>
      <c r="F1965" t="s">
        <v>81</v>
      </c>
      <c r="G1965" t="s">
        <v>86</v>
      </c>
      <c r="H1965" t="s">
        <v>350</v>
      </c>
      <c r="K1965" t="s">
        <v>101</v>
      </c>
      <c r="L1965">
        <v>2</v>
      </c>
      <c r="M1965">
        <v>0</v>
      </c>
      <c r="N1965" t="s">
        <v>128</v>
      </c>
      <c r="O1965" t="s">
        <v>1224</v>
      </c>
      <c r="P1965" t="s">
        <v>1219</v>
      </c>
      <c r="Q1965" s="1" t="s">
        <v>2276</v>
      </c>
      <c r="R1965" s="1" t="s">
        <v>669</v>
      </c>
      <c r="S1965" s="1" t="s">
        <v>168</v>
      </c>
      <c r="T1965" t="s">
        <v>396</v>
      </c>
      <c r="V1965" t="s">
        <v>194</v>
      </c>
      <c r="W1965" t="s">
        <v>1216</v>
      </c>
      <c r="X1965" t="s">
        <v>148</v>
      </c>
      <c r="Y1965" t="s">
        <v>2273</v>
      </c>
      <c r="Z1965" t="s">
        <v>249</v>
      </c>
      <c r="AA1965" t="s">
        <v>2274</v>
      </c>
      <c r="AB1965" t="s">
        <v>2275</v>
      </c>
      <c r="AC1965" t="s">
        <v>152</v>
      </c>
      <c r="AD1965" t="s">
        <v>137</v>
      </c>
      <c r="AF1965" t="s">
        <v>49</v>
      </c>
      <c r="AI1965" t="s">
        <v>49</v>
      </c>
      <c r="AM1965" t="s">
        <v>262</v>
      </c>
      <c r="AN1965" t="s">
        <v>154</v>
      </c>
      <c r="AR1965">
        <v>1</v>
      </c>
    </row>
    <row r="1966" spans="1:44" x14ac:dyDescent="0.2">
      <c r="A1966" t="s">
        <v>1212</v>
      </c>
      <c r="B1966" t="s">
        <v>872</v>
      </c>
      <c r="C1966">
        <v>2017</v>
      </c>
      <c r="D1966" t="s">
        <v>44</v>
      </c>
      <c r="E1966" t="s">
        <v>49</v>
      </c>
      <c r="F1966" t="s">
        <v>81</v>
      </c>
      <c r="G1966" t="s">
        <v>86</v>
      </c>
      <c r="H1966" t="s">
        <v>350</v>
      </c>
      <c r="K1966" t="s">
        <v>101</v>
      </c>
      <c r="L1966">
        <v>2</v>
      </c>
      <c r="M1966">
        <v>0</v>
      </c>
      <c r="N1966" t="s">
        <v>128</v>
      </c>
      <c r="O1966" t="s">
        <v>1224</v>
      </c>
      <c r="P1966" t="s">
        <v>1220</v>
      </c>
      <c r="Q1966" s="1" t="s">
        <v>2276</v>
      </c>
      <c r="R1966" s="1" t="s">
        <v>751</v>
      </c>
      <c r="S1966" s="1" t="s">
        <v>2346</v>
      </c>
      <c r="T1966" t="s">
        <v>396</v>
      </c>
      <c r="V1966" t="s">
        <v>194</v>
      </c>
      <c r="W1966" t="s">
        <v>1216</v>
      </c>
      <c r="X1966" t="s">
        <v>148</v>
      </c>
      <c r="Y1966" t="s">
        <v>2273</v>
      </c>
      <c r="Z1966" t="s">
        <v>249</v>
      </c>
      <c r="AA1966" t="s">
        <v>2274</v>
      </c>
      <c r="AB1966" t="s">
        <v>2275</v>
      </c>
      <c r="AC1966" t="s">
        <v>152</v>
      </c>
      <c r="AD1966" t="s">
        <v>137</v>
      </c>
      <c r="AF1966" t="s">
        <v>49</v>
      </c>
      <c r="AI1966" t="s">
        <v>49</v>
      </c>
      <c r="AM1966" t="s">
        <v>262</v>
      </c>
      <c r="AN1966" t="s">
        <v>154</v>
      </c>
      <c r="AR1966">
        <v>1</v>
      </c>
    </row>
    <row r="1967" spans="1:44" x14ac:dyDescent="0.2">
      <c r="A1967" t="s">
        <v>1212</v>
      </c>
      <c r="B1967" t="s">
        <v>872</v>
      </c>
      <c r="C1967">
        <v>2017</v>
      </c>
      <c r="D1967" t="s">
        <v>44</v>
      </c>
      <c r="E1967" t="s">
        <v>49</v>
      </c>
      <c r="F1967" t="s">
        <v>81</v>
      </c>
      <c r="G1967" t="s">
        <v>86</v>
      </c>
      <c r="H1967" t="s">
        <v>350</v>
      </c>
      <c r="K1967" t="s">
        <v>101</v>
      </c>
      <c r="L1967">
        <v>2</v>
      </c>
      <c r="M1967">
        <v>0</v>
      </c>
      <c r="N1967" t="s">
        <v>128</v>
      </c>
      <c r="O1967" t="s">
        <v>1222</v>
      </c>
      <c r="P1967" t="s">
        <v>754</v>
      </c>
      <c r="Q1967" s="1" t="s">
        <v>2276</v>
      </c>
      <c r="R1967" s="1" t="s">
        <v>755</v>
      </c>
      <c r="S1967" s="1" t="s">
        <v>2352</v>
      </c>
      <c r="T1967" t="s">
        <v>396</v>
      </c>
      <c r="V1967" t="s">
        <v>194</v>
      </c>
      <c r="W1967" t="s">
        <v>1216</v>
      </c>
      <c r="X1967" t="s">
        <v>148</v>
      </c>
      <c r="Y1967" t="s">
        <v>2273</v>
      </c>
      <c r="Z1967" t="s">
        <v>249</v>
      </c>
      <c r="AA1967" t="s">
        <v>2274</v>
      </c>
      <c r="AB1967" t="s">
        <v>2275</v>
      </c>
      <c r="AC1967" t="s">
        <v>152</v>
      </c>
      <c r="AD1967" t="s">
        <v>137</v>
      </c>
      <c r="AF1967" t="s">
        <v>49</v>
      </c>
      <c r="AI1967" t="s">
        <v>49</v>
      </c>
      <c r="AM1967" t="s">
        <v>262</v>
      </c>
      <c r="AN1967" t="s">
        <v>154</v>
      </c>
      <c r="AR1967">
        <v>1</v>
      </c>
    </row>
    <row r="1968" spans="1:44" x14ac:dyDescent="0.2">
      <c r="A1968" t="s">
        <v>1212</v>
      </c>
      <c r="B1968" t="s">
        <v>872</v>
      </c>
      <c r="C1968">
        <v>2017</v>
      </c>
      <c r="D1968" t="s">
        <v>44</v>
      </c>
      <c r="E1968" t="s">
        <v>49</v>
      </c>
      <c r="F1968" t="s">
        <v>81</v>
      </c>
      <c r="G1968" t="s">
        <v>86</v>
      </c>
      <c r="H1968" t="s">
        <v>350</v>
      </c>
      <c r="K1968" t="s">
        <v>101</v>
      </c>
      <c r="L1968">
        <v>2</v>
      </c>
      <c r="M1968">
        <v>0</v>
      </c>
      <c r="N1968" t="s">
        <v>128</v>
      </c>
      <c r="O1968" t="s">
        <v>1224</v>
      </c>
      <c r="P1968" t="s">
        <v>1221</v>
      </c>
      <c r="Q1968" s="1" t="s">
        <v>2276</v>
      </c>
      <c r="R1968" s="1" t="s">
        <v>751</v>
      </c>
      <c r="S1968" s="1" t="s">
        <v>2346</v>
      </c>
      <c r="T1968" t="s">
        <v>396</v>
      </c>
      <c r="V1968" t="s">
        <v>194</v>
      </c>
      <c r="W1968" t="s">
        <v>1216</v>
      </c>
      <c r="X1968" t="s">
        <v>148</v>
      </c>
      <c r="Y1968" t="s">
        <v>2273</v>
      </c>
      <c r="Z1968" t="s">
        <v>249</v>
      </c>
      <c r="AA1968" t="s">
        <v>2274</v>
      </c>
      <c r="AB1968" t="s">
        <v>2275</v>
      </c>
      <c r="AC1968" t="s">
        <v>152</v>
      </c>
      <c r="AD1968" t="s">
        <v>137</v>
      </c>
      <c r="AF1968" t="s">
        <v>49</v>
      </c>
      <c r="AI1968" t="s">
        <v>49</v>
      </c>
      <c r="AM1968" t="s">
        <v>262</v>
      </c>
      <c r="AN1968" t="s">
        <v>154</v>
      </c>
      <c r="AR1968">
        <v>1</v>
      </c>
    </row>
    <row r="1969" spans="1:45" x14ac:dyDescent="0.2">
      <c r="A1969" t="s">
        <v>1212</v>
      </c>
      <c r="B1969" t="s">
        <v>872</v>
      </c>
      <c r="C1969">
        <v>2017</v>
      </c>
      <c r="D1969" t="s">
        <v>44</v>
      </c>
      <c r="E1969" t="s">
        <v>49</v>
      </c>
      <c r="F1969" t="s">
        <v>81</v>
      </c>
      <c r="G1969" t="s">
        <v>86</v>
      </c>
      <c r="H1969" t="s">
        <v>350</v>
      </c>
      <c r="K1969" t="s">
        <v>101</v>
      </c>
      <c r="L1969">
        <v>2</v>
      </c>
      <c r="M1969">
        <v>0</v>
      </c>
      <c r="N1969" t="s">
        <v>128</v>
      </c>
      <c r="O1969" t="s">
        <v>1224</v>
      </c>
      <c r="P1969" t="s">
        <v>757</v>
      </c>
      <c r="Q1969" s="1" t="s">
        <v>2276</v>
      </c>
      <c r="R1969" s="1" t="s">
        <v>751</v>
      </c>
      <c r="S1969" s="1" t="s">
        <v>2346</v>
      </c>
      <c r="T1969" t="s">
        <v>396</v>
      </c>
      <c r="V1969" t="s">
        <v>194</v>
      </c>
      <c r="W1969" t="s">
        <v>1216</v>
      </c>
      <c r="X1969" t="s">
        <v>148</v>
      </c>
      <c r="Y1969" t="s">
        <v>2273</v>
      </c>
      <c r="Z1969" t="s">
        <v>249</v>
      </c>
      <c r="AA1969" t="s">
        <v>2274</v>
      </c>
      <c r="AB1969" t="s">
        <v>2275</v>
      </c>
      <c r="AC1969" t="s">
        <v>152</v>
      </c>
      <c r="AD1969" t="s">
        <v>137</v>
      </c>
      <c r="AF1969" t="s">
        <v>49</v>
      </c>
      <c r="AI1969" t="s">
        <v>49</v>
      </c>
      <c r="AM1969" t="s">
        <v>262</v>
      </c>
      <c r="AN1969" t="s">
        <v>154</v>
      </c>
      <c r="AR1969">
        <v>1</v>
      </c>
    </row>
    <row r="1970" spans="1:45" x14ac:dyDescent="0.2">
      <c r="A1970" t="s">
        <v>1212</v>
      </c>
      <c r="B1970" t="s">
        <v>872</v>
      </c>
      <c r="C1970">
        <v>2017</v>
      </c>
      <c r="D1970" t="s">
        <v>44</v>
      </c>
      <c r="E1970" t="s">
        <v>49</v>
      </c>
      <c r="F1970" t="s">
        <v>81</v>
      </c>
      <c r="G1970" t="s">
        <v>86</v>
      </c>
      <c r="H1970" t="s">
        <v>350</v>
      </c>
      <c r="K1970" t="s">
        <v>101</v>
      </c>
      <c r="L1970">
        <v>2</v>
      </c>
      <c r="M1970">
        <v>0</v>
      </c>
      <c r="N1970" t="s">
        <v>128</v>
      </c>
      <c r="O1970" t="s">
        <v>1214</v>
      </c>
      <c r="P1970" t="s">
        <v>1225</v>
      </c>
      <c r="Q1970" s="1" t="s">
        <v>2276</v>
      </c>
      <c r="R1970" s="1" t="s">
        <v>2350</v>
      </c>
      <c r="S1970" s="1" t="s">
        <v>2350</v>
      </c>
      <c r="T1970" t="s">
        <v>396</v>
      </c>
      <c r="U1970" s="1" t="s">
        <v>2350</v>
      </c>
      <c r="V1970" t="s">
        <v>194</v>
      </c>
      <c r="W1970" t="s">
        <v>1216</v>
      </c>
      <c r="X1970" t="s">
        <v>161</v>
      </c>
      <c r="Y1970" t="s">
        <v>2272</v>
      </c>
      <c r="Z1970" t="s">
        <v>2272</v>
      </c>
      <c r="AA1970" t="s">
        <v>2272</v>
      </c>
      <c r="AB1970" t="s">
        <v>2272</v>
      </c>
      <c r="AC1970" t="s">
        <v>162</v>
      </c>
      <c r="AD1970" t="s">
        <v>2272</v>
      </c>
      <c r="AF1970" t="s">
        <v>49</v>
      </c>
      <c r="AI1970" t="s">
        <v>49</v>
      </c>
      <c r="AM1970" t="s">
        <v>262</v>
      </c>
      <c r="AN1970" t="s">
        <v>154</v>
      </c>
      <c r="AP1970" t="s">
        <v>51</v>
      </c>
      <c r="AR1970">
        <v>1</v>
      </c>
    </row>
    <row r="1971" spans="1:45" x14ac:dyDescent="0.2">
      <c r="A1971" t="s">
        <v>1212</v>
      </c>
      <c r="B1971" t="s">
        <v>872</v>
      </c>
      <c r="C1971">
        <v>2017</v>
      </c>
      <c r="D1971" t="s">
        <v>44</v>
      </c>
      <c r="E1971" t="s">
        <v>49</v>
      </c>
      <c r="F1971" t="s">
        <v>81</v>
      </c>
      <c r="G1971" t="s">
        <v>86</v>
      </c>
      <c r="H1971" t="s">
        <v>350</v>
      </c>
      <c r="K1971" t="s">
        <v>101</v>
      </c>
      <c r="L1971">
        <v>2</v>
      </c>
      <c r="M1971">
        <v>0</v>
      </c>
      <c r="N1971" t="s">
        <v>128</v>
      </c>
      <c r="O1971" t="s">
        <v>1214</v>
      </c>
      <c r="P1971" t="s">
        <v>1216</v>
      </c>
      <c r="Q1971" s="1" t="s">
        <v>2276</v>
      </c>
      <c r="R1971" s="1" t="s">
        <v>2350</v>
      </c>
      <c r="S1971" s="1" t="s">
        <v>2350</v>
      </c>
      <c r="T1971" t="s">
        <v>396</v>
      </c>
      <c r="U1971" s="1" t="s">
        <v>2350</v>
      </c>
      <c r="V1971" t="s">
        <v>194</v>
      </c>
      <c r="W1971" t="s">
        <v>1216</v>
      </c>
      <c r="X1971" t="s">
        <v>161</v>
      </c>
      <c r="Y1971" t="s">
        <v>2272</v>
      </c>
      <c r="Z1971" t="s">
        <v>2272</v>
      </c>
      <c r="AA1971" t="s">
        <v>2272</v>
      </c>
      <c r="AB1971" t="s">
        <v>2272</v>
      </c>
      <c r="AC1971" t="s">
        <v>162</v>
      </c>
      <c r="AD1971" t="s">
        <v>2272</v>
      </c>
      <c r="AF1971" t="s">
        <v>49</v>
      </c>
      <c r="AI1971" t="s">
        <v>49</v>
      </c>
      <c r="AM1971" t="s">
        <v>262</v>
      </c>
      <c r="AN1971" t="s">
        <v>154</v>
      </c>
      <c r="AP1971" t="s">
        <v>51</v>
      </c>
      <c r="AR1971">
        <v>1</v>
      </c>
    </row>
    <row r="1972" spans="1:45" x14ac:dyDescent="0.2">
      <c r="A1972" t="s">
        <v>1212</v>
      </c>
      <c r="B1972" t="s">
        <v>872</v>
      </c>
      <c r="C1972">
        <v>2017</v>
      </c>
      <c r="D1972" t="s">
        <v>44</v>
      </c>
      <c r="E1972" t="s">
        <v>49</v>
      </c>
      <c r="F1972" t="s">
        <v>81</v>
      </c>
      <c r="G1972" t="s">
        <v>86</v>
      </c>
      <c r="H1972" t="s">
        <v>350</v>
      </c>
      <c r="K1972" t="s">
        <v>101</v>
      </c>
      <c r="L1972">
        <v>2</v>
      </c>
      <c r="M1972">
        <v>0</v>
      </c>
      <c r="N1972" t="s">
        <v>128</v>
      </c>
      <c r="O1972" t="s">
        <v>1214</v>
      </c>
      <c r="P1972" t="s">
        <v>1225</v>
      </c>
      <c r="Q1972" s="1" t="s">
        <v>2276</v>
      </c>
      <c r="R1972" s="1" t="s">
        <v>2350</v>
      </c>
      <c r="S1972" s="1" t="s">
        <v>2350</v>
      </c>
      <c r="T1972" t="s">
        <v>396</v>
      </c>
      <c r="U1972" s="1" t="s">
        <v>2350</v>
      </c>
      <c r="V1972" t="s">
        <v>194</v>
      </c>
      <c r="W1972" t="s">
        <v>1216</v>
      </c>
      <c r="X1972" t="s">
        <v>161</v>
      </c>
      <c r="Y1972" t="s">
        <v>2272</v>
      </c>
      <c r="Z1972" t="s">
        <v>2272</v>
      </c>
      <c r="AA1972" t="s">
        <v>2272</v>
      </c>
      <c r="AB1972" t="s">
        <v>2272</v>
      </c>
      <c r="AC1972" t="s">
        <v>162</v>
      </c>
      <c r="AD1972" t="s">
        <v>2272</v>
      </c>
      <c r="AF1972" t="s">
        <v>49</v>
      </c>
      <c r="AI1972" t="s">
        <v>49</v>
      </c>
      <c r="AM1972" t="s">
        <v>262</v>
      </c>
      <c r="AN1972" t="s">
        <v>165</v>
      </c>
      <c r="AR1972">
        <v>1</v>
      </c>
    </row>
    <row r="1973" spans="1:45" x14ac:dyDescent="0.2">
      <c r="A1973" t="s">
        <v>1212</v>
      </c>
      <c r="B1973" t="s">
        <v>872</v>
      </c>
      <c r="C1973">
        <v>2017</v>
      </c>
      <c r="D1973" t="s">
        <v>44</v>
      </c>
      <c r="E1973" t="s">
        <v>49</v>
      </c>
      <c r="F1973" t="s">
        <v>81</v>
      </c>
      <c r="G1973" t="s">
        <v>86</v>
      </c>
      <c r="H1973" t="s">
        <v>350</v>
      </c>
      <c r="K1973" t="s">
        <v>101</v>
      </c>
      <c r="L1973">
        <v>2</v>
      </c>
      <c r="M1973">
        <v>0</v>
      </c>
      <c r="N1973" t="s">
        <v>128</v>
      </c>
      <c r="O1973" t="s">
        <v>1214</v>
      </c>
      <c r="P1973" t="s">
        <v>1216</v>
      </c>
      <c r="Q1973" s="1" t="s">
        <v>2276</v>
      </c>
      <c r="R1973" s="1" t="s">
        <v>2350</v>
      </c>
      <c r="S1973" s="1" t="s">
        <v>2350</v>
      </c>
      <c r="T1973" t="s">
        <v>396</v>
      </c>
      <c r="U1973" s="1" t="s">
        <v>2350</v>
      </c>
      <c r="V1973" t="s">
        <v>194</v>
      </c>
      <c r="W1973" t="s">
        <v>1216</v>
      </c>
      <c r="X1973" t="s">
        <v>161</v>
      </c>
      <c r="Y1973" t="s">
        <v>2272</v>
      </c>
      <c r="Z1973" t="s">
        <v>2272</v>
      </c>
      <c r="AA1973" t="s">
        <v>2272</v>
      </c>
      <c r="AB1973" t="s">
        <v>2272</v>
      </c>
      <c r="AC1973" t="s">
        <v>162</v>
      </c>
      <c r="AD1973" t="s">
        <v>2272</v>
      </c>
      <c r="AF1973" t="s">
        <v>49</v>
      </c>
      <c r="AI1973" t="s">
        <v>49</v>
      </c>
      <c r="AM1973" t="s">
        <v>262</v>
      </c>
      <c r="AN1973" t="s">
        <v>165</v>
      </c>
      <c r="AR1973">
        <v>1</v>
      </c>
    </row>
    <row r="1974" spans="1:45" x14ac:dyDescent="0.2">
      <c r="A1974" t="s">
        <v>1212</v>
      </c>
      <c r="B1974" t="s">
        <v>872</v>
      </c>
      <c r="C1974">
        <v>2017</v>
      </c>
      <c r="D1974" t="s">
        <v>44</v>
      </c>
      <c r="E1974" t="s">
        <v>49</v>
      </c>
      <c r="F1974" t="s">
        <v>81</v>
      </c>
      <c r="G1974" t="s">
        <v>86</v>
      </c>
      <c r="H1974" t="s">
        <v>350</v>
      </c>
      <c r="I1974" t="s">
        <v>1213</v>
      </c>
      <c r="J1974">
        <v>39</v>
      </c>
      <c r="K1974" t="s">
        <v>109</v>
      </c>
      <c r="L1974">
        <v>2</v>
      </c>
      <c r="M1974">
        <v>0.25</v>
      </c>
      <c r="N1974" t="s">
        <v>128</v>
      </c>
      <c r="O1974" t="s">
        <v>1214</v>
      </c>
      <c r="P1974" t="s">
        <v>2575</v>
      </c>
      <c r="Q1974" s="1" t="s">
        <v>2276</v>
      </c>
      <c r="R1974" s="1" t="s">
        <v>2350</v>
      </c>
      <c r="S1974" s="1" t="s">
        <v>2350</v>
      </c>
      <c r="V1974" t="s">
        <v>194</v>
      </c>
      <c r="W1974" t="s">
        <v>1216</v>
      </c>
      <c r="X1974" t="s">
        <v>163</v>
      </c>
      <c r="Y1974" t="s">
        <v>2279</v>
      </c>
      <c r="Z1974" t="s">
        <v>2280</v>
      </c>
      <c r="AA1974" t="s">
        <v>2286</v>
      </c>
      <c r="AB1974" t="s">
        <v>2287</v>
      </c>
      <c r="AC1974" t="s">
        <v>315</v>
      </c>
      <c r="AD1974" t="s">
        <v>2278</v>
      </c>
      <c r="AE1974" t="s">
        <v>1215</v>
      </c>
      <c r="AF1974" t="s">
        <v>49</v>
      </c>
      <c r="AI1974" t="s">
        <v>49</v>
      </c>
      <c r="AM1974" t="s">
        <v>262</v>
      </c>
      <c r="AN1974" t="s">
        <v>166</v>
      </c>
      <c r="AP1974" t="s">
        <v>157</v>
      </c>
      <c r="AR1974">
        <v>1</v>
      </c>
    </row>
    <row r="1975" spans="1:45" x14ac:dyDescent="0.2">
      <c r="A1975" t="s">
        <v>1212</v>
      </c>
      <c r="B1975" t="s">
        <v>872</v>
      </c>
      <c r="C1975">
        <v>2017</v>
      </c>
      <c r="D1975" t="s">
        <v>44</v>
      </c>
      <c r="E1975" t="s">
        <v>49</v>
      </c>
      <c r="F1975" t="s">
        <v>81</v>
      </c>
      <c r="G1975" t="s">
        <v>86</v>
      </c>
      <c r="H1975" t="s">
        <v>350</v>
      </c>
      <c r="I1975" t="s">
        <v>1213</v>
      </c>
      <c r="J1975">
        <v>39</v>
      </c>
      <c r="K1975" t="s">
        <v>109</v>
      </c>
      <c r="L1975">
        <v>2</v>
      </c>
      <c r="M1975">
        <v>0.25</v>
      </c>
      <c r="N1975" t="s">
        <v>128</v>
      </c>
      <c r="O1975" t="s">
        <v>1214</v>
      </c>
      <c r="P1975" t="s">
        <v>2575</v>
      </c>
      <c r="Q1975" s="1" t="s">
        <v>2276</v>
      </c>
      <c r="R1975" s="1" t="s">
        <v>2350</v>
      </c>
      <c r="S1975" s="1" t="s">
        <v>2350</v>
      </c>
      <c r="V1975" t="s">
        <v>194</v>
      </c>
      <c r="W1975" t="s">
        <v>1216</v>
      </c>
      <c r="X1975" t="s">
        <v>163</v>
      </c>
      <c r="Y1975" t="s">
        <v>2279</v>
      </c>
      <c r="Z1975" t="s">
        <v>2280</v>
      </c>
      <c r="AA1975" t="s">
        <v>2286</v>
      </c>
      <c r="AB1975" t="s">
        <v>2287</v>
      </c>
      <c r="AC1975" t="s">
        <v>315</v>
      </c>
      <c r="AD1975" t="s">
        <v>2278</v>
      </c>
      <c r="AE1975" t="s">
        <v>1215</v>
      </c>
      <c r="AF1975" t="s">
        <v>49</v>
      </c>
      <c r="AI1975" t="s">
        <v>49</v>
      </c>
      <c r="AM1975" t="s">
        <v>262</v>
      </c>
      <c r="AN1975" t="s">
        <v>154</v>
      </c>
      <c r="AP1975" t="s">
        <v>157</v>
      </c>
      <c r="AR1975">
        <v>1</v>
      </c>
    </row>
    <row r="1976" spans="1:45" x14ac:dyDescent="0.2">
      <c r="A1976" t="s">
        <v>1226</v>
      </c>
      <c r="B1976" t="s">
        <v>1227</v>
      </c>
      <c r="C1976">
        <v>2017</v>
      </c>
      <c r="Q1976" s="1" t="s">
        <v>2272</v>
      </c>
      <c r="R1976" s="1" t="s">
        <v>2272</v>
      </c>
      <c r="S1976" s="1" t="s">
        <v>2272</v>
      </c>
      <c r="Y1976" t="s">
        <v>2272</v>
      </c>
      <c r="Z1976" t="s">
        <v>2272</v>
      </c>
      <c r="AA1976" t="s">
        <v>2272</v>
      </c>
      <c r="AB1976" t="s">
        <v>2272</v>
      </c>
      <c r="AD1976" t="s">
        <v>2272</v>
      </c>
      <c r="AR1976" t="s">
        <v>144</v>
      </c>
      <c r="AS1976" t="s">
        <v>2583</v>
      </c>
    </row>
    <row r="1977" spans="1:45" x14ac:dyDescent="0.2">
      <c r="A1977" t="s">
        <v>1228</v>
      </c>
      <c r="B1977" t="s">
        <v>1229</v>
      </c>
      <c r="C1977">
        <v>2017</v>
      </c>
      <c r="Q1977" s="1" t="s">
        <v>2272</v>
      </c>
      <c r="R1977" s="1" t="s">
        <v>2272</v>
      </c>
      <c r="S1977" s="1" t="s">
        <v>2272</v>
      </c>
      <c r="Y1977" t="s">
        <v>2272</v>
      </c>
      <c r="Z1977" t="s">
        <v>2272</v>
      </c>
      <c r="AA1977" t="s">
        <v>2272</v>
      </c>
      <c r="AB1977" t="s">
        <v>2272</v>
      </c>
      <c r="AD1977" t="s">
        <v>2272</v>
      </c>
      <c r="AR1977" t="s">
        <v>144</v>
      </c>
      <c r="AS1977" t="s">
        <v>2587</v>
      </c>
    </row>
    <row r="1978" spans="1:45" x14ac:dyDescent="0.2">
      <c r="A1978" t="s">
        <v>1230</v>
      </c>
      <c r="B1978" t="s">
        <v>1231</v>
      </c>
      <c r="C1978">
        <v>2017</v>
      </c>
      <c r="D1978" t="s">
        <v>44</v>
      </c>
      <c r="F1978" t="s">
        <v>83</v>
      </c>
      <c r="G1978" t="s">
        <v>85</v>
      </c>
      <c r="H1978" t="s">
        <v>96</v>
      </c>
      <c r="K1978" t="s">
        <v>101</v>
      </c>
      <c r="L1978">
        <v>2</v>
      </c>
      <c r="N1978" t="s">
        <v>126</v>
      </c>
      <c r="O1978" t="s">
        <v>1232</v>
      </c>
      <c r="P1978" t="s">
        <v>1233</v>
      </c>
      <c r="Q1978" s="1" t="s">
        <v>2281</v>
      </c>
      <c r="R1978" s="1" t="s">
        <v>2282</v>
      </c>
      <c r="S1978" s="1" t="s">
        <v>126</v>
      </c>
      <c r="X1978" t="s">
        <v>211</v>
      </c>
      <c r="Y1978" t="s">
        <v>2279</v>
      </c>
      <c r="Z1978" t="s">
        <v>2280</v>
      </c>
      <c r="AA1978" t="s">
        <v>2358</v>
      </c>
      <c r="AB1978" t="s">
        <v>2290</v>
      </c>
      <c r="AC1978" t="s">
        <v>152</v>
      </c>
      <c r="AD1978" t="s">
        <v>2278</v>
      </c>
      <c r="AE1978" t="s">
        <v>415</v>
      </c>
    </row>
    <row r="1979" spans="1:45" x14ac:dyDescent="0.2">
      <c r="A1979" t="s">
        <v>1230</v>
      </c>
      <c r="B1979" t="s">
        <v>1231</v>
      </c>
      <c r="C1979">
        <v>2017</v>
      </c>
      <c r="D1979" t="s">
        <v>44</v>
      </c>
      <c r="F1979" t="s">
        <v>83</v>
      </c>
      <c r="G1979" t="s">
        <v>85</v>
      </c>
      <c r="H1979" t="s">
        <v>96</v>
      </c>
      <c r="K1979" t="s">
        <v>101</v>
      </c>
      <c r="L1979">
        <v>2</v>
      </c>
      <c r="N1979" t="s">
        <v>466</v>
      </c>
      <c r="O1979" t="s">
        <v>1235</v>
      </c>
      <c r="P1979" t="s">
        <v>691</v>
      </c>
      <c r="Q1979" s="1" t="s">
        <v>2281</v>
      </c>
      <c r="R1979" s="1" t="s">
        <v>2301</v>
      </c>
      <c r="S1979" s="1" t="s">
        <v>2303</v>
      </c>
      <c r="X1979" t="s">
        <v>211</v>
      </c>
      <c r="Y1979" t="s">
        <v>2279</v>
      </c>
      <c r="Z1979" t="s">
        <v>2280</v>
      </c>
      <c r="AA1979" t="s">
        <v>2358</v>
      </c>
      <c r="AB1979" t="s">
        <v>2290</v>
      </c>
      <c r="AC1979" t="s">
        <v>152</v>
      </c>
      <c r="AD1979" t="s">
        <v>2278</v>
      </c>
      <c r="AE1979" t="s">
        <v>415</v>
      </c>
    </row>
    <row r="1980" spans="1:45" x14ac:dyDescent="0.2">
      <c r="A1980" t="s">
        <v>1230</v>
      </c>
      <c r="B1980" t="s">
        <v>1231</v>
      </c>
      <c r="C1980">
        <v>2017</v>
      </c>
      <c r="D1980" t="s">
        <v>44</v>
      </c>
      <c r="F1980" t="s">
        <v>83</v>
      </c>
      <c r="G1980" t="s">
        <v>85</v>
      </c>
      <c r="H1980" t="s">
        <v>96</v>
      </c>
      <c r="K1980" t="s">
        <v>101</v>
      </c>
      <c r="L1980">
        <v>2</v>
      </c>
      <c r="N1980" t="s">
        <v>129</v>
      </c>
      <c r="O1980" t="s">
        <v>1236</v>
      </c>
      <c r="P1980" t="s">
        <v>1234</v>
      </c>
      <c r="Q1980" s="1" t="s">
        <v>2276</v>
      </c>
      <c r="R1980" s="1" t="s">
        <v>751</v>
      </c>
      <c r="S1980" s="1" t="s">
        <v>2345</v>
      </c>
      <c r="X1980" t="s">
        <v>211</v>
      </c>
      <c r="Y1980" t="s">
        <v>2279</v>
      </c>
      <c r="Z1980" t="s">
        <v>2280</v>
      </c>
      <c r="AA1980" t="s">
        <v>2358</v>
      </c>
      <c r="AB1980" t="s">
        <v>2290</v>
      </c>
      <c r="AC1980" t="s">
        <v>152</v>
      </c>
      <c r="AD1980" t="s">
        <v>2278</v>
      </c>
      <c r="AE1980" t="s">
        <v>415</v>
      </c>
    </row>
    <row r="1981" spans="1:45" x14ac:dyDescent="0.2">
      <c r="A1981" t="s">
        <v>1230</v>
      </c>
      <c r="B1981" t="s">
        <v>1231</v>
      </c>
      <c r="C1981">
        <v>2017</v>
      </c>
      <c r="D1981" t="s">
        <v>44</v>
      </c>
      <c r="F1981" t="s">
        <v>83</v>
      </c>
      <c r="G1981" t="s">
        <v>85</v>
      </c>
      <c r="H1981" t="s">
        <v>96</v>
      </c>
      <c r="K1981" t="s">
        <v>101</v>
      </c>
      <c r="L1981">
        <v>2</v>
      </c>
      <c r="N1981" t="s">
        <v>126</v>
      </c>
      <c r="O1981" t="s">
        <v>1232</v>
      </c>
      <c r="P1981" t="s">
        <v>1233</v>
      </c>
      <c r="Q1981" s="1" t="s">
        <v>2281</v>
      </c>
      <c r="R1981" s="1" t="s">
        <v>2282</v>
      </c>
      <c r="S1981" s="1" t="s">
        <v>126</v>
      </c>
      <c r="T1981" t="s">
        <v>396</v>
      </c>
      <c r="U1981" s="1" t="s">
        <v>2400</v>
      </c>
      <c r="X1981" t="s">
        <v>161</v>
      </c>
      <c r="Y1981" t="s">
        <v>2272</v>
      </c>
      <c r="Z1981" t="s">
        <v>2272</v>
      </c>
      <c r="AA1981" t="s">
        <v>2272</v>
      </c>
      <c r="AB1981" t="s">
        <v>2272</v>
      </c>
      <c r="AC1981" t="s">
        <v>162</v>
      </c>
      <c r="AD1981" t="s">
        <v>2272</v>
      </c>
      <c r="AF1981" t="s">
        <v>49</v>
      </c>
      <c r="AK1981" t="s">
        <v>49</v>
      </c>
      <c r="AM1981" t="s">
        <v>306</v>
      </c>
      <c r="AN1981" t="s">
        <v>165</v>
      </c>
      <c r="AP1981" t="s">
        <v>49</v>
      </c>
    </row>
    <row r="1982" spans="1:45" x14ac:dyDescent="0.2">
      <c r="A1982" t="s">
        <v>1230</v>
      </c>
      <c r="B1982" t="s">
        <v>1231</v>
      </c>
      <c r="C1982">
        <v>2017</v>
      </c>
      <c r="D1982" t="s">
        <v>44</v>
      </c>
      <c r="F1982" t="s">
        <v>83</v>
      </c>
      <c r="G1982" t="s">
        <v>85</v>
      </c>
      <c r="H1982" t="s">
        <v>96</v>
      </c>
      <c r="K1982" t="s">
        <v>101</v>
      </c>
      <c r="L1982">
        <v>2</v>
      </c>
      <c r="N1982" t="s">
        <v>466</v>
      </c>
      <c r="O1982" t="s">
        <v>1235</v>
      </c>
      <c r="P1982" t="s">
        <v>691</v>
      </c>
      <c r="Q1982" s="1" t="s">
        <v>2281</v>
      </c>
      <c r="R1982" s="1" t="s">
        <v>2301</v>
      </c>
      <c r="S1982" s="1" t="s">
        <v>2303</v>
      </c>
      <c r="T1982" t="s">
        <v>396</v>
      </c>
      <c r="U1982" s="1" t="s">
        <v>2401</v>
      </c>
      <c r="X1982" t="s">
        <v>161</v>
      </c>
      <c r="Y1982" t="s">
        <v>2272</v>
      </c>
      <c r="Z1982" t="s">
        <v>2272</v>
      </c>
      <c r="AA1982" t="s">
        <v>2272</v>
      </c>
      <c r="AB1982" t="s">
        <v>2272</v>
      </c>
      <c r="AC1982" t="s">
        <v>162</v>
      </c>
      <c r="AD1982" t="s">
        <v>2272</v>
      </c>
      <c r="AF1982" t="s">
        <v>49</v>
      </c>
      <c r="AK1982" t="s">
        <v>49</v>
      </c>
      <c r="AM1982" t="s">
        <v>306</v>
      </c>
      <c r="AN1982" t="s">
        <v>165</v>
      </c>
      <c r="AP1982" t="s">
        <v>49</v>
      </c>
    </row>
    <row r="1983" spans="1:45" x14ac:dyDescent="0.2">
      <c r="A1983" t="s">
        <v>1230</v>
      </c>
      <c r="B1983" t="s">
        <v>1231</v>
      </c>
      <c r="C1983">
        <v>2017</v>
      </c>
      <c r="D1983" t="s">
        <v>44</v>
      </c>
      <c r="F1983" t="s">
        <v>83</v>
      </c>
      <c r="G1983" t="s">
        <v>85</v>
      </c>
      <c r="H1983" t="s">
        <v>96</v>
      </c>
      <c r="K1983" t="s">
        <v>101</v>
      </c>
      <c r="L1983">
        <v>2</v>
      </c>
      <c r="N1983" t="s">
        <v>129</v>
      </c>
      <c r="O1983" t="s">
        <v>1236</v>
      </c>
      <c r="P1983" t="s">
        <v>1234</v>
      </c>
      <c r="Q1983" s="1" t="s">
        <v>2276</v>
      </c>
      <c r="R1983" s="1" t="s">
        <v>751</v>
      </c>
      <c r="S1983" s="1" t="s">
        <v>2345</v>
      </c>
      <c r="T1983" t="s">
        <v>396</v>
      </c>
      <c r="U1983" s="1" t="s">
        <v>2402</v>
      </c>
      <c r="X1983" t="s">
        <v>161</v>
      </c>
      <c r="Y1983" t="s">
        <v>2272</v>
      </c>
      <c r="Z1983" t="s">
        <v>2272</v>
      </c>
      <c r="AA1983" t="s">
        <v>2272</v>
      </c>
      <c r="AB1983" t="s">
        <v>2272</v>
      </c>
      <c r="AC1983" t="s">
        <v>162</v>
      </c>
      <c r="AD1983" t="s">
        <v>2272</v>
      </c>
      <c r="AF1983" t="s">
        <v>49</v>
      </c>
      <c r="AK1983" t="s">
        <v>49</v>
      </c>
      <c r="AM1983" t="s">
        <v>306</v>
      </c>
      <c r="AN1983" t="s">
        <v>165</v>
      </c>
      <c r="AP1983" t="s">
        <v>49</v>
      </c>
    </row>
    <row r="1984" spans="1:45" x14ac:dyDescent="0.2">
      <c r="A1984" t="s">
        <v>1230</v>
      </c>
      <c r="B1984" t="s">
        <v>1231</v>
      </c>
      <c r="C1984">
        <v>2017</v>
      </c>
      <c r="D1984" t="s">
        <v>44</v>
      </c>
      <c r="F1984" t="s">
        <v>83</v>
      </c>
      <c r="G1984" t="s">
        <v>85</v>
      </c>
      <c r="H1984" t="s">
        <v>96</v>
      </c>
      <c r="K1984" t="s">
        <v>101</v>
      </c>
      <c r="L1984">
        <v>2</v>
      </c>
      <c r="N1984" t="s">
        <v>126</v>
      </c>
      <c r="O1984" t="s">
        <v>1232</v>
      </c>
      <c r="P1984" t="s">
        <v>1233</v>
      </c>
      <c r="Q1984" s="1" t="s">
        <v>2281</v>
      </c>
      <c r="R1984" s="1" t="s">
        <v>2282</v>
      </c>
      <c r="S1984" s="1" t="s">
        <v>126</v>
      </c>
      <c r="T1984" t="s">
        <v>396</v>
      </c>
      <c r="U1984" s="1" t="s">
        <v>2400</v>
      </c>
      <c r="X1984" t="s">
        <v>161</v>
      </c>
      <c r="Y1984" t="s">
        <v>2272</v>
      </c>
      <c r="Z1984" t="s">
        <v>2272</v>
      </c>
      <c r="AA1984" t="s">
        <v>2272</v>
      </c>
      <c r="AB1984" t="s">
        <v>2272</v>
      </c>
      <c r="AC1984" t="s">
        <v>162</v>
      </c>
      <c r="AD1984" t="s">
        <v>2272</v>
      </c>
      <c r="AF1984" t="s">
        <v>49</v>
      </c>
      <c r="AK1984" t="s">
        <v>49</v>
      </c>
      <c r="AM1984" t="s">
        <v>306</v>
      </c>
      <c r="AN1984" t="s">
        <v>191</v>
      </c>
      <c r="AP1984" t="s">
        <v>49</v>
      </c>
    </row>
    <row r="1985" spans="1:42" x14ac:dyDescent="0.2">
      <c r="A1985" t="s">
        <v>1230</v>
      </c>
      <c r="B1985" t="s">
        <v>1231</v>
      </c>
      <c r="C1985">
        <v>2017</v>
      </c>
      <c r="D1985" t="s">
        <v>44</v>
      </c>
      <c r="F1985" t="s">
        <v>83</v>
      </c>
      <c r="G1985" t="s">
        <v>85</v>
      </c>
      <c r="H1985" t="s">
        <v>96</v>
      </c>
      <c r="K1985" t="s">
        <v>101</v>
      </c>
      <c r="L1985">
        <v>2</v>
      </c>
      <c r="N1985" t="s">
        <v>466</v>
      </c>
      <c r="O1985" t="s">
        <v>1235</v>
      </c>
      <c r="P1985" t="s">
        <v>691</v>
      </c>
      <c r="Q1985" s="1" t="s">
        <v>2281</v>
      </c>
      <c r="R1985" s="1" t="s">
        <v>2301</v>
      </c>
      <c r="S1985" s="1" t="s">
        <v>2303</v>
      </c>
      <c r="T1985" t="s">
        <v>396</v>
      </c>
      <c r="U1985" s="1" t="s">
        <v>2401</v>
      </c>
      <c r="X1985" t="s">
        <v>161</v>
      </c>
      <c r="Y1985" t="s">
        <v>2272</v>
      </c>
      <c r="Z1985" t="s">
        <v>2272</v>
      </c>
      <c r="AA1985" t="s">
        <v>2272</v>
      </c>
      <c r="AB1985" t="s">
        <v>2272</v>
      </c>
      <c r="AC1985" t="s">
        <v>162</v>
      </c>
      <c r="AD1985" t="s">
        <v>2272</v>
      </c>
      <c r="AF1985" t="s">
        <v>49</v>
      </c>
      <c r="AK1985" t="s">
        <v>49</v>
      </c>
      <c r="AM1985" t="s">
        <v>306</v>
      </c>
      <c r="AN1985" t="s">
        <v>191</v>
      </c>
      <c r="AP1985" t="s">
        <v>49</v>
      </c>
    </row>
    <row r="1986" spans="1:42" x14ac:dyDescent="0.2">
      <c r="A1986" t="s">
        <v>1230</v>
      </c>
      <c r="B1986" t="s">
        <v>1231</v>
      </c>
      <c r="C1986">
        <v>2017</v>
      </c>
      <c r="D1986" t="s">
        <v>44</v>
      </c>
      <c r="F1986" t="s">
        <v>83</v>
      </c>
      <c r="G1986" t="s">
        <v>85</v>
      </c>
      <c r="H1986" t="s">
        <v>96</v>
      </c>
      <c r="K1986" t="s">
        <v>101</v>
      </c>
      <c r="L1986">
        <v>2</v>
      </c>
      <c r="N1986" t="s">
        <v>129</v>
      </c>
      <c r="O1986" t="s">
        <v>1236</v>
      </c>
      <c r="P1986" t="s">
        <v>1234</v>
      </c>
      <c r="Q1986" s="1" t="s">
        <v>2276</v>
      </c>
      <c r="R1986" s="1" t="s">
        <v>751</v>
      </c>
      <c r="S1986" s="1" t="s">
        <v>2345</v>
      </c>
      <c r="T1986" t="s">
        <v>396</v>
      </c>
      <c r="U1986" s="1" t="s">
        <v>2402</v>
      </c>
      <c r="X1986" t="s">
        <v>161</v>
      </c>
      <c r="Y1986" t="s">
        <v>2272</v>
      </c>
      <c r="Z1986" t="s">
        <v>2272</v>
      </c>
      <c r="AA1986" t="s">
        <v>2272</v>
      </c>
      <c r="AB1986" t="s">
        <v>2272</v>
      </c>
      <c r="AC1986" t="s">
        <v>162</v>
      </c>
      <c r="AD1986" t="s">
        <v>2272</v>
      </c>
      <c r="AF1986" t="s">
        <v>49</v>
      </c>
      <c r="AK1986" t="s">
        <v>49</v>
      </c>
      <c r="AM1986" t="s">
        <v>306</v>
      </c>
      <c r="AN1986" t="s">
        <v>191</v>
      </c>
      <c r="AP1986" t="s">
        <v>49</v>
      </c>
    </row>
    <row r="1987" spans="1:42" x14ac:dyDescent="0.2">
      <c r="A1987" t="s">
        <v>1230</v>
      </c>
      <c r="B1987" t="s">
        <v>1231</v>
      </c>
      <c r="C1987">
        <v>2017</v>
      </c>
      <c r="D1987" t="s">
        <v>44</v>
      </c>
      <c r="F1987" t="s">
        <v>83</v>
      </c>
      <c r="G1987" t="s">
        <v>85</v>
      </c>
      <c r="H1987" t="s">
        <v>96</v>
      </c>
      <c r="K1987" t="s">
        <v>101</v>
      </c>
      <c r="L1987">
        <v>2</v>
      </c>
      <c r="N1987" t="s">
        <v>126</v>
      </c>
      <c r="O1987" t="s">
        <v>1232</v>
      </c>
      <c r="P1987" t="s">
        <v>1233</v>
      </c>
      <c r="Q1987" s="1" t="s">
        <v>2281</v>
      </c>
      <c r="R1987" s="1" t="s">
        <v>2282</v>
      </c>
      <c r="S1987" s="1" t="s">
        <v>126</v>
      </c>
      <c r="T1987" t="s">
        <v>396</v>
      </c>
      <c r="U1987" s="1" t="s">
        <v>2400</v>
      </c>
      <c r="X1987" t="s">
        <v>161</v>
      </c>
      <c r="Y1987" t="s">
        <v>2272</v>
      </c>
      <c r="Z1987" t="s">
        <v>2272</v>
      </c>
      <c r="AA1987" t="s">
        <v>2272</v>
      </c>
      <c r="AB1987" t="s">
        <v>2272</v>
      </c>
      <c r="AC1987" t="s">
        <v>162</v>
      </c>
      <c r="AD1987" t="s">
        <v>2272</v>
      </c>
      <c r="AF1987" t="s">
        <v>49</v>
      </c>
      <c r="AK1987" t="s">
        <v>49</v>
      </c>
      <c r="AM1987" t="s">
        <v>306</v>
      </c>
      <c r="AN1987" t="s">
        <v>154</v>
      </c>
    </row>
    <row r="1988" spans="1:42" x14ac:dyDescent="0.2">
      <c r="A1988" t="s">
        <v>1230</v>
      </c>
      <c r="B1988" t="s">
        <v>1231</v>
      </c>
      <c r="C1988">
        <v>2017</v>
      </c>
      <c r="D1988" t="s">
        <v>44</v>
      </c>
      <c r="F1988" t="s">
        <v>83</v>
      </c>
      <c r="G1988" t="s">
        <v>85</v>
      </c>
      <c r="H1988" t="s">
        <v>96</v>
      </c>
      <c r="K1988" t="s">
        <v>101</v>
      </c>
      <c r="L1988">
        <v>2</v>
      </c>
      <c r="N1988" t="s">
        <v>466</v>
      </c>
      <c r="O1988" t="s">
        <v>1235</v>
      </c>
      <c r="P1988" t="s">
        <v>691</v>
      </c>
      <c r="Q1988" s="1" t="s">
        <v>2281</v>
      </c>
      <c r="R1988" s="1" t="s">
        <v>2301</v>
      </c>
      <c r="S1988" s="1" t="s">
        <v>2303</v>
      </c>
      <c r="T1988" t="s">
        <v>396</v>
      </c>
      <c r="U1988" s="1" t="s">
        <v>2401</v>
      </c>
      <c r="X1988" t="s">
        <v>161</v>
      </c>
      <c r="Y1988" t="s">
        <v>2272</v>
      </c>
      <c r="Z1988" t="s">
        <v>2272</v>
      </c>
      <c r="AA1988" t="s">
        <v>2272</v>
      </c>
      <c r="AB1988" t="s">
        <v>2272</v>
      </c>
      <c r="AC1988" t="s">
        <v>162</v>
      </c>
      <c r="AD1988" t="s">
        <v>2272</v>
      </c>
      <c r="AF1988" t="s">
        <v>49</v>
      </c>
      <c r="AK1988" t="s">
        <v>49</v>
      </c>
      <c r="AM1988" t="s">
        <v>306</v>
      </c>
      <c r="AN1988" t="s">
        <v>154</v>
      </c>
    </row>
    <row r="1989" spans="1:42" x14ac:dyDescent="0.2">
      <c r="A1989" t="s">
        <v>1230</v>
      </c>
      <c r="B1989" t="s">
        <v>1231</v>
      </c>
      <c r="C1989">
        <v>2017</v>
      </c>
      <c r="D1989" t="s">
        <v>44</v>
      </c>
      <c r="F1989" t="s">
        <v>83</v>
      </c>
      <c r="G1989" t="s">
        <v>85</v>
      </c>
      <c r="H1989" t="s">
        <v>96</v>
      </c>
      <c r="K1989" t="s">
        <v>101</v>
      </c>
      <c r="L1989">
        <v>2</v>
      </c>
      <c r="N1989" t="s">
        <v>129</v>
      </c>
      <c r="O1989" t="s">
        <v>1236</v>
      </c>
      <c r="P1989" t="s">
        <v>1234</v>
      </c>
      <c r="Q1989" s="1" t="s">
        <v>2276</v>
      </c>
      <c r="R1989" s="1" t="s">
        <v>751</v>
      </c>
      <c r="S1989" s="1" t="s">
        <v>2345</v>
      </c>
      <c r="T1989" t="s">
        <v>396</v>
      </c>
      <c r="U1989" s="1" t="s">
        <v>2402</v>
      </c>
      <c r="X1989" t="s">
        <v>161</v>
      </c>
      <c r="Y1989" t="s">
        <v>2272</v>
      </c>
      <c r="Z1989" t="s">
        <v>2272</v>
      </c>
      <c r="AA1989" t="s">
        <v>2272</v>
      </c>
      <c r="AB1989" t="s">
        <v>2272</v>
      </c>
      <c r="AC1989" t="s">
        <v>162</v>
      </c>
      <c r="AD1989" t="s">
        <v>2272</v>
      </c>
      <c r="AF1989" t="s">
        <v>49</v>
      </c>
      <c r="AK1989" t="s">
        <v>49</v>
      </c>
      <c r="AM1989" t="s">
        <v>306</v>
      </c>
      <c r="AN1989" t="s">
        <v>154</v>
      </c>
    </row>
    <row r="1990" spans="1:42" x14ac:dyDescent="0.2">
      <c r="A1990" t="s">
        <v>1237</v>
      </c>
      <c r="B1990" t="s">
        <v>1238</v>
      </c>
      <c r="C1990">
        <v>2017</v>
      </c>
      <c r="D1990" t="s">
        <v>44</v>
      </c>
      <c r="E1990" t="s">
        <v>49</v>
      </c>
      <c r="F1990" t="s">
        <v>1239</v>
      </c>
      <c r="G1990" t="s">
        <v>86</v>
      </c>
      <c r="H1990" t="s">
        <v>350</v>
      </c>
      <c r="K1990" t="s">
        <v>101</v>
      </c>
      <c r="L1990">
        <v>490</v>
      </c>
      <c r="M1990">
        <f t="shared" ref="M1990:M1995" si="44">0.2*0.2</f>
        <v>4.0000000000000008E-2</v>
      </c>
      <c r="N1990" t="s">
        <v>123</v>
      </c>
      <c r="O1990" t="s">
        <v>123</v>
      </c>
      <c r="P1990" t="s">
        <v>1240</v>
      </c>
      <c r="Q1990" s="1" t="s">
        <v>2281</v>
      </c>
      <c r="R1990" s="1" t="s">
        <v>2282</v>
      </c>
      <c r="S1990" s="1" t="s">
        <v>123</v>
      </c>
      <c r="V1990" t="s">
        <v>194</v>
      </c>
      <c r="W1990" t="s">
        <v>1240</v>
      </c>
      <c r="X1990" t="s">
        <v>171</v>
      </c>
      <c r="Y1990" t="s">
        <v>2273</v>
      </c>
      <c r="Z1990" t="s">
        <v>249</v>
      </c>
      <c r="AA1990" t="s">
        <v>2359</v>
      </c>
      <c r="AB1990" t="s">
        <v>1979</v>
      </c>
      <c r="AC1990" t="s">
        <v>152</v>
      </c>
      <c r="AD1990" t="s">
        <v>137</v>
      </c>
    </row>
    <row r="1991" spans="1:42" x14ac:dyDescent="0.2">
      <c r="A1991" t="s">
        <v>1237</v>
      </c>
      <c r="B1991" t="s">
        <v>1238</v>
      </c>
      <c r="C1991">
        <v>2017</v>
      </c>
      <c r="D1991" t="s">
        <v>44</v>
      </c>
      <c r="E1991" t="s">
        <v>49</v>
      </c>
      <c r="F1991" t="s">
        <v>1239</v>
      </c>
      <c r="G1991" t="s">
        <v>86</v>
      </c>
      <c r="H1991" t="s">
        <v>350</v>
      </c>
      <c r="K1991" t="s">
        <v>101</v>
      </c>
      <c r="L1991">
        <v>490</v>
      </c>
      <c r="M1991">
        <f t="shared" si="44"/>
        <v>4.0000000000000008E-2</v>
      </c>
      <c r="N1991" t="s">
        <v>123</v>
      </c>
      <c r="O1991" t="s">
        <v>123</v>
      </c>
      <c r="P1991" t="s">
        <v>1240</v>
      </c>
      <c r="Q1991" s="1" t="s">
        <v>2281</v>
      </c>
      <c r="R1991" s="1" t="s">
        <v>2282</v>
      </c>
      <c r="S1991" s="1" t="s">
        <v>123</v>
      </c>
      <c r="V1991" t="s">
        <v>194</v>
      </c>
      <c r="W1991" t="s">
        <v>1240</v>
      </c>
      <c r="X1991" t="s">
        <v>189</v>
      </c>
      <c r="Y1991" t="s">
        <v>2279</v>
      </c>
      <c r="Z1991" t="s">
        <v>2280</v>
      </c>
      <c r="AA1991" t="s">
        <v>2358</v>
      </c>
      <c r="AB1991" t="s">
        <v>189</v>
      </c>
      <c r="AC1991" t="s">
        <v>152</v>
      </c>
      <c r="AD1991" t="s">
        <v>2278</v>
      </c>
    </row>
    <row r="1992" spans="1:42" x14ac:dyDescent="0.2">
      <c r="A1992" t="s">
        <v>1237</v>
      </c>
      <c r="B1992" t="s">
        <v>1238</v>
      </c>
      <c r="C1992">
        <v>2017</v>
      </c>
      <c r="D1992" t="s">
        <v>44</v>
      </c>
      <c r="E1992" t="s">
        <v>49</v>
      </c>
      <c r="F1992" t="s">
        <v>1239</v>
      </c>
      <c r="G1992" t="s">
        <v>86</v>
      </c>
      <c r="H1992" t="s">
        <v>350</v>
      </c>
      <c r="K1992" t="s">
        <v>101</v>
      </c>
      <c r="L1992">
        <v>490</v>
      </c>
      <c r="M1992">
        <f t="shared" si="44"/>
        <v>4.0000000000000008E-2</v>
      </c>
      <c r="N1992" t="s">
        <v>123</v>
      </c>
      <c r="O1992" t="s">
        <v>123</v>
      </c>
      <c r="P1992" t="s">
        <v>1240</v>
      </c>
      <c r="Q1992" s="1" t="s">
        <v>2281</v>
      </c>
      <c r="R1992" s="1" t="s">
        <v>2282</v>
      </c>
      <c r="S1992" s="1" t="s">
        <v>123</v>
      </c>
      <c r="V1992" t="s">
        <v>194</v>
      </c>
      <c r="W1992" t="s">
        <v>1240</v>
      </c>
      <c r="X1992" t="s">
        <v>228</v>
      </c>
      <c r="Y1992" t="s">
        <v>2273</v>
      </c>
      <c r="Z1992" t="s">
        <v>249</v>
      </c>
      <c r="AA1992" t="s">
        <v>2359</v>
      </c>
      <c r="AB1992" t="s">
        <v>1419</v>
      </c>
      <c r="AC1992" t="s">
        <v>152</v>
      </c>
      <c r="AD1992" t="s">
        <v>137</v>
      </c>
    </row>
    <row r="1993" spans="1:42" x14ac:dyDescent="0.2">
      <c r="A1993" t="s">
        <v>1237</v>
      </c>
      <c r="B1993" t="s">
        <v>1238</v>
      </c>
      <c r="C1993">
        <v>2017</v>
      </c>
      <c r="D1993" t="s">
        <v>44</v>
      </c>
      <c r="E1993" t="s">
        <v>49</v>
      </c>
      <c r="F1993" t="s">
        <v>1239</v>
      </c>
      <c r="G1993" t="s">
        <v>86</v>
      </c>
      <c r="H1993" t="s">
        <v>350</v>
      </c>
      <c r="K1993" t="s">
        <v>101</v>
      </c>
      <c r="L1993">
        <v>490</v>
      </c>
      <c r="M1993">
        <f t="shared" si="44"/>
        <v>4.0000000000000008E-2</v>
      </c>
      <c r="N1993" t="s">
        <v>123</v>
      </c>
      <c r="O1993" t="s">
        <v>123</v>
      </c>
      <c r="P1993" t="s">
        <v>1240</v>
      </c>
      <c r="Q1993" s="1" t="s">
        <v>2281</v>
      </c>
      <c r="R1993" s="1" t="s">
        <v>2282</v>
      </c>
      <c r="S1993" s="1" t="s">
        <v>123</v>
      </c>
      <c r="V1993" t="s">
        <v>194</v>
      </c>
      <c r="W1993" t="s">
        <v>1240</v>
      </c>
      <c r="X1993" t="s">
        <v>161</v>
      </c>
      <c r="Y1993" t="s">
        <v>2272</v>
      </c>
      <c r="Z1993" t="s">
        <v>2272</v>
      </c>
      <c r="AA1993" t="s">
        <v>2272</v>
      </c>
      <c r="AB1993" t="s">
        <v>2272</v>
      </c>
      <c r="AC1993" t="s">
        <v>162</v>
      </c>
      <c r="AD1993" t="s">
        <v>2272</v>
      </c>
      <c r="AF1993" t="s">
        <v>49</v>
      </c>
      <c r="AI1993" t="s">
        <v>49</v>
      </c>
      <c r="AM1993" t="s">
        <v>202</v>
      </c>
      <c r="AN1993" t="s">
        <v>165</v>
      </c>
    </row>
    <row r="1994" spans="1:42" x14ac:dyDescent="0.2">
      <c r="A1994" t="s">
        <v>1237</v>
      </c>
      <c r="B1994" t="s">
        <v>1238</v>
      </c>
      <c r="C1994">
        <v>2017</v>
      </c>
      <c r="D1994" t="s">
        <v>44</v>
      </c>
      <c r="E1994" t="s">
        <v>49</v>
      </c>
      <c r="F1994" t="s">
        <v>1239</v>
      </c>
      <c r="G1994" t="s">
        <v>86</v>
      </c>
      <c r="H1994" t="s">
        <v>350</v>
      </c>
      <c r="K1994" t="s">
        <v>101</v>
      </c>
      <c r="L1994">
        <v>490</v>
      </c>
      <c r="M1994">
        <f t="shared" si="44"/>
        <v>4.0000000000000008E-2</v>
      </c>
      <c r="N1994" t="s">
        <v>123</v>
      </c>
      <c r="O1994" t="s">
        <v>123</v>
      </c>
      <c r="P1994" t="s">
        <v>1240</v>
      </c>
      <c r="Q1994" s="1" t="s">
        <v>2281</v>
      </c>
      <c r="R1994" s="1" t="s">
        <v>2282</v>
      </c>
      <c r="S1994" s="1" t="s">
        <v>123</v>
      </c>
      <c r="V1994" t="s">
        <v>194</v>
      </c>
      <c r="W1994" t="s">
        <v>1240</v>
      </c>
      <c r="X1994" t="s">
        <v>161</v>
      </c>
      <c r="Y1994" t="s">
        <v>2272</v>
      </c>
      <c r="Z1994" t="s">
        <v>2272</v>
      </c>
      <c r="AA1994" t="s">
        <v>2272</v>
      </c>
      <c r="AB1994" t="s">
        <v>2272</v>
      </c>
      <c r="AC1994" t="s">
        <v>162</v>
      </c>
      <c r="AD1994" t="s">
        <v>2272</v>
      </c>
      <c r="AF1994" t="s">
        <v>49</v>
      </c>
      <c r="AI1994" t="s">
        <v>49</v>
      </c>
      <c r="AM1994" t="s">
        <v>202</v>
      </c>
      <c r="AN1994" t="s">
        <v>154</v>
      </c>
    </row>
    <row r="1995" spans="1:42" x14ac:dyDescent="0.2">
      <c r="A1995" t="s">
        <v>1237</v>
      </c>
      <c r="B1995" t="s">
        <v>1238</v>
      </c>
      <c r="C1995">
        <v>2017</v>
      </c>
      <c r="D1995" t="s">
        <v>44</v>
      </c>
      <c r="E1995" t="s">
        <v>49</v>
      </c>
      <c r="F1995" t="s">
        <v>1239</v>
      </c>
      <c r="G1995" t="s">
        <v>86</v>
      </c>
      <c r="H1995" t="s">
        <v>350</v>
      </c>
      <c r="K1995" t="s">
        <v>101</v>
      </c>
      <c r="L1995">
        <v>490</v>
      </c>
      <c r="M1995">
        <f t="shared" si="44"/>
        <v>4.0000000000000008E-2</v>
      </c>
      <c r="N1995" t="s">
        <v>123</v>
      </c>
      <c r="O1995" t="s">
        <v>123</v>
      </c>
      <c r="P1995" t="s">
        <v>1240</v>
      </c>
      <c r="Q1995" s="1" t="s">
        <v>2281</v>
      </c>
      <c r="R1995" s="1" t="s">
        <v>2282</v>
      </c>
      <c r="S1995" s="1" t="s">
        <v>123</v>
      </c>
      <c r="V1995" t="s">
        <v>194</v>
      </c>
      <c r="W1995" t="s">
        <v>1240</v>
      </c>
      <c r="X1995" t="s">
        <v>161</v>
      </c>
      <c r="Y1995" t="s">
        <v>2272</v>
      </c>
      <c r="Z1995" t="s">
        <v>2272</v>
      </c>
      <c r="AA1995" t="s">
        <v>2272</v>
      </c>
      <c r="AB1995" t="s">
        <v>2272</v>
      </c>
      <c r="AC1995" t="s">
        <v>162</v>
      </c>
      <c r="AD1995" t="s">
        <v>2272</v>
      </c>
      <c r="AF1995" t="s">
        <v>49</v>
      </c>
      <c r="AI1995" t="s">
        <v>49</v>
      </c>
      <c r="AM1995" t="s">
        <v>202</v>
      </c>
      <c r="AN1995" t="s">
        <v>171</v>
      </c>
    </row>
    <row r="1996" spans="1:42" x14ac:dyDescent="0.2">
      <c r="A1996" s="1" t="s">
        <v>1242</v>
      </c>
      <c r="B1996" s="1" t="s">
        <v>1241</v>
      </c>
      <c r="C1996" s="1">
        <v>2017</v>
      </c>
      <c r="D1996" t="s">
        <v>44</v>
      </c>
      <c r="F1996" s="1" t="s">
        <v>1243</v>
      </c>
      <c r="G1996" t="s">
        <v>86</v>
      </c>
      <c r="H1996" t="s">
        <v>96</v>
      </c>
      <c r="I1996">
        <v>2013</v>
      </c>
      <c r="J1996">
        <v>0.08</v>
      </c>
      <c r="K1996" t="s">
        <v>101</v>
      </c>
      <c r="L1996">
        <v>95</v>
      </c>
      <c r="M1996">
        <v>6.3E-2</v>
      </c>
      <c r="N1996" t="s">
        <v>123</v>
      </c>
      <c r="O1996" t="s">
        <v>123</v>
      </c>
      <c r="P1996" t="s">
        <v>518</v>
      </c>
      <c r="Q1996" s="1" t="s">
        <v>2281</v>
      </c>
      <c r="R1996" s="1" t="s">
        <v>2282</v>
      </c>
      <c r="S1996" s="1" t="s">
        <v>123</v>
      </c>
      <c r="X1996" t="s">
        <v>211</v>
      </c>
      <c r="Y1996" t="s">
        <v>2279</v>
      </c>
      <c r="Z1996" t="s">
        <v>2280</v>
      </c>
      <c r="AA1996" t="s">
        <v>2358</v>
      </c>
      <c r="AB1996" t="s">
        <v>2290</v>
      </c>
      <c r="AC1996" t="s">
        <v>152</v>
      </c>
      <c r="AD1996" t="s">
        <v>2278</v>
      </c>
    </row>
    <row r="1997" spans="1:42" x14ac:dyDescent="0.2">
      <c r="A1997" s="1" t="s">
        <v>1242</v>
      </c>
      <c r="B1997" s="1" t="s">
        <v>1241</v>
      </c>
      <c r="C1997" s="1">
        <v>2017</v>
      </c>
      <c r="D1997" t="s">
        <v>44</v>
      </c>
      <c r="F1997" s="1" t="s">
        <v>1243</v>
      </c>
      <c r="G1997" t="s">
        <v>86</v>
      </c>
      <c r="H1997" t="s">
        <v>96</v>
      </c>
      <c r="I1997">
        <v>2013</v>
      </c>
      <c r="J1997">
        <v>0.08</v>
      </c>
      <c r="K1997" t="s">
        <v>101</v>
      </c>
      <c r="L1997">
        <v>95</v>
      </c>
      <c r="N1997" t="s">
        <v>123</v>
      </c>
      <c r="O1997" t="s">
        <v>123</v>
      </c>
      <c r="P1997" t="s">
        <v>518</v>
      </c>
      <c r="Q1997" s="1" t="s">
        <v>2281</v>
      </c>
      <c r="R1997" s="1" t="s">
        <v>2282</v>
      </c>
      <c r="S1997" s="1" t="s">
        <v>123</v>
      </c>
      <c r="X1997" t="s">
        <v>1196</v>
      </c>
      <c r="Y1997" t="s">
        <v>2279</v>
      </c>
      <c r="Z1997" t="s">
        <v>2280</v>
      </c>
      <c r="AA1997" t="s">
        <v>2286</v>
      </c>
      <c r="AB1997" t="s">
        <v>2305</v>
      </c>
      <c r="AC1997" t="s">
        <v>152</v>
      </c>
      <c r="AD1997" t="s">
        <v>2278</v>
      </c>
    </row>
    <row r="1998" spans="1:42" x14ac:dyDescent="0.2">
      <c r="A1998" s="1" t="s">
        <v>1242</v>
      </c>
      <c r="B1998" s="1" t="s">
        <v>1241</v>
      </c>
      <c r="C1998" s="1">
        <v>2017</v>
      </c>
      <c r="D1998" t="s">
        <v>44</v>
      </c>
      <c r="F1998" s="1" t="s">
        <v>1243</v>
      </c>
      <c r="G1998" t="s">
        <v>86</v>
      </c>
      <c r="H1998" t="s">
        <v>96</v>
      </c>
      <c r="I1998">
        <v>2013</v>
      </c>
      <c r="J1998">
        <v>0.08</v>
      </c>
      <c r="K1998" t="s">
        <v>109</v>
      </c>
      <c r="L1998">
        <v>95</v>
      </c>
      <c r="M1998">
        <v>0</v>
      </c>
      <c r="N1998" t="s">
        <v>123</v>
      </c>
      <c r="O1998" t="s">
        <v>123</v>
      </c>
      <c r="P1998" t="s">
        <v>518</v>
      </c>
      <c r="Q1998" s="1" t="s">
        <v>2281</v>
      </c>
      <c r="R1998" s="1" t="s">
        <v>2282</v>
      </c>
      <c r="S1998" s="1" t="s">
        <v>123</v>
      </c>
      <c r="X1998" t="s">
        <v>293</v>
      </c>
      <c r="Y1998" t="s">
        <v>2273</v>
      </c>
      <c r="Z1998" t="s">
        <v>249</v>
      </c>
      <c r="AA1998" t="s">
        <v>2359</v>
      </c>
      <c r="AB1998" t="s">
        <v>1419</v>
      </c>
      <c r="AC1998" t="s">
        <v>152</v>
      </c>
      <c r="AD1998" t="s">
        <v>137</v>
      </c>
    </row>
    <row r="1999" spans="1:42" x14ac:dyDescent="0.2">
      <c r="A1999" s="1" t="s">
        <v>1242</v>
      </c>
      <c r="B1999" s="1" t="s">
        <v>1241</v>
      </c>
      <c r="C1999" s="1">
        <v>2017</v>
      </c>
      <c r="D1999" t="s">
        <v>44</v>
      </c>
      <c r="F1999" s="1" t="s">
        <v>1243</v>
      </c>
      <c r="G1999" t="s">
        <v>86</v>
      </c>
      <c r="H1999" t="s">
        <v>96</v>
      </c>
      <c r="I1999">
        <v>2013</v>
      </c>
      <c r="J1999">
        <v>0.08</v>
      </c>
      <c r="K1999" t="s">
        <v>109</v>
      </c>
      <c r="L1999">
        <v>95</v>
      </c>
      <c r="M1999">
        <v>0</v>
      </c>
      <c r="N1999" t="s">
        <v>123</v>
      </c>
      <c r="O1999" t="s">
        <v>123</v>
      </c>
      <c r="P1999" t="s">
        <v>518</v>
      </c>
      <c r="Q1999" s="1" t="s">
        <v>2281</v>
      </c>
      <c r="R1999" s="1" t="s">
        <v>2282</v>
      </c>
      <c r="S1999" s="1" t="s">
        <v>123</v>
      </c>
      <c r="X1999" t="s">
        <v>334</v>
      </c>
      <c r="Y1999" t="s">
        <v>2273</v>
      </c>
      <c r="Z1999" t="s">
        <v>2356</v>
      </c>
      <c r="AA1999" t="s">
        <v>2357</v>
      </c>
      <c r="AB1999" t="s">
        <v>449</v>
      </c>
      <c r="AC1999" t="s">
        <v>315</v>
      </c>
      <c r="AD1999" t="s">
        <v>137</v>
      </c>
    </row>
    <row r="2000" spans="1:42" x14ac:dyDescent="0.2">
      <c r="A2000" s="1" t="s">
        <v>1242</v>
      </c>
      <c r="B2000" s="1" t="s">
        <v>1241</v>
      </c>
      <c r="C2000" s="1">
        <v>2017</v>
      </c>
      <c r="D2000" t="s">
        <v>44</v>
      </c>
      <c r="F2000" s="1" t="s">
        <v>1243</v>
      </c>
      <c r="G2000" t="s">
        <v>86</v>
      </c>
      <c r="H2000" t="s">
        <v>96</v>
      </c>
      <c r="I2000">
        <v>2013</v>
      </c>
      <c r="J2000">
        <v>0.08</v>
      </c>
      <c r="K2000" t="s">
        <v>101</v>
      </c>
      <c r="L2000">
        <v>95</v>
      </c>
      <c r="M2000">
        <v>0</v>
      </c>
      <c r="N2000" t="s">
        <v>123</v>
      </c>
      <c r="O2000" t="s">
        <v>123</v>
      </c>
      <c r="P2000" t="s">
        <v>518</v>
      </c>
      <c r="Q2000" s="1" t="s">
        <v>2281</v>
      </c>
      <c r="R2000" s="1" t="s">
        <v>2282</v>
      </c>
      <c r="S2000" s="1" t="s">
        <v>123</v>
      </c>
      <c r="X2000" t="s">
        <v>1244</v>
      </c>
      <c r="Y2000" t="s">
        <v>2273</v>
      </c>
      <c r="Z2000" t="s">
        <v>2356</v>
      </c>
      <c r="AA2000" t="s">
        <v>2357</v>
      </c>
      <c r="AB2000" t="s">
        <v>2277</v>
      </c>
      <c r="AC2000" t="s">
        <v>315</v>
      </c>
      <c r="AD2000" t="s">
        <v>137</v>
      </c>
    </row>
    <row r="2001" spans="1:43" x14ac:dyDescent="0.2">
      <c r="A2001" s="1" t="s">
        <v>1242</v>
      </c>
      <c r="B2001" s="1" t="s">
        <v>1241</v>
      </c>
      <c r="C2001" s="1">
        <v>2017</v>
      </c>
      <c r="D2001" t="s">
        <v>44</v>
      </c>
      <c r="F2001" s="1" t="s">
        <v>1243</v>
      </c>
      <c r="G2001" t="s">
        <v>86</v>
      </c>
      <c r="H2001" t="s">
        <v>96</v>
      </c>
      <c r="I2001">
        <v>2013</v>
      </c>
      <c r="J2001">
        <v>0.08</v>
      </c>
      <c r="K2001" t="s">
        <v>101</v>
      </c>
      <c r="L2001">
        <v>95</v>
      </c>
      <c r="M2001">
        <v>0</v>
      </c>
      <c r="N2001" t="s">
        <v>123</v>
      </c>
      <c r="O2001" t="s">
        <v>123</v>
      </c>
      <c r="P2001" t="s">
        <v>518</v>
      </c>
      <c r="Q2001" s="1" t="s">
        <v>2281</v>
      </c>
      <c r="R2001" s="1" t="s">
        <v>2282</v>
      </c>
      <c r="S2001" s="1" t="s">
        <v>123</v>
      </c>
      <c r="X2001" t="s">
        <v>172</v>
      </c>
      <c r="Y2001" t="s">
        <v>2273</v>
      </c>
      <c r="Z2001" t="s">
        <v>249</v>
      </c>
      <c r="AA2001" t="s">
        <v>2359</v>
      </c>
      <c r="AB2001" t="s">
        <v>1979</v>
      </c>
      <c r="AC2001" t="s">
        <v>152</v>
      </c>
      <c r="AD2001" t="s">
        <v>137</v>
      </c>
    </row>
    <row r="2002" spans="1:43" x14ac:dyDescent="0.2">
      <c r="A2002" s="1" t="s">
        <v>1242</v>
      </c>
      <c r="B2002" s="1" t="s">
        <v>1241</v>
      </c>
      <c r="C2002" s="1">
        <v>2017</v>
      </c>
      <c r="D2002" t="s">
        <v>44</v>
      </c>
      <c r="F2002" s="1" t="s">
        <v>1243</v>
      </c>
      <c r="G2002" t="s">
        <v>86</v>
      </c>
      <c r="H2002" t="s">
        <v>96</v>
      </c>
      <c r="I2002">
        <v>2013</v>
      </c>
      <c r="J2002">
        <v>0.08</v>
      </c>
      <c r="K2002" t="s">
        <v>101</v>
      </c>
      <c r="L2002">
        <v>95</v>
      </c>
      <c r="N2002" t="s">
        <v>123</v>
      </c>
      <c r="O2002" t="s">
        <v>123</v>
      </c>
      <c r="P2002" t="s">
        <v>518</v>
      </c>
      <c r="Q2002" s="1" t="s">
        <v>2281</v>
      </c>
      <c r="R2002" s="1" t="s">
        <v>2282</v>
      </c>
      <c r="S2002" s="1" t="s">
        <v>123</v>
      </c>
      <c r="X2002" t="s">
        <v>490</v>
      </c>
      <c r="Y2002" t="s">
        <v>2279</v>
      </c>
      <c r="Z2002" t="s">
        <v>2280</v>
      </c>
      <c r="AA2002" t="s">
        <v>2358</v>
      </c>
      <c r="AB2002" t="s">
        <v>2009</v>
      </c>
      <c r="AC2002" t="s">
        <v>152</v>
      </c>
      <c r="AD2002" t="s">
        <v>2278</v>
      </c>
    </row>
    <row r="2003" spans="1:43" x14ac:dyDescent="0.2">
      <c r="A2003" s="1" t="s">
        <v>1242</v>
      </c>
      <c r="B2003" s="1" t="s">
        <v>1241</v>
      </c>
      <c r="C2003" s="1">
        <v>2017</v>
      </c>
      <c r="D2003" t="s">
        <v>44</v>
      </c>
      <c r="F2003" s="1" t="s">
        <v>1243</v>
      </c>
      <c r="G2003" t="s">
        <v>86</v>
      </c>
      <c r="H2003" t="s">
        <v>96</v>
      </c>
      <c r="I2003">
        <v>2013</v>
      </c>
      <c r="J2003">
        <v>0.08</v>
      </c>
      <c r="K2003" t="s">
        <v>101</v>
      </c>
      <c r="L2003">
        <v>95</v>
      </c>
      <c r="N2003" t="s">
        <v>123</v>
      </c>
      <c r="O2003" t="s">
        <v>123</v>
      </c>
      <c r="P2003" t="s">
        <v>518</v>
      </c>
      <c r="Q2003" s="1" t="s">
        <v>2281</v>
      </c>
      <c r="R2003" s="1" t="s">
        <v>2282</v>
      </c>
      <c r="S2003" s="1" t="s">
        <v>123</v>
      </c>
      <c r="T2003" t="s">
        <v>421</v>
      </c>
      <c r="U2003" t="s">
        <v>421</v>
      </c>
      <c r="X2003" t="s">
        <v>161</v>
      </c>
      <c r="Y2003" t="s">
        <v>2272</v>
      </c>
      <c r="Z2003" t="s">
        <v>2272</v>
      </c>
      <c r="AA2003" t="s">
        <v>2272</v>
      </c>
      <c r="AB2003" t="s">
        <v>2272</v>
      </c>
      <c r="AC2003" t="s">
        <v>162</v>
      </c>
      <c r="AD2003" t="s">
        <v>2272</v>
      </c>
      <c r="AG2003" t="s">
        <v>49</v>
      </c>
      <c r="AH2003" s="4" t="s">
        <v>49</v>
      </c>
      <c r="AI2003" t="s">
        <v>49</v>
      </c>
      <c r="AM2003" t="s">
        <v>1245</v>
      </c>
      <c r="AN2003" t="s">
        <v>154</v>
      </c>
      <c r="AQ2003" s="5">
        <v>1</v>
      </c>
    </row>
    <row r="2004" spans="1:43" x14ac:dyDescent="0.2">
      <c r="A2004" s="1" t="s">
        <v>1242</v>
      </c>
      <c r="B2004" s="1" t="s">
        <v>1241</v>
      </c>
      <c r="C2004" s="1">
        <v>2017</v>
      </c>
      <c r="D2004" t="s">
        <v>44</v>
      </c>
      <c r="F2004" s="1" t="s">
        <v>1243</v>
      </c>
      <c r="G2004" t="s">
        <v>86</v>
      </c>
      <c r="H2004" t="s">
        <v>96</v>
      </c>
      <c r="I2004">
        <v>2013</v>
      </c>
      <c r="J2004">
        <v>0.08</v>
      </c>
      <c r="K2004" t="s">
        <v>101</v>
      </c>
      <c r="L2004">
        <v>95</v>
      </c>
      <c r="N2004" t="s">
        <v>123</v>
      </c>
      <c r="O2004" t="s">
        <v>123</v>
      </c>
      <c r="P2004" t="s">
        <v>518</v>
      </c>
      <c r="Q2004" s="1" t="s">
        <v>2281</v>
      </c>
      <c r="R2004" s="1" t="s">
        <v>2282</v>
      </c>
      <c r="S2004" s="1" t="s">
        <v>123</v>
      </c>
      <c r="T2004" t="s">
        <v>421</v>
      </c>
      <c r="U2004" t="s">
        <v>421</v>
      </c>
      <c r="X2004" t="s">
        <v>161</v>
      </c>
      <c r="Y2004" t="s">
        <v>2272</v>
      </c>
      <c r="Z2004" t="s">
        <v>2272</v>
      </c>
      <c r="AA2004" t="s">
        <v>2272</v>
      </c>
      <c r="AB2004" t="s">
        <v>2272</v>
      </c>
      <c r="AC2004" t="s">
        <v>162</v>
      </c>
      <c r="AD2004" t="s">
        <v>2272</v>
      </c>
      <c r="AG2004" t="s">
        <v>49</v>
      </c>
      <c r="AH2004" s="4" t="s">
        <v>49</v>
      </c>
      <c r="AI2004" t="s">
        <v>49</v>
      </c>
      <c r="AM2004" t="s">
        <v>1245</v>
      </c>
      <c r="AN2004" t="s">
        <v>166</v>
      </c>
      <c r="AQ2004" s="5">
        <v>1</v>
      </c>
    </row>
    <row r="2005" spans="1:43" x14ac:dyDescent="0.2">
      <c r="A2005" s="1" t="s">
        <v>1242</v>
      </c>
      <c r="B2005" s="1" t="s">
        <v>1241</v>
      </c>
      <c r="C2005" s="1">
        <v>2017</v>
      </c>
      <c r="D2005" t="s">
        <v>44</v>
      </c>
      <c r="F2005" s="1" t="s">
        <v>1243</v>
      </c>
      <c r="G2005" t="s">
        <v>86</v>
      </c>
      <c r="H2005" t="s">
        <v>96</v>
      </c>
      <c r="I2005">
        <v>2013</v>
      </c>
      <c r="J2005">
        <v>0.08</v>
      </c>
      <c r="K2005" t="s">
        <v>101</v>
      </c>
      <c r="L2005">
        <v>95</v>
      </c>
      <c r="N2005" t="s">
        <v>123</v>
      </c>
      <c r="O2005" t="s">
        <v>123</v>
      </c>
      <c r="P2005" t="s">
        <v>518</v>
      </c>
      <c r="Q2005" s="1" t="s">
        <v>2281</v>
      </c>
      <c r="R2005" s="1" t="s">
        <v>2282</v>
      </c>
      <c r="S2005" s="1" t="s">
        <v>123</v>
      </c>
      <c r="T2005" t="s">
        <v>421</v>
      </c>
      <c r="U2005" t="s">
        <v>421</v>
      </c>
      <c r="X2005" t="s">
        <v>161</v>
      </c>
      <c r="Y2005" t="s">
        <v>2272</v>
      </c>
      <c r="Z2005" t="s">
        <v>2272</v>
      </c>
      <c r="AA2005" t="s">
        <v>2272</v>
      </c>
      <c r="AB2005" t="s">
        <v>2272</v>
      </c>
      <c r="AC2005" t="s">
        <v>162</v>
      </c>
      <c r="AD2005" t="s">
        <v>2272</v>
      </c>
      <c r="AG2005" t="s">
        <v>49</v>
      </c>
      <c r="AH2005" s="4" t="s">
        <v>49</v>
      </c>
      <c r="AI2005" t="s">
        <v>49</v>
      </c>
      <c r="AM2005" t="s">
        <v>1245</v>
      </c>
      <c r="AN2005" t="s">
        <v>171</v>
      </c>
      <c r="AQ2005" s="5">
        <v>1</v>
      </c>
    </row>
    <row r="2006" spans="1:43" x14ac:dyDescent="0.2">
      <c r="A2006" s="1" t="s">
        <v>1242</v>
      </c>
      <c r="B2006" s="1" t="s">
        <v>1241</v>
      </c>
      <c r="C2006" s="1">
        <v>2017</v>
      </c>
      <c r="D2006" t="s">
        <v>44</v>
      </c>
      <c r="F2006" s="1" t="s">
        <v>1243</v>
      </c>
      <c r="G2006" t="s">
        <v>86</v>
      </c>
      <c r="H2006" t="s">
        <v>96</v>
      </c>
      <c r="I2006">
        <v>2013</v>
      </c>
      <c r="J2006">
        <v>0.08</v>
      </c>
      <c r="K2006" t="s">
        <v>101</v>
      </c>
      <c r="L2006">
        <v>95</v>
      </c>
      <c r="N2006" t="s">
        <v>123</v>
      </c>
      <c r="O2006" t="s">
        <v>123</v>
      </c>
      <c r="P2006" t="s">
        <v>518</v>
      </c>
      <c r="Q2006" s="1" t="s">
        <v>2281</v>
      </c>
      <c r="R2006" s="1" t="s">
        <v>2282</v>
      </c>
      <c r="S2006" s="1" t="s">
        <v>123</v>
      </c>
      <c r="T2006" t="s">
        <v>421</v>
      </c>
      <c r="U2006" t="s">
        <v>421</v>
      </c>
      <c r="X2006" t="s">
        <v>161</v>
      </c>
      <c r="Y2006" t="s">
        <v>2272</v>
      </c>
      <c r="Z2006" t="s">
        <v>2272</v>
      </c>
      <c r="AA2006" t="s">
        <v>2272</v>
      </c>
      <c r="AB2006" t="s">
        <v>2272</v>
      </c>
      <c r="AC2006" t="s">
        <v>162</v>
      </c>
      <c r="AD2006" t="s">
        <v>2272</v>
      </c>
      <c r="AG2006" t="s">
        <v>49</v>
      </c>
      <c r="AI2006" t="s">
        <v>49</v>
      </c>
      <c r="AM2006" t="s">
        <v>424</v>
      </c>
      <c r="AN2006" t="s">
        <v>171</v>
      </c>
      <c r="AQ2006" s="5">
        <v>1</v>
      </c>
    </row>
    <row r="2007" spans="1:43" x14ac:dyDescent="0.2">
      <c r="A2007" s="1" t="s">
        <v>1242</v>
      </c>
      <c r="B2007" s="1" t="s">
        <v>1241</v>
      </c>
      <c r="C2007" s="1">
        <v>2017</v>
      </c>
      <c r="D2007" t="s">
        <v>44</v>
      </c>
      <c r="F2007" s="1" t="s">
        <v>1243</v>
      </c>
      <c r="G2007" t="s">
        <v>86</v>
      </c>
      <c r="H2007" t="s">
        <v>96</v>
      </c>
      <c r="I2007">
        <v>2013</v>
      </c>
      <c r="J2007">
        <v>0.08</v>
      </c>
      <c r="K2007" t="s">
        <v>101</v>
      </c>
      <c r="L2007">
        <v>95</v>
      </c>
      <c r="N2007" t="s">
        <v>123</v>
      </c>
      <c r="O2007" t="s">
        <v>123</v>
      </c>
      <c r="P2007" t="s">
        <v>518</v>
      </c>
      <c r="Q2007" s="1" t="s">
        <v>2281</v>
      </c>
      <c r="R2007" s="1" t="s">
        <v>2282</v>
      </c>
      <c r="S2007" s="1" t="s">
        <v>123</v>
      </c>
      <c r="T2007" t="s">
        <v>421</v>
      </c>
      <c r="U2007" t="s">
        <v>421</v>
      </c>
      <c r="X2007" t="s">
        <v>161</v>
      </c>
      <c r="Y2007" t="s">
        <v>2272</v>
      </c>
      <c r="Z2007" t="s">
        <v>2272</v>
      </c>
      <c r="AA2007" t="s">
        <v>2272</v>
      </c>
      <c r="AB2007" t="s">
        <v>2272</v>
      </c>
      <c r="AC2007" t="s">
        <v>162</v>
      </c>
      <c r="AD2007" t="s">
        <v>2272</v>
      </c>
      <c r="AG2007" t="s">
        <v>49</v>
      </c>
      <c r="AI2007" t="s">
        <v>49</v>
      </c>
      <c r="AM2007" t="s">
        <v>295</v>
      </c>
      <c r="AN2007" t="s">
        <v>171</v>
      </c>
      <c r="AQ2007" s="5">
        <v>1</v>
      </c>
    </row>
    <row r="2008" spans="1:43" x14ac:dyDescent="0.2">
      <c r="A2008" s="1" t="s">
        <v>1242</v>
      </c>
      <c r="B2008" s="1" t="s">
        <v>1241</v>
      </c>
      <c r="C2008" s="1">
        <v>2017</v>
      </c>
      <c r="D2008" t="s">
        <v>44</v>
      </c>
      <c r="F2008" s="1" t="s">
        <v>1243</v>
      </c>
      <c r="G2008" t="s">
        <v>86</v>
      </c>
      <c r="H2008" t="s">
        <v>96</v>
      </c>
      <c r="I2008">
        <v>2013</v>
      </c>
      <c r="J2008">
        <v>0.08</v>
      </c>
      <c r="K2008" t="s">
        <v>101</v>
      </c>
      <c r="L2008">
        <v>95</v>
      </c>
      <c r="N2008" t="s">
        <v>123</v>
      </c>
      <c r="O2008" t="s">
        <v>123</v>
      </c>
      <c r="P2008" t="s">
        <v>518</v>
      </c>
      <c r="Q2008" s="1" t="s">
        <v>2281</v>
      </c>
      <c r="R2008" s="1" t="s">
        <v>2282</v>
      </c>
      <c r="S2008" s="1" t="s">
        <v>123</v>
      </c>
      <c r="T2008" t="s">
        <v>421</v>
      </c>
      <c r="U2008" t="s">
        <v>421</v>
      </c>
      <c r="X2008" t="s">
        <v>161</v>
      </c>
      <c r="Y2008" t="s">
        <v>2272</v>
      </c>
      <c r="Z2008" t="s">
        <v>2272</v>
      </c>
      <c r="AA2008" t="s">
        <v>2272</v>
      </c>
      <c r="AB2008" t="s">
        <v>2272</v>
      </c>
      <c r="AC2008" t="s">
        <v>162</v>
      </c>
      <c r="AD2008" t="s">
        <v>2272</v>
      </c>
      <c r="AG2008" t="s">
        <v>49</v>
      </c>
      <c r="AI2008" t="s">
        <v>49</v>
      </c>
      <c r="AM2008" t="s">
        <v>1450</v>
      </c>
      <c r="AN2008" t="s">
        <v>171</v>
      </c>
      <c r="AQ2008" s="5">
        <v>2</v>
      </c>
    </row>
    <row r="2009" spans="1:43" x14ac:dyDescent="0.2">
      <c r="A2009" s="1" t="s">
        <v>1242</v>
      </c>
      <c r="B2009" s="1" t="s">
        <v>1241</v>
      </c>
      <c r="C2009" s="1">
        <v>2017</v>
      </c>
      <c r="D2009" t="s">
        <v>44</v>
      </c>
      <c r="F2009" s="1" t="s">
        <v>1243</v>
      </c>
      <c r="G2009" t="s">
        <v>86</v>
      </c>
      <c r="H2009" t="s">
        <v>96</v>
      </c>
      <c r="I2009">
        <v>2013</v>
      </c>
      <c r="J2009">
        <v>0.08</v>
      </c>
      <c r="K2009" t="s">
        <v>101</v>
      </c>
      <c r="L2009">
        <v>95</v>
      </c>
      <c r="N2009" t="s">
        <v>123</v>
      </c>
      <c r="O2009" t="s">
        <v>123</v>
      </c>
      <c r="P2009" t="s">
        <v>518</v>
      </c>
      <c r="Q2009" s="1" t="s">
        <v>2281</v>
      </c>
      <c r="R2009" s="1" t="s">
        <v>2282</v>
      </c>
      <c r="S2009" s="1" t="s">
        <v>123</v>
      </c>
      <c r="T2009" t="s">
        <v>421</v>
      </c>
      <c r="U2009" t="s">
        <v>421</v>
      </c>
      <c r="X2009" t="s">
        <v>161</v>
      </c>
      <c r="Y2009" t="s">
        <v>2272</v>
      </c>
      <c r="Z2009" t="s">
        <v>2272</v>
      </c>
      <c r="AA2009" t="s">
        <v>2272</v>
      </c>
      <c r="AB2009" t="s">
        <v>2272</v>
      </c>
      <c r="AC2009" t="s">
        <v>162</v>
      </c>
      <c r="AD2009" t="s">
        <v>2272</v>
      </c>
      <c r="AG2009" t="s">
        <v>49</v>
      </c>
      <c r="AI2009" t="s">
        <v>49</v>
      </c>
      <c r="AM2009" t="s">
        <v>424</v>
      </c>
      <c r="AN2009" t="s">
        <v>154</v>
      </c>
      <c r="AQ2009" s="5">
        <v>1</v>
      </c>
    </row>
    <row r="2010" spans="1:43" x14ac:dyDescent="0.2">
      <c r="A2010" s="1" t="s">
        <v>1242</v>
      </c>
      <c r="B2010" s="1" t="s">
        <v>1241</v>
      </c>
      <c r="C2010" s="1">
        <v>2017</v>
      </c>
      <c r="D2010" t="s">
        <v>44</v>
      </c>
      <c r="F2010" s="1" t="s">
        <v>1243</v>
      </c>
      <c r="G2010" t="s">
        <v>86</v>
      </c>
      <c r="H2010" t="s">
        <v>96</v>
      </c>
      <c r="I2010">
        <v>2013</v>
      </c>
      <c r="J2010">
        <v>0.08</v>
      </c>
      <c r="K2010" t="s">
        <v>101</v>
      </c>
      <c r="L2010">
        <v>95</v>
      </c>
      <c r="N2010" t="s">
        <v>123</v>
      </c>
      <c r="O2010" t="s">
        <v>123</v>
      </c>
      <c r="P2010" t="s">
        <v>518</v>
      </c>
      <c r="Q2010" s="1" t="s">
        <v>2281</v>
      </c>
      <c r="R2010" s="1" t="s">
        <v>2282</v>
      </c>
      <c r="S2010" s="1" t="s">
        <v>123</v>
      </c>
      <c r="T2010" t="s">
        <v>421</v>
      </c>
      <c r="U2010" t="s">
        <v>421</v>
      </c>
      <c r="X2010" t="s">
        <v>161</v>
      </c>
      <c r="Y2010" t="s">
        <v>2272</v>
      </c>
      <c r="Z2010" t="s">
        <v>2272</v>
      </c>
      <c r="AA2010" t="s">
        <v>2272</v>
      </c>
      <c r="AB2010" t="s">
        <v>2272</v>
      </c>
      <c r="AC2010" t="s">
        <v>162</v>
      </c>
      <c r="AD2010" t="s">
        <v>2272</v>
      </c>
      <c r="AG2010" t="s">
        <v>49</v>
      </c>
      <c r="AI2010" t="s">
        <v>49</v>
      </c>
      <c r="AM2010" t="s">
        <v>295</v>
      </c>
      <c r="AN2010" t="s">
        <v>154</v>
      </c>
      <c r="AQ2010" s="5">
        <v>1</v>
      </c>
    </row>
    <row r="2011" spans="1:43" x14ac:dyDescent="0.2">
      <c r="A2011" s="1" t="s">
        <v>1242</v>
      </c>
      <c r="B2011" s="1" t="s">
        <v>1241</v>
      </c>
      <c r="C2011" s="1">
        <v>2017</v>
      </c>
      <c r="D2011" t="s">
        <v>44</v>
      </c>
      <c r="F2011" s="1" t="s">
        <v>1243</v>
      </c>
      <c r="G2011" t="s">
        <v>86</v>
      </c>
      <c r="H2011" t="s">
        <v>96</v>
      </c>
      <c r="I2011">
        <v>2013</v>
      </c>
      <c r="J2011">
        <v>0.08</v>
      </c>
      <c r="K2011" t="s">
        <v>101</v>
      </c>
      <c r="L2011">
        <v>95</v>
      </c>
      <c r="N2011" t="s">
        <v>123</v>
      </c>
      <c r="O2011" t="s">
        <v>123</v>
      </c>
      <c r="P2011" t="s">
        <v>518</v>
      </c>
      <c r="Q2011" s="1" t="s">
        <v>2281</v>
      </c>
      <c r="R2011" s="1" t="s">
        <v>2282</v>
      </c>
      <c r="S2011" s="1" t="s">
        <v>123</v>
      </c>
      <c r="T2011" t="s">
        <v>421</v>
      </c>
      <c r="U2011" t="s">
        <v>421</v>
      </c>
      <c r="X2011" t="s">
        <v>161</v>
      </c>
      <c r="Y2011" t="s">
        <v>2272</v>
      </c>
      <c r="Z2011" t="s">
        <v>2272</v>
      </c>
      <c r="AA2011" t="s">
        <v>2272</v>
      </c>
      <c r="AB2011" t="s">
        <v>2272</v>
      </c>
      <c r="AC2011" t="s">
        <v>162</v>
      </c>
      <c r="AD2011" t="s">
        <v>2272</v>
      </c>
      <c r="AG2011" t="s">
        <v>49</v>
      </c>
      <c r="AI2011" t="s">
        <v>49</v>
      </c>
      <c r="AM2011" t="s">
        <v>1450</v>
      </c>
      <c r="AN2011" t="s">
        <v>154</v>
      </c>
      <c r="AQ2011" s="5">
        <v>2</v>
      </c>
    </row>
    <row r="2012" spans="1:43" x14ac:dyDescent="0.2">
      <c r="A2012" s="1" t="s">
        <v>1242</v>
      </c>
      <c r="B2012" s="1" t="s">
        <v>1241</v>
      </c>
      <c r="C2012" s="1">
        <v>2017</v>
      </c>
      <c r="D2012" t="s">
        <v>44</v>
      </c>
      <c r="F2012" s="1" t="s">
        <v>1243</v>
      </c>
      <c r="G2012" t="s">
        <v>86</v>
      </c>
      <c r="H2012" t="s">
        <v>96</v>
      </c>
      <c r="I2012">
        <v>2013</v>
      </c>
      <c r="J2012">
        <v>0.08</v>
      </c>
      <c r="K2012" t="s">
        <v>101</v>
      </c>
      <c r="L2012">
        <v>95</v>
      </c>
      <c r="N2012" t="s">
        <v>123</v>
      </c>
      <c r="O2012" t="s">
        <v>123</v>
      </c>
      <c r="P2012" t="s">
        <v>518</v>
      </c>
      <c r="Q2012" s="1" t="s">
        <v>2281</v>
      </c>
      <c r="R2012" s="1" t="s">
        <v>2282</v>
      </c>
      <c r="S2012" s="1" t="s">
        <v>123</v>
      </c>
      <c r="T2012" t="s">
        <v>421</v>
      </c>
      <c r="U2012" t="s">
        <v>421</v>
      </c>
      <c r="X2012" t="s">
        <v>161</v>
      </c>
      <c r="Y2012" t="s">
        <v>2272</v>
      </c>
      <c r="Z2012" t="s">
        <v>2272</v>
      </c>
      <c r="AA2012" t="s">
        <v>2272</v>
      </c>
      <c r="AB2012" t="s">
        <v>2272</v>
      </c>
      <c r="AC2012" t="s">
        <v>162</v>
      </c>
      <c r="AD2012" t="s">
        <v>2272</v>
      </c>
      <c r="AG2012" t="s">
        <v>49</v>
      </c>
      <c r="AI2012" t="s">
        <v>49</v>
      </c>
      <c r="AM2012" t="s">
        <v>424</v>
      </c>
      <c r="AN2012" t="s">
        <v>166</v>
      </c>
      <c r="AQ2012" s="5">
        <v>1</v>
      </c>
    </row>
    <row r="2013" spans="1:43" x14ac:dyDescent="0.2">
      <c r="A2013" s="1" t="s">
        <v>1242</v>
      </c>
      <c r="B2013" s="1" t="s">
        <v>1241</v>
      </c>
      <c r="C2013" s="1">
        <v>2017</v>
      </c>
      <c r="D2013" t="s">
        <v>44</v>
      </c>
      <c r="F2013" s="1" t="s">
        <v>1243</v>
      </c>
      <c r="G2013" t="s">
        <v>86</v>
      </c>
      <c r="H2013" t="s">
        <v>96</v>
      </c>
      <c r="I2013">
        <v>2013</v>
      </c>
      <c r="J2013">
        <v>0.08</v>
      </c>
      <c r="K2013" t="s">
        <v>101</v>
      </c>
      <c r="L2013">
        <v>95</v>
      </c>
      <c r="N2013" t="s">
        <v>123</v>
      </c>
      <c r="O2013" t="s">
        <v>123</v>
      </c>
      <c r="P2013" t="s">
        <v>518</v>
      </c>
      <c r="Q2013" s="1" t="s">
        <v>2281</v>
      </c>
      <c r="R2013" s="1" t="s">
        <v>2282</v>
      </c>
      <c r="S2013" s="1" t="s">
        <v>123</v>
      </c>
      <c r="T2013" t="s">
        <v>421</v>
      </c>
      <c r="U2013" t="s">
        <v>421</v>
      </c>
      <c r="X2013" t="s">
        <v>161</v>
      </c>
      <c r="Y2013" t="s">
        <v>2272</v>
      </c>
      <c r="Z2013" t="s">
        <v>2272</v>
      </c>
      <c r="AA2013" t="s">
        <v>2272</v>
      </c>
      <c r="AB2013" t="s">
        <v>2272</v>
      </c>
      <c r="AC2013" t="s">
        <v>162</v>
      </c>
      <c r="AD2013" t="s">
        <v>2272</v>
      </c>
      <c r="AG2013" t="s">
        <v>49</v>
      </c>
      <c r="AI2013" t="s">
        <v>49</v>
      </c>
      <c r="AM2013" t="s">
        <v>295</v>
      </c>
      <c r="AN2013" t="s">
        <v>166</v>
      </c>
      <c r="AQ2013" s="5">
        <v>1</v>
      </c>
    </row>
    <row r="2014" spans="1:43" x14ac:dyDescent="0.2">
      <c r="A2014" s="1" t="s">
        <v>1242</v>
      </c>
      <c r="B2014" s="1" t="s">
        <v>1241</v>
      </c>
      <c r="C2014" s="1">
        <v>2017</v>
      </c>
      <c r="D2014" t="s">
        <v>44</v>
      </c>
      <c r="F2014" s="1" t="s">
        <v>1243</v>
      </c>
      <c r="G2014" t="s">
        <v>86</v>
      </c>
      <c r="H2014" t="s">
        <v>96</v>
      </c>
      <c r="I2014">
        <v>2013</v>
      </c>
      <c r="J2014">
        <v>0.08</v>
      </c>
      <c r="K2014" t="s">
        <v>101</v>
      </c>
      <c r="L2014">
        <v>95</v>
      </c>
      <c r="N2014" t="s">
        <v>123</v>
      </c>
      <c r="O2014" t="s">
        <v>123</v>
      </c>
      <c r="P2014" t="s">
        <v>518</v>
      </c>
      <c r="Q2014" s="1" t="s">
        <v>2281</v>
      </c>
      <c r="R2014" s="1" t="s">
        <v>2282</v>
      </c>
      <c r="S2014" s="1" t="s">
        <v>123</v>
      </c>
      <c r="T2014" t="s">
        <v>421</v>
      </c>
      <c r="U2014" t="s">
        <v>421</v>
      </c>
      <c r="X2014" t="s">
        <v>161</v>
      </c>
      <c r="Y2014" t="s">
        <v>2272</v>
      </c>
      <c r="Z2014" t="s">
        <v>2272</v>
      </c>
      <c r="AA2014" t="s">
        <v>2272</v>
      </c>
      <c r="AB2014" t="s">
        <v>2272</v>
      </c>
      <c r="AC2014" t="s">
        <v>162</v>
      </c>
      <c r="AD2014" t="s">
        <v>2272</v>
      </c>
      <c r="AG2014" t="s">
        <v>49</v>
      </c>
      <c r="AI2014" t="s">
        <v>49</v>
      </c>
      <c r="AM2014" t="s">
        <v>1450</v>
      </c>
      <c r="AN2014" t="s">
        <v>166</v>
      </c>
      <c r="AQ2014" s="5">
        <v>0</v>
      </c>
    </row>
    <row r="2015" spans="1:43" x14ac:dyDescent="0.2">
      <c r="A2015" t="s">
        <v>1246</v>
      </c>
      <c r="B2015" s="1" t="s">
        <v>1247</v>
      </c>
      <c r="C2015" s="1">
        <v>2017</v>
      </c>
      <c r="D2015" t="s">
        <v>44</v>
      </c>
      <c r="E2015" t="s">
        <v>49</v>
      </c>
      <c r="F2015" s="1" t="s">
        <v>82</v>
      </c>
      <c r="G2015" t="s">
        <v>86</v>
      </c>
      <c r="H2015" t="s">
        <v>350</v>
      </c>
      <c r="I2015">
        <v>2009</v>
      </c>
      <c r="L2015">
        <v>110</v>
      </c>
      <c r="N2015" t="s">
        <v>127</v>
      </c>
      <c r="O2015" t="s">
        <v>1248</v>
      </c>
      <c r="P2015" t="s">
        <v>1249</v>
      </c>
      <c r="Q2015" s="1" t="s">
        <v>2281</v>
      </c>
      <c r="R2015" s="1" t="s">
        <v>2291</v>
      </c>
      <c r="S2015" s="1" t="s">
        <v>2291</v>
      </c>
      <c r="T2015" t="s">
        <v>421</v>
      </c>
      <c r="U2015" t="s">
        <v>421</v>
      </c>
      <c r="X2015" t="s">
        <v>339</v>
      </c>
      <c r="Y2015" t="s">
        <v>2279</v>
      </c>
      <c r="Z2015" t="s">
        <v>2280</v>
      </c>
      <c r="AA2015" t="s">
        <v>2358</v>
      </c>
      <c r="AB2015" t="s">
        <v>2290</v>
      </c>
      <c r="AC2015" t="s">
        <v>152</v>
      </c>
      <c r="AD2015" t="s">
        <v>2278</v>
      </c>
    </row>
    <row r="2016" spans="1:43" x14ac:dyDescent="0.2">
      <c r="A2016" t="s">
        <v>1246</v>
      </c>
      <c r="B2016" s="1" t="s">
        <v>1247</v>
      </c>
      <c r="C2016" s="1">
        <v>2017</v>
      </c>
      <c r="D2016" t="s">
        <v>44</v>
      </c>
      <c r="E2016" t="s">
        <v>49</v>
      </c>
      <c r="F2016" s="1" t="s">
        <v>82</v>
      </c>
      <c r="G2016" t="s">
        <v>86</v>
      </c>
      <c r="H2016" t="s">
        <v>350</v>
      </c>
      <c r="I2016">
        <v>2009</v>
      </c>
      <c r="L2016">
        <v>110</v>
      </c>
      <c r="N2016" t="s">
        <v>127</v>
      </c>
      <c r="O2016" t="s">
        <v>1248</v>
      </c>
      <c r="P2016" t="s">
        <v>1249</v>
      </c>
      <c r="Q2016" s="1" t="s">
        <v>2281</v>
      </c>
      <c r="R2016" s="1" t="s">
        <v>2291</v>
      </c>
      <c r="S2016" s="1" t="s">
        <v>2291</v>
      </c>
      <c r="T2016" t="s">
        <v>421</v>
      </c>
      <c r="U2016" t="s">
        <v>421</v>
      </c>
      <c r="X2016" t="s">
        <v>161</v>
      </c>
      <c r="Y2016" t="s">
        <v>2272</v>
      </c>
      <c r="Z2016" t="s">
        <v>2272</v>
      </c>
      <c r="AA2016" t="s">
        <v>2272</v>
      </c>
      <c r="AB2016" t="s">
        <v>2272</v>
      </c>
      <c r="AC2016" t="s">
        <v>162</v>
      </c>
      <c r="AD2016" t="s">
        <v>2272</v>
      </c>
      <c r="AF2016" t="s">
        <v>49</v>
      </c>
      <c r="AH2016" s="4" t="s">
        <v>49</v>
      </c>
      <c r="AI2016" t="s">
        <v>49</v>
      </c>
      <c r="AM2016" t="s">
        <v>2500</v>
      </c>
      <c r="AN2016" t="s">
        <v>154</v>
      </c>
    </row>
    <row r="2017" spans="1:45" x14ac:dyDescent="0.2">
      <c r="A2017" t="s">
        <v>1246</v>
      </c>
      <c r="B2017" s="1" t="s">
        <v>1247</v>
      </c>
      <c r="C2017" s="1">
        <v>2017</v>
      </c>
      <c r="D2017" t="s">
        <v>44</v>
      </c>
      <c r="E2017" t="s">
        <v>49</v>
      </c>
      <c r="F2017" s="1" t="s">
        <v>82</v>
      </c>
      <c r="G2017" t="s">
        <v>86</v>
      </c>
      <c r="H2017" t="s">
        <v>350</v>
      </c>
      <c r="I2017">
        <v>2009</v>
      </c>
      <c r="L2017">
        <v>110</v>
      </c>
      <c r="N2017" t="s">
        <v>127</v>
      </c>
      <c r="O2017" t="s">
        <v>1248</v>
      </c>
      <c r="P2017" t="s">
        <v>1249</v>
      </c>
      <c r="Q2017" s="1" t="s">
        <v>2281</v>
      </c>
      <c r="R2017" s="1" t="s">
        <v>2291</v>
      </c>
      <c r="S2017" s="1" t="s">
        <v>2291</v>
      </c>
      <c r="T2017" t="s">
        <v>421</v>
      </c>
      <c r="U2017" t="s">
        <v>421</v>
      </c>
      <c r="X2017" t="s">
        <v>161</v>
      </c>
      <c r="Y2017" t="s">
        <v>2272</v>
      </c>
      <c r="Z2017" t="s">
        <v>2272</v>
      </c>
      <c r="AA2017" t="s">
        <v>2272</v>
      </c>
      <c r="AB2017" t="s">
        <v>2272</v>
      </c>
      <c r="AC2017" t="s">
        <v>162</v>
      </c>
      <c r="AD2017" t="s">
        <v>2272</v>
      </c>
      <c r="AH2017" s="4" t="s">
        <v>49</v>
      </c>
      <c r="AJ2017" t="s">
        <v>49</v>
      </c>
      <c r="AM2017" t="s">
        <v>763</v>
      </c>
      <c r="AN2017" t="s">
        <v>154</v>
      </c>
      <c r="AP2017" t="s">
        <v>49</v>
      </c>
    </row>
    <row r="2018" spans="1:45" x14ac:dyDescent="0.2">
      <c r="A2018" t="s">
        <v>1246</v>
      </c>
      <c r="B2018" s="1" t="s">
        <v>1247</v>
      </c>
      <c r="C2018" s="1">
        <v>2017</v>
      </c>
      <c r="D2018" t="s">
        <v>44</v>
      </c>
      <c r="E2018" t="s">
        <v>49</v>
      </c>
      <c r="F2018" s="1" t="s">
        <v>82</v>
      </c>
      <c r="G2018" t="s">
        <v>86</v>
      </c>
      <c r="H2018" t="s">
        <v>350</v>
      </c>
      <c r="I2018">
        <v>2009</v>
      </c>
      <c r="L2018">
        <v>110</v>
      </c>
      <c r="N2018" t="s">
        <v>127</v>
      </c>
      <c r="O2018" t="s">
        <v>1248</v>
      </c>
      <c r="P2018" t="s">
        <v>1249</v>
      </c>
      <c r="Q2018" s="1" t="s">
        <v>2281</v>
      </c>
      <c r="R2018" s="1" t="s">
        <v>2291</v>
      </c>
      <c r="S2018" s="1" t="s">
        <v>2291</v>
      </c>
      <c r="T2018" t="s">
        <v>421</v>
      </c>
      <c r="U2018" t="s">
        <v>421</v>
      </c>
      <c r="X2018" t="s">
        <v>161</v>
      </c>
      <c r="Y2018" t="s">
        <v>2272</v>
      </c>
      <c r="Z2018" t="s">
        <v>2272</v>
      </c>
      <c r="AA2018" t="s">
        <v>2272</v>
      </c>
      <c r="AB2018" t="s">
        <v>2272</v>
      </c>
      <c r="AC2018" t="s">
        <v>162</v>
      </c>
      <c r="AD2018" t="s">
        <v>2272</v>
      </c>
      <c r="AH2018" s="4" t="s">
        <v>49</v>
      </c>
      <c r="AJ2018" t="s">
        <v>49</v>
      </c>
      <c r="AM2018" t="s">
        <v>763</v>
      </c>
      <c r="AN2018" t="s">
        <v>165</v>
      </c>
      <c r="AP2018" t="s">
        <v>49</v>
      </c>
    </row>
    <row r="2019" spans="1:45" x14ac:dyDescent="0.2">
      <c r="A2019" t="s">
        <v>1246</v>
      </c>
      <c r="B2019" s="1" t="s">
        <v>1247</v>
      </c>
      <c r="C2019" s="1">
        <v>2017</v>
      </c>
      <c r="D2019" t="s">
        <v>44</v>
      </c>
      <c r="E2019" t="s">
        <v>49</v>
      </c>
      <c r="F2019" s="1" t="s">
        <v>82</v>
      </c>
      <c r="G2019" t="s">
        <v>86</v>
      </c>
      <c r="H2019" t="s">
        <v>350</v>
      </c>
      <c r="I2019">
        <v>2009</v>
      </c>
      <c r="L2019">
        <v>110</v>
      </c>
      <c r="N2019" t="s">
        <v>127</v>
      </c>
      <c r="O2019" t="s">
        <v>1248</v>
      </c>
      <c r="P2019" t="s">
        <v>1249</v>
      </c>
      <c r="Q2019" s="1" t="s">
        <v>2281</v>
      </c>
      <c r="R2019" s="1" t="s">
        <v>2291</v>
      </c>
      <c r="S2019" s="1" t="s">
        <v>2291</v>
      </c>
      <c r="T2019" t="s">
        <v>421</v>
      </c>
      <c r="U2019" t="s">
        <v>421</v>
      </c>
      <c r="X2019" t="s">
        <v>161</v>
      </c>
      <c r="Y2019" t="s">
        <v>2272</v>
      </c>
      <c r="Z2019" t="s">
        <v>2272</v>
      </c>
      <c r="AA2019" t="s">
        <v>2272</v>
      </c>
      <c r="AB2019" t="s">
        <v>2272</v>
      </c>
      <c r="AC2019" t="s">
        <v>162</v>
      </c>
      <c r="AD2019" t="s">
        <v>2272</v>
      </c>
      <c r="AH2019" s="4" t="s">
        <v>49</v>
      </c>
      <c r="AJ2019" t="s">
        <v>49</v>
      </c>
      <c r="AM2019" t="s">
        <v>2501</v>
      </c>
      <c r="AN2019" t="s">
        <v>109</v>
      </c>
      <c r="AO2019" t="s">
        <v>2502</v>
      </c>
      <c r="AP2019" t="s">
        <v>49</v>
      </c>
    </row>
    <row r="2020" spans="1:45" x14ac:dyDescent="0.2">
      <c r="A2020" t="s">
        <v>1246</v>
      </c>
      <c r="B2020" s="1" t="s">
        <v>1247</v>
      </c>
      <c r="C2020" s="1">
        <v>2017</v>
      </c>
      <c r="D2020" t="s">
        <v>44</v>
      </c>
      <c r="E2020" t="s">
        <v>49</v>
      </c>
      <c r="F2020" s="1" t="s">
        <v>82</v>
      </c>
      <c r="G2020" t="s">
        <v>86</v>
      </c>
      <c r="H2020" t="s">
        <v>350</v>
      </c>
      <c r="I2020">
        <v>2009</v>
      </c>
      <c r="L2020">
        <v>110</v>
      </c>
      <c r="N2020" t="s">
        <v>127</v>
      </c>
      <c r="O2020" t="s">
        <v>1248</v>
      </c>
      <c r="P2020" t="s">
        <v>1249</v>
      </c>
      <c r="Q2020" s="1" t="s">
        <v>2281</v>
      </c>
      <c r="R2020" s="1" t="s">
        <v>2291</v>
      </c>
      <c r="S2020" s="1" t="s">
        <v>2291</v>
      </c>
      <c r="T2020" t="s">
        <v>421</v>
      </c>
      <c r="U2020" t="s">
        <v>421</v>
      </c>
      <c r="X2020" t="s">
        <v>161</v>
      </c>
      <c r="Y2020" t="s">
        <v>2272</v>
      </c>
      <c r="Z2020" t="s">
        <v>2272</v>
      </c>
      <c r="AA2020" t="s">
        <v>2272</v>
      </c>
      <c r="AB2020" t="s">
        <v>2272</v>
      </c>
      <c r="AC2020" t="s">
        <v>162</v>
      </c>
      <c r="AD2020" t="s">
        <v>2272</v>
      </c>
      <c r="AH2020" s="4" t="s">
        <v>49</v>
      </c>
      <c r="AJ2020" t="s">
        <v>49</v>
      </c>
      <c r="AM2020" t="s">
        <v>2503</v>
      </c>
      <c r="AN2020" t="s">
        <v>109</v>
      </c>
      <c r="AO2020" t="s">
        <v>2502</v>
      </c>
      <c r="AP2020" t="s">
        <v>49</v>
      </c>
    </row>
    <row r="2021" spans="1:45" x14ac:dyDescent="0.2">
      <c r="A2021" t="s">
        <v>1250</v>
      </c>
      <c r="B2021" t="s">
        <v>1251</v>
      </c>
      <c r="C2021" s="1">
        <v>2017</v>
      </c>
      <c r="D2021" t="s">
        <v>44</v>
      </c>
      <c r="F2021" s="1" t="s">
        <v>80</v>
      </c>
      <c r="G2021" t="s">
        <v>86</v>
      </c>
      <c r="H2021" t="s">
        <v>350</v>
      </c>
      <c r="I2021" t="s">
        <v>1252</v>
      </c>
      <c r="J2021">
        <v>6</v>
      </c>
      <c r="K2021" t="s">
        <v>109</v>
      </c>
      <c r="L2021">
        <v>192</v>
      </c>
      <c r="M2021">
        <f t="shared" ref="M2021:M2026" si="45">0.5*0.5</f>
        <v>0.25</v>
      </c>
      <c r="N2021" t="s">
        <v>120</v>
      </c>
      <c r="O2021" t="s">
        <v>120</v>
      </c>
      <c r="P2021" t="s">
        <v>1253</v>
      </c>
      <c r="Q2021" s="1" t="s">
        <v>2276</v>
      </c>
      <c r="R2021" s="1" t="s">
        <v>2350</v>
      </c>
      <c r="S2021" s="1" t="s">
        <v>2350</v>
      </c>
      <c r="X2021" t="s">
        <v>211</v>
      </c>
      <c r="Y2021" t="s">
        <v>2279</v>
      </c>
      <c r="Z2021" t="s">
        <v>2280</v>
      </c>
      <c r="AA2021" t="s">
        <v>2358</v>
      </c>
      <c r="AB2021" t="s">
        <v>2290</v>
      </c>
      <c r="AC2021" t="s">
        <v>152</v>
      </c>
      <c r="AD2021" t="s">
        <v>2278</v>
      </c>
      <c r="AF2021" t="s">
        <v>49</v>
      </c>
      <c r="AI2021" t="s">
        <v>49</v>
      </c>
      <c r="AM2021" t="s">
        <v>1189</v>
      </c>
      <c r="AN2021" t="s">
        <v>165</v>
      </c>
      <c r="AP2021" t="s">
        <v>49</v>
      </c>
    </row>
    <row r="2022" spans="1:45" x14ac:dyDescent="0.2">
      <c r="A2022" t="s">
        <v>1250</v>
      </c>
      <c r="B2022" t="s">
        <v>1251</v>
      </c>
      <c r="C2022" s="1">
        <v>2017</v>
      </c>
      <c r="D2022" t="s">
        <v>44</v>
      </c>
      <c r="F2022" s="1" t="s">
        <v>80</v>
      </c>
      <c r="G2022" t="s">
        <v>86</v>
      </c>
      <c r="H2022" t="s">
        <v>350</v>
      </c>
      <c r="I2022" t="s">
        <v>1252</v>
      </c>
      <c r="J2022">
        <v>6</v>
      </c>
      <c r="K2022" t="s">
        <v>109</v>
      </c>
      <c r="L2022">
        <v>192</v>
      </c>
      <c r="M2022">
        <f t="shared" si="45"/>
        <v>0.25</v>
      </c>
      <c r="N2022" t="s">
        <v>120</v>
      </c>
      <c r="O2022" t="s">
        <v>120</v>
      </c>
      <c r="P2022" t="s">
        <v>1253</v>
      </c>
      <c r="Q2022" s="1" t="s">
        <v>2276</v>
      </c>
      <c r="R2022" s="1" t="s">
        <v>2350</v>
      </c>
      <c r="S2022" s="1" t="s">
        <v>2350</v>
      </c>
      <c r="X2022" t="s">
        <v>211</v>
      </c>
      <c r="Y2022" t="s">
        <v>2279</v>
      </c>
      <c r="Z2022" t="s">
        <v>2280</v>
      </c>
      <c r="AA2022" t="s">
        <v>2358</v>
      </c>
      <c r="AB2022" t="s">
        <v>2290</v>
      </c>
      <c r="AC2022" t="s">
        <v>152</v>
      </c>
      <c r="AD2022" t="s">
        <v>2278</v>
      </c>
      <c r="AF2022" t="s">
        <v>49</v>
      </c>
      <c r="AI2022" t="s">
        <v>49</v>
      </c>
      <c r="AM2022" t="s">
        <v>1189</v>
      </c>
      <c r="AN2022" t="s">
        <v>191</v>
      </c>
      <c r="AP2022" t="s">
        <v>49</v>
      </c>
    </row>
    <row r="2023" spans="1:45" x14ac:dyDescent="0.2">
      <c r="A2023" t="s">
        <v>1250</v>
      </c>
      <c r="B2023" t="s">
        <v>1251</v>
      </c>
      <c r="C2023" s="1">
        <v>2017</v>
      </c>
      <c r="D2023" t="s">
        <v>44</v>
      </c>
      <c r="F2023" s="1" t="s">
        <v>80</v>
      </c>
      <c r="G2023" t="s">
        <v>86</v>
      </c>
      <c r="H2023" t="s">
        <v>350</v>
      </c>
      <c r="I2023" t="s">
        <v>1252</v>
      </c>
      <c r="J2023">
        <v>6</v>
      </c>
      <c r="K2023" t="s">
        <v>109</v>
      </c>
      <c r="L2023">
        <v>192</v>
      </c>
      <c r="M2023">
        <f t="shared" si="45"/>
        <v>0.25</v>
      </c>
      <c r="N2023" t="s">
        <v>120</v>
      </c>
      <c r="O2023" t="s">
        <v>120</v>
      </c>
      <c r="P2023" t="s">
        <v>1253</v>
      </c>
      <c r="Q2023" s="1" t="s">
        <v>2276</v>
      </c>
      <c r="R2023" s="1" t="s">
        <v>2350</v>
      </c>
      <c r="S2023" s="1" t="s">
        <v>2350</v>
      </c>
      <c r="X2023" t="s">
        <v>211</v>
      </c>
      <c r="Y2023" t="s">
        <v>2279</v>
      </c>
      <c r="Z2023" t="s">
        <v>2280</v>
      </c>
      <c r="AA2023" t="s">
        <v>2358</v>
      </c>
      <c r="AB2023" t="s">
        <v>2290</v>
      </c>
      <c r="AC2023" t="s">
        <v>152</v>
      </c>
      <c r="AD2023" t="s">
        <v>2278</v>
      </c>
      <c r="AF2023" t="s">
        <v>49</v>
      </c>
      <c r="AI2023" t="s">
        <v>49</v>
      </c>
      <c r="AM2023" t="s">
        <v>1189</v>
      </c>
      <c r="AN2023" t="s">
        <v>166</v>
      </c>
      <c r="AP2023" t="s">
        <v>157</v>
      </c>
    </row>
    <row r="2024" spans="1:45" x14ac:dyDescent="0.2">
      <c r="A2024" t="s">
        <v>1250</v>
      </c>
      <c r="B2024" t="s">
        <v>1251</v>
      </c>
      <c r="C2024" s="1">
        <v>2017</v>
      </c>
      <c r="D2024" t="s">
        <v>44</v>
      </c>
      <c r="F2024" s="1" t="s">
        <v>80</v>
      </c>
      <c r="G2024" t="s">
        <v>86</v>
      </c>
      <c r="H2024" t="s">
        <v>350</v>
      </c>
      <c r="I2024" t="s">
        <v>1252</v>
      </c>
      <c r="J2024">
        <v>6</v>
      </c>
      <c r="K2024" t="s">
        <v>109</v>
      </c>
      <c r="L2024">
        <v>192</v>
      </c>
      <c r="M2024">
        <f t="shared" si="45"/>
        <v>0.25</v>
      </c>
      <c r="N2024" t="s">
        <v>120</v>
      </c>
      <c r="O2024" t="s">
        <v>120</v>
      </c>
      <c r="P2024" t="s">
        <v>1253</v>
      </c>
      <c r="Q2024" s="1" t="s">
        <v>2276</v>
      </c>
      <c r="R2024" s="1" t="s">
        <v>2350</v>
      </c>
      <c r="S2024" s="1" t="s">
        <v>2350</v>
      </c>
      <c r="X2024" t="s">
        <v>211</v>
      </c>
      <c r="Y2024" t="s">
        <v>2279</v>
      </c>
      <c r="Z2024" t="s">
        <v>2280</v>
      </c>
      <c r="AA2024" t="s">
        <v>2358</v>
      </c>
      <c r="AB2024" t="s">
        <v>2290</v>
      </c>
      <c r="AC2024" t="s">
        <v>152</v>
      </c>
      <c r="AD2024" t="s">
        <v>2278</v>
      </c>
      <c r="AF2024" t="s">
        <v>49</v>
      </c>
      <c r="AI2024" t="s">
        <v>49</v>
      </c>
      <c r="AM2024" t="s">
        <v>1189</v>
      </c>
      <c r="AN2024" t="s">
        <v>155</v>
      </c>
      <c r="AP2024" t="s">
        <v>157</v>
      </c>
    </row>
    <row r="2025" spans="1:45" x14ac:dyDescent="0.2">
      <c r="A2025" t="s">
        <v>1250</v>
      </c>
      <c r="B2025" t="s">
        <v>1251</v>
      </c>
      <c r="C2025" s="1">
        <v>2017</v>
      </c>
      <c r="D2025" t="s">
        <v>44</v>
      </c>
      <c r="F2025" s="1" t="s">
        <v>80</v>
      </c>
      <c r="G2025" t="s">
        <v>86</v>
      </c>
      <c r="H2025" t="s">
        <v>350</v>
      </c>
      <c r="I2025" t="s">
        <v>1252</v>
      </c>
      <c r="J2025">
        <v>6</v>
      </c>
      <c r="K2025" t="s">
        <v>109</v>
      </c>
      <c r="L2025">
        <v>192</v>
      </c>
      <c r="M2025">
        <f t="shared" si="45"/>
        <v>0.25</v>
      </c>
      <c r="N2025" t="s">
        <v>120</v>
      </c>
      <c r="O2025" t="s">
        <v>120</v>
      </c>
      <c r="P2025" t="s">
        <v>1253</v>
      </c>
      <c r="Q2025" s="1" t="s">
        <v>2276</v>
      </c>
      <c r="R2025" s="1" t="s">
        <v>2350</v>
      </c>
      <c r="S2025" s="1" t="s">
        <v>2350</v>
      </c>
      <c r="X2025" t="s">
        <v>211</v>
      </c>
      <c r="Y2025" t="s">
        <v>2279</v>
      </c>
      <c r="Z2025" t="s">
        <v>2280</v>
      </c>
      <c r="AA2025" t="s">
        <v>2358</v>
      </c>
      <c r="AB2025" t="s">
        <v>2290</v>
      </c>
      <c r="AC2025" t="s">
        <v>152</v>
      </c>
      <c r="AD2025" t="s">
        <v>2278</v>
      </c>
      <c r="AF2025" t="s">
        <v>49</v>
      </c>
      <c r="AI2025" t="s">
        <v>49</v>
      </c>
      <c r="AM2025" t="s">
        <v>1189</v>
      </c>
      <c r="AN2025" t="s">
        <v>154</v>
      </c>
      <c r="AP2025" t="s">
        <v>157</v>
      </c>
    </row>
    <row r="2026" spans="1:45" x14ac:dyDescent="0.2">
      <c r="A2026" t="s">
        <v>1250</v>
      </c>
      <c r="B2026" t="s">
        <v>1251</v>
      </c>
      <c r="C2026" s="1">
        <v>2017</v>
      </c>
      <c r="D2026" t="s">
        <v>44</v>
      </c>
      <c r="F2026" s="1" t="s">
        <v>80</v>
      </c>
      <c r="G2026" t="s">
        <v>86</v>
      </c>
      <c r="H2026" t="s">
        <v>350</v>
      </c>
      <c r="I2026" t="s">
        <v>1252</v>
      </c>
      <c r="J2026">
        <v>6</v>
      </c>
      <c r="K2026" t="s">
        <v>109</v>
      </c>
      <c r="L2026">
        <v>192</v>
      </c>
      <c r="M2026">
        <f t="shared" si="45"/>
        <v>0.25</v>
      </c>
      <c r="N2026" t="s">
        <v>120</v>
      </c>
      <c r="O2026" t="s">
        <v>120</v>
      </c>
      <c r="P2026" t="s">
        <v>1253</v>
      </c>
      <c r="Q2026" s="1" t="s">
        <v>2276</v>
      </c>
      <c r="R2026" s="1" t="s">
        <v>2350</v>
      </c>
      <c r="S2026" s="1" t="s">
        <v>2350</v>
      </c>
      <c r="X2026" t="s">
        <v>211</v>
      </c>
      <c r="Y2026" t="s">
        <v>2279</v>
      </c>
      <c r="Z2026" t="s">
        <v>2280</v>
      </c>
      <c r="AA2026" t="s">
        <v>2358</v>
      </c>
      <c r="AB2026" t="s">
        <v>2290</v>
      </c>
      <c r="AC2026" t="s">
        <v>152</v>
      </c>
      <c r="AD2026" t="s">
        <v>2278</v>
      </c>
      <c r="AF2026" t="s">
        <v>49</v>
      </c>
      <c r="AI2026" t="s">
        <v>49</v>
      </c>
      <c r="AM2026" t="s">
        <v>1189</v>
      </c>
      <c r="AN2026" t="s">
        <v>156</v>
      </c>
      <c r="AP2026" t="s">
        <v>157</v>
      </c>
    </row>
    <row r="2027" spans="1:45" x14ac:dyDescent="0.2">
      <c r="A2027" t="s">
        <v>1254</v>
      </c>
      <c r="B2027" t="s">
        <v>1255</v>
      </c>
      <c r="C2027" s="1">
        <v>2017</v>
      </c>
      <c r="Q2027" s="1" t="s">
        <v>2272</v>
      </c>
      <c r="R2027" s="1" t="s">
        <v>2272</v>
      </c>
      <c r="S2027" s="1" t="s">
        <v>2272</v>
      </c>
      <c r="Y2027" t="s">
        <v>2272</v>
      </c>
      <c r="Z2027" t="s">
        <v>2272</v>
      </c>
      <c r="AA2027" t="s">
        <v>2272</v>
      </c>
      <c r="AB2027" t="s">
        <v>2272</v>
      </c>
      <c r="AD2027" t="s">
        <v>2272</v>
      </c>
      <c r="AR2027" t="s">
        <v>144</v>
      </c>
      <c r="AS2027" t="s">
        <v>2583</v>
      </c>
    </row>
    <row r="2028" spans="1:45" x14ac:dyDescent="0.2">
      <c r="A2028" t="s">
        <v>1256</v>
      </c>
      <c r="B2028" t="s">
        <v>1255</v>
      </c>
      <c r="C2028" s="1">
        <v>2017</v>
      </c>
      <c r="D2028" t="s">
        <v>44</v>
      </c>
      <c r="F2028" s="1" t="s">
        <v>53</v>
      </c>
      <c r="G2028" t="s">
        <v>86</v>
      </c>
      <c r="H2028" t="s">
        <v>350</v>
      </c>
      <c r="I2028">
        <v>2013</v>
      </c>
      <c r="J2028">
        <v>0.08</v>
      </c>
      <c r="K2028" t="s">
        <v>101</v>
      </c>
      <c r="L2028">
        <v>190</v>
      </c>
      <c r="M2028">
        <f>0.1*0.1</f>
        <v>1.0000000000000002E-2</v>
      </c>
      <c r="N2028" t="s">
        <v>466</v>
      </c>
      <c r="O2028" t="s">
        <v>466</v>
      </c>
      <c r="P2028" t="s">
        <v>1257</v>
      </c>
      <c r="Q2028" s="1" t="s">
        <v>2281</v>
      </c>
      <c r="R2028" s="1" t="s">
        <v>2301</v>
      </c>
      <c r="S2028" s="1" t="s">
        <v>2302</v>
      </c>
      <c r="X2028" t="s">
        <v>189</v>
      </c>
      <c r="Y2028" t="s">
        <v>2279</v>
      </c>
      <c r="Z2028" t="s">
        <v>2280</v>
      </c>
      <c r="AA2028" t="s">
        <v>2358</v>
      </c>
      <c r="AB2028" t="s">
        <v>189</v>
      </c>
      <c r="AC2028" t="s">
        <v>152</v>
      </c>
      <c r="AD2028" t="s">
        <v>2278</v>
      </c>
      <c r="AE2028" t="s">
        <v>415</v>
      </c>
    </row>
    <row r="2029" spans="1:45" x14ac:dyDescent="0.2">
      <c r="A2029" t="s">
        <v>1256</v>
      </c>
      <c r="B2029" t="s">
        <v>1255</v>
      </c>
      <c r="C2029" s="1">
        <v>2017</v>
      </c>
      <c r="D2029" t="s">
        <v>44</v>
      </c>
      <c r="F2029" s="1" t="s">
        <v>53</v>
      </c>
      <c r="G2029" t="s">
        <v>86</v>
      </c>
      <c r="H2029" t="s">
        <v>350</v>
      </c>
      <c r="I2029">
        <v>2013</v>
      </c>
      <c r="J2029">
        <v>0.08</v>
      </c>
      <c r="K2029" t="s">
        <v>101</v>
      </c>
      <c r="L2029">
        <v>190</v>
      </c>
      <c r="M2029">
        <f>0.1*0.1</f>
        <v>1.0000000000000002E-2</v>
      </c>
      <c r="N2029" t="s">
        <v>466</v>
      </c>
      <c r="O2029" t="s">
        <v>466</v>
      </c>
      <c r="P2029" t="s">
        <v>1257</v>
      </c>
      <c r="Q2029" s="1" t="s">
        <v>2281</v>
      </c>
      <c r="R2029" s="1" t="s">
        <v>2301</v>
      </c>
      <c r="S2029" s="1" t="s">
        <v>2302</v>
      </c>
      <c r="X2029" t="s">
        <v>1258</v>
      </c>
      <c r="Y2029" t="s">
        <v>2273</v>
      </c>
      <c r="Z2029" t="s">
        <v>249</v>
      </c>
      <c r="AA2029" t="s">
        <v>2359</v>
      </c>
      <c r="AB2029" t="s">
        <v>1419</v>
      </c>
      <c r="AC2029" t="s">
        <v>152</v>
      </c>
      <c r="AD2029" t="s">
        <v>137</v>
      </c>
    </row>
    <row r="2030" spans="1:45" x14ac:dyDescent="0.2">
      <c r="A2030" t="s">
        <v>1256</v>
      </c>
      <c r="B2030" t="s">
        <v>1255</v>
      </c>
      <c r="C2030" s="1">
        <v>2017</v>
      </c>
      <c r="D2030" t="s">
        <v>44</v>
      </c>
      <c r="F2030" s="1" t="s">
        <v>53</v>
      </c>
      <c r="G2030" t="s">
        <v>86</v>
      </c>
      <c r="H2030" t="s">
        <v>350</v>
      </c>
      <c r="I2030">
        <v>2013</v>
      </c>
      <c r="J2030">
        <v>0.08</v>
      </c>
      <c r="K2030" t="s">
        <v>101</v>
      </c>
      <c r="L2030">
        <v>190</v>
      </c>
      <c r="M2030">
        <f>0.1*0.1</f>
        <v>1.0000000000000002E-2</v>
      </c>
      <c r="N2030" t="s">
        <v>466</v>
      </c>
      <c r="O2030" t="s">
        <v>466</v>
      </c>
      <c r="P2030" t="s">
        <v>1257</v>
      </c>
      <c r="Q2030" s="1" t="s">
        <v>2281</v>
      </c>
      <c r="R2030" s="1" t="s">
        <v>2301</v>
      </c>
      <c r="S2030" s="1" t="s">
        <v>2302</v>
      </c>
      <c r="X2030" t="s">
        <v>161</v>
      </c>
      <c r="Y2030" t="s">
        <v>2272</v>
      </c>
      <c r="Z2030" t="s">
        <v>2272</v>
      </c>
      <c r="AA2030" t="s">
        <v>2272</v>
      </c>
      <c r="AB2030" t="s">
        <v>2272</v>
      </c>
      <c r="AC2030" t="s">
        <v>162</v>
      </c>
      <c r="AD2030" t="s">
        <v>2272</v>
      </c>
      <c r="AF2030" t="s">
        <v>49</v>
      </c>
      <c r="AI2030" t="s">
        <v>49</v>
      </c>
      <c r="AM2030" t="s">
        <v>1189</v>
      </c>
      <c r="AN2030" t="s">
        <v>154</v>
      </c>
    </row>
    <row r="2031" spans="1:45" x14ac:dyDescent="0.2">
      <c r="A2031" t="s">
        <v>1256</v>
      </c>
      <c r="B2031" t="s">
        <v>1255</v>
      </c>
      <c r="C2031" s="1">
        <v>2017</v>
      </c>
      <c r="D2031" t="s">
        <v>44</v>
      </c>
      <c r="F2031" s="1" t="s">
        <v>53</v>
      </c>
      <c r="G2031" t="s">
        <v>86</v>
      </c>
      <c r="H2031" t="s">
        <v>350</v>
      </c>
      <c r="I2031">
        <v>2013</v>
      </c>
      <c r="J2031">
        <v>0.08</v>
      </c>
      <c r="K2031" t="s">
        <v>101</v>
      </c>
      <c r="L2031">
        <v>190</v>
      </c>
      <c r="M2031">
        <f>0.1*0.1</f>
        <v>1.0000000000000002E-2</v>
      </c>
      <c r="N2031" t="s">
        <v>466</v>
      </c>
      <c r="O2031" t="s">
        <v>466</v>
      </c>
      <c r="P2031" t="s">
        <v>1257</v>
      </c>
      <c r="Q2031" s="1" t="s">
        <v>2281</v>
      </c>
      <c r="R2031" s="1" t="s">
        <v>2301</v>
      </c>
      <c r="S2031" s="1" t="s">
        <v>2302</v>
      </c>
      <c r="X2031" t="s">
        <v>161</v>
      </c>
      <c r="Y2031" t="s">
        <v>2272</v>
      </c>
      <c r="Z2031" t="s">
        <v>2272</v>
      </c>
      <c r="AA2031" t="s">
        <v>2272</v>
      </c>
      <c r="AB2031" t="s">
        <v>2272</v>
      </c>
      <c r="AC2031" t="s">
        <v>162</v>
      </c>
      <c r="AD2031" t="s">
        <v>2272</v>
      </c>
      <c r="AF2031" t="s">
        <v>49</v>
      </c>
      <c r="AI2031" t="s">
        <v>49</v>
      </c>
      <c r="AM2031" t="s">
        <v>1189</v>
      </c>
      <c r="AN2031" t="s">
        <v>165</v>
      </c>
    </row>
    <row r="2032" spans="1:45" x14ac:dyDescent="0.2">
      <c r="A2032" t="s">
        <v>1259</v>
      </c>
      <c r="B2032" t="s">
        <v>1260</v>
      </c>
      <c r="C2032" s="1">
        <v>2017</v>
      </c>
      <c r="D2032" t="s">
        <v>585</v>
      </c>
      <c r="E2032" t="s">
        <v>49</v>
      </c>
      <c r="F2032" s="1" t="s">
        <v>1264</v>
      </c>
      <c r="G2032" t="s">
        <v>1261</v>
      </c>
      <c r="H2032" t="s">
        <v>96</v>
      </c>
      <c r="N2032" t="s">
        <v>126</v>
      </c>
      <c r="O2032" t="s">
        <v>1130</v>
      </c>
      <c r="Q2032" s="1" t="s">
        <v>2281</v>
      </c>
      <c r="R2032" s="1" t="s">
        <v>2282</v>
      </c>
      <c r="S2032" s="1" t="s">
        <v>126</v>
      </c>
      <c r="X2032" t="s">
        <v>189</v>
      </c>
      <c r="Y2032" t="s">
        <v>2279</v>
      </c>
      <c r="Z2032" t="s">
        <v>2280</v>
      </c>
      <c r="AA2032" t="s">
        <v>2358</v>
      </c>
      <c r="AB2032" t="s">
        <v>189</v>
      </c>
      <c r="AC2032" t="s">
        <v>152</v>
      </c>
      <c r="AD2032" t="s">
        <v>2278</v>
      </c>
    </row>
    <row r="2033" spans="1:43" x14ac:dyDescent="0.2">
      <c r="A2033" t="s">
        <v>1259</v>
      </c>
      <c r="B2033" t="s">
        <v>1260</v>
      </c>
      <c r="C2033" s="1">
        <v>2017</v>
      </c>
      <c r="D2033" t="s">
        <v>585</v>
      </c>
      <c r="E2033" t="s">
        <v>49</v>
      </c>
      <c r="F2033" s="1" t="s">
        <v>1264</v>
      </c>
      <c r="G2033" t="s">
        <v>1261</v>
      </c>
      <c r="H2033" t="s">
        <v>96</v>
      </c>
      <c r="N2033" t="s">
        <v>123</v>
      </c>
      <c r="O2033" t="s">
        <v>1263</v>
      </c>
      <c r="Q2033" s="1" t="s">
        <v>2281</v>
      </c>
      <c r="R2033" s="1" t="s">
        <v>2282</v>
      </c>
      <c r="S2033" s="1" t="s">
        <v>123</v>
      </c>
      <c r="X2033" t="s">
        <v>189</v>
      </c>
      <c r="Y2033" t="s">
        <v>2279</v>
      </c>
      <c r="Z2033" t="s">
        <v>2280</v>
      </c>
      <c r="AA2033" t="s">
        <v>2358</v>
      </c>
      <c r="AB2033" t="s">
        <v>189</v>
      </c>
      <c r="AC2033" t="s">
        <v>152</v>
      </c>
      <c r="AD2033" t="s">
        <v>2278</v>
      </c>
      <c r="AF2033" t="s">
        <v>49</v>
      </c>
      <c r="AG2033" t="s">
        <v>49</v>
      </c>
      <c r="AI2033" t="s">
        <v>49</v>
      </c>
      <c r="AM2033" t="s">
        <v>1189</v>
      </c>
      <c r="AN2033" t="s">
        <v>166</v>
      </c>
    </row>
    <row r="2034" spans="1:43" x14ac:dyDescent="0.2">
      <c r="A2034" t="s">
        <v>1259</v>
      </c>
      <c r="B2034" t="s">
        <v>1260</v>
      </c>
      <c r="C2034" s="1">
        <v>2017</v>
      </c>
      <c r="D2034" t="s">
        <v>585</v>
      </c>
      <c r="E2034" t="s">
        <v>49</v>
      </c>
      <c r="F2034" s="1" t="s">
        <v>1264</v>
      </c>
      <c r="G2034" t="s">
        <v>1261</v>
      </c>
      <c r="H2034" t="s">
        <v>96</v>
      </c>
      <c r="I2034" t="s">
        <v>1265</v>
      </c>
      <c r="N2034" t="s">
        <v>1293</v>
      </c>
      <c r="O2034" t="s">
        <v>1262</v>
      </c>
      <c r="Q2034" s="1" t="s">
        <v>2281</v>
      </c>
      <c r="R2034" s="1" t="s">
        <v>2282</v>
      </c>
      <c r="S2034" s="1" t="s">
        <v>2304</v>
      </c>
      <c r="X2034" t="s">
        <v>189</v>
      </c>
      <c r="Y2034" t="s">
        <v>2279</v>
      </c>
      <c r="Z2034" t="s">
        <v>2280</v>
      </c>
      <c r="AA2034" t="s">
        <v>2358</v>
      </c>
      <c r="AB2034" t="s">
        <v>189</v>
      </c>
      <c r="AC2034" t="s">
        <v>152</v>
      </c>
      <c r="AD2034" t="s">
        <v>2278</v>
      </c>
    </row>
    <row r="2035" spans="1:43" x14ac:dyDescent="0.2">
      <c r="A2035" t="s">
        <v>1259</v>
      </c>
      <c r="B2035" t="s">
        <v>1260</v>
      </c>
      <c r="C2035" s="1">
        <v>2017</v>
      </c>
      <c r="D2035" t="s">
        <v>585</v>
      </c>
      <c r="E2035" t="s">
        <v>49</v>
      </c>
      <c r="F2035" s="1" t="s">
        <v>1264</v>
      </c>
      <c r="G2035" t="s">
        <v>1261</v>
      </c>
      <c r="H2035" t="s">
        <v>96</v>
      </c>
      <c r="N2035" t="s">
        <v>126</v>
      </c>
      <c r="O2035" t="s">
        <v>1130</v>
      </c>
      <c r="Q2035" s="1" t="s">
        <v>2281</v>
      </c>
      <c r="R2035" s="1" t="s">
        <v>2282</v>
      </c>
      <c r="S2035" s="1" t="s">
        <v>126</v>
      </c>
      <c r="T2035" t="s">
        <v>396</v>
      </c>
      <c r="U2035" t="s">
        <v>2338</v>
      </c>
      <c r="X2035" t="s">
        <v>161</v>
      </c>
      <c r="Y2035" t="s">
        <v>2272</v>
      </c>
      <c r="Z2035" t="s">
        <v>2272</v>
      </c>
      <c r="AA2035" t="s">
        <v>2272</v>
      </c>
      <c r="AB2035" t="s">
        <v>2272</v>
      </c>
      <c r="AC2035" t="s">
        <v>162</v>
      </c>
      <c r="AD2035" t="s">
        <v>2272</v>
      </c>
      <c r="AF2035" t="s">
        <v>49</v>
      </c>
      <c r="AG2035" t="s">
        <v>49</v>
      </c>
      <c r="AI2035" t="s">
        <v>49</v>
      </c>
      <c r="AM2035" t="s">
        <v>1189</v>
      </c>
      <c r="AN2035" t="s">
        <v>166</v>
      </c>
      <c r="AQ2035" s="5">
        <v>1</v>
      </c>
    </row>
    <row r="2036" spans="1:43" x14ac:dyDescent="0.2">
      <c r="A2036" t="s">
        <v>1259</v>
      </c>
      <c r="B2036" t="s">
        <v>1260</v>
      </c>
      <c r="C2036" s="1">
        <v>2017</v>
      </c>
      <c r="D2036" t="s">
        <v>585</v>
      </c>
      <c r="E2036" t="s">
        <v>49</v>
      </c>
      <c r="F2036" s="1" t="s">
        <v>1264</v>
      </c>
      <c r="G2036" t="s">
        <v>1261</v>
      </c>
      <c r="H2036" t="s">
        <v>96</v>
      </c>
      <c r="N2036" t="s">
        <v>123</v>
      </c>
      <c r="O2036" t="s">
        <v>1263</v>
      </c>
      <c r="Q2036" s="1" t="s">
        <v>2281</v>
      </c>
      <c r="R2036" s="1" t="s">
        <v>2282</v>
      </c>
      <c r="S2036" s="1" t="s">
        <v>123</v>
      </c>
      <c r="T2036" t="s">
        <v>396</v>
      </c>
      <c r="U2036" t="s">
        <v>2339</v>
      </c>
      <c r="X2036" t="s">
        <v>161</v>
      </c>
      <c r="Y2036" t="s">
        <v>2272</v>
      </c>
      <c r="Z2036" t="s">
        <v>2272</v>
      </c>
      <c r="AA2036" t="s">
        <v>2272</v>
      </c>
      <c r="AB2036" t="s">
        <v>2272</v>
      </c>
      <c r="AC2036" t="s">
        <v>162</v>
      </c>
      <c r="AD2036" t="s">
        <v>2272</v>
      </c>
      <c r="AF2036" t="s">
        <v>49</v>
      </c>
      <c r="AG2036" t="s">
        <v>49</v>
      </c>
      <c r="AI2036" t="s">
        <v>49</v>
      </c>
      <c r="AM2036" t="s">
        <v>1189</v>
      </c>
      <c r="AN2036" t="s">
        <v>166</v>
      </c>
      <c r="AQ2036" s="5">
        <v>2</v>
      </c>
    </row>
    <row r="2037" spans="1:43" x14ac:dyDescent="0.2">
      <c r="A2037" t="s">
        <v>1259</v>
      </c>
      <c r="B2037" t="s">
        <v>1260</v>
      </c>
      <c r="C2037" s="1">
        <v>2017</v>
      </c>
      <c r="D2037" t="s">
        <v>585</v>
      </c>
      <c r="E2037" t="s">
        <v>49</v>
      </c>
      <c r="F2037" s="1" t="s">
        <v>1264</v>
      </c>
      <c r="G2037" t="s">
        <v>1261</v>
      </c>
      <c r="H2037" t="s">
        <v>96</v>
      </c>
      <c r="I2037" t="s">
        <v>1265</v>
      </c>
      <c r="N2037" t="s">
        <v>1293</v>
      </c>
      <c r="O2037" t="s">
        <v>1262</v>
      </c>
      <c r="Q2037" s="1" t="s">
        <v>2281</v>
      </c>
      <c r="R2037" s="1" t="s">
        <v>2282</v>
      </c>
      <c r="S2037" s="1" t="s">
        <v>2304</v>
      </c>
      <c r="T2037" t="s">
        <v>396</v>
      </c>
      <c r="U2037" t="s">
        <v>2340</v>
      </c>
      <c r="X2037" t="s">
        <v>161</v>
      </c>
      <c r="Y2037" t="s">
        <v>2272</v>
      </c>
      <c r="Z2037" t="s">
        <v>2272</v>
      </c>
      <c r="AA2037" t="s">
        <v>2272</v>
      </c>
      <c r="AB2037" t="s">
        <v>2272</v>
      </c>
      <c r="AC2037" t="s">
        <v>162</v>
      </c>
      <c r="AD2037" t="s">
        <v>2272</v>
      </c>
      <c r="AF2037" t="s">
        <v>49</v>
      </c>
      <c r="AG2037" t="s">
        <v>49</v>
      </c>
      <c r="AI2037" t="s">
        <v>49</v>
      </c>
      <c r="AM2037" t="s">
        <v>1189</v>
      </c>
      <c r="AN2037" t="s">
        <v>166</v>
      </c>
      <c r="AQ2037" s="5">
        <v>3</v>
      </c>
    </row>
    <row r="2038" spans="1:43" x14ac:dyDescent="0.2">
      <c r="A2038" t="s">
        <v>1266</v>
      </c>
      <c r="B2038" t="s">
        <v>1267</v>
      </c>
      <c r="C2038" s="1">
        <v>2017</v>
      </c>
      <c r="D2038" t="s">
        <v>44</v>
      </c>
      <c r="F2038" s="1" t="s">
        <v>82</v>
      </c>
      <c r="G2038" t="s">
        <v>86</v>
      </c>
      <c r="H2038" t="s">
        <v>350</v>
      </c>
      <c r="I2038" t="s">
        <v>1120</v>
      </c>
      <c r="J2038">
        <v>1.08</v>
      </c>
      <c r="K2038" t="s">
        <v>42</v>
      </c>
      <c r="L2038">
        <v>5</v>
      </c>
      <c r="N2038" t="s">
        <v>127</v>
      </c>
      <c r="O2038" t="s">
        <v>1268</v>
      </c>
      <c r="P2038" t="s">
        <v>1269</v>
      </c>
      <c r="Q2038" s="1" t="s">
        <v>2281</v>
      </c>
      <c r="R2038" s="1" t="s">
        <v>2282</v>
      </c>
      <c r="S2038" s="1" t="s">
        <v>2304</v>
      </c>
      <c r="T2038" t="s">
        <v>396</v>
      </c>
      <c r="U2038" s="1" t="s">
        <v>2403</v>
      </c>
      <c r="X2038" t="s">
        <v>161</v>
      </c>
      <c r="Y2038" t="s">
        <v>2272</v>
      </c>
      <c r="Z2038" t="s">
        <v>2272</v>
      </c>
      <c r="AA2038" t="s">
        <v>2272</v>
      </c>
      <c r="AB2038" t="s">
        <v>2272</v>
      </c>
      <c r="AC2038" t="s">
        <v>162</v>
      </c>
      <c r="AD2038" t="s">
        <v>2272</v>
      </c>
      <c r="AF2038" t="s">
        <v>49</v>
      </c>
      <c r="AK2038" t="s">
        <v>49</v>
      </c>
      <c r="AM2038" t="s">
        <v>1273</v>
      </c>
      <c r="AN2038" t="s">
        <v>165</v>
      </c>
      <c r="AP2038" t="s">
        <v>49</v>
      </c>
    </row>
    <row r="2039" spans="1:43" x14ac:dyDescent="0.2">
      <c r="A2039" t="s">
        <v>1266</v>
      </c>
      <c r="B2039" t="s">
        <v>1267</v>
      </c>
      <c r="C2039" s="1">
        <v>2017</v>
      </c>
      <c r="D2039" t="s">
        <v>44</v>
      </c>
      <c r="F2039" s="1" t="s">
        <v>82</v>
      </c>
      <c r="G2039" t="s">
        <v>86</v>
      </c>
      <c r="H2039" t="s">
        <v>96</v>
      </c>
      <c r="I2039" t="s">
        <v>1120</v>
      </c>
      <c r="J2039">
        <v>1.08</v>
      </c>
      <c r="K2039" t="s">
        <v>42</v>
      </c>
      <c r="L2039">
        <v>5</v>
      </c>
      <c r="N2039" t="s">
        <v>121</v>
      </c>
      <c r="O2039" t="s">
        <v>121</v>
      </c>
      <c r="P2039" t="s">
        <v>286</v>
      </c>
      <c r="Q2039" s="1" t="s">
        <v>2292</v>
      </c>
      <c r="R2039" s="1" t="s">
        <v>264</v>
      </c>
      <c r="S2039" s="1" t="s">
        <v>264</v>
      </c>
      <c r="T2039" t="s">
        <v>396</v>
      </c>
      <c r="U2039" s="1" t="s">
        <v>2404</v>
      </c>
      <c r="X2039" t="s">
        <v>161</v>
      </c>
      <c r="Y2039" t="s">
        <v>2272</v>
      </c>
      <c r="Z2039" t="s">
        <v>2272</v>
      </c>
      <c r="AA2039" t="s">
        <v>2272</v>
      </c>
      <c r="AB2039" t="s">
        <v>2272</v>
      </c>
      <c r="AC2039" t="s">
        <v>162</v>
      </c>
      <c r="AD2039" t="s">
        <v>2272</v>
      </c>
      <c r="AF2039" t="s">
        <v>49</v>
      </c>
      <c r="AK2039" t="s">
        <v>49</v>
      </c>
      <c r="AM2039" t="s">
        <v>1273</v>
      </c>
      <c r="AN2039" t="s">
        <v>165</v>
      </c>
      <c r="AP2039" t="s">
        <v>49</v>
      </c>
    </row>
    <row r="2040" spans="1:43" x14ac:dyDescent="0.2">
      <c r="A2040" t="s">
        <v>1266</v>
      </c>
      <c r="B2040" t="s">
        <v>1267</v>
      </c>
      <c r="C2040" s="1">
        <v>2017</v>
      </c>
      <c r="D2040" t="s">
        <v>44</v>
      </c>
      <c r="F2040" s="1" t="s">
        <v>82</v>
      </c>
      <c r="G2040" t="s">
        <v>86</v>
      </c>
      <c r="H2040" t="s">
        <v>96</v>
      </c>
      <c r="I2040" t="s">
        <v>1120</v>
      </c>
      <c r="J2040">
        <v>1.08</v>
      </c>
      <c r="K2040" t="s">
        <v>42</v>
      </c>
      <c r="L2040">
        <v>5</v>
      </c>
      <c r="N2040" t="s">
        <v>127</v>
      </c>
      <c r="O2040" t="s">
        <v>1270</v>
      </c>
      <c r="P2040" t="s">
        <v>2260</v>
      </c>
      <c r="Q2040" s="1" t="s">
        <v>2281</v>
      </c>
      <c r="R2040" s="1" t="s">
        <v>2301</v>
      </c>
      <c r="S2040" s="1" t="s">
        <v>2303</v>
      </c>
      <c r="T2040" t="s">
        <v>396</v>
      </c>
      <c r="U2040" s="1" t="s">
        <v>2405</v>
      </c>
      <c r="X2040" t="s">
        <v>161</v>
      </c>
      <c r="Y2040" t="s">
        <v>2272</v>
      </c>
      <c r="Z2040" t="s">
        <v>2272</v>
      </c>
      <c r="AA2040" t="s">
        <v>2272</v>
      </c>
      <c r="AB2040" t="s">
        <v>2272</v>
      </c>
      <c r="AC2040" t="s">
        <v>162</v>
      </c>
      <c r="AD2040" t="s">
        <v>2272</v>
      </c>
      <c r="AF2040" t="s">
        <v>49</v>
      </c>
      <c r="AK2040" t="s">
        <v>49</v>
      </c>
      <c r="AM2040" t="s">
        <v>1273</v>
      </c>
      <c r="AN2040" t="s">
        <v>165</v>
      </c>
      <c r="AP2040" t="s">
        <v>49</v>
      </c>
    </row>
    <row r="2041" spans="1:43" x14ac:dyDescent="0.2">
      <c r="A2041" t="s">
        <v>1266</v>
      </c>
      <c r="B2041" t="s">
        <v>1267</v>
      </c>
      <c r="C2041" s="1">
        <v>2017</v>
      </c>
      <c r="D2041" t="s">
        <v>44</v>
      </c>
      <c r="F2041" s="1" t="s">
        <v>82</v>
      </c>
      <c r="G2041" t="s">
        <v>86</v>
      </c>
      <c r="H2041" t="s">
        <v>350</v>
      </c>
      <c r="I2041" t="s">
        <v>1120</v>
      </c>
      <c r="J2041">
        <v>1.08</v>
      </c>
      <c r="K2041" t="s">
        <v>42</v>
      </c>
      <c r="L2041">
        <v>5</v>
      </c>
      <c r="N2041" t="s">
        <v>125</v>
      </c>
      <c r="O2041" t="s">
        <v>1271</v>
      </c>
      <c r="P2041" t="s">
        <v>1272</v>
      </c>
      <c r="Q2041" s="1" t="s">
        <v>2276</v>
      </c>
      <c r="R2041" s="1" t="s">
        <v>751</v>
      </c>
      <c r="S2041" s="1" t="s">
        <v>2345</v>
      </c>
      <c r="T2041" t="s">
        <v>396</v>
      </c>
      <c r="U2041" s="1" t="s">
        <v>2406</v>
      </c>
      <c r="X2041" t="s">
        <v>161</v>
      </c>
      <c r="Y2041" t="s">
        <v>2272</v>
      </c>
      <c r="Z2041" t="s">
        <v>2272</v>
      </c>
      <c r="AA2041" t="s">
        <v>2272</v>
      </c>
      <c r="AB2041" t="s">
        <v>2272</v>
      </c>
      <c r="AC2041" t="s">
        <v>162</v>
      </c>
      <c r="AD2041" t="s">
        <v>2272</v>
      </c>
      <c r="AF2041" t="s">
        <v>49</v>
      </c>
      <c r="AK2041" t="s">
        <v>49</v>
      </c>
      <c r="AM2041" t="s">
        <v>1273</v>
      </c>
      <c r="AN2041" t="s">
        <v>165</v>
      </c>
      <c r="AP2041" t="s">
        <v>49</v>
      </c>
    </row>
    <row r="2042" spans="1:43" x14ac:dyDescent="0.2">
      <c r="A2042" t="s">
        <v>1266</v>
      </c>
      <c r="B2042" t="s">
        <v>1267</v>
      </c>
      <c r="C2042" s="1">
        <v>2017</v>
      </c>
      <c r="D2042" t="s">
        <v>44</v>
      </c>
      <c r="F2042" s="1" t="s">
        <v>82</v>
      </c>
      <c r="G2042" t="s">
        <v>86</v>
      </c>
      <c r="H2042" t="s">
        <v>350</v>
      </c>
      <c r="I2042" t="s">
        <v>1120</v>
      </c>
      <c r="J2042">
        <v>1.08</v>
      </c>
      <c r="K2042" t="s">
        <v>42</v>
      </c>
      <c r="L2042">
        <v>5</v>
      </c>
      <c r="N2042" t="s">
        <v>127</v>
      </c>
      <c r="O2042" t="s">
        <v>1268</v>
      </c>
      <c r="P2042" t="s">
        <v>1269</v>
      </c>
      <c r="Q2042" s="1" t="s">
        <v>2281</v>
      </c>
      <c r="R2042" s="1" t="s">
        <v>2282</v>
      </c>
      <c r="S2042" s="1" t="s">
        <v>2304</v>
      </c>
      <c r="T2042" t="s">
        <v>421</v>
      </c>
      <c r="U2042" t="s">
        <v>421</v>
      </c>
      <c r="X2042" t="s">
        <v>161</v>
      </c>
      <c r="Y2042" t="s">
        <v>2272</v>
      </c>
      <c r="Z2042" t="s">
        <v>2272</v>
      </c>
      <c r="AA2042" t="s">
        <v>2272</v>
      </c>
      <c r="AB2042" t="s">
        <v>2272</v>
      </c>
      <c r="AC2042" t="s">
        <v>162</v>
      </c>
      <c r="AD2042" t="s">
        <v>2272</v>
      </c>
      <c r="AF2042" t="s">
        <v>49</v>
      </c>
      <c r="AK2042" t="s">
        <v>49</v>
      </c>
      <c r="AM2042" t="s">
        <v>1273</v>
      </c>
      <c r="AN2042" t="s">
        <v>165</v>
      </c>
      <c r="AP2042" t="s">
        <v>49</v>
      </c>
    </row>
    <row r="2043" spans="1:43" x14ac:dyDescent="0.2">
      <c r="A2043" t="s">
        <v>1266</v>
      </c>
      <c r="B2043" t="s">
        <v>1267</v>
      </c>
      <c r="C2043" s="1">
        <v>2017</v>
      </c>
      <c r="D2043" t="s">
        <v>44</v>
      </c>
      <c r="F2043" s="1" t="s">
        <v>82</v>
      </c>
      <c r="G2043" t="s">
        <v>86</v>
      </c>
      <c r="H2043" t="s">
        <v>96</v>
      </c>
      <c r="I2043" t="s">
        <v>1120</v>
      </c>
      <c r="J2043">
        <v>1.08</v>
      </c>
      <c r="K2043" t="s">
        <v>42</v>
      </c>
      <c r="L2043">
        <v>5</v>
      </c>
      <c r="N2043" t="s">
        <v>121</v>
      </c>
      <c r="O2043" t="s">
        <v>121</v>
      </c>
      <c r="P2043" t="s">
        <v>286</v>
      </c>
      <c r="Q2043" s="1" t="s">
        <v>2292</v>
      </c>
      <c r="R2043" s="1" t="s">
        <v>264</v>
      </c>
      <c r="S2043" s="1" t="s">
        <v>264</v>
      </c>
      <c r="T2043" t="s">
        <v>421</v>
      </c>
      <c r="U2043" t="s">
        <v>421</v>
      </c>
      <c r="X2043" t="s">
        <v>161</v>
      </c>
      <c r="Y2043" t="s">
        <v>2272</v>
      </c>
      <c r="Z2043" t="s">
        <v>2272</v>
      </c>
      <c r="AA2043" t="s">
        <v>2272</v>
      </c>
      <c r="AB2043" t="s">
        <v>2272</v>
      </c>
      <c r="AC2043" t="s">
        <v>162</v>
      </c>
      <c r="AD2043" t="s">
        <v>2272</v>
      </c>
      <c r="AF2043" t="s">
        <v>49</v>
      </c>
      <c r="AK2043" t="s">
        <v>49</v>
      </c>
      <c r="AM2043" t="s">
        <v>1273</v>
      </c>
      <c r="AN2043" t="s">
        <v>165</v>
      </c>
      <c r="AP2043" t="s">
        <v>49</v>
      </c>
    </row>
    <row r="2044" spans="1:43" x14ac:dyDescent="0.2">
      <c r="A2044" t="s">
        <v>1266</v>
      </c>
      <c r="B2044" t="s">
        <v>1267</v>
      </c>
      <c r="C2044" s="1">
        <v>2017</v>
      </c>
      <c r="D2044" t="s">
        <v>44</v>
      </c>
      <c r="F2044" s="1" t="s">
        <v>82</v>
      </c>
      <c r="G2044" t="s">
        <v>86</v>
      </c>
      <c r="H2044" t="s">
        <v>96</v>
      </c>
      <c r="I2044" t="s">
        <v>1120</v>
      </c>
      <c r="J2044">
        <v>1.08</v>
      </c>
      <c r="K2044" t="s">
        <v>42</v>
      </c>
      <c r="L2044">
        <v>5</v>
      </c>
      <c r="N2044" t="s">
        <v>127</v>
      </c>
      <c r="O2044" t="s">
        <v>1270</v>
      </c>
      <c r="P2044" t="s">
        <v>2260</v>
      </c>
      <c r="Q2044" s="1" t="s">
        <v>2281</v>
      </c>
      <c r="R2044" s="1" t="s">
        <v>2301</v>
      </c>
      <c r="S2044" s="1" t="s">
        <v>2303</v>
      </c>
      <c r="T2044" t="s">
        <v>421</v>
      </c>
      <c r="U2044" t="s">
        <v>421</v>
      </c>
      <c r="X2044" t="s">
        <v>161</v>
      </c>
      <c r="Y2044" t="s">
        <v>2272</v>
      </c>
      <c r="Z2044" t="s">
        <v>2272</v>
      </c>
      <c r="AA2044" t="s">
        <v>2272</v>
      </c>
      <c r="AB2044" t="s">
        <v>2272</v>
      </c>
      <c r="AC2044" t="s">
        <v>162</v>
      </c>
      <c r="AD2044" t="s">
        <v>2272</v>
      </c>
      <c r="AF2044" t="s">
        <v>49</v>
      </c>
      <c r="AK2044" t="s">
        <v>49</v>
      </c>
      <c r="AM2044" t="s">
        <v>1273</v>
      </c>
      <c r="AN2044" t="s">
        <v>165</v>
      </c>
      <c r="AP2044" t="s">
        <v>51</v>
      </c>
      <c r="AQ2044" s="5">
        <v>0</v>
      </c>
    </row>
    <row r="2045" spans="1:43" x14ac:dyDescent="0.2">
      <c r="A2045" t="s">
        <v>1266</v>
      </c>
      <c r="B2045" t="s">
        <v>1267</v>
      </c>
      <c r="C2045" s="1">
        <v>2017</v>
      </c>
      <c r="D2045" t="s">
        <v>44</v>
      </c>
      <c r="F2045" s="1" t="s">
        <v>82</v>
      </c>
      <c r="G2045" t="s">
        <v>86</v>
      </c>
      <c r="H2045" t="s">
        <v>350</v>
      </c>
      <c r="I2045" t="s">
        <v>1120</v>
      </c>
      <c r="J2045">
        <v>1.08</v>
      </c>
      <c r="K2045" t="s">
        <v>42</v>
      </c>
      <c r="L2045">
        <v>5</v>
      </c>
      <c r="N2045" t="s">
        <v>125</v>
      </c>
      <c r="O2045" t="s">
        <v>1271</v>
      </c>
      <c r="P2045" t="s">
        <v>1272</v>
      </c>
      <c r="Q2045" s="1" t="s">
        <v>2276</v>
      </c>
      <c r="R2045" s="1" t="s">
        <v>751</v>
      </c>
      <c r="S2045" s="1" t="s">
        <v>2345</v>
      </c>
      <c r="T2045" t="s">
        <v>421</v>
      </c>
      <c r="U2045" t="s">
        <v>421</v>
      </c>
      <c r="X2045" t="s">
        <v>161</v>
      </c>
      <c r="Y2045" t="s">
        <v>2272</v>
      </c>
      <c r="Z2045" t="s">
        <v>2272</v>
      </c>
      <c r="AA2045" t="s">
        <v>2272</v>
      </c>
      <c r="AB2045" t="s">
        <v>2272</v>
      </c>
      <c r="AC2045" t="s">
        <v>162</v>
      </c>
      <c r="AD2045" t="s">
        <v>2272</v>
      </c>
      <c r="AF2045" t="s">
        <v>49</v>
      </c>
      <c r="AK2045" t="s">
        <v>49</v>
      </c>
      <c r="AM2045" t="s">
        <v>1273</v>
      </c>
      <c r="AN2045" t="s">
        <v>165</v>
      </c>
      <c r="AP2045" t="s">
        <v>49</v>
      </c>
    </row>
    <row r="2046" spans="1:43" x14ac:dyDescent="0.2">
      <c r="A2046" t="s">
        <v>1266</v>
      </c>
      <c r="B2046" t="s">
        <v>1267</v>
      </c>
      <c r="C2046" s="1">
        <v>2017</v>
      </c>
      <c r="D2046" t="s">
        <v>44</v>
      </c>
      <c r="F2046" s="1" t="s">
        <v>82</v>
      </c>
      <c r="G2046" t="s">
        <v>86</v>
      </c>
      <c r="H2046" t="s">
        <v>350</v>
      </c>
      <c r="I2046" t="s">
        <v>1120</v>
      </c>
      <c r="J2046">
        <v>1.08</v>
      </c>
      <c r="K2046" t="s">
        <v>42</v>
      </c>
      <c r="L2046">
        <v>5</v>
      </c>
      <c r="N2046" t="s">
        <v>127</v>
      </c>
      <c r="O2046" t="s">
        <v>1268</v>
      </c>
      <c r="P2046" t="s">
        <v>1269</v>
      </c>
      <c r="Q2046" s="1" t="s">
        <v>2281</v>
      </c>
      <c r="R2046" s="1" t="s">
        <v>2282</v>
      </c>
      <c r="S2046" s="1" t="s">
        <v>2304</v>
      </c>
      <c r="T2046" t="s">
        <v>396</v>
      </c>
      <c r="U2046" s="1" t="s">
        <v>2403</v>
      </c>
      <c r="X2046" t="s">
        <v>161</v>
      </c>
      <c r="Y2046" t="s">
        <v>2272</v>
      </c>
      <c r="Z2046" t="s">
        <v>2272</v>
      </c>
      <c r="AA2046" t="s">
        <v>2272</v>
      </c>
      <c r="AB2046" t="s">
        <v>2272</v>
      </c>
      <c r="AC2046" t="s">
        <v>162</v>
      </c>
      <c r="AD2046" t="s">
        <v>2272</v>
      </c>
      <c r="AF2046" t="s">
        <v>49</v>
      </c>
      <c r="AK2046" t="s">
        <v>49</v>
      </c>
      <c r="AM2046" t="s">
        <v>1273</v>
      </c>
      <c r="AN2046" t="s">
        <v>166</v>
      </c>
      <c r="AQ2046" s="5">
        <v>1</v>
      </c>
    </row>
    <row r="2047" spans="1:43" x14ac:dyDescent="0.2">
      <c r="A2047" t="s">
        <v>1266</v>
      </c>
      <c r="B2047" t="s">
        <v>1267</v>
      </c>
      <c r="C2047" s="1">
        <v>2017</v>
      </c>
      <c r="D2047" t="s">
        <v>44</v>
      </c>
      <c r="F2047" s="1" t="s">
        <v>82</v>
      </c>
      <c r="G2047" t="s">
        <v>86</v>
      </c>
      <c r="H2047" t="s">
        <v>96</v>
      </c>
      <c r="I2047" t="s">
        <v>1120</v>
      </c>
      <c r="J2047">
        <v>1.08</v>
      </c>
      <c r="K2047" t="s">
        <v>42</v>
      </c>
      <c r="L2047">
        <v>5</v>
      </c>
      <c r="N2047" t="s">
        <v>121</v>
      </c>
      <c r="O2047" t="s">
        <v>121</v>
      </c>
      <c r="P2047" t="s">
        <v>286</v>
      </c>
      <c r="Q2047" s="1" t="s">
        <v>2292</v>
      </c>
      <c r="R2047" s="1" t="s">
        <v>264</v>
      </c>
      <c r="S2047" s="1" t="s">
        <v>264</v>
      </c>
      <c r="T2047" t="s">
        <v>396</v>
      </c>
      <c r="U2047" s="1" t="s">
        <v>2404</v>
      </c>
      <c r="X2047" t="s">
        <v>161</v>
      </c>
      <c r="Y2047" t="s">
        <v>2272</v>
      </c>
      <c r="Z2047" t="s">
        <v>2272</v>
      </c>
      <c r="AA2047" t="s">
        <v>2272</v>
      </c>
      <c r="AB2047" t="s">
        <v>2272</v>
      </c>
      <c r="AC2047" t="s">
        <v>162</v>
      </c>
      <c r="AD2047" t="s">
        <v>2272</v>
      </c>
      <c r="AF2047" t="s">
        <v>49</v>
      </c>
      <c r="AK2047" t="s">
        <v>49</v>
      </c>
      <c r="AM2047" t="s">
        <v>1273</v>
      </c>
      <c r="AN2047" t="s">
        <v>166</v>
      </c>
      <c r="AQ2047" s="5">
        <v>3</v>
      </c>
    </row>
    <row r="2048" spans="1:43" x14ac:dyDescent="0.2">
      <c r="A2048" t="s">
        <v>1266</v>
      </c>
      <c r="B2048" t="s">
        <v>1267</v>
      </c>
      <c r="C2048" s="1">
        <v>2017</v>
      </c>
      <c r="D2048" t="s">
        <v>44</v>
      </c>
      <c r="F2048" s="1" t="s">
        <v>82</v>
      </c>
      <c r="G2048" t="s">
        <v>86</v>
      </c>
      <c r="H2048" t="s">
        <v>96</v>
      </c>
      <c r="I2048" t="s">
        <v>1120</v>
      </c>
      <c r="J2048">
        <v>1.08</v>
      </c>
      <c r="K2048" t="s">
        <v>42</v>
      </c>
      <c r="L2048">
        <v>5</v>
      </c>
      <c r="N2048" t="s">
        <v>127</v>
      </c>
      <c r="O2048" t="s">
        <v>1270</v>
      </c>
      <c r="P2048" t="s">
        <v>2260</v>
      </c>
      <c r="Q2048" s="1" t="s">
        <v>2281</v>
      </c>
      <c r="R2048" s="1" t="s">
        <v>2301</v>
      </c>
      <c r="S2048" s="1" t="s">
        <v>2303</v>
      </c>
      <c r="T2048" t="s">
        <v>396</v>
      </c>
      <c r="U2048" s="1" t="s">
        <v>2405</v>
      </c>
      <c r="X2048" t="s">
        <v>161</v>
      </c>
      <c r="Y2048" t="s">
        <v>2272</v>
      </c>
      <c r="Z2048" t="s">
        <v>2272</v>
      </c>
      <c r="AA2048" t="s">
        <v>2272</v>
      </c>
      <c r="AB2048" t="s">
        <v>2272</v>
      </c>
      <c r="AC2048" t="s">
        <v>162</v>
      </c>
      <c r="AD2048" t="s">
        <v>2272</v>
      </c>
      <c r="AF2048" t="s">
        <v>49</v>
      </c>
      <c r="AK2048" t="s">
        <v>49</v>
      </c>
      <c r="AM2048" t="s">
        <v>1273</v>
      </c>
      <c r="AN2048" t="s">
        <v>166</v>
      </c>
      <c r="AQ2048" s="5">
        <v>4</v>
      </c>
    </row>
    <row r="2049" spans="1:43" x14ac:dyDescent="0.2">
      <c r="A2049" t="s">
        <v>1266</v>
      </c>
      <c r="B2049" t="s">
        <v>1267</v>
      </c>
      <c r="C2049" s="1">
        <v>2017</v>
      </c>
      <c r="D2049" t="s">
        <v>44</v>
      </c>
      <c r="F2049" s="1" t="s">
        <v>82</v>
      </c>
      <c r="G2049" t="s">
        <v>86</v>
      </c>
      <c r="H2049" t="s">
        <v>350</v>
      </c>
      <c r="I2049" t="s">
        <v>1120</v>
      </c>
      <c r="J2049">
        <v>1.08</v>
      </c>
      <c r="K2049" t="s">
        <v>42</v>
      </c>
      <c r="L2049">
        <v>5</v>
      </c>
      <c r="N2049" t="s">
        <v>125</v>
      </c>
      <c r="O2049" t="s">
        <v>1271</v>
      </c>
      <c r="P2049" t="s">
        <v>1272</v>
      </c>
      <c r="Q2049" s="1" t="s">
        <v>2276</v>
      </c>
      <c r="R2049" s="1" t="s">
        <v>751</v>
      </c>
      <c r="S2049" s="1" t="s">
        <v>2345</v>
      </c>
      <c r="T2049" t="s">
        <v>396</v>
      </c>
      <c r="U2049" s="1" t="s">
        <v>2406</v>
      </c>
      <c r="X2049" t="s">
        <v>161</v>
      </c>
      <c r="Y2049" t="s">
        <v>2272</v>
      </c>
      <c r="Z2049" t="s">
        <v>2272</v>
      </c>
      <c r="AA2049" t="s">
        <v>2272</v>
      </c>
      <c r="AB2049" t="s">
        <v>2272</v>
      </c>
      <c r="AC2049" t="s">
        <v>162</v>
      </c>
      <c r="AD2049" t="s">
        <v>2272</v>
      </c>
      <c r="AF2049" t="s">
        <v>49</v>
      </c>
      <c r="AK2049" t="s">
        <v>49</v>
      </c>
      <c r="AM2049" t="s">
        <v>1273</v>
      </c>
      <c r="AN2049" t="s">
        <v>166</v>
      </c>
      <c r="AQ2049" s="5">
        <v>2</v>
      </c>
    </row>
    <row r="2050" spans="1:43" x14ac:dyDescent="0.2">
      <c r="A2050" t="s">
        <v>1266</v>
      </c>
      <c r="B2050" t="s">
        <v>1267</v>
      </c>
      <c r="C2050" s="1">
        <v>2017</v>
      </c>
      <c r="D2050" t="s">
        <v>44</v>
      </c>
      <c r="F2050" s="1" t="s">
        <v>82</v>
      </c>
      <c r="G2050" t="s">
        <v>86</v>
      </c>
      <c r="H2050" t="s">
        <v>350</v>
      </c>
      <c r="I2050" t="s">
        <v>1120</v>
      </c>
      <c r="J2050">
        <v>1.08</v>
      </c>
      <c r="K2050" t="s">
        <v>42</v>
      </c>
      <c r="L2050">
        <v>5</v>
      </c>
      <c r="N2050" t="s">
        <v>127</v>
      </c>
      <c r="O2050" t="s">
        <v>1268</v>
      </c>
      <c r="P2050" t="s">
        <v>1269</v>
      </c>
      <c r="Q2050" s="1" t="s">
        <v>2281</v>
      </c>
      <c r="R2050" s="1" t="s">
        <v>2282</v>
      </c>
      <c r="S2050" s="1" t="s">
        <v>2304</v>
      </c>
      <c r="T2050" t="s">
        <v>421</v>
      </c>
      <c r="U2050" t="s">
        <v>421</v>
      </c>
      <c r="X2050" t="s">
        <v>161</v>
      </c>
      <c r="Y2050" t="s">
        <v>2272</v>
      </c>
      <c r="Z2050" t="s">
        <v>2272</v>
      </c>
      <c r="AA2050" t="s">
        <v>2272</v>
      </c>
      <c r="AB2050" t="s">
        <v>2272</v>
      </c>
      <c r="AC2050" t="s">
        <v>162</v>
      </c>
      <c r="AD2050" t="s">
        <v>2272</v>
      </c>
      <c r="AF2050" t="s">
        <v>49</v>
      </c>
      <c r="AK2050" t="s">
        <v>49</v>
      </c>
      <c r="AM2050" t="s">
        <v>1273</v>
      </c>
      <c r="AN2050" t="s">
        <v>166</v>
      </c>
      <c r="AP2050" t="s">
        <v>51</v>
      </c>
      <c r="AQ2050" s="5">
        <v>0</v>
      </c>
    </row>
    <row r="2051" spans="1:43" x14ac:dyDescent="0.2">
      <c r="A2051" t="s">
        <v>1266</v>
      </c>
      <c r="B2051" t="s">
        <v>1267</v>
      </c>
      <c r="C2051" s="1">
        <v>2017</v>
      </c>
      <c r="D2051" t="s">
        <v>44</v>
      </c>
      <c r="F2051" s="1" t="s">
        <v>82</v>
      </c>
      <c r="G2051" t="s">
        <v>86</v>
      </c>
      <c r="H2051" t="s">
        <v>96</v>
      </c>
      <c r="I2051" t="s">
        <v>1120</v>
      </c>
      <c r="J2051">
        <v>1.08</v>
      </c>
      <c r="K2051" t="s">
        <v>42</v>
      </c>
      <c r="L2051">
        <v>5</v>
      </c>
      <c r="N2051" t="s">
        <v>121</v>
      </c>
      <c r="O2051" t="s">
        <v>121</v>
      </c>
      <c r="P2051" t="s">
        <v>286</v>
      </c>
      <c r="Q2051" s="1" t="s">
        <v>2292</v>
      </c>
      <c r="R2051" s="1" t="s">
        <v>264</v>
      </c>
      <c r="S2051" s="1" t="s">
        <v>264</v>
      </c>
      <c r="T2051" t="s">
        <v>421</v>
      </c>
      <c r="U2051" t="s">
        <v>421</v>
      </c>
      <c r="X2051" t="s">
        <v>161</v>
      </c>
      <c r="Y2051" t="s">
        <v>2272</v>
      </c>
      <c r="Z2051" t="s">
        <v>2272</v>
      </c>
      <c r="AA2051" t="s">
        <v>2272</v>
      </c>
      <c r="AB2051" t="s">
        <v>2272</v>
      </c>
      <c r="AC2051" t="s">
        <v>162</v>
      </c>
      <c r="AD2051" t="s">
        <v>2272</v>
      </c>
      <c r="AF2051" t="s">
        <v>49</v>
      </c>
      <c r="AK2051" t="s">
        <v>49</v>
      </c>
      <c r="AM2051" t="s">
        <v>1273</v>
      </c>
      <c r="AN2051" t="s">
        <v>166</v>
      </c>
      <c r="AP2051" t="s">
        <v>51</v>
      </c>
      <c r="AQ2051" s="5">
        <v>0</v>
      </c>
    </row>
    <row r="2052" spans="1:43" x14ac:dyDescent="0.2">
      <c r="A2052" t="s">
        <v>1266</v>
      </c>
      <c r="B2052" t="s">
        <v>1267</v>
      </c>
      <c r="C2052" s="1">
        <v>2017</v>
      </c>
      <c r="D2052" t="s">
        <v>44</v>
      </c>
      <c r="F2052" s="1" t="s">
        <v>82</v>
      </c>
      <c r="G2052" t="s">
        <v>86</v>
      </c>
      <c r="H2052" t="s">
        <v>96</v>
      </c>
      <c r="I2052" t="s">
        <v>1120</v>
      </c>
      <c r="J2052">
        <v>1.08</v>
      </c>
      <c r="K2052" t="s">
        <v>42</v>
      </c>
      <c r="L2052">
        <v>5</v>
      </c>
      <c r="N2052" t="s">
        <v>127</v>
      </c>
      <c r="O2052" t="s">
        <v>1270</v>
      </c>
      <c r="P2052" t="s">
        <v>2260</v>
      </c>
      <c r="Q2052" s="1" t="s">
        <v>2281</v>
      </c>
      <c r="R2052" s="1" t="s">
        <v>2301</v>
      </c>
      <c r="S2052" s="1" t="s">
        <v>2303</v>
      </c>
      <c r="T2052" t="s">
        <v>421</v>
      </c>
      <c r="U2052" t="s">
        <v>421</v>
      </c>
      <c r="X2052" t="s">
        <v>161</v>
      </c>
      <c r="Y2052" t="s">
        <v>2272</v>
      </c>
      <c r="Z2052" t="s">
        <v>2272</v>
      </c>
      <c r="AA2052" t="s">
        <v>2272</v>
      </c>
      <c r="AB2052" t="s">
        <v>2272</v>
      </c>
      <c r="AC2052" t="s">
        <v>162</v>
      </c>
      <c r="AD2052" t="s">
        <v>2272</v>
      </c>
      <c r="AF2052" t="s">
        <v>49</v>
      </c>
      <c r="AK2052" t="s">
        <v>49</v>
      </c>
      <c r="AM2052" t="s">
        <v>1273</v>
      </c>
      <c r="AN2052" t="s">
        <v>166</v>
      </c>
      <c r="AP2052" t="s">
        <v>51</v>
      </c>
      <c r="AQ2052" s="5">
        <v>0</v>
      </c>
    </row>
    <row r="2053" spans="1:43" x14ac:dyDescent="0.2">
      <c r="A2053" t="s">
        <v>1266</v>
      </c>
      <c r="B2053" t="s">
        <v>1267</v>
      </c>
      <c r="C2053" s="1">
        <v>2017</v>
      </c>
      <c r="D2053" t="s">
        <v>44</v>
      </c>
      <c r="F2053" s="1" t="s">
        <v>82</v>
      </c>
      <c r="G2053" t="s">
        <v>86</v>
      </c>
      <c r="H2053" t="s">
        <v>350</v>
      </c>
      <c r="I2053" t="s">
        <v>1120</v>
      </c>
      <c r="J2053">
        <v>1.08</v>
      </c>
      <c r="K2053" t="s">
        <v>42</v>
      </c>
      <c r="L2053">
        <v>5</v>
      </c>
      <c r="N2053" t="s">
        <v>125</v>
      </c>
      <c r="O2053" t="s">
        <v>1271</v>
      </c>
      <c r="P2053" t="s">
        <v>1272</v>
      </c>
      <c r="Q2053" s="1" t="s">
        <v>2276</v>
      </c>
      <c r="R2053" s="1" t="s">
        <v>751</v>
      </c>
      <c r="S2053" s="1" t="s">
        <v>2345</v>
      </c>
      <c r="T2053" t="s">
        <v>421</v>
      </c>
      <c r="U2053" t="s">
        <v>421</v>
      </c>
      <c r="X2053" t="s">
        <v>161</v>
      </c>
      <c r="Y2053" t="s">
        <v>2272</v>
      </c>
      <c r="Z2053" t="s">
        <v>2272</v>
      </c>
      <c r="AA2053" t="s">
        <v>2272</v>
      </c>
      <c r="AB2053" t="s">
        <v>2272</v>
      </c>
      <c r="AC2053" t="s">
        <v>162</v>
      </c>
      <c r="AD2053" t="s">
        <v>2272</v>
      </c>
      <c r="AF2053" t="s">
        <v>49</v>
      </c>
      <c r="AK2053" t="s">
        <v>49</v>
      </c>
      <c r="AM2053" t="s">
        <v>1273</v>
      </c>
      <c r="AN2053" t="s">
        <v>166</v>
      </c>
      <c r="AP2053" t="s">
        <v>51</v>
      </c>
      <c r="AQ2053" s="5">
        <v>0</v>
      </c>
    </row>
    <row r="2054" spans="1:43" x14ac:dyDescent="0.2">
      <c r="A2054" t="s">
        <v>1266</v>
      </c>
      <c r="B2054" t="s">
        <v>1267</v>
      </c>
      <c r="C2054" s="1">
        <v>2017</v>
      </c>
      <c r="D2054" t="s">
        <v>44</v>
      </c>
      <c r="F2054" s="1" t="s">
        <v>82</v>
      </c>
      <c r="G2054" t="s">
        <v>86</v>
      </c>
      <c r="H2054" t="s">
        <v>350</v>
      </c>
      <c r="I2054" t="s">
        <v>1120</v>
      </c>
      <c r="J2054">
        <v>1.08</v>
      </c>
      <c r="K2054" t="s">
        <v>42</v>
      </c>
      <c r="L2054">
        <v>5</v>
      </c>
      <c r="N2054" t="s">
        <v>127</v>
      </c>
      <c r="O2054" t="s">
        <v>1268</v>
      </c>
      <c r="P2054" t="s">
        <v>1269</v>
      </c>
      <c r="Q2054" s="1" t="s">
        <v>2281</v>
      </c>
      <c r="R2054" s="1" t="s">
        <v>2282</v>
      </c>
      <c r="S2054" s="1" t="s">
        <v>2304</v>
      </c>
      <c r="T2054" t="s">
        <v>396</v>
      </c>
      <c r="U2054" s="1" t="s">
        <v>2403</v>
      </c>
      <c r="X2054" t="s">
        <v>161</v>
      </c>
      <c r="Y2054" t="s">
        <v>2272</v>
      </c>
      <c r="Z2054" t="s">
        <v>2272</v>
      </c>
      <c r="AA2054" t="s">
        <v>2272</v>
      </c>
      <c r="AB2054" t="s">
        <v>2272</v>
      </c>
      <c r="AC2054" t="s">
        <v>162</v>
      </c>
      <c r="AD2054" t="s">
        <v>2272</v>
      </c>
      <c r="AF2054" t="s">
        <v>49</v>
      </c>
      <c r="AK2054" t="s">
        <v>49</v>
      </c>
      <c r="AM2054" t="s">
        <v>1273</v>
      </c>
      <c r="AN2054" t="s">
        <v>154</v>
      </c>
      <c r="AQ2054" s="5">
        <v>1</v>
      </c>
    </row>
    <row r="2055" spans="1:43" x14ac:dyDescent="0.2">
      <c r="A2055" t="s">
        <v>1266</v>
      </c>
      <c r="B2055" t="s">
        <v>1267</v>
      </c>
      <c r="C2055" s="1">
        <v>2017</v>
      </c>
      <c r="D2055" t="s">
        <v>44</v>
      </c>
      <c r="F2055" s="1" t="s">
        <v>82</v>
      </c>
      <c r="G2055" t="s">
        <v>86</v>
      </c>
      <c r="H2055" t="s">
        <v>96</v>
      </c>
      <c r="I2055" t="s">
        <v>1120</v>
      </c>
      <c r="J2055">
        <v>1.08</v>
      </c>
      <c r="K2055" t="s">
        <v>42</v>
      </c>
      <c r="L2055">
        <v>5</v>
      </c>
      <c r="N2055" t="s">
        <v>121</v>
      </c>
      <c r="O2055" t="s">
        <v>121</v>
      </c>
      <c r="P2055" t="s">
        <v>286</v>
      </c>
      <c r="Q2055" s="1" t="s">
        <v>2292</v>
      </c>
      <c r="R2055" s="1" t="s">
        <v>264</v>
      </c>
      <c r="S2055" s="1" t="s">
        <v>264</v>
      </c>
      <c r="T2055" t="s">
        <v>396</v>
      </c>
      <c r="U2055" s="1" t="s">
        <v>2404</v>
      </c>
      <c r="X2055" t="s">
        <v>161</v>
      </c>
      <c r="Y2055" t="s">
        <v>2272</v>
      </c>
      <c r="Z2055" t="s">
        <v>2272</v>
      </c>
      <c r="AA2055" t="s">
        <v>2272</v>
      </c>
      <c r="AB2055" t="s">
        <v>2272</v>
      </c>
      <c r="AC2055" t="s">
        <v>162</v>
      </c>
      <c r="AD2055" t="s">
        <v>2272</v>
      </c>
      <c r="AF2055" t="s">
        <v>49</v>
      </c>
      <c r="AK2055" t="s">
        <v>49</v>
      </c>
      <c r="AM2055" t="s">
        <v>1273</v>
      </c>
      <c r="AN2055" t="s">
        <v>154</v>
      </c>
      <c r="AQ2055" s="5">
        <v>2</v>
      </c>
    </row>
    <row r="2056" spans="1:43" x14ac:dyDescent="0.2">
      <c r="A2056" t="s">
        <v>1266</v>
      </c>
      <c r="B2056" t="s">
        <v>1267</v>
      </c>
      <c r="C2056" s="1">
        <v>2017</v>
      </c>
      <c r="D2056" t="s">
        <v>44</v>
      </c>
      <c r="F2056" s="1" t="s">
        <v>82</v>
      </c>
      <c r="G2056" t="s">
        <v>86</v>
      </c>
      <c r="H2056" t="s">
        <v>96</v>
      </c>
      <c r="I2056" t="s">
        <v>1120</v>
      </c>
      <c r="J2056">
        <v>1.08</v>
      </c>
      <c r="K2056" t="s">
        <v>42</v>
      </c>
      <c r="L2056">
        <v>5</v>
      </c>
      <c r="N2056" t="s">
        <v>127</v>
      </c>
      <c r="O2056" t="s">
        <v>1270</v>
      </c>
      <c r="P2056" t="s">
        <v>2260</v>
      </c>
      <c r="Q2056" s="1" t="s">
        <v>2281</v>
      </c>
      <c r="R2056" s="1" t="s">
        <v>2301</v>
      </c>
      <c r="S2056" s="1" t="s">
        <v>2303</v>
      </c>
      <c r="T2056" t="s">
        <v>396</v>
      </c>
      <c r="U2056" s="1" t="s">
        <v>2405</v>
      </c>
      <c r="X2056" t="s">
        <v>161</v>
      </c>
      <c r="Y2056" t="s">
        <v>2272</v>
      </c>
      <c r="Z2056" t="s">
        <v>2272</v>
      </c>
      <c r="AA2056" t="s">
        <v>2272</v>
      </c>
      <c r="AB2056" t="s">
        <v>2272</v>
      </c>
      <c r="AC2056" t="s">
        <v>162</v>
      </c>
      <c r="AD2056" t="s">
        <v>2272</v>
      </c>
      <c r="AF2056" t="s">
        <v>49</v>
      </c>
      <c r="AK2056" t="s">
        <v>49</v>
      </c>
      <c r="AM2056" t="s">
        <v>1273</v>
      </c>
      <c r="AN2056" t="s">
        <v>154</v>
      </c>
      <c r="AQ2056" s="5">
        <v>3</v>
      </c>
    </row>
    <row r="2057" spans="1:43" x14ac:dyDescent="0.2">
      <c r="A2057" t="s">
        <v>1266</v>
      </c>
      <c r="B2057" t="s">
        <v>1267</v>
      </c>
      <c r="C2057" s="1">
        <v>2017</v>
      </c>
      <c r="D2057" t="s">
        <v>44</v>
      </c>
      <c r="F2057" s="1" t="s">
        <v>82</v>
      </c>
      <c r="G2057" t="s">
        <v>86</v>
      </c>
      <c r="H2057" t="s">
        <v>350</v>
      </c>
      <c r="I2057" t="s">
        <v>1120</v>
      </c>
      <c r="J2057">
        <v>1.08</v>
      </c>
      <c r="K2057" t="s">
        <v>42</v>
      </c>
      <c r="L2057">
        <v>5</v>
      </c>
      <c r="N2057" t="s">
        <v>125</v>
      </c>
      <c r="O2057" t="s">
        <v>1271</v>
      </c>
      <c r="P2057" t="s">
        <v>1272</v>
      </c>
      <c r="Q2057" s="1" t="s">
        <v>2276</v>
      </c>
      <c r="R2057" s="1" t="s">
        <v>751</v>
      </c>
      <c r="S2057" s="1" t="s">
        <v>2345</v>
      </c>
      <c r="T2057" t="s">
        <v>396</v>
      </c>
      <c r="U2057" s="1" t="s">
        <v>2406</v>
      </c>
      <c r="X2057" t="s">
        <v>161</v>
      </c>
      <c r="Y2057" t="s">
        <v>2272</v>
      </c>
      <c r="Z2057" t="s">
        <v>2272</v>
      </c>
      <c r="AA2057" t="s">
        <v>2272</v>
      </c>
      <c r="AB2057" t="s">
        <v>2272</v>
      </c>
      <c r="AC2057" t="s">
        <v>162</v>
      </c>
      <c r="AD2057" t="s">
        <v>2272</v>
      </c>
      <c r="AF2057" t="s">
        <v>49</v>
      </c>
      <c r="AK2057" t="s">
        <v>49</v>
      </c>
      <c r="AM2057" t="s">
        <v>1273</v>
      </c>
      <c r="AN2057" t="s">
        <v>154</v>
      </c>
      <c r="AQ2057" s="5">
        <v>2</v>
      </c>
    </row>
    <row r="2058" spans="1:43" x14ac:dyDescent="0.2">
      <c r="A2058" t="s">
        <v>1266</v>
      </c>
      <c r="B2058" t="s">
        <v>1267</v>
      </c>
      <c r="C2058" s="1">
        <v>2017</v>
      </c>
      <c r="D2058" t="s">
        <v>44</v>
      </c>
      <c r="F2058" s="1" t="s">
        <v>82</v>
      </c>
      <c r="G2058" t="s">
        <v>86</v>
      </c>
      <c r="H2058" t="s">
        <v>350</v>
      </c>
      <c r="I2058" t="s">
        <v>1120</v>
      </c>
      <c r="J2058">
        <v>1.08</v>
      </c>
      <c r="K2058" t="s">
        <v>42</v>
      </c>
      <c r="L2058">
        <v>5</v>
      </c>
      <c r="N2058" t="s">
        <v>127</v>
      </c>
      <c r="O2058" t="s">
        <v>1268</v>
      </c>
      <c r="P2058" t="s">
        <v>1269</v>
      </c>
      <c r="Q2058" s="1" t="s">
        <v>2281</v>
      </c>
      <c r="R2058" s="1" t="s">
        <v>2282</v>
      </c>
      <c r="S2058" s="1" t="s">
        <v>2304</v>
      </c>
      <c r="T2058" t="s">
        <v>421</v>
      </c>
      <c r="U2058" t="s">
        <v>421</v>
      </c>
      <c r="X2058" t="s">
        <v>161</v>
      </c>
      <c r="Y2058" t="s">
        <v>2272</v>
      </c>
      <c r="Z2058" t="s">
        <v>2272</v>
      </c>
      <c r="AA2058" t="s">
        <v>2272</v>
      </c>
      <c r="AB2058" t="s">
        <v>2272</v>
      </c>
      <c r="AC2058" t="s">
        <v>162</v>
      </c>
      <c r="AD2058" t="s">
        <v>2272</v>
      </c>
      <c r="AF2058" t="s">
        <v>49</v>
      </c>
      <c r="AK2058" t="s">
        <v>49</v>
      </c>
      <c r="AM2058" t="s">
        <v>1273</v>
      </c>
      <c r="AN2058" t="s">
        <v>154</v>
      </c>
      <c r="AP2058" t="s">
        <v>51</v>
      </c>
      <c r="AQ2058" s="5">
        <v>0</v>
      </c>
    </row>
    <row r="2059" spans="1:43" x14ac:dyDescent="0.2">
      <c r="A2059" t="s">
        <v>1266</v>
      </c>
      <c r="B2059" t="s">
        <v>1267</v>
      </c>
      <c r="C2059" s="1">
        <v>2017</v>
      </c>
      <c r="D2059" t="s">
        <v>44</v>
      </c>
      <c r="F2059" s="1" t="s">
        <v>82</v>
      </c>
      <c r="G2059" t="s">
        <v>86</v>
      </c>
      <c r="H2059" t="s">
        <v>96</v>
      </c>
      <c r="I2059" t="s">
        <v>1120</v>
      </c>
      <c r="J2059">
        <v>1.08</v>
      </c>
      <c r="K2059" t="s">
        <v>42</v>
      </c>
      <c r="L2059">
        <v>5</v>
      </c>
      <c r="N2059" t="s">
        <v>121</v>
      </c>
      <c r="O2059" t="s">
        <v>121</v>
      </c>
      <c r="P2059" t="s">
        <v>286</v>
      </c>
      <c r="Q2059" s="1" t="s">
        <v>2292</v>
      </c>
      <c r="R2059" s="1" t="s">
        <v>264</v>
      </c>
      <c r="S2059" s="1" t="s">
        <v>264</v>
      </c>
      <c r="T2059" t="s">
        <v>421</v>
      </c>
      <c r="U2059" t="s">
        <v>421</v>
      </c>
      <c r="X2059" t="s">
        <v>161</v>
      </c>
      <c r="Y2059" t="s">
        <v>2272</v>
      </c>
      <c r="Z2059" t="s">
        <v>2272</v>
      </c>
      <c r="AA2059" t="s">
        <v>2272</v>
      </c>
      <c r="AB2059" t="s">
        <v>2272</v>
      </c>
      <c r="AC2059" t="s">
        <v>162</v>
      </c>
      <c r="AD2059" t="s">
        <v>2272</v>
      </c>
      <c r="AF2059" t="s">
        <v>49</v>
      </c>
      <c r="AK2059" t="s">
        <v>49</v>
      </c>
      <c r="AM2059" t="s">
        <v>1273</v>
      </c>
      <c r="AN2059" t="s">
        <v>154</v>
      </c>
      <c r="AP2059" t="s">
        <v>51</v>
      </c>
      <c r="AQ2059" s="5">
        <v>0</v>
      </c>
    </row>
    <row r="2060" spans="1:43" x14ac:dyDescent="0.2">
      <c r="A2060" t="s">
        <v>1266</v>
      </c>
      <c r="B2060" t="s">
        <v>1267</v>
      </c>
      <c r="C2060" s="1">
        <v>2017</v>
      </c>
      <c r="D2060" t="s">
        <v>44</v>
      </c>
      <c r="F2060" s="1" t="s">
        <v>82</v>
      </c>
      <c r="G2060" t="s">
        <v>86</v>
      </c>
      <c r="H2060" t="s">
        <v>96</v>
      </c>
      <c r="I2060" t="s">
        <v>1120</v>
      </c>
      <c r="J2060">
        <v>1.08</v>
      </c>
      <c r="K2060" t="s">
        <v>42</v>
      </c>
      <c r="L2060">
        <v>5</v>
      </c>
      <c r="N2060" t="s">
        <v>127</v>
      </c>
      <c r="O2060" t="s">
        <v>1270</v>
      </c>
      <c r="P2060" t="s">
        <v>2260</v>
      </c>
      <c r="Q2060" s="1" t="s">
        <v>2281</v>
      </c>
      <c r="R2060" s="1" t="s">
        <v>2301</v>
      </c>
      <c r="S2060" s="1" t="s">
        <v>2303</v>
      </c>
      <c r="T2060" t="s">
        <v>421</v>
      </c>
      <c r="U2060" t="s">
        <v>421</v>
      </c>
      <c r="X2060" t="s">
        <v>161</v>
      </c>
      <c r="Y2060" t="s">
        <v>2272</v>
      </c>
      <c r="Z2060" t="s">
        <v>2272</v>
      </c>
      <c r="AA2060" t="s">
        <v>2272</v>
      </c>
      <c r="AB2060" t="s">
        <v>2272</v>
      </c>
      <c r="AC2060" t="s">
        <v>162</v>
      </c>
      <c r="AD2060" t="s">
        <v>2272</v>
      </c>
      <c r="AF2060" t="s">
        <v>49</v>
      </c>
      <c r="AK2060" t="s">
        <v>49</v>
      </c>
      <c r="AM2060" t="s">
        <v>1273</v>
      </c>
      <c r="AN2060" t="s">
        <v>154</v>
      </c>
      <c r="AP2060" t="s">
        <v>51</v>
      </c>
      <c r="AQ2060" s="5">
        <v>0</v>
      </c>
    </row>
    <row r="2061" spans="1:43" x14ac:dyDescent="0.2">
      <c r="A2061" t="s">
        <v>1266</v>
      </c>
      <c r="B2061" t="s">
        <v>1267</v>
      </c>
      <c r="C2061" s="1">
        <v>2017</v>
      </c>
      <c r="D2061" t="s">
        <v>44</v>
      </c>
      <c r="F2061" s="1" t="s">
        <v>82</v>
      </c>
      <c r="G2061" t="s">
        <v>86</v>
      </c>
      <c r="H2061" t="s">
        <v>350</v>
      </c>
      <c r="I2061" t="s">
        <v>1120</v>
      </c>
      <c r="J2061">
        <v>1.08</v>
      </c>
      <c r="K2061" t="s">
        <v>42</v>
      </c>
      <c r="L2061">
        <v>5</v>
      </c>
      <c r="N2061" t="s">
        <v>125</v>
      </c>
      <c r="O2061" t="s">
        <v>1271</v>
      </c>
      <c r="P2061" t="s">
        <v>1272</v>
      </c>
      <c r="Q2061" s="1" t="s">
        <v>2276</v>
      </c>
      <c r="R2061" s="1" t="s">
        <v>751</v>
      </c>
      <c r="S2061" s="1" t="s">
        <v>2345</v>
      </c>
      <c r="T2061" t="s">
        <v>421</v>
      </c>
      <c r="U2061" t="s">
        <v>421</v>
      </c>
      <c r="X2061" t="s">
        <v>161</v>
      </c>
      <c r="Y2061" t="s">
        <v>2272</v>
      </c>
      <c r="Z2061" t="s">
        <v>2272</v>
      </c>
      <c r="AA2061" t="s">
        <v>2272</v>
      </c>
      <c r="AB2061" t="s">
        <v>2272</v>
      </c>
      <c r="AC2061" t="s">
        <v>162</v>
      </c>
      <c r="AD2061" t="s">
        <v>2272</v>
      </c>
      <c r="AF2061" t="s">
        <v>49</v>
      </c>
      <c r="AK2061" t="s">
        <v>49</v>
      </c>
      <c r="AM2061" t="s">
        <v>1273</v>
      </c>
      <c r="AN2061" t="s">
        <v>154</v>
      </c>
      <c r="AP2061" t="s">
        <v>51</v>
      </c>
      <c r="AQ2061" s="5">
        <v>0</v>
      </c>
    </row>
    <row r="2062" spans="1:43" x14ac:dyDescent="0.2">
      <c r="A2062" t="s">
        <v>1266</v>
      </c>
      <c r="B2062" t="s">
        <v>1267</v>
      </c>
      <c r="C2062" s="1">
        <v>2017</v>
      </c>
      <c r="D2062" t="s">
        <v>811</v>
      </c>
      <c r="F2062" s="1" t="s">
        <v>82</v>
      </c>
      <c r="G2062" t="s">
        <v>86</v>
      </c>
      <c r="H2062" t="s">
        <v>350</v>
      </c>
      <c r="I2062">
        <v>2014</v>
      </c>
      <c r="J2062">
        <v>0.3</v>
      </c>
      <c r="K2062" t="s">
        <v>109</v>
      </c>
      <c r="L2062">
        <v>3</v>
      </c>
      <c r="N2062" t="s">
        <v>127</v>
      </c>
      <c r="O2062" t="s">
        <v>1268</v>
      </c>
      <c r="P2062" t="s">
        <v>1269</v>
      </c>
      <c r="Q2062" s="1" t="s">
        <v>2281</v>
      </c>
      <c r="R2062" s="1" t="s">
        <v>2282</v>
      </c>
      <c r="S2062" s="1" t="s">
        <v>2304</v>
      </c>
      <c r="T2062" t="s">
        <v>396</v>
      </c>
      <c r="U2062" s="1" t="s">
        <v>2403</v>
      </c>
      <c r="X2062" t="s">
        <v>161</v>
      </c>
      <c r="Y2062" t="s">
        <v>2272</v>
      </c>
      <c r="Z2062" t="s">
        <v>2272</v>
      </c>
      <c r="AA2062" t="s">
        <v>2272</v>
      </c>
      <c r="AB2062" t="s">
        <v>2272</v>
      </c>
      <c r="AC2062" t="s">
        <v>162</v>
      </c>
      <c r="AD2062" t="s">
        <v>2272</v>
      </c>
      <c r="AF2062" t="s">
        <v>49</v>
      </c>
      <c r="AL2062" s="1" t="s">
        <v>49</v>
      </c>
      <c r="AM2062" t="s">
        <v>1278</v>
      </c>
      <c r="AN2062" t="s">
        <v>109</v>
      </c>
      <c r="AO2062" t="s">
        <v>293</v>
      </c>
      <c r="AQ2062" s="5">
        <v>0</v>
      </c>
    </row>
    <row r="2063" spans="1:43" x14ac:dyDescent="0.2">
      <c r="A2063" t="s">
        <v>1266</v>
      </c>
      <c r="B2063" t="s">
        <v>1267</v>
      </c>
      <c r="C2063" s="1">
        <v>2017</v>
      </c>
      <c r="D2063" t="s">
        <v>811</v>
      </c>
      <c r="F2063" s="1" t="s">
        <v>82</v>
      </c>
      <c r="G2063" t="s">
        <v>86</v>
      </c>
      <c r="H2063" t="s">
        <v>350</v>
      </c>
      <c r="I2063">
        <v>2014</v>
      </c>
      <c r="J2063">
        <v>0.3</v>
      </c>
      <c r="K2063" t="s">
        <v>109</v>
      </c>
      <c r="L2063">
        <v>3</v>
      </c>
      <c r="N2063" t="s">
        <v>121</v>
      </c>
      <c r="O2063" t="s">
        <v>121</v>
      </c>
      <c r="P2063" t="s">
        <v>286</v>
      </c>
      <c r="Q2063" s="1" t="s">
        <v>2292</v>
      </c>
      <c r="R2063" s="1" t="s">
        <v>264</v>
      </c>
      <c r="S2063" s="1" t="s">
        <v>264</v>
      </c>
      <c r="T2063" t="s">
        <v>396</v>
      </c>
      <c r="U2063" s="1" t="s">
        <v>2404</v>
      </c>
      <c r="X2063" t="s">
        <v>161</v>
      </c>
      <c r="Y2063" t="s">
        <v>2272</v>
      </c>
      <c r="Z2063" t="s">
        <v>2272</v>
      </c>
      <c r="AA2063" t="s">
        <v>2272</v>
      </c>
      <c r="AB2063" t="s">
        <v>2272</v>
      </c>
      <c r="AC2063" t="s">
        <v>162</v>
      </c>
      <c r="AD2063" t="s">
        <v>2272</v>
      </c>
      <c r="AF2063" t="s">
        <v>49</v>
      </c>
      <c r="AL2063" s="1" t="s">
        <v>49</v>
      </c>
      <c r="AM2063" t="s">
        <v>1278</v>
      </c>
      <c r="AN2063" t="s">
        <v>109</v>
      </c>
      <c r="AO2063" t="s">
        <v>293</v>
      </c>
      <c r="AQ2063" s="5">
        <v>0</v>
      </c>
    </row>
    <row r="2064" spans="1:43" x14ac:dyDescent="0.2">
      <c r="A2064" t="s">
        <v>1266</v>
      </c>
      <c r="B2064" t="s">
        <v>1267</v>
      </c>
      <c r="C2064" s="1">
        <v>2017</v>
      </c>
      <c r="D2064" t="s">
        <v>811</v>
      </c>
      <c r="F2064" s="1" t="s">
        <v>82</v>
      </c>
      <c r="G2064" t="s">
        <v>86</v>
      </c>
      <c r="H2064" t="s">
        <v>350</v>
      </c>
      <c r="I2064">
        <v>2014</v>
      </c>
      <c r="J2064">
        <v>0.3</v>
      </c>
      <c r="K2064" t="s">
        <v>109</v>
      </c>
      <c r="L2064">
        <v>3</v>
      </c>
      <c r="N2064" t="s">
        <v>127</v>
      </c>
      <c r="O2064" t="s">
        <v>1270</v>
      </c>
      <c r="P2064" t="s">
        <v>2260</v>
      </c>
      <c r="Q2064" s="1" t="s">
        <v>2281</v>
      </c>
      <c r="R2064" s="1" t="s">
        <v>2301</v>
      </c>
      <c r="S2064" s="1" t="s">
        <v>2303</v>
      </c>
      <c r="T2064" t="s">
        <v>396</v>
      </c>
      <c r="U2064" s="1" t="s">
        <v>2405</v>
      </c>
      <c r="X2064" t="s">
        <v>161</v>
      </c>
      <c r="Y2064" t="s">
        <v>2272</v>
      </c>
      <c r="Z2064" t="s">
        <v>2272</v>
      </c>
      <c r="AA2064" t="s">
        <v>2272</v>
      </c>
      <c r="AB2064" t="s">
        <v>2272</v>
      </c>
      <c r="AC2064" t="s">
        <v>162</v>
      </c>
      <c r="AD2064" t="s">
        <v>2272</v>
      </c>
      <c r="AF2064" t="s">
        <v>49</v>
      </c>
      <c r="AL2064" s="1" t="s">
        <v>49</v>
      </c>
      <c r="AM2064" t="s">
        <v>1278</v>
      </c>
      <c r="AN2064" t="s">
        <v>109</v>
      </c>
      <c r="AO2064" t="s">
        <v>293</v>
      </c>
      <c r="AQ2064" s="5">
        <v>0</v>
      </c>
    </row>
    <row r="2065" spans="1:43" x14ac:dyDescent="0.2">
      <c r="A2065" t="s">
        <v>1266</v>
      </c>
      <c r="B2065" t="s">
        <v>1267</v>
      </c>
      <c r="C2065" s="1">
        <v>2017</v>
      </c>
      <c r="D2065" t="s">
        <v>811</v>
      </c>
      <c r="F2065" s="1" t="s">
        <v>82</v>
      </c>
      <c r="G2065" t="s">
        <v>86</v>
      </c>
      <c r="H2065" t="s">
        <v>350</v>
      </c>
      <c r="I2065">
        <v>2014</v>
      </c>
      <c r="J2065">
        <v>0.3</v>
      </c>
      <c r="K2065" t="s">
        <v>109</v>
      </c>
      <c r="L2065">
        <v>3</v>
      </c>
      <c r="N2065" t="s">
        <v>125</v>
      </c>
      <c r="O2065" t="s">
        <v>1271</v>
      </c>
      <c r="P2065" t="s">
        <v>1272</v>
      </c>
      <c r="Q2065" s="1" t="s">
        <v>2276</v>
      </c>
      <c r="R2065" s="1" t="s">
        <v>751</v>
      </c>
      <c r="S2065" s="1" t="s">
        <v>2345</v>
      </c>
      <c r="T2065" t="s">
        <v>396</v>
      </c>
      <c r="U2065" s="1" t="s">
        <v>2406</v>
      </c>
      <c r="X2065" t="s">
        <v>161</v>
      </c>
      <c r="Y2065" t="s">
        <v>2272</v>
      </c>
      <c r="Z2065" t="s">
        <v>2272</v>
      </c>
      <c r="AA2065" t="s">
        <v>2272</v>
      </c>
      <c r="AB2065" t="s">
        <v>2272</v>
      </c>
      <c r="AC2065" t="s">
        <v>162</v>
      </c>
      <c r="AD2065" t="s">
        <v>2272</v>
      </c>
      <c r="AF2065" t="s">
        <v>49</v>
      </c>
      <c r="AL2065" s="1" t="s">
        <v>49</v>
      </c>
      <c r="AM2065" t="s">
        <v>1278</v>
      </c>
      <c r="AN2065" t="s">
        <v>109</v>
      </c>
      <c r="AO2065" t="s">
        <v>293</v>
      </c>
      <c r="AQ2065" s="5">
        <v>0</v>
      </c>
    </row>
    <row r="2066" spans="1:43" x14ac:dyDescent="0.2">
      <c r="A2066" t="s">
        <v>1266</v>
      </c>
      <c r="B2066" t="s">
        <v>1267</v>
      </c>
      <c r="C2066" s="1">
        <v>2017</v>
      </c>
      <c r="D2066" t="s">
        <v>811</v>
      </c>
      <c r="F2066" s="1" t="s">
        <v>82</v>
      </c>
      <c r="G2066" t="s">
        <v>86</v>
      </c>
      <c r="H2066" t="s">
        <v>350</v>
      </c>
      <c r="I2066">
        <v>2014</v>
      </c>
      <c r="J2066">
        <v>0.3</v>
      </c>
      <c r="K2066" t="s">
        <v>109</v>
      </c>
      <c r="L2066">
        <v>3</v>
      </c>
      <c r="N2066" t="s">
        <v>127</v>
      </c>
      <c r="O2066" t="s">
        <v>1268</v>
      </c>
      <c r="P2066" t="s">
        <v>1269</v>
      </c>
      <c r="Q2066" s="1" t="s">
        <v>2281</v>
      </c>
      <c r="R2066" s="1" t="s">
        <v>2282</v>
      </c>
      <c r="S2066" s="1" t="s">
        <v>2304</v>
      </c>
      <c r="T2066" t="s">
        <v>421</v>
      </c>
      <c r="U2066" t="s">
        <v>421</v>
      </c>
      <c r="X2066" t="s">
        <v>161</v>
      </c>
      <c r="Y2066" t="s">
        <v>2272</v>
      </c>
      <c r="Z2066" t="s">
        <v>2272</v>
      </c>
      <c r="AA2066" t="s">
        <v>2272</v>
      </c>
      <c r="AB2066" t="s">
        <v>2272</v>
      </c>
      <c r="AC2066" t="s">
        <v>162</v>
      </c>
      <c r="AD2066" t="s">
        <v>2272</v>
      </c>
      <c r="AF2066" t="s">
        <v>49</v>
      </c>
      <c r="AL2066" s="1" t="s">
        <v>49</v>
      </c>
      <c r="AM2066" t="s">
        <v>1278</v>
      </c>
      <c r="AN2066" t="s">
        <v>109</v>
      </c>
      <c r="AO2066" t="s">
        <v>293</v>
      </c>
      <c r="AP2066" t="s">
        <v>51</v>
      </c>
      <c r="AQ2066" s="5">
        <v>0</v>
      </c>
    </row>
    <row r="2067" spans="1:43" x14ac:dyDescent="0.2">
      <c r="A2067" t="s">
        <v>1266</v>
      </c>
      <c r="B2067" t="s">
        <v>1267</v>
      </c>
      <c r="C2067" s="1">
        <v>2017</v>
      </c>
      <c r="D2067" t="s">
        <v>811</v>
      </c>
      <c r="F2067" s="1" t="s">
        <v>82</v>
      </c>
      <c r="G2067" t="s">
        <v>86</v>
      </c>
      <c r="H2067" t="s">
        <v>350</v>
      </c>
      <c r="I2067">
        <v>2014</v>
      </c>
      <c r="J2067">
        <v>0.3</v>
      </c>
      <c r="K2067" t="s">
        <v>109</v>
      </c>
      <c r="L2067">
        <v>3</v>
      </c>
      <c r="N2067" t="s">
        <v>121</v>
      </c>
      <c r="O2067" t="s">
        <v>121</v>
      </c>
      <c r="P2067" t="s">
        <v>286</v>
      </c>
      <c r="Q2067" s="1" t="s">
        <v>2292</v>
      </c>
      <c r="R2067" s="1" t="s">
        <v>264</v>
      </c>
      <c r="S2067" s="1" t="s">
        <v>264</v>
      </c>
      <c r="T2067" t="s">
        <v>421</v>
      </c>
      <c r="U2067" t="s">
        <v>421</v>
      </c>
      <c r="X2067" t="s">
        <v>161</v>
      </c>
      <c r="Y2067" t="s">
        <v>2272</v>
      </c>
      <c r="Z2067" t="s">
        <v>2272</v>
      </c>
      <c r="AA2067" t="s">
        <v>2272</v>
      </c>
      <c r="AB2067" t="s">
        <v>2272</v>
      </c>
      <c r="AC2067" t="s">
        <v>162</v>
      </c>
      <c r="AD2067" t="s">
        <v>2272</v>
      </c>
      <c r="AF2067" t="s">
        <v>49</v>
      </c>
      <c r="AL2067" s="1" t="s">
        <v>49</v>
      </c>
      <c r="AM2067" t="s">
        <v>1278</v>
      </c>
      <c r="AN2067" t="s">
        <v>109</v>
      </c>
      <c r="AO2067" t="s">
        <v>293</v>
      </c>
      <c r="AP2067" t="s">
        <v>51</v>
      </c>
      <c r="AQ2067" s="5">
        <v>0</v>
      </c>
    </row>
    <row r="2068" spans="1:43" x14ac:dyDescent="0.2">
      <c r="A2068" t="s">
        <v>1266</v>
      </c>
      <c r="B2068" t="s">
        <v>1267</v>
      </c>
      <c r="C2068" s="1">
        <v>2017</v>
      </c>
      <c r="D2068" t="s">
        <v>811</v>
      </c>
      <c r="F2068" s="1" t="s">
        <v>82</v>
      </c>
      <c r="G2068" t="s">
        <v>86</v>
      </c>
      <c r="H2068" t="s">
        <v>350</v>
      </c>
      <c r="I2068">
        <v>2014</v>
      </c>
      <c r="J2068">
        <v>0.3</v>
      </c>
      <c r="K2068" t="s">
        <v>109</v>
      </c>
      <c r="L2068">
        <v>3</v>
      </c>
      <c r="N2068" t="s">
        <v>127</v>
      </c>
      <c r="O2068" t="s">
        <v>1270</v>
      </c>
      <c r="P2068" t="s">
        <v>2260</v>
      </c>
      <c r="Q2068" s="1" t="s">
        <v>2281</v>
      </c>
      <c r="R2068" s="1" t="s">
        <v>2301</v>
      </c>
      <c r="S2068" s="1" t="s">
        <v>2303</v>
      </c>
      <c r="T2068" t="s">
        <v>421</v>
      </c>
      <c r="U2068" t="s">
        <v>421</v>
      </c>
      <c r="X2068" t="s">
        <v>161</v>
      </c>
      <c r="Y2068" t="s">
        <v>2272</v>
      </c>
      <c r="Z2068" t="s">
        <v>2272</v>
      </c>
      <c r="AA2068" t="s">
        <v>2272</v>
      </c>
      <c r="AB2068" t="s">
        <v>2272</v>
      </c>
      <c r="AC2068" t="s">
        <v>162</v>
      </c>
      <c r="AD2068" t="s">
        <v>2272</v>
      </c>
      <c r="AF2068" t="s">
        <v>49</v>
      </c>
      <c r="AL2068" s="1" t="s">
        <v>49</v>
      </c>
      <c r="AM2068" t="s">
        <v>1278</v>
      </c>
      <c r="AN2068" t="s">
        <v>109</v>
      </c>
      <c r="AO2068" t="s">
        <v>293</v>
      </c>
      <c r="AP2068" t="s">
        <v>51</v>
      </c>
      <c r="AQ2068" s="5">
        <v>0</v>
      </c>
    </row>
    <row r="2069" spans="1:43" x14ac:dyDescent="0.2">
      <c r="A2069" t="s">
        <v>1266</v>
      </c>
      <c r="B2069" t="s">
        <v>1267</v>
      </c>
      <c r="C2069" s="1">
        <v>2017</v>
      </c>
      <c r="D2069" t="s">
        <v>811</v>
      </c>
      <c r="F2069" s="1" t="s">
        <v>82</v>
      </c>
      <c r="G2069" t="s">
        <v>86</v>
      </c>
      <c r="H2069" t="s">
        <v>350</v>
      </c>
      <c r="I2069">
        <v>2014</v>
      </c>
      <c r="J2069">
        <v>0.3</v>
      </c>
      <c r="K2069" t="s">
        <v>109</v>
      </c>
      <c r="L2069">
        <v>3</v>
      </c>
      <c r="N2069" t="s">
        <v>125</v>
      </c>
      <c r="O2069" t="s">
        <v>1271</v>
      </c>
      <c r="P2069" t="s">
        <v>1272</v>
      </c>
      <c r="Q2069" s="1" t="s">
        <v>2276</v>
      </c>
      <c r="R2069" s="1" t="s">
        <v>751</v>
      </c>
      <c r="S2069" s="1" t="s">
        <v>2345</v>
      </c>
      <c r="T2069" t="s">
        <v>421</v>
      </c>
      <c r="U2069" t="s">
        <v>421</v>
      </c>
      <c r="X2069" t="s">
        <v>161</v>
      </c>
      <c r="Y2069" t="s">
        <v>2272</v>
      </c>
      <c r="Z2069" t="s">
        <v>2272</v>
      </c>
      <c r="AA2069" t="s">
        <v>2272</v>
      </c>
      <c r="AB2069" t="s">
        <v>2272</v>
      </c>
      <c r="AC2069" t="s">
        <v>162</v>
      </c>
      <c r="AD2069" t="s">
        <v>2272</v>
      </c>
      <c r="AF2069" t="s">
        <v>49</v>
      </c>
      <c r="AL2069" s="1" t="s">
        <v>49</v>
      </c>
      <c r="AM2069" t="s">
        <v>1278</v>
      </c>
      <c r="AN2069" t="s">
        <v>109</v>
      </c>
      <c r="AO2069" t="s">
        <v>293</v>
      </c>
      <c r="AP2069" t="s">
        <v>51</v>
      </c>
      <c r="AQ2069" s="5">
        <v>0</v>
      </c>
    </row>
    <row r="2070" spans="1:43" x14ac:dyDescent="0.2">
      <c r="A2070" t="s">
        <v>1266</v>
      </c>
      <c r="B2070" t="s">
        <v>1267</v>
      </c>
      <c r="C2070" s="1">
        <v>2017</v>
      </c>
      <c r="D2070" t="s">
        <v>811</v>
      </c>
      <c r="F2070" s="1" t="s">
        <v>82</v>
      </c>
      <c r="G2070" t="s">
        <v>86</v>
      </c>
      <c r="H2070" t="s">
        <v>350</v>
      </c>
      <c r="I2070">
        <v>2014</v>
      </c>
      <c r="J2070">
        <v>0.3</v>
      </c>
      <c r="K2070" t="s">
        <v>109</v>
      </c>
      <c r="L2070">
        <v>3</v>
      </c>
      <c r="N2070" t="s">
        <v>127</v>
      </c>
      <c r="O2070" t="s">
        <v>1268</v>
      </c>
      <c r="P2070" t="s">
        <v>1269</v>
      </c>
      <c r="Q2070" s="1" t="s">
        <v>2281</v>
      </c>
      <c r="R2070" s="1" t="s">
        <v>2282</v>
      </c>
      <c r="S2070" s="1" t="s">
        <v>2304</v>
      </c>
      <c r="T2070" t="s">
        <v>396</v>
      </c>
      <c r="U2070" s="1" t="s">
        <v>2403</v>
      </c>
      <c r="X2070" t="s">
        <v>161</v>
      </c>
      <c r="Y2070" t="s">
        <v>2272</v>
      </c>
      <c r="Z2070" t="s">
        <v>2272</v>
      </c>
      <c r="AA2070" t="s">
        <v>2272</v>
      </c>
      <c r="AB2070" t="s">
        <v>2272</v>
      </c>
      <c r="AC2070" t="s">
        <v>162</v>
      </c>
      <c r="AD2070" t="s">
        <v>2272</v>
      </c>
      <c r="AF2070" t="s">
        <v>49</v>
      </c>
      <c r="AL2070" s="1" t="s">
        <v>49</v>
      </c>
      <c r="AM2070" t="s">
        <v>1278</v>
      </c>
      <c r="AN2070" t="s">
        <v>109</v>
      </c>
      <c r="AO2070" t="s">
        <v>1274</v>
      </c>
      <c r="AQ2070" s="5">
        <v>0</v>
      </c>
    </row>
    <row r="2071" spans="1:43" x14ac:dyDescent="0.2">
      <c r="A2071" t="s">
        <v>1266</v>
      </c>
      <c r="B2071" t="s">
        <v>1267</v>
      </c>
      <c r="C2071" s="1">
        <v>2017</v>
      </c>
      <c r="D2071" t="s">
        <v>811</v>
      </c>
      <c r="F2071" s="1" t="s">
        <v>82</v>
      </c>
      <c r="G2071" t="s">
        <v>86</v>
      </c>
      <c r="H2071" t="s">
        <v>350</v>
      </c>
      <c r="I2071">
        <v>2014</v>
      </c>
      <c r="J2071">
        <v>0.3</v>
      </c>
      <c r="K2071" t="s">
        <v>109</v>
      </c>
      <c r="L2071">
        <v>3</v>
      </c>
      <c r="N2071" t="s">
        <v>121</v>
      </c>
      <c r="O2071" t="s">
        <v>121</v>
      </c>
      <c r="P2071" t="s">
        <v>286</v>
      </c>
      <c r="Q2071" s="1" t="s">
        <v>2292</v>
      </c>
      <c r="R2071" s="1" t="s">
        <v>264</v>
      </c>
      <c r="S2071" s="1" t="s">
        <v>264</v>
      </c>
      <c r="T2071" t="s">
        <v>396</v>
      </c>
      <c r="U2071" s="1" t="s">
        <v>2404</v>
      </c>
      <c r="X2071" t="s">
        <v>161</v>
      </c>
      <c r="Y2071" t="s">
        <v>2272</v>
      </c>
      <c r="Z2071" t="s">
        <v>2272</v>
      </c>
      <c r="AA2071" t="s">
        <v>2272</v>
      </c>
      <c r="AB2071" t="s">
        <v>2272</v>
      </c>
      <c r="AC2071" t="s">
        <v>162</v>
      </c>
      <c r="AD2071" t="s">
        <v>2272</v>
      </c>
      <c r="AF2071" t="s">
        <v>49</v>
      </c>
      <c r="AL2071" s="1" t="s">
        <v>49</v>
      </c>
      <c r="AM2071" t="s">
        <v>1278</v>
      </c>
      <c r="AN2071" t="s">
        <v>109</v>
      </c>
      <c r="AO2071" t="s">
        <v>1274</v>
      </c>
      <c r="AQ2071" s="5">
        <v>0</v>
      </c>
    </row>
    <row r="2072" spans="1:43" x14ac:dyDescent="0.2">
      <c r="A2072" t="s">
        <v>1266</v>
      </c>
      <c r="B2072" t="s">
        <v>1267</v>
      </c>
      <c r="C2072" s="1">
        <v>2017</v>
      </c>
      <c r="D2072" t="s">
        <v>811</v>
      </c>
      <c r="F2072" s="1" t="s">
        <v>82</v>
      </c>
      <c r="G2072" t="s">
        <v>86</v>
      </c>
      <c r="H2072" t="s">
        <v>350</v>
      </c>
      <c r="I2072">
        <v>2014</v>
      </c>
      <c r="J2072">
        <v>0.3</v>
      </c>
      <c r="K2072" t="s">
        <v>109</v>
      </c>
      <c r="L2072">
        <v>3</v>
      </c>
      <c r="N2072" t="s">
        <v>127</v>
      </c>
      <c r="O2072" t="s">
        <v>1270</v>
      </c>
      <c r="P2072" t="s">
        <v>2260</v>
      </c>
      <c r="Q2072" s="1" t="s">
        <v>2281</v>
      </c>
      <c r="R2072" s="1" t="s">
        <v>2301</v>
      </c>
      <c r="S2072" s="1" t="s">
        <v>2303</v>
      </c>
      <c r="T2072" t="s">
        <v>396</v>
      </c>
      <c r="U2072" s="1" t="s">
        <v>2405</v>
      </c>
      <c r="X2072" t="s">
        <v>161</v>
      </c>
      <c r="Y2072" t="s">
        <v>2272</v>
      </c>
      <c r="Z2072" t="s">
        <v>2272</v>
      </c>
      <c r="AA2072" t="s">
        <v>2272</v>
      </c>
      <c r="AB2072" t="s">
        <v>2272</v>
      </c>
      <c r="AC2072" t="s">
        <v>162</v>
      </c>
      <c r="AD2072" t="s">
        <v>2272</v>
      </c>
      <c r="AF2072" t="s">
        <v>49</v>
      </c>
      <c r="AL2072" s="1" t="s">
        <v>49</v>
      </c>
      <c r="AM2072" t="s">
        <v>1278</v>
      </c>
      <c r="AN2072" t="s">
        <v>109</v>
      </c>
      <c r="AO2072" t="s">
        <v>1274</v>
      </c>
      <c r="AQ2072" s="5">
        <v>0</v>
      </c>
    </row>
    <row r="2073" spans="1:43" x14ac:dyDescent="0.2">
      <c r="A2073" t="s">
        <v>1266</v>
      </c>
      <c r="B2073" t="s">
        <v>1267</v>
      </c>
      <c r="C2073" s="1">
        <v>2017</v>
      </c>
      <c r="D2073" t="s">
        <v>811</v>
      </c>
      <c r="F2073" s="1" t="s">
        <v>82</v>
      </c>
      <c r="G2073" t="s">
        <v>86</v>
      </c>
      <c r="H2073" t="s">
        <v>350</v>
      </c>
      <c r="I2073">
        <v>2014</v>
      </c>
      <c r="J2073">
        <v>0.3</v>
      </c>
      <c r="K2073" t="s">
        <v>109</v>
      </c>
      <c r="L2073">
        <v>3</v>
      </c>
      <c r="N2073" t="s">
        <v>125</v>
      </c>
      <c r="O2073" t="s">
        <v>1271</v>
      </c>
      <c r="P2073" t="s">
        <v>1272</v>
      </c>
      <c r="Q2073" s="1" t="s">
        <v>2276</v>
      </c>
      <c r="R2073" s="1" t="s">
        <v>751</v>
      </c>
      <c r="S2073" s="1" t="s">
        <v>2345</v>
      </c>
      <c r="T2073" t="s">
        <v>396</v>
      </c>
      <c r="U2073" s="1" t="s">
        <v>2406</v>
      </c>
      <c r="X2073" t="s">
        <v>161</v>
      </c>
      <c r="Y2073" t="s">
        <v>2272</v>
      </c>
      <c r="Z2073" t="s">
        <v>2272</v>
      </c>
      <c r="AA2073" t="s">
        <v>2272</v>
      </c>
      <c r="AB2073" t="s">
        <v>2272</v>
      </c>
      <c r="AC2073" t="s">
        <v>162</v>
      </c>
      <c r="AD2073" t="s">
        <v>2272</v>
      </c>
      <c r="AF2073" t="s">
        <v>49</v>
      </c>
      <c r="AL2073" s="1" t="s">
        <v>49</v>
      </c>
      <c r="AM2073" t="s">
        <v>1278</v>
      </c>
      <c r="AN2073" t="s">
        <v>109</v>
      </c>
      <c r="AO2073" t="s">
        <v>1274</v>
      </c>
      <c r="AQ2073" s="5">
        <v>0</v>
      </c>
    </row>
    <row r="2074" spans="1:43" x14ac:dyDescent="0.2">
      <c r="A2074" t="s">
        <v>1266</v>
      </c>
      <c r="B2074" t="s">
        <v>1267</v>
      </c>
      <c r="C2074" s="1">
        <v>2017</v>
      </c>
      <c r="D2074" t="s">
        <v>811</v>
      </c>
      <c r="F2074" s="1" t="s">
        <v>82</v>
      </c>
      <c r="G2074" t="s">
        <v>86</v>
      </c>
      <c r="H2074" t="s">
        <v>350</v>
      </c>
      <c r="I2074">
        <v>2014</v>
      </c>
      <c r="J2074">
        <v>0.3</v>
      </c>
      <c r="K2074" t="s">
        <v>109</v>
      </c>
      <c r="L2074">
        <v>3</v>
      </c>
      <c r="N2074" t="s">
        <v>127</v>
      </c>
      <c r="O2074" t="s">
        <v>1268</v>
      </c>
      <c r="P2074" t="s">
        <v>1269</v>
      </c>
      <c r="Q2074" s="1" t="s">
        <v>2281</v>
      </c>
      <c r="R2074" s="1" t="s">
        <v>2282</v>
      </c>
      <c r="S2074" s="1" t="s">
        <v>2304</v>
      </c>
      <c r="T2074" t="s">
        <v>421</v>
      </c>
      <c r="U2074" t="s">
        <v>421</v>
      </c>
      <c r="X2074" t="s">
        <v>161</v>
      </c>
      <c r="Y2074" t="s">
        <v>2272</v>
      </c>
      <c r="Z2074" t="s">
        <v>2272</v>
      </c>
      <c r="AA2074" t="s">
        <v>2272</v>
      </c>
      <c r="AB2074" t="s">
        <v>2272</v>
      </c>
      <c r="AC2074" t="s">
        <v>162</v>
      </c>
      <c r="AD2074" t="s">
        <v>2272</v>
      </c>
      <c r="AF2074" t="s">
        <v>49</v>
      </c>
      <c r="AL2074" s="1" t="s">
        <v>49</v>
      </c>
      <c r="AM2074" t="s">
        <v>1278</v>
      </c>
      <c r="AN2074" t="s">
        <v>109</v>
      </c>
      <c r="AO2074" t="s">
        <v>1274</v>
      </c>
      <c r="AP2074" t="s">
        <v>51</v>
      </c>
      <c r="AQ2074" s="5">
        <v>0</v>
      </c>
    </row>
    <row r="2075" spans="1:43" x14ac:dyDescent="0.2">
      <c r="A2075" t="s">
        <v>1266</v>
      </c>
      <c r="B2075" t="s">
        <v>1267</v>
      </c>
      <c r="C2075" s="1">
        <v>2017</v>
      </c>
      <c r="D2075" t="s">
        <v>811</v>
      </c>
      <c r="F2075" s="1" t="s">
        <v>82</v>
      </c>
      <c r="G2075" t="s">
        <v>86</v>
      </c>
      <c r="H2075" t="s">
        <v>350</v>
      </c>
      <c r="I2075">
        <v>2014</v>
      </c>
      <c r="J2075">
        <v>0.3</v>
      </c>
      <c r="K2075" t="s">
        <v>109</v>
      </c>
      <c r="L2075">
        <v>3</v>
      </c>
      <c r="N2075" t="s">
        <v>121</v>
      </c>
      <c r="O2075" t="s">
        <v>121</v>
      </c>
      <c r="P2075" t="s">
        <v>286</v>
      </c>
      <c r="Q2075" s="1" t="s">
        <v>2292</v>
      </c>
      <c r="R2075" s="1" t="s">
        <v>264</v>
      </c>
      <c r="S2075" s="1" t="s">
        <v>264</v>
      </c>
      <c r="T2075" t="s">
        <v>421</v>
      </c>
      <c r="U2075" t="s">
        <v>421</v>
      </c>
      <c r="X2075" t="s">
        <v>161</v>
      </c>
      <c r="Y2075" t="s">
        <v>2272</v>
      </c>
      <c r="Z2075" t="s">
        <v>2272</v>
      </c>
      <c r="AA2075" t="s">
        <v>2272</v>
      </c>
      <c r="AB2075" t="s">
        <v>2272</v>
      </c>
      <c r="AC2075" t="s">
        <v>162</v>
      </c>
      <c r="AD2075" t="s">
        <v>2272</v>
      </c>
      <c r="AF2075" t="s">
        <v>49</v>
      </c>
      <c r="AL2075" s="1" t="s">
        <v>49</v>
      </c>
      <c r="AM2075" t="s">
        <v>1278</v>
      </c>
      <c r="AN2075" t="s">
        <v>109</v>
      </c>
      <c r="AO2075" t="s">
        <v>1274</v>
      </c>
      <c r="AP2075" t="s">
        <v>51</v>
      </c>
      <c r="AQ2075" s="5">
        <v>0</v>
      </c>
    </row>
    <row r="2076" spans="1:43" x14ac:dyDescent="0.2">
      <c r="A2076" t="s">
        <v>1266</v>
      </c>
      <c r="B2076" t="s">
        <v>1267</v>
      </c>
      <c r="C2076" s="1">
        <v>2017</v>
      </c>
      <c r="D2076" t="s">
        <v>811</v>
      </c>
      <c r="F2076" s="1" t="s">
        <v>82</v>
      </c>
      <c r="G2076" t="s">
        <v>86</v>
      </c>
      <c r="H2076" t="s">
        <v>350</v>
      </c>
      <c r="I2076">
        <v>2014</v>
      </c>
      <c r="J2076">
        <v>0.3</v>
      </c>
      <c r="K2076" t="s">
        <v>109</v>
      </c>
      <c r="L2076">
        <v>3</v>
      </c>
      <c r="N2076" t="s">
        <v>127</v>
      </c>
      <c r="O2076" t="s">
        <v>1270</v>
      </c>
      <c r="P2076" t="s">
        <v>2260</v>
      </c>
      <c r="Q2076" s="1" t="s">
        <v>2281</v>
      </c>
      <c r="R2076" s="1" t="s">
        <v>2301</v>
      </c>
      <c r="S2076" s="1" t="s">
        <v>2303</v>
      </c>
      <c r="T2076" t="s">
        <v>421</v>
      </c>
      <c r="U2076" t="s">
        <v>421</v>
      </c>
      <c r="X2076" t="s">
        <v>161</v>
      </c>
      <c r="Y2076" t="s">
        <v>2272</v>
      </c>
      <c r="Z2076" t="s">
        <v>2272</v>
      </c>
      <c r="AA2076" t="s">
        <v>2272</v>
      </c>
      <c r="AB2076" t="s">
        <v>2272</v>
      </c>
      <c r="AC2076" t="s">
        <v>162</v>
      </c>
      <c r="AD2076" t="s">
        <v>2272</v>
      </c>
      <c r="AF2076" t="s">
        <v>49</v>
      </c>
      <c r="AL2076" s="1" t="s">
        <v>49</v>
      </c>
      <c r="AM2076" t="s">
        <v>1278</v>
      </c>
      <c r="AN2076" t="s">
        <v>109</v>
      </c>
      <c r="AO2076" t="s">
        <v>1274</v>
      </c>
      <c r="AP2076" t="s">
        <v>51</v>
      </c>
      <c r="AQ2076" s="5">
        <v>0</v>
      </c>
    </row>
    <row r="2077" spans="1:43" x14ac:dyDescent="0.2">
      <c r="A2077" t="s">
        <v>1266</v>
      </c>
      <c r="B2077" t="s">
        <v>1267</v>
      </c>
      <c r="C2077" s="1">
        <v>2017</v>
      </c>
      <c r="D2077" t="s">
        <v>811</v>
      </c>
      <c r="F2077" s="1" t="s">
        <v>82</v>
      </c>
      <c r="G2077" t="s">
        <v>86</v>
      </c>
      <c r="H2077" t="s">
        <v>350</v>
      </c>
      <c r="I2077">
        <v>2014</v>
      </c>
      <c r="J2077">
        <v>0.3</v>
      </c>
      <c r="K2077" t="s">
        <v>109</v>
      </c>
      <c r="L2077">
        <v>3</v>
      </c>
      <c r="N2077" t="s">
        <v>125</v>
      </c>
      <c r="O2077" t="s">
        <v>1271</v>
      </c>
      <c r="P2077" t="s">
        <v>1272</v>
      </c>
      <c r="Q2077" s="1" t="s">
        <v>2276</v>
      </c>
      <c r="R2077" s="1" t="s">
        <v>751</v>
      </c>
      <c r="S2077" s="1" t="s">
        <v>2345</v>
      </c>
      <c r="T2077" t="s">
        <v>421</v>
      </c>
      <c r="U2077" t="s">
        <v>421</v>
      </c>
      <c r="X2077" t="s">
        <v>161</v>
      </c>
      <c r="Y2077" t="s">
        <v>2272</v>
      </c>
      <c r="Z2077" t="s">
        <v>2272</v>
      </c>
      <c r="AA2077" t="s">
        <v>2272</v>
      </c>
      <c r="AB2077" t="s">
        <v>2272</v>
      </c>
      <c r="AC2077" t="s">
        <v>162</v>
      </c>
      <c r="AD2077" t="s">
        <v>2272</v>
      </c>
      <c r="AF2077" t="s">
        <v>49</v>
      </c>
      <c r="AL2077" s="1" t="s">
        <v>49</v>
      </c>
      <c r="AM2077" t="s">
        <v>1278</v>
      </c>
      <c r="AN2077" t="s">
        <v>109</v>
      </c>
      <c r="AO2077" t="s">
        <v>1274</v>
      </c>
      <c r="AP2077" t="s">
        <v>51</v>
      </c>
      <c r="AQ2077" s="5">
        <v>0</v>
      </c>
    </row>
    <row r="2078" spans="1:43" x14ac:dyDescent="0.2">
      <c r="A2078" t="s">
        <v>1266</v>
      </c>
      <c r="B2078" t="s">
        <v>1267</v>
      </c>
      <c r="C2078" s="1">
        <v>2017</v>
      </c>
      <c r="D2078" t="s">
        <v>811</v>
      </c>
      <c r="F2078" s="1" t="s">
        <v>82</v>
      </c>
      <c r="G2078" t="s">
        <v>86</v>
      </c>
      <c r="H2078" t="s">
        <v>350</v>
      </c>
      <c r="I2078">
        <v>2014</v>
      </c>
      <c r="J2078">
        <v>0.3</v>
      </c>
      <c r="K2078" t="s">
        <v>109</v>
      </c>
      <c r="L2078">
        <v>3</v>
      </c>
      <c r="N2078" t="s">
        <v>127</v>
      </c>
      <c r="O2078" t="s">
        <v>1268</v>
      </c>
      <c r="P2078" t="s">
        <v>1269</v>
      </c>
      <c r="Q2078" s="1" t="s">
        <v>2281</v>
      </c>
      <c r="R2078" s="1" t="s">
        <v>2282</v>
      </c>
      <c r="S2078" s="1" t="s">
        <v>2304</v>
      </c>
      <c r="T2078" t="s">
        <v>396</v>
      </c>
      <c r="U2078" s="1" t="s">
        <v>2403</v>
      </c>
      <c r="X2078" t="s">
        <v>161</v>
      </c>
      <c r="Y2078" t="s">
        <v>2272</v>
      </c>
      <c r="Z2078" t="s">
        <v>2272</v>
      </c>
      <c r="AA2078" t="s">
        <v>2272</v>
      </c>
      <c r="AB2078" t="s">
        <v>2272</v>
      </c>
      <c r="AC2078" t="s">
        <v>162</v>
      </c>
      <c r="AD2078" t="s">
        <v>2272</v>
      </c>
      <c r="AF2078" t="s">
        <v>49</v>
      </c>
      <c r="AL2078" s="1" t="s">
        <v>49</v>
      </c>
      <c r="AM2078" t="s">
        <v>1278</v>
      </c>
      <c r="AN2078" t="s">
        <v>109</v>
      </c>
      <c r="AO2078" t="s">
        <v>1276</v>
      </c>
      <c r="AQ2078" s="5">
        <v>0</v>
      </c>
    </row>
    <row r="2079" spans="1:43" x14ac:dyDescent="0.2">
      <c r="A2079" t="s">
        <v>1266</v>
      </c>
      <c r="B2079" t="s">
        <v>1267</v>
      </c>
      <c r="C2079" s="1">
        <v>2017</v>
      </c>
      <c r="D2079" t="s">
        <v>811</v>
      </c>
      <c r="F2079" s="1" t="s">
        <v>82</v>
      </c>
      <c r="G2079" t="s">
        <v>86</v>
      </c>
      <c r="H2079" t="s">
        <v>350</v>
      </c>
      <c r="I2079">
        <v>2014</v>
      </c>
      <c r="J2079">
        <v>0.3</v>
      </c>
      <c r="K2079" t="s">
        <v>109</v>
      </c>
      <c r="L2079">
        <v>3</v>
      </c>
      <c r="N2079" t="s">
        <v>121</v>
      </c>
      <c r="O2079" t="s">
        <v>121</v>
      </c>
      <c r="P2079" t="s">
        <v>286</v>
      </c>
      <c r="Q2079" s="1" t="s">
        <v>2292</v>
      </c>
      <c r="R2079" s="1" t="s">
        <v>264</v>
      </c>
      <c r="S2079" s="1" t="s">
        <v>264</v>
      </c>
      <c r="T2079" t="s">
        <v>396</v>
      </c>
      <c r="U2079" s="1" t="s">
        <v>2404</v>
      </c>
      <c r="X2079" t="s">
        <v>161</v>
      </c>
      <c r="Y2079" t="s">
        <v>2272</v>
      </c>
      <c r="Z2079" t="s">
        <v>2272</v>
      </c>
      <c r="AA2079" t="s">
        <v>2272</v>
      </c>
      <c r="AB2079" t="s">
        <v>2272</v>
      </c>
      <c r="AC2079" t="s">
        <v>162</v>
      </c>
      <c r="AD2079" t="s">
        <v>2272</v>
      </c>
      <c r="AF2079" t="s">
        <v>49</v>
      </c>
      <c r="AL2079" s="1" t="s">
        <v>49</v>
      </c>
      <c r="AM2079" t="s">
        <v>1278</v>
      </c>
      <c r="AN2079" t="s">
        <v>109</v>
      </c>
      <c r="AO2079" t="s">
        <v>1276</v>
      </c>
      <c r="AQ2079" s="5">
        <v>0</v>
      </c>
    </row>
    <row r="2080" spans="1:43" x14ac:dyDescent="0.2">
      <c r="A2080" t="s">
        <v>1266</v>
      </c>
      <c r="B2080" t="s">
        <v>1267</v>
      </c>
      <c r="C2080" s="1">
        <v>2017</v>
      </c>
      <c r="D2080" t="s">
        <v>811</v>
      </c>
      <c r="F2080" s="1" t="s">
        <v>82</v>
      </c>
      <c r="G2080" t="s">
        <v>86</v>
      </c>
      <c r="H2080" t="s">
        <v>350</v>
      </c>
      <c r="I2080">
        <v>2014</v>
      </c>
      <c r="J2080">
        <v>0.3</v>
      </c>
      <c r="K2080" t="s">
        <v>109</v>
      </c>
      <c r="L2080">
        <v>3</v>
      </c>
      <c r="N2080" t="s">
        <v>127</v>
      </c>
      <c r="O2080" t="s">
        <v>1270</v>
      </c>
      <c r="P2080" t="s">
        <v>2260</v>
      </c>
      <c r="Q2080" s="1" t="s">
        <v>2281</v>
      </c>
      <c r="R2080" s="1" t="s">
        <v>2301</v>
      </c>
      <c r="S2080" s="1" t="s">
        <v>2303</v>
      </c>
      <c r="T2080" t="s">
        <v>396</v>
      </c>
      <c r="U2080" s="1" t="s">
        <v>2405</v>
      </c>
      <c r="X2080" t="s">
        <v>161</v>
      </c>
      <c r="Y2080" t="s">
        <v>2272</v>
      </c>
      <c r="Z2080" t="s">
        <v>2272</v>
      </c>
      <c r="AA2080" t="s">
        <v>2272</v>
      </c>
      <c r="AB2080" t="s">
        <v>2272</v>
      </c>
      <c r="AC2080" t="s">
        <v>162</v>
      </c>
      <c r="AD2080" t="s">
        <v>2272</v>
      </c>
      <c r="AF2080" t="s">
        <v>49</v>
      </c>
      <c r="AL2080" s="1" t="s">
        <v>49</v>
      </c>
      <c r="AM2080" t="s">
        <v>1278</v>
      </c>
      <c r="AN2080" t="s">
        <v>109</v>
      </c>
      <c r="AO2080" t="s">
        <v>1276</v>
      </c>
      <c r="AQ2080" s="5">
        <v>0</v>
      </c>
    </row>
    <row r="2081" spans="1:43" x14ac:dyDescent="0.2">
      <c r="A2081" t="s">
        <v>1266</v>
      </c>
      <c r="B2081" t="s">
        <v>1267</v>
      </c>
      <c r="C2081" s="1">
        <v>2017</v>
      </c>
      <c r="D2081" t="s">
        <v>811</v>
      </c>
      <c r="F2081" s="1" t="s">
        <v>82</v>
      </c>
      <c r="G2081" t="s">
        <v>86</v>
      </c>
      <c r="H2081" t="s">
        <v>350</v>
      </c>
      <c r="I2081">
        <v>2014</v>
      </c>
      <c r="J2081">
        <v>0.3</v>
      </c>
      <c r="K2081" t="s">
        <v>109</v>
      </c>
      <c r="L2081">
        <v>3</v>
      </c>
      <c r="N2081" t="s">
        <v>125</v>
      </c>
      <c r="O2081" t="s">
        <v>1271</v>
      </c>
      <c r="P2081" t="s">
        <v>1272</v>
      </c>
      <c r="Q2081" s="1" t="s">
        <v>2276</v>
      </c>
      <c r="R2081" s="1" t="s">
        <v>751</v>
      </c>
      <c r="S2081" s="1" t="s">
        <v>2345</v>
      </c>
      <c r="T2081" t="s">
        <v>396</v>
      </c>
      <c r="U2081" s="1" t="s">
        <v>2406</v>
      </c>
      <c r="X2081" t="s">
        <v>161</v>
      </c>
      <c r="Y2081" t="s">
        <v>2272</v>
      </c>
      <c r="Z2081" t="s">
        <v>2272</v>
      </c>
      <c r="AA2081" t="s">
        <v>2272</v>
      </c>
      <c r="AB2081" t="s">
        <v>2272</v>
      </c>
      <c r="AC2081" t="s">
        <v>162</v>
      </c>
      <c r="AD2081" t="s">
        <v>2272</v>
      </c>
      <c r="AF2081" t="s">
        <v>49</v>
      </c>
      <c r="AL2081" s="1" t="s">
        <v>49</v>
      </c>
      <c r="AM2081" t="s">
        <v>1278</v>
      </c>
      <c r="AN2081" t="s">
        <v>109</v>
      </c>
      <c r="AO2081" t="s">
        <v>1276</v>
      </c>
      <c r="AQ2081" s="5">
        <v>0</v>
      </c>
    </row>
    <row r="2082" spans="1:43" x14ac:dyDescent="0.2">
      <c r="A2082" t="s">
        <v>1266</v>
      </c>
      <c r="B2082" t="s">
        <v>1267</v>
      </c>
      <c r="C2082" s="1">
        <v>2017</v>
      </c>
      <c r="D2082" t="s">
        <v>811</v>
      </c>
      <c r="F2082" s="1" t="s">
        <v>82</v>
      </c>
      <c r="G2082" t="s">
        <v>86</v>
      </c>
      <c r="H2082" t="s">
        <v>350</v>
      </c>
      <c r="I2082">
        <v>2014</v>
      </c>
      <c r="J2082">
        <v>0.3</v>
      </c>
      <c r="K2082" t="s">
        <v>109</v>
      </c>
      <c r="L2082">
        <v>3</v>
      </c>
      <c r="N2082" t="s">
        <v>127</v>
      </c>
      <c r="O2082" t="s">
        <v>1268</v>
      </c>
      <c r="P2082" t="s">
        <v>1269</v>
      </c>
      <c r="Q2082" s="1" t="s">
        <v>2281</v>
      </c>
      <c r="R2082" s="1" t="s">
        <v>2282</v>
      </c>
      <c r="S2082" s="1" t="s">
        <v>2304</v>
      </c>
      <c r="T2082" t="s">
        <v>421</v>
      </c>
      <c r="U2082" t="s">
        <v>421</v>
      </c>
      <c r="X2082" t="s">
        <v>161</v>
      </c>
      <c r="Y2082" t="s">
        <v>2272</v>
      </c>
      <c r="Z2082" t="s">
        <v>2272</v>
      </c>
      <c r="AA2082" t="s">
        <v>2272</v>
      </c>
      <c r="AB2082" t="s">
        <v>2272</v>
      </c>
      <c r="AC2082" t="s">
        <v>162</v>
      </c>
      <c r="AD2082" t="s">
        <v>2272</v>
      </c>
      <c r="AF2082" t="s">
        <v>49</v>
      </c>
      <c r="AL2082" s="1" t="s">
        <v>49</v>
      </c>
      <c r="AM2082" t="s">
        <v>1278</v>
      </c>
      <c r="AN2082" t="s">
        <v>109</v>
      </c>
      <c r="AO2082" t="s">
        <v>1276</v>
      </c>
      <c r="AP2082" t="s">
        <v>51</v>
      </c>
      <c r="AQ2082" s="5">
        <v>0</v>
      </c>
    </row>
    <row r="2083" spans="1:43" x14ac:dyDescent="0.2">
      <c r="A2083" t="s">
        <v>1266</v>
      </c>
      <c r="B2083" t="s">
        <v>1267</v>
      </c>
      <c r="C2083" s="1">
        <v>2017</v>
      </c>
      <c r="D2083" t="s">
        <v>811</v>
      </c>
      <c r="F2083" s="1" t="s">
        <v>82</v>
      </c>
      <c r="G2083" t="s">
        <v>86</v>
      </c>
      <c r="H2083" t="s">
        <v>350</v>
      </c>
      <c r="I2083">
        <v>2014</v>
      </c>
      <c r="J2083">
        <v>0.3</v>
      </c>
      <c r="K2083" t="s">
        <v>109</v>
      </c>
      <c r="L2083">
        <v>3</v>
      </c>
      <c r="N2083" t="s">
        <v>121</v>
      </c>
      <c r="O2083" t="s">
        <v>121</v>
      </c>
      <c r="P2083" t="s">
        <v>286</v>
      </c>
      <c r="Q2083" s="1" t="s">
        <v>2292</v>
      </c>
      <c r="R2083" s="1" t="s">
        <v>264</v>
      </c>
      <c r="S2083" s="1" t="s">
        <v>264</v>
      </c>
      <c r="T2083" t="s">
        <v>421</v>
      </c>
      <c r="U2083" t="s">
        <v>421</v>
      </c>
      <c r="X2083" t="s">
        <v>161</v>
      </c>
      <c r="Y2083" t="s">
        <v>2272</v>
      </c>
      <c r="Z2083" t="s">
        <v>2272</v>
      </c>
      <c r="AA2083" t="s">
        <v>2272</v>
      </c>
      <c r="AB2083" t="s">
        <v>2272</v>
      </c>
      <c r="AC2083" t="s">
        <v>162</v>
      </c>
      <c r="AD2083" t="s">
        <v>2272</v>
      </c>
      <c r="AF2083" t="s">
        <v>49</v>
      </c>
      <c r="AL2083" s="1" t="s">
        <v>49</v>
      </c>
      <c r="AM2083" t="s">
        <v>1278</v>
      </c>
      <c r="AN2083" t="s">
        <v>109</v>
      </c>
      <c r="AO2083" t="s">
        <v>1276</v>
      </c>
      <c r="AP2083" t="s">
        <v>51</v>
      </c>
      <c r="AQ2083" s="5">
        <v>0</v>
      </c>
    </row>
    <row r="2084" spans="1:43" x14ac:dyDescent="0.2">
      <c r="A2084" t="s">
        <v>1266</v>
      </c>
      <c r="B2084" t="s">
        <v>1267</v>
      </c>
      <c r="C2084" s="1">
        <v>2017</v>
      </c>
      <c r="D2084" t="s">
        <v>811</v>
      </c>
      <c r="F2084" s="1" t="s">
        <v>82</v>
      </c>
      <c r="G2084" t="s">
        <v>86</v>
      </c>
      <c r="H2084" t="s">
        <v>350</v>
      </c>
      <c r="I2084">
        <v>2014</v>
      </c>
      <c r="J2084">
        <v>0.3</v>
      </c>
      <c r="K2084" t="s">
        <v>109</v>
      </c>
      <c r="L2084">
        <v>3</v>
      </c>
      <c r="N2084" t="s">
        <v>127</v>
      </c>
      <c r="O2084" t="s">
        <v>1270</v>
      </c>
      <c r="P2084" t="s">
        <v>2260</v>
      </c>
      <c r="Q2084" s="1" t="s">
        <v>2281</v>
      </c>
      <c r="R2084" s="1" t="s">
        <v>2301</v>
      </c>
      <c r="S2084" s="1" t="s">
        <v>2303</v>
      </c>
      <c r="T2084" t="s">
        <v>421</v>
      </c>
      <c r="U2084" t="s">
        <v>421</v>
      </c>
      <c r="X2084" t="s">
        <v>161</v>
      </c>
      <c r="Y2084" t="s">
        <v>2272</v>
      </c>
      <c r="Z2084" t="s">
        <v>2272</v>
      </c>
      <c r="AA2084" t="s">
        <v>2272</v>
      </c>
      <c r="AB2084" t="s">
        <v>2272</v>
      </c>
      <c r="AC2084" t="s">
        <v>162</v>
      </c>
      <c r="AD2084" t="s">
        <v>2272</v>
      </c>
      <c r="AF2084" t="s">
        <v>49</v>
      </c>
      <c r="AL2084" s="1" t="s">
        <v>49</v>
      </c>
      <c r="AM2084" t="s">
        <v>1278</v>
      </c>
      <c r="AN2084" t="s">
        <v>109</v>
      </c>
      <c r="AO2084" t="s">
        <v>1276</v>
      </c>
      <c r="AP2084" t="s">
        <v>51</v>
      </c>
      <c r="AQ2084" s="5">
        <v>0</v>
      </c>
    </row>
    <row r="2085" spans="1:43" x14ac:dyDescent="0.2">
      <c r="A2085" t="s">
        <v>1266</v>
      </c>
      <c r="B2085" t="s">
        <v>1267</v>
      </c>
      <c r="C2085" s="1">
        <v>2017</v>
      </c>
      <c r="D2085" t="s">
        <v>811</v>
      </c>
      <c r="F2085" s="1" t="s">
        <v>82</v>
      </c>
      <c r="G2085" t="s">
        <v>86</v>
      </c>
      <c r="H2085" t="s">
        <v>350</v>
      </c>
      <c r="I2085">
        <v>2014</v>
      </c>
      <c r="J2085">
        <v>0.3</v>
      </c>
      <c r="K2085" t="s">
        <v>109</v>
      </c>
      <c r="L2085">
        <v>3</v>
      </c>
      <c r="N2085" t="s">
        <v>125</v>
      </c>
      <c r="O2085" t="s">
        <v>1271</v>
      </c>
      <c r="P2085" t="s">
        <v>1272</v>
      </c>
      <c r="Q2085" s="1" t="s">
        <v>2276</v>
      </c>
      <c r="R2085" s="1" t="s">
        <v>751</v>
      </c>
      <c r="S2085" s="1" t="s">
        <v>2345</v>
      </c>
      <c r="T2085" t="s">
        <v>421</v>
      </c>
      <c r="U2085" t="s">
        <v>421</v>
      </c>
      <c r="X2085" t="s">
        <v>161</v>
      </c>
      <c r="Y2085" t="s">
        <v>2272</v>
      </c>
      <c r="Z2085" t="s">
        <v>2272</v>
      </c>
      <c r="AA2085" t="s">
        <v>2272</v>
      </c>
      <c r="AB2085" t="s">
        <v>2272</v>
      </c>
      <c r="AC2085" t="s">
        <v>162</v>
      </c>
      <c r="AD2085" t="s">
        <v>2272</v>
      </c>
      <c r="AF2085" t="s">
        <v>49</v>
      </c>
      <c r="AL2085" s="1" t="s">
        <v>49</v>
      </c>
      <c r="AM2085" t="s">
        <v>1278</v>
      </c>
      <c r="AN2085" t="s">
        <v>109</v>
      </c>
      <c r="AO2085" t="s">
        <v>1276</v>
      </c>
      <c r="AP2085" t="s">
        <v>51</v>
      </c>
      <c r="AQ2085" s="5">
        <v>0</v>
      </c>
    </row>
    <row r="2086" spans="1:43" x14ac:dyDescent="0.2">
      <c r="A2086" t="s">
        <v>1266</v>
      </c>
      <c r="B2086" t="s">
        <v>1267</v>
      </c>
      <c r="C2086" s="1">
        <v>2017</v>
      </c>
      <c r="D2086" t="s">
        <v>811</v>
      </c>
      <c r="F2086" s="1" t="s">
        <v>82</v>
      </c>
      <c r="G2086" t="s">
        <v>86</v>
      </c>
      <c r="H2086" t="s">
        <v>350</v>
      </c>
      <c r="I2086">
        <v>2014</v>
      </c>
      <c r="J2086">
        <v>0.3</v>
      </c>
      <c r="K2086" t="s">
        <v>109</v>
      </c>
      <c r="L2086">
        <v>3</v>
      </c>
      <c r="N2086" t="s">
        <v>127</v>
      </c>
      <c r="O2086" t="s">
        <v>1268</v>
      </c>
      <c r="P2086" t="s">
        <v>1269</v>
      </c>
      <c r="Q2086" s="1" t="s">
        <v>2281</v>
      </c>
      <c r="R2086" s="1" t="s">
        <v>2282</v>
      </c>
      <c r="S2086" s="1" t="s">
        <v>2304</v>
      </c>
      <c r="T2086" t="s">
        <v>396</v>
      </c>
      <c r="U2086" s="1" t="s">
        <v>2403</v>
      </c>
      <c r="X2086" t="s">
        <v>161</v>
      </c>
      <c r="Y2086" t="s">
        <v>2272</v>
      </c>
      <c r="Z2086" t="s">
        <v>2272</v>
      </c>
      <c r="AA2086" t="s">
        <v>2272</v>
      </c>
      <c r="AB2086" t="s">
        <v>2272</v>
      </c>
      <c r="AC2086" t="s">
        <v>162</v>
      </c>
      <c r="AD2086" t="s">
        <v>2272</v>
      </c>
      <c r="AF2086" t="s">
        <v>49</v>
      </c>
      <c r="AL2086" s="1" t="s">
        <v>49</v>
      </c>
      <c r="AM2086" t="s">
        <v>1278</v>
      </c>
      <c r="AN2086" t="s">
        <v>109</v>
      </c>
      <c r="AO2086" t="s">
        <v>1275</v>
      </c>
      <c r="AQ2086" s="5">
        <v>0</v>
      </c>
    </row>
    <row r="2087" spans="1:43" x14ac:dyDescent="0.2">
      <c r="A2087" t="s">
        <v>1266</v>
      </c>
      <c r="B2087" t="s">
        <v>1267</v>
      </c>
      <c r="C2087" s="1">
        <v>2017</v>
      </c>
      <c r="D2087" t="s">
        <v>811</v>
      </c>
      <c r="F2087" s="1" t="s">
        <v>82</v>
      </c>
      <c r="G2087" t="s">
        <v>86</v>
      </c>
      <c r="H2087" t="s">
        <v>350</v>
      </c>
      <c r="I2087">
        <v>2014</v>
      </c>
      <c r="J2087">
        <v>0.3</v>
      </c>
      <c r="K2087" t="s">
        <v>109</v>
      </c>
      <c r="L2087">
        <v>3</v>
      </c>
      <c r="N2087" t="s">
        <v>121</v>
      </c>
      <c r="O2087" t="s">
        <v>121</v>
      </c>
      <c r="P2087" t="s">
        <v>286</v>
      </c>
      <c r="Q2087" s="1" t="s">
        <v>2292</v>
      </c>
      <c r="R2087" s="1" t="s">
        <v>264</v>
      </c>
      <c r="S2087" s="1" t="s">
        <v>264</v>
      </c>
      <c r="T2087" t="s">
        <v>396</v>
      </c>
      <c r="U2087" s="1" t="s">
        <v>2404</v>
      </c>
      <c r="X2087" t="s">
        <v>161</v>
      </c>
      <c r="Y2087" t="s">
        <v>2272</v>
      </c>
      <c r="Z2087" t="s">
        <v>2272</v>
      </c>
      <c r="AA2087" t="s">
        <v>2272</v>
      </c>
      <c r="AB2087" t="s">
        <v>2272</v>
      </c>
      <c r="AC2087" t="s">
        <v>162</v>
      </c>
      <c r="AD2087" t="s">
        <v>2272</v>
      </c>
      <c r="AF2087" t="s">
        <v>49</v>
      </c>
      <c r="AL2087" s="1" t="s">
        <v>49</v>
      </c>
      <c r="AM2087" t="s">
        <v>1278</v>
      </c>
      <c r="AN2087" t="s">
        <v>109</v>
      </c>
      <c r="AO2087" t="s">
        <v>1275</v>
      </c>
      <c r="AQ2087" s="5">
        <v>0</v>
      </c>
    </row>
    <row r="2088" spans="1:43" x14ac:dyDescent="0.2">
      <c r="A2088" t="s">
        <v>1266</v>
      </c>
      <c r="B2088" t="s">
        <v>1267</v>
      </c>
      <c r="C2088" s="1">
        <v>2017</v>
      </c>
      <c r="D2088" t="s">
        <v>811</v>
      </c>
      <c r="F2088" s="1" t="s">
        <v>82</v>
      </c>
      <c r="G2088" t="s">
        <v>86</v>
      </c>
      <c r="H2088" t="s">
        <v>350</v>
      </c>
      <c r="I2088">
        <v>2014</v>
      </c>
      <c r="J2088">
        <v>0.3</v>
      </c>
      <c r="K2088" t="s">
        <v>109</v>
      </c>
      <c r="L2088">
        <v>3</v>
      </c>
      <c r="N2088" t="s">
        <v>127</v>
      </c>
      <c r="O2088" t="s">
        <v>1270</v>
      </c>
      <c r="P2088" t="s">
        <v>2260</v>
      </c>
      <c r="Q2088" s="1" t="s">
        <v>2281</v>
      </c>
      <c r="R2088" s="1" t="s">
        <v>2301</v>
      </c>
      <c r="S2088" s="1" t="s">
        <v>2303</v>
      </c>
      <c r="T2088" t="s">
        <v>396</v>
      </c>
      <c r="U2088" s="1" t="s">
        <v>2405</v>
      </c>
      <c r="X2088" t="s">
        <v>161</v>
      </c>
      <c r="Y2088" t="s">
        <v>2272</v>
      </c>
      <c r="Z2088" t="s">
        <v>2272</v>
      </c>
      <c r="AA2088" t="s">
        <v>2272</v>
      </c>
      <c r="AB2088" t="s">
        <v>2272</v>
      </c>
      <c r="AC2088" t="s">
        <v>162</v>
      </c>
      <c r="AD2088" t="s">
        <v>2272</v>
      </c>
      <c r="AF2088" t="s">
        <v>49</v>
      </c>
      <c r="AL2088" s="1" t="s">
        <v>49</v>
      </c>
      <c r="AM2088" t="s">
        <v>1278</v>
      </c>
      <c r="AN2088" t="s">
        <v>109</v>
      </c>
      <c r="AO2088" t="s">
        <v>1275</v>
      </c>
      <c r="AQ2088" s="5">
        <v>0</v>
      </c>
    </row>
    <row r="2089" spans="1:43" x14ac:dyDescent="0.2">
      <c r="A2089" t="s">
        <v>1266</v>
      </c>
      <c r="B2089" t="s">
        <v>1267</v>
      </c>
      <c r="C2089" s="1">
        <v>2017</v>
      </c>
      <c r="D2089" t="s">
        <v>811</v>
      </c>
      <c r="F2089" s="1" t="s">
        <v>82</v>
      </c>
      <c r="G2089" t="s">
        <v>86</v>
      </c>
      <c r="H2089" t="s">
        <v>350</v>
      </c>
      <c r="I2089">
        <v>2014</v>
      </c>
      <c r="J2089">
        <v>0.3</v>
      </c>
      <c r="K2089" t="s">
        <v>109</v>
      </c>
      <c r="L2089">
        <v>3</v>
      </c>
      <c r="N2089" t="s">
        <v>125</v>
      </c>
      <c r="O2089" t="s">
        <v>1271</v>
      </c>
      <c r="P2089" t="s">
        <v>1272</v>
      </c>
      <c r="Q2089" s="1" t="s">
        <v>2276</v>
      </c>
      <c r="R2089" s="1" t="s">
        <v>751</v>
      </c>
      <c r="S2089" s="1" t="s">
        <v>2345</v>
      </c>
      <c r="T2089" t="s">
        <v>396</v>
      </c>
      <c r="U2089" s="1" t="s">
        <v>2406</v>
      </c>
      <c r="X2089" t="s">
        <v>161</v>
      </c>
      <c r="Y2089" t="s">
        <v>2272</v>
      </c>
      <c r="Z2089" t="s">
        <v>2272</v>
      </c>
      <c r="AA2089" t="s">
        <v>2272</v>
      </c>
      <c r="AB2089" t="s">
        <v>2272</v>
      </c>
      <c r="AC2089" t="s">
        <v>162</v>
      </c>
      <c r="AD2089" t="s">
        <v>2272</v>
      </c>
      <c r="AF2089" t="s">
        <v>49</v>
      </c>
      <c r="AL2089" s="1" t="s">
        <v>49</v>
      </c>
      <c r="AM2089" t="s">
        <v>1278</v>
      </c>
      <c r="AN2089" t="s">
        <v>109</v>
      </c>
      <c r="AO2089" t="s">
        <v>1275</v>
      </c>
      <c r="AQ2089" s="5">
        <v>0</v>
      </c>
    </row>
    <row r="2090" spans="1:43" x14ac:dyDescent="0.2">
      <c r="A2090" t="s">
        <v>1266</v>
      </c>
      <c r="B2090" t="s">
        <v>1267</v>
      </c>
      <c r="C2090" s="1">
        <v>2017</v>
      </c>
      <c r="D2090" t="s">
        <v>811</v>
      </c>
      <c r="F2090" s="1" t="s">
        <v>82</v>
      </c>
      <c r="G2090" t="s">
        <v>86</v>
      </c>
      <c r="H2090" t="s">
        <v>350</v>
      </c>
      <c r="I2090">
        <v>2014</v>
      </c>
      <c r="J2090">
        <v>0.3</v>
      </c>
      <c r="K2090" t="s">
        <v>109</v>
      </c>
      <c r="L2090">
        <v>3</v>
      </c>
      <c r="N2090" t="s">
        <v>127</v>
      </c>
      <c r="O2090" t="s">
        <v>1268</v>
      </c>
      <c r="P2090" t="s">
        <v>1269</v>
      </c>
      <c r="Q2090" s="1" t="s">
        <v>2281</v>
      </c>
      <c r="R2090" s="1" t="s">
        <v>2282</v>
      </c>
      <c r="S2090" s="1" t="s">
        <v>2304</v>
      </c>
      <c r="T2090" t="s">
        <v>421</v>
      </c>
      <c r="U2090" t="s">
        <v>421</v>
      </c>
      <c r="X2090" t="s">
        <v>161</v>
      </c>
      <c r="Y2090" t="s">
        <v>2272</v>
      </c>
      <c r="Z2090" t="s">
        <v>2272</v>
      </c>
      <c r="AA2090" t="s">
        <v>2272</v>
      </c>
      <c r="AB2090" t="s">
        <v>2272</v>
      </c>
      <c r="AC2090" t="s">
        <v>162</v>
      </c>
      <c r="AD2090" t="s">
        <v>2272</v>
      </c>
      <c r="AF2090" t="s">
        <v>49</v>
      </c>
      <c r="AL2090" s="1" t="s">
        <v>49</v>
      </c>
      <c r="AM2090" t="s">
        <v>1278</v>
      </c>
      <c r="AN2090" t="s">
        <v>109</v>
      </c>
      <c r="AO2090" t="s">
        <v>1275</v>
      </c>
      <c r="AP2090" t="s">
        <v>51</v>
      </c>
      <c r="AQ2090" s="5">
        <v>0</v>
      </c>
    </row>
    <row r="2091" spans="1:43" x14ac:dyDescent="0.2">
      <c r="A2091" t="s">
        <v>1266</v>
      </c>
      <c r="B2091" t="s">
        <v>1267</v>
      </c>
      <c r="C2091" s="1">
        <v>2017</v>
      </c>
      <c r="D2091" t="s">
        <v>811</v>
      </c>
      <c r="F2091" s="1" t="s">
        <v>82</v>
      </c>
      <c r="G2091" t="s">
        <v>86</v>
      </c>
      <c r="H2091" t="s">
        <v>350</v>
      </c>
      <c r="I2091">
        <v>2014</v>
      </c>
      <c r="J2091">
        <v>0.3</v>
      </c>
      <c r="K2091" t="s">
        <v>109</v>
      </c>
      <c r="L2091">
        <v>3</v>
      </c>
      <c r="N2091" t="s">
        <v>121</v>
      </c>
      <c r="O2091" t="s">
        <v>121</v>
      </c>
      <c r="P2091" t="s">
        <v>286</v>
      </c>
      <c r="Q2091" s="1" t="s">
        <v>2292</v>
      </c>
      <c r="R2091" s="1" t="s">
        <v>264</v>
      </c>
      <c r="S2091" s="1" t="s">
        <v>264</v>
      </c>
      <c r="T2091" t="s">
        <v>421</v>
      </c>
      <c r="U2091" t="s">
        <v>421</v>
      </c>
      <c r="X2091" t="s">
        <v>161</v>
      </c>
      <c r="Y2091" t="s">
        <v>2272</v>
      </c>
      <c r="Z2091" t="s">
        <v>2272</v>
      </c>
      <c r="AA2091" t="s">
        <v>2272</v>
      </c>
      <c r="AB2091" t="s">
        <v>2272</v>
      </c>
      <c r="AC2091" t="s">
        <v>162</v>
      </c>
      <c r="AD2091" t="s">
        <v>2272</v>
      </c>
      <c r="AF2091" t="s">
        <v>49</v>
      </c>
      <c r="AL2091" s="1" t="s">
        <v>49</v>
      </c>
      <c r="AM2091" t="s">
        <v>1278</v>
      </c>
      <c r="AN2091" t="s">
        <v>109</v>
      </c>
      <c r="AO2091" t="s">
        <v>1275</v>
      </c>
      <c r="AP2091" t="s">
        <v>51</v>
      </c>
      <c r="AQ2091" s="5">
        <v>0</v>
      </c>
    </row>
    <row r="2092" spans="1:43" x14ac:dyDescent="0.2">
      <c r="A2092" t="s">
        <v>1266</v>
      </c>
      <c r="B2092" t="s">
        <v>1267</v>
      </c>
      <c r="C2092" s="1">
        <v>2017</v>
      </c>
      <c r="D2092" t="s">
        <v>811</v>
      </c>
      <c r="F2092" s="1" t="s">
        <v>82</v>
      </c>
      <c r="G2092" t="s">
        <v>86</v>
      </c>
      <c r="H2092" t="s">
        <v>350</v>
      </c>
      <c r="I2092">
        <v>2014</v>
      </c>
      <c r="J2092">
        <v>0.3</v>
      </c>
      <c r="K2092" t="s">
        <v>109</v>
      </c>
      <c r="L2092">
        <v>3</v>
      </c>
      <c r="N2092" t="s">
        <v>127</v>
      </c>
      <c r="O2092" t="s">
        <v>1270</v>
      </c>
      <c r="P2092" t="s">
        <v>2260</v>
      </c>
      <c r="Q2092" s="1" t="s">
        <v>2281</v>
      </c>
      <c r="R2092" s="1" t="s">
        <v>2301</v>
      </c>
      <c r="S2092" s="1" t="s">
        <v>2303</v>
      </c>
      <c r="T2092" t="s">
        <v>421</v>
      </c>
      <c r="U2092" t="s">
        <v>421</v>
      </c>
      <c r="X2092" t="s">
        <v>161</v>
      </c>
      <c r="Y2092" t="s">
        <v>2272</v>
      </c>
      <c r="Z2092" t="s">
        <v>2272</v>
      </c>
      <c r="AA2092" t="s">
        <v>2272</v>
      </c>
      <c r="AB2092" t="s">
        <v>2272</v>
      </c>
      <c r="AC2092" t="s">
        <v>162</v>
      </c>
      <c r="AD2092" t="s">
        <v>2272</v>
      </c>
      <c r="AF2092" t="s">
        <v>49</v>
      </c>
      <c r="AL2092" s="1" t="s">
        <v>49</v>
      </c>
      <c r="AM2092" t="s">
        <v>1278</v>
      </c>
      <c r="AN2092" t="s">
        <v>109</v>
      </c>
      <c r="AO2092" t="s">
        <v>1275</v>
      </c>
      <c r="AP2092" t="s">
        <v>51</v>
      </c>
      <c r="AQ2092" s="5">
        <v>0</v>
      </c>
    </row>
    <row r="2093" spans="1:43" x14ac:dyDescent="0.2">
      <c r="A2093" t="s">
        <v>1266</v>
      </c>
      <c r="B2093" t="s">
        <v>1267</v>
      </c>
      <c r="C2093" s="1">
        <v>2017</v>
      </c>
      <c r="D2093" t="s">
        <v>811</v>
      </c>
      <c r="F2093" s="1" t="s">
        <v>82</v>
      </c>
      <c r="G2093" t="s">
        <v>86</v>
      </c>
      <c r="H2093" t="s">
        <v>350</v>
      </c>
      <c r="I2093">
        <v>2014</v>
      </c>
      <c r="J2093">
        <v>0.3</v>
      </c>
      <c r="K2093" t="s">
        <v>109</v>
      </c>
      <c r="L2093">
        <v>3</v>
      </c>
      <c r="N2093" t="s">
        <v>125</v>
      </c>
      <c r="O2093" t="s">
        <v>1271</v>
      </c>
      <c r="P2093" t="s">
        <v>1272</v>
      </c>
      <c r="Q2093" s="1" t="s">
        <v>2276</v>
      </c>
      <c r="R2093" s="1" t="s">
        <v>751</v>
      </c>
      <c r="S2093" s="1" t="s">
        <v>2345</v>
      </c>
      <c r="T2093" t="s">
        <v>421</v>
      </c>
      <c r="U2093" t="s">
        <v>421</v>
      </c>
      <c r="X2093" t="s">
        <v>161</v>
      </c>
      <c r="Y2093" t="s">
        <v>2272</v>
      </c>
      <c r="Z2093" t="s">
        <v>2272</v>
      </c>
      <c r="AA2093" t="s">
        <v>2272</v>
      </c>
      <c r="AB2093" t="s">
        <v>2272</v>
      </c>
      <c r="AC2093" t="s">
        <v>162</v>
      </c>
      <c r="AD2093" t="s">
        <v>2272</v>
      </c>
      <c r="AF2093" t="s">
        <v>49</v>
      </c>
      <c r="AL2093" s="1" t="s">
        <v>49</v>
      </c>
      <c r="AM2093" t="s">
        <v>1278</v>
      </c>
      <c r="AN2093" t="s">
        <v>109</v>
      </c>
      <c r="AO2093" t="s">
        <v>1275</v>
      </c>
      <c r="AP2093" t="s">
        <v>51</v>
      </c>
      <c r="AQ2093" s="5">
        <v>0</v>
      </c>
    </row>
    <row r="2094" spans="1:43" x14ac:dyDescent="0.2">
      <c r="A2094" t="s">
        <v>1266</v>
      </c>
      <c r="B2094" t="s">
        <v>1267</v>
      </c>
      <c r="C2094" s="1">
        <v>2017</v>
      </c>
      <c r="D2094" t="s">
        <v>811</v>
      </c>
      <c r="F2094" s="1" t="s">
        <v>82</v>
      </c>
      <c r="G2094" t="s">
        <v>86</v>
      </c>
      <c r="H2094" t="s">
        <v>350</v>
      </c>
      <c r="I2094">
        <v>2014</v>
      </c>
      <c r="J2094">
        <v>0.3</v>
      </c>
      <c r="K2094" t="s">
        <v>109</v>
      </c>
      <c r="L2094">
        <v>3</v>
      </c>
      <c r="N2094" t="s">
        <v>127</v>
      </c>
      <c r="O2094" t="s">
        <v>1268</v>
      </c>
      <c r="P2094" t="s">
        <v>1269</v>
      </c>
      <c r="Q2094" s="1" t="s">
        <v>2281</v>
      </c>
      <c r="R2094" s="1" t="s">
        <v>2282</v>
      </c>
      <c r="S2094" s="1" t="s">
        <v>2304</v>
      </c>
      <c r="T2094" t="s">
        <v>396</v>
      </c>
      <c r="U2094" s="1" t="s">
        <v>2403</v>
      </c>
      <c r="X2094" t="s">
        <v>161</v>
      </c>
      <c r="Y2094" t="s">
        <v>2272</v>
      </c>
      <c r="Z2094" t="s">
        <v>2272</v>
      </c>
      <c r="AA2094" t="s">
        <v>2272</v>
      </c>
      <c r="AB2094" t="s">
        <v>2272</v>
      </c>
      <c r="AC2094" t="s">
        <v>162</v>
      </c>
      <c r="AD2094" t="s">
        <v>2272</v>
      </c>
      <c r="AF2094" t="s">
        <v>49</v>
      </c>
      <c r="AL2094" s="1" t="s">
        <v>49</v>
      </c>
      <c r="AM2094" t="s">
        <v>1278</v>
      </c>
      <c r="AN2094" t="s">
        <v>109</v>
      </c>
      <c r="AO2094" t="s">
        <v>1277</v>
      </c>
      <c r="AQ2094" s="5">
        <v>2</v>
      </c>
    </row>
    <row r="2095" spans="1:43" x14ac:dyDescent="0.2">
      <c r="A2095" t="s">
        <v>1266</v>
      </c>
      <c r="B2095" t="s">
        <v>1267</v>
      </c>
      <c r="C2095" s="1">
        <v>2017</v>
      </c>
      <c r="D2095" t="s">
        <v>811</v>
      </c>
      <c r="F2095" s="1" t="s">
        <v>82</v>
      </c>
      <c r="G2095" t="s">
        <v>86</v>
      </c>
      <c r="H2095" t="s">
        <v>350</v>
      </c>
      <c r="I2095">
        <v>2014</v>
      </c>
      <c r="J2095">
        <v>0.3</v>
      </c>
      <c r="K2095" t="s">
        <v>109</v>
      </c>
      <c r="L2095">
        <v>3</v>
      </c>
      <c r="N2095" t="s">
        <v>121</v>
      </c>
      <c r="O2095" t="s">
        <v>121</v>
      </c>
      <c r="P2095" t="s">
        <v>286</v>
      </c>
      <c r="Q2095" s="1" t="s">
        <v>2292</v>
      </c>
      <c r="R2095" s="1" t="s">
        <v>264</v>
      </c>
      <c r="S2095" s="1" t="s">
        <v>264</v>
      </c>
      <c r="T2095" t="s">
        <v>396</v>
      </c>
      <c r="U2095" s="1" t="s">
        <v>2404</v>
      </c>
      <c r="X2095" t="s">
        <v>161</v>
      </c>
      <c r="Y2095" t="s">
        <v>2272</v>
      </c>
      <c r="Z2095" t="s">
        <v>2272</v>
      </c>
      <c r="AA2095" t="s">
        <v>2272</v>
      </c>
      <c r="AB2095" t="s">
        <v>2272</v>
      </c>
      <c r="AC2095" t="s">
        <v>162</v>
      </c>
      <c r="AD2095" t="s">
        <v>2272</v>
      </c>
      <c r="AF2095" t="s">
        <v>49</v>
      </c>
      <c r="AL2095" s="1" t="s">
        <v>49</v>
      </c>
      <c r="AM2095" t="s">
        <v>1278</v>
      </c>
      <c r="AN2095" t="s">
        <v>109</v>
      </c>
      <c r="AO2095" t="s">
        <v>1277</v>
      </c>
      <c r="AQ2095" s="5">
        <v>1</v>
      </c>
    </row>
    <row r="2096" spans="1:43" x14ac:dyDescent="0.2">
      <c r="A2096" t="s">
        <v>1266</v>
      </c>
      <c r="B2096" t="s">
        <v>1267</v>
      </c>
      <c r="C2096" s="1">
        <v>2017</v>
      </c>
      <c r="D2096" t="s">
        <v>811</v>
      </c>
      <c r="F2096" s="1" t="s">
        <v>82</v>
      </c>
      <c r="G2096" t="s">
        <v>86</v>
      </c>
      <c r="H2096" t="s">
        <v>350</v>
      </c>
      <c r="I2096">
        <v>2014</v>
      </c>
      <c r="J2096">
        <v>0.3</v>
      </c>
      <c r="K2096" t="s">
        <v>109</v>
      </c>
      <c r="L2096">
        <v>3</v>
      </c>
      <c r="N2096" t="s">
        <v>127</v>
      </c>
      <c r="O2096" t="s">
        <v>1270</v>
      </c>
      <c r="P2096" t="s">
        <v>2260</v>
      </c>
      <c r="Q2096" s="1" t="s">
        <v>2281</v>
      </c>
      <c r="R2096" s="1" t="s">
        <v>2301</v>
      </c>
      <c r="S2096" s="1" t="s">
        <v>2303</v>
      </c>
      <c r="T2096" t="s">
        <v>396</v>
      </c>
      <c r="U2096" s="1" t="s">
        <v>2405</v>
      </c>
      <c r="X2096" t="s">
        <v>161</v>
      </c>
      <c r="Y2096" t="s">
        <v>2272</v>
      </c>
      <c r="Z2096" t="s">
        <v>2272</v>
      </c>
      <c r="AA2096" t="s">
        <v>2272</v>
      </c>
      <c r="AB2096" t="s">
        <v>2272</v>
      </c>
      <c r="AC2096" t="s">
        <v>162</v>
      </c>
      <c r="AD2096" t="s">
        <v>2272</v>
      </c>
      <c r="AF2096" t="s">
        <v>49</v>
      </c>
      <c r="AL2096" s="1" t="s">
        <v>49</v>
      </c>
      <c r="AM2096" t="s">
        <v>1278</v>
      </c>
      <c r="AN2096" t="s">
        <v>109</v>
      </c>
      <c r="AO2096" t="s">
        <v>1277</v>
      </c>
      <c r="AQ2096" s="5">
        <v>1</v>
      </c>
    </row>
    <row r="2097" spans="1:43" x14ac:dyDescent="0.2">
      <c r="A2097" t="s">
        <v>1266</v>
      </c>
      <c r="B2097" t="s">
        <v>1267</v>
      </c>
      <c r="C2097" s="1">
        <v>2017</v>
      </c>
      <c r="D2097" t="s">
        <v>811</v>
      </c>
      <c r="F2097" s="1" t="s">
        <v>82</v>
      </c>
      <c r="G2097" t="s">
        <v>86</v>
      </c>
      <c r="H2097" t="s">
        <v>350</v>
      </c>
      <c r="I2097">
        <v>2014</v>
      </c>
      <c r="J2097">
        <v>0.3</v>
      </c>
      <c r="K2097" t="s">
        <v>109</v>
      </c>
      <c r="L2097">
        <v>3</v>
      </c>
      <c r="N2097" t="s">
        <v>125</v>
      </c>
      <c r="O2097" t="s">
        <v>1271</v>
      </c>
      <c r="P2097" t="s">
        <v>1272</v>
      </c>
      <c r="Q2097" s="1" t="s">
        <v>2276</v>
      </c>
      <c r="R2097" s="1" t="s">
        <v>751</v>
      </c>
      <c r="S2097" s="1" t="s">
        <v>2345</v>
      </c>
      <c r="T2097" t="s">
        <v>396</v>
      </c>
      <c r="U2097" s="1" t="s">
        <v>2406</v>
      </c>
      <c r="X2097" t="s">
        <v>161</v>
      </c>
      <c r="Y2097" t="s">
        <v>2272</v>
      </c>
      <c r="Z2097" t="s">
        <v>2272</v>
      </c>
      <c r="AA2097" t="s">
        <v>2272</v>
      </c>
      <c r="AB2097" t="s">
        <v>2272</v>
      </c>
      <c r="AC2097" t="s">
        <v>162</v>
      </c>
      <c r="AD2097" t="s">
        <v>2272</v>
      </c>
      <c r="AF2097" t="s">
        <v>49</v>
      </c>
      <c r="AL2097" s="1" t="s">
        <v>49</v>
      </c>
      <c r="AM2097" t="s">
        <v>1278</v>
      </c>
      <c r="AN2097" t="s">
        <v>109</v>
      </c>
      <c r="AO2097" t="s">
        <v>1277</v>
      </c>
      <c r="AQ2097" s="5">
        <v>2</v>
      </c>
    </row>
    <row r="2098" spans="1:43" x14ac:dyDescent="0.2">
      <c r="A2098" t="s">
        <v>1266</v>
      </c>
      <c r="B2098" t="s">
        <v>1267</v>
      </c>
      <c r="C2098" s="1">
        <v>2017</v>
      </c>
      <c r="D2098" t="s">
        <v>811</v>
      </c>
      <c r="F2098" s="1" t="s">
        <v>82</v>
      </c>
      <c r="G2098" t="s">
        <v>86</v>
      </c>
      <c r="H2098" t="s">
        <v>350</v>
      </c>
      <c r="I2098">
        <v>2014</v>
      </c>
      <c r="J2098">
        <v>0.3</v>
      </c>
      <c r="K2098" t="s">
        <v>109</v>
      </c>
      <c r="L2098">
        <v>3</v>
      </c>
      <c r="N2098" t="s">
        <v>127</v>
      </c>
      <c r="O2098" t="s">
        <v>1268</v>
      </c>
      <c r="P2098" t="s">
        <v>1269</v>
      </c>
      <c r="Q2098" s="1" t="s">
        <v>2281</v>
      </c>
      <c r="R2098" s="1" t="s">
        <v>2282</v>
      </c>
      <c r="S2098" s="1" t="s">
        <v>2304</v>
      </c>
      <c r="T2098" t="s">
        <v>421</v>
      </c>
      <c r="U2098" t="s">
        <v>421</v>
      </c>
      <c r="X2098" t="s">
        <v>161</v>
      </c>
      <c r="Y2098" t="s">
        <v>2272</v>
      </c>
      <c r="Z2098" t="s">
        <v>2272</v>
      </c>
      <c r="AA2098" t="s">
        <v>2272</v>
      </c>
      <c r="AB2098" t="s">
        <v>2272</v>
      </c>
      <c r="AC2098" t="s">
        <v>162</v>
      </c>
      <c r="AD2098" t="s">
        <v>2272</v>
      </c>
      <c r="AF2098" t="s">
        <v>49</v>
      </c>
      <c r="AL2098" s="1" t="s">
        <v>49</v>
      </c>
      <c r="AM2098" t="s">
        <v>1278</v>
      </c>
      <c r="AN2098" t="s">
        <v>109</v>
      </c>
      <c r="AO2098" t="s">
        <v>1277</v>
      </c>
      <c r="AQ2098" s="5">
        <v>1</v>
      </c>
    </row>
    <row r="2099" spans="1:43" x14ac:dyDescent="0.2">
      <c r="A2099" t="s">
        <v>1266</v>
      </c>
      <c r="B2099" t="s">
        <v>1267</v>
      </c>
      <c r="C2099" s="1">
        <v>2017</v>
      </c>
      <c r="D2099" t="s">
        <v>811</v>
      </c>
      <c r="F2099" s="1" t="s">
        <v>82</v>
      </c>
      <c r="G2099" t="s">
        <v>86</v>
      </c>
      <c r="H2099" t="s">
        <v>350</v>
      </c>
      <c r="I2099">
        <v>2014</v>
      </c>
      <c r="J2099">
        <v>0.3</v>
      </c>
      <c r="K2099" t="s">
        <v>109</v>
      </c>
      <c r="L2099">
        <v>3</v>
      </c>
      <c r="N2099" t="s">
        <v>121</v>
      </c>
      <c r="O2099" t="s">
        <v>121</v>
      </c>
      <c r="P2099" t="s">
        <v>286</v>
      </c>
      <c r="Q2099" s="1" t="s">
        <v>2292</v>
      </c>
      <c r="R2099" s="1" t="s">
        <v>264</v>
      </c>
      <c r="S2099" s="1" t="s">
        <v>264</v>
      </c>
      <c r="T2099" t="s">
        <v>421</v>
      </c>
      <c r="U2099" t="s">
        <v>421</v>
      </c>
      <c r="X2099" t="s">
        <v>161</v>
      </c>
      <c r="Y2099" t="s">
        <v>2272</v>
      </c>
      <c r="Z2099" t="s">
        <v>2272</v>
      </c>
      <c r="AA2099" t="s">
        <v>2272</v>
      </c>
      <c r="AB2099" t="s">
        <v>2272</v>
      </c>
      <c r="AC2099" t="s">
        <v>162</v>
      </c>
      <c r="AD2099" t="s">
        <v>2272</v>
      </c>
      <c r="AF2099" t="s">
        <v>49</v>
      </c>
      <c r="AL2099" s="1" t="s">
        <v>49</v>
      </c>
      <c r="AM2099" t="s">
        <v>1278</v>
      </c>
      <c r="AN2099" t="s">
        <v>109</v>
      </c>
      <c r="AO2099" t="s">
        <v>1277</v>
      </c>
      <c r="AQ2099" s="5">
        <v>1</v>
      </c>
    </row>
    <row r="2100" spans="1:43" x14ac:dyDescent="0.2">
      <c r="A2100" t="s">
        <v>1266</v>
      </c>
      <c r="B2100" t="s">
        <v>1267</v>
      </c>
      <c r="C2100" s="1">
        <v>2017</v>
      </c>
      <c r="D2100" t="s">
        <v>811</v>
      </c>
      <c r="F2100" s="1" t="s">
        <v>82</v>
      </c>
      <c r="G2100" t="s">
        <v>86</v>
      </c>
      <c r="H2100" t="s">
        <v>350</v>
      </c>
      <c r="I2100">
        <v>2014</v>
      </c>
      <c r="J2100">
        <v>0.3</v>
      </c>
      <c r="K2100" t="s">
        <v>109</v>
      </c>
      <c r="L2100">
        <v>3</v>
      </c>
      <c r="N2100" t="s">
        <v>127</v>
      </c>
      <c r="O2100" t="s">
        <v>1270</v>
      </c>
      <c r="P2100" t="s">
        <v>2260</v>
      </c>
      <c r="Q2100" s="1" t="s">
        <v>2281</v>
      </c>
      <c r="R2100" s="1" t="s">
        <v>2301</v>
      </c>
      <c r="S2100" s="1" t="s">
        <v>2303</v>
      </c>
      <c r="T2100" t="s">
        <v>421</v>
      </c>
      <c r="U2100" t="s">
        <v>421</v>
      </c>
      <c r="X2100" t="s">
        <v>161</v>
      </c>
      <c r="Y2100" t="s">
        <v>2272</v>
      </c>
      <c r="Z2100" t="s">
        <v>2272</v>
      </c>
      <c r="AA2100" t="s">
        <v>2272</v>
      </c>
      <c r="AB2100" t="s">
        <v>2272</v>
      </c>
      <c r="AC2100" t="s">
        <v>162</v>
      </c>
      <c r="AD2100" t="s">
        <v>2272</v>
      </c>
      <c r="AF2100" t="s">
        <v>49</v>
      </c>
      <c r="AL2100" s="1" t="s">
        <v>49</v>
      </c>
      <c r="AM2100" t="s">
        <v>1278</v>
      </c>
      <c r="AN2100" t="s">
        <v>109</v>
      </c>
      <c r="AO2100" t="s">
        <v>1277</v>
      </c>
      <c r="AQ2100" s="5">
        <v>1</v>
      </c>
    </row>
    <row r="2101" spans="1:43" x14ac:dyDescent="0.2">
      <c r="A2101" t="s">
        <v>1266</v>
      </c>
      <c r="B2101" t="s">
        <v>1267</v>
      </c>
      <c r="C2101" s="1">
        <v>2017</v>
      </c>
      <c r="D2101" t="s">
        <v>811</v>
      </c>
      <c r="F2101" s="1" t="s">
        <v>82</v>
      </c>
      <c r="G2101" t="s">
        <v>86</v>
      </c>
      <c r="H2101" t="s">
        <v>350</v>
      </c>
      <c r="I2101">
        <v>2014</v>
      </c>
      <c r="J2101">
        <v>0.3</v>
      </c>
      <c r="K2101" t="s">
        <v>109</v>
      </c>
      <c r="L2101">
        <v>3</v>
      </c>
      <c r="N2101" t="s">
        <v>125</v>
      </c>
      <c r="O2101" t="s">
        <v>1271</v>
      </c>
      <c r="P2101" t="s">
        <v>1272</v>
      </c>
      <c r="Q2101" s="1" t="s">
        <v>2276</v>
      </c>
      <c r="R2101" s="1" t="s">
        <v>751</v>
      </c>
      <c r="S2101" s="1" t="s">
        <v>2345</v>
      </c>
      <c r="T2101" t="s">
        <v>421</v>
      </c>
      <c r="U2101" t="s">
        <v>421</v>
      </c>
      <c r="X2101" t="s">
        <v>161</v>
      </c>
      <c r="Y2101" t="s">
        <v>2272</v>
      </c>
      <c r="Z2101" t="s">
        <v>2272</v>
      </c>
      <c r="AA2101" t="s">
        <v>2272</v>
      </c>
      <c r="AB2101" t="s">
        <v>2272</v>
      </c>
      <c r="AC2101" t="s">
        <v>162</v>
      </c>
      <c r="AD2101" t="s">
        <v>2272</v>
      </c>
      <c r="AF2101" t="s">
        <v>49</v>
      </c>
      <c r="AL2101" s="1" t="s">
        <v>49</v>
      </c>
      <c r="AM2101" t="s">
        <v>1278</v>
      </c>
      <c r="AN2101" t="s">
        <v>109</v>
      </c>
      <c r="AO2101" t="s">
        <v>1277</v>
      </c>
      <c r="AQ2101" s="5">
        <v>1</v>
      </c>
    </row>
    <row r="2102" spans="1:43" x14ac:dyDescent="0.2">
      <c r="A2102" t="s">
        <v>1266</v>
      </c>
      <c r="B2102" t="s">
        <v>1267</v>
      </c>
      <c r="C2102" s="1">
        <v>2017</v>
      </c>
      <c r="D2102" t="s">
        <v>811</v>
      </c>
      <c r="F2102" s="1" t="s">
        <v>82</v>
      </c>
      <c r="G2102" t="s">
        <v>86</v>
      </c>
      <c r="H2102" t="s">
        <v>350</v>
      </c>
      <c r="I2102">
        <v>2014</v>
      </c>
      <c r="J2102">
        <v>0.3</v>
      </c>
      <c r="K2102" t="s">
        <v>109</v>
      </c>
      <c r="L2102">
        <v>3</v>
      </c>
      <c r="N2102" t="s">
        <v>127</v>
      </c>
      <c r="O2102" t="s">
        <v>1268</v>
      </c>
      <c r="P2102" t="s">
        <v>1269</v>
      </c>
      <c r="Q2102" s="1" t="s">
        <v>2281</v>
      </c>
      <c r="R2102" s="1" t="s">
        <v>2282</v>
      </c>
      <c r="S2102" s="1" t="s">
        <v>2304</v>
      </c>
      <c r="T2102" t="s">
        <v>396</v>
      </c>
      <c r="U2102" s="1" t="s">
        <v>2403</v>
      </c>
      <c r="X2102" t="s">
        <v>161</v>
      </c>
      <c r="Y2102" t="s">
        <v>2272</v>
      </c>
      <c r="Z2102" t="s">
        <v>2272</v>
      </c>
      <c r="AA2102" t="s">
        <v>2272</v>
      </c>
      <c r="AB2102" t="s">
        <v>2272</v>
      </c>
      <c r="AC2102" t="s">
        <v>162</v>
      </c>
      <c r="AD2102" t="s">
        <v>2272</v>
      </c>
      <c r="AF2102" t="s">
        <v>49</v>
      </c>
      <c r="AL2102" s="1" t="s">
        <v>49</v>
      </c>
      <c r="AM2102" t="s">
        <v>1278</v>
      </c>
      <c r="AN2102" t="s">
        <v>109</v>
      </c>
      <c r="AO2102" t="s">
        <v>449</v>
      </c>
      <c r="AP2102" t="s">
        <v>51</v>
      </c>
      <c r="AQ2102" s="5">
        <v>0</v>
      </c>
    </row>
    <row r="2103" spans="1:43" x14ac:dyDescent="0.2">
      <c r="A2103" t="s">
        <v>1266</v>
      </c>
      <c r="B2103" t="s">
        <v>1267</v>
      </c>
      <c r="C2103" s="1">
        <v>2017</v>
      </c>
      <c r="D2103" t="s">
        <v>811</v>
      </c>
      <c r="F2103" s="1" t="s">
        <v>82</v>
      </c>
      <c r="G2103" t="s">
        <v>86</v>
      </c>
      <c r="H2103" t="s">
        <v>350</v>
      </c>
      <c r="I2103">
        <v>2014</v>
      </c>
      <c r="J2103">
        <v>0.3</v>
      </c>
      <c r="K2103" t="s">
        <v>109</v>
      </c>
      <c r="L2103">
        <v>3</v>
      </c>
      <c r="N2103" t="s">
        <v>121</v>
      </c>
      <c r="O2103" t="s">
        <v>121</v>
      </c>
      <c r="P2103" t="s">
        <v>286</v>
      </c>
      <c r="Q2103" s="1" t="s">
        <v>2292</v>
      </c>
      <c r="R2103" s="1" t="s">
        <v>264</v>
      </c>
      <c r="S2103" s="1" t="s">
        <v>264</v>
      </c>
      <c r="T2103" t="s">
        <v>396</v>
      </c>
      <c r="U2103" s="1" t="s">
        <v>2404</v>
      </c>
      <c r="X2103" t="s">
        <v>161</v>
      </c>
      <c r="Y2103" t="s">
        <v>2272</v>
      </c>
      <c r="Z2103" t="s">
        <v>2272</v>
      </c>
      <c r="AA2103" t="s">
        <v>2272</v>
      </c>
      <c r="AB2103" t="s">
        <v>2272</v>
      </c>
      <c r="AC2103" t="s">
        <v>162</v>
      </c>
      <c r="AD2103" t="s">
        <v>2272</v>
      </c>
      <c r="AF2103" t="s">
        <v>49</v>
      </c>
      <c r="AL2103" s="1" t="s">
        <v>49</v>
      </c>
      <c r="AM2103" t="s">
        <v>1278</v>
      </c>
      <c r="AN2103" t="s">
        <v>109</v>
      </c>
      <c r="AO2103" t="s">
        <v>449</v>
      </c>
      <c r="AP2103" t="s">
        <v>51</v>
      </c>
      <c r="AQ2103" s="5">
        <v>0</v>
      </c>
    </row>
    <row r="2104" spans="1:43" x14ac:dyDescent="0.2">
      <c r="A2104" t="s">
        <v>1266</v>
      </c>
      <c r="B2104" t="s">
        <v>1267</v>
      </c>
      <c r="C2104" s="1">
        <v>2017</v>
      </c>
      <c r="D2104" t="s">
        <v>811</v>
      </c>
      <c r="F2104" s="1" t="s">
        <v>82</v>
      </c>
      <c r="G2104" t="s">
        <v>86</v>
      </c>
      <c r="H2104" t="s">
        <v>350</v>
      </c>
      <c r="I2104">
        <v>2014</v>
      </c>
      <c r="J2104">
        <v>0.3</v>
      </c>
      <c r="K2104" t="s">
        <v>109</v>
      </c>
      <c r="L2104">
        <v>3</v>
      </c>
      <c r="N2104" t="s">
        <v>127</v>
      </c>
      <c r="O2104" t="s">
        <v>1270</v>
      </c>
      <c r="P2104" t="s">
        <v>2260</v>
      </c>
      <c r="Q2104" s="1" t="s">
        <v>2281</v>
      </c>
      <c r="R2104" s="1" t="s">
        <v>2301</v>
      </c>
      <c r="S2104" s="1" t="s">
        <v>2303</v>
      </c>
      <c r="T2104" t="s">
        <v>396</v>
      </c>
      <c r="U2104" s="1" t="s">
        <v>2405</v>
      </c>
      <c r="X2104" t="s">
        <v>161</v>
      </c>
      <c r="Y2104" t="s">
        <v>2272</v>
      </c>
      <c r="Z2104" t="s">
        <v>2272</v>
      </c>
      <c r="AA2104" t="s">
        <v>2272</v>
      </c>
      <c r="AB2104" t="s">
        <v>2272</v>
      </c>
      <c r="AC2104" t="s">
        <v>162</v>
      </c>
      <c r="AD2104" t="s">
        <v>2272</v>
      </c>
      <c r="AF2104" t="s">
        <v>49</v>
      </c>
      <c r="AL2104" s="1" t="s">
        <v>49</v>
      </c>
      <c r="AM2104" t="s">
        <v>1278</v>
      </c>
      <c r="AN2104" t="s">
        <v>109</v>
      </c>
      <c r="AO2104" t="s">
        <v>449</v>
      </c>
      <c r="AP2104" t="s">
        <v>51</v>
      </c>
      <c r="AQ2104" s="5">
        <v>0</v>
      </c>
    </row>
    <row r="2105" spans="1:43" x14ac:dyDescent="0.2">
      <c r="A2105" t="s">
        <v>1266</v>
      </c>
      <c r="B2105" t="s">
        <v>1267</v>
      </c>
      <c r="C2105" s="1">
        <v>2017</v>
      </c>
      <c r="D2105" t="s">
        <v>811</v>
      </c>
      <c r="F2105" s="1" t="s">
        <v>82</v>
      </c>
      <c r="G2105" t="s">
        <v>86</v>
      </c>
      <c r="H2105" t="s">
        <v>350</v>
      </c>
      <c r="I2105">
        <v>2014</v>
      </c>
      <c r="J2105">
        <v>0.3</v>
      </c>
      <c r="K2105" t="s">
        <v>109</v>
      </c>
      <c r="L2105">
        <v>3</v>
      </c>
      <c r="N2105" t="s">
        <v>125</v>
      </c>
      <c r="O2105" t="s">
        <v>1271</v>
      </c>
      <c r="P2105" t="s">
        <v>1272</v>
      </c>
      <c r="Q2105" s="1" t="s">
        <v>2276</v>
      </c>
      <c r="R2105" s="1" t="s">
        <v>751</v>
      </c>
      <c r="S2105" s="1" t="s">
        <v>2345</v>
      </c>
      <c r="T2105" t="s">
        <v>396</v>
      </c>
      <c r="U2105" s="1" t="s">
        <v>2406</v>
      </c>
      <c r="X2105" t="s">
        <v>161</v>
      </c>
      <c r="Y2105" t="s">
        <v>2272</v>
      </c>
      <c r="Z2105" t="s">
        <v>2272</v>
      </c>
      <c r="AA2105" t="s">
        <v>2272</v>
      </c>
      <c r="AB2105" t="s">
        <v>2272</v>
      </c>
      <c r="AC2105" t="s">
        <v>162</v>
      </c>
      <c r="AD2105" t="s">
        <v>2272</v>
      </c>
      <c r="AF2105" t="s">
        <v>49</v>
      </c>
      <c r="AL2105" s="1" t="s">
        <v>49</v>
      </c>
      <c r="AM2105" t="s">
        <v>1278</v>
      </c>
      <c r="AN2105" t="s">
        <v>109</v>
      </c>
      <c r="AO2105" t="s">
        <v>449</v>
      </c>
      <c r="AP2105" t="s">
        <v>51</v>
      </c>
      <c r="AQ2105" s="5">
        <v>0</v>
      </c>
    </row>
    <row r="2106" spans="1:43" x14ac:dyDescent="0.2">
      <c r="A2106" t="s">
        <v>1266</v>
      </c>
      <c r="B2106" t="s">
        <v>1267</v>
      </c>
      <c r="C2106" s="1">
        <v>2017</v>
      </c>
      <c r="D2106" t="s">
        <v>811</v>
      </c>
      <c r="F2106" s="1" t="s">
        <v>82</v>
      </c>
      <c r="G2106" t="s">
        <v>86</v>
      </c>
      <c r="H2106" t="s">
        <v>350</v>
      </c>
      <c r="I2106">
        <v>2014</v>
      </c>
      <c r="J2106">
        <v>0.3</v>
      </c>
      <c r="K2106" t="s">
        <v>109</v>
      </c>
      <c r="L2106">
        <v>3</v>
      </c>
      <c r="N2106" t="s">
        <v>127</v>
      </c>
      <c r="O2106" t="s">
        <v>1268</v>
      </c>
      <c r="P2106" t="s">
        <v>1269</v>
      </c>
      <c r="Q2106" s="1" t="s">
        <v>2281</v>
      </c>
      <c r="R2106" s="1" t="s">
        <v>2282</v>
      </c>
      <c r="S2106" s="1" t="s">
        <v>2304</v>
      </c>
      <c r="T2106" t="s">
        <v>421</v>
      </c>
      <c r="U2106" t="s">
        <v>421</v>
      </c>
      <c r="X2106" t="s">
        <v>161</v>
      </c>
      <c r="Y2106" t="s">
        <v>2272</v>
      </c>
      <c r="Z2106" t="s">
        <v>2272</v>
      </c>
      <c r="AA2106" t="s">
        <v>2272</v>
      </c>
      <c r="AB2106" t="s">
        <v>2272</v>
      </c>
      <c r="AC2106" t="s">
        <v>162</v>
      </c>
      <c r="AD2106" t="s">
        <v>2272</v>
      </c>
      <c r="AF2106" t="s">
        <v>49</v>
      </c>
      <c r="AL2106" s="1" t="s">
        <v>49</v>
      </c>
      <c r="AM2106" t="s">
        <v>1278</v>
      </c>
      <c r="AN2106" t="s">
        <v>109</v>
      </c>
      <c r="AO2106" t="s">
        <v>449</v>
      </c>
      <c r="AP2106" t="s">
        <v>51</v>
      </c>
      <c r="AQ2106" s="3">
        <v>0</v>
      </c>
    </row>
    <row r="2107" spans="1:43" x14ac:dyDescent="0.2">
      <c r="A2107" t="s">
        <v>1266</v>
      </c>
      <c r="B2107" t="s">
        <v>1267</v>
      </c>
      <c r="C2107" s="1">
        <v>2017</v>
      </c>
      <c r="D2107" t="s">
        <v>811</v>
      </c>
      <c r="F2107" s="1" t="s">
        <v>82</v>
      </c>
      <c r="G2107" t="s">
        <v>86</v>
      </c>
      <c r="H2107" t="s">
        <v>350</v>
      </c>
      <c r="I2107">
        <v>2014</v>
      </c>
      <c r="J2107">
        <v>0.3</v>
      </c>
      <c r="K2107" t="s">
        <v>109</v>
      </c>
      <c r="L2107">
        <v>3</v>
      </c>
      <c r="N2107" t="s">
        <v>121</v>
      </c>
      <c r="O2107" t="s">
        <v>121</v>
      </c>
      <c r="P2107" t="s">
        <v>286</v>
      </c>
      <c r="Q2107" s="1" t="s">
        <v>2292</v>
      </c>
      <c r="R2107" s="1" t="s">
        <v>264</v>
      </c>
      <c r="S2107" s="1" t="s">
        <v>264</v>
      </c>
      <c r="T2107" t="s">
        <v>421</v>
      </c>
      <c r="U2107" t="s">
        <v>421</v>
      </c>
      <c r="X2107" t="s">
        <v>161</v>
      </c>
      <c r="Y2107" t="s">
        <v>2272</v>
      </c>
      <c r="Z2107" t="s">
        <v>2272</v>
      </c>
      <c r="AA2107" t="s">
        <v>2272</v>
      </c>
      <c r="AB2107" t="s">
        <v>2272</v>
      </c>
      <c r="AC2107" t="s">
        <v>162</v>
      </c>
      <c r="AD2107" t="s">
        <v>2272</v>
      </c>
      <c r="AF2107" t="s">
        <v>49</v>
      </c>
      <c r="AL2107" s="1" t="s">
        <v>49</v>
      </c>
      <c r="AM2107" t="s">
        <v>1278</v>
      </c>
      <c r="AN2107" t="s">
        <v>109</v>
      </c>
      <c r="AO2107" t="s">
        <v>449</v>
      </c>
      <c r="AP2107" t="s">
        <v>51</v>
      </c>
      <c r="AQ2107" s="3">
        <v>0</v>
      </c>
    </row>
    <row r="2108" spans="1:43" x14ac:dyDescent="0.2">
      <c r="A2108" t="s">
        <v>1266</v>
      </c>
      <c r="B2108" t="s">
        <v>1267</v>
      </c>
      <c r="C2108" s="1">
        <v>2017</v>
      </c>
      <c r="D2108" t="s">
        <v>811</v>
      </c>
      <c r="F2108" s="1" t="s">
        <v>82</v>
      </c>
      <c r="G2108" t="s">
        <v>86</v>
      </c>
      <c r="H2108" t="s">
        <v>350</v>
      </c>
      <c r="I2108">
        <v>2014</v>
      </c>
      <c r="J2108">
        <v>0.3</v>
      </c>
      <c r="K2108" t="s">
        <v>109</v>
      </c>
      <c r="L2108">
        <v>3</v>
      </c>
      <c r="N2108" t="s">
        <v>127</v>
      </c>
      <c r="O2108" t="s">
        <v>1270</v>
      </c>
      <c r="P2108" t="s">
        <v>2260</v>
      </c>
      <c r="Q2108" s="1" t="s">
        <v>2281</v>
      </c>
      <c r="R2108" s="1" t="s">
        <v>2301</v>
      </c>
      <c r="S2108" s="1" t="s">
        <v>2303</v>
      </c>
      <c r="T2108" t="s">
        <v>421</v>
      </c>
      <c r="U2108" t="s">
        <v>421</v>
      </c>
      <c r="X2108" t="s">
        <v>161</v>
      </c>
      <c r="Y2108" t="s">
        <v>2272</v>
      </c>
      <c r="Z2108" t="s">
        <v>2272</v>
      </c>
      <c r="AA2108" t="s">
        <v>2272</v>
      </c>
      <c r="AB2108" t="s">
        <v>2272</v>
      </c>
      <c r="AC2108" t="s">
        <v>162</v>
      </c>
      <c r="AD2108" t="s">
        <v>2272</v>
      </c>
      <c r="AF2108" t="s">
        <v>49</v>
      </c>
      <c r="AL2108" s="1" t="s">
        <v>49</v>
      </c>
      <c r="AM2108" t="s">
        <v>1278</v>
      </c>
      <c r="AN2108" t="s">
        <v>109</v>
      </c>
      <c r="AO2108" t="s">
        <v>449</v>
      </c>
      <c r="AP2108" t="s">
        <v>51</v>
      </c>
      <c r="AQ2108" s="3">
        <v>0</v>
      </c>
    </row>
    <row r="2109" spans="1:43" x14ac:dyDescent="0.2">
      <c r="A2109" t="s">
        <v>1266</v>
      </c>
      <c r="B2109" t="s">
        <v>1267</v>
      </c>
      <c r="C2109" s="1">
        <v>2017</v>
      </c>
      <c r="D2109" t="s">
        <v>811</v>
      </c>
      <c r="F2109" s="1" t="s">
        <v>82</v>
      </c>
      <c r="G2109" t="s">
        <v>86</v>
      </c>
      <c r="H2109" t="s">
        <v>350</v>
      </c>
      <c r="I2109">
        <v>2014</v>
      </c>
      <c r="J2109">
        <v>0.3</v>
      </c>
      <c r="K2109" t="s">
        <v>109</v>
      </c>
      <c r="L2109">
        <v>3</v>
      </c>
      <c r="N2109" t="s">
        <v>125</v>
      </c>
      <c r="O2109" t="s">
        <v>1271</v>
      </c>
      <c r="P2109" t="s">
        <v>1272</v>
      </c>
      <c r="Q2109" s="1" t="s">
        <v>2276</v>
      </c>
      <c r="R2109" s="1" t="s">
        <v>751</v>
      </c>
      <c r="S2109" s="1" t="s">
        <v>2345</v>
      </c>
      <c r="T2109" t="s">
        <v>421</v>
      </c>
      <c r="U2109" t="s">
        <v>421</v>
      </c>
      <c r="X2109" t="s">
        <v>161</v>
      </c>
      <c r="Y2109" t="s">
        <v>2272</v>
      </c>
      <c r="Z2109" t="s">
        <v>2272</v>
      </c>
      <c r="AA2109" t="s">
        <v>2272</v>
      </c>
      <c r="AB2109" t="s">
        <v>2272</v>
      </c>
      <c r="AC2109" t="s">
        <v>162</v>
      </c>
      <c r="AD2109" t="s">
        <v>2272</v>
      </c>
      <c r="AF2109" t="s">
        <v>49</v>
      </c>
      <c r="AL2109" s="1" t="s">
        <v>49</v>
      </c>
      <c r="AM2109" t="s">
        <v>1278</v>
      </c>
      <c r="AN2109" t="s">
        <v>109</v>
      </c>
      <c r="AO2109" t="s">
        <v>449</v>
      </c>
      <c r="AP2109" t="s">
        <v>51</v>
      </c>
      <c r="AQ2109" s="3">
        <v>0</v>
      </c>
    </row>
    <row r="2110" spans="1:43" x14ac:dyDescent="0.2">
      <c r="A2110" t="s">
        <v>1266</v>
      </c>
      <c r="B2110" t="s">
        <v>1267</v>
      </c>
      <c r="C2110" s="1">
        <v>2017</v>
      </c>
      <c r="D2110" t="s">
        <v>811</v>
      </c>
      <c r="F2110" s="1" t="s">
        <v>82</v>
      </c>
      <c r="G2110" t="s">
        <v>86</v>
      </c>
      <c r="H2110" t="s">
        <v>350</v>
      </c>
      <c r="I2110">
        <v>2014</v>
      </c>
      <c r="J2110">
        <v>0.3</v>
      </c>
      <c r="K2110" t="s">
        <v>109</v>
      </c>
      <c r="L2110">
        <v>3</v>
      </c>
      <c r="N2110" t="s">
        <v>127</v>
      </c>
      <c r="O2110" t="s">
        <v>1268</v>
      </c>
      <c r="P2110" t="s">
        <v>1269</v>
      </c>
      <c r="Q2110" s="1" t="s">
        <v>2281</v>
      </c>
      <c r="R2110" s="1" t="s">
        <v>2282</v>
      </c>
      <c r="S2110" s="1" t="s">
        <v>2304</v>
      </c>
      <c r="T2110" t="s">
        <v>396</v>
      </c>
      <c r="U2110" s="1" t="s">
        <v>2403</v>
      </c>
      <c r="X2110" t="s">
        <v>161</v>
      </c>
      <c r="Y2110" t="s">
        <v>2272</v>
      </c>
      <c r="Z2110" t="s">
        <v>2272</v>
      </c>
      <c r="AA2110" t="s">
        <v>2272</v>
      </c>
      <c r="AB2110" t="s">
        <v>2272</v>
      </c>
      <c r="AC2110" t="s">
        <v>162</v>
      </c>
      <c r="AD2110" t="s">
        <v>2272</v>
      </c>
      <c r="AF2110" t="s">
        <v>49</v>
      </c>
      <c r="AL2110" s="1" t="s">
        <v>49</v>
      </c>
      <c r="AM2110" t="s">
        <v>1278</v>
      </c>
      <c r="AN2110" t="s">
        <v>109</v>
      </c>
      <c r="AO2110" t="s">
        <v>226</v>
      </c>
      <c r="AQ2110" s="5">
        <v>1</v>
      </c>
    </row>
    <row r="2111" spans="1:43" x14ac:dyDescent="0.2">
      <c r="A2111" t="s">
        <v>1266</v>
      </c>
      <c r="B2111" t="s">
        <v>1267</v>
      </c>
      <c r="C2111" s="1">
        <v>2017</v>
      </c>
      <c r="D2111" t="s">
        <v>811</v>
      </c>
      <c r="F2111" s="1" t="s">
        <v>82</v>
      </c>
      <c r="G2111" t="s">
        <v>86</v>
      </c>
      <c r="H2111" t="s">
        <v>350</v>
      </c>
      <c r="I2111">
        <v>2014</v>
      </c>
      <c r="J2111">
        <v>0.3</v>
      </c>
      <c r="K2111" t="s">
        <v>109</v>
      </c>
      <c r="L2111">
        <v>3</v>
      </c>
      <c r="N2111" t="s">
        <v>121</v>
      </c>
      <c r="O2111" t="s">
        <v>121</v>
      </c>
      <c r="P2111" t="s">
        <v>286</v>
      </c>
      <c r="Q2111" s="1" t="s">
        <v>2292</v>
      </c>
      <c r="R2111" s="1" t="s">
        <v>264</v>
      </c>
      <c r="S2111" s="1" t="s">
        <v>264</v>
      </c>
      <c r="T2111" t="s">
        <v>396</v>
      </c>
      <c r="U2111" s="1" t="s">
        <v>2404</v>
      </c>
      <c r="X2111" t="s">
        <v>161</v>
      </c>
      <c r="Y2111" t="s">
        <v>2272</v>
      </c>
      <c r="Z2111" t="s">
        <v>2272</v>
      </c>
      <c r="AA2111" t="s">
        <v>2272</v>
      </c>
      <c r="AB2111" t="s">
        <v>2272</v>
      </c>
      <c r="AC2111" t="s">
        <v>162</v>
      </c>
      <c r="AD2111" t="s">
        <v>2272</v>
      </c>
      <c r="AF2111" t="s">
        <v>49</v>
      </c>
      <c r="AL2111" s="1" t="s">
        <v>49</v>
      </c>
      <c r="AM2111" t="s">
        <v>1278</v>
      </c>
      <c r="AN2111" t="s">
        <v>109</v>
      </c>
      <c r="AO2111" t="s">
        <v>226</v>
      </c>
      <c r="AQ2111" s="5">
        <v>2</v>
      </c>
    </row>
    <row r="2112" spans="1:43" x14ac:dyDescent="0.2">
      <c r="A2112" t="s">
        <v>1266</v>
      </c>
      <c r="B2112" t="s">
        <v>1267</v>
      </c>
      <c r="C2112" s="1">
        <v>2017</v>
      </c>
      <c r="D2112" t="s">
        <v>811</v>
      </c>
      <c r="F2112" s="1" t="s">
        <v>82</v>
      </c>
      <c r="G2112" t="s">
        <v>86</v>
      </c>
      <c r="H2112" t="s">
        <v>350</v>
      </c>
      <c r="I2112">
        <v>2014</v>
      </c>
      <c r="J2112">
        <v>0.3</v>
      </c>
      <c r="K2112" t="s">
        <v>109</v>
      </c>
      <c r="L2112">
        <v>3</v>
      </c>
      <c r="N2112" t="s">
        <v>127</v>
      </c>
      <c r="O2112" t="s">
        <v>1270</v>
      </c>
      <c r="P2112" t="s">
        <v>2260</v>
      </c>
      <c r="Q2112" s="1" t="s">
        <v>2281</v>
      </c>
      <c r="R2112" s="1" t="s">
        <v>2301</v>
      </c>
      <c r="S2112" s="1" t="s">
        <v>2303</v>
      </c>
      <c r="T2112" t="s">
        <v>396</v>
      </c>
      <c r="U2112" s="1" t="s">
        <v>2405</v>
      </c>
      <c r="X2112" t="s">
        <v>161</v>
      </c>
      <c r="Y2112" t="s">
        <v>2272</v>
      </c>
      <c r="Z2112" t="s">
        <v>2272</v>
      </c>
      <c r="AA2112" t="s">
        <v>2272</v>
      </c>
      <c r="AB2112" t="s">
        <v>2272</v>
      </c>
      <c r="AC2112" t="s">
        <v>162</v>
      </c>
      <c r="AD2112" t="s">
        <v>2272</v>
      </c>
      <c r="AF2112" t="s">
        <v>49</v>
      </c>
      <c r="AL2112" s="1" t="s">
        <v>49</v>
      </c>
      <c r="AM2112" t="s">
        <v>1278</v>
      </c>
      <c r="AN2112" t="s">
        <v>109</v>
      </c>
      <c r="AO2112" t="s">
        <v>226</v>
      </c>
      <c r="AQ2112" s="5">
        <v>1</v>
      </c>
    </row>
    <row r="2113" spans="1:43" x14ac:dyDescent="0.2">
      <c r="A2113" t="s">
        <v>1266</v>
      </c>
      <c r="B2113" t="s">
        <v>1267</v>
      </c>
      <c r="C2113" s="1">
        <v>2017</v>
      </c>
      <c r="D2113" t="s">
        <v>811</v>
      </c>
      <c r="F2113" s="1" t="s">
        <v>82</v>
      </c>
      <c r="G2113" t="s">
        <v>86</v>
      </c>
      <c r="H2113" t="s">
        <v>350</v>
      </c>
      <c r="I2113">
        <v>2014</v>
      </c>
      <c r="J2113">
        <v>0.3</v>
      </c>
      <c r="K2113" t="s">
        <v>109</v>
      </c>
      <c r="L2113">
        <v>3</v>
      </c>
      <c r="N2113" t="s">
        <v>125</v>
      </c>
      <c r="O2113" t="s">
        <v>1271</v>
      </c>
      <c r="P2113" t="s">
        <v>1272</v>
      </c>
      <c r="Q2113" s="1" t="s">
        <v>2276</v>
      </c>
      <c r="R2113" s="1" t="s">
        <v>751</v>
      </c>
      <c r="S2113" s="1" t="s">
        <v>2345</v>
      </c>
      <c r="T2113" t="s">
        <v>396</v>
      </c>
      <c r="U2113" s="1" t="s">
        <v>2406</v>
      </c>
      <c r="X2113" t="s">
        <v>161</v>
      </c>
      <c r="Y2113" t="s">
        <v>2272</v>
      </c>
      <c r="Z2113" t="s">
        <v>2272</v>
      </c>
      <c r="AA2113" t="s">
        <v>2272</v>
      </c>
      <c r="AB2113" t="s">
        <v>2272</v>
      </c>
      <c r="AC2113" t="s">
        <v>162</v>
      </c>
      <c r="AD2113" t="s">
        <v>2272</v>
      </c>
      <c r="AF2113" t="s">
        <v>49</v>
      </c>
      <c r="AL2113" s="1" t="s">
        <v>49</v>
      </c>
      <c r="AM2113" t="s">
        <v>1278</v>
      </c>
      <c r="AN2113" t="s">
        <v>109</v>
      </c>
      <c r="AO2113" t="s">
        <v>226</v>
      </c>
      <c r="AQ2113" s="5">
        <v>1</v>
      </c>
    </row>
    <row r="2114" spans="1:43" x14ac:dyDescent="0.2">
      <c r="A2114" t="s">
        <v>1266</v>
      </c>
      <c r="B2114" t="s">
        <v>1267</v>
      </c>
      <c r="C2114" s="1">
        <v>2017</v>
      </c>
      <c r="D2114" t="s">
        <v>811</v>
      </c>
      <c r="F2114" s="1" t="s">
        <v>82</v>
      </c>
      <c r="G2114" t="s">
        <v>86</v>
      </c>
      <c r="H2114" t="s">
        <v>350</v>
      </c>
      <c r="I2114">
        <v>2014</v>
      </c>
      <c r="J2114">
        <v>0.3</v>
      </c>
      <c r="K2114" t="s">
        <v>109</v>
      </c>
      <c r="L2114">
        <v>3</v>
      </c>
      <c r="N2114" t="s">
        <v>127</v>
      </c>
      <c r="O2114" t="s">
        <v>1268</v>
      </c>
      <c r="P2114" t="s">
        <v>1269</v>
      </c>
      <c r="Q2114" s="1" t="s">
        <v>2281</v>
      </c>
      <c r="R2114" s="1" t="s">
        <v>2282</v>
      </c>
      <c r="S2114" s="1" t="s">
        <v>2304</v>
      </c>
      <c r="T2114" t="s">
        <v>421</v>
      </c>
      <c r="U2114" t="s">
        <v>421</v>
      </c>
      <c r="X2114" t="s">
        <v>161</v>
      </c>
      <c r="Y2114" t="s">
        <v>2272</v>
      </c>
      <c r="Z2114" t="s">
        <v>2272</v>
      </c>
      <c r="AA2114" t="s">
        <v>2272</v>
      </c>
      <c r="AB2114" t="s">
        <v>2272</v>
      </c>
      <c r="AC2114" t="s">
        <v>162</v>
      </c>
      <c r="AD2114" t="s">
        <v>2272</v>
      </c>
      <c r="AF2114" t="s">
        <v>49</v>
      </c>
      <c r="AL2114" s="1" t="s">
        <v>49</v>
      </c>
      <c r="AM2114" t="s">
        <v>1278</v>
      </c>
      <c r="AN2114" t="s">
        <v>109</v>
      </c>
      <c r="AO2114" t="s">
        <v>226</v>
      </c>
      <c r="AP2114" t="s">
        <v>51</v>
      </c>
      <c r="AQ2114" s="3">
        <v>2</v>
      </c>
    </row>
    <row r="2115" spans="1:43" x14ac:dyDescent="0.2">
      <c r="A2115" t="s">
        <v>1266</v>
      </c>
      <c r="B2115" t="s">
        <v>1267</v>
      </c>
      <c r="C2115" s="1">
        <v>2017</v>
      </c>
      <c r="D2115" t="s">
        <v>811</v>
      </c>
      <c r="F2115" s="1" t="s">
        <v>82</v>
      </c>
      <c r="G2115" t="s">
        <v>86</v>
      </c>
      <c r="H2115" t="s">
        <v>350</v>
      </c>
      <c r="I2115">
        <v>2014</v>
      </c>
      <c r="J2115">
        <v>0.3</v>
      </c>
      <c r="K2115" t="s">
        <v>109</v>
      </c>
      <c r="L2115">
        <v>3</v>
      </c>
      <c r="N2115" t="s">
        <v>121</v>
      </c>
      <c r="O2115" t="s">
        <v>121</v>
      </c>
      <c r="P2115" t="s">
        <v>286</v>
      </c>
      <c r="Q2115" s="1" t="s">
        <v>2292</v>
      </c>
      <c r="R2115" s="1" t="s">
        <v>264</v>
      </c>
      <c r="S2115" s="1" t="s">
        <v>264</v>
      </c>
      <c r="T2115" t="s">
        <v>421</v>
      </c>
      <c r="U2115" t="s">
        <v>421</v>
      </c>
      <c r="X2115" t="s">
        <v>161</v>
      </c>
      <c r="Y2115" t="s">
        <v>2272</v>
      </c>
      <c r="Z2115" t="s">
        <v>2272</v>
      </c>
      <c r="AA2115" t="s">
        <v>2272</v>
      </c>
      <c r="AB2115" t="s">
        <v>2272</v>
      </c>
      <c r="AC2115" t="s">
        <v>162</v>
      </c>
      <c r="AD2115" t="s">
        <v>2272</v>
      </c>
      <c r="AF2115" t="s">
        <v>49</v>
      </c>
      <c r="AL2115" s="1" t="s">
        <v>49</v>
      </c>
      <c r="AM2115" t="s">
        <v>1278</v>
      </c>
      <c r="AN2115" t="s">
        <v>109</v>
      </c>
      <c r="AO2115" t="s">
        <v>226</v>
      </c>
      <c r="AP2115" t="s">
        <v>173</v>
      </c>
      <c r="AQ2115" s="3">
        <v>2</v>
      </c>
    </row>
    <row r="2116" spans="1:43" x14ac:dyDescent="0.2">
      <c r="A2116" t="s">
        <v>1266</v>
      </c>
      <c r="B2116" t="s">
        <v>1267</v>
      </c>
      <c r="C2116" s="1">
        <v>2017</v>
      </c>
      <c r="D2116" t="s">
        <v>811</v>
      </c>
      <c r="F2116" s="1" t="s">
        <v>82</v>
      </c>
      <c r="G2116" t="s">
        <v>86</v>
      </c>
      <c r="H2116" t="s">
        <v>350</v>
      </c>
      <c r="I2116">
        <v>2014</v>
      </c>
      <c r="J2116">
        <v>0.3</v>
      </c>
      <c r="K2116" t="s">
        <v>109</v>
      </c>
      <c r="L2116">
        <v>3</v>
      </c>
      <c r="N2116" t="s">
        <v>127</v>
      </c>
      <c r="O2116" t="s">
        <v>1270</v>
      </c>
      <c r="P2116" t="s">
        <v>2260</v>
      </c>
      <c r="Q2116" s="1" t="s">
        <v>2281</v>
      </c>
      <c r="R2116" s="1" t="s">
        <v>2301</v>
      </c>
      <c r="S2116" s="1" t="s">
        <v>2303</v>
      </c>
      <c r="T2116" t="s">
        <v>421</v>
      </c>
      <c r="U2116" t="s">
        <v>421</v>
      </c>
      <c r="X2116" t="s">
        <v>161</v>
      </c>
      <c r="Y2116" t="s">
        <v>2272</v>
      </c>
      <c r="Z2116" t="s">
        <v>2272</v>
      </c>
      <c r="AA2116" t="s">
        <v>2272</v>
      </c>
      <c r="AB2116" t="s">
        <v>2272</v>
      </c>
      <c r="AC2116" t="s">
        <v>162</v>
      </c>
      <c r="AD2116" t="s">
        <v>2272</v>
      </c>
      <c r="AF2116" t="s">
        <v>49</v>
      </c>
      <c r="AL2116" s="1" t="s">
        <v>49</v>
      </c>
      <c r="AM2116" t="s">
        <v>1278</v>
      </c>
      <c r="AN2116" t="s">
        <v>109</v>
      </c>
      <c r="AO2116" t="s">
        <v>226</v>
      </c>
      <c r="AP2116" t="s">
        <v>51</v>
      </c>
      <c r="AQ2116" s="3">
        <v>2</v>
      </c>
    </row>
    <row r="2117" spans="1:43" x14ac:dyDescent="0.2">
      <c r="A2117" t="s">
        <v>1266</v>
      </c>
      <c r="B2117" t="s">
        <v>1267</v>
      </c>
      <c r="C2117" s="1">
        <v>2017</v>
      </c>
      <c r="D2117" t="s">
        <v>811</v>
      </c>
      <c r="F2117" s="1" t="s">
        <v>82</v>
      </c>
      <c r="G2117" t="s">
        <v>86</v>
      </c>
      <c r="H2117" t="s">
        <v>350</v>
      </c>
      <c r="I2117">
        <v>2014</v>
      </c>
      <c r="J2117">
        <v>0.3</v>
      </c>
      <c r="K2117" t="s">
        <v>109</v>
      </c>
      <c r="L2117">
        <v>3</v>
      </c>
      <c r="N2117" t="s">
        <v>125</v>
      </c>
      <c r="O2117" t="s">
        <v>1271</v>
      </c>
      <c r="P2117" t="s">
        <v>1272</v>
      </c>
      <c r="Q2117" s="1" t="s">
        <v>2276</v>
      </c>
      <c r="R2117" s="1" t="s">
        <v>751</v>
      </c>
      <c r="S2117" s="1" t="s">
        <v>2345</v>
      </c>
      <c r="T2117" t="s">
        <v>421</v>
      </c>
      <c r="U2117" t="s">
        <v>421</v>
      </c>
      <c r="X2117" t="s">
        <v>161</v>
      </c>
      <c r="Y2117" t="s">
        <v>2272</v>
      </c>
      <c r="Z2117" t="s">
        <v>2272</v>
      </c>
      <c r="AA2117" t="s">
        <v>2272</v>
      </c>
      <c r="AB2117" t="s">
        <v>2272</v>
      </c>
      <c r="AC2117" t="s">
        <v>162</v>
      </c>
      <c r="AD2117" t="s">
        <v>2272</v>
      </c>
      <c r="AF2117" t="s">
        <v>49</v>
      </c>
      <c r="AL2117" s="1" t="s">
        <v>49</v>
      </c>
      <c r="AM2117" t="s">
        <v>1278</v>
      </c>
      <c r="AN2117" t="s">
        <v>109</v>
      </c>
      <c r="AO2117" t="s">
        <v>226</v>
      </c>
      <c r="AP2117" t="s">
        <v>51</v>
      </c>
      <c r="AQ2117" s="3">
        <v>2</v>
      </c>
    </row>
    <row r="2118" spans="1:43" x14ac:dyDescent="0.2">
      <c r="A2118" t="s">
        <v>1266</v>
      </c>
      <c r="B2118" t="s">
        <v>1267</v>
      </c>
      <c r="C2118" s="1">
        <v>2017</v>
      </c>
      <c r="D2118" t="s">
        <v>811</v>
      </c>
      <c r="F2118" s="1" t="s">
        <v>82</v>
      </c>
      <c r="G2118" t="s">
        <v>86</v>
      </c>
      <c r="H2118" t="s">
        <v>350</v>
      </c>
      <c r="I2118">
        <v>2014</v>
      </c>
      <c r="J2118">
        <v>0.3</v>
      </c>
      <c r="K2118" t="s">
        <v>109</v>
      </c>
      <c r="L2118">
        <v>3</v>
      </c>
      <c r="N2118" t="s">
        <v>127</v>
      </c>
      <c r="O2118" t="s">
        <v>1268</v>
      </c>
      <c r="P2118" t="s">
        <v>1269</v>
      </c>
      <c r="Q2118" s="1" t="s">
        <v>2281</v>
      </c>
      <c r="R2118" s="1" t="s">
        <v>2282</v>
      </c>
      <c r="S2118" s="1" t="s">
        <v>2304</v>
      </c>
      <c r="T2118" t="s">
        <v>396</v>
      </c>
      <c r="U2118" s="1" t="s">
        <v>2403</v>
      </c>
      <c r="X2118" t="s">
        <v>161</v>
      </c>
      <c r="Y2118" t="s">
        <v>2272</v>
      </c>
      <c r="Z2118" t="s">
        <v>2272</v>
      </c>
      <c r="AA2118" t="s">
        <v>2272</v>
      </c>
      <c r="AB2118" t="s">
        <v>2272</v>
      </c>
      <c r="AC2118" t="s">
        <v>162</v>
      </c>
      <c r="AD2118" t="s">
        <v>2272</v>
      </c>
      <c r="AF2118" t="s">
        <v>49</v>
      </c>
      <c r="AL2118" s="1" t="s">
        <v>49</v>
      </c>
      <c r="AM2118" t="s">
        <v>1278</v>
      </c>
      <c r="AN2118" t="s">
        <v>109</v>
      </c>
      <c r="AO2118" t="s">
        <v>1279</v>
      </c>
      <c r="AQ2118" s="5">
        <v>1</v>
      </c>
    </row>
    <row r="2119" spans="1:43" x14ac:dyDescent="0.2">
      <c r="A2119" t="s">
        <v>1266</v>
      </c>
      <c r="B2119" t="s">
        <v>1267</v>
      </c>
      <c r="C2119" s="1">
        <v>2017</v>
      </c>
      <c r="D2119" t="s">
        <v>811</v>
      </c>
      <c r="F2119" s="1" t="s">
        <v>82</v>
      </c>
      <c r="G2119" t="s">
        <v>86</v>
      </c>
      <c r="H2119" t="s">
        <v>350</v>
      </c>
      <c r="I2119">
        <v>2014</v>
      </c>
      <c r="J2119">
        <v>0.3</v>
      </c>
      <c r="K2119" t="s">
        <v>109</v>
      </c>
      <c r="L2119">
        <v>3</v>
      </c>
      <c r="N2119" t="s">
        <v>121</v>
      </c>
      <c r="O2119" t="s">
        <v>121</v>
      </c>
      <c r="P2119" t="s">
        <v>286</v>
      </c>
      <c r="Q2119" s="1" t="s">
        <v>2292</v>
      </c>
      <c r="R2119" s="1" t="s">
        <v>264</v>
      </c>
      <c r="S2119" s="1" t="s">
        <v>264</v>
      </c>
      <c r="T2119" t="s">
        <v>396</v>
      </c>
      <c r="U2119" s="1" t="s">
        <v>2404</v>
      </c>
      <c r="X2119" t="s">
        <v>161</v>
      </c>
      <c r="Y2119" t="s">
        <v>2272</v>
      </c>
      <c r="Z2119" t="s">
        <v>2272</v>
      </c>
      <c r="AA2119" t="s">
        <v>2272</v>
      </c>
      <c r="AB2119" t="s">
        <v>2272</v>
      </c>
      <c r="AC2119" t="s">
        <v>162</v>
      </c>
      <c r="AD2119" t="s">
        <v>2272</v>
      </c>
      <c r="AF2119" t="s">
        <v>49</v>
      </c>
      <c r="AL2119" s="1" t="s">
        <v>49</v>
      </c>
      <c r="AM2119" t="s">
        <v>1278</v>
      </c>
      <c r="AN2119" t="s">
        <v>109</v>
      </c>
      <c r="AO2119" t="s">
        <v>1279</v>
      </c>
      <c r="AQ2119" s="5">
        <v>2</v>
      </c>
    </row>
    <row r="2120" spans="1:43" x14ac:dyDescent="0.2">
      <c r="A2120" t="s">
        <v>1266</v>
      </c>
      <c r="B2120" t="s">
        <v>1267</v>
      </c>
      <c r="C2120" s="1">
        <v>2017</v>
      </c>
      <c r="D2120" t="s">
        <v>811</v>
      </c>
      <c r="F2120" s="1" t="s">
        <v>82</v>
      </c>
      <c r="G2120" t="s">
        <v>86</v>
      </c>
      <c r="H2120" t="s">
        <v>350</v>
      </c>
      <c r="I2120">
        <v>2014</v>
      </c>
      <c r="J2120">
        <v>0.3</v>
      </c>
      <c r="K2120" t="s">
        <v>109</v>
      </c>
      <c r="L2120">
        <v>3</v>
      </c>
      <c r="N2120" t="s">
        <v>127</v>
      </c>
      <c r="O2120" t="s">
        <v>1270</v>
      </c>
      <c r="P2120" t="s">
        <v>2260</v>
      </c>
      <c r="Q2120" s="1" t="s">
        <v>2281</v>
      </c>
      <c r="R2120" s="1" t="s">
        <v>2301</v>
      </c>
      <c r="S2120" s="1" t="s">
        <v>2303</v>
      </c>
      <c r="T2120" t="s">
        <v>396</v>
      </c>
      <c r="U2120" s="1" t="s">
        <v>2405</v>
      </c>
      <c r="X2120" t="s">
        <v>161</v>
      </c>
      <c r="Y2120" t="s">
        <v>2272</v>
      </c>
      <c r="Z2120" t="s">
        <v>2272</v>
      </c>
      <c r="AA2120" t="s">
        <v>2272</v>
      </c>
      <c r="AB2120" t="s">
        <v>2272</v>
      </c>
      <c r="AC2120" t="s">
        <v>162</v>
      </c>
      <c r="AD2120" t="s">
        <v>2272</v>
      </c>
      <c r="AF2120" t="s">
        <v>49</v>
      </c>
      <c r="AL2120" s="1" t="s">
        <v>49</v>
      </c>
      <c r="AM2120" t="s">
        <v>1278</v>
      </c>
      <c r="AN2120" t="s">
        <v>109</v>
      </c>
      <c r="AO2120" t="s">
        <v>1279</v>
      </c>
      <c r="AQ2120" s="5">
        <v>2</v>
      </c>
    </row>
    <row r="2121" spans="1:43" x14ac:dyDescent="0.2">
      <c r="A2121" t="s">
        <v>1266</v>
      </c>
      <c r="B2121" t="s">
        <v>1267</v>
      </c>
      <c r="C2121" s="1">
        <v>2017</v>
      </c>
      <c r="D2121" t="s">
        <v>811</v>
      </c>
      <c r="F2121" s="1" t="s">
        <v>82</v>
      </c>
      <c r="G2121" t="s">
        <v>86</v>
      </c>
      <c r="H2121" t="s">
        <v>350</v>
      </c>
      <c r="I2121">
        <v>2014</v>
      </c>
      <c r="J2121">
        <v>0.3</v>
      </c>
      <c r="K2121" t="s">
        <v>109</v>
      </c>
      <c r="L2121">
        <v>3</v>
      </c>
      <c r="N2121" t="s">
        <v>125</v>
      </c>
      <c r="O2121" t="s">
        <v>1271</v>
      </c>
      <c r="P2121" t="s">
        <v>1272</v>
      </c>
      <c r="Q2121" s="1" t="s">
        <v>2276</v>
      </c>
      <c r="R2121" s="1" t="s">
        <v>751</v>
      </c>
      <c r="S2121" s="1" t="s">
        <v>2345</v>
      </c>
      <c r="T2121" t="s">
        <v>396</v>
      </c>
      <c r="U2121" s="1" t="s">
        <v>2406</v>
      </c>
      <c r="X2121" t="s">
        <v>161</v>
      </c>
      <c r="Y2121" t="s">
        <v>2272</v>
      </c>
      <c r="Z2121" t="s">
        <v>2272</v>
      </c>
      <c r="AA2121" t="s">
        <v>2272</v>
      </c>
      <c r="AB2121" t="s">
        <v>2272</v>
      </c>
      <c r="AC2121" t="s">
        <v>162</v>
      </c>
      <c r="AD2121" t="s">
        <v>2272</v>
      </c>
      <c r="AF2121" t="s">
        <v>49</v>
      </c>
      <c r="AL2121" s="1" t="s">
        <v>49</v>
      </c>
      <c r="AM2121" t="s">
        <v>1278</v>
      </c>
      <c r="AN2121" t="s">
        <v>109</v>
      </c>
      <c r="AO2121" t="s">
        <v>1279</v>
      </c>
      <c r="AQ2121" s="5">
        <v>3</v>
      </c>
    </row>
    <row r="2122" spans="1:43" x14ac:dyDescent="0.2">
      <c r="A2122" t="s">
        <v>1266</v>
      </c>
      <c r="B2122" t="s">
        <v>1267</v>
      </c>
      <c r="C2122" s="1">
        <v>2017</v>
      </c>
      <c r="D2122" t="s">
        <v>811</v>
      </c>
      <c r="F2122" s="1" t="s">
        <v>82</v>
      </c>
      <c r="G2122" t="s">
        <v>86</v>
      </c>
      <c r="H2122" t="s">
        <v>350</v>
      </c>
      <c r="I2122">
        <v>2014</v>
      </c>
      <c r="J2122">
        <v>0.3</v>
      </c>
      <c r="K2122" t="s">
        <v>109</v>
      </c>
      <c r="L2122">
        <v>3</v>
      </c>
      <c r="N2122" t="s">
        <v>127</v>
      </c>
      <c r="O2122" t="s">
        <v>1268</v>
      </c>
      <c r="P2122" t="s">
        <v>1269</v>
      </c>
      <c r="Q2122" s="1" t="s">
        <v>2281</v>
      </c>
      <c r="R2122" s="1" t="s">
        <v>2282</v>
      </c>
      <c r="S2122" s="1" t="s">
        <v>2304</v>
      </c>
      <c r="T2122" t="s">
        <v>421</v>
      </c>
      <c r="U2122" t="s">
        <v>421</v>
      </c>
      <c r="X2122" t="s">
        <v>161</v>
      </c>
      <c r="Y2122" t="s">
        <v>2272</v>
      </c>
      <c r="Z2122" t="s">
        <v>2272</v>
      </c>
      <c r="AA2122" t="s">
        <v>2272</v>
      </c>
      <c r="AB2122" t="s">
        <v>2272</v>
      </c>
      <c r="AC2122" t="s">
        <v>162</v>
      </c>
      <c r="AD2122" t="s">
        <v>2272</v>
      </c>
      <c r="AF2122" t="s">
        <v>49</v>
      </c>
      <c r="AL2122" s="1" t="s">
        <v>49</v>
      </c>
      <c r="AM2122" t="s">
        <v>1278</v>
      </c>
      <c r="AN2122" t="s">
        <v>109</v>
      </c>
      <c r="AO2122" t="s">
        <v>1279</v>
      </c>
      <c r="AP2122" t="s">
        <v>157</v>
      </c>
      <c r="AQ2122" s="5">
        <v>1</v>
      </c>
    </row>
    <row r="2123" spans="1:43" x14ac:dyDescent="0.2">
      <c r="A2123" t="s">
        <v>1266</v>
      </c>
      <c r="B2123" t="s">
        <v>1267</v>
      </c>
      <c r="C2123" s="1">
        <v>2017</v>
      </c>
      <c r="D2123" t="s">
        <v>811</v>
      </c>
      <c r="F2123" s="1" t="s">
        <v>82</v>
      </c>
      <c r="G2123" t="s">
        <v>86</v>
      </c>
      <c r="H2123" t="s">
        <v>350</v>
      </c>
      <c r="I2123">
        <v>2014</v>
      </c>
      <c r="J2123">
        <v>0.3</v>
      </c>
      <c r="K2123" t="s">
        <v>109</v>
      </c>
      <c r="L2123">
        <v>3</v>
      </c>
      <c r="N2123" t="s">
        <v>121</v>
      </c>
      <c r="O2123" t="s">
        <v>121</v>
      </c>
      <c r="P2123" t="s">
        <v>286</v>
      </c>
      <c r="Q2123" s="1" t="s">
        <v>2292</v>
      </c>
      <c r="R2123" s="1" t="s">
        <v>264</v>
      </c>
      <c r="S2123" s="1" t="s">
        <v>264</v>
      </c>
      <c r="T2123" t="s">
        <v>421</v>
      </c>
      <c r="U2123" t="s">
        <v>421</v>
      </c>
      <c r="X2123" t="s">
        <v>161</v>
      </c>
      <c r="Y2123" t="s">
        <v>2272</v>
      </c>
      <c r="Z2123" t="s">
        <v>2272</v>
      </c>
      <c r="AA2123" t="s">
        <v>2272</v>
      </c>
      <c r="AB2123" t="s">
        <v>2272</v>
      </c>
      <c r="AC2123" t="s">
        <v>162</v>
      </c>
      <c r="AD2123" t="s">
        <v>2272</v>
      </c>
      <c r="AF2123" t="s">
        <v>49</v>
      </c>
      <c r="AL2123" s="1" t="s">
        <v>49</v>
      </c>
      <c r="AM2123" t="s">
        <v>1278</v>
      </c>
      <c r="AN2123" t="s">
        <v>109</v>
      </c>
      <c r="AO2123" t="s">
        <v>1279</v>
      </c>
      <c r="AP2123" t="s">
        <v>157</v>
      </c>
      <c r="AQ2123" s="5">
        <v>1</v>
      </c>
    </row>
    <row r="2124" spans="1:43" x14ac:dyDescent="0.2">
      <c r="A2124" t="s">
        <v>1266</v>
      </c>
      <c r="B2124" t="s">
        <v>1267</v>
      </c>
      <c r="C2124" s="1">
        <v>2017</v>
      </c>
      <c r="D2124" t="s">
        <v>811</v>
      </c>
      <c r="F2124" s="1" t="s">
        <v>82</v>
      </c>
      <c r="G2124" t="s">
        <v>86</v>
      </c>
      <c r="H2124" t="s">
        <v>350</v>
      </c>
      <c r="I2124">
        <v>2014</v>
      </c>
      <c r="J2124">
        <v>0.3</v>
      </c>
      <c r="K2124" t="s">
        <v>109</v>
      </c>
      <c r="L2124">
        <v>3</v>
      </c>
      <c r="N2124" t="s">
        <v>127</v>
      </c>
      <c r="O2124" t="s">
        <v>1270</v>
      </c>
      <c r="P2124" t="s">
        <v>2260</v>
      </c>
      <c r="Q2124" s="1" t="s">
        <v>2281</v>
      </c>
      <c r="R2124" s="1" t="s">
        <v>2301</v>
      </c>
      <c r="S2124" s="1" t="s">
        <v>2303</v>
      </c>
      <c r="T2124" t="s">
        <v>421</v>
      </c>
      <c r="U2124" t="s">
        <v>421</v>
      </c>
      <c r="X2124" t="s">
        <v>161</v>
      </c>
      <c r="Y2124" t="s">
        <v>2272</v>
      </c>
      <c r="Z2124" t="s">
        <v>2272</v>
      </c>
      <c r="AA2124" t="s">
        <v>2272</v>
      </c>
      <c r="AB2124" t="s">
        <v>2272</v>
      </c>
      <c r="AC2124" t="s">
        <v>162</v>
      </c>
      <c r="AD2124" t="s">
        <v>2272</v>
      </c>
      <c r="AF2124" t="s">
        <v>49</v>
      </c>
      <c r="AL2124" s="1" t="s">
        <v>49</v>
      </c>
      <c r="AM2124" t="s">
        <v>1278</v>
      </c>
      <c r="AN2124" t="s">
        <v>109</v>
      </c>
      <c r="AO2124" t="s">
        <v>1279</v>
      </c>
      <c r="AP2124" t="s">
        <v>157</v>
      </c>
      <c r="AQ2124" s="5">
        <v>1</v>
      </c>
    </row>
    <row r="2125" spans="1:43" x14ac:dyDescent="0.2">
      <c r="A2125" t="s">
        <v>1266</v>
      </c>
      <c r="B2125" t="s">
        <v>1267</v>
      </c>
      <c r="C2125" s="1">
        <v>2017</v>
      </c>
      <c r="D2125" t="s">
        <v>811</v>
      </c>
      <c r="F2125" s="1" t="s">
        <v>82</v>
      </c>
      <c r="G2125" t="s">
        <v>86</v>
      </c>
      <c r="H2125" t="s">
        <v>350</v>
      </c>
      <c r="I2125">
        <v>2014</v>
      </c>
      <c r="J2125">
        <v>0.3</v>
      </c>
      <c r="K2125" t="s">
        <v>109</v>
      </c>
      <c r="L2125">
        <v>3</v>
      </c>
      <c r="N2125" t="s">
        <v>125</v>
      </c>
      <c r="O2125" t="s">
        <v>1271</v>
      </c>
      <c r="P2125" t="s">
        <v>1272</v>
      </c>
      <c r="Q2125" s="1" t="s">
        <v>2276</v>
      </c>
      <c r="R2125" s="1" t="s">
        <v>751</v>
      </c>
      <c r="S2125" s="1" t="s">
        <v>2345</v>
      </c>
      <c r="T2125" t="s">
        <v>421</v>
      </c>
      <c r="U2125" t="s">
        <v>421</v>
      </c>
      <c r="X2125" t="s">
        <v>161</v>
      </c>
      <c r="Y2125" t="s">
        <v>2272</v>
      </c>
      <c r="Z2125" t="s">
        <v>2272</v>
      </c>
      <c r="AA2125" t="s">
        <v>2272</v>
      </c>
      <c r="AB2125" t="s">
        <v>2272</v>
      </c>
      <c r="AC2125" t="s">
        <v>162</v>
      </c>
      <c r="AD2125" t="s">
        <v>2272</v>
      </c>
      <c r="AF2125" t="s">
        <v>49</v>
      </c>
      <c r="AL2125" s="1" t="s">
        <v>49</v>
      </c>
      <c r="AM2125" t="s">
        <v>1278</v>
      </c>
      <c r="AN2125" t="s">
        <v>109</v>
      </c>
      <c r="AO2125" t="s">
        <v>1279</v>
      </c>
      <c r="AP2125" t="s">
        <v>51</v>
      </c>
      <c r="AQ2125" s="5">
        <v>0</v>
      </c>
    </row>
    <row r="2126" spans="1:43" x14ac:dyDescent="0.2">
      <c r="A2126" t="s">
        <v>1266</v>
      </c>
      <c r="B2126" t="s">
        <v>1267</v>
      </c>
      <c r="C2126" s="1">
        <v>2017</v>
      </c>
      <c r="D2126" t="s">
        <v>811</v>
      </c>
      <c r="F2126" s="1" t="s">
        <v>82</v>
      </c>
      <c r="G2126" t="s">
        <v>86</v>
      </c>
      <c r="H2126" t="s">
        <v>350</v>
      </c>
      <c r="I2126">
        <v>2014</v>
      </c>
      <c r="J2126">
        <v>0.3</v>
      </c>
      <c r="K2126" t="s">
        <v>109</v>
      </c>
      <c r="L2126">
        <v>3</v>
      </c>
      <c r="N2126" t="s">
        <v>127</v>
      </c>
      <c r="O2126" t="s">
        <v>1268</v>
      </c>
      <c r="P2126" t="s">
        <v>1269</v>
      </c>
      <c r="Q2126" s="1" t="s">
        <v>2281</v>
      </c>
      <c r="R2126" s="1" t="s">
        <v>2282</v>
      </c>
      <c r="S2126" s="1" t="s">
        <v>2304</v>
      </c>
      <c r="T2126" t="s">
        <v>396</v>
      </c>
      <c r="U2126" s="1" t="s">
        <v>2403</v>
      </c>
      <c r="X2126" t="s">
        <v>161</v>
      </c>
      <c r="Y2126" t="s">
        <v>2272</v>
      </c>
      <c r="Z2126" t="s">
        <v>2272</v>
      </c>
      <c r="AA2126" t="s">
        <v>2272</v>
      </c>
      <c r="AB2126" t="s">
        <v>2272</v>
      </c>
      <c r="AC2126" t="s">
        <v>162</v>
      </c>
      <c r="AD2126" t="s">
        <v>2272</v>
      </c>
      <c r="AF2126" t="s">
        <v>49</v>
      </c>
      <c r="AL2126" s="1" t="s">
        <v>49</v>
      </c>
      <c r="AM2126" t="s">
        <v>1278</v>
      </c>
      <c r="AN2126" t="s">
        <v>109</v>
      </c>
      <c r="AO2126" t="s">
        <v>860</v>
      </c>
      <c r="AP2126" t="s">
        <v>51</v>
      </c>
      <c r="AQ2126" s="5">
        <v>0</v>
      </c>
    </row>
    <row r="2127" spans="1:43" x14ac:dyDescent="0.2">
      <c r="A2127" t="s">
        <v>1266</v>
      </c>
      <c r="B2127" t="s">
        <v>1267</v>
      </c>
      <c r="C2127" s="1">
        <v>2017</v>
      </c>
      <c r="D2127" t="s">
        <v>811</v>
      </c>
      <c r="F2127" s="1" t="s">
        <v>82</v>
      </c>
      <c r="G2127" t="s">
        <v>86</v>
      </c>
      <c r="H2127" t="s">
        <v>350</v>
      </c>
      <c r="I2127">
        <v>2014</v>
      </c>
      <c r="J2127">
        <v>0.3</v>
      </c>
      <c r="K2127" t="s">
        <v>109</v>
      </c>
      <c r="L2127">
        <v>3</v>
      </c>
      <c r="N2127" t="s">
        <v>121</v>
      </c>
      <c r="O2127" t="s">
        <v>121</v>
      </c>
      <c r="P2127" t="s">
        <v>286</v>
      </c>
      <c r="Q2127" s="1" t="s">
        <v>2292</v>
      </c>
      <c r="R2127" s="1" t="s">
        <v>264</v>
      </c>
      <c r="S2127" s="1" t="s">
        <v>264</v>
      </c>
      <c r="T2127" t="s">
        <v>396</v>
      </c>
      <c r="U2127" s="1" t="s">
        <v>2404</v>
      </c>
      <c r="X2127" t="s">
        <v>161</v>
      </c>
      <c r="Y2127" t="s">
        <v>2272</v>
      </c>
      <c r="Z2127" t="s">
        <v>2272</v>
      </c>
      <c r="AA2127" t="s">
        <v>2272</v>
      </c>
      <c r="AB2127" t="s">
        <v>2272</v>
      </c>
      <c r="AC2127" t="s">
        <v>162</v>
      </c>
      <c r="AD2127" t="s">
        <v>2272</v>
      </c>
      <c r="AF2127" t="s">
        <v>49</v>
      </c>
      <c r="AL2127" s="1" t="s">
        <v>49</v>
      </c>
      <c r="AM2127" t="s">
        <v>1278</v>
      </c>
      <c r="AN2127" t="s">
        <v>109</v>
      </c>
      <c r="AO2127" t="s">
        <v>860</v>
      </c>
      <c r="AP2127" t="s">
        <v>51</v>
      </c>
      <c r="AQ2127" s="5">
        <v>0</v>
      </c>
    </row>
    <row r="2128" spans="1:43" x14ac:dyDescent="0.2">
      <c r="A2128" t="s">
        <v>1266</v>
      </c>
      <c r="B2128" t="s">
        <v>1267</v>
      </c>
      <c r="C2128" s="1">
        <v>2017</v>
      </c>
      <c r="D2128" t="s">
        <v>811</v>
      </c>
      <c r="F2128" s="1" t="s">
        <v>82</v>
      </c>
      <c r="G2128" t="s">
        <v>86</v>
      </c>
      <c r="H2128" t="s">
        <v>350</v>
      </c>
      <c r="I2128">
        <v>2014</v>
      </c>
      <c r="J2128">
        <v>0.3</v>
      </c>
      <c r="K2128" t="s">
        <v>109</v>
      </c>
      <c r="L2128">
        <v>3</v>
      </c>
      <c r="N2128" t="s">
        <v>127</v>
      </c>
      <c r="O2128" t="s">
        <v>1270</v>
      </c>
      <c r="P2128" t="s">
        <v>2260</v>
      </c>
      <c r="Q2128" s="1" t="s">
        <v>2281</v>
      </c>
      <c r="R2128" s="1" t="s">
        <v>2301</v>
      </c>
      <c r="S2128" s="1" t="s">
        <v>2303</v>
      </c>
      <c r="T2128" t="s">
        <v>396</v>
      </c>
      <c r="U2128" s="1" t="s">
        <v>2405</v>
      </c>
      <c r="X2128" t="s">
        <v>161</v>
      </c>
      <c r="Y2128" t="s">
        <v>2272</v>
      </c>
      <c r="Z2128" t="s">
        <v>2272</v>
      </c>
      <c r="AA2128" t="s">
        <v>2272</v>
      </c>
      <c r="AB2128" t="s">
        <v>2272</v>
      </c>
      <c r="AC2128" t="s">
        <v>162</v>
      </c>
      <c r="AD2128" t="s">
        <v>2272</v>
      </c>
      <c r="AF2128" t="s">
        <v>49</v>
      </c>
      <c r="AL2128" s="1" t="s">
        <v>49</v>
      </c>
      <c r="AM2128" t="s">
        <v>1278</v>
      </c>
      <c r="AN2128" t="s">
        <v>109</v>
      </c>
      <c r="AO2128" t="s">
        <v>860</v>
      </c>
      <c r="AP2128" t="s">
        <v>51</v>
      </c>
      <c r="AQ2128" s="5">
        <v>0</v>
      </c>
    </row>
    <row r="2129" spans="1:43" x14ac:dyDescent="0.2">
      <c r="A2129" t="s">
        <v>1266</v>
      </c>
      <c r="B2129" t="s">
        <v>1267</v>
      </c>
      <c r="C2129" s="1">
        <v>2017</v>
      </c>
      <c r="D2129" t="s">
        <v>811</v>
      </c>
      <c r="F2129" s="1" t="s">
        <v>82</v>
      </c>
      <c r="G2129" t="s">
        <v>86</v>
      </c>
      <c r="H2129" t="s">
        <v>350</v>
      </c>
      <c r="I2129">
        <v>2014</v>
      </c>
      <c r="J2129">
        <v>0.3</v>
      </c>
      <c r="K2129" t="s">
        <v>109</v>
      </c>
      <c r="L2129">
        <v>3</v>
      </c>
      <c r="N2129" t="s">
        <v>125</v>
      </c>
      <c r="O2129" t="s">
        <v>1271</v>
      </c>
      <c r="P2129" t="s">
        <v>1272</v>
      </c>
      <c r="Q2129" s="1" t="s">
        <v>2276</v>
      </c>
      <c r="R2129" s="1" t="s">
        <v>751</v>
      </c>
      <c r="S2129" s="1" t="s">
        <v>2345</v>
      </c>
      <c r="T2129" t="s">
        <v>396</v>
      </c>
      <c r="U2129" s="1" t="s">
        <v>2406</v>
      </c>
      <c r="X2129" t="s">
        <v>161</v>
      </c>
      <c r="Y2129" t="s">
        <v>2272</v>
      </c>
      <c r="Z2129" t="s">
        <v>2272</v>
      </c>
      <c r="AA2129" t="s">
        <v>2272</v>
      </c>
      <c r="AB2129" t="s">
        <v>2272</v>
      </c>
      <c r="AC2129" t="s">
        <v>162</v>
      </c>
      <c r="AD2129" t="s">
        <v>2272</v>
      </c>
      <c r="AF2129" t="s">
        <v>49</v>
      </c>
      <c r="AL2129" s="1" t="s">
        <v>49</v>
      </c>
      <c r="AM2129" t="s">
        <v>1278</v>
      </c>
      <c r="AN2129" t="s">
        <v>109</v>
      </c>
      <c r="AO2129" t="s">
        <v>860</v>
      </c>
      <c r="AP2129" t="s">
        <v>51</v>
      </c>
      <c r="AQ2129" s="5">
        <v>0</v>
      </c>
    </row>
    <row r="2130" spans="1:43" x14ac:dyDescent="0.2">
      <c r="A2130" t="s">
        <v>1266</v>
      </c>
      <c r="B2130" t="s">
        <v>1267</v>
      </c>
      <c r="C2130" s="1">
        <v>2017</v>
      </c>
      <c r="D2130" t="s">
        <v>811</v>
      </c>
      <c r="F2130" s="1" t="s">
        <v>82</v>
      </c>
      <c r="G2130" t="s">
        <v>86</v>
      </c>
      <c r="H2130" t="s">
        <v>350</v>
      </c>
      <c r="I2130">
        <v>2014</v>
      </c>
      <c r="J2130">
        <v>0.3</v>
      </c>
      <c r="K2130" t="s">
        <v>109</v>
      </c>
      <c r="L2130">
        <v>3</v>
      </c>
      <c r="N2130" t="s">
        <v>127</v>
      </c>
      <c r="O2130" t="s">
        <v>1268</v>
      </c>
      <c r="P2130" t="s">
        <v>1269</v>
      </c>
      <c r="Q2130" s="1" t="s">
        <v>2281</v>
      </c>
      <c r="R2130" s="1" t="s">
        <v>2282</v>
      </c>
      <c r="S2130" s="1" t="s">
        <v>2304</v>
      </c>
      <c r="T2130" t="s">
        <v>421</v>
      </c>
      <c r="U2130" t="s">
        <v>421</v>
      </c>
      <c r="X2130" t="s">
        <v>161</v>
      </c>
      <c r="Y2130" t="s">
        <v>2272</v>
      </c>
      <c r="Z2130" t="s">
        <v>2272</v>
      </c>
      <c r="AA2130" t="s">
        <v>2272</v>
      </c>
      <c r="AB2130" t="s">
        <v>2272</v>
      </c>
      <c r="AC2130" t="s">
        <v>162</v>
      </c>
      <c r="AD2130" t="s">
        <v>2272</v>
      </c>
      <c r="AF2130" t="s">
        <v>49</v>
      </c>
      <c r="AL2130" s="1" t="s">
        <v>49</v>
      </c>
      <c r="AM2130" t="s">
        <v>1278</v>
      </c>
      <c r="AN2130" t="s">
        <v>109</v>
      </c>
      <c r="AO2130" t="s">
        <v>860</v>
      </c>
      <c r="AP2130" t="s">
        <v>51</v>
      </c>
      <c r="AQ2130" s="5">
        <v>0</v>
      </c>
    </row>
    <row r="2131" spans="1:43" x14ac:dyDescent="0.2">
      <c r="A2131" t="s">
        <v>1266</v>
      </c>
      <c r="B2131" t="s">
        <v>1267</v>
      </c>
      <c r="C2131" s="1">
        <v>2017</v>
      </c>
      <c r="D2131" t="s">
        <v>811</v>
      </c>
      <c r="F2131" s="1" t="s">
        <v>82</v>
      </c>
      <c r="G2131" t="s">
        <v>86</v>
      </c>
      <c r="H2131" t="s">
        <v>350</v>
      </c>
      <c r="I2131">
        <v>2014</v>
      </c>
      <c r="J2131">
        <v>0.3</v>
      </c>
      <c r="K2131" t="s">
        <v>109</v>
      </c>
      <c r="L2131">
        <v>3</v>
      </c>
      <c r="N2131" t="s">
        <v>121</v>
      </c>
      <c r="O2131" t="s">
        <v>121</v>
      </c>
      <c r="P2131" t="s">
        <v>286</v>
      </c>
      <c r="Q2131" s="1" t="s">
        <v>2292</v>
      </c>
      <c r="R2131" s="1" t="s">
        <v>264</v>
      </c>
      <c r="S2131" s="1" t="s">
        <v>264</v>
      </c>
      <c r="T2131" t="s">
        <v>421</v>
      </c>
      <c r="U2131" t="s">
        <v>421</v>
      </c>
      <c r="X2131" t="s">
        <v>161</v>
      </c>
      <c r="Y2131" t="s">
        <v>2272</v>
      </c>
      <c r="Z2131" t="s">
        <v>2272</v>
      </c>
      <c r="AA2131" t="s">
        <v>2272</v>
      </c>
      <c r="AB2131" t="s">
        <v>2272</v>
      </c>
      <c r="AC2131" t="s">
        <v>162</v>
      </c>
      <c r="AD2131" t="s">
        <v>2272</v>
      </c>
      <c r="AF2131" t="s">
        <v>49</v>
      </c>
      <c r="AL2131" s="1" t="s">
        <v>49</v>
      </c>
      <c r="AM2131" t="s">
        <v>1278</v>
      </c>
      <c r="AN2131" t="s">
        <v>109</v>
      </c>
      <c r="AO2131" t="s">
        <v>860</v>
      </c>
      <c r="AP2131" t="s">
        <v>51</v>
      </c>
      <c r="AQ2131" s="5">
        <v>0</v>
      </c>
    </row>
    <row r="2132" spans="1:43" x14ac:dyDescent="0.2">
      <c r="A2132" t="s">
        <v>1266</v>
      </c>
      <c r="B2132" t="s">
        <v>1267</v>
      </c>
      <c r="C2132" s="1">
        <v>2017</v>
      </c>
      <c r="D2132" t="s">
        <v>811</v>
      </c>
      <c r="F2132" s="1" t="s">
        <v>82</v>
      </c>
      <c r="G2132" t="s">
        <v>86</v>
      </c>
      <c r="H2132" t="s">
        <v>350</v>
      </c>
      <c r="I2132">
        <v>2014</v>
      </c>
      <c r="J2132">
        <v>0.3</v>
      </c>
      <c r="K2132" t="s">
        <v>109</v>
      </c>
      <c r="L2132">
        <v>3</v>
      </c>
      <c r="N2132" t="s">
        <v>127</v>
      </c>
      <c r="O2132" t="s">
        <v>1270</v>
      </c>
      <c r="P2132" t="s">
        <v>2260</v>
      </c>
      <c r="Q2132" s="1" t="s">
        <v>2281</v>
      </c>
      <c r="R2132" s="1" t="s">
        <v>2301</v>
      </c>
      <c r="S2132" s="1" t="s">
        <v>2303</v>
      </c>
      <c r="T2132" t="s">
        <v>421</v>
      </c>
      <c r="U2132" t="s">
        <v>421</v>
      </c>
      <c r="X2132" t="s">
        <v>161</v>
      </c>
      <c r="Y2132" t="s">
        <v>2272</v>
      </c>
      <c r="Z2132" t="s">
        <v>2272</v>
      </c>
      <c r="AA2132" t="s">
        <v>2272</v>
      </c>
      <c r="AB2132" t="s">
        <v>2272</v>
      </c>
      <c r="AC2132" t="s">
        <v>162</v>
      </c>
      <c r="AD2132" t="s">
        <v>2272</v>
      </c>
      <c r="AF2132" t="s">
        <v>49</v>
      </c>
      <c r="AL2132" s="1" t="s">
        <v>49</v>
      </c>
      <c r="AM2132" t="s">
        <v>1278</v>
      </c>
      <c r="AN2132" t="s">
        <v>109</v>
      </c>
      <c r="AO2132" t="s">
        <v>860</v>
      </c>
      <c r="AP2132" t="s">
        <v>51</v>
      </c>
      <c r="AQ2132" s="5">
        <v>0</v>
      </c>
    </row>
    <row r="2133" spans="1:43" x14ac:dyDescent="0.2">
      <c r="A2133" t="s">
        <v>1266</v>
      </c>
      <c r="B2133" t="s">
        <v>1267</v>
      </c>
      <c r="C2133" s="1">
        <v>2017</v>
      </c>
      <c r="D2133" t="s">
        <v>811</v>
      </c>
      <c r="F2133" s="1" t="s">
        <v>82</v>
      </c>
      <c r="G2133" t="s">
        <v>86</v>
      </c>
      <c r="H2133" t="s">
        <v>350</v>
      </c>
      <c r="I2133">
        <v>2014</v>
      </c>
      <c r="J2133">
        <v>0.3</v>
      </c>
      <c r="K2133" t="s">
        <v>109</v>
      </c>
      <c r="L2133">
        <v>3</v>
      </c>
      <c r="N2133" t="s">
        <v>125</v>
      </c>
      <c r="O2133" t="s">
        <v>1271</v>
      </c>
      <c r="P2133" t="s">
        <v>1272</v>
      </c>
      <c r="Q2133" s="1" t="s">
        <v>2276</v>
      </c>
      <c r="R2133" s="1" t="s">
        <v>751</v>
      </c>
      <c r="S2133" s="1" t="s">
        <v>2345</v>
      </c>
      <c r="T2133" t="s">
        <v>421</v>
      </c>
      <c r="U2133" t="s">
        <v>421</v>
      </c>
      <c r="X2133" t="s">
        <v>161</v>
      </c>
      <c r="Y2133" t="s">
        <v>2272</v>
      </c>
      <c r="Z2133" t="s">
        <v>2272</v>
      </c>
      <c r="AA2133" t="s">
        <v>2272</v>
      </c>
      <c r="AB2133" t="s">
        <v>2272</v>
      </c>
      <c r="AC2133" t="s">
        <v>162</v>
      </c>
      <c r="AD2133" t="s">
        <v>2272</v>
      </c>
      <c r="AF2133" t="s">
        <v>49</v>
      </c>
      <c r="AL2133" s="1" t="s">
        <v>49</v>
      </c>
      <c r="AM2133" t="s">
        <v>1278</v>
      </c>
      <c r="AN2133" t="s">
        <v>109</v>
      </c>
      <c r="AO2133" t="s">
        <v>860</v>
      </c>
      <c r="AP2133" t="s">
        <v>51</v>
      </c>
      <c r="AQ2133" s="5">
        <v>0</v>
      </c>
    </row>
    <row r="2134" spans="1:43" x14ac:dyDescent="0.2">
      <c r="A2134" t="s">
        <v>1266</v>
      </c>
      <c r="B2134" t="s">
        <v>1267</v>
      </c>
      <c r="C2134" s="1">
        <v>2017</v>
      </c>
      <c r="D2134" t="s">
        <v>811</v>
      </c>
      <c r="F2134" s="1" t="s">
        <v>82</v>
      </c>
      <c r="G2134" t="s">
        <v>86</v>
      </c>
      <c r="H2134" t="s">
        <v>350</v>
      </c>
      <c r="I2134">
        <v>2014</v>
      </c>
      <c r="J2134">
        <v>0.3</v>
      </c>
      <c r="K2134" t="s">
        <v>109</v>
      </c>
      <c r="L2134">
        <v>3</v>
      </c>
      <c r="N2134" t="s">
        <v>127</v>
      </c>
      <c r="O2134" t="s">
        <v>1268</v>
      </c>
      <c r="P2134" t="s">
        <v>1269</v>
      </c>
      <c r="Q2134" s="1" t="s">
        <v>2281</v>
      </c>
      <c r="R2134" s="1" t="s">
        <v>2282</v>
      </c>
      <c r="S2134" s="1" t="s">
        <v>2304</v>
      </c>
      <c r="T2134" t="s">
        <v>396</v>
      </c>
      <c r="U2134" s="1" t="s">
        <v>2403</v>
      </c>
      <c r="X2134" t="s">
        <v>161</v>
      </c>
      <c r="Y2134" t="s">
        <v>2272</v>
      </c>
      <c r="Z2134" t="s">
        <v>2272</v>
      </c>
      <c r="AA2134" t="s">
        <v>2272</v>
      </c>
      <c r="AB2134" t="s">
        <v>2272</v>
      </c>
      <c r="AC2134" t="s">
        <v>162</v>
      </c>
      <c r="AD2134" t="s">
        <v>2272</v>
      </c>
      <c r="AF2134" t="s">
        <v>49</v>
      </c>
      <c r="AL2134" s="1" t="s">
        <v>49</v>
      </c>
      <c r="AM2134" t="s">
        <v>1278</v>
      </c>
      <c r="AN2134" t="s">
        <v>109</v>
      </c>
      <c r="AO2134" t="s">
        <v>861</v>
      </c>
      <c r="AP2134" t="s">
        <v>51</v>
      </c>
      <c r="AQ2134" s="5">
        <v>0</v>
      </c>
    </row>
    <row r="2135" spans="1:43" x14ac:dyDescent="0.2">
      <c r="A2135" t="s">
        <v>1266</v>
      </c>
      <c r="B2135" t="s">
        <v>1267</v>
      </c>
      <c r="C2135" s="1">
        <v>2017</v>
      </c>
      <c r="D2135" t="s">
        <v>811</v>
      </c>
      <c r="F2135" s="1" t="s">
        <v>82</v>
      </c>
      <c r="G2135" t="s">
        <v>86</v>
      </c>
      <c r="H2135" t="s">
        <v>350</v>
      </c>
      <c r="I2135">
        <v>2014</v>
      </c>
      <c r="J2135">
        <v>0.3</v>
      </c>
      <c r="K2135" t="s">
        <v>109</v>
      </c>
      <c r="L2135">
        <v>3</v>
      </c>
      <c r="N2135" t="s">
        <v>121</v>
      </c>
      <c r="O2135" t="s">
        <v>121</v>
      </c>
      <c r="P2135" t="s">
        <v>286</v>
      </c>
      <c r="Q2135" s="1" t="s">
        <v>2292</v>
      </c>
      <c r="R2135" s="1" t="s">
        <v>264</v>
      </c>
      <c r="S2135" s="1" t="s">
        <v>264</v>
      </c>
      <c r="T2135" t="s">
        <v>396</v>
      </c>
      <c r="U2135" s="1" t="s">
        <v>2404</v>
      </c>
      <c r="X2135" t="s">
        <v>161</v>
      </c>
      <c r="Y2135" t="s">
        <v>2272</v>
      </c>
      <c r="Z2135" t="s">
        <v>2272</v>
      </c>
      <c r="AA2135" t="s">
        <v>2272</v>
      </c>
      <c r="AB2135" t="s">
        <v>2272</v>
      </c>
      <c r="AC2135" t="s">
        <v>162</v>
      </c>
      <c r="AD2135" t="s">
        <v>2272</v>
      </c>
      <c r="AF2135" t="s">
        <v>49</v>
      </c>
      <c r="AL2135" s="1" t="s">
        <v>49</v>
      </c>
      <c r="AM2135" t="s">
        <v>1278</v>
      </c>
      <c r="AN2135" t="s">
        <v>109</v>
      </c>
      <c r="AO2135" t="s">
        <v>861</v>
      </c>
      <c r="AP2135" t="s">
        <v>51</v>
      </c>
      <c r="AQ2135" s="5">
        <v>0</v>
      </c>
    </row>
    <row r="2136" spans="1:43" x14ac:dyDescent="0.2">
      <c r="A2136" t="s">
        <v>1266</v>
      </c>
      <c r="B2136" t="s">
        <v>1267</v>
      </c>
      <c r="C2136" s="1">
        <v>2017</v>
      </c>
      <c r="D2136" t="s">
        <v>811</v>
      </c>
      <c r="F2136" s="1" t="s">
        <v>82</v>
      </c>
      <c r="G2136" t="s">
        <v>86</v>
      </c>
      <c r="H2136" t="s">
        <v>350</v>
      </c>
      <c r="I2136">
        <v>2014</v>
      </c>
      <c r="J2136">
        <v>0.3</v>
      </c>
      <c r="K2136" t="s">
        <v>109</v>
      </c>
      <c r="L2136">
        <v>3</v>
      </c>
      <c r="N2136" t="s">
        <v>127</v>
      </c>
      <c r="O2136" t="s">
        <v>1270</v>
      </c>
      <c r="P2136" t="s">
        <v>2260</v>
      </c>
      <c r="Q2136" s="1" t="s">
        <v>2281</v>
      </c>
      <c r="R2136" s="1" t="s">
        <v>2301</v>
      </c>
      <c r="S2136" s="1" t="s">
        <v>2303</v>
      </c>
      <c r="T2136" t="s">
        <v>396</v>
      </c>
      <c r="U2136" s="1" t="s">
        <v>2405</v>
      </c>
      <c r="X2136" t="s">
        <v>161</v>
      </c>
      <c r="Y2136" t="s">
        <v>2272</v>
      </c>
      <c r="Z2136" t="s">
        <v>2272</v>
      </c>
      <c r="AA2136" t="s">
        <v>2272</v>
      </c>
      <c r="AB2136" t="s">
        <v>2272</v>
      </c>
      <c r="AC2136" t="s">
        <v>162</v>
      </c>
      <c r="AD2136" t="s">
        <v>2272</v>
      </c>
      <c r="AF2136" t="s">
        <v>49</v>
      </c>
      <c r="AL2136" s="1" t="s">
        <v>49</v>
      </c>
      <c r="AM2136" t="s">
        <v>1278</v>
      </c>
      <c r="AN2136" t="s">
        <v>109</v>
      </c>
      <c r="AO2136" t="s">
        <v>861</v>
      </c>
      <c r="AP2136" t="s">
        <v>51</v>
      </c>
      <c r="AQ2136" s="5">
        <v>0</v>
      </c>
    </row>
    <row r="2137" spans="1:43" x14ac:dyDescent="0.2">
      <c r="A2137" t="s">
        <v>1266</v>
      </c>
      <c r="B2137" t="s">
        <v>1267</v>
      </c>
      <c r="C2137" s="1">
        <v>2017</v>
      </c>
      <c r="D2137" t="s">
        <v>811</v>
      </c>
      <c r="F2137" s="1" t="s">
        <v>82</v>
      </c>
      <c r="G2137" t="s">
        <v>86</v>
      </c>
      <c r="H2137" t="s">
        <v>350</v>
      </c>
      <c r="I2137">
        <v>2014</v>
      </c>
      <c r="J2137">
        <v>0.3</v>
      </c>
      <c r="K2137" t="s">
        <v>109</v>
      </c>
      <c r="L2137">
        <v>3</v>
      </c>
      <c r="N2137" t="s">
        <v>125</v>
      </c>
      <c r="O2137" t="s">
        <v>1271</v>
      </c>
      <c r="P2137" t="s">
        <v>1272</v>
      </c>
      <c r="Q2137" s="1" t="s">
        <v>2276</v>
      </c>
      <c r="R2137" s="1" t="s">
        <v>751</v>
      </c>
      <c r="S2137" s="1" t="s">
        <v>2345</v>
      </c>
      <c r="T2137" t="s">
        <v>396</v>
      </c>
      <c r="U2137" s="1" t="s">
        <v>2406</v>
      </c>
      <c r="X2137" t="s">
        <v>161</v>
      </c>
      <c r="Y2137" t="s">
        <v>2272</v>
      </c>
      <c r="Z2137" t="s">
        <v>2272</v>
      </c>
      <c r="AA2137" t="s">
        <v>2272</v>
      </c>
      <c r="AB2137" t="s">
        <v>2272</v>
      </c>
      <c r="AC2137" t="s">
        <v>162</v>
      </c>
      <c r="AD2137" t="s">
        <v>2272</v>
      </c>
      <c r="AF2137" t="s">
        <v>49</v>
      </c>
      <c r="AL2137" s="1" t="s">
        <v>49</v>
      </c>
      <c r="AM2137" t="s">
        <v>1278</v>
      </c>
      <c r="AN2137" t="s">
        <v>109</v>
      </c>
      <c r="AO2137" t="s">
        <v>861</v>
      </c>
      <c r="AP2137" t="s">
        <v>51</v>
      </c>
      <c r="AQ2137" s="5">
        <v>0</v>
      </c>
    </row>
    <row r="2138" spans="1:43" x14ac:dyDescent="0.2">
      <c r="A2138" t="s">
        <v>1266</v>
      </c>
      <c r="B2138" t="s">
        <v>1267</v>
      </c>
      <c r="C2138" s="1">
        <v>2017</v>
      </c>
      <c r="D2138" t="s">
        <v>811</v>
      </c>
      <c r="F2138" s="1" t="s">
        <v>82</v>
      </c>
      <c r="G2138" t="s">
        <v>86</v>
      </c>
      <c r="H2138" t="s">
        <v>350</v>
      </c>
      <c r="I2138">
        <v>2014</v>
      </c>
      <c r="J2138">
        <v>0.3</v>
      </c>
      <c r="K2138" t="s">
        <v>109</v>
      </c>
      <c r="L2138">
        <v>3</v>
      </c>
      <c r="N2138" t="s">
        <v>127</v>
      </c>
      <c r="O2138" t="s">
        <v>1268</v>
      </c>
      <c r="P2138" t="s">
        <v>1269</v>
      </c>
      <c r="Q2138" s="1" t="s">
        <v>2281</v>
      </c>
      <c r="R2138" s="1" t="s">
        <v>2282</v>
      </c>
      <c r="S2138" s="1" t="s">
        <v>2304</v>
      </c>
      <c r="T2138" t="s">
        <v>421</v>
      </c>
      <c r="U2138" t="s">
        <v>421</v>
      </c>
      <c r="X2138" t="s">
        <v>161</v>
      </c>
      <c r="Y2138" t="s">
        <v>2272</v>
      </c>
      <c r="Z2138" t="s">
        <v>2272</v>
      </c>
      <c r="AA2138" t="s">
        <v>2272</v>
      </c>
      <c r="AB2138" t="s">
        <v>2272</v>
      </c>
      <c r="AC2138" t="s">
        <v>162</v>
      </c>
      <c r="AD2138" t="s">
        <v>2272</v>
      </c>
      <c r="AF2138" t="s">
        <v>49</v>
      </c>
      <c r="AL2138" s="1" t="s">
        <v>49</v>
      </c>
      <c r="AM2138" t="s">
        <v>1278</v>
      </c>
      <c r="AN2138" t="s">
        <v>109</v>
      </c>
      <c r="AO2138" t="s">
        <v>861</v>
      </c>
      <c r="AP2138" t="s">
        <v>51</v>
      </c>
      <c r="AQ2138" s="5">
        <v>0</v>
      </c>
    </row>
    <row r="2139" spans="1:43" x14ac:dyDescent="0.2">
      <c r="A2139" t="s">
        <v>1266</v>
      </c>
      <c r="B2139" t="s">
        <v>1267</v>
      </c>
      <c r="C2139" s="1">
        <v>2017</v>
      </c>
      <c r="D2139" t="s">
        <v>811</v>
      </c>
      <c r="F2139" s="1" t="s">
        <v>82</v>
      </c>
      <c r="G2139" t="s">
        <v>86</v>
      </c>
      <c r="H2139" t="s">
        <v>350</v>
      </c>
      <c r="I2139">
        <v>2014</v>
      </c>
      <c r="J2139">
        <v>0.3</v>
      </c>
      <c r="K2139" t="s">
        <v>109</v>
      </c>
      <c r="L2139">
        <v>3</v>
      </c>
      <c r="N2139" t="s">
        <v>121</v>
      </c>
      <c r="O2139" t="s">
        <v>121</v>
      </c>
      <c r="P2139" t="s">
        <v>286</v>
      </c>
      <c r="Q2139" s="1" t="s">
        <v>2292</v>
      </c>
      <c r="R2139" s="1" t="s">
        <v>264</v>
      </c>
      <c r="S2139" s="1" t="s">
        <v>264</v>
      </c>
      <c r="T2139" t="s">
        <v>421</v>
      </c>
      <c r="U2139" t="s">
        <v>421</v>
      </c>
      <c r="X2139" t="s">
        <v>161</v>
      </c>
      <c r="Y2139" t="s">
        <v>2272</v>
      </c>
      <c r="Z2139" t="s">
        <v>2272</v>
      </c>
      <c r="AA2139" t="s">
        <v>2272</v>
      </c>
      <c r="AB2139" t="s">
        <v>2272</v>
      </c>
      <c r="AC2139" t="s">
        <v>162</v>
      </c>
      <c r="AD2139" t="s">
        <v>2272</v>
      </c>
      <c r="AF2139" t="s">
        <v>49</v>
      </c>
      <c r="AL2139" s="1" t="s">
        <v>49</v>
      </c>
      <c r="AM2139" t="s">
        <v>1278</v>
      </c>
      <c r="AN2139" t="s">
        <v>109</v>
      </c>
      <c r="AO2139" t="s">
        <v>861</v>
      </c>
      <c r="AP2139" t="s">
        <v>51</v>
      </c>
      <c r="AQ2139" s="5">
        <v>0</v>
      </c>
    </row>
    <row r="2140" spans="1:43" x14ac:dyDescent="0.2">
      <c r="A2140" t="s">
        <v>1266</v>
      </c>
      <c r="B2140" t="s">
        <v>1267</v>
      </c>
      <c r="C2140" s="1">
        <v>2017</v>
      </c>
      <c r="D2140" t="s">
        <v>811</v>
      </c>
      <c r="F2140" s="1" t="s">
        <v>82</v>
      </c>
      <c r="G2140" t="s">
        <v>86</v>
      </c>
      <c r="H2140" t="s">
        <v>350</v>
      </c>
      <c r="I2140">
        <v>2014</v>
      </c>
      <c r="J2140">
        <v>0.3</v>
      </c>
      <c r="K2140" t="s">
        <v>109</v>
      </c>
      <c r="L2140">
        <v>3</v>
      </c>
      <c r="N2140" t="s">
        <v>127</v>
      </c>
      <c r="O2140" t="s">
        <v>1270</v>
      </c>
      <c r="P2140" t="s">
        <v>2260</v>
      </c>
      <c r="Q2140" s="1" t="s">
        <v>2281</v>
      </c>
      <c r="R2140" s="1" t="s">
        <v>2301</v>
      </c>
      <c r="S2140" s="1" t="s">
        <v>2303</v>
      </c>
      <c r="T2140" t="s">
        <v>421</v>
      </c>
      <c r="U2140" t="s">
        <v>421</v>
      </c>
      <c r="X2140" t="s">
        <v>161</v>
      </c>
      <c r="Y2140" t="s">
        <v>2272</v>
      </c>
      <c r="Z2140" t="s">
        <v>2272</v>
      </c>
      <c r="AA2140" t="s">
        <v>2272</v>
      </c>
      <c r="AB2140" t="s">
        <v>2272</v>
      </c>
      <c r="AC2140" t="s">
        <v>162</v>
      </c>
      <c r="AD2140" t="s">
        <v>2272</v>
      </c>
      <c r="AF2140" t="s">
        <v>49</v>
      </c>
      <c r="AL2140" s="1" t="s">
        <v>49</v>
      </c>
      <c r="AM2140" t="s">
        <v>1278</v>
      </c>
      <c r="AN2140" t="s">
        <v>109</v>
      </c>
      <c r="AO2140" t="s">
        <v>861</v>
      </c>
      <c r="AP2140" t="s">
        <v>51</v>
      </c>
      <c r="AQ2140" s="5">
        <v>0</v>
      </c>
    </row>
    <row r="2141" spans="1:43" x14ac:dyDescent="0.2">
      <c r="A2141" t="s">
        <v>1266</v>
      </c>
      <c r="B2141" t="s">
        <v>1267</v>
      </c>
      <c r="C2141" s="1">
        <v>2017</v>
      </c>
      <c r="D2141" t="s">
        <v>811</v>
      </c>
      <c r="F2141" s="1" t="s">
        <v>82</v>
      </c>
      <c r="G2141" t="s">
        <v>86</v>
      </c>
      <c r="H2141" t="s">
        <v>350</v>
      </c>
      <c r="I2141">
        <v>2014</v>
      </c>
      <c r="J2141">
        <v>0.3</v>
      </c>
      <c r="K2141" t="s">
        <v>109</v>
      </c>
      <c r="L2141">
        <v>3</v>
      </c>
      <c r="N2141" t="s">
        <v>125</v>
      </c>
      <c r="O2141" t="s">
        <v>1271</v>
      </c>
      <c r="P2141" t="s">
        <v>1272</v>
      </c>
      <c r="Q2141" s="1" t="s">
        <v>2276</v>
      </c>
      <c r="R2141" s="1" t="s">
        <v>751</v>
      </c>
      <c r="S2141" s="1" t="s">
        <v>2345</v>
      </c>
      <c r="T2141" t="s">
        <v>421</v>
      </c>
      <c r="U2141" t="s">
        <v>421</v>
      </c>
      <c r="X2141" t="s">
        <v>161</v>
      </c>
      <c r="Y2141" t="s">
        <v>2272</v>
      </c>
      <c r="Z2141" t="s">
        <v>2272</v>
      </c>
      <c r="AA2141" t="s">
        <v>2272</v>
      </c>
      <c r="AB2141" t="s">
        <v>2272</v>
      </c>
      <c r="AC2141" t="s">
        <v>162</v>
      </c>
      <c r="AD2141" t="s">
        <v>2272</v>
      </c>
      <c r="AF2141" t="s">
        <v>49</v>
      </c>
      <c r="AL2141" s="1" t="s">
        <v>49</v>
      </c>
      <c r="AM2141" t="s">
        <v>1278</v>
      </c>
      <c r="AN2141" t="s">
        <v>109</v>
      </c>
      <c r="AO2141" t="s">
        <v>861</v>
      </c>
      <c r="AP2141" t="s">
        <v>51</v>
      </c>
      <c r="AQ2141" s="5">
        <v>0</v>
      </c>
    </row>
    <row r="2142" spans="1:43" x14ac:dyDescent="0.2">
      <c r="A2142" t="s">
        <v>1266</v>
      </c>
      <c r="B2142" t="s">
        <v>1267</v>
      </c>
      <c r="C2142" s="1">
        <v>2017</v>
      </c>
      <c r="D2142" t="s">
        <v>811</v>
      </c>
      <c r="F2142" s="1" t="s">
        <v>82</v>
      </c>
      <c r="G2142" t="s">
        <v>86</v>
      </c>
      <c r="H2142" t="s">
        <v>350</v>
      </c>
      <c r="I2142">
        <v>2014</v>
      </c>
      <c r="J2142">
        <v>0.3</v>
      </c>
      <c r="K2142" t="s">
        <v>109</v>
      </c>
      <c r="L2142">
        <v>3</v>
      </c>
      <c r="N2142" t="s">
        <v>127</v>
      </c>
      <c r="O2142" t="s">
        <v>1268</v>
      </c>
      <c r="P2142" t="s">
        <v>1269</v>
      </c>
      <c r="Q2142" s="1" t="s">
        <v>2281</v>
      </c>
      <c r="R2142" s="1" t="s">
        <v>2282</v>
      </c>
      <c r="S2142" s="1" t="s">
        <v>2304</v>
      </c>
      <c r="T2142" t="s">
        <v>396</v>
      </c>
      <c r="U2142" s="1" t="s">
        <v>2403</v>
      </c>
      <c r="X2142" t="s">
        <v>161</v>
      </c>
      <c r="Y2142" t="s">
        <v>2272</v>
      </c>
      <c r="Z2142" t="s">
        <v>2272</v>
      </c>
      <c r="AA2142" t="s">
        <v>2272</v>
      </c>
      <c r="AB2142" t="s">
        <v>2272</v>
      </c>
      <c r="AC2142" t="s">
        <v>162</v>
      </c>
      <c r="AD2142" t="s">
        <v>2272</v>
      </c>
      <c r="AF2142" t="s">
        <v>49</v>
      </c>
      <c r="AL2142" s="1" t="s">
        <v>49</v>
      </c>
      <c r="AM2142" t="s">
        <v>1278</v>
      </c>
      <c r="AN2142" t="s">
        <v>109</v>
      </c>
      <c r="AO2142" t="s">
        <v>1280</v>
      </c>
      <c r="AP2142" t="s">
        <v>51</v>
      </c>
      <c r="AQ2142" s="5">
        <v>0</v>
      </c>
    </row>
    <row r="2143" spans="1:43" x14ac:dyDescent="0.2">
      <c r="A2143" t="s">
        <v>1266</v>
      </c>
      <c r="B2143" t="s">
        <v>1267</v>
      </c>
      <c r="C2143" s="1">
        <v>2017</v>
      </c>
      <c r="D2143" t="s">
        <v>811</v>
      </c>
      <c r="F2143" s="1" t="s">
        <v>82</v>
      </c>
      <c r="G2143" t="s">
        <v>86</v>
      </c>
      <c r="H2143" t="s">
        <v>350</v>
      </c>
      <c r="I2143">
        <v>2014</v>
      </c>
      <c r="J2143">
        <v>0.3</v>
      </c>
      <c r="K2143" t="s">
        <v>109</v>
      </c>
      <c r="L2143">
        <v>3</v>
      </c>
      <c r="N2143" t="s">
        <v>121</v>
      </c>
      <c r="O2143" t="s">
        <v>121</v>
      </c>
      <c r="P2143" t="s">
        <v>286</v>
      </c>
      <c r="Q2143" s="1" t="s">
        <v>2292</v>
      </c>
      <c r="R2143" s="1" t="s">
        <v>264</v>
      </c>
      <c r="S2143" s="1" t="s">
        <v>264</v>
      </c>
      <c r="T2143" t="s">
        <v>396</v>
      </c>
      <c r="U2143" s="1" t="s">
        <v>2404</v>
      </c>
      <c r="X2143" t="s">
        <v>161</v>
      </c>
      <c r="Y2143" t="s">
        <v>2272</v>
      </c>
      <c r="Z2143" t="s">
        <v>2272</v>
      </c>
      <c r="AA2143" t="s">
        <v>2272</v>
      </c>
      <c r="AB2143" t="s">
        <v>2272</v>
      </c>
      <c r="AC2143" t="s">
        <v>162</v>
      </c>
      <c r="AD2143" t="s">
        <v>2272</v>
      </c>
      <c r="AF2143" t="s">
        <v>49</v>
      </c>
      <c r="AL2143" s="1" t="s">
        <v>49</v>
      </c>
      <c r="AM2143" t="s">
        <v>1278</v>
      </c>
      <c r="AN2143" t="s">
        <v>109</v>
      </c>
      <c r="AO2143" t="s">
        <v>1280</v>
      </c>
      <c r="AP2143" t="s">
        <v>51</v>
      </c>
      <c r="AQ2143" s="5">
        <v>0</v>
      </c>
    </row>
    <row r="2144" spans="1:43" x14ac:dyDescent="0.2">
      <c r="A2144" t="s">
        <v>1266</v>
      </c>
      <c r="B2144" t="s">
        <v>1267</v>
      </c>
      <c r="C2144" s="1">
        <v>2017</v>
      </c>
      <c r="D2144" t="s">
        <v>811</v>
      </c>
      <c r="F2144" s="1" t="s">
        <v>82</v>
      </c>
      <c r="G2144" t="s">
        <v>86</v>
      </c>
      <c r="H2144" t="s">
        <v>350</v>
      </c>
      <c r="I2144">
        <v>2014</v>
      </c>
      <c r="J2144">
        <v>0.3</v>
      </c>
      <c r="K2144" t="s">
        <v>109</v>
      </c>
      <c r="L2144">
        <v>3</v>
      </c>
      <c r="N2144" t="s">
        <v>127</v>
      </c>
      <c r="O2144" t="s">
        <v>1270</v>
      </c>
      <c r="P2144" t="s">
        <v>2260</v>
      </c>
      <c r="Q2144" s="1" t="s">
        <v>2281</v>
      </c>
      <c r="R2144" s="1" t="s">
        <v>2301</v>
      </c>
      <c r="S2144" s="1" t="s">
        <v>2303</v>
      </c>
      <c r="T2144" t="s">
        <v>396</v>
      </c>
      <c r="U2144" s="1" t="s">
        <v>2405</v>
      </c>
      <c r="X2144" t="s">
        <v>161</v>
      </c>
      <c r="Y2144" t="s">
        <v>2272</v>
      </c>
      <c r="Z2144" t="s">
        <v>2272</v>
      </c>
      <c r="AA2144" t="s">
        <v>2272</v>
      </c>
      <c r="AB2144" t="s">
        <v>2272</v>
      </c>
      <c r="AC2144" t="s">
        <v>162</v>
      </c>
      <c r="AD2144" t="s">
        <v>2272</v>
      </c>
      <c r="AF2144" t="s">
        <v>49</v>
      </c>
      <c r="AL2144" s="1" t="s">
        <v>49</v>
      </c>
      <c r="AM2144" t="s">
        <v>1278</v>
      </c>
      <c r="AN2144" t="s">
        <v>109</v>
      </c>
      <c r="AO2144" t="s">
        <v>1280</v>
      </c>
      <c r="AP2144" t="s">
        <v>51</v>
      </c>
      <c r="AQ2144" s="5">
        <v>0</v>
      </c>
    </row>
    <row r="2145" spans="1:43" x14ac:dyDescent="0.2">
      <c r="A2145" t="s">
        <v>1266</v>
      </c>
      <c r="B2145" t="s">
        <v>1267</v>
      </c>
      <c r="C2145" s="1">
        <v>2017</v>
      </c>
      <c r="D2145" t="s">
        <v>811</v>
      </c>
      <c r="F2145" s="1" t="s">
        <v>82</v>
      </c>
      <c r="G2145" t="s">
        <v>86</v>
      </c>
      <c r="H2145" t="s">
        <v>350</v>
      </c>
      <c r="I2145">
        <v>2014</v>
      </c>
      <c r="J2145">
        <v>0.3</v>
      </c>
      <c r="K2145" t="s">
        <v>109</v>
      </c>
      <c r="L2145">
        <v>3</v>
      </c>
      <c r="N2145" t="s">
        <v>125</v>
      </c>
      <c r="O2145" t="s">
        <v>1271</v>
      </c>
      <c r="P2145" t="s">
        <v>1272</v>
      </c>
      <c r="Q2145" s="1" t="s">
        <v>2276</v>
      </c>
      <c r="R2145" s="1" t="s">
        <v>751</v>
      </c>
      <c r="S2145" s="1" t="s">
        <v>2345</v>
      </c>
      <c r="T2145" t="s">
        <v>396</v>
      </c>
      <c r="U2145" s="1" t="s">
        <v>2406</v>
      </c>
      <c r="X2145" t="s">
        <v>161</v>
      </c>
      <c r="Y2145" t="s">
        <v>2272</v>
      </c>
      <c r="Z2145" t="s">
        <v>2272</v>
      </c>
      <c r="AA2145" t="s">
        <v>2272</v>
      </c>
      <c r="AB2145" t="s">
        <v>2272</v>
      </c>
      <c r="AC2145" t="s">
        <v>162</v>
      </c>
      <c r="AD2145" t="s">
        <v>2272</v>
      </c>
      <c r="AF2145" t="s">
        <v>49</v>
      </c>
      <c r="AL2145" s="1" t="s">
        <v>49</v>
      </c>
      <c r="AM2145" t="s">
        <v>1278</v>
      </c>
      <c r="AN2145" t="s">
        <v>109</v>
      </c>
      <c r="AO2145" t="s">
        <v>1280</v>
      </c>
      <c r="AP2145" t="s">
        <v>51</v>
      </c>
      <c r="AQ2145" s="5">
        <v>0</v>
      </c>
    </row>
    <row r="2146" spans="1:43" x14ac:dyDescent="0.2">
      <c r="A2146" t="s">
        <v>1266</v>
      </c>
      <c r="B2146" t="s">
        <v>1267</v>
      </c>
      <c r="C2146" s="1">
        <v>2017</v>
      </c>
      <c r="D2146" t="s">
        <v>811</v>
      </c>
      <c r="F2146" s="1" t="s">
        <v>82</v>
      </c>
      <c r="G2146" t="s">
        <v>86</v>
      </c>
      <c r="H2146" t="s">
        <v>350</v>
      </c>
      <c r="I2146">
        <v>2014</v>
      </c>
      <c r="J2146">
        <v>0.3</v>
      </c>
      <c r="K2146" t="s">
        <v>109</v>
      </c>
      <c r="L2146">
        <v>3</v>
      </c>
      <c r="N2146" t="s">
        <v>127</v>
      </c>
      <c r="O2146" t="s">
        <v>1268</v>
      </c>
      <c r="P2146" t="s">
        <v>1269</v>
      </c>
      <c r="Q2146" s="1" t="s">
        <v>2281</v>
      </c>
      <c r="R2146" s="1" t="s">
        <v>2282</v>
      </c>
      <c r="S2146" s="1" t="s">
        <v>2304</v>
      </c>
      <c r="T2146" t="s">
        <v>421</v>
      </c>
      <c r="U2146" t="s">
        <v>421</v>
      </c>
      <c r="X2146" t="s">
        <v>161</v>
      </c>
      <c r="Y2146" t="s">
        <v>2272</v>
      </c>
      <c r="Z2146" t="s">
        <v>2272</v>
      </c>
      <c r="AA2146" t="s">
        <v>2272</v>
      </c>
      <c r="AB2146" t="s">
        <v>2272</v>
      </c>
      <c r="AC2146" t="s">
        <v>162</v>
      </c>
      <c r="AD2146" t="s">
        <v>2272</v>
      </c>
      <c r="AF2146" t="s">
        <v>49</v>
      </c>
      <c r="AL2146" s="1" t="s">
        <v>49</v>
      </c>
      <c r="AM2146" t="s">
        <v>1278</v>
      </c>
      <c r="AN2146" t="s">
        <v>109</v>
      </c>
      <c r="AO2146" t="s">
        <v>1280</v>
      </c>
      <c r="AP2146" t="s">
        <v>51</v>
      </c>
      <c r="AQ2146" s="5">
        <v>0</v>
      </c>
    </row>
    <row r="2147" spans="1:43" x14ac:dyDescent="0.2">
      <c r="A2147" t="s">
        <v>1266</v>
      </c>
      <c r="B2147" t="s">
        <v>1267</v>
      </c>
      <c r="C2147" s="1">
        <v>2017</v>
      </c>
      <c r="D2147" t="s">
        <v>811</v>
      </c>
      <c r="F2147" s="1" t="s">
        <v>82</v>
      </c>
      <c r="G2147" t="s">
        <v>86</v>
      </c>
      <c r="H2147" t="s">
        <v>350</v>
      </c>
      <c r="I2147">
        <v>2014</v>
      </c>
      <c r="J2147">
        <v>0.3</v>
      </c>
      <c r="K2147" t="s">
        <v>109</v>
      </c>
      <c r="L2147">
        <v>3</v>
      </c>
      <c r="N2147" t="s">
        <v>121</v>
      </c>
      <c r="O2147" t="s">
        <v>121</v>
      </c>
      <c r="P2147" t="s">
        <v>286</v>
      </c>
      <c r="Q2147" s="1" t="s">
        <v>2292</v>
      </c>
      <c r="R2147" s="1" t="s">
        <v>264</v>
      </c>
      <c r="S2147" s="1" t="s">
        <v>264</v>
      </c>
      <c r="T2147" t="s">
        <v>421</v>
      </c>
      <c r="U2147" t="s">
        <v>421</v>
      </c>
      <c r="X2147" t="s">
        <v>161</v>
      </c>
      <c r="Y2147" t="s">
        <v>2272</v>
      </c>
      <c r="Z2147" t="s">
        <v>2272</v>
      </c>
      <c r="AA2147" t="s">
        <v>2272</v>
      </c>
      <c r="AB2147" t="s">
        <v>2272</v>
      </c>
      <c r="AC2147" t="s">
        <v>162</v>
      </c>
      <c r="AD2147" t="s">
        <v>2272</v>
      </c>
      <c r="AF2147" t="s">
        <v>49</v>
      </c>
      <c r="AL2147" s="1" t="s">
        <v>49</v>
      </c>
      <c r="AM2147" t="s">
        <v>1278</v>
      </c>
      <c r="AN2147" t="s">
        <v>109</v>
      </c>
      <c r="AO2147" t="s">
        <v>1280</v>
      </c>
      <c r="AP2147" t="s">
        <v>51</v>
      </c>
      <c r="AQ2147" s="5">
        <v>0</v>
      </c>
    </row>
    <row r="2148" spans="1:43" x14ac:dyDescent="0.2">
      <c r="A2148" t="s">
        <v>1266</v>
      </c>
      <c r="B2148" t="s">
        <v>1267</v>
      </c>
      <c r="C2148" s="1">
        <v>2017</v>
      </c>
      <c r="D2148" t="s">
        <v>811</v>
      </c>
      <c r="F2148" s="1" t="s">
        <v>82</v>
      </c>
      <c r="G2148" t="s">
        <v>86</v>
      </c>
      <c r="H2148" t="s">
        <v>350</v>
      </c>
      <c r="I2148">
        <v>2014</v>
      </c>
      <c r="J2148">
        <v>0.3</v>
      </c>
      <c r="K2148" t="s">
        <v>109</v>
      </c>
      <c r="L2148">
        <v>3</v>
      </c>
      <c r="N2148" t="s">
        <v>127</v>
      </c>
      <c r="O2148" t="s">
        <v>1270</v>
      </c>
      <c r="P2148" t="s">
        <v>2260</v>
      </c>
      <c r="Q2148" s="1" t="s">
        <v>2281</v>
      </c>
      <c r="R2148" s="1" t="s">
        <v>2301</v>
      </c>
      <c r="S2148" s="1" t="s">
        <v>2303</v>
      </c>
      <c r="T2148" t="s">
        <v>421</v>
      </c>
      <c r="U2148" t="s">
        <v>421</v>
      </c>
      <c r="X2148" t="s">
        <v>161</v>
      </c>
      <c r="Y2148" t="s">
        <v>2272</v>
      </c>
      <c r="Z2148" t="s">
        <v>2272</v>
      </c>
      <c r="AA2148" t="s">
        <v>2272</v>
      </c>
      <c r="AB2148" t="s">
        <v>2272</v>
      </c>
      <c r="AC2148" t="s">
        <v>162</v>
      </c>
      <c r="AD2148" t="s">
        <v>2272</v>
      </c>
      <c r="AF2148" t="s">
        <v>49</v>
      </c>
      <c r="AL2148" s="1" t="s">
        <v>49</v>
      </c>
      <c r="AM2148" t="s">
        <v>1278</v>
      </c>
      <c r="AN2148" t="s">
        <v>109</v>
      </c>
      <c r="AO2148" t="s">
        <v>1280</v>
      </c>
      <c r="AP2148" t="s">
        <v>51</v>
      </c>
      <c r="AQ2148" s="5">
        <v>0</v>
      </c>
    </row>
    <row r="2149" spans="1:43" x14ac:dyDescent="0.2">
      <c r="A2149" t="s">
        <v>1266</v>
      </c>
      <c r="B2149" t="s">
        <v>1267</v>
      </c>
      <c r="C2149" s="1">
        <v>2017</v>
      </c>
      <c r="D2149" t="s">
        <v>811</v>
      </c>
      <c r="F2149" s="1" t="s">
        <v>82</v>
      </c>
      <c r="G2149" t="s">
        <v>86</v>
      </c>
      <c r="H2149" t="s">
        <v>350</v>
      </c>
      <c r="I2149">
        <v>2014</v>
      </c>
      <c r="J2149">
        <v>0.3</v>
      </c>
      <c r="K2149" t="s">
        <v>109</v>
      </c>
      <c r="L2149">
        <v>3</v>
      </c>
      <c r="N2149" t="s">
        <v>125</v>
      </c>
      <c r="O2149" t="s">
        <v>1271</v>
      </c>
      <c r="P2149" t="s">
        <v>1272</v>
      </c>
      <c r="Q2149" s="1" t="s">
        <v>2276</v>
      </c>
      <c r="R2149" s="1" t="s">
        <v>751</v>
      </c>
      <c r="S2149" s="1" t="s">
        <v>2345</v>
      </c>
      <c r="T2149" t="s">
        <v>421</v>
      </c>
      <c r="U2149" t="s">
        <v>421</v>
      </c>
      <c r="X2149" t="s">
        <v>161</v>
      </c>
      <c r="Y2149" t="s">
        <v>2272</v>
      </c>
      <c r="Z2149" t="s">
        <v>2272</v>
      </c>
      <c r="AA2149" t="s">
        <v>2272</v>
      </c>
      <c r="AB2149" t="s">
        <v>2272</v>
      </c>
      <c r="AC2149" t="s">
        <v>162</v>
      </c>
      <c r="AD2149" t="s">
        <v>2272</v>
      </c>
      <c r="AF2149" t="s">
        <v>49</v>
      </c>
      <c r="AL2149" s="1" t="s">
        <v>49</v>
      </c>
      <c r="AM2149" t="s">
        <v>1278</v>
      </c>
      <c r="AN2149" t="s">
        <v>109</v>
      </c>
      <c r="AO2149" t="s">
        <v>1280</v>
      </c>
      <c r="AP2149" t="s">
        <v>51</v>
      </c>
      <c r="AQ2149" s="5">
        <v>0</v>
      </c>
    </row>
    <row r="2150" spans="1:43" x14ac:dyDescent="0.2">
      <c r="A2150" t="s">
        <v>1266</v>
      </c>
      <c r="B2150" t="s">
        <v>1267</v>
      </c>
      <c r="C2150" s="1">
        <v>2017</v>
      </c>
      <c r="D2150" t="s">
        <v>811</v>
      </c>
      <c r="F2150" s="1" t="s">
        <v>82</v>
      </c>
      <c r="G2150" t="s">
        <v>86</v>
      </c>
      <c r="H2150" t="s">
        <v>350</v>
      </c>
      <c r="I2150">
        <v>2014</v>
      </c>
      <c r="J2150">
        <v>0.3</v>
      </c>
      <c r="K2150" t="s">
        <v>109</v>
      </c>
      <c r="L2150">
        <v>3</v>
      </c>
      <c r="N2150" t="s">
        <v>127</v>
      </c>
      <c r="O2150" t="s">
        <v>1268</v>
      </c>
      <c r="P2150" t="s">
        <v>1269</v>
      </c>
      <c r="Q2150" s="1" t="s">
        <v>2281</v>
      </c>
      <c r="R2150" s="1" t="s">
        <v>2282</v>
      </c>
      <c r="S2150" s="1" t="s">
        <v>2304</v>
      </c>
      <c r="T2150" t="s">
        <v>396</v>
      </c>
      <c r="U2150" s="1" t="s">
        <v>2403</v>
      </c>
      <c r="X2150" t="s">
        <v>161</v>
      </c>
      <c r="Y2150" t="s">
        <v>2272</v>
      </c>
      <c r="Z2150" t="s">
        <v>2272</v>
      </c>
      <c r="AA2150" t="s">
        <v>2272</v>
      </c>
      <c r="AB2150" t="s">
        <v>2272</v>
      </c>
      <c r="AC2150" t="s">
        <v>162</v>
      </c>
      <c r="AD2150" t="s">
        <v>2272</v>
      </c>
      <c r="AF2150" t="s">
        <v>49</v>
      </c>
      <c r="AL2150" s="1" t="s">
        <v>49</v>
      </c>
      <c r="AM2150" t="s">
        <v>1278</v>
      </c>
      <c r="AN2150" t="s">
        <v>109</v>
      </c>
      <c r="AO2150" t="s">
        <v>1281</v>
      </c>
      <c r="AP2150" t="s">
        <v>51</v>
      </c>
      <c r="AQ2150" s="5">
        <v>0</v>
      </c>
    </row>
    <row r="2151" spans="1:43" x14ac:dyDescent="0.2">
      <c r="A2151" t="s">
        <v>1266</v>
      </c>
      <c r="B2151" t="s">
        <v>1267</v>
      </c>
      <c r="C2151" s="1">
        <v>2017</v>
      </c>
      <c r="D2151" t="s">
        <v>811</v>
      </c>
      <c r="F2151" s="1" t="s">
        <v>82</v>
      </c>
      <c r="G2151" t="s">
        <v>86</v>
      </c>
      <c r="H2151" t="s">
        <v>350</v>
      </c>
      <c r="I2151">
        <v>2014</v>
      </c>
      <c r="J2151">
        <v>0.3</v>
      </c>
      <c r="K2151" t="s">
        <v>109</v>
      </c>
      <c r="L2151">
        <v>3</v>
      </c>
      <c r="N2151" t="s">
        <v>121</v>
      </c>
      <c r="O2151" t="s">
        <v>121</v>
      </c>
      <c r="P2151" t="s">
        <v>286</v>
      </c>
      <c r="Q2151" s="1" t="s">
        <v>2292</v>
      </c>
      <c r="R2151" s="1" t="s">
        <v>264</v>
      </c>
      <c r="S2151" s="1" t="s">
        <v>264</v>
      </c>
      <c r="T2151" t="s">
        <v>396</v>
      </c>
      <c r="U2151" s="1" t="s">
        <v>2404</v>
      </c>
      <c r="X2151" t="s">
        <v>161</v>
      </c>
      <c r="Y2151" t="s">
        <v>2272</v>
      </c>
      <c r="Z2151" t="s">
        <v>2272</v>
      </c>
      <c r="AA2151" t="s">
        <v>2272</v>
      </c>
      <c r="AB2151" t="s">
        <v>2272</v>
      </c>
      <c r="AC2151" t="s">
        <v>162</v>
      </c>
      <c r="AD2151" t="s">
        <v>2272</v>
      </c>
      <c r="AF2151" t="s">
        <v>49</v>
      </c>
      <c r="AL2151" s="1" t="s">
        <v>49</v>
      </c>
      <c r="AM2151" t="s">
        <v>1278</v>
      </c>
      <c r="AN2151" t="s">
        <v>109</v>
      </c>
      <c r="AO2151" t="s">
        <v>1281</v>
      </c>
      <c r="AP2151" t="s">
        <v>51</v>
      </c>
      <c r="AQ2151" s="5">
        <v>0</v>
      </c>
    </row>
    <row r="2152" spans="1:43" x14ac:dyDescent="0.2">
      <c r="A2152" t="s">
        <v>1266</v>
      </c>
      <c r="B2152" t="s">
        <v>1267</v>
      </c>
      <c r="C2152" s="1">
        <v>2017</v>
      </c>
      <c r="D2152" t="s">
        <v>811</v>
      </c>
      <c r="F2152" s="1" t="s">
        <v>82</v>
      </c>
      <c r="G2152" t="s">
        <v>86</v>
      </c>
      <c r="H2152" t="s">
        <v>350</v>
      </c>
      <c r="I2152">
        <v>2014</v>
      </c>
      <c r="J2152">
        <v>0.3</v>
      </c>
      <c r="K2152" t="s">
        <v>109</v>
      </c>
      <c r="L2152">
        <v>3</v>
      </c>
      <c r="N2152" t="s">
        <v>127</v>
      </c>
      <c r="O2152" t="s">
        <v>1270</v>
      </c>
      <c r="P2152" t="s">
        <v>2260</v>
      </c>
      <c r="Q2152" s="1" t="s">
        <v>2281</v>
      </c>
      <c r="R2152" s="1" t="s">
        <v>2301</v>
      </c>
      <c r="S2152" s="1" t="s">
        <v>2303</v>
      </c>
      <c r="T2152" t="s">
        <v>396</v>
      </c>
      <c r="U2152" s="1" t="s">
        <v>2405</v>
      </c>
      <c r="X2152" t="s">
        <v>161</v>
      </c>
      <c r="Y2152" t="s">
        <v>2272</v>
      </c>
      <c r="Z2152" t="s">
        <v>2272</v>
      </c>
      <c r="AA2152" t="s">
        <v>2272</v>
      </c>
      <c r="AB2152" t="s">
        <v>2272</v>
      </c>
      <c r="AC2152" t="s">
        <v>162</v>
      </c>
      <c r="AD2152" t="s">
        <v>2272</v>
      </c>
      <c r="AF2152" t="s">
        <v>49</v>
      </c>
      <c r="AL2152" s="1" t="s">
        <v>49</v>
      </c>
      <c r="AM2152" t="s">
        <v>1278</v>
      </c>
      <c r="AN2152" t="s">
        <v>109</v>
      </c>
      <c r="AO2152" t="s">
        <v>1281</v>
      </c>
      <c r="AP2152" t="s">
        <v>51</v>
      </c>
      <c r="AQ2152" s="5">
        <v>0</v>
      </c>
    </row>
    <row r="2153" spans="1:43" x14ac:dyDescent="0.2">
      <c r="A2153" t="s">
        <v>1266</v>
      </c>
      <c r="B2153" t="s">
        <v>1267</v>
      </c>
      <c r="C2153" s="1">
        <v>2017</v>
      </c>
      <c r="D2153" t="s">
        <v>811</v>
      </c>
      <c r="F2153" s="1" t="s">
        <v>82</v>
      </c>
      <c r="G2153" t="s">
        <v>86</v>
      </c>
      <c r="H2153" t="s">
        <v>350</v>
      </c>
      <c r="I2153">
        <v>2014</v>
      </c>
      <c r="J2153">
        <v>0.3</v>
      </c>
      <c r="K2153" t="s">
        <v>109</v>
      </c>
      <c r="L2153">
        <v>3</v>
      </c>
      <c r="N2153" t="s">
        <v>125</v>
      </c>
      <c r="O2153" t="s">
        <v>1271</v>
      </c>
      <c r="P2153" t="s">
        <v>1272</v>
      </c>
      <c r="Q2153" s="1" t="s">
        <v>2276</v>
      </c>
      <c r="R2153" s="1" t="s">
        <v>751</v>
      </c>
      <c r="S2153" s="1" t="s">
        <v>2345</v>
      </c>
      <c r="T2153" t="s">
        <v>396</v>
      </c>
      <c r="U2153" s="1" t="s">
        <v>2406</v>
      </c>
      <c r="X2153" t="s">
        <v>161</v>
      </c>
      <c r="Y2153" t="s">
        <v>2272</v>
      </c>
      <c r="Z2153" t="s">
        <v>2272</v>
      </c>
      <c r="AA2153" t="s">
        <v>2272</v>
      </c>
      <c r="AB2153" t="s">
        <v>2272</v>
      </c>
      <c r="AC2153" t="s">
        <v>162</v>
      </c>
      <c r="AD2153" t="s">
        <v>2272</v>
      </c>
      <c r="AF2153" t="s">
        <v>49</v>
      </c>
      <c r="AL2153" s="1" t="s">
        <v>49</v>
      </c>
      <c r="AM2153" t="s">
        <v>1278</v>
      </c>
      <c r="AN2153" t="s">
        <v>109</v>
      </c>
      <c r="AO2153" t="s">
        <v>1281</v>
      </c>
      <c r="AP2153" t="s">
        <v>51</v>
      </c>
      <c r="AQ2153" s="5">
        <v>0</v>
      </c>
    </row>
    <row r="2154" spans="1:43" x14ac:dyDescent="0.2">
      <c r="A2154" t="s">
        <v>1266</v>
      </c>
      <c r="B2154" t="s">
        <v>1267</v>
      </c>
      <c r="C2154" s="1">
        <v>2017</v>
      </c>
      <c r="D2154" t="s">
        <v>811</v>
      </c>
      <c r="F2154" s="1" t="s">
        <v>82</v>
      </c>
      <c r="G2154" t="s">
        <v>86</v>
      </c>
      <c r="H2154" t="s">
        <v>350</v>
      </c>
      <c r="I2154">
        <v>2014</v>
      </c>
      <c r="J2154">
        <v>0.3</v>
      </c>
      <c r="K2154" t="s">
        <v>109</v>
      </c>
      <c r="L2154">
        <v>3</v>
      </c>
      <c r="N2154" t="s">
        <v>127</v>
      </c>
      <c r="O2154" t="s">
        <v>1268</v>
      </c>
      <c r="P2154" t="s">
        <v>1269</v>
      </c>
      <c r="Q2154" s="1" t="s">
        <v>2281</v>
      </c>
      <c r="R2154" s="1" t="s">
        <v>2282</v>
      </c>
      <c r="S2154" s="1" t="s">
        <v>2304</v>
      </c>
      <c r="T2154" t="s">
        <v>421</v>
      </c>
      <c r="U2154" t="s">
        <v>421</v>
      </c>
      <c r="X2154" t="s">
        <v>161</v>
      </c>
      <c r="Y2154" t="s">
        <v>2272</v>
      </c>
      <c r="Z2154" t="s">
        <v>2272</v>
      </c>
      <c r="AA2154" t="s">
        <v>2272</v>
      </c>
      <c r="AB2154" t="s">
        <v>2272</v>
      </c>
      <c r="AC2154" t="s">
        <v>162</v>
      </c>
      <c r="AD2154" t="s">
        <v>2272</v>
      </c>
      <c r="AF2154" t="s">
        <v>49</v>
      </c>
      <c r="AL2154" s="1" t="s">
        <v>49</v>
      </c>
      <c r="AM2154" t="s">
        <v>1278</v>
      </c>
      <c r="AN2154" t="s">
        <v>109</v>
      </c>
      <c r="AO2154" t="s">
        <v>1281</v>
      </c>
      <c r="AP2154" t="s">
        <v>51</v>
      </c>
      <c r="AQ2154" s="5">
        <v>0</v>
      </c>
    </row>
    <row r="2155" spans="1:43" x14ac:dyDescent="0.2">
      <c r="A2155" t="s">
        <v>1266</v>
      </c>
      <c r="B2155" t="s">
        <v>1267</v>
      </c>
      <c r="C2155" s="1">
        <v>2017</v>
      </c>
      <c r="D2155" t="s">
        <v>811</v>
      </c>
      <c r="F2155" s="1" t="s">
        <v>82</v>
      </c>
      <c r="G2155" t="s">
        <v>86</v>
      </c>
      <c r="H2155" t="s">
        <v>350</v>
      </c>
      <c r="I2155">
        <v>2014</v>
      </c>
      <c r="J2155">
        <v>0.3</v>
      </c>
      <c r="K2155" t="s">
        <v>109</v>
      </c>
      <c r="L2155">
        <v>3</v>
      </c>
      <c r="N2155" t="s">
        <v>121</v>
      </c>
      <c r="O2155" t="s">
        <v>121</v>
      </c>
      <c r="P2155" t="s">
        <v>286</v>
      </c>
      <c r="Q2155" s="1" t="s">
        <v>2292</v>
      </c>
      <c r="R2155" s="1" t="s">
        <v>264</v>
      </c>
      <c r="S2155" s="1" t="s">
        <v>264</v>
      </c>
      <c r="T2155" t="s">
        <v>421</v>
      </c>
      <c r="U2155" t="s">
        <v>421</v>
      </c>
      <c r="X2155" t="s">
        <v>161</v>
      </c>
      <c r="Y2155" t="s">
        <v>2272</v>
      </c>
      <c r="Z2155" t="s">
        <v>2272</v>
      </c>
      <c r="AA2155" t="s">
        <v>2272</v>
      </c>
      <c r="AB2155" t="s">
        <v>2272</v>
      </c>
      <c r="AC2155" t="s">
        <v>162</v>
      </c>
      <c r="AD2155" t="s">
        <v>2272</v>
      </c>
      <c r="AF2155" t="s">
        <v>49</v>
      </c>
      <c r="AL2155" s="1" t="s">
        <v>49</v>
      </c>
      <c r="AM2155" t="s">
        <v>1278</v>
      </c>
      <c r="AN2155" t="s">
        <v>109</v>
      </c>
      <c r="AO2155" t="s">
        <v>1281</v>
      </c>
      <c r="AP2155" t="s">
        <v>51</v>
      </c>
      <c r="AQ2155" s="5">
        <v>0</v>
      </c>
    </row>
    <row r="2156" spans="1:43" x14ac:dyDescent="0.2">
      <c r="A2156" t="s">
        <v>1266</v>
      </c>
      <c r="B2156" t="s">
        <v>1267</v>
      </c>
      <c r="C2156" s="1">
        <v>2017</v>
      </c>
      <c r="D2156" t="s">
        <v>811</v>
      </c>
      <c r="F2156" s="1" t="s">
        <v>82</v>
      </c>
      <c r="G2156" t="s">
        <v>86</v>
      </c>
      <c r="H2156" t="s">
        <v>350</v>
      </c>
      <c r="I2156">
        <v>2014</v>
      </c>
      <c r="J2156">
        <v>0.3</v>
      </c>
      <c r="K2156" t="s">
        <v>109</v>
      </c>
      <c r="L2156">
        <v>3</v>
      </c>
      <c r="N2156" t="s">
        <v>127</v>
      </c>
      <c r="O2156" t="s">
        <v>1270</v>
      </c>
      <c r="P2156" t="s">
        <v>2260</v>
      </c>
      <c r="Q2156" s="1" t="s">
        <v>2281</v>
      </c>
      <c r="R2156" s="1" t="s">
        <v>2301</v>
      </c>
      <c r="S2156" s="1" t="s">
        <v>2303</v>
      </c>
      <c r="T2156" t="s">
        <v>421</v>
      </c>
      <c r="U2156" t="s">
        <v>421</v>
      </c>
      <c r="X2156" t="s">
        <v>161</v>
      </c>
      <c r="Y2156" t="s">
        <v>2272</v>
      </c>
      <c r="Z2156" t="s">
        <v>2272</v>
      </c>
      <c r="AA2156" t="s">
        <v>2272</v>
      </c>
      <c r="AB2156" t="s">
        <v>2272</v>
      </c>
      <c r="AC2156" t="s">
        <v>162</v>
      </c>
      <c r="AD2156" t="s">
        <v>2272</v>
      </c>
      <c r="AF2156" t="s">
        <v>49</v>
      </c>
      <c r="AL2156" s="1" t="s">
        <v>49</v>
      </c>
      <c r="AM2156" t="s">
        <v>1278</v>
      </c>
      <c r="AN2156" t="s">
        <v>109</v>
      </c>
      <c r="AO2156" t="s">
        <v>1281</v>
      </c>
      <c r="AP2156" t="s">
        <v>51</v>
      </c>
      <c r="AQ2156" s="5">
        <v>0</v>
      </c>
    </row>
    <row r="2157" spans="1:43" x14ac:dyDescent="0.2">
      <c r="A2157" t="s">
        <v>1266</v>
      </c>
      <c r="B2157" t="s">
        <v>1267</v>
      </c>
      <c r="C2157" s="1">
        <v>2017</v>
      </c>
      <c r="D2157" t="s">
        <v>811</v>
      </c>
      <c r="F2157" s="1" t="s">
        <v>82</v>
      </c>
      <c r="G2157" t="s">
        <v>86</v>
      </c>
      <c r="H2157" t="s">
        <v>350</v>
      </c>
      <c r="I2157">
        <v>2014</v>
      </c>
      <c r="J2157">
        <v>0.3</v>
      </c>
      <c r="K2157" t="s">
        <v>109</v>
      </c>
      <c r="L2157">
        <v>3</v>
      </c>
      <c r="N2157" t="s">
        <v>125</v>
      </c>
      <c r="O2157" t="s">
        <v>1271</v>
      </c>
      <c r="P2157" t="s">
        <v>1272</v>
      </c>
      <c r="Q2157" s="1" t="s">
        <v>2276</v>
      </c>
      <c r="R2157" s="1" t="s">
        <v>751</v>
      </c>
      <c r="S2157" s="1" t="s">
        <v>2345</v>
      </c>
      <c r="T2157" t="s">
        <v>421</v>
      </c>
      <c r="U2157" t="s">
        <v>421</v>
      </c>
      <c r="X2157" t="s">
        <v>161</v>
      </c>
      <c r="Y2157" t="s">
        <v>2272</v>
      </c>
      <c r="Z2157" t="s">
        <v>2272</v>
      </c>
      <c r="AA2157" t="s">
        <v>2272</v>
      </c>
      <c r="AB2157" t="s">
        <v>2272</v>
      </c>
      <c r="AC2157" t="s">
        <v>162</v>
      </c>
      <c r="AD2157" t="s">
        <v>2272</v>
      </c>
      <c r="AF2157" t="s">
        <v>49</v>
      </c>
      <c r="AL2157" s="1" t="s">
        <v>49</v>
      </c>
      <c r="AM2157" t="s">
        <v>1278</v>
      </c>
      <c r="AN2157" t="s">
        <v>109</v>
      </c>
      <c r="AO2157" t="s">
        <v>1281</v>
      </c>
      <c r="AP2157" t="s">
        <v>51</v>
      </c>
      <c r="AQ2157" s="5">
        <v>0</v>
      </c>
    </row>
    <row r="2158" spans="1:43" x14ac:dyDescent="0.2">
      <c r="A2158" t="s">
        <v>1282</v>
      </c>
      <c r="B2158" t="s">
        <v>939</v>
      </c>
      <c r="C2158" s="1">
        <v>2016</v>
      </c>
      <c r="D2158" t="s">
        <v>811</v>
      </c>
      <c r="F2158" s="1" t="s">
        <v>710</v>
      </c>
      <c r="G2158" t="s">
        <v>86</v>
      </c>
      <c r="H2158" t="s">
        <v>158</v>
      </c>
      <c r="I2158">
        <v>2013</v>
      </c>
      <c r="J2158">
        <v>1</v>
      </c>
      <c r="K2158" t="s">
        <v>42</v>
      </c>
      <c r="M2158">
        <f t="shared" ref="M2158:M2164" si="46">0.15*0.15</f>
        <v>2.2499999999999999E-2</v>
      </c>
      <c r="N2158" t="s">
        <v>126</v>
      </c>
      <c r="O2158" t="s">
        <v>126</v>
      </c>
      <c r="P2158" t="s">
        <v>2572</v>
      </c>
      <c r="Q2158" s="1" t="s">
        <v>2281</v>
      </c>
      <c r="R2158" s="1" t="s">
        <v>2282</v>
      </c>
      <c r="S2158" s="1" t="s">
        <v>126</v>
      </c>
      <c r="V2158" t="s">
        <v>194</v>
      </c>
      <c r="W2158" t="s">
        <v>356</v>
      </c>
      <c r="X2158" t="s">
        <v>211</v>
      </c>
      <c r="Y2158" t="s">
        <v>2279</v>
      </c>
      <c r="Z2158" t="s">
        <v>2280</v>
      </c>
      <c r="AA2158" t="s">
        <v>2358</v>
      </c>
      <c r="AB2158" t="s">
        <v>2290</v>
      </c>
      <c r="AC2158" t="s">
        <v>152</v>
      </c>
      <c r="AD2158" t="s">
        <v>2278</v>
      </c>
      <c r="AF2158" t="s">
        <v>49</v>
      </c>
      <c r="AI2158" t="s">
        <v>49</v>
      </c>
      <c r="AM2158" t="s">
        <v>1284</v>
      </c>
      <c r="AN2158" t="s">
        <v>154</v>
      </c>
      <c r="AP2158" t="s">
        <v>157</v>
      </c>
    </row>
    <row r="2159" spans="1:43" x14ac:dyDescent="0.2">
      <c r="A2159" t="s">
        <v>1282</v>
      </c>
      <c r="B2159" t="s">
        <v>939</v>
      </c>
      <c r="C2159" s="1">
        <v>2016</v>
      </c>
      <c r="D2159" t="s">
        <v>811</v>
      </c>
      <c r="F2159" s="1" t="s">
        <v>710</v>
      </c>
      <c r="G2159" t="s">
        <v>86</v>
      </c>
      <c r="H2159" t="s">
        <v>158</v>
      </c>
      <c r="I2159">
        <v>2013</v>
      </c>
      <c r="J2159">
        <v>1</v>
      </c>
      <c r="K2159" t="s">
        <v>42</v>
      </c>
      <c r="M2159">
        <f t="shared" si="46"/>
        <v>2.2499999999999999E-2</v>
      </c>
      <c r="N2159" t="s">
        <v>126</v>
      </c>
      <c r="O2159" t="s">
        <v>126</v>
      </c>
      <c r="P2159" t="s">
        <v>2571</v>
      </c>
      <c r="Q2159" s="1" t="s">
        <v>2281</v>
      </c>
      <c r="R2159" s="1" t="s">
        <v>2282</v>
      </c>
      <c r="S2159" s="1" t="s">
        <v>126</v>
      </c>
      <c r="T2159" t="s">
        <v>396</v>
      </c>
      <c r="U2159" s="1" t="s">
        <v>126</v>
      </c>
      <c r="V2159" t="s">
        <v>194</v>
      </c>
      <c r="W2159" t="s">
        <v>356</v>
      </c>
      <c r="X2159" t="s">
        <v>161</v>
      </c>
      <c r="Y2159" t="s">
        <v>2272</v>
      </c>
      <c r="Z2159" t="s">
        <v>2272</v>
      </c>
      <c r="AA2159" t="s">
        <v>2272</v>
      </c>
      <c r="AB2159" t="s">
        <v>2272</v>
      </c>
      <c r="AC2159" t="s">
        <v>162</v>
      </c>
      <c r="AD2159" t="s">
        <v>2272</v>
      </c>
      <c r="AF2159" t="s">
        <v>49</v>
      </c>
      <c r="AI2159" t="s">
        <v>49</v>
      </c>
      <c r="AM2159" t="s">
        <v>1284</v>
      </c>
      <c r="AN2159" t="s">
        <v>165</v>
      </c>
      <c r="AP2159" t="s">
        <v>51</v>
      </c>
      <c r="AQ2159" s="5">
        <v>0</v>
      </c>
    </row>
    <row r="2160" spans="1:43" x14ac:dyDescent="0.2">
      <c r="A2160" t="s">
        <v>1282</v>
      </c>
      <c r="B2160" t="s">
        <v>939</v>
      </c>
      <c r="C2160" s="1">
        <v>2016</v>
      </c>
      <c r="D2160" t="s">
        <v>811</v>
      </c>
      <c r="F2160" s="1" t="s">
        <v>710</v>
      </c>
      <c r="G2160" t="s">
        <v>86</v>
      </c>
      <c r="H2160" t="s">
        <v>158</v>
      </c>
      <c r="I2160">
        <v>2013</v>
      </c>
      <c r="J2160">
        <v>1</v>
      </c>
      <c r="K2160" t="s">
        <v>42</v>
      </c>
      <c r="M2160">
        <f t="shared" si="46"/>
        <v>2.2499999999999999E-2</v>
      </c>
      <c r="N2160" t="s">
        <v>126</v>
      </c>
      <c r="O2160" t="s">
        <v>126</v>
      </c>
      <c r="P2160" t="s">
        <v>941</v>
      </c>
      <c r="Q2160" s="1" t="s">
        <v>2281</v>
      </c>
      <c r="R2160" s="1" t="s">
        <v>2282</v>
      </c>
      <c r="S2160" s="1" t="s">
        <v>126</v>
      </c>
      <c r="T2160" t="s">
        <v>396</v>
      </c>
      <c r="U2160" s="1" t="s">
        <v>126</v>
      </c>
      <c r="V2160" t="s">
        <v>194</v>
      </c>
      <c r="W2160" t="s">
        <v>356</v>
      </c>
      <c r="X2160" t="s">
        <v>161</v>
      </c>
      <c r="Y2160" t="s">
        <v>2272</v>
      </c>
      <c r="Z2160" t="s">
        <v>2272</v>
      </c>
      <c r="AA2160" t="s">
        <v>2272</v>
      </c>
      <c r="AB2160" t="s">
        <v>2272</v>
      </c>
      <c r="AC2160" t="s">
        <v>162</v>
      </c>
      <c r="AD2160" t="s">
        <v>2272</v>
      </c>
      <c r="AF2160" t="s">
        <v>49</v>
      </c>
      <c r="AI2160" t="s">
        <v>49</v>
      </c>
      <c r="AM2160" t="s">
        <v>1284</v>
      </c>
      <c r="AN2160" t="s">
        <v>165</v>
      </c>
      <c r="AP2160" t="s">
        <v>51</v>
      </c>
      <c r="AQ2160" s="5">
        <v>0</v>
      </c>
    </row>
    <row r="2161" spans="1:45" x14ac:dyDescent="0.2">
      <c r="A2161" t="s">
        <v>1282</v>
      </c>
      <c r="B2161" t="s">
        <v>939</v>
      </c>
      <c r="C2161" s="1">
        <v>2016</v>
      </c>
      <c r="D2161" t="s">
        <v>811</v>
      </c>
      <c r="F2161" s="1" t="s">
        <v>710</v>
      </c>
      <c r="G2161" t="s">
        <v>86</v>
      </c>
      <c r="H2161" t="s">
        <v>158</v>
      </c>
      <c r="I2161">
        <v>2013</v>
      </c>
      <c r="J2161">
        <v>1</v>
      </c>
      <c r="K2161" t="s">
        <v>42</v>
      </c>
      <c r="M2161">
        <f t="shared" si="46"/>
        <v>2.2499999999999999E-2</v>
      </c>
      <c r="N2161" t="s">
        <v>126</v>
      </c>
      <c r="O2161" t="s">
        <v>126</v>
      </c>
      <c r="P2161" t="s">
        <v>2572</v>
      </c>
      <c r="Q2161" s="1" t="s">
        <v>2281</v>
      </c>
      <c r="R2161" s="1" t="s">
        <v>2282</v>
      </c>
      <c r="S2161" s="1" t="s">
        <v>126</v>
      </c>
      <c r="V2161" t="s">
        <v>194</v>
      </c>
      <c r="W2161" t="s">
        <v>356</v>
      </c>
      <c r="X2161" t="s">
        <v>1283</v>
      </c>
      <c r="Y2161" t="s">
        <v>2279</v>
      </c>
      <c r="Z2161" t="s">
        <v>2280</v>
      </c>
      <c r="AA2161" t="s">
        <v>2286</v>
      </c>
      <c r="AB2161" t="s">
        <v>2287</v>
      </c>
      <c r="AC2161" t="s">
        <v>162</v>
      </c>
      <c r="AD2161" t="s">
        <v>2278</v>
      </c>
      <c r="AF2161" t="s">
        <v>49</v>
      </c>
      <c r="AI2161" t="s">
        <v>49</v>
      </c>
      <c r="AM2161" t="s">
        <v>1284</v>
      </c>
      <c r="AN2161" t="s">
        <v>165</v>
      </c>
      <c r="AP2161" t="s">
        <v>49</v>
      </c>
    </row>
    <row r="2162" spans="1:45" x14ac:dyDescent="0.2">
      <c r="A2162" t="s">
        <v>1282</v>
      </c>
      <c r="B2162" t="s">
        <v>939</v>
      </c>
      <c r="C2162" s="1">
        <v>2016</v>
      </c>
      <c r="D2162" t="s">
        <v>811</v>
      </c>
      <c r="F2162" s="1" t="s">
        <v>710</v>
      </c>
      <c r="G2162" t="s">
        <v>86</v>
      </c>
      <c r="H2162" t="s">
        <v>158</v>
      </c>
      <c r="I2162">
        <v>2013</v>
      </c>
      <c r="J2162">
        <v>1</v>
      </c>
      <c r="K2162" t="s">
        <v>42</v>
      </c>
      <c r="M2162">
        <f t="shared" si="46"/>
        <v>2.2499999999999999E-2</v>
      </c>
      <c r="N2162" t="s">
        <v>126</v>
      </c>
      <c r="O2162" t="s">
        <v>126</v>
      </c>
      <c r="P2162" t="s">
        <v>2571</v>
      </c>
      <c r="Q2162" s="1" t="s">
        <v>2281</v>
      </c>
      <c r="R2162" s="1" t="s">
        <v>2282</v>
      </c>
      <c r="S2162" s="1" t="s">
        <v>126</v>
      </c>
      <c r="T2162" t="s">
        <v>396</v>
      </c>
      <c r="U2162" s="1" t="s">
        <v>126</v>
      </c>
      <c r="V2162" t="s">
        <v>194</v>
      </c>
      <c r="W2162" t="s">
        <v>356</v>
      </c>
      <c r="X2162" t="s">
        <v>161</v>
      </c>
      <c r="Y2162" t="s">
        <v>2272</v>
      </c>
      <c r="Z2162" t="s">
        <v>2272</v>
      </c>
      <c r="AA2162" t="s">
        <v>2272</v>
      </c>
      <c r="AB2162" t="s">
        <v>2272</v>
      </c>
      <c r="AC2162" t="s">
        <v>162</v>
      </c>
      <c r="AD2162" t="s">
        <v>2272</v>
      </c>
      <c r="AF2162" t="s">
        <v>49</v>
      </c>
      <c r="AI2162" t="s">
        <v>49</v>
      </c>
      <c r="AM2162" t="s">
        <v>1284</v>
      </c>
      <c r="AN2162" t="s">
        <v>154</v>
      </c>
      <c r="AP2162" t="s">
        <v>51</v>
      </c>
      <c r="AQ2162" s="5">
        <v>0</v>
      </c>
    </row>
    <row r="2163" spans="1:45" x14ac:dyDescent="0.2">
      <c r="A2163" t="s">
        <v>1282</v>
      </c>
      <c r="B2163" t="s">
        <v>939</v>
      </c>
      <c r="C2163" s="1">
        <v>2016</v>
      </c>
      <c r="D2163" t="s">
        <v>811</v>
      </c>
      <c r="F2163" s="1" t="s">
        <v>710</v>
      </c>
      <c r="G2163" t="s">
        <v>86</v>
      </c>
      <c r="H2163" t="s">
        <v>158</v>
      </c>
      <c r="I2163">
        <v>2013</v>
      </c>
      <c r="J2163">
        <v>1</v>
      </c>
      <c r="K2163" t="s">
        <v>42</v>
      </c>
      <c r="M2163">
        <f t="shared" si="46"/>
        <v>2.2499999999999999E-2</v>
      </c>
      <c r="N2163" t="s">
        <v>126</v>
      </c>
      <c r="O2163" t="s">
        <v>126</v>
      </c>
      <c r="P2163" t="s">
        <v>941</v>
      </c>
      <c r="Q2163" s="1" t="s">
        <v>2281</v>
      </c>
      <c r="R2163" s="1" t="s">
        <v>2282</v>
      </c>
      <c r="S2163" s="1" t="s">
        <v>126</v>
      </c>
      <c r="T2163" t="s">
        <v>396</v>
      </c>
      <c r="U2163" s="1" t="s">
        <v>126</v>
      </c>
      <c r="V2163" t="s">
        <v>194</v>
      </c>
      <c r="W2163" t="s">
        <v>356</v>
      </c>
      <c r="X2163" t="s">
        <v>161</v>
      </c>
      <c r="Y2163" t="s">
        <v>2272</v>
      </c>
      <c r="Z2163" t="s">
        <v>2272</v>
      </c>
      <c r="AA2163" t="s">
        <v>2272</v>
      </c>
      <c r="AB2163" t="s">
        <v>2272</v>
      </c>
      <c r="AC2163" t="s">
        <v>162</v>
      </c>
      <c r="AD2163" t="s">
        <v>2272</v>
      </c>
      <c r="AF2163" t="s">
        <v>49</v>
      </c>
      <c r="AI2163" t="s">
        <v>49</v>
      </c>
      <c r="AM2163" t="s">
        <v>1284</v>
      </c>
      <c r="AN2163" t="s">
        <v>154</v>
      </c>
      <c r="AP2163" t="s">
        <v>51</v>
      </c>
      <c r="AQ2163" s="5">
        <v>0</v>
      </c>
    </row>
    <row r="2164" spans="1:45" x14ac:dyDescent="0.2">
      <c r="A2164" t="s">
        <v>1282</v>
      </c>
      <c r="B2164" t="s">
        <v>939</v>
      </c>
      <c r="C2164" s="1">
        <v>2016</v>
      </c>
      <c r="D2164" t="s">
        <v>811</v>
      </c>
      <c r="F2164" s="1" t="s">
        <v>710</v>
      </c>
      <c r="G2164" t="s">
        <v>86</v>
      </c>
      <c r="H2164" t="s">
        <v>158</v>
      </c>
      <c r="I2164">
        <v>2013</v>
      </c>
      <c r="J2164">
        <v>1</v>
      </c>
      <c r="K2164" t="s">
        <v>42</v>
      </c>
      <c r="M2164">
        <f t="shared" si="46"/>
        <v>2.2499999999999999E-2</v>
      </c>
      <c r="N2164" t="s">
        <v>126</v>
      </c>
      <c r="O2164" t="s">
        <v>126</v>
      </c>
      <c r="P2164" t="s">
        <v>2572</v>
      </c>
      <c r="Q2164" s="1" t="s">
        <v>2281</v>
      </c>
      <c r="R2164" s="1" t="s">
        <v>2282</v>
      </c>
      <c r="S2164" s="1" t="s">
        <v>126</v>
      </c>
      <c r="V2164" t="s">
        <v>194</v>
      </c>
      <c r="W2164" t="s">
        <v>356</v>
      </c>
      <c r="X2164" t="s">
        <v>1283</v>
      </c>
      <c r="Y2164" t="s">
        <v>2279</v>
      </c>
      <c r="Z2164" t="s">
        <v>2280</v>
      </c>
      <c r="AA2164" t="s">
        <v>2286</v>
      </c>
      <c r="AB2164" t="s">
        <v>2287</v>
      </c>
      <c r="AC2164" t="s">
        <v>162</v>
      </c>
      <c r="AD2164" t="s">
        <v>2278</v>
      </c>
      <c r="AF2164" t="s">
        <v>49</v>
      </c>
      <c r="AI2164" t="s">
        <v>49</v>
      </c>
      <c r="AM2164" t="s">
        <v>1284</v>
      </c>
      <c r="AN2164" t="s">
        <v>154</v>
      </c>
      <c r="AP2164" t="s">
        <v>51</v>
      </c>
    </row>
    <row r="2165" spans="1:45" x14ac:dyDescent="0.2">
      <c r="A2165" t="s">
        <v>1285</v>
      </c>
      <c r="B2165" t="s">
        <v>943</v>
      </c>
      <c r="C2165" s="1">
        <v>2016</v>
      </c>
      <c r="D2165" t="s">
        <v>811</v>
      </c>
      <c r="F2165" s="1" t="s">
        <v>83</v>
      </c>
      <c r="G2165" t="s">
        <v>85</v>
      </c>
      <c r="H2165" t="s">
        <v>96</v>
      </c>
      <c r="I2165">
        <v>2014</v>
      </c>
      <c r="J2165">
        <v>0.12</v>
      </c>
      <c r="K2165" t="s">
        <v>111</v>
      </c>
      <c r="M2165">
        <f>0.36*0.29</f>
        <v>0.10439999999999999</v>
      </c>
      <c r="N2165" t="s">
        <v>127</v>
      </c>
      <c r="O2165" t="s">
        <v>1235</v>
      </c>
      <c r="P2165" t="s">
        <v>691</v>
      </c>
      <c r="Q2165" s="1" t="s">
        <v>2281</v>
      </c>
      <c r="R2165" s="1" t="s">
        <v>2301</v>
      </c>
      <c r="S2165" s="1" t="s">
        <v>2303</v>
      </c>
      <c r="T2165" t="s">
        <v>421</v>
      </c>
      <c r="U2165" t="s">
        <v>421</v>
      </c>
      <c r="X2165" t="s">
        <v>161</v>
      </c>
      <c r="Y2165" t="s">
        <v>2272</v>
      </c>
      <c r="Z2165" t="s">
        <v>2272</v>
      </c>
      <c r="AA2165" t="s">
        <v>2272</v>
      </c>
      <c r="AB2165" t="s">
        <v>2272</v>
      </c>
      <c r="AC2165" t="s">
        <v>162</v>
      </c>
      <c r="AD2165" t="s">
        <v>2272</v>
      </c>
      <c r="AF2165" t="s">
        <v>49</v>
      </c>
      <c r="AL2165" t="s">
        <v>49</v>
      </c>
      <c r="AM2165" t="s">
        <v>1286</v>
      </c>
      <c r="AN2165" t="s">
        <v>166</v>
      </c>
      <c r="AP2165" t="s">
        <v>157</v>
      </c>
      <c r="AQ2165" s="5">
        <v>1</v>
      </c>
    </row>
    <row r="2166" spans="1:45" x14ac:dyDescent="0.2">
      <c r="A2166" t="s">
        <v>1285</v>
      </c>
      <c r="B2166" t="s">
        <v>943</v>
      </c>
      <c r="C2166" s="1">
        <v>2016</v>
      </c>
      <c r="D2166" t="s">
        <v>811</v>
      </c>
      <c r="F2166" s="1" t="s">
        <v>83</v>
      </c>
      <c r="G2166" t="s">
        <v>85</v>
      </c>
      <c r="H2166" t="s">
        <v>96</v>
      </c>
      <c r="I2166">
        <v>2014</v>
      </c>
      <c r="J2166">
        <v>0.12</v>
      </c>
      <c r="K2166" t="s">
        <v>111</v>
      </c>
      <c r="M2166">
        <f>0.36*0.29</f>
        <v>0.10439999999999999</v>
      </c>
      <c r="N2166" t="s">
        <v>127</v>
      </c>
      <c r="O2166" t="s">
        <v>1235</v>
      </c>
      <c r="P2166" t="s">
        <v>691</v>
      </c>
      <c r="Q2166" s="1" t="s">
        <v>2281</v>
      </c>
      <c r="R2166" s="1" t="s">
        <v>2301</v>
      </c>
      <c r="S2166" s="1" t="s">
        <v>2303</v>
      </c>
      <c r="T2166" t="s">
        <v>421</v>
      </c>
      <c r="U2166" t="s">
        <v>421</v>
      </c>
      <c r="X2166" t="s">
        <v>161</v>
      </c>
      <c r="Y2166" t="s">
        <v>2272</v>
      </c>
      <c r="Z2166" t="s">
        <v>2272</v>
      </c>
      <c r="AA2166" t="s">
        <v>2272</v>
      </c>
      <c r="AB2166" t="s">
        <v>2272</v>
      </c>
      <c r="AC2166" t="s">
        <v>162</v>
      </c>
      <c r="AD2166" t="s">
        <v>2272</v>
      </c>
      <c r="AF2166" t="s">
        <v>49</v>
      </c>
      <c r="AL2166" t="s">
        <v>49</v>
      </c>
      <c r="AM2166" t="s">
        <v>1286</v>
      </c>
      <c r="AN2166" t="s">
        <v>109</v>
      </c>
      <c r="AO2166" t="s">
        <v>1287</v>
      </c>
      <c r="AP2166" t="s">
        <v>173</v>
      </c>
      <c r="AQ2166" s="5">
        <v>2</v>
      </c>
    </row>
    <row r="2167" spans="1:45" x14ac:dyDescent="0.2">
      <c r="A2167" t="s">
        <v>1285</v>
      </c>
      <c r="B2167" t="s">
        <v>943</v>
      </c>
      <c r="C2167" s="1">
        <v>2016</v>
      </c>
      <c r="D2167" t="s">
        <v>811</v>
      </c>
      <c r="F2167" s="1" t="s">
        <v>83</v>
      </c>
      <c r="G2167" t="s">
        <v>85</v>
      </c>
      <c r="H2167" t="s">
        <v>96</v>
      </c>
      <c r="I2167">
        <v>2014</v>
      </c>
      <c r="J2167">
        <v>0.12</v>
      </c>
      <c r="K2167" t="s">
        <v>111</v>
      </c>
      <c r="M2167">
        <f>0.36*0.29</f>
        <v>0.10439999999999999</v>
      </c>
      <c r="N2167" t="s">
        <v>127</v>
      </c>
      <c r="O2167" t="s">
        <v>1235</v>
      </c>
      <c r="P2167" t="s">
        <v>691</v>
      </c>
      <c r="Q2167" s="1" t="s">
        <v>2281</v>
      </c>
      <c r="R2167" s="1" t="s">
        <v>2301</v>
      </c>
      <c r="S2167" s="1" t="s">
        <v>2303</v>
      </c>
      <c r="T2167" t="s">
        <v>421</v>
      </c>
      <c r="U2167" t="s">
        <v>421</v>
      </c>
      <c r="X2167" t="s">
        <v>161</v>
      </c>
      <c r="Y2167" t="s">
        <v>2272</v>
      </c>
      <c r="Z2167" t="s">
        <v>2272</v>
      </c>
      <c r="AA2167" t="s">
        <v>2272</v>
      </c>
      <c r="AB2167" t="s">
        <v>2272</v>
      </c>
      <c r="AC2167" t="s">
        <v>162</v>
      </c>
      <c r="AD2167" t="s">
        <v>2272</v>
      </c>
      <c r="AF2167" t="s">
        <v>49</v>
      </c>
      <c r="AI2167" t="s">
        <v>49</v>
      </c>
      <c r="AM2167" t="s">
        <v>1288</v>
      </c>
      <c r="AN2167" t="s">
        <v>166</v>
      </c>
      <c r="AP2167" t="s">
        <v>157</v>
      </c>
      <c r="AQ2167" s="5">
        <v>1</v>
      </c>
    </row>
    <row r="2168" spans="1:45" x14ac:dyDescent="0.2">
      <c r="A2168" t="s">
        <v>1285</v>
      </c>
      <c r="B2168" t="s">
        <v>943</v>
      </c>
      <c r="C2168" s="1">
        <v>2016</v>
      </c>
      <c r="D2168" t="s">
        <v>811</v>
      </c>
      <c r="F2168" s="1" t="s">
        <v>83</v>
      </c>
      <c r="G2168" t="s">
        <v>85</v>
      </c>
      <c r="H2168" t="s">
        <v>96</v>
      </c>
      <c r="I2168">
        <v>2014</v>
      </c>
      <c r="J2168">
        <v>0.12</v>
      </c>
      <c r="K2168" t="s">
        <v>111</v>
      </c>
      <c r="M2168">
        <f>0.36*0.29</f>
        <v>0.10439999999999999</v>
      </c>
      <c r="N2168" t="s">
        <v>127</v>
      </c>
      <c r="O2168" t="s">
        <v>1235</v>
      </c>
      <c r="P2168" t="s">
        <v>691</v>
      </c>
      <c r="Q2168" s="1" t="s">
        <v>2281</v>
      </c>
      <c r="R2168" s="1" t="s">
        <v>2301</v>
      </c>
      <c r="S2168" s="1" t="s">
        <v>2303</v>
      </c>
      <c r="T2168" t="s">
        <v>421</v>
      </c>
      <c r="U2168" t="s">
        <v>421</v>
      </c>
      <c r="X2168" t="s">
        <v>161</v>
      </c>
      <c r="Y2168" t="s">
        <v>2272</v>
      </c>
      <c r="Z2168" t="s">
        <v>2272</v>
      </c>
      <c r="AA2168" t="s">
        <v>2272</v>
      </c>
      <c r="AB2168" t="s">
        <v>2272</v>
      </c>
      <c r="AC2168" t="s">
        <v>162</v>
      </c>
      <c r="AD2168" t="s">
        <v>2272</v>
      </c>
      <c r="AF2168" t="s">
        <v>49</v>
      </c>
      <c r="AI2168" t="s">
        <v>49</v>
      </c>
      <c r="AM2168" t="s">
        <v>1288</v>
      </c>
      <c r="AN2168" t="s">
        <v>154</v>
      </c>
      <c r="AP2168" t="s">
        <v>157</v>
      </c>
      <c r="AQ2168" s="5">
        <v>1</v>
      </c>
    </row>
    <row r="2169" spans="1:45" x14ac:dyDescent="0.2">
      <c r="A2169" t="s">
        <v>1285</v>
      </c>
      <c r="B2169" t="s">
        <v>943</v>
      </c>
      <c r="C2169" s="1">
        <v>2016</v>
      </c>
      <c r="D2169" t="s">
        <v>811</v>
      </c>
      <c r="F2169" s="1" t="s">
        <v>83</v>
      </c>
      <c r="G2169" t="s">
        <v>85</v>
      </c>
      <c r="H2169" t="s">
        <v>96</v>
      </c>
      <c r="I2169">
        <v>2014</v>
      </c>
      <c r="J2169">
        <v>0.12</v>
      </c>
      <c r="K2169" t="s">
        <v>111</v>
      </c>
      <c r="M2169">
        <f>0.36*0.29</f>
        <v>0.10439999999999999</v>
      </c>
      <c r="N2169" t="s">
        <v>127</v>
      </c>
      <c r="O2169" t="s">
        <v>1235</v>
      </c>
      <c r="P2169" t="s">
        <v>691</v>
      </c>
      <c r="Q2169" s="1" t="s">
        <v>2281</v>
      </c>
      <c r="R2169" s="1" t="s">
        <v>2301</v>
      </c>
      <c r="S2169" s="1" t="s">
        <v>2303</v>
      </c>
      <c r="T2169" t="s">
        <v>421</v>
      </c>
      <c r="U2169" t="s">
        <v>421</v>
      </c>
      <c r="X2169" t="s">
        <v>161</v>
      </c>
      <c r="Y2169" t="s">
        <v>2272</v>
      </c>
      <c r="Z2169" t="s">
        <v>2272</v>
      </c>
      <c r="AA2169" t="s">
        <v>2272</v>
      </c>
      <c r="AB2169" t="s">
        <v>2272</v>
      </c>
      <c r="AC2169" t="s">
        <v>162</v>
      </c>
      <c r="AD2169" t="s">
        <v>2272</v>
      </c>
      <c r="AF2169" t="s">
        <v>49</v>
      </c>
      <c r="AI2169" t="s">
        <v>49</v>
      </c>
      <c r="AM2169" t="s">
        <v>1288</v>
      </c>
      <c r="AN2169" t="s">
        <v>165</v>
      </c>
      <c r="AP2169" t="s">
        <v>49</v>
      </c>
    </row>
    <row r="2170" spans="1:45" x14ac:dyDescent="0.2">
      <c r="A2170" t="s">
        <v>1289</v>
      </c>
      <c r="B2170" t="s">
        <v>1290</v>
      </c>
      <c r="C2170" s="1">
        <v>2016</v>
      </c>
      <c r="Q2170" s="1" t="s">
        <v>2351</v>
      </c>
      <c r="R2170" s="1" t="s">
        <v>2351</v>
      </c>
      <c r="S2170" s="1" t="s">
        <v>2351</v>
      </c>
      <c r="Y2170" t="s">
        <v>2272</v>
      </c>
      <c r="Z2170" t="s">
        <v>2272</v>
      </c>
      <c r="AA2170" t="s">
        <v>2272</v>
      </c>
      <c r="AB2170" t="s">
        <v>2272</v>
      </c>
      <c r="AD2170" t="s">
        <v>2272</v>
      </c>
      <c r="AR2170" t="s">
        <v>144</v>
      </c>
      <c r="AS2170" t="s">
        <v>2583</v>
      </c>
    </row>
    <row r="2171" spans="1:45" x14ac:dyDescent="0.2">
      <c r="A2171" t="s">
        <v>1291</v>
      </c>
      <c r="B2171" t="s">
        <v>1292</v>
      </c>
      <c r="C2171" s="1">
        <v>2016</v>
      </c>
      <c r="D2171" t="s">
        <v>44</v>
      </c>
      <c r="F2171" s="1" t="s">
        <v>53</v>
      </c>
      <c r="G2171" t="s">
        <v>86</v>
      </c>
      <c r="H2171" t="s">
        <v>350</v>
      </c>
      <c r="K2171" t="s">
        <v>101</v>
      </c>
      <c r="M2171">
        <f>0.5*0.5</f>
        <v>0.25</v>
      </c>
      <c r="N2171" t="s">
        <v>127</v>
      </c>
      <c r="O2171" t="s">
        <v>1295</v>
      </c>
      <c r="P2171" t="s">
        <v>604</v>
      </c>
      <c r="Q2171" s="1" t="s">
        <v>2281</v>
      </c>
      <c r="R2171" s="1" t="s">
        <v>122</v>
      </c>
      <c r="S2171" s="1" t="s">
        <v>2293</v>
      </c>
      <c r="X2171" t="s">
        <v>189</v>
      </c>
      <c r="Y2171" t="s">
        <v>2279</v>
      </c>
      <c r="Z2171" t="s">
        <v>2280</v>
      </c>
      <c r="AA2171" t="s">
        <v>2358</v>
      </c>
      <c r="AB2171" t="s">
        <v>189</v>
      </c>
      <c r="AC2171" t="s">
        <v>152</v>
      </c>
      <c r="AD2171" t="s">
        <v>2278</v>
      </c>
    </row>
    <row r="2172" spans="1:45" x14ac:dyDescent="0.2">
      <c r="A2172" t="s">
        <v>1291</v>
      </c>
      <c r="B2172" t="s">
        <v>1292</v>
      </c>
      <c r="C2172" s="1">
        <v>2016</v>
      </c>
      <c r="D2172" t="s">
        <v>44</v>
      </c>
      <c r="F2172" s="1" t="s">
        <v>53</v>
      </c>
      <c r="G2172" t="s">
        <v>86</v>
      </c>
      <c r="H2172" t="s">
        <v>350</v>
      </c>
      <c r="K2172" t="s">
        <v>101</v>
      </c>
      <c r="M2172">
        <f>0.5*0.5</f>
        <v>0.25</v>
      </c>
      <c r="N2172" t="s">
        <v>127</v>
      </c>
      <c r="O2172" t="s">
        <v>1295</v>
      </c>
      <c r="P2172" t="s">
        <v>604</v>
      </c>
      <c r="Q2172" s="1" t="s">
        <v>2281</v>
      </c>
      <c r="R2172" s="1" t="s">
        <v>122</v>
      </c>
      <c r="S2172" s="1" t="s">
        <v>2293</v>
      </c>
      <c r="X2172" t="s">
        <v>150</v>
      </c>
      <c r="Y2172" t="s">
        <v>2279</v>
      </c>
      <c r="Z2172" t="s">
        <v>2280</v>
      </c>
      <c r="AA2172" t="s">
        <v>2358</v>
      </c>
      <c r="AB2172" t="s">
        <v>2009</v>
      </c>
      <c r="AC2172" t="s">
        <v>152</v>
      </c>
      <c r="AD2172" t="s">
        <v>2278</v>
      </c>
    </row>
    <row r="2173" spans="1:45" x14ac:dyDescent="0.2">
      <c r="A2173" t="s">
        <v>1291</v>
      </c>
      <c r="B2173" t="s">
        <v>1292</v>
      </c>
      <c r="C2173" s="1">
        <v>2016</v>
      </c>
      <c r="D2173" t="s">
        <v>44</v>
      </c>
      <c r="F2173" s="1" t="s">
        <v>53</v>
      </c>
      <c r="G2173" t="s">
        <v>86</v>
      </c>
      <c r="H2173" t="s">
        <v>350</v>
      </c>
      <c r="K2173" t="s">
        <v>101</v>
      </c>
      <c r="M2173">
        <f>0.5*0.5</f>
        <v>0.25</v>
      </c>
      <c r="N2173" t="s">
        <v>127</v>
      </c>
      <c r="O2173" t="s">
        <v>1295</v>
      </c>
      <c r="P2173" t="s">
        <v>604</v>
      </c>
      <c r="Q2173" s="1" t="s">
        <v>2281</v>
      </c>
      <c r="R2173" s="1" t="s">
        <v>122</v>
      </c>
      <c r="S2173" s="1" t="s">
        <v>2293</v>
      </c>
      <c r="X2173" t="s">
        <v>1294</v>
      </c>
      <c r="Y2173" t="s">
        <v>2273</v>
      </c>
      <c r="Z2173" t="s">
        <v>2356</v>
      </c>
      <c r="AA2173" t="s">
        <v>2357</v>
      </c>
      <c r="AB2173" t="s">
        <v>2277</v>
      </c>
      <c r="AC2173" t="s">
        <v>315</v>
      </c>
      <c r="AD2173" t="s">
        <v>137</v>
      </c>
    </row>
    <row r="2174" spans="1:45" x14ac:dyDescent="0.2">
      <c r="A2174" t="s">
        <v>1291</v>
      </c>
      <c r="B2174" t="s">
        <v>1292</v>
      </c>
      <c r="C2174" s="1">
        <v>2016</v>
      </c>
      <c r="D2174" t="s">
        <v>44</v>
      </c>
      <c r="F2174" s="1" t="s">
        <v>53</v>
      </c>
      <c r="G2174" t="s">
        <v>86</v>
      </c>
      <c r="H2174" t="s">
        <v>350</v>
      </c>
      <c r="I2174" t="s">
        <v>831</v>
      </c>
      <c r="J2174">
        <v>1.08</v>
      </c>
      <c r="K2174" t="s">
        <v>104</v>
      </c>
      <c r="M2174">
        <f>0.5*0.5</f>
        <v>0.25</v>
      </c>
      <c r="N2174" t="s">
        <v>127</v>
      </c>
      <c r="O2174" t="s">
        <v>1295</v>
      </c>
      <c r="P2174" t="s">
        <v>604</v>
      </c>
      <c r="Q2174" s="1" t="s">
        <v>2281</v>
      </c>
      <c r="R2174" s="1" t="s">
        <v>122</v>
      </c>
      <c r="S2174" s="1" t="s">
        <v>2293</v>
      </c>
      <c r="T2174" t="s">
        <v>421</v>
      </c>
      <c r="U2174" t="s">
        <v>421</v>
      </c>
      <c r="X2174" t="s">
        <v>161</v>
      </c>
      <c r="Y2174" t="s">
        <v>2272</v>
      </c>
      <c r="Z2174" t="s">
        <v>2272</v>
      </c>
      <c r="AA2174" t="s">
        <v>2272</v>
      </c>
      <c r="AB2174" t="s">
        <v>2272</v>
      </c>
      <c r="AC2174" t="s">
        <v>162</v>
      </c>
      <c r="AD2174" t="s">
        <v>2272</v>
      </c>
      <c r="AF2174" t="s">
        <v>49</v>
      </c>
      <c r="AJ2174" t="s">
        <v>49</v>
      </c>
      <c r="AM2174" t="s">
        <v>520</v>
      </c>
      <c r="AN2174" t="s">
        <v>109</v>
      </c>
      <c r="AO2174" t="s">
        <v>1296</v>
      </c>
      <c r="AP2174" t="s">
        <v>49</v>
      </c>
    </row>
    <row r="2175" spans="1:45" x14ac:dyDescent="0.2">
      <c r="A2175" t="s">
        <v>1291</v>
      </c>
      <c r="B2175" t="s">
        <v>1292</v>
      </c>
      <c r="C2175" s="1">
        <v>2016</v>
      </c>
      <c r="D2175" t="s">
        <v>44</v>
      </c>
      <c r="F2175" s="1" t="s">
        <v>53</v>
      </c>
      <c r="G2175" t="s">
        <v>86</v>
      </c>
      <c r="H2175" t="s">
        <v>350</v>
      </c>
      <c r="I2175" t="s">
        <v>831</v>
      </c>
      <c r="J2175">
        <v>1.08</v>
      </c>
      <c r="K2175" t="s">
        <v>104</v>
      </c>
      <c r="M2175">
        <f>0.5*0.5</f>
        <v>0.25</v>
      </c>
      <c r="N2175" t="s">
        <v>127</v>
      </c>
      <c r="O2175" t="s">
        <v>1295</v>
      </c>
      <c r="P2175" t="s">
        <v>604</v>
      </c>
      <c r="Q2175" s="1" t="s">
        <v>2281</v>
      </c>
      <c r="R2175" s="1" t="s">
        <v>122</v>
      </c>
      <c r="S2175" s="1" t="s">
        <v>2293</v>
      </c>
      <c r="T2175" t="s">
        <v>421</v>
      </c>
      <c r="U2175" t="s">
        <v>421</v>
      </c>
      <c r="X2175" t="s">
        <v>161</v>
      </c>
      <c r="Y2175" t="s">
        <v>2272</v>
      </c>
      <c r="Z2175" t="s">
        <v>2272</v>
      </c>
      <c r="AA2175" t="s">
        <v>2272</v>
      </c>
      <c r="AB2175" t="s">
        <v>2272</v>
      </c>
      <c r="AC2175" t="s">
        <v>162</v>
      </c>
      <c r="AD2175" t="s">
        <v>2272</v>
      </c>
      <c r="AF2175" t="s">
        <v>49</v>
      </c>
      <c r="AJ2175" t="s">
        <v>49</v>
      </c>
      <c r="AM2175" t="s">
        <v>520</v>
      </c>
      <c r="AN2175" t="s">
        <v>165</v>
      </c>
      <c r="AP2175" t="s">
        <v>49</v>
      </c>
    </row>
    <row r="2176" spans="1:45" x14ac:dyDescent="0.2">
      <c r="A2176" t="s">
        <v>1297</v>
      </c>
      <c r="B2176" t="s">
        <v>1298</v>
      </c>
      <c r="C2176" s="1">
        <v>2016</v>
      </c>
      <c r="D2176" t="s">
        <v>44</v>
      </c>
      <c r="F2176" s="1" t="s">
        <v>81</v>
      </c>
      <c r="G2176" t="s">
        <v>91</v>
      </c>
      <c r="H2176" t="s">
        <v>350</v>
      </c>
      <c r="L2176">
        <v>23</v>
      </c>
      <c r="M2176">
        <v>7.9000000000000008E-3</v>
      </c>
      <c r="N2176" t="s">
        <v>125</v>
      </c>
      <c r="O2176" t="s">
        <v>125</v>
      </c>
      <c r="P2176" t="s">
        <v>604</v>
      </c>
      <c r="Q2176" s="1" t="s">
        <v>2281</v>
      </c>
      <c r="R2176" s="1" t="s">
        <v>122</v>
      </c>
      <c r="S2176" s="1" t="s">
        <v>2293</v>
      </c>
      <c r="X2176" t="s">
        <v>150</v>
      </c>
      <c r="Y2176" t="s">
        <v>2273</v>
      </c>
      <c r="Z2176" t="s">
        <v>249</v>
      </c>
      <c r="AA2176" t="s">
        <v>2359</v>
      </c>
      <c r="AB2176" t="s">
        <v>1419</v>
      </c>
      <c r="AC2176" t="s">
        <v>152</v>
      </c>
      <c r="AD2176" t="s">
        <v>137</v>
      </c>
      <c r="AE2176" t="s">
        <v>415</v>
      </c>
    </row>
    <row r="2177" spans="1:45" x14ac:dyDescent="0.2">
      <c r="A2177" t="s">
        <v>1297</v>
      </c>
      <c r="B2177" t="s">
        <v>1298</v>
      </c>
      <c r="C2177" s="1">
        <v>2016</v>
      </c>
      <c r="D2177" t="s">
        <v>44</v>
      </c>
      <c r="F2177" s="1" t="s">
        <v>81</v>
      </c>
      <c r="G2177" t="s">
        <v>91</v>
      </c>
      <c r="H2177" t="s">
        <v>350</v>
      </c>
      <c r="L2177">
        <v>23</v>
      </c>
      <c r="M2177">
        <v>0.25</v>
      </c>
      <c r="N2177" t="s">
        <v>125</v>
      </c>
      <c r="O2177" t="s">
        <v>125</v>
      </c>
      <c r="P2177" t="s">
        <v>604</v>
      </c>
      <c r="Q2177" s="1" t="s">
        <v>2281</v>
      </c>
      <c r="R2177" s="1" t="s">
        <v>122</v>
      </c>
      <c r="S2177" s="1" t="s">
        <v>2293</v>
      </c>
      <c r="X2177" t="s">
        <v>211</v>
      </c>
      <c r="Y2177" t="s">
        <v>2279</v>
      </c>
      <c r="Z2177" t="s">
        <v>2280</v>
      </c>
      <c r="AA2177" t="s">
        <v>2358</v>
      </c>
      <c r="AB2177" t="s">
        <v>2290</v>
      </c>
      <c r="AC2177" t="s">
        <v>152</v>
      </c>
      <c r="AD2177" t="s">
        <v>2278</v>
      </c>
      <c r="AE2177" t="s">
        <v>415</v>
      </c>
    </row>
    <row r="2178" spans="1:45" x14ac:dyDescent="0.2">
      <c r="A2178" t="s">
        <v>1297</v>
      </c>
      <c r="B2178" t="s">
        <v>1298</v>
      </c>
      <c r="C2178" s="1">
        <v>2016</v>
      </c>
      <c r="D2178" t="s">
        <v>811</v>
      </c>
      <c r="F2178" s="1" t="s">
        <v>81</v>
      </c>
      <c r="G2178" t="s">
        <v>91</v>
      </c>
      <c r="H2178" t="s">
        <v>350</v>
      </c>
      <c r="I2178">
        <v>2009</v>
      </c>
      <c r="J2178">
        <v>0.08</v>
      </c>
      <c r="K2178" t="s">
        <v>104</v>
      </c>
      <c r="M2178">
        <v>0</v>
      </c>
      <c r="N2178" t="s">
        <v>125</v>
      </c>
      <c r="O2178" t="s">
        <v>125</v>
      </c>
      <c r="P2178" t="s">
        <v>604</v>
      </c>
      <c r="Q2178" s="1" t="s">
        <v>2281</v>
      </c>
      <c r="R2178" s="1" t="s">
        <v>122</v>
      </c>
      <c r="S2178" s="1" t="s">
        <v>2293</v>
      </c>
      <c r="X2178" t="s">
        <v>1299</v>
      </c>
      <c r="Y2178" t="s">
        <v>2273</v>
      </c>
      <c r="Z2178" t="s">
        <v>249</v>
      </c>
      <c r="AA2178" t="s">
        <v>2359</v>
      </c>
      <c r="AB2178" t="s">
        <v>1979</v>
      </c>
      <c r="AC2178" t="s">
        <v>152</v>
      </c>
      <c r="AD2178" t="s">
        <v>137</v>
      </c>
    </row>
    <row r="2179" spans="1:45" x14ac:dyDescent="0.2">
      <c r="A2179" t="s">
        <v>1297</v>
      </c>
      <c r="B2179" t="s">
        <v>1298</v>
      </c>
      <c r="C2179" s="1">
        <v>2016</v>
      </c>
      <c r="D2179" t="s">
        <v>811</v>
      </c>
      <c r="F2179" s="1" t="s">
        <v>81</v>
      </c>
      <c r="G2179" t="s">
        <v>91</v>
      </c>
      <c r="H2179" t="s">
        <v>350</v>
      </c>
      <c r="I2179">
        <v>2009</v>
      </c>
      <c r="J2179">
        <v>0.08</v>
      </c>
      <c r="K2179" t="s">
        <v>104</v>
      </c>
      <c r="M2179">
        <v>0</v>
      </c>
      <c r="N2179" t="s">
        <v>125</v>
      </c>
      <c r="O2179" t="s">
        <v>125</v>
      </c>
      <c r="P2179" t="s">
        <v>604</v>
      </c>
      <c r="Q2179" s="1" t="s">
        <v>2281</v>
      </c>
      <c r="R2179" s="1" t="s">
        <v>122</v>
      </c>
      <c r="S2179" s="1" t="s">
        <v>2293</v>
      </c>
      <c r="X2179" t="s">
        <v>615</v>
      </c>
      <c r="Y2179" t="s">
        <v>2273</v>
      </c>
      <c r="Z2179" t="s">
        <v>249</v>
      </c>
      <c r="AA2179" t="s">
        <v>2359</v>
      </c>
      <c r="AB2179" t="s">
        <v>2285</v>
      </c>
      <c r="AC2179" t="s">
        <v>152</v>
      </c>
      <c r="AD2179" t="s">
        <v>137</v>
      </c>
    </row>
    <row r="2180" spans="1:45" x14ac:dyDescent="0.2">
      <c r="A2180" t="s">
        <v>1297</v>
      </c>
      <c r="B2180" t="s">
        <v>1298</v>
      </c>
      <c r="C2180" s="1">
        <v>2016</v>
      </c>
      <c r="D2180" t="s">
        <v>811</v>
      </c>
      <c r="F2180" s="1" t="s">
        <v>81</v>
      </c>
      <c r="G2180" t="s">
        <v>91</v>
      </c>
      <c r="H2180" t="s">
        <v>350</v>
      </c>
      <c r="I2180">
        <v>2009</v>
      </c>
      <c r="J2180">
        <v>0.08</v>
      </c>
      <c r="K2180" t="s">
        <v>104</v>
      </c>
      <c r="M2180">
        <v>0</v>
      </c>
      <c r="N2180" t="s">
        <v>125</v>
      </c>
      <c r="O2180" t="s">
        <v>125</v>
      </c>
      <c r="P2180" t="s">
        <v>604</v>
      </c>
      <c r="Q2180" s="1" t="s">
        <v>2281</v>
      </c>
      <c r="R2180" s="1" t="s">
        <v>122</v>
      </c>
      <c r="S2180" s="1" t="s">
        <v>2293</v>
      </c>
      <c r="X2180" t="s">
        <v>492</v>
      </c>
      <c r="Y2180" t="s">
        <v>2273</v>
      </c>
      <c r="Z2180" t="s">
        <v>249</v>
      </c>
      <c r="AA2180" t="s">
        <v>2274</v>
      </c>
      <c r="AB2180" t="s">
        <v>2283</v>
      </c>
      <c r="AC2180" t="s">
        <v>315</v>
      </c>
      <c r="AD2180" t="s">
        <v>137</v>
      </c>
      <c r="AE2180" t="s">
        <v>1300</v>
      </c>
    </row>
    <row r="2181" spans="1:45" x14ac:dyDescent="0.2">
      <c r="A2181" t="s">
        <v>1297</v>
      </c>
      <c r="B2181" t="s">
        <v>1298</v>
      </c>
      <c r="C2181" s="1">
        <v>2016</v>
      </c>
      <c r="D2181" t="s">
        <v>44</v>
      </c>
      <c r="F2181" s="1" t="s">
        <v>81</v>
      </c>
      <c r="G2181" t="s">
        <v>91</v>
      </c>
      <c r="H2181" t="s">
        <v>350</v>
      </c>
      <c r="I2181">
        <v>2011</v>
      </c>
      <c r="K2181" t="s">
        <v>101</v>
      </c>
      <c r="L2181">
        <v>0.8</v>
      </c>
      <c r="M2181">
        <v>1</v>
      </c>
      <c r="N2181" t="s">
        <v>125</v>
      </c>
      <c r="O2181" t="s">
        <v>125</v>
      </c>
      <c r="P2181" t="s">
        <v>604</v>
      </c>
      <c r="Q2181" s="1" t="s">
        <v>2281</v>
      </c>
      <c r="R2181" s="1" t="s">
        <v>122</v>
      </c>
      <c r="S2181" s="1" t="s">
        <v>2293</v>
      </c>
      <c r="T2181" t="s">
        <v>421</v>
      </c>
      <c r="U2181" t="s">
        <v>421</v>
      </c>
      <c r="X2181" t="s">
        <v>161</v>
      </c>
      <c r="Y2181" t="s">
        <v>2272</v>
      </c>
      <c r="Z2181" t="s">
        <v>2272</v>
      </c>
      <c r="AA2181" t="s">
        <v>2272</v>
      </c>
      <c r="AB2181" t="s">
        <v>2272</v>
      </c>
      <c r="AC2181" t="s">
        <v>162</v>
      </c>
      <c r="AD2181" t="s">
        <v>2272</v>
      </c>
      <c r="AF2181" t="s">
        <v>49</v>
      </c>
      <c r="AI2181" t="s">
        <v>49</v>
      </c>
      <c r="AM2181" t="s">
        <v>202</v>
      </c>
      <c r="AN2181" t="s">
        <v>154</v>
      </c>
      <c r="AP2181" t="s">
        <v>157</v>
      </c>
      <c r="AQ2181" s="5">
        <v>1</v>
      </c>
    </row>
    <row r="2182" spans="1:45" x14ac:dyDescent="0.2">
      <c r="A2182" t="s">
        <v>1297</v>
      </c>
      <c r="B2182" t="s">
        <v>1298</v>
      </c>
      <c r="C2182" s="1">
        <v>2016</v>
      </c>
      <c r="D2182" t="s">
        <v>44</v>
      </c>
      <c r="F2182" s="1" t="s">
        <v>81</v>
      </c>
      <c r="G2182" t="s">
        <v>91</v>
      </c>
      <c r="H2182" t="s">
        <v>350</v>
      </c>
      <c r="I2182">
        <v>2011</v>
      </c>
      <c r="K2182" t="s">
        <v>101</v>
      </c>
      <c r="L2182">
        <v>0.8</v>
      </c>
      <c r="M2182">
        <v>1</v>
      </c>
      <c r="N2182" t="s">
        <v>125</v>
      </c>
      <c r="O2182" t="s">
        <v>125</v>
      </c>
      <c r="P2182" t="s">
        <v>604</v>
      </c>
      <c r="Q2182" s="1" t="s">
        <v>2281</v>
      </c>
      <c r="R2182" s="1" t="s">
        <v>122</v>
      </c>
      <c r="S2182" s="1" t="s">
        <v>2293</v>
      </c>
      <c r="T2182" t="s">
        <v>421</v>
      </c>
      <c r="U2182" t="s">
        <v>421</v>
      </c>
      <c r="X2182" t="s">
        <v>161</v>
      </c>
      <c r="Y2182" t="s">
        <v>2272</v>
      </c>
      <c r="Z2182" t="s">
        <v>2272</v>
      </c>
      <c r="AA2182" t="s">
        <v>2272</v>
      </c>
      <c r="AB2182" t="s">
        <v>2272</v>
      </c>
      <c r="AC2182" t="s">
        <v>162</v>
      </c>
      <c r="AD2182" t="s">
        <v>2272</v>
      </c>
      <c r="AF2182" t="s">
        <v>49</v>
      </c>
      <c r="AI2182" t="s">
        <v>49</v>
      </c>
      <c r="AM2182" t="s">
        <v>202</v>
      </c>
      <c r="AN2182" t="s">
        <v>166</v>
      </c>
      <c r="AP2182" t="s">
        <v>157</v>
      </c>
      <c r="AQ2182" s="5">
        <v>1</v>
      </c>
    </row>
    <row r="2183" spans="1:45" x14ac:dyDescent="0.2">
      <c r="A2183" t="s">
        <v>1297</v>
      </c>
      <c r="B2183" t="s">
        <v>1298</v>
      </c>
      <c r="C2183" s="1">
        <v>2016</v>
      </c>
      <c r="D2183" t="s">
        <v>811</v>
      </c>
      <c r="F2183" s="1" t="s">
        <v>81</v>
      </c>
      <c r="G2183" t="s">
        <v>91</v>
      </c>
      <c r="H2183" t="s">
        <v>350</v>
      </c>
      <c r="I2183" t="s">
        <v>1301</v>
      </c>
      <c r="J2183">
        <v>1.58</v>
      </c>
      <c r="K2183" t="s">
        <v>102</v>
      </c>
      <c r="M2183">
        <v>0</v>
      </c>
      <c r="N2183" t="s">
        <v>125</v>
      </c>
      <c r="O2183" t="s">
        <v>125</v>
      </c>
      <c r="P2183" t="s">
        <v>604</v>
      </c>
      <c r="Q2183" s="1" t="s">
        <v>2281</v>
      </c>
      <c r="R2183" s="1" t="s">
        <v>122</v>
      </c>
      <c r="S2183" s="1" t="s">
        <v>2293</v>
      </c>
      <c r="X2183" t="s">
        <v>449</v>
      </c>
      <c r="Y2183" t="s">
        <v>2273</v>
      </c>
      <c r="Z2183" t="s">
        <v>2356</v>
      </c>
      <c r="AA2183" t="s">
        <v>2357</v>
      </c>
      <c r="AB2183" t="s">
        <v>449</v>
      </c>
      <c r="AC2183" t="s">
        <v>152</v>
      </c>
      <c r="AD2183" t="s">
        <v>137</v>
      </c>
      <c r="AE2183" t="s">
        <v>102</v>
      </c>
    </row>
    <row r="2184" spans="1:45" x14ac:dyDescent="0.2">
      <c r="A2184" t="s">
        <v>1302</v>
      </c>
      <c r="B2184" t="s">
        <v>954</v>
      </c>
      <c r="C2184" s="1">
        <v>2016</v>
      </c>
      <c r="D2184" t="s">
        <v>44</v>
      </c>
      <c r="F2184" s="1" t="s">
        <v>955</v>
      </c>
      <c r="G2184" t="s">
        <v>85</v>
      </c>
      <c r="H2184" t="s">
        <v>96</v>
      </c>
      <c r="I2184">
        <v>2014</v>
      </c>
      <c r="J2184">
        <v>0.46</v>
      </c>
      <c r="K2184" t="s">
        <v>109</v>
      </c>
      <c r="M2184">
        <v>0.25</v>
      </c>
      <c r="N2184" t="s">
        <v>128</v>
      </c>
      <c r="O2184" t="s">
        <v>1303</v>
      </c>
      <c r="P2184" t="s">
        <v>667</v>
      </c>
      <c r="Q2184" s="1" t="s">
        <v>2276</v>
      </c>
      <c r="R2184" s="1" t="s">
        <v>669</v>
      </c>
      <c r="S2184" s="1" t="s">
        <v>168</v>
      </c>
      <c r="X2184" t="s">
        <v>211</v>
      </c>
      <c r="Y2184" t="s">
        <v>2279</v>
      </c>
      <c r="Z2184" t="s">
        <v>2280</v>
      </c>
      <c r="AA2184" t="s">
        <v>2358</v>
      </c>
      <c r="AB2184" t="s">
        <v>2290</v>
      </c>
      <c r="AC2184" t="s">
        <v>152</v>
      </c>
      <c r="AD2184" t="s">
        <v>2278</v>
      </c>
      <c r="AE2184" t="s">
        <v>92</v>
      </c>
    </row>
    <row r="2185" spans="1:45" x14ac:dyDescent="0.2">
      <c r="A2185" t="s">
        <v>1302</v>
      </c>
      <c r="B2185" t="s">
        <v>954</v>
      </c>
      <c r="C2185" s="1">
        <v>2016</v>
      </c>
      <c r="D2185" t="s">
        <v>44</v>
      </c>
      <c r="F2185" s="1" t="s">
        <v>955</v>
      </c>
      <c r="G2185" t="s">
        <v>85</v>
      </c>
      <c r="H2185" t="s">
        <v>96</v>
      </c>
      <c r="K2185" t="s">
        <v>101</v>
      </c>
      <c r="M2185">
        <v>0</v>
      </c>
      <c r="N2185" t="s">
        <v>128</v>
      </c>
      <c r="O2185" t="s">
        <v>1303</v>
      </c>
      <c r="P2185" t="s">
        <v>667</v>
      </c>
      <c r="Q2185" s="1" t="s">
        <v>2276</v>
      </c>
      <c r="R2185" s="1" t="s">
        <v>669</v>
      </c>
      <c r="S2185" s="1" t="s">
        <v>168</v>
      </c>
      <c r="X2185" t="s">
        <v>161</v>
      </c>
      <c r="Y2185" t="s">
        <v>2272</v>
      </c>
      <c r="Z2185" t="s">
        <v>2272</v>
      </c>
      <c r="AA2185" t="s">
        <v>2272</v>
      </c>
      <c r="AB2185" t="s">
        <v>2272</v>
      </c>
      <c r="AC2185" t="s">
        <v>162</v>
      </c>
      <c r="AD2185" t="s">
        <v>2272</v>
      </c>
      <c r="AF2185" t="s">
        <v>49</v>
      </c>
      <c r="AJ2185" t="s">
        <v>49</v>
      </c>
      <c r="AM2185" t="s">
        <v>1189</v>
      </c>
      <c r="AN2185" t="s">
        <v>166</v>
      </c>
    </row>
    <row r="2186" spans="1:45" x14ac:dyDescent="0.2">
      <c r="A2186" t="s">
        <v>1302</v>
      </c>
      <c r="B2186" t="s">
        <v>954</v>
      </c>
      <c r="C2186" s="1">
        <v>2016</v>
      </c>
      <c r="D2186" t="s">
        <v>44</v>
      </c>
      <c r="F2186" s="1" t="s">
        <v>955</v>
      </c>
      <c r="G2186" t="s">
        <v>85</v>
      </c>
      <c r="H2186" t="s">
        <v>96</v>
      </c>
      <c r="K2186" t="s">
        <v>101</v>
      </c>
      <c r="M2186">
        <v>0</v>
      </c>
      <c r="N2186" t="s">
        <v>128</v>
      </c>
      <c r="O2186" t="s">
        <v>1303</v>
      </c>
      <c r="P2186" t="s">
        <v>667</v>
      </c>
      <c r="Q2186" s="1" t="s">
        <v>2276</v>
      </c>
      <c r="R2186" s="1" t="s">
        <v>669</v>
      </c>
      <c r="S2186" s="1" t="s">
        <v>168</v>
      </c>
      <c r="X2186" t="s">
        <v>161</v>
      </c>
      <c r="Y2186" t="s">
        <v>2272</v>
      </c>
      <c r="Z2186" t="s">
        <v>2272</v>
      </c>
      <c r="AA2186" t="s">
        <v>2272</v>
      </c>
      <c r="AB2186" t="s">
        <v>2272</v>
      </c>
      <c r="AC2186" t="s">
        <v>162</v>
      </c>
      <c r="AD2186" t="s">
        <v>2272</v>
      </c>
      <c r="AF2186" t="s">
        <v>49</v>
      </c>
      <c r="AJ2186" t="s">
        <v>49</v>
      </c>
      <c r="AM2186" t="s">
        <v>1189</v>
      </c>
      <c r="AN2186" t="s">
        <v>154</v>
      </c>
    </row>
    <row r="2187" spans="1:45" x14ac:dyDescent="0.2">
      <c r="A2187" t="s">
        <v>1302</v>
      </c>
      <c r="B2187" t="s">
        <v>954</v>
      </c>
      <c r="C2187" s="1">
        <v>2016</v>
      </c>
      <c r="D2187" t="s">
        <v>44</v>
      </c>
      <c r="F2187" s="1" t="s">
        <v>955</v>
      </c>
      <c r="G2187" t="s">
        <v>85</v>
      </c>
      <c r="H2187" t="s">
        <v>96</v>
      </c>
      <c r="K2187" t="s">
        <v>101</v>
      </c>
      <c r="M2187">
        <v>0</v>
      </c>
      <c r="N2187" t="s">
        <v>128</v>
      </c>
      <c r="O2187" t="s">
        <v>1303</v>
      </c>
      <c r="P2187" t="s">
        <v>667</v>
      </c>
      <c r="Q2187" s="1" t="s">
        <v>2276</v>
      </c>
      <c r="R2187" s="1" t="s">
        <v>669</v>
      </c>
      <c r="S2187" s="1" t="s">
        <v>168</v>
      </c>
      <c r="X2187" t="s">
        <v>171</v>
      </c>
      <c r="Y2187" t="s">
        <v>2273</v>
      </c>
      <c r="Z2187" t="s">
        <v>249</v>
      </c>
      <c r="AA2187" t="s">
        <v>2359</v>
      </c>
      <c r="AB2187" t="s">
        <v>1979</v>
      </c>
      <c r="AC2187" t="s">
        <v>152</v>
      </c>
      <c r="AD2187" t="s">
        <v>137</v>
      </c>
      <c r="AF2187" t="s">
        <v>49</v>
      </c>
      <c r="AJ2187" t="s">
        <v>49</v>
      </c>
      <c r="AM2187" t="s">
        <v>1189</v>
      </c>
      <c r="AN2187" t="s">
        <v>166</v>
      </c>
      <c r="AP2187" t="s">
        <v>157</v>
      </c>
    </row>
    <row r="2188" spans="1:45" x14ac:dyDescent="0.2">
      <c r="A2188" t="s">
        <v>1304</v>
      </c>
      <c r="B2188" t="s">
        <v>954</v>
      </c>
      <c r="C2188" s="1">
        <v>2016</v>
      </c>
      <c r="D2188" t="s">
        <v>44</v>
      </c>
      <c r="F2188" s="1" t="s">
        <v>955</v>
      </c>
      <c r="G2188" t="s">
        <v>85</v>
      </c>
      <c r="H2188" t="s">
        <v>350</v>
      </c>
      <c r="P2188" t="s">
        <v>2504</v>
      </c>
      <c r="Q2188" t="s">
        <v>2281</v>
      </c>
      <c r="R2188" t="s">
        <v>2282</v>
      </c>
      <c r="S2188" t="s">
        <v>2304</v>
      </c>
      <c r="Y2188" t="s">
        <v>2272</v>
      </c>
      <c r="Z2188" t="s">
        <v>2272</v>
      </c>
      <c r="AA2188" t="s">
        <v>2272</v>
      </c>
      <c r="AB2188" t="s">
        <v>2272</v>
      </c>
      <c r="AD2188" t="s">
        <v>2272</v>
      </c>
      <c r="AR2188" t="s">
        <v>144</v>
      </c>
      <c r="AS2188" t="s">
        <v>2587</v>
      </c>
    </row>
    <row r="2189" spans="1:45" x14ac:dyDescent="0.2">
      <c r="A2189" t="s">
        <v>1304</v>
      </c>
      <c r="B2189" t="s">
        <v>954</v>
      </c>
      <c r="C2189" s="1">
        <v>2016</v>
      </c>
      <c r="D2189" t="s">
        <v>44</v>
      </c>
      <c r="F2189" s="1" t="s">
        <v>955</v>
      </c>
      <c r="G2189" t="s">
        <v>85</v>
      </c>
      <c r="H2189" t="s">
        <v>350</v>
      </c>
      <c r="P2189" t="s">
        <v>1218</v>
      </c>
      <c r="Q2189" s="1" t="s">
        <v>2276</v>
      </c>
      <c r="R2189" s="1" t="s">
        <v>755</v>
      </c>
      <c r="S2189" s="1" t="s">
        <v>2349</v>
      </c>
      <c r="Y2189" t="s">
        <v>2272</v>
      </c>
      <c r="Z2189" t="s">
        <v>2272</v>
      </c>
      <c r="AA2189" t="s">
        <v>2272</v>
      </c>
      <c r="AB2189" t="s">
        <v>2272</v>
      </c>
      <c r="AD2189" t="s">
        <v>2272</v>
      </c>
      <c r="AR2189" t="s">
        <v>144</v>
      </c>
      <c r="AS2189" t="s">
        <v>2587</v>
      </c>
    </row>
    <row r="2190" spans="1:45" x14ac:dyDescent="0.2">
      <c r="A2190" t="s">
        <v>1304</v>
      </c>
      <c r="B2190" t="s">
        <v>954</v>
      </c>
      <c r="C2190" s="1">
        <v>2016</v>
      </c>
      <c r="D2190" t="s">
        <v>44</v>
      </c>
      <c r="F2190" s="1" t="s">
        <v>955</v>
      </c>
      <c r="G2190" t="s">
        <v>85</v>
      </c>
      <c r="H2190" t="s">
        <v>350</v>
      </c>
      <c r="P2190" t="s">
        <v>2505</v>
      </c>
      <c r="Q2190" t="s">
        <v>2281</v>
      </c>
      <c r="R2190" t="s">
        <v>2282</v>
      </c>
      <c r="S2190" t="s">
        <v>2304</v>
      </c>
      <c r="Y2190" t="s">
        <v>2272</v>
      </c>
      <c r="Z2190" t="s">
        <v>2272</v>
      </c>
      <c r="AA2190" t="s">
        <v>2272</v>
      </c>
      <c r="AB2190" t="s">
        <v>2272</v>
      </c>
      <c r="AD2190" t="s">
        <v>2272</v>
      </c>
      <c r="AR2190" t="s">
        <v>144</v>
      </c>
      <c r="AS2190" t="s">
        <v>2587</v>
      </c>
    </row>
    <row r="2191" spans="1:45" x14ac:dyDescent="0.2">
      <c r="A2191" t="s">
        <v>1304</v>
      </c>
      <c r="B2191" t="s">
        <v>954</v>
      </c>
      <c r="C2191" s="1">
        <v>2016</v>
      </c>
      <c r="D2191" t="s">
        <v>44</v>
      </c>
      <c r="F2191" s="1" t="s">
        <v>955</v>
      </c>
      <c r="G2191" t="s">
        <v>85</v>
      </c>
      <c r="H2191" t="s">
        <v>350</v>
      </c>
      <c r="P2191" t="s">
        <v>2506</v>
      </c>
      <c r="Q2191" t="s">
        <v>2281</v>
      </c>
      <c r="R2191" t="s">
        <v>2291</v>
      </c>
      <c r="S2191" t="s">
        <v>2291</v>
      </c>
      <c r="Y2191" t="s">
        <v>2272</v>
      </c>
      <c r="Z2191" t="s">
        <v>2272</v>
      </c>
      <c r="AA2191" t="s">
        <v>2272</v>
      </c>
      <c r="AB2191" t="s">
        <v>2272</v>
      </c>
      <c r="AD2191" t="s">
        <v>2272</v>
      </c>
      <c r="AR2191" t="s">
        <v>144</v>
      </c>
      <c r="AS2191" t="s">
        <v>2587</v>
      </c>
    </row>
    <row r="2192" spans="1:45" x14ac:dyDescent="0.2">
      <c r="A2192" t="s">
        <v>1304</v>
      </c>
      <c r="B2192" t="s">
        <v>954</v>
      </c>
      <c r="C2192" s="1">
        <v>2016</v>
      </c>
      <c r="D2192" t="s">
        <v>44</v>
      </c>
      <c r="F2192" s="1" t="s">
        <v>955</v>
      </c>
      <c r="G2192" t="s">
        <v>85</v>
      </c>
      <c r="H2192" t="s">
        <v>350</v>
      </c>
      <c r="P2192" t="s">
        <v>2507</v>
      </c>
      <c r="Q2192" s="1" t="s">
        <v>2276</v>
      </c>
      <c r="R2192" s="1" t="s">
        <v>751</v>
      </c>
      <c r="S2192" s="1" t="s">
        <v>2353</v>
      </c>
      <c r="Y2192" t="s">
        <v>2272</v>
      </c>
      <c r="Z2192" t="s">
        <v>2272</v>
      </c>
      <c r="AA2192" t="s">
        <v>2272</v>
      </c>
      <c r="AB2192" t="s">
        <v>2272</v>
      </c>
      <c r="AD2192" t="s">
        <v>2272</v>
      </c>
      <c r="AR2192" t="s">
        <v>144</v>
      </c>
      <c r="AS2192" t="s">
        <v>2587</v>
      </c>
    </row>
    <row r="2193" spans="1:45" x14ac:dyDescent="0.2">
      <c r="A2193" t="s">
        <v>1305</v>
      </c>
      <c r="B2193" t="s">
        <v>1306</v>
      </c>
      <c r="C2193" s="1">
        <v>2016</v>
      </c>
      <c r="D2193" t="s">
        <v>44</v>
      </c>
      <c r="F2193" s="1" t="s">
        <v>1307</v>
      </c>
      <c r="G2193" t="s">
        <v>90</v>
      </c>
      <c r="H2193" t="s">
        <v>350</v>
      </c>
      <c r="I2193" t="s">
        <v>1308</v>
      </c>
      <c r="J2193">
        <v>1</v>
      </c>
      <c r="K2193" t="s">
        <v>42</v>
      </c>
      <c r="L2193">
        <v>3950</v>
      </c>
      <c r="M2193">
        <f t="shared" ref="M2193:M2198" si="47">0.2*0.2</f>
        <v>4.0000000000000008E-2</v>
      </c>
      <c r="N2193" t="s">
        <v>123</v>
      </c>
      <c r="O2193" t="s">
        <v>123</v>
      </c>
      <c r="P2193" t="s">
        <v>1309</v>
      </c>
      <c r="Q2193" s="1" t="s">
        <v>2281</v>
      </c>
      <c r="R2193" s="1" t="s">
        <v>2282</v>
      </c>
      <c r="S2193" s="1" t="s">
        <v>123</v>
      </c>
      <c r="X2193" t="s">
        <v>293</v>
      </c>
      <c r="Y2193" t="s">
        <v>2273</v>
      </c>
      <c r="Z2193" t="s">
        <v>249</v>
      </c>
      <c r="AA2193" t="s">
        <v>2359</v>
      </c>
      <c r="AB2193" t="s">
        <v>1419</v>
      </c>
      <c r="AC2193" t="s">
        <v>152</v>
      </c>
      <c r="AD2193" t="s">
        <v>137</v>
      </c>
      <c r="AE2193" t="s">
        <v>415</v>
      </c>
      <c r="AF2193" t="s">
        <v>49</v>
      </c>
      <c r="AI2193" t="s">
        <v>49</v>
      </c>
      <c r="AM2193" t="s">
        <v>202</v>
      </c>
      <c r="AN2193" t="s">
        <v>154</v>
      </c>
      <c r="AP2193" t="s">
        <v>51</v>
      </c>
    </row>
    <row r="2194" spans="1:45" x14ac:dyDescent="0.2">
      <c r="A2194" t="s">
        <v>1305</v>
      </c>
      <c r="B2194" t="s">
        <v>1306</v>
      </c>
      <c r="C2194" s="1">
        <v>2016</v>
      </c>
      <c r="D2194" t="s">
        <v>44</v>
      </c>
      <c r="F2194" s="1" t="s">
        <v>1307</v>
      </c>
      <c r="G2194" t="s">
        <v>90</v>
      </c>
      <c r="H2194" t="s">
        <v>350</v>
      </c>
      <c r="I2194" t="s">
        <v>1308</v>
      </c>
      <c r="J2194">
        <v>1</v>
      </c>
      <c r="K2194" t="s">
        <v>42</v>
      </c>
      <c r="L2194">
        <v>3950</v>
      </c>
      <c r="M2194">
        <f t="shared" si="47"/>
        <v>4.0000000000000008E-2</v>
      </c>
      <c r="N2194" t="s">
        <v>123</v>
      </c>
      <c r="O2194" t="s">
        <v>123</v>
      </c>
      <c r="P2194" t="s">
        <v>1309</v>
      </c>
      <c r="Q2194" s="1" t="s">
        <v>2281</v>
      </c>
      <c r="R2194" s="1" t="s">
        <v>2282</v>
      </c>
      <c r="S2194" s="1" t="s">
        <v>123</v>
      </c>
      <c r="X2194" t="s">
        <v>189</v>
      </c>
      <c r="Y2194" t="s">
        <v>2279</v>
      </c>
      <c r="Z2194" t="s">
        <v>2280</v>
      </c>
      <c r="AA2194" t="s">
        <v>2358</v>
      </c>
      <c r="AB2194" t="s">
        <v>189</v>
      </c>
      <c r="AC2194" t="s">
        <v>152</v>
      </c>
      <c r="AD2194" t="s">
        <v>2278</v>
      </c>
      <c r="AE2194" t="s">
        <v>415</v>
      </c>
      <c r="AF2194" t="s">
        <v>49</v>
      </c>
      <c r="AI2194" t="s">
        <v>49</v>
      </c>
      <c r="AM2194" t="s">
        <v>202</v>
      </c>
      <c r="AN2194" t="s">
        <v>154</v>
      </c>
      <c r="AP2194" t="s">
        <v>51</v>
      </c>
    </row>
    <row r="2195" spans="1:45" x14ac:dyDescent="0.2">
      <c r="A2195" t="s">
        <v>1305</v>
      </c>
      <c r="B2195" t="s">
        <v>1306</v>
      </c>
      <c r="C2195" s="1">
        <v>2016</v>
      </c>
      <c r="D2195" t="s">
        <v>44</v>
      </c>
      <c r="F2195" s="1" t="s">
        <v>1307</v>
      </c>
      <c r="G2195" t="s">
        <v>90</v>
      </c>
      <c r="H2195" t="s">
        <v>350</v>
      </c>
      <c r="I2195" t="s">
        <v>1308</v>
      </c>
      <c r="J2195">
        <v>1</v>
      </c>
      <c r="K2195" t="s">
        <v>42</v>
      </c>
      <c r="L2195">
        <v>3950</v>
      </c>
      <c r="M2195">
        <f t="shared" si="47"/>
        <v>4.0000000000000008E-2</v>
      </c>
      <c r="N2195" t="s">
        <v>123</v>
      </c>
      <c r="O2195" t="s">
        <v>123</v>
      </c>
      <c r="P2195" t="s">
        <v>1309</v>
      </c>
      <c r="Q2195" s="1" t="s">
        <v>2281</v>
      </c>
      <c r="R2195" s="1" t="s">
        <v>2282</v>
      </c>
      <c r="S2195" s="1" t="s">
        <v>123</v>
      </c>
      <c r="X2195" t="s">
        <v>293</v>
      </c>
      <c r="Y2195" t="s">
        <v>2273</v>
      </c>
      <c r="Z2195" t="s">
        <v>249</v>
      </c>
      <c r="AA2195" t="s">
        <v>2359</v>
      </c>
      <c r="AB2195" t="s">
        <v>1419</v>
      </c>
      <c r="AC2195" t="s">
        <v>152</v>
      </c>
      <c r="AD2195" t="s">
        <v>137</v>
      </c>
      <c r="AE2195" t="s">
        <v>415</v>
      </c>
      <c r="AF2195" t="s">
        <v>49</v>
      </c>
      <c r="AI2195" t="s">
        <v>49</v>
      </c>
      <c r="AM2195" t="s">
        <v>202</v>
      </c>
      <c r="AN2195" t="s">
        <v>166</v>
      </c>
      <c r="AP2195" t="s">
        <v>51</v>
      </c>
    </row>
    <row r="2196" spans="1:45" x14ac:dyDescent="0.2">
      <c r="A2196" t="s">
        <v>1305</v>
      </c>
      <c r="B2196" t="s">
        <v>1306</v>
      </c>
      <c r="C2196" s="1">
        <v>2016</v>
      </c>
      <c r="D2196" t="s">
        <v>44</v>
      </c>
      <c r="F2196" s="1" t="s">
        <v>1307</v>
      </c>
      <c r="G2196" t="s">
        <v>90</v>
      </c>
      <c r="H2196" t="s">
        <v>350</v>
      </c>
      <c r="I2196" t="s">
        <v>1308</v>
      </c>
      <c r="J2196">
        <v>1</v>
      </c>
      <c r="K2196" t="s">
        <v>42</v>
      </c>
      <c r="L2196">
        <v>3950</v>
      </c>
      <c r="M2196">
        <f t="shared" si="47"/>
        <v>4.0000000000000008E-2</v>
      </c>
      <c r="N2196" t="s">
        <v>123</v>
      </c>
      <c r="O2196" t="s">
        <v>123</v>
      </c>
      <c r="P2196" t="s">
        <v>1309</v>
      </c>
      <c r="Q2196" s="1" t="s">
        <v>2281</v>
      </c>
      <c r="R2196" s="1" t="s">
        <v>2282</v>
      </c>
      <c r="S2196" s="1" t="s">
        <v>123</v>
      </c>
      <c r="X2196" t="s">
        <v>189</v>
      </c>
      <c r="Y2196" t="s">
        <v>2279</v>
      </c>
      <c r="Z2196" t="s">
        <v>2280</v>
      </c>
      <c r="AA2196" t="s">
        <v>2358</v>
      </c>
      <c r="AB2196" t="s">
        <v>189</v>
      </c>
      <c r="AC2196" t="s">
        <v>152</v>
      </c>
      <c r="AD2196" t="s">
        <v>2278</v>
      </c>
      <c r="AE2196" t="s">
        <v>415</v>
      </c>
      <c r="AF2196" t="s">
        <v>49</v>
      </c>
      <c r="AI2196" t="s">
        <v>49</v>
      </c>
      <c r="AM2196" t="s">
        <v>202</v>
      </c>
      <c r="AN2196" t="s">
        <v>166</v>
      </c>
      <c r="AP2196" t="s">
        <v>51</v>
      </c>
    </row>
    <row r="2197" spans="1:45" x14ac:dyDescent="0.2">
      <c r="A2197" t="s">
        <v>1305</v>
      </c>
      <c r="B2197" t="s">
        <v>1306</v>
      </c>
      <c r="C2197" s="1">
        <v>2016</v>
      </c>
      <c r="D2197" t="s">
        <v>44</v>
      </c>
      <c r="F2197" s="1" t="s">
        <v>1307</v>
      </c>
      <c r="G2197" t="s">
        <v>90</v>
      </c>
      <c r="H2197" t="s">
        <v>350</v>
      </c>
      <c r="I2197" t="s">
        <v>1308</v>
      </c>
      <c r="J2197">
        <v>1</v>
      </c>
      <c r="K2197" t="s">
        <v>42</v>
      </c>
      <c r="L2197">
        <v>3950</v>
      </c>
      <c r="M2197">
        <f t="shared" si="47"/>
        <v>4.0000000000000008E-2</v>
      </c>
      <c r="N2197" t="s">
        <v>123</v>
      </c>
      <c r="O2197" t="s">
        <v>123</v>
      </c>
      <c r="P2197" t="s">
        <v>1309</v>
      </c>
      <c r="Q2197" s="1" t="s">
        <v>2281</v>
      </c>
      <c r="R2197" s="1" t="s">
        <v>2282</v>
      </c>
      <c r="S2197" s="1" t="s">
        <v>123</v>
      </c>
      <c r="X2197" t="s">
        <v>161</v>
      </c>
      <c r="Y2197" t="s">
        <v>2272</v>
      </c>
      <c r="Z2197" t="s">
        <v>2272</v>
      </c>
      <c r="AA2197" t="s">
        <v>2272</v>
      </c>
      <c r="AB2197" t="s">
        <v>2272</v>
      </c>
      <c r="AC2197" t="s">
        <v>162</v>
      </c>
      <c r="AD2197" t="s">
        <v>2272</v>
      </c>
      <c r="AF2197" t="s">
        <v>49</v>
      </c>
      <c r="AI2197" t="s">
        <v>49</v>
      </c>
      <c r="AM2197" t="s">
        <v>202</v>
      </c>
      <c r="AN2197" t="s">
        <v>165</v>
      </c>
    </row>
    <row r="2198" spans="1:45" x14ac:dyDescent="0.2">
      <c r="A2198" t="s">
        <v>1310</v>
      </c>
      <c r="B2198" t="s">
        <v>203</v>
      </c>
      <c r="C2198" s="1">
        <v>2016</v>
      </c>
      <c r="D2198" t="s">
        <v>44</v>
      </c>
      <c r="E2198" t="s">
        <v>49</v>
      </c>
      <c r="F2198" s="1" t="s">
        <v>628</v>
      </c>
      <c r="G2198" t="s">
        <v>86</v>
      </c>
      <c r="H2198" t="s">
        <v>96</v>
      </c>
      <c r="I2198">
        <v>2008</v>
      </c>
      <c r="K2198" t="s">
        <v>101</v>
      </c>
      <c r="L2198">
        <v>350</v>
      </c>
      <c r="M2198">
        <f t="shared" si="47"/>
        <v>4.0000000000000008E-2</v>
      </c>
      <c r="N2198" t="s">
        <v>128</v>
      </c>
      <c r="Q2198" s="1" t="s">
        <v>2272</v>
      </c>
      <c r="R2198" s="1" t="s">
        <v>2272</v>
      </c>
      <c r="S2198" s="1" t="s">
        <v>2272</v>
      </c>
      <c r="Y2198" t="s">
        <v>2272</v>
      </c>
      <c r="Z2198" t="s">
        <v>2272</v>
      </c>
      <c r="AA2198" t="s">
        <v>2272</v>
      </c>
      <c r="AB2198" t="s">
        <v>2272</v>
      </c>
      <c r="AD2198" t="s">
        <v>2272</v>
      </c>
      <c r="AR2198" t="s">
        <v>144</v>
      </c>
      <c r="AS2198" t="s">
        <v>2583</v>
      </c>
    </row>
    <row r="2199" spans="1:45" x14ac:dyDescent="0.2">
      <c r="A2199" t="s">
        <v>1311</v>
      </c>
      <c r="B2199" t="s">
        <v>1312</v>
      </c>
      <c r="C2199" s="1">
        <v>2016</v>
      </c>
      <c r="D2199" t="s">
        <v>44</v>
      </c>
      <c r="F2199" s="1" t="s">
        <v>82</v>
      </c>
      <c r="G2199" t="s">
        <v>86</v>
      </c>
      <c r="H2199" t="s">
        <v>96</v>
      </c>
      <c r="I2199">
        <v>2014</v>
      </c>
      <c r="J2199">
        <v>0.5</v>
      </c>
      <c r="K2199" t="s">
        <v>102</v>
      </c>
      <c r="L2199">
        <v>60</v>
      </c>
      <c r="M2199">
        <v>3.1E-2</v>
      </c>
      <c r="N2199" t="s">
        <v>466</v>
      </c>
      <c r="O2199" t="s">
        <v>466</v>
      </c>
      <c r="P2199" t="s">
        <v>467</v>
      </c>
      <c r="Q2199" s="1" t="s">
        <v>2281</v>
      </c>
      <c r="R2199" s="1" t="s">
        <v>2301</v>
      </c>
      <c r="S2199" s="1" t="s">
        <v>2302</v>
      </c>
      <c r="X2199" t="s">
        <v>189</v>
      </c>
      <c r="Y2199" t="s">
        <v>2279</v>
      </c>
      <c r="Z2199" t="s">
        <v>2280</v>
      </c>
      <c r="AA2199" t="s">
        <v>2358</v>
      </c>
      <c r="AB2199" t="s">
        <v>189</v>
      </c>
      <c r="AC2199" t="s">
        <v>152</v>
      </c>
      <c r="AD2199" t="s">
        <v>2278</v>
      </c>
      <c r="AE2199" t="s">
        <v>724</v>
      </c>
    </row>
    <row r="2200" spans="1:45" x14ac:dyDescent="0.2">
      <c r="A2200" t="s">
        <v>1311</v>
      </c>
      <c r="B2200" t="s">
        <v>1312</v>
      </c>
      <c r="C2200" s="1">
        <v>2016</v>
      </c>
      <c r="D2200" t="s">
        <v>44</v>
      </c>
      <c r="F2200" s="1" t="s">
        <v>82</v>
      </c>
      <c r="G2200" t="s">
        <v>86</v>
      </c>
      <c r="H2200" t="s">
        <v>96</v>
      </c>
      <c r="I2200">
        <v>2014</v>
      </c>
      <c r="J2200">
        <v>0.5</v>
      </c>
      <c r="K2200" t="s">
        <v>102</v>
      </c>
      <c r="L2200">
        <v>60</v>
      </c>
      <c r="M2200">
        <v>3.1E-2</v>
      </c>
      <c r="N2200" t="s">
        <v>466</v>
      </c>
      <c r="O2200" t="s">
        <v>466</v>
      </c>
      <c r="P2200" t="s">
        <v>467</v>
      </c>
      <c r="Q2200" s="1" t="s">
        <v>2281</v>
      </c>
      <c r="R2200" s="1" t="s">
        <v>2301</v>
      </c>
      <c r="S2200" s="1" t="s">
        <v>2302</v>
      </c>
      <c r="X2200" t="s">
        <v>1313</v>
      </c>
      <c r="Y2200" t="s">
        <v>2279</v>
      </c>
      <c r="Z2200" t="s">
        <v>2280</v>
      </c>
      <c r="AA2200" t="s">
        <v>2286</v>
      </c>
      <c r="AB2200" t="s">
        <v>2287</v>
      </c>
      <c r="AC2200" t="s">
        <v>162</v>
      </c>
      <c r="AD2200" t="s">
        <v>2278</v>
      </c>
      <c r="AF2200" t="s">
        <v>49</v>
      </c>
      <c r="AG2200" t="s">
        <v>49</v>
      </c>
      <c r="AI2200" t="s">
        <v>49</v>
      </c>
      <c r="AM2200" t="s">
        <v>202</v>
      </c>
      <c r="AN2200" t="s">
        <v>154</v>
      </c>
      <c r="AP2200" t="s">
        <v>49</v>
      </c>
    </row>
    <row r="2201" spans="1:45" x14ac:dyDescent="0.2">
      <c r="A2201" t="s">
        <v>1311</v>
      </c>
      <c r="B2201" t="s">
        <v>1312</v>
      </c>
      <c r="C2201" s="1">
        <v>2016</v>
      </c>
      <c r="D2201" t="s">
        <v>44</v>
      </c>
      <c r="F2201" s="1" t="s">
        <v>82</v>
      </c>
      <c r="G2201" t="s">
        <v>86</v>
      </c>
      <c r="H2201" t="s">
        <v>96</v>
      </c>
      <c r="I2201">
        <v>2014</v>
      </c>
      <c r="J2201">
        <v>0.5</v>
      </c>
      <c r="K2201" t="s">
        <v>102</v>
      </c>
      <c r="L2201">
        <v>60</v>
      </c>
      <c r="M2201">
        <v>3.1E-2</v>
      </c>
      <c r="N2201" t="s">
        <v>466</v>
      </c>
      <c r="O2201" t="s">
        <v>466</v>
      </c>
      <c r="P2201" t="s">
        <v>467</v>
      </c>
      <c r="Q2201" s="1" t="s">
        <v>2281</v>
      </c>
      <c r="R2201" s="1" t="s">
        <v>2301</v>
      </c>
      <c r="S2201" s="1" t="s">
        <v>2302</v>
      </c>
      <c r="X2201" t="s">
        <v>1313</v>
      </c>
      <c r="Y2201" t="s">
        <v>2279</v>
      </c>
      <c r="Z2201" t="s">
        <v>2280</v>
      </c>
      <c r="AA2201" t="s">
        <v>2286</v>
      </c>
      <c r="AB2201" t="s">
        <v>2287</v>
      </c>
      <c r="AC2201" t="s">
        <v>162</v>
      </c>
      <c r="AD2201" t="s">
        <v>2278</v>
      </c>
      <c r="AF2201" t="s">
        <v>49</v>
      </c>
      <c r="AG2201" t="s">
        <v>49</v>
      </c>
      <c r="AI2201" t="s">
        <v>49</v>
      </c>
      <c r="AM2201" t="s">
        <v>202</v>
      </c>
      <c r="AN2201" t="s">
        <v>166</v>
      </c>
      <c r="AP2201" t="s">
        <v>49</v>
      </c>
    </row>
    <row r="2202" spans="1:45" x14ac:dyDescent="0.2">
      <c r="A2202" t="s">
        <v>1311</v>
      </c>
      <c r="B2202" t="s">
        <v>1312</v>
      </c>
      <c r="C2202" s="1">
        <v>2016</v>
      </c>
      <c r="D2202" t="s">
        <v>44</v>
      </c>
      <c r="F2202" s="1" t="s">
        <v>82</v>
      </c>
      <c r="G2202" t="s">
        <v>86</v>
      </c>
      <c r="H2202" t="s">
        <v>96</v>
      </c>
      <c r="I2202">
        <v>2014</v>
      </c>
      <c r="J2202">
        <v>0.5</v>
      </c>
      <c r="K2202" t="s">
        <v>102</v>
      </c>
      <c r="L2202">
        <v>60</v>
      </c>
      <c r="M2202">
        <v>3.1E-2</v>
      </c>
      <c r="N2202" t="s">
        <v>466</v>
      </c>
      <c r="O2202" t="s">
        <v>466</v>
      </c>
      <c r="P2202" t="s">
        <v>467</v>
      </c>
      <c r="Q2202" s="1" t="s">
        <v>2281</v>
      </c>
      <c r="R2202" s="1" t="s">
        <v>2301</v>
      </c>
      <c r="S2202" s="1" t="s">
        <v>2302</v>
      </c>
      <c r="X2202" t="s">
        <v>161</v>
      </c>
      <c r="Y2202" t="s">
        <v>2272</v>
      </c>
      <c r="Z2202" t="s">
        <v>2272</v>
      </c>
      <c r="AA2202" t="s">
        <v>2272</v>
      </c>
      <c r="AB2202" t="s">
        <v>2272</v>
      </c>
      <c r="AC2202" t="s">
        <v>162</v>
      </c>
      <c r="AD2202" t="s">
        <v>2272</v>
      </c>
      <c r="AF2202" t="s">
        <v>49</v>
      </c>
      <c r="AG2202" t="s">
        <v>49</v>
      </c>
      <c r="AI2202" t="s">
        <v>49</v>
      </c>
      <c r="AM2202" t="s">
        <v>202</v>
      </c>
      <c r="AN2202" t="s">
        <v>165</v>
      </c>
    </row>
    <row r="2203" spans="1:45" x14ac:dyDescent="0.2">
      <c r="A2203" t="s">
        <v>1311</v>
      </c>
      <c r="B2203" t="s">
        <v>1312</v>
      </c>
      <c r="C2203" s="1">
        <v>2016</v>
      </c>
      <c r="D2203" t="s">
        <v>44</v>
      </c>
      <c r="F2203" s="1" t="s">
        <v>82</v>
      </c>
      <c r="G2203" t="s">
        <v>86</v>
      </c>
      <c r="H2203" t="s">
        <v>96</v>
      </c>
      <c r="I2203">
        <v>2014</v>
      </c>
      <c r="J2203">
        <v>3.5999999999999997E-2</v>
      </c>
      <c r="K2203" t="s">
        <v>101</v>
      </c>
      <c r="L2203">
        <v>60</v>
      </c>
      <c r="M2203">
        <v>0.1</v>
      </c>
      <c r="N2203" t="s">
        <v>466</v>
      </c>
      <c r="O2203" t="s">
        <v>466</v>
      </c>
      <c r="P2203" t="s">
        <v>467</v>
      </c>
      <c r="Q2203" s="1" t="s">
        <v>2281</v>
      </c>
      <c r="R2203" s="1" t="s">
        <v>2301</v>
      </c>
      <c r="S2203" s="1" t="s">
        <v>2302</v>
      </c>
      <c r="T2203" t="s">
        <v>421</v>
      </c>
      <c r="U2203" t="s">
        <v>421</v>
      </c>
      <c r="X2203" t="s">
        <v>161</v>
      </c>
      <c r="Y2203" t="s">
        <v>2272</v>
      </c>
      <c r="Z2203" t="s">
        <v>2272</v>
      </c>
      <c r="AA2203" t="s">
        <v>2272</v>
      </c>
      <c r="AB2203" t="s">
        <v>2272</v>
      </c>
      <c r="AC2203" t="s">
        <v>162</v>
      </c>
      <c r="AD2203" t="s">
        <v>2272</v>
      </c>
      <c r="AF2203" t="s">
        <v>49</v>
      </c>
      <c r="AG2203" t="s">
        <v>49</v>
      </c>
      <c r="AI2203" t="s">
        <v>49</v>
      </c>
      <c r="AM2203" t="s">
        <v>202</v>
      </c>
      <c r="AN2203" t="s">
        <v>154</v>
      </c>
      <c r="AP2203" t="s">
        <v>173</v>
      </c>
      <c r="AQ2203" s="5">
        <v>2</v>
      </c>
    </row>
    <row r="2204" spans="1:45" x14ac:dyDescent="0.2">
      <c r="A2204" t="s">
        <v>1311</v>
      </c>
      <c r="B2204" t="s">
        <v>1312</v>
      </c>
      <c r="C2204" s="1">
        <v>2016</v>
      </c>
      <c r="D2204" t="s">
        <v>44</v>
      </c>
      <c r="F2204" s="1" t="s">
        <v>82</v>
      </c>
      <c r="G2204" t="s">
        <v>86</v>
      </c>
      <c r="H2204" t="s">
        <v>96</v>
      </c>
      <c r="I2204">
        <v>2014</v>
      </c>
      <c r="J2204">
        <v>3.5999999999999997E-2</v>
      </c>
      <c r="K2204" t="s">
        <v>101</v>
      </c>
      <c r="L2204">
        <v>60</v>
      </c>
      <c r="M2204">
        <v>0.1</v>
      </c>
      <c r="N2204" t="s">
        <v>466</v>
      </c>
      <c r="O2204" t="s">
        <v>466</v>
      </c>
      <c r="P2204" t="s">
        <v>467</v>
      </c>
      <c r="Q2204" s="1" t="s">
        <v>2281</v>
      </c>
      <c r="R2204" s="1" t="s">
        <v>2301</v>
      </c>
      <c r="S2204" s="1" t="s">
        <v>2302</v>
      </c>
      <c r="T2204" t="s">
        <v>421</v>
      </c>
      <c r="U2204" t="s">
        <v>421</v>
      </c>
      <c r="X2204" t="s">
        <v>161</v>
      </c>
      <c r="Y2204" t="s">
        <v>2272</v>
      </c>
      <c r="Z2204" t="s">
        <v>2272</v>
      </c>
      <c r="AA2204" t="s">
        <v>2272</v>
      </c>
      <c r="AB2204" t="s">
        <v>2272</v>
      </c>
      <c r="AC2204" t="s">
        <v>162</v>
      </c>
      <c r="AD2204" t="s">
        <v>2272</v>
      </c>
      <c r="AF2204" t="s">
        <v>49</v>
      </c>
      <c r="AG2204" t="s">
        <v>49</v>
      </c>
      <c r="AI2204" t="s">
        <v>49</v>
      </c>
      <c r="AM2204" t="s">
        <v>202</v>
      </c>
      <c r="AN2204" t="s">
        <v>166</v>
      </c>
      <c r="AP2204" t="s">
        <v>49</v>
      </c>
    </row>
    <row r="2205" spans="1:45" x14ac:dyDescent="0.2">
      <c r="A2205" t="s">
        <v>1311</v>
      </c>
      <c r="B2205" t="s">
        <v>1312</v>
      </c>
      <c r="C2205" s="1">
        <v>2016</v>
      </c>
      <c r="D2205" t="s">
        <v>44</v>
      </c>
      <c r="F2205" s="1" t="s">
        <v>82</v>
      </c>
      <c r="G2205" t="s">
        <v>86</v>
      </c>
      <c r="H2205" t="s">
        <v>96</v>
      </c>
      <c r="I2205">
        <v>2014</v>
      </c>
      <c r="J2205">
        <v>3.5999999999999997E-2</v>
      </c>
      <c r="K2205" t="s">
        <v>101</v>
      </c>
      <c r="L2205">
        <v>60</v>
      </c>
      <c r="M2205">
        <v>0.1</v>
      </c>
      <c r="N2205" t="s">
        <v>466</v>
      </c>
      <c r="O2205" t="s">
        <v>466</v>
      </c>
      <c r="P2205" t="s">
        <v>467</v>
      </c>
      <c r="Q2205" s="1" t="s">
        <v>2281</v>
      </c>
      <c r="R2205" s="1" t="s">
        <v>2301</v>
      </c>
      <c r="S2205" s="1" t="s">
        <v>2302</v>
      </c>
      <c r="T2205" t="s">
        <v>421</v>
      </c>
      <c r="U2205" t="s">
        <v>421</v>
      </c>
      <c r="X2205" t="s">
        <v>161</v>
      </c>
      <c r="Y2205" t="s">
        <v>2272</v>
      </c>
      <c r="Z2205" t="s">
        <v>2272</v>
      </c>
      <c r="AA2205" t="s">
        <v>2272</v>
      </c>
      <c r="AB2205" t="s">
        <v>2272</v>
      </c>
      <c r="AC2205" t="s">
        <v>162</v>
      </c>
      <c r="AD2205" t="s">
        <v>2272</v>
      </c>
      <c r="AF2205" t="s">
        <v>49</v>
      </c>
      <c r="AG2205" t="s">
        <v>49</v>
      </c>
      <c r="AI2205" t="s">
        <v>49</v>
      </c>
      <c r="AM2205" t="s">
        <v>202</v>
      </c>
      <c r="AN2205" t="s">
        <v>165</v>
      </c>
    </row>
    <row r="2206" spans="1:45" x14ac:dyDescent="0.2">
      <c r="A2206" t="s">
        <v>1314</v>
      </c>
      <c r="B2206" t="s">
        <v>220</v>
      </c>
      <c r="C2206" s="1">
        <v>2016</v>
      </c>
      <c r="Q2206" s="1" t="s">
        <v>2351</v>
      </c>
      <c r="R2206" s="1" t="s">
        <v>2351</v>
      </c>
      <c r="S2206" s="1" t="s">
        <v>2351</v>
      </c>
      <c r="Y2206" t="s">
        <v>2272</v>
      </c>
      <c r="Z2206" t="s">
        <v>2272</v>
      </c>
      <c r="AA2206" t="s">
        <v>2272</v>
      </c>
      <c r="AB2206" t="s">
        <v>2272</v>
      </c>
      <c r="AD2206" t="s">
        <v>2272</v>
      </c>
      <c r="AR2206" t="s">
        <v>144</v>
      </c>
      <c r="AS2206" t="s">
        <v>2583</v>
      </c>
    </row>
    <row r="2207" spans="1:45" x14ac:dyDescent="0.2">
      <c r="A2207" t="s">
        <v>1315</v>
      </c>
      <c r="B2207" t="s">
        <v>1316</v>
      </c>
      <c r="C2207" s="1">
        <v>2016</v>
      </c>
      <c r="D2207" t="s">
        <v>44</v>
      </c>
      <c r="F2207" s="1" t="s">
        <v>710</v>
      </c>
      <c r="G2207" t="s">
        <v>86</v>
      </c>
      <c r="H2207" t="s">
        <v>350</v>
      </c>
      <c r="I2207">
        <v>2013</v>
      </c>
      <c r="J2207">
        <v>3.0000000000000001E-3</v>
      </c>
      <c r="K2207" t="s">
        <v>101</v>
      </c>
      <c r="M2207">
        <v>0</v>
      </c>
      <c r="N2207" t="s">
        <v>120</v>
      </c>
      <c r="O2207" t="s">
        <v>1317</v>
      </c>
      <c r="P2207" t="s">
        <v>196</v>
      </c>
      <c r="Q2207" s="1" t="s">
        <v>2276</v>
      </c>
      <c r="R2207" s="1" t="s">
        <v>669</v>
      </c>
      <c r="S2207" s="1" t="s">
        <v>168</v>
      </c>
      <c r="X2207" t="s">
        <v>322</v>
      </c>
      <c r="Y2207" t="s">
        <v>2273</v>
      </c>
      <c r="Z2207" t="s">
        <v>249</v>
      </c>
      <c r="AA2207" t="s">
        <v>2359</v>
      </c>
      <c r="AB2207" t="s">
        <v>2285</v>
      </c>
      <c r="AC2207" t="s">
        <v>152</v>
      </c>
      <c r="AD2207" t="s">
        <v>2288</v>
      </c>
      <c r="AF2207" t="s">
        <v>49</v>
      </c>
      <c r="AJ2207" t="s">
        <v>49</v>
      </c>
      <c r="AM2207" t="s">
        <v>1321</v>
      </c>
      <c r="AN2207" t="s">
        <v>154</v>
      </c>
      <c r="AR2207">
        <v>1</v>
      </c>
    </row>
    <row r="2208" spans="1:45" x14ac:dyDescent="0.2">
      <c r="A2208" t="s">
        <v>1315</v>
      </c>
      <c r="B2208" t="s">
        <v>1316</v>
      </c>
      <c r="C2208" s="1">
        <v>2016</v>
      </c>
      <c r="D2208" t="s">
        <v>44</v>
      </c>
      <c r="F2208" s="1" t="s">
        <v>710</v>
      </c>
      <c r="G2208" t="s">
        <v>86</v>
      </c>
      <c r="H2208" t="s">
        <v>350</v>
      </c>
      <c r="I2208">
        <v>2013</v>
      </c>
      <c r="J2208">
        <v>3.0000000000000001E-3</v>
      </c>
      <c r="K2208" t="s">
        <v>101</v>
      </c>
      <c r="M2208">
        <v>0</v>
      </c>
      <c r="N2208" t="s">
        <v>120</v>
      </c>
      <c r="O2208" t="s">
        <v>1317</v>
      </c>
      <c r="P2208" t="s">
        <v>196</v>
      </c>
      <c r="Q2208" s="1" t="s">
        <v>2276</v>
      </c>
      <c r="R2208" s="1" t="s">
        <v>669</v>
      </c>
      <c r="S2208" s="1" t="s">
        <v>168</v>
      </c>
      <c r="X2208" t="s">
        <v>339</v>
      </c>
      <c r="Y2208" t="s">
        <v>2273</v>
      </c>
      <c r="Z2208" t="s">
        <v>249</v>
      </c>
      <c r="AA2208" t="s">
        <v>2359</v>
      </c>
      <c r="AB2208" t="s">
        <v>2289</v>
      </c>
      <c r="AC2208" t="s">
        <v>152</v>
      </c>
      <c r="AD2208" t="s">
        <v>137</v>
      </c>
      <c r="AF2208" t="s">
        <v>49</v>
      </c>
      <c r="AJ2208" t="s">
        <v>49</v>
      </c>
      <c r="AM2208" t="s">
        <v>1321</v>
      </c>
      <c r="AN2208" t="s">
        <v>154</v>
      </c>
      <c r="AR2208">
        <v>1</v>
      </c>
    </row>
    <row r="2209" spans="1:44" x14ac:dyDescent="0.2">
      <c r="A2209" t="s">
        <v>1315</v>
      </c>
      <c r="B2209" t="s">
        <v>1316</v>
      </c>
      <c r="C2209" s="1">
        <v>2016</v>
      </c>
      <c r="D2209" t="s">
        <v>44</v>
      </c>
      <c r="F2209" s="1" t="s">
        <v>710</v>
      </c>
      <c r="G2209" t="s">
        <v>86</v>
      </c>
      <c r="H2209" t="s">
        <v>350</v>
      </c>
      <c r="I2209">
        <v>2013</v>
      </c>
      <c r="J2209">
        <v>3.0000000000000001E-3</v>
      </c>
      <c r="K2209" t="s">
        <v>101</v>
      </c>
      <c r="M2209">
        <v>0</v>
      </c>
      <c r="N2209" t="s">
        <v>120</v>
      </c>
      <c r="O2209" t="s">
        <v>1317</v>
      </c>
      <c r="P2209" t="s">
        <v>196</v>
      </c>
      <c r="Q2209" s="1" t="s">
        <v>2276</v>
      </c>
      <c r="R2209" s="1" t="s">
        <v>669</v>
      </c>
      <c r="S2209" s="1" t="s">
        <v>168</v>
      </c>
      <c r="X2209" t="s">
        <v>148</v>
      </c>
      <c r="Y2209" t="s">
        <v>2273</v>
      </c>
      <c r="Z2209" t="s">
        <v>249</v>
      </c>
      <c r="AA2209" t="s">
        <v>2274</v>
      </c>
      <c r="AB2209" t="s">
        <v>2275</v>
      </c>
      <c r="AC2209" t="s">
        <v>152</v>
      </c>
      <c r="AD2209" t="s">
        <v>137</v>
      </c>
      <c r="AF2209" t="s">
        <v>49</v>
      </c>
      <c r="AJ2209" t="s">
        <v>49</v>
      </c>
      <c r="AM2209" t="s">
        <v>1321</v>
      </c>
      <c r="AN2209" t="s">
        <v>154</v>
      </c>
      <c r="AR2209">
        <v>1</v>
      </c>
    </row>
    <row r="2210" spans="1:44" x14ac:dyDescent="0.2">
      <c r="A2210" t="s">
        <v>1315</v>
      </c>
      <c r="B2210" t="s">
        <v>1316</v>
      </c>
      <c r="C2210" s="1">
        <v>2016</v>
      </c>
      <c r="D2210" t="s">
        <v>44</v>
      </c>
      <c r="F2210" s="1" t="s">
        <v>710</v>
      </c>
      <c r="G2210" t="s">
        <v>86</v>
      </c>
      <c r="H2210" t="s">
        <v>350</v>
      </c>
      <c r="I2210">
        <v>2013</v>
      </c>
      <c r="J2210">
        <v>3.0000000000000001E-3</v>
      </c>
      <c r="K2210" t="s">
        <v>101</v>
      </c>
      <c r="M2210">
        <v>0</v>
      </c>
      <c r="N2210" t="s">
        <v>120</v>
      </c>
      <c r="O2210" t="s">
        <v>1317</v>
      </c>
      <c r="P2210" t="s">
        <v>196</v>
      </c>
      <c r="Q2210" s="1" t="s">
        <v>2276</v>
      </c>
      <c r="R2210" s="1" t="s">
        <v>669</v>
      </c>
      <c r="S2210" s="1" t="s">
        <v>168</v>
      </c>
      <c r="X2210" t="s">
        <v>1318</v>
      </c>
      <c r="Y2210" t="s">
        <v>2279</v>
      </c>
      <c r="Z2210" t="s">
        <v>2280</v>
      </c>
      <c r="AA2210" t="s">
        <v>2272</v>
      </c>
      <c r="AB2210" t="s">
        <v>2272</v>
      </c>
      <c r="AC2210" t="s">
        <v>152</v>
      </c>
      <c r="AD2210" t="s">
        <v>2278</v>
      </c>
      <c r="AF2210" t="s">
        <v>49</v>
      </c>
      <c r="AJ2210" t="s">
        <v>49</v>
      </c>
      <c r="AM2210" t="s">
        <v>1321</v>
      </c>
      <c r="AN2210" t="s">
        <v>154</v>
      </c>
      <c r="AR2210">
        <v>1</v>
      </c>
    </row>
    <row r="2211" spans="1:44" x14ac:dyDescent="0.2">
      <c r="A2211" t="s">
        <v>1315</v>
      </c>
      <c r="B2211" t="s">
        <v>1316</v>
      </c>
      <c r="C2211" s="1">
        <v>2016</v>
      </c>
      <c r="D2211" t="s">
        <v>44</v>
      </c>
      <c r="F2211" s="1" t="s">
        <v>710</v>
      </c>
      <c r="G2211" t="s">
        <v>86</v>
      </c>
      <c r="H2211" t="s">
        <v>350</v>
      </c>
      <c r="I2211">
        <v>2013</v>
      </c>
      <c r="J2211">
        <v>3.0000000000000001E-3</v>
      </c>
      <c r="K2211" t="s">
        <v>101</v>
      </c>
      <c r="M2211">
        <v>0</v>
      </c>
      <c r="N2211" t="s">
        <v>120</v>
      </c>
      <c r="O2211" t="s">
        <v>1317</v>
      </c>
      <c r="P2211" t="s">
        <v>196</v>
      </c>
      <c r="Q2211" s="1" t="s">
        <v>2276</v>
      </c>
      <c r="R2211" s="1" t="s">
        <v>669</v>
      </c>
      <c r="S2211" s="1" t="s">
        <v>168</v>
      </c>
      <c r="X2211" t="s">
        <v>1319</v>
      </c>
      <c r="Y2211" t="s">
        <v>2273</v>
      </c>
      <c r="Z2211" t="s">
        <v>249</v>
      </c>
      <c r="AA2211" t="s">
        <v>2274</v>
      </c>
      <c r="AB2211" t="s">
        <v>2300</v>
      </c>
      <c r="AC2211" t="s">
        <v>152</v>
      </c>
      <c r="AD2211" t="s">
        <v>2288</v>
      </c>
      <c r="AF2211" t="s">
        <v>49</v>
      </c>
      <c r="AJ2211" t="s">
        <v>49</v>
      </c>
      <c r="AM2211" t="s">
        <v>1321</v>
      </c>
      <c r="AN2211" t="s">
        <v>154</v>
      </c>
      <c r="AR2211">
        <v>1</v>
      </c>
    </row>
    <row r="2212" spans="1:44" x14ac:dyDescent="0.2">
      <c r="A2212" t="s">
        <v>1315</v>
      </c>
      <c r="B2212" t="s">
        <v>1316</v>
      </c>
      <c r="C2212" s="1">
        <v>2016</v>
      </c>
      <c r="D2212" t="s">
        <v>44</v>
      </c>
      <c r="F2212" s="1" t="s">
        <v>710</v>
      </c>
      <c r="G2212" t="s">
        <v>86</v>
      </c>
      <c r="H2212" t="s">
        <v>350</v>
      </c>
      <c r="I2212">
        <v>2013</v>
      </c>
      <c r="J2212">
        <v>3.0000000000000001E-3</v>
      </c>
      <c r="K2212" t="s">
        <v>101</v>
      </c>
      <c r="M2212">
        <v>0</v>
      </c>
      <c r="N2212" t="s">
        <v>120</v>
      </c>
      <c r="O2212" t="s">
        <v>1317</v>
      </c>
      <c r="P2212" t="s">
        <v>196</v>
      </c>
      <c r="Q2212" s="1" t="s">
        <v>2276</v>
      </c>
      <c r="R2212" s="1" t="s">
        <v>669</v>
      </c>
      <c r="S2212" s="1" t="s">
        <v>168</v>
      </c>
      <c r="X2212" t="s">
        <v>1320</v>
      </c>
      <c r="Y2212" t="s">
        <v>2273</v>
      </c>
      <c r="Z2212" t="s">
        <v>249</v>
      </c>
      <c r="AA2212" t="s">
        <v>2274</v>
      </c>
      <c r="AB2212" t="s">
        <v>2300</v>
      </c>
      <c r="AC2212" t="s">
        <v>152</v>
      </c>
      <c r="AD2212" t="s">
        <v>2288</v>
      </c>
      <c r="AF2212" t="s">
        <v>49</v>
      </c>
      <c r="AJ2212" t="s">
        <v>49</v>
      </c>
      <c r="AM2212" t="s">
        <v>1321</v>
      </c>
      <c r="AN2212" t="s">
        <v>154</v>
      </c>
      <c r="AR2212">
        <v>1</v>
      </c>
    </row>
    <row r="2213" spans="1:44" x14ac:dyDescent="0.2">
      <c r="A2213" t="s">
        <v>1315</v>
      </c>
      <c r="B2213" t="s">
        <v>1316</v>
      </c>
      <c r="C2213" s="1">
        <v>2016</v>
      </c>
      <c r="D2213" t="s">
        <v>44</v>
      </c>
      <c r="F2213" s="1" t="s">
        <v>710</v>
      </c>
      <c r="G2213" t="s">
        <v>86</v>
      </c>
      <c r="H2213" t="s">
        <v>350</v>
      </c>
      <c r="I2213">
        <v>2013</v>
      </c>
      <c r="J2213">
        <v>3.0000000000000001E-3</v>
      </c>
      <c r="K2213" t="s">
        <v>101</v>
      </c>
      <c r="M2213">
        <v>0</v>
      </c>
      <c r="N2213" t="s">
        <v>120</v>
      </c>
      <c r="O2213" t="s">
        <v>1317</v>
      </c>
      <c r="P2213" t="s">
        <v>196</v>
      </c>
      <c r="Q2213" s="1" t="s">
        <v>2276</v>
      </c>
      <c r="R2213" s="1" t="s">
        <v>669</v>
      </c>
      <c r="S2213" s="1" t="s">
        <v>168</v>
      </c>
      <c r="X2213" t="s">
        <v>647</v>
      </c>
      <c r="Y2213" t="s">
        <v>2273</v>
      </c>
      <c r="Z2213" t="s">
        <v>2356</v>
      </c>
      <c r="AA2213" t="s">
        <v>2357</v>
      </c>
      <c r="AB2213" t="s">
        <v>2277</v>
      </c>
      <c r="AC2213" t="s">
        <v>152</v>
      </c>
      <c r="AD2213" t="s">
        <v>137</v>
      </c>
      <c r="AF2213" t="s">
        <v>49</v>
      </c>
      <c r="AJ2213" t="s">
        <v>49</v>
      </c>
      <c r="AM2213" t="s">
        <v>1321</v>
      </c>
      <c r="AN2213" t="s">
        <v>154</v>
      </c>
      <c r="AR2213">
        <v>1</v>
      </c>
    </row>
    <row r="2214" spans="1:44" x14ac:dyDescent="0.2">
      <c r="A2214" t="s">
        <v>1315</v>
      </c>
      <c r="B2214" t="s">
        <v>1316</v>
      </c>
      <c r="C2214" s="1">
        <v>2016</v>
      </c>
      <c r="D2214" t="s">
        <v>44</v>
      </c>
      <c r="F2214" s="1" t="s">
        <v>710</v>
      </c>
      <c r="G2214" t="s">
        <v>86</v>
      </c>
      <c r="H2214" t="s">
        <v>350</v>
      </c>
      <c r="I2214">
        <v>2013</v>
      </c>
      <c r="J2214">
        <v>3.0000000000000001E-3</v>
      </c>
      <c r="K2214" t="s">
        <v>101</v>
      </c>
      <c r="M2214">
        <v>0</v>
      </c>
      <c r="N2214" t="s">
        <v>120</v>
      </c>
      <c r="O2214" t="s">
        <v>1317</v>
      </c>
      <c r="P2214" t="s">
        <v>196</v>
      </c>
      <c r="Q2214" s="1" t="s">
        <v>2276</v>
      </c>
      <c r="R2214" s="1" t="s">
        <v>669</v>
      </c>
      <c r="S2214" s="1" t="s">
        <v>168</v>
      </c>
      <c r="X2214" t="s">
        <v>322</v>
      </c>
      <c r="Y2214" t="s">
        <v>2273</v>
      </c>
      <c r="Z2214" t="s">
        <v>249</v>
      </c>
      <c r="AA2214" t="s">
        <v>2359</v>
      </c>
      <c r="AB2214" t="s">
        <v>2285</v>
      </c>
      <c r="AC2214" t="s">
        <v>152</v>
      </c>
      <c r="AD2214" t="s">
        <v>2288</v>
      </c>
      <c r="AF2214" t="s">
        <v>49</v>
      </c>
      <c r="AJ2214" t="s">
        <v>49</v>
      </c>
      <c r="AM2214" t="s">
        <v>1321</v>
      </c>
      <c r="AN2214" t="s">
        <v>165</v>
      </c>
      <c r="AR2214">
        <v>1</v>
      </c>
    </row>
    <row r="2215" spans="1:44" x14ac:dyDescent="0.2">
      <c r="A2215" t="s">
        <v>1315</v>
      </c>
      <c r="B2215" t="s">
        <v>1316</v>
      </c>
      <c r="C2215" s="1">
        <v>2016</v>
      </c>
      <c r="D2215" t="s">
        <v>44</v>
      </c>
      <c r="F2215" s="1" t="s">
        <v>710</v>
      </c>
      <c r="G2215" t="s">
        <v>86</v>
      </c>
      <c r="H2215" t="s">
        <v>350</v>
      </c>
      <c r="I2215">
        <v>2013</v>
      </c>
      <c r="J2215">
        <v>3.0000000000000001E-3</v>
      </c>
      <c r="K2215" t="s">
        <v>101</v>
      </c>
      <c r="M2215">
        <v>0</v>
      </c>
      <c r="N2215" t="s">
        <v>120</v>
      </c>
      <c r="O2215" t="s">
        <v>1317</v>
      </c>
      <c r="P2215" t="s">
        <v>196</v>
      </c>
      <c r="Q2215" s="1" t="s">
        <v>2276</v>
      </c>
      <c r="R2215" s="1" t="s">
        <v>669</v>
      </c>
      <c r="S2215" s="1" t="s">
        <v>168</v>
      </c>
      <c r="X2215" t="s">
        <v>339</v>
      </c>
      <c r="Y2215" t="s">
        <v>2273</v>
      </c>
      <c r="Z2215" t="s">
        <v>249</v>
      </c>
      <c r="AA2215" t="s">
        <v>2359</v>
      </c>
      <c r="AB2215" t="s">
        <v>2289</v>
      </c>
      <c r="AC2215" t="s">
        <v>152</v>
      </c>
      <c r="AD2215" t="s">
        <v>137</v>
      </c>
      <c r="AF2215" t="s">
        <v>49</v>
      </c>
      <c r="AJ2215" t="s">
        <v>49</v>
      </c>
      <c r="AM2215" t="s">
        <v>1321</v>
      </c>
      <c r="AN2215" t="s">
        <v>165</v>
      </c>
      <c r="AR2215">
        <v>1</v>
      </c>
    </row>
    <row r="2216" spans="1:44" x14ac:dyDescent="0.2">
      <c r="A2216" t="s">
        <v>1315</v>
      </c>
      <c r="B2216" t="s">
        <v>1316</v>
      </c>
      <c r="C2216" s="1">
        <v>2016</v>
      </c>
      <c r="D2216" t="s">
        <v>44</v>
      </c>
      <c r="F2216" s="1" t="s">
        <v>710</v>
      </c>
      <c r="G2216" t="s">
        <v>86</v>
      </c>
      <c r="H2216" t="s">
        <v>350</v>
      </c>
      <c r="I2216">
        <v>2013</v>
      </c>
      <c r="J2216">
        <v>3.0000000000000001E-3</v>
      </c>
      <c r="K2216" t="s">
        <v>101</v>
      </c>
      <c r="M2216">
        <v>0</v>
      </c>
      <c r="N2216" t="s">
        <v>120</v>
      </c>
      <c r="O2216" t="s">
        <v>1317</v>
      </c>
      <c r="P2216" t="s">
        <v>196</v>
      </c>
      <c r="Q2216" s="1" t="s">
        <v>2276</v>
      </c>
      <c r="R2216" s="1" t="s">
        <v>669</v>
      </c>
      <c r="S2216" s="1" t="s">
        <v>168</v>
      </c>
      <c r="X2216" t="s">
        <v>148</v>
      </c>
      <c r="Y2216" t="s">
        <v>2273</v>
      </c>
      <c r="Z2216" t="s">
        <v>249</v>
      </c>
      <c r="AA2216" t="s">
        <v>2274</v>
      </c>
      <c r="AB2216" t="s">
        <v>2275</v>
      </c>
      <c r="AC2216" t="s">
        <v>152</v>
      </c>
      <c r="AD2216" t="s">
        <v>137</v>
      </c>
      <c r="AF2216" t="s">
        <v>49</v>
      </c>
      <c r="AJ2216" t="s">
        <v>49</v>
      </c>
      <c r="AM2216" t="s">
        <v>1321</v>
      </c>
      <c r="AN2216" t="s">
        <v>165</v>
      </c>
      <c r="AR2216">
        <v>1</v>
      </c>
    </row>
    <row r="2217" spans="1:44" x14ac:dyDescent="0.2">
      <c r="A2217" t="s">
        <v>1315</v>
      </c>
      <c r="B2217" t="s">
        <v>1316</v>
      </c>
      <c r="C2217" s="1">
        <v>2016</v>
      </c>
      <c r="D2217" t="s">
        <v>44</v>
      </c>
      <c r="F2217" s="1" t="s">
        <v>710</v>
      </c>
      <c r="G2217" t="s">
        <v>86</v>
      </c>
      <c r="H2217" t="s">
        <v>350</v>
      </c>
      <c r="I2217">
        <v>2013</v>
      </c>
      <c r="J2217">
        <v>3.0000000000000001E-3</v>
      </c>
      <c r="K2217" t="s">
        <v>101</v>
      </c>
      <c r="M2217">
        <v>0</v>
      </c>
      <c r="N2217" t="s">
        <v>120</v>
      </c>
      <c r="O2217" t="s">
        <v>1317</v>
      </c>
      <c r="P2217" t="s">
        <v>196</v>
      </c>
      <c r="Q2217" s="1" t="s">
        <v>2276</v>
      </c>
      <c r="R2217" s="1" t="s">
        <v>669</v>
      </c>
      <c r="S2217" s="1" t="s">
        <v>168</v>
      </c>
      <c r="X2217" t="s">
        <v>1318</v>
      </c>
      <c r="Y2217" t="s">
        <v>2279</v>
      </c>
      <c r="Z2217" t="s">
        <v>2280</v>
      </c>
      <c r="AA2217" t="s">
        <v>2272</v>
      </c>
      <c r="AB2217" t="s">
        <v>2272</v>
      </c>
      <c r="AC2217" t="s">
        <v>152</v>
      </c>
      <c r="AD2217" t="s">
        <v>2278</v>
      </c>
      <c r="AF2217" t="s">
        <v>49</v>
      </c>
      <c r="AJ2217" t="s">
        <v>49</v>
      </c>
      <c r="AM2217" t="s">
        <v>1321</v>
      </c>
      <c r="AN2217" t="s">
        <v>165</v>
      </c>
      <c r="AR2217">
        <v>1</v>
      </c>
    </row>
    <row r="2218" spans="1:44" x14ac:dyDescent="0.2">
      <c r="A2218" t="s">
        <v>1315</v>
      </c>
      <c r="B2218" t="s">
        <v>1316</v>
      </c>
      <c r="C2218" s="1">
        <v>2016</v>
      </c>
      <c r="D2218" t="s">
        <v>44</v>
      </c>
      <c r="F2218" s="1" t="s">
        <v>710</v>
      </c>
      <c r="G2218" t="s">
        <v>86</v>
      </c>
      <c r="H2218" t="s">
        <v>350</v>
      </c>
      <c r="I2218">
        <v>2013</v>
      </c>
      <c r="J2218">
        <v>3.0000000000000001E-3</v>
      </c>
      <c r="K2218" t="s">
        <v>101</v>
      </c>
      <c r="M2218">
        <v>0</v>
      </c>
      <c r="N2218" t="s">
        <v>120</v>
      </c>
      <c r="O2218" t="s">
        <v>1317</v>
      </c>
      <c r="P2218" t="s">
        <v>196</v>
      </c>
      <c r="Q2218" s="1" t="s">
        <v>2276</v>
      </c>
      <c r="R2218" s="1" t="s">
        <v>669</v>
      </c>
      <c r="S2218" s="1" t="s">
        <v>168</v>
      </c>
      <c r="X2218" t="s">
        <v>1319</v>
      </c>
      <c r="Y2218" t="s">
        <v>2273</v>
      </c>
      <c r="Z2218" t="s">
        <v>249</v>
      </c>
      <c r="AA2218" t="s">
        <v>2274</v>
      </c>
      <c r="AB2218" t="s">
        <v>2300</v>
      </c>
      <c r="AC2218" t="s">
        <v>152</v>
      </c>
      <c r="AD2218" t="s">
        <v>2288</v>
      </c>
      <c r="AF2218" t="s">
        <v>49</v>
      </c>
      <c r="AJ2218" t="s">
        <v>49</v>
      </c>
      <c r="AM2218" t="s">
        <v>1321</v>
      </c>
      <c r="AN2218" t="s">
        <v>165</v>
      </c>
      <c r="AR2218">
        <v>1</v>
      </c>
    </row>
    <row r="2219" spans="1:44" x14ac:dyDescent="0.2">
      <c r="A2219" t="s">
        <v>1315</v>
      </c>
      <c r="B2219" t="s">
        <v>1316</v>
      </c>
      <c r="C2219" s="1">
        <v>2016</v>
      </c>
      <c r="D2219" t="s">
        <v>44</v>
      </c>
      <c r="F2219" s="1" t="s">
        <v>710</v>
      </c>
      <c r="G2219" t="s">
        <v>86</v>
      </c>
      <c r="H2219" t="s">
        <v>350</v>
      </c>
      <c r="I2219">
        <v>2013</v>
      </c>
      <c r="J2219">
        <v>3.0000000000000001E-3</v>
      </c>
      <c r="K2219" t="s">
        <v>101</v>
      </c>
      <c r="M2219">
        <v>0</v>
      </c>
      <c r="N2219" t="s">
        <v>120</v>
      </c>
      <c r="O2219" t="s">
        <v>1317</v>
      </c>
      <c r="P2219" t="s">
        <v>196</v>
      </c>
      <c r="Q2219" s="1" t="s">
        <v>2276</v>
      </c>
      <c r="R2219" s="1" t="s">
        <v>669</v>
      </c>
      <c r="S2219" s="1" t="s">
        <v>168</v>
      </c>
      <c r="X2219" t="s">
        <v>1320</v>
      </c>
      <c r="Y2219" t="s">
        <v>2273</v>
      </c>
      <c r="Z2219" t="s">
        <v>249</v>
      </c>
      <c r="AA2219" t="s">
        <v>2274</v>
      </c>
      <c r="AB2219" t="s">
        <v>2300</v>
      </c>
      <c r="AC2219" t="s">
        <v>152</v>
      </c>
      <c r="AD2219" t="s">
        <v>2288</v>
      </c>
      <c r="AF2219" t="s">
        <v>49</v>
      </c>
      <c r="AJ2219" t="s">
        <v>49</v>
      </c>
      <c r="AM2219" t="s">
        <v>1321</v>
      </c>
      <c r="AN2219" t="s">
        <v>165</v>
      </c>
      <c r="AR2219">
        <v>1</v>
      </c>
    </row>
    <row r="2220" spans="1:44" x14ac:dyDescent="0.2">
      <c r="A2220" t="s">
        <v>1315</v>
      </c>
      <c r="B2220" t="s">
        <v>1316</v>
      </c>
      <c r="C2220" s="1">
        <v>2016</v>
      </c>
      <c r="D2220" t="s">
        <v>44</v>
      </c>
      <c r="F2220" s="1" t="s">
        <v>710</v>
      </c>
      <c r="G2220" t="s">
        <v>86</v>
      </c>
      <c r="H2220" t="s">
        <v>350</v>
      </c>
      <c r="I2220">
        <v>2013</v>
      </c>
      <c r="J2220">
        <v>3.0000000000000001E-3</v>
      </c>
      <c r="K2220" t="s">
        <v>101</v>
      </c>
      <c r="M2220">
        <v>0</v>
      </c>
      <c r="N2220" t="s">
        <v>120</v>
      </c>
      <c r="O2220" t="s">
        <v>1317</v>
      </c>
      <c r="P2220" t="s">
        <v>196</v>
      </c>
      <c r="Q2220" s="1" t="s">
        <v>2276</v>
      </c>
      <c r="R2220" s="1" t="s">
        <v>669</v>
      </c>
      <c r="S2220" s="1" t="s">
        <v>168</v>
      </c>
      <c r="X2220" t="s">
        <v>647</v>
      </c>
      <c r="Y2220" t="s">
        <v>2273</v>
      </c>
      <c r="Z2220" t="s">
        <v>2356</v>
      </c>
      <c r="AA2220" t="s">
        <v>2357</v>
      </c>
      <c r="AB2220" t="s">
        <v>2277</v>
      </c>
      <c r="AC2220" t="s">
        <v>152</v>
      </c>
      <c r="AD2220" t="s">
        <v>137</v>
      </c>
      <c r="AF2220" t="s">
        <v>49</v>
      </c>
      <c r="AJ2220" t="s">
        <v>49</v>
      </c>
      <c r="AM2220" t="s">
        <v>1321</v>
      </c>
      <c r="AN2220" t="s">
        <v>165</v>
      </c>
      <c r="AR2220">
        <v>1</v>
      </c>
    </row>
    <row r="2221" spans="1:44" x14ac:dyDescent="0.2">
      <c r="A2221" t="s">
        <v>1315</v>
      </c>
      <c r="B2221" t="s">
        <v>1316</v>
      </c>
      <c r="C2221" s="1">
        <v>2016</v>
      </c>
      <c r="D2221" t="s">
        <v>44</v>
      </c>
      <c r="F2221" s="1" t="s">
        <v>710</v>
      </c>
      <c r="G2221" t="s">
        <v>86</v>
      </c>
      <c r="H2221" t="s">
        <v>350</v>
      </c>
      <c r="I2221">
        <v>2013</v>
      </c>
      <c r="J2221">
        <v>3.0000000000000001E-3</v>
      </c>
      <c r="K2221" t="s">
        <v>101</v>
      </c>
      <c r="M2221">
        <v>0</v>
      </c>
      <c r="N2221" t="s">
        <v>120</v>
      </c>
      <c r="O2221" t="s">
        <v>1317</v>
      </c>
      <c r="P2221" t="s">
        <v>196</v>
      </c>
      <c r="Q2221" s="1" t="s">
        <v>2276</v>
      </c>
      <c r="R2221" s="1" t="s">
        <v>669</v>
      </c>
      <c r="S2221" s="1" t="s">
        <v>168</v>
      </c>
      <c r="X2221" t="s">
        <v>322</v>
      </c>
      <c r="Y2221" t="s">
        <v>2273</v>
      </c>
      <c r="Z2221" t="s">
        <v>249</v>
      </c>
      <c r="AA2221" t="s">
        <v>2359</v>
      </c>
      <c r="AB2221" t="s">
        <v>2285</v>
      </c>
      <c r="AC2221" t="s">
        <v>152</v>
      </c>
      <c r="AD2221" t="s">
        <v>2288</v>
      </c>
      <c r="AF2221" t="s">
        <v>49</v>
      </c>
      <c r="AJ2221" t="s">
        <v>49</v>
      </c>
      <c r="AM2221" t="s">
        <v>1321</v>
      </c>
      <c r="AN2221" t="s">
        <v>166</v>
      </c>
      <c r="AR2221">
        <v>1</v>
      </c>
    </row>
    <row r="2222" spans="1:44" x14ac:dyDescent="0.2">
      <c r="A2222" t="s">
        <v>1315</v>
      </c>
      <c r="B2222" t="s">
        <v>1316</v>
      </c>
      <c r="C2222" s="1">
        <v>2016</v>
      </c>
      <c r="D2222" t="s">
        <v>44</v>
      </c>
      <c r="F2222" s="1" t="s">
        <v>710</v>
      </c>
      <c r="G2222" t="s">
        <v>86</v>
      </c>
      <c r="H2222" t="s">
        <v>350</v>
      </c>
      <c r="I2222">
        <v>2013</v>
      </c>
      <c r="J2222">
        <v>3.0000000000000001E-3</v>
      </c>
      <c r="K2222" t="s">
        <v>101</v>
      </c>
      <c r="M2222">
        <v>0</v>
      </c>
      <c r="N2222" t="s">
        <v>120</v>
      </c>
      <c r="O2222" t="s">
        <v>1317</v>
      </c>
      <c r="P2222" t="s">
        <v>196</v>
      </c>
      <c r="Q2222" s="1" t="s">
        <v>2276</v>
      </c>
      <c r="R2222" s="1" t="s">
        <v>669</v>
      </c>
      <c r="S2222" s="1" t="s">
        <v>168</v>
      </c>
      <c r="X2222" t="s">
        <v>339</v>
      </c>
      <c r="Y2222" t="s">
        <v>2273</v>
      </c>
      <c r="Z2222" t="s">
        <v>249</v>
      </c>
      <c r="AA2222" t="s">
        <v>2359</v>
      </c>
      <c r="AB2222" t="s">
        <v>2289</v>
      </c>
      <c r="AC2222" t="s">
        <v>152</v>
      </c>
      <c r="AD2222" t="s">
        <v>137</v>
      </c>
      <c r="AF2222" t="s">
        <v>49</v>
      </c>
      <c r="AJ2222" t="s">
        <v>49</v>
      </c>
      <c r="AM2222" t="s">
        <v>1321</v>
      </c>
      <c r="AN2222" t="s">
        <v>166</v>
      </c>
      <c r="AR2222">
        <v>1</v>
      </c>
    </row>
    <row r="2223" spans="1:44" x14ac:dyDescent="0.2">
      <c r="A2223" t="s">
        <v>1315</v>
      </c>
      <c r="B2223" t="s">
        <v>1316</v>
      </c>
      <c r="C2223" s="1">
        <v>2016</v>
      </c>
      <c r="D2223" t="s">
        <v>44</v>
      </c>
      <c r="F2223" s="1" t="s">
        <v>710</v>
      </c>
      <c r="G2223" t="s">
        <v>86</v>
      </c>
      <c r="H2223" t="s">
        <v>350</v>
      </c>
      <c r="I2223">
        <v>2013</v>
      </c>
      <c r="J2223">
        <v>3.0000000000000001E-3</v>
      </c>
      <c r="K2223" t="s">
        <v>101</v>
      </c>
      <c r="M2223">
        <v>0</v>
      </c>
      <c r="N2223" t="s">
        <v>120</v>
      </c>
      <c r="O2223" t="s">
        <v>1317</v>
      </c>
      <c r="P2223" t="s">
        <v>196</v>
      </c>
      <c r="Q2223" s="1" t="s">
        <v>2276</v>
      </c>
      <c r="R2223" s="1" t="s">
        <v>669</v>
      </c>
      <c r="S2223" s="1" t="s">
        <v>168</v>
      </c>
      <c r="X2223" t="s">
        <v>148</v>
      </c>
      <c r="Y2223" t="s">
        <v>2273</v>
      </c>
      <c r="Z2223" t="s">
        <v>249</v>
      </c>
      <c r="AA2223" t="s">
        <v>2274</v>
      </c>
      <c r="AB2223" t="s">
        <v>2275</v>
      </c>
      <c r="AC2223" t="s">
        <v>152</v>
      </c>
      <c r="AD2223" t="s">
        <v>137</v>
      </c>
      <c r="AF2223" t="s">
        <v>49</v>
      </c>
      <c r="AJ2223" t="s">
        <v>49</v>
      </c>
      <c r="AM2223" t="s">
        <v>1321</v>
      </c>
      <c r="AN2223" t="s">
        <v>166</v>
      </c>
      <c r="AR2223">
        <v>1</v>
      </c>
    </row>
    <row r="2224" spans="1:44" x14ac:dyDescent="0.2">
      <c r="A2224" t="s">
        <v>1315</v>
      </c>
      <c r="B2224" t="s">
        <v>1316</v>
      </c>
      <c r="C2224" s="1">
        <v>2016</v>
      </c>
      <c r="D2224" t="s">
        <v>44</v>
      </c>
      <c r="F2224" s="1" t="s">
        <v>710</v>
      </c>
      <c r="G2224" t="s">
        <v>86</v>
      </c>
      <c r="H2224" t="s">
        <v>350</v>
      </c>
      <c r="I2224">
        <v>2013</v>
      </c>
      <c r="J2224">
        <v>3.0000000000000001E-3</v>
      </c>
      <c r="K2224" t="s">
        <v>101</v>
      </c>
      <c r="M2224">
        <v>0</v>
      </c>
      <c r="N2224" t="s">
        <v>120</v>
      </c>
      <c r="O2224" t="s">
        <v>1317</v>
      </c>
      <c r="P2224" t="s">
        <v>196</v>
      </c>
      <c r="Q2224" s="1" t="s">
        <v>2276</v>
      </c>
      <c r="R2224" s="1" t="s">
        <v>669</v>
      </c>
      <c r="S2224" s="1" t="s">
        <v>168</v>
      </c>
      <c r="X2224" t="s">
        <v>1318</v>
      </c>
      <c r="Y2224" t="s">
        <v>2279</v>
      </c>
      <c r="Z2224" t="s">
        <v>2280</v>
      </c>
      <c r="AA2224" t="s">
        <v>2272</v>
      </c>
      <c r="AB2224" t="s">
        <v>2272</v>
      </c>
      <c r="AC2224" t="s">
        <v>152</v>
      </c>
      <c r="AD2224" t="s">
        <v>2278</v>
      </c>
      <c r="AF2224" t="s">
        <v>49</v>
      </c>
      <c r="AJ2224" t="s">
        <v>49</v>
      </c>
      <c r="AM2224" t="s">
        <v>1321</v>
      </c>
      <c r="AN2224" t="s">
        <v>166</v>
      </c>
      <c r="AR2224">
        <v>1</v>
      </c>
    </row>
    <row r="2225" spans="1:44" x14ac:dyDescent="0.2">
      <c r="A2225" t="s">
        <v>1315</v>
      </c>
      <c r="B2225" t="s">
        <v>1316</v>
      </c>
      <c r="C2225" s="1">
        <v>2016</v>
      </c>
      <c r="D2225" t="s">
        <v>44</v>
      </c>
      <c r="F2225" s="1" t="s">
        <v>710</v>
      </c>
      <c r="G2225" t="s">
        <v>86</v>
      </c>
      <c r="H2225" t="s">
        <v>350</v>
      </c>
      <c r="I2225">
        <v>2013</v>
      </c>
      <c r="J2225">
        <v>3.0000000000000001E-3</v>
      </c>
      <c r="K2225" t="s">
        <v>101</v>
      </c>
      <c r="M2225">
        <v>0</v>
      </c>
      <c r="N2225" t="s">
        <v>120</v>
      </c>
      <c r="O2225" t="s">
        <v>1317</v>
      </c>
      <c r="P2225" t="s">
        <v>196</v>
      </c>
      <c r="Q2225" s="1" t="s">
        <v>2276</v>
      </c>
      <c r="R2225" s="1" t="s">
        <v>669</v>
      </c>
      <c r="S2225" s="1" t="s">
        <v>168</v>
      </c>
      <c r="X2225" t="s">
        <v>1319</v>
      </c>
      <c r="Y2225" t="s">
        <v>2273</v>
      </c>
      <c r="Z2225" t="s">
        <v>249</v>
      </c>
      <c r="AA2225" t="s">
        <v>2274</v>
      </c>
      <c r="AB2225" t="s">
        <v>2300</v>
      </c>
      <c r="AC2225" t="s">
        <v>152</v>
      </c>
      <c r="AD2225" t="s">
        <v>2288</v>
      </c>
      <c r="AF2225" t="s">
        <v>49</v>
      </c>
      <c r="AJ2225" t="s">
        <v>49</v>
      </c>
      <c r="AM2225" t="s">
        <v>1321</v>
      </c>
      <c r="AN2225" t="s">
        <v>166</v>
      </c>
      <c r="AR2225">
        <v>1</v>
      </c>
    </row>
    <row r="2226" spans="1:44" x14ac:dyDescent="0.2">
      <c r="A2226" t="s">
        <v>1315</v>
      </c>
      <c r="B2226" t="s">
        <v>1316</v>
      </c>
      <c r="C2226" s="1">
        <v>2016</v>
      </c>
      <c r="D2226" t="s">
        <v>44</v>
      </c>
      <c r="F2226" s="1" t="s">
        <v>710</v>
      </c>
      <c r="G2226" t="s">
        <v>86</v>
      </c>
      <c r="H2226" t="s">
        <v>350</v>
      </c>
      <c r="I2226">
        <v>2013</v>
      </c>
      <c r="J2226">
        <v>3.0000000000000001E-3</v>
      </c>
      <c r="K2226" t="s">
        <v>101</v>
      </c>
      <c r="M2226">
        <v>0</v>
      </c>
      <c r="N2226" t="s">
        <v>120</v>
      </c>
      <c r="O2226" t="s">
        <v>1317</v>
      </c>
      <c r="P2226" t="s">
        <v>196</v>
      </c>
      <c r="Q2226" s="1" t="s">
        <v>2276</v>
      </c>
      <c r="R2226" s="1" t="s">
        <v>669</v>
      </c>
      <c r="S2226" s="1" t="s">
        <v>168</v>
      </c>
      <c r="X2226" t="s">
        <v>1320</v>
      </c>
      <c r="Y2226" t="s">
        <v>2273</v>
      </c>
      <c r="Z2226" t="s">
        <v>249</v>
      </c>
      <c r="AA2226" t="s">
        <v>2274</v>
      </c>
      <c r="AB2226" t="s">
        <v>2300</v>
      </c>
      <c r="AC2226" t="s">
        <v>152</v>
      </c>
      <c r="AD2226" t="s">
        <v>2288</v>
      </c>
      <c r="AF2226" t="s">
        <v>49</v>
      </c>
      <c r="AJ2226" t="s">
        <v>49</v>
      </c>
      <c r="AM2226" t="s">
        <v>1321</v>
      </c>
      <c r="AN2226" t="s">
        <v>166</v>
      </c>
      <c r="AR2226">
        <v>1</v>
      </c>
    </row>
    <row r="2227" spans="1:44" x14ac:dyDescent="0.2">
      <c r="A2227" t="s">
        <v>1315</v>
      </c>
      <c r="B2227" t="s">
        <v>1316</v>
      </c>
      <c r="C2227" s="1">
        <v>2016</v>
      </c>
      <c r="D2227" t="s">
        <v>44</v>
      </c>
      <c r="F2227" s="1" t="s">
        <v>710</v>
      </c>
      <c r="G2227" t="s">
        <v>86</v>
      </c>
      <c r="H2227" t="s">
        <v>350</v>
      </c>
      <c r="I2227">
        <v>2013</v>
      </c>
      <c r="J2227">
        <v>3.0000000000000001E-3</v>
      </c>
      <c r="K2227" t="s">
        <v>101</v>
      </c>
      <c r="M2227">
        <v>0</v>
      </c>
      <c r="N2227" t="s">
        <v>120</v>
      </c>
      <c r="O2227" t="s">
        <v>1317</v>
      </c>
      <c r="P2227" t="s">
        <v>196</v>
      </c>
      <c r="Q2227" s="1" t="s">
        <v>2276</v>
      </c>
      <c r="R2227" s="1" t="s">
        <v>669</v>
      </c>
      <c r="S2227" s="1" t="s">
        <v>168</v>
      </c>
      <c r="X2227" t="s">
        <v>647</v>
      </c>
      <c r="Y2227" t="s">
        <v>2273</v>
      </c>
      <c r="Z2227" t="s">
        <v>2356</v>
      </c>
      <c r="AA2227" t="s">
        <v>2357</v>
      </c>
      <c r="AB2227" t="s">
        <v>2277</v>
      </c>
      <c r="AC2227" t="s">
        <v>152</v>
      </c>
      <c r="AD2227" t="s">
        <v>137</v>
      </c>
      <c r="AF2227" t="s">
        <v>49</v>
      </c>
      <c r="AJ2227" t="s">
        <v>49</v>
      </c>
      <c r="AM2227" t="s">
        <v>1321</v>
      </c>
      <c r="AN2227" t="s">
        <v>166</v>
      </c>
      <c r="AR2227">
        <v>1</v>
      </c>
    </row>
    <row r="2228" spans="1:44" x14ac:dyDescent="0.2">
      <c r="A2228" t="s">
        <v>1322</v>
      </c>
      <c r="B2228" t="s">
        <v>1323</v>
      </c>
      <c r="C2228" s="1">
        <v>2016</v>
      </c>
      <c r="D2228" t="s">
        <v>44</v>
      </c>
      <c r="F2228" s="1" t="s">
        <v>1200</v>
      </c>
      <c r="G2228" t="s">
        <v>88</v>
      </c>
      <c r="H2228" t="s">
        <v>350</v>
      </c>
      <c r="I2228">
        <v>2014</v>
      </c>
      <c r="K2228" t="s">
        <v>101</v>
      </c>
      <c r="M2228">
        <f>0.25*0.25</f>
        <v>6.25E-2</v>
      </c>
      <c r="N2228" t="s">
        <v>122</v>
      </c>
      <c r="O2228" t="s">
        <v>122</v>
      </c>
      <c r="P2228" t="s">
        <v>1324</v>
      </c>
      <c r="Q2228" s="1" t="s">
        <v>2281</v>
      </c>
      <c r="R2228" s="1" t="s">
        <v>122</v>
      </c>
      <c r="S2228" s="1" t="s">
        <v>2294</v>
      </c>
      <c r="T2228" t="s">
        <v>421</v>
      </c>
      <c r="U2228" t="s">
        <v>421</v>
      </c>
      <c r="X2228" t="s">
        <v>161</v>
      </c>
      <c r="Y2228" t="s">
        <v>2272</v>
      </c>
      <c r="Z2228" t="s">
        <v>2272</v>
      </c>
      <c r="AA2228" t="s">
        <v>2272</v>
      </c>
      <c r="AB2228" t="s">
        <v>2272</v>
      </c>
      <c r="AC2228" t="s">
        <v>162</v>
      </c>
      <c r="AD2228" t="s">
        <v>2272</v>
      </c>
      <c r="AF2228" t="s">
        <v>49</v>
      </c>
      <c r="AJ2228" t="s">
        <v>49</v>
      </c>
      <c r="AM2228" t="s">
        <v>197</v>
      </c>
      <c r="AN2228" t="s">
        <v>165</v>
      </c>
      <c r="AP2228" t="s">
        <v>49</v>
      </c>
    </row>
    <row r="2229" spans="1:44" x14ac:dyDescent="0.2">
      <c r="A2229" t="s">
        <v>1322</v>
      </c>
      <c r="B2229" t="s">
        <v>1323</v>
      </c>
      <c r="C2229" s="1">
        <v>2016</v>
      </c>
      <c r="D2229" t="s">
        <v>44</v>
      </c>
      <c r="F2229" s="1" t="s">
        <v>1200</v>
      </c>
      <c r="G2229" t="s">
        <v>88</v>
      </c>
      <c r="H2229" t="s">
        <v>350</v>
      </c>
      <c r="I2229">
        <v>2014</v>
      </c>
      <c r="K2229" t="s">
        <v>101</v>
      </c>
      <c r="M2229">
        <f>0.25*0.25</f>
        <v>6.25E-2</v>
      </c>
      <c r="N2229" t="s">
        <v>122</v>
      </c>
      <c r="O2229" t="s">
        <v>122</v>
      </c>
      <c r="P2229" t="s">
        <v>1324</v>
      </c>
      <c r="Q2229" s="1" t="s">
        <v>2281</v>
      </c>
      <c r="R2229" s="1" t="s">
        <v>122</v>
      </c>
      <c r="S2229" s="1" t="s">
        <v>2294</v>
      </c>
      <c r="T2229" t="s">
        <v>421</v>
      </c>
      <c r="U2229" t="s">
        <v>421</v>
      </c>
      <c r="X2229" t="s">
        <v>161</v>
      </c>
      <c r="Y2229" t="s">
        <v>2272</v>
      </c>
      <c r="Z2229" t="s">
        <v>2272</v>
      </c>
      <c r="AA2229" t="s">
        <v>2272</v>
      </c>
      <c r="AB2229" t="s">
        <v>2272</v>
      </c>
      <c r="AC2229" t="s">
        <v>162</v>
      </c>
      <c r="AD2229" t="s">
        <v>2272</v>
      </c>
      <c r="AF2229" t="s">
        <v>49</v>
      </c>
      <c r="AJ2229" t="s">
        <v>49</v>
      </c>
      <c r="AM2229" t="s">
        <v>197</v>
      </c>
      <c r="AN2229" t="s">
        <v>154</v>
      </c>
      <c r="AP2229" t="s">
        <v>49</v>
      </c>
    </row>
    <row r="2230" spans="1:44" x14ac:dyDescent="0.2">
      <c r="A2230" t="s">
        <v>1322</v>
      </c>
      <c r="B2230" t="s">
        <v>1323</v>
      </c>
      <c r="C2230" s="1">
        <v>2016</v>
      </c>
      <c r="D2230" t="s">
        <v>44</v>
      </c>
      <c r="F2230" s="1" t="s">
        <v>1200</v>
      </c>
      <c r="G2230" t="s">
        <v>88</v>
      </c>
      <c r="H2230" t="s">
        <v>350</v>
      </c>
      <c r="I2230">
        <v>2014</v>
      </c>
      <c r="K2230" t="s">
        <v>101</v>
      </c>
      <c r="M2230">
        <f>0.25*0.25</f>
        <v>6.25E-2</v>
      </c>
      <c r="N2230" t="s">
        <v>122</v>
      </c>
      <c r="O2230" t="s">
        <v>122</v>
      </c>
      <c r="P2230" t="s">
        <v>1324</v>
      </c>
      <c r="Q2230" s="1" t="s">
        <v>2281</v>
      </c>
      <c r="R2230" s="1" t="s">
        <v>122</v>
      </c>
      <c r="S2230" s="1" t="s">
        <v>2294</v>
      </c>
      <c r="T2230" t="s">
        <v>421</v>
      </c>
      <c r="U2230" t="s">
        <v>421</v>
      </c>
      <c r="X2230" t="s">
        <v>161</v>
      </c>
      <c r="Y2230" t="s">
        <v>2272</v>
      </c>
      <c r="Z2230" t="s">
        <v>2272</v>
      </c>
      <c r="AA2230" t="s">
        <v>2272</v>
      </c>
      <c r="AB2230" t="s">
        <v>2272</v>
      </c>
      <c r="AC2230" t="s">
        <v>162</v>
      </c>
      <c r="AD2230" t="s">
        <v>2272</v>
      </c>
      <c r="AF2230" t="s">
        <v>49</v>
      </c>
      <c r="AJ2230" t="s">
        <v>49</v>
      </c>
      <c r="AM2230" t="s">
        <v>197</v>
      </c>
      <c r="AN2230" t="s">
        <v>166</v>
      </c>
      <c r="AP2230" t="s">
        <v>49</v>
      </c>
    </row>
    <row r="2231" spans="1:44" x14ac:dyDescent="0.2">
      <c r="A2231" t="s">
        <v>1322</v>
      </c>
      <c r="B2231" t="s">
        <v>1323</v>
      </c>
      <c r="C2231" s="1">
        <v>2016</v>
      </c>
      <c r="D2231" t="s">
        <v>44</v>
      </c>
      <c r="F2231" s="1" t="s">
        <v>1200</v>
      </c>
      <c r="G2231" t="s">
        <v>88</v>
      </c>
      <c r="H2231" t="s">
        <v>350</v>
      </c>
      <c r="I2231">
        <v>2014</v>
      </c>
      <c r="K2231" t="s">
        <v>101</v>
      </c>
      <c r="M2231">
        <f>0.25*0.25</f>
        <v>6.25E-2</v>
      </c>
      <c r="N2231" t="s">
        <v>122</v>
      </c>
      <c r="O2231" t="s">
        <v>122</v>
      </c>
      <c r="P2231" t="s">
        <v>1324</v>
      </c>
      <c r="Q2231" s="1" t="s">
        <v>2281</v>
      </c>
      <c r="R2231" s="1" t="s">
        <v>122</v>
      </c>
      <c r="S2231" s="1" t="s">
        <v>2294</v>
      </c>
      <c r="T2231" t="s">
        <v>421</v>
      </c>
      <c r="U2231" t="s">
        <v>421</v>
      </c>
      <c r="X2231" t="s">
        <v>1325</v>
      </c>
      <c r="Y2231" t="s">
        <v>2279</v>
      </c>
      <c r="Z2231" t="s">
        <v>2361</v>
      </c>
      <c r="AA2231" t="s">
        <v>2362</v>
      </c>
      <c r="AB2231" t="s">
        <v>2296</v>
      </c>
      <c r="AC2231" t="s">
        <v>162</v>
      </c>
      <c r="AD2231" t="s">
        <v>2278</v>
      </c>
      <c r="AF2231" t="s">
        <v>49</v>
      </c>
      <c r="AJ2231" t="s">
        <v>49</v>
      </c>
      <c r="AM2231" t="s">
        <v>197</v>
      </c>
      <c r="AN2231" t="s">
        <v>154</v>
      </c>
      <c r="AP2231" t="s">
        <v>51</v>
      </c>
      <c r="AQ2231" s="5">
        <v>0</v>
      </c>
    </row>
    <row r="2232" spans="1:44" x14ac:dyDescent="0.2">
      <c r="A2232" t="s">
        <v>1322</v>
      </c>
      <c r="B2232" t="s">
        <v>1323</v>
      </c>
      <c r="C2232" s="1">
        <v>2016</v>
      </c>
      <c r="D2232" t="s">
        <v>44</v>
      </c>
      <c r="F2232" s="1" t="s">
        <v>1200</v>
      </c>
      <c r="G2232" t="s">
        <v>88</v>
      </c>
      <c r="H2232" t="s">
        <v>350</v>
      </c>
      <c r="I2232">
        <v>2014</v>
      </c>
      <c r="K2232" t="s">
        <v>101</v>
      </c>
      <c r="M2232">
        <f>0.25*0.25</f>
        <v>6.25E-2</v>
      </c>
      <c r="N2232" t="s">
        <v>122</v>
      </c>
      <c r="O2232" t="s">
        <v>122</v>
      </c>
      <c r="P2232" t="s">
        <v>1324</v>
      </c>
      <c r="Q2232" s="1" t="s">
        <v>2281</v>
      </c>
      <c r="R2232" s="1" t="s">
        <v>122</v>
      </c>
      <c r="S2232" s="1" t="s">
        <v>2294</v>
      </c>
      <c r="T2232" t="s">
        <v>421</v>
      </c>
      <c r="U2232" t="s">
        <v>421</v>
      </c>
      <c r="X2232" t="s">
        <v>1325</v>
      </c>
      <c r="Y2232" t="s">
        <v>2279</v>
      </c>
      <c r="Z2232" t="s">
        <v>2361</v>
      </c>
      <c r="AA2232" t="s">
        <v>2362</v>
      </c>
      <c r="AB2232" t="s">
        <v>2296</v>
      </c>
      <c r="AC2232" t="s">
        <v>162</v>
      </c>
      <c r="AD2232" t="s">
        <v>2278</v>
      </c>
      <c r="AF2232" t="s">
        <v>49</v>
      </c>
      <c r="AJ2232" t="s">
        <v>49</v>
      </c>
      <c r="AM2232" t="s">
        <v>197</v>
      </c>
      <c r="AN2232" t="s">
        <v>166</v>
      </c>
      <c r="AP2232" t="s">
        <v>51</v>
      </c>
      <c r="AQ2232" s="5">
        <v>0</v>
      </c>
    </row>
    <row r="2233" spans="1:44" x14ac:dyDescent="0.2">
      <c r="A2233" t="s">
        <v>1322</v>
      </c>
      <c r="B2233" t="s">
        <v>1323</v>
      </c>
      <c r="C2233" s="1">
        <v>2016</v>
      </c>
      <c r="D2233" t="s">
        <v>811</v>
      </c>
      <c r="F2233" s="1" t="s">
        <v>1200</v>
      </c>
      <c r="G2233" t="s">
        <v>88</v>
      </c>
      <c r="H2233" t="s">
        <v>350</v>
      </c>
      <c r="I2233" t="s">
        <v>1120</v>
      </c>
      <c r="J2233">
        <v>1</v>
      </c>
      <c r="K2233" t="s">
        <v>42</v>
      </c>
      <c r="M2233">
        <f>0.3*0.3</f>
        <v>0.09</v>
      </c>
      <c r="N2233" t="s">
        <v>122</v>
      </c>
      <c r="O2233" t="s">
        <v>122</v>
      </c>
      <c r="P2233" t="s">
        <v>1324</v>
      </c>
      <c r="Q2233" s="1" t="s">
        <v>2281</v>
      </c>
      <c r="R2233" s="1" t="s">
        <v>122</v>
      </c>
      <c r="S2233" s="1" t="s">
        <v>2294</v>
      </c>
      <c r="T2233" t="s">
        <v>421</v>
      </c>
      <c r="U2233" t="s">
        <v>421</v>
      </c>
      <c r="X2233" t="s">
        <v>161</v>
      </c>
      <c r="Y2233" t="s">
        <v>2272</v>
      </c>
      <c r="Z2233" t="s">
        <v>2272</v>
      </c>
      <c r="AA2233" t="s">
        <v>2272</v>
      </c>
      <c r="AB2233" t="s">
        <v>2272</v>
      </c>
      <c r="AC2233" t="s">
        <v>162</v>
      </c>
      <c r="AD2233" t="s">
        <v>2272</v>
      </c>
      <c r="AF2233" t="s">
        <v>49</v>
      </c>
      <c r="AJ2233" t="s">
        <v>49</v>
      </c>
      <c r="AM2233" t="s">
        <v>197</v>
      </c>
      <c r="AN2233" t="s">
        <v>166</v>
      </c>
      <c r="AP2233" t="s">
        <v>157</v>
      </c>
      <c r="AQ2233" s="5">
        <v>1</v>
      </c>
    </row>
    <row r="2234" spans="1:44" x14ac:dyDescent="0.2">
      <c r="A2234" t="s">
        <v>1322</v>
      </c>
      <c r="B2234" t="s">
        <v>1323</v>
      </c>
      <c r="C2234" s="1">
        <v>2016</v>
      </c>
      <c r="D2234" t="s">
        <v>811</v>
      </c>
      <c r="F2234" s="1" t="s">
        <v>1200</v>
      </c>
      <c r="G2234" t="s">
        <v>88</v>
      </c>
      <c r="H2234" t="s">
        <v>350</v>
      </c>
      <c r="I2234" t="s">
        <v>1120</v>
      </c>
      <c r="J2234">
        <v>1</v>
      </c>
      <c r="K2234" t="s">
        <v>42</v>
      </c>
      <c r="M2234">
        <f>0.3*0.3</f>
        <v>0.09</v>
      </c>
      <c r="N2234" t="s">
        <v>122</v>
      </c>
      <c r="O2234" t="s">
        <v>122</v>
      </c>
      <c r="P2234" t="s">
        <v>1324</v>
      </c>
      <c r="Q2234" s="1" t="s">
        <v>2281</v>
      </c>
      <c r="R2234" s="1" t="s">
        <v>122</v>
      </c>
      <c r="S2234" s="1" t="s">
        <v>2294</v>
      </c>
      <c r="T2234" t="s">
        <v>421</v>
      </c>
      <c r="U2234" t="s">
        <v>421</v>
      </c>
      <c r="X2234" t="s">
        <v>161</v>
      </c>
      <c r="Y2234" t="s">
        <v>2272</v>
      </c>
      <c r="Z2234" t="s">
        <v>2272</v>
      </c>
      <c r="AA2234" t="s">
        <v>2272</v>
      </c>
      <c r="AB2234" t="s">
        <v>2272</v>
      </c>
      <c r="AC2234" t="s">
        <v>162</v>
      </c>
      <c r="AD2234" t="s">
        <v>2272</v>
      </c>
      <c r="AF2234" t="s">
        <v>49</v>
      </c>
      <c r="AJ2234" t="s">
        <v>49</v>
      </c>
      <c r="AM2234" t="s">
        <v>197</v>
      </c>
      <c r="AN2234" t="s">
        <v>154</v>
      </c>
      <c r="AP2234" t="s">
        <v>157</v>
      </c>
      <c r="AQ2234" s="5">
        <v>1</v>
      </c>
    </row>
    <row r="2235" spans="1:44" x14ac:dyDescent="0.2">
      <c r="A2235" t="s">
        <v>1326</v>
      </c>
      <c r="B2235" t="s">
        <v>1327</v>
      </c>
      <c r="C2235" s="1">
        <v>2016</v>
      </c>
      <c r="D2235" t="s">
        <v>45</v>
      </c>
      <c r="F2235" s="1" t="s">
        <v>81</v>
      </c>
      <c r="G2235" t="s">
        <v>86</v>
      </c>
      <c r="H2235" t="s">
        <v>350</v>
      </c>
      <c r="I2235">
        <v>2008</v>
      </c>
      <c r="J2235">
        <v>0.15</v>
      </c>
      <c r="K2235" t="s">
        <v>101</v>
      </c>
      <c r="M2235">
        <v>0</v>
      </c>
      <c r="N2235" t="s">
        <v>121</v>
      </c>
      <c r="O2235" t="s">
        <v>121</v>
      </c>
      <c r="P2235" t="s">
        <v>286</v>
      </c>
      <c r="Q2235" s="1" t="s">
        <v>2292</v>
      </c>
      <c r="R2235" s="1" t="s">
        <v>264</v>
      </c>
      <c r="S2235" s="1" t="s">
        <v>264</v>
      </c>
      <c r="X2235" t="s">
        <v>1330</v>
      </c>
      <c r="Y2235" t="s">
        <v>2273</v>
      </c>
      <c r="Z2235" t="s">
        <v>249</v>
      </c>
      <c r="AA2235" t="s">
        <v>2359</v>
      </c>
      <c r="AB2235" t="s">
        <v>1979</v>
      </c>
      <c r="AC2235" t="s">
        <v>152</v>
      </c>
      <c r="AD2235" t="s">
        <v>2288</v>
      </c>
      <c r="AF2235" t="s">
        <v>49</v>
      </c>
    </row>
    <row r="2236" spans="1:44" x14ac:dyDescent="0.2">
      <c r="A2236" t="s">
        <v>1326</v>
      </c>
      <c r="B2236" t="s">
        <v>1327</v>
      </c>
      <c r="C2236" s="1">
        <v>2016</v>
      </c>
      <c r="D2236" t="s">
        <v>45</v>
      </c>
      <c r="F2236" s="1" t="s">
        <v>81</v>
      </c>
      <c r="G2236" t="s">
        <v>86</v>
      </c>
      <c r="H2236" t="s">
        <v>350</v>
      </c>
      <c r="I2236">
        <v>2008</v>
      </c>
      <c r="J2236">
        <v>0.15</v>
      </c>
      <c r="K2236" t="s">
        <v>101</v>
      </c>
      <c r="M2236">
        <v>0</v>
      </c>
      <c r="N2236" t="s">
        <v>121</v>
      </c>
      <c r="O2236" t="s">
        <v>1329</v>
      </c>
      <c r="P2236" t="s">
        <v>1328</v>
      </c>
      <c r="Q2236" s="1" t="s">
        <v>2292</v>
      </c>
      <c r="R2236" s="1" t="s">
        <v>264</v>
      </c>
      <c r="S2236" s="1" t="s">
        <v>264</v>
      </c>
      <c r="X2236" t="s">
        <v>1330</v>
      </c>
      <c r="Y2236" t="s">
        <v>2273</v>
      </c>
      <c r="Z2236" t="s">
        <v>249</v>
      </c>
      <c r="AA2236" t="s">
        <v>2359</v>
      </c>
      <c r="AB2236" t="s">
        <v>1979</v>
      </c>
      <c r="AC2236" t="s">
        <v>152</v>
      </c>
      <c r="AD2236" t="s">
        <v>2288</v>
      </c>
      <c r="AF2236" t="s">
        <v>49</v>
      </c>
    </row>
    <row r="2237" spans="1:44" x14ac:dyDescent="0.2">
      <c r="A2237" t="s">
        <v>1326</v>
      </c>
      <c r="B2237" t="s">
        <v>1327</v>
      </c>
      <c r="C2237" s="1">
        <v>2016</v>
      </c>
      <c r="D2237" t="s">
        <v>45</v>
      </c>
      <c r="F2237" s="1" t="s">
        <v>81</v>
      </c>
      <c r="G2237" t="s">
        <v>86</v>
      </c>
      <c r="H2237" t="s">
        <v>350</v>
      </c>
      <c r="I2237">
        <v>2008</v>
      </c>
      <c r="J2237">
        <v>0.15</v>
      </c>
      <c r="K2237" t="s">
        <v>101</v>
      </c>
      <c r="M2237">
        <v>0</v>
      </c>
      <c r="N2237" t="s">
        <v>121</v>
      </c>
      <c r="O2237" t="s">
        <v>121</v>
      </c>
      <c r="P2237" t="s">
        <v>286</v>
      </c>
      <c r="Q2237" s="1" t="s">
        <v>2292</v>
      </c>
      <c r="R2237" s="1" t="s">
        <v>264</v>
      </c>
      <c r="S2237" s="1" t="s">
        <v>264</v>
      </c>
      <c r="X2237" t="s">
        <v>1331</v>
      </c>
      <c r="Y2237" t="s">
        <v>2273</v>
      </c>
      <c r="Z2237" t="s">
        <v>249</v>
      </c>
      <c r="AA2237" t="s">
        <v>2359</v>
      </c>
      <c r="AB2237" t="s">
        <v>1979</v>
      </c>
      <c r="AC2237" t="s">
        <v>152</v>
      </c>
      <c r="AD2237" t="s">
        <v>2288</v>
      </c>
      <c r="AE2237" t="s">
        <v>1333</v>
      </c>
      <c r="AF2237" t="s">
        <v>49</v>
      </c>
    </row>
    <row r="2238" spans="1:44" x14ac:dyDescent="0.2">
      <c r="A2238" t="s">
        <v>1326</v>
      </c>
      <c r="B2238" t="s">
        <v>1327</v>
      </c>
      <c r="C2238" s="1">
        <v>2016</v>
      </c>
      <c r="D2238" t="s">
        <v>45</v>
      </c>
      <c r="F2238" s="1" t="s">
        <v>81</v>
      </c>
      <c r="G2238" t="s">
        <v>86</v>
      </c>
      <c r="H2238" t="s">
        <v>350</v>
      </c>
      <c r="I2238">
        <v>2008</v>
      </c>
      <c r="J2238">
        <v>0.15</v>
      </c>
      <c r="K2238" t="s">
        <v>101</v>
      </c>
      <c r="M2238">
        <v>0</v>
      </c>
      <c r="N2238" t="s">
        <v>121</v>
      </c>
      <c r="O2238" t="s">
        <v>1329</v>
      </c>
      <c r="P2238" t="s">
        <v>1328</v>
      </c>
      <c r="Q2238" s="1" t="s">
        <v>2292</v>
      </c>
      <c r="R2238" s="1" t="s">
        <v>264</v>
      </c>
      <c r="S2238" s="1" t="s">
        <v>264</v>
      </c>
      <c r="X2238" t="s">
        <v>1331</v>
      </c>
      <c r="Y2238" t="s">
        <v>2273</v>
      </c>
      <c r="Z2238" t="s">
        <v>249</v>
      </c>
      <c r="AA2238" t="s">
        <v>2359</v>
      </c>
      <c r="AB2238" t="s">
        <v>1979</v>
      </c>
      <c r="AC2238" t="s">
        <v>152</v>
      </c>
      <c r="AD2238" t="s">
        <v>2288</v>
      </c>
      <c r="AE2238" t="s">
        <v>1333</v>
      </c>
      <c r="AF2238" t="s">
        <v>49</v>
      </c>
    </row>
    <row r="2239" spans="1:44" x14ac:dyDescent="0.2">
      <c r="A2239" t="s">
        <v>1326</v>
      </c>
      <c r="B2239" t="s">
        <v>1327</v>
      </c>
      <c r="C2239" s="1">
        <v>2016</v>
      </c>
      <c r="D2239" t="s">
        <v>45</v>
      </c>
      <c r="F2239" s="1" t="s">
        <v>81</v>
      </c>
      <c r="G2239" t="s">
        <v>86</v>
      </c>
      <c r="H2239" t="s">
        <v>350</v>
      </c>
      <c r="I2239">
        <v>2008</v>
      </c>
      <c r="J2239">
        <v>0.15</v>
      </c>
      <c r="K2239" t="s">
        <v>101</v>
      </c>
      <c r="M2239">
        <v>0</v>
      </c>
      <c r="N2239" t="s">
        <v>121</v>
      </c>
      <c r="O2239" t="s">
        <v>121</v>
      </c>
      <c r="P2239" t="s">
        <v>286</v>
      </c>
      <c r="Q2239" s="1" t="s">
        <v>2292</v>
      </c>
      <c r="R2239" s="1" t="s">
        <v>264</v>
      </c>
      <c r="S2239" s="1" t="s">
        <v>264</v>
      </c>
      <c r="X2239" t="s">
        <v>189</v>
      </c>
      <c r="Y2239" t="s">
        <v>2279</v>
      </c>
      <c r="Z2239" t="s">
        <v>2280</v>
      </c>
      <c r="AA2239" t="s">
        <v>2358</v>
      </c>
      <c r="AB2239" t="s">
        <v>189</v>
      </c>
      <c r="AC2239" t="s">
        <v>152</v>
      </c>
      <c r="AD2239" t="s">
        <v>2278</v>
      </c>
      <c r="AF2239" t="s">
        <v>49</v>
      </c>
      <c r="AJ2239" t="s">
        <v>49</v>
      </c>
      <c r="AM2239" t="s">
        <v>1332</v>
      </c>
      <c r="AN2239" t="s">
        <v>166</v>
      </c>
      <c r="AP2239" t="s">
        <v>157</v>
      </c>
    </row>
    <row r="2240" spans="1:44" x14ac:dyDescent="0.2">
      <c r="A2240" t="s">
        <v>1326</v>
      </c>
      <c r="B2240" t="s">
        <v>1327</v>
      </c>
      <c r="C2240" s="1">
        <v>2016</v>
      </c>
      <c r="D2240" t="s">
        <v>45</v>
      </c>
      <c r="F2240" s="1" t="s">
        <v>81</v>
      </c>
      <c r="G2240" t="s">
        <v>86</v>
      </c>
      <c r="H2240" t="s">
        <v>350</v>
      </c>
      <c r="I2240">
        <v>2008</v>
      </c>
      <c r="J2240">
        <v>0.15</v>
      </c>
      <c r="K2240" t="s">
        <v>101</v>
      </c>
      <c r="M2240">
        <v>0</v>
      </c>
      <c r="N2240" t="s">
        <v>121</v>
      </c>
      <c r="O2240" t="s">
        <v>1329</v>
      </c>
      <c r="P2240" t="s">
        <v>1328</v>
      </c>
      <c r="Q2240" s="1" t="s">
        <v>2292</v>
      </c>
      <c r="R2240" s="1" t="s">
        <v>264</v>
      </c>
      <c r="S2240" s="1" t="s">
        <v>264</v>
      </c>
      <c r="X2240" t="s">
        <v>189</v>
      </c>
      <c r="Y2240" t="s">
        <v>2279</v>
      </c>
      <c r="Z2240" t="s">
        <v>2280</v>
      </c>
      <c r="AA2240" t="s">
        <v>2358</v>
      </c>
      <c r="AB2240" t="s">
        <v>189</v>
      </c>
      <c r="AC2240" t="s">
        <v>152</v>
      </c>
      <c r="AD2240" t="s">
        <v>2278</v>
      </c>
      <c r="AF2240" t="s">
        <v>49</v>
      </c>
      <c r="AJ2240" t="s">
        <v>49</v>
      </c>
      <c r="AM2240" t="s">
        <v>1332</v>
      </c>
      <c r="AN2240" t="s">
        <v>166</v>
      </c>
      <c r="AP2240" t="s">
        <v>157</v>
      </c>
    </row>
    <row r="2241" spans="1:45" x14ac:dyDescent="0.2">
      <c r="A2241" t="s">
        <v>1326</v>
      </c>
      <c r="B2241" t="s">
        <v>1327</v>
      </c>
      <c r="C2241" s="1">
        <v>2016</v>
      </c>
      <c r="D2241" t="s">
        <v>45</v>
      </c>
      <c r="F2241" s="1" t="s">
        <v>81</v>
      </c>
      <c r="G2241" t="s">
        <v>86</v>
      </c>
      <c r="H2241" t="s">
        <v>350</v>
      </c>
      <c r="I2241">
        <v>2008</v>
      </c>
      <c r="J2241">
        <v>0.15</v>
      </c>
      <c r="K2241" t="s">
        <v>101</v>
      </c>
      <c r="M2241">
        <v>0</v>
      </c>
      <c r="N2241" t="s">
        <v>121</v>
      </c>
      <c r="O2241" t="s">
        <v>121</v>
      </c>
      <c r="P2241" t="s">
        <v>286</v>
      </c>
      <c r="Q2241" s="1" t="s">
        <v>2292</v>
      </c>
      <c r="R2241" s="1" t="s">
        <v>264</v>
      </c>
      <c r="S2241" s="1" t="s">
        <v>264</v>
      </c>
      <c r="T2241" t="s">
        <v>396</v>
      </c>
      <c r="U2241" s="1" t="s">
        <v>264</v>
      </c>
      <c r="X2241" t="s">
        <v>161</v>
      </c>
      <c r="Y2241" t="s">
        <v>2272</v>
      </c>
      <c r="Z2241" t="s">
        <v>2272</v>
      </c>
      <c r="AA2241" t="s">
        <v>2272</v>
      </c>
      <c r="AB2241" t="s">
        <v>2272</v>
      </c>
      <c r="AC2241" t="s">
        <v>162</v>
      </c>
      <c r="AD2241" t="s">
        <v>2272</v>
      </c>
      <c r="AF2241" t="s">
        <v>49</v>
      </c>
      <c r="AJ2241" t="s">
        <v>49</v>
      </c>
      <c r="AM2241" t="s">
        <v>1332</v>
      </c>
      <c r="AN2241" t="s">
        <v>166</v>
      </c>
      <c r="AP2241" t="s">
        <v>49</v>
      </c>
    </row>
    <row r="2242" spans="1:45" x14ac:dyDescent="0.2">
      <c r="A2242" t="s">
        <v>1326</v>
      </c>
      <c r="B2242" t="s">
        <v>1327</v>
      </c>
      <c r="C2242" s="1">
        <v>2016</v>
      </c>
      <c r="D2242" t="s">
        <v>45</v>
      </c>
      <c r="F2242" s="1" t="s">
        <v>81</v>
      </c>
      <c r="G2242" t="s">
        <v>86</v>
      </c>
      <c r="H2242" t="s">
        <v>350</v>
      </c>
      <c r="I2242">
        <v>2008</v>
      </c>
      <c r="J2242">
        <v>0.15</v>
      </c>
      <c r="K2242" t="s">
        <v>101</v>
      </c>
      <c r="M2242">
        <v>0</v>
      </c>
      <c r="N2242" t="s">
        <v>121</v>
      </c>
      <c r="O2242" t="s">
        <v>1329</v>
      </c>
      <c r="P2242" t="s">
        <v>1328</v>
      </c>
      <c r="Q2242" s="1" t="s">
        <v>2292</v>
      </c>
      <c r="R2242" s="1" t="s">
        <v>264</v>
      </c>
      <c r="S2242" s="1" t="s">
        <v>264</v>
      </c>
      <c r="T2242" t="s">
        <v>396</v>
      </c>
      <c r="U2242" s="1" t="s">
        <v>264</v>
      </c>
      <c r="X2242" t="s">
        <v>161</v>
      </c>
      <c r="Y2242" t="s">
        <v>2272</v>
      </c>
      <c r="Z2242" t="s">
        <v>2272</v>
      </c>
      <c r="AA2242" t="s">
        <v>2272</v>
      </c>
      <c r="AB2242" t="s">
        <v>2272</v>
      </c>
      <c r="AC2242" t="s">
        <v>162</v>
      </c>
      <c r="AD2242" t="s">
        <v>2272</v>
      </c>
      <c r="AF2242" t="s">
        <v>49</v>
      </c>
      <c r="AJ2242" t="s">
        <v>49</v>
      </c>
      <c r="AM2242" t="s">
        <v>1332</v>
      </c>
      <c r="AN2242" t="s">
        <v>166</v>
      </c>
      <c r="AP2242" t="s">
        <v>49</v>
      </c>
    </row>
    <row r="2243" spans="1:45" x14ac:dyDescent="0.2">
      <c r="A2243" t="s">
        <v>1326</v>
      </c>
      <c r="B2243" t="s">
        <v>1327</v>
      </c>
      <c r="C2243" s="1">
        <v>2016</v>
      </c>
      <c r="D2243" t="s">
        <v>45</v>
      </c>
      <c r="F2243" s="1" t="s">
        <v>81</v>
      </c>
      <c r="G2243" t="s">
        <v>86</v>
      </c>
      <c r="H2243" t="s">
        <v>350</v>
      </c>
      <c r="I2243">
        <v>2008</v>
      </c>
      <c r="J2243">
        <v>0.15</v>
      </c>
      <c r="K2243" t="s">
        <v>101</v>
      </c>
      <c r="M2243">
        <v>0</v>
      </c>
      <c r="N2243" t="s">
        <v>121</v>
      </c>
      <c r="O2243" t="s">
        <v>121</v>
      </c>
      <c r="P2243" t="s">
        <v>286</v>
      </c>
      <c r="Q2243" s="1" t="s">
        <v>2292</v>
      </c>
      <c r="R2243" s="1" t="s">
        <v>264</v>
      </c>
      <c r="S2243" s="1" t="s">
        <v>264</v>
      </c>
      <c r="X2243" t="s">
        <v>189</v>
      </c>
      <c r="Y2243" t="s">
        <v>2279</v>
      </c>
      <c r="Z2243" t="s">
        <v>2280</v>
      </c>
      <c r="AA2243" t="s">
        <v>2358</v>
      </c>
      <c r="AB2243" t="s">
        <v>189</v>
      </c>
      <c r="AC2243" t="s">
        <v>152</v>
      </c>
      <c r="AD2243" t="s">
        <v>2278</v>
      </c>
      <c r="AF2243" t="s">
        <v>49</v>
      </c>
      <c r="AL2243" t="s">
        <v>49</v>
      </c>
      <c r="AM2243" t="s">
        <v>1334</v>
      </c>
      <c r="AN2243" t="s">
        <v>171</v>
      </c>
      <c r="AP2243" t="s">
        <v>157</v>
      </c>
    </row>
    <row r="2244" spans="1:45" x14ac:dyDescent="0.2">
      <c r="A2244" t="s">
        <v>1326</v>
      </c>
      <c r="B2244" t="s">
        <v>1327</v>
      </c>
      <c r="C2244" s="1">
        <v>2016</v>
      </c>
      <c r="D2244" t="s">
        <v>45</v>
      </c>
      <c r="F2244" s="1" t="s">
        <v>81</v>
      </c>
      <c r="G2244" t="s">
        <v>86</v>
      </c>
      <c r="H2244" t="s">
        <v>350</v>
      </c>
      <c r="I2244">
        <v>2008</v>
      </c>
      <c r="J2244">
        <v>0.15</v>
      </c>
      <c r="K2244" t="s">
        <v>101</v>
      </c>
      <c r="M2244">
        <v>0</v>
      </c>
      <c r="N2244" t="s">
        <v>121</v>
      </c>
      <c r="O2244" t="s">
        <v>1329</v>
      </c>
      <c r="P2244" t="s">
        <v>1328</v>
      </c>
      <c r="Q2244" s="1" t="s">
        <v>2292</v>
      </c>
      <c r="R2244" s="1" t="s">
        <v>264</v>
      </c>
      <c r="S2244" s="1" t="s">
        <v>264</v>
      </c>
      <c r="X2244" t="s">
        <v>189</v>
      </c>
      <c r="Y2244" t="s">
        <v>2279</v>
      </c>
      <c r="Z2244" t="s">
        <v>2280</v>
      </c>
      <c r="AA2244" t="s">
        <v>2358</v>
      </c>
      <c r="AB2244" t="s">
        <v>189</v>
      </c>
      <c r="AC2244" t="s">
        <v>152</v>
      </c>
      <c r="AD2244" t="s">
        <v>2278</v>
      </c>
      <c r="AF2244" t="s">
        <v>49</v>
      </c>
      <c r="AL2244" t="s">
        <v>49</v>
      </c>
      <c r="AM2244" t="s">
        <v>1334</v>
      </c>
      <c r="AN2244" t="s">
        <v>171</v>
      </c>
      <c r="AP2244" t="s">
        <v>157</v>
      </c>
    </row>
    <row r="2245" spans="1:45" x14ac:dyDescent="0.2">
      <c r="A2245" t="s">
        <v>1326</v>
      </c>
      <c r="B2245" t="s">
        <v>1327</v>
      </c>
      <c r="C2245" s="1">
        <v>2016</v>
      </c>
      <c r="D2245" t="s">
        <v>45</v>
      </c>
      <c r="F2245" s="1" t="s">
        <v>81</v>
      </c>
      <c r="G2245" t="s">
        <v>86</v>
      </c>
      <c r="H2245" t="s">
        <v>350</v>
      </c>
      <c r="I2245">
        <v>2008</v>
      </c>
      <c r="J2245">
        <v>0.15</v>
      </c>
      <c r="K2245" t="s">
        <v>101</v>
      </c>
      <c r="M2245">
        <v>0</v>
      </c>
      <c r="N2245" t="s">
        <v>121</v>
      </c>
      <c r="O2245" t="s">
        <v>121</v>
      </c>
      <c r="P2245" t="s">
        <v>286</v>
      </c>
      <c r="Q2245" s="1" t="s">
        <v>2292</v>
      </c>
      <c r="R2245" s="1" t="s">
        <v>264</v>
      </c>
      <c r="S2245" s="1" t="s">
        <v>264</v>
      </c>
      <c r="T2245" t="s">
        <v>396</v>
      </c>
      <c r="U2245" s="1" t="s">
        <v>264</v>
      </c>
      <c r="X2245" t="s">
        <v>161</v>
      </c>
      <c r="Y2245" t="s">
        <v>2272</v>
      </c>
      <c r="Z2245" t="s">
        <v>2272</v>
      </c>
      <c r="AA2245" t="s">
        <v>2272</v>
      </c>
      <c r="AB2245" t="s">
        <v>2272</v>
      </c>
      <c r="AC2245" t="s">
        <v>162</v>
      </c>
      <c r="AD2245" t="s">
        <v>2272</v>
      </c>
      <c r="AF2245" t="s">
        <v>49</v>
      </c>
      <c r="AL2245" t="s">
        <v>49</v>
      </c>
      <c r="AM2245" t="s">
        <v>1334</v>
      </c>
      <c r="AN2245" t="s">
        <v>171</v>
      </c>
      <c r="AQ2245" s="5">
        <v>0</v>
      </c>
    </row>
    <row r="2246" spans="1:45" x14ac:dyDescent="0.2">
      <c r="A2246" t="s">
        <v>1326</v>
      </c>
      <c r="B2246" t="s">
        <v>1327</v>
      </c>
      <c r="C2246" s="1">
        <v>2016</v>
      </c>
      <c r="D2246" t="s">
        <v>45</v>
      </c>
      <c r="F2246" s="1" t="s">
        <v>81</v>
      </c>
      <c r="G2246" t="s">
        <v>86</v>
      </c>
      <c r="H2246" t="s">
        <v>350</v>
      </c>
      <c r="I2246">
        <v>2008</v>
      </c>
      <c r="J2246">
        <v>0.15</v>
      </c>
      <c r="K2246" t="s">
        <v>101</v>
      </c>
      <c r="M2246">
        <v>0</v>
      </c>
      <c r="N2246" t="s">
        <v>121</v>
      </c>
      <c r="O2246" t="s">
        <v>1329</v>
      </c>
      <c r="P2246" t="s">
        <v>1328</v>
      </c>
      <c r="Q2246" s="1" t="s">
        <v>2292</v>
      </c>
      <c r="R2246" s="1" t="s">
        <v>264</v>
      </c>
      <c r="S2246" s="1" t="s">
        <v>264</v>
      </c>
      <c r="T2246" t="s">
        <v>396</v>
      </c>
      <c r="U2246" s="1" t="s">
        <v>264</v>
      </c>
      <c r="X2246" t="s">
        <v>161</v>
      </c>
      <c r="Y2246" t="s">
        <v>2272</v>
      </c>
      <c r="Z2246" t="s">
        <v>2272</v>
      </c>
      <c r="AA2246" t="s">
        <v>2272</v>
      </c>
      <c r="AB2246" t="s">
        <v>2272</v>
      </c>
      <c r="AC2246" t="s">
        <v>162</v>
      </c>
      <c r="AD2246" t="s">
        <v>2272</v>
      </c>
      <c r="AF2246" t="s">
        <v>49</v>
      </c>
      <c r="AL2246" t="s">
        <v>49</v>
      </c>
      <c r="AM2246" t="s">
        <v>1334</v>
      </c>
      <c r="AN2246" t="s">
        <v>171</v>
      </c>
      <c r="AQ2246" s="5">
        <v>0</v>
      </c>
    </row>
    <row r="2247" spans="1:45" x14ac:dyDescent="0.2">
      <c r="A2247" t="s">
        <v>1326</v>
      </c>
      <c r="B2247" t="s">
        <v>1327</v>
      </c>
      <c r="C2247" s="1">
        <v>2016</v>
      </c>
      <c r="D2247" t="s">
        <v>45</v>
      </c>
      <c r="F2247" s="1" t="s">
        <v>81</v>
      </c>
      <c r="G2247" t="s">
        <v>86</v>
      </c>
      <c r="H2247" t="s">
        <v>350</v>
      </c>
      <c r="I2247">
        <v>2008</v>
      </c>
      <c r="J2247">
        <v>0.15</v>
      </c>
      <c r="K2247" t="s">
        <v>101</v>
      </c>
      <c r="M2247">
        <v>0</v>
      </c>
      <c r="N2247" t="s">
        <v>121</v>
      </c>
      <c r="O2247" t="s">
        <v>121</v>
      </c>
      <c r="P2247" t="s">
        <v>286</v>
      </c>
      <c r="Q2247" s="1" t="s">
        <v>2292</v>
      </c>
      <c r="R2247" s="1" t="s">
        <v>264</v>
      </c>
      <c r="S2247" s="1" t="s">
        <v>264</v>
      </c>
      <c r="X2247" t="s">
        <v>189</v>
      </c>
      <c r="Y2247" t="s">
        <v>2279</v>
      </c>
      <c r="Z2247" t="s">
        <v>2280</v>
      </c>
      <c r="AA2247" t="s">
        <v>2358</v>
      </c>
      <c r="AB2247" t="s">
        <v>189</v>
      </c>
      <c r="AC2247" t="s">
        <v>152</v>
      </c>
      <c r="AD2247" t="s">
        <v>2278</v>
      </c>
      <c r="AF2247" t="s">
        <v>49</v>
      </c>
      <c r="AL2247" t="s">
        <v>49</v>
      </c>
      <c r="AM2247" t="s">
        <v>1335</v>
      </c>
      <c r="AN2247" t="s">
        <v>171</v>
      </c>
      <c r="AP2247" t="s">
        <v>173</v>
      </c>
    </row>
    <row r="2248" spans="1:45" x14ac:dyDescent="0.2">
      <c r="A2248" t="s">
        <v>1326</v>
      </c>
      <c r="B2248" t="s">
        <v>1327</v>
      </c>
      <c r="C2248" s="1">
        <v>2016</v>
      </c>
      <c r="D2248" t="s">
        <v>45</v>
      </c>
      <c r="F2248" s="1" t="s">
        <v>81</v>
      </c>
      <c r="G2248" t="s">
        <v>86</v>
      </c>
      <c r="H2248" t="s">
        <v>350</v>
      </c>
      <c r="I2248">
        <v>2008</v>
      </c>
      <c r="J2248">
        <v>0.15</v>
      </c>
      <c r="K2248" t="s">
        <v>101</v>
      </c>
      <c r="M2248">
        <v>0</v>
      </c>
      <c r="N2248" t="s">
        <v>121</v>
      </c>
      <c r="O2248" t="s">
        <v>1329</v>
      </c>
      <c r="P2248" t="s">
        <v>1328</v>
      </c>
      <c r="Q2248" s="1" t="s">
        <v>2292</v>
      </c>
      <c r="R2248" s="1" t="s">
        <v>264</v>
      </c>
      <c r="S2248" s="1" t="s">
        <v>264</v>
      </c>
      <c r="X2248" t="s">
        <v>189</v>
      </c>
      <c r="Y2248" t="s">
        <v>2279</v>
      </c>
      <c r="Z2248" t="s">
        <v>2280</v>
      </c>
      <c r="AA2248" t="s">
        <v>2358</v>
      </c>
      <c r="AB2248" t="s">
        <v>189</v>
      </c>
      <c r="AC2248" t="s">
        <v>152</v>
      </c>
      <c r="AD2248" t="s">
        <v>2278</v>
      </c>
      <c r="AF2248" t="s">
        <v>49</v>
      </c>
      <c r="AL2248" t="s">
        <v>49</v>
      </c>
      <c r="AM2248" t="s">
        <v>1335</v>
      </c>
      <c r="AN2248" t="s">
        <v>171</v>
      </c>
      <c r="AP2248" t="s">
        <v>173</v>
      </c>
    </row>
    <row r="2249" spans="1:45" x14ac:dyDescent="0.2">
      <c r="A2249" t="s">
        <v>1326</v>
      </c>
      <c r="B2249" t="s">
        <v>1327</v>
      </c>
      <c r="C2249" s="1">
        <v>2016</v>
      </c>
      <c r="D2249" t="s">
        <v>45</v>
      </c>
      <c r="F2249" s="1" t="s">
        <v>81</v>
      </c>
      <c r="G2249" t="s">
        <v>86</v>
      </c>
      <c r="H2249" t="s">
        <v>350</v>
      </c>
      <c r="I2249">
        <v>2008</v>
      </c>
      <c r="J2249">
        <v>0.15</v>
      </c>
      <c r="K2249" t="s">
        <v>101</v>
      </c>
      <c r="M2249">
        <v>0</v>
      </c>
      <c r="N2249" t="s">
        <v>121</v>
      </c>
      <c r="O2249" t="s">
        <v>121</v>
      </c>
      <c r="P2249" t="s">
        <v>286</v>
      </c>
      <c r="Q2249" s="1" t="s">
        <v>2292</v>
      </c>
      <c r="R2249" s="1" t="s">
        <v>264</v>
      </c>
      <c r="S2249" s="1" t="s">
        <v>264</v>
      </c>
      <c r="T2249" t="s">
        <v>396</v>
      </c>
      <c r="U2249" s="1" t="s">
        <v>264</v>
      </c>
      <c r="X2249" t="s">
        <v>161</v>
      </c>
      <c r="Y2249" t="s">
        <v>2272</v>
      </c>
      <c r="Z2249" t="s">
        <v>2272</v>
      </c>
      <c r="AA2249" t="s">
        <v>2272</v>
      </c>
      <c r="AB2249" t="s">
        <v>2272</v>
      </c>
      <c r="AC2249" t="s">
        <v>162</v>
      </c>
      <c r="AD2249" t="s">
        <v>2272</v>
      </c>
      <c r="AF2249" t="s">
        <v>49</v>
      </c>
      <c r="AL2249" t="s">
        <v>49</v>
      </c>
      <c r="AM2249" t="s">
        <v>1335</v>
      </c>
      <c r="AN2249" t="s">
        <v>171</v>
      </c>
      <c r="AQ2249" s="5">
        <v>0</v>
      </c>
    </row>
    <row r="2250" spans="1:45" x14ac:dyDescent="0.2">
      <c r="A2250" t="s">
        <v>1326</v>
      </c>
      <c r="B2250" t="s">
        <v>1327</v>
      </c>
      <c r="C2250" s="1">
        <v>2016</v>
      </c>
      <c r="D2250" t="s">
        <v>45</v>
      </c>
      <c r="F2250" s="1" t="s">
        <v>81</v>
      </c>
      <c r="G2250" t="s">
        <v>86</v>
      </c>
      <c r="H2250" t="s">
        <v>350</v>
      </c>
      <c r="I2250">
        <v>2008</v>
      </c>
      <c r="J2250">
        <v>0.15</v>
      </c>
      <c r="K2250" t="s">
        <v>101</v>
      </c>
      <c r="M2250">
        <v>0</v>
      </c>
      <c r="N2250" t="s">
        <v>121</v>
      </c>
      <c r="O2250" t="s">
        <v>1329</v>
      </c>
      <c r="P2250" t="s">
        <v>1328</v>
      </c>
      <c r="Q2250" s="1" t="s">
        <v>2292</v>
      </c>
      <c r="R2250" s="1" t="s">
        <v>264</v>
      </c>
      <c r="S2250" s="1" t="s">
        <v>264</v>
      </c>
      <c r="T2250" t="s">
        <v>396</v>
      </c>
      <c r="U2250" s="1" t="s">
        <v>264</v>
      </c>
      <c r="X2250" t="s">
        <v>161</v>
      </c>
      <c r="Y2250" t="s">
        <v>2272</v>
      </c>
      <c r="Z2250" t="s">
        <v>2272</v>
      </c>
      <c r="AA2250" t="s">
        <v>2272</v>
      </c>
      <c r="AB2250" t="s">
        <v>2272</v>
      </c>
      <c r="AC2250" t="s">
        <v>162</v>
      </c>
      <c r="AD2250" t="s">
        <v>2272</v>
      </c>
      <c r="AF2250" t="s">
        <v>49</v>
      </c>
      <c r="AL2250" t="s">
        <v>49</v>
      </c>
      <c r="AM2250" t="s">
        <v>1335</v>
      </c>
      <c r="AN2250" t="s">
        <v>171</v>
      </c>
      <c r="AQ2250" s="5">
        <v>0</v>
      </c>
    </row>
    <row r="2251" spans="1:45" x14ac:dyDescent="0.2">
      <c r="A2251" t="s">
        <v>1326</v>
      </c>
      <c r="B2251" t="s">
        <v>1327</v>
      </c>
      <c r="C2251" s="1">
        <v>2016</v>
      </c>
      <c r="D2251" t="s">
        <v>45</v>
      </c>
      <c r="F2251" s="1" t="s">
        <v>81</v>
      </c>
      <c r="G2251" t="s">
        <v>86</v>
      </c>
      <c r="H2251" t="s">
        <v>350</v>
      </c>
      <c r="I2251">
        <v>2008</v>
      </c>
      <c r="J2251">
        <v>0.15</v>
      </c>
      <c r="K2251" t="s">
        <v>101</v>
      </c>
      <c r="M2251">
        <v>0</v>
      </c>
      <c r="N2251" t="s">
        <v>121</v>
      </c>
      <c r="O2251" t="s">
        <v>121</v>
      </c>
      <c r="P2251" t="s">
        <v>286</v>
      </c>
      <c r="Q2251" s="1" t="s">
        <v>2292</v>
      </c>
      <c r="R2251" s="1" t="s">
        <v>264</v>
      </c>
      <c r="S2251" s="1" t="s">
        <v>264</v>
      </c>
      <c r="T2251" t="s">
        <v>396</v>
      </c>
      <c r="U2251" s="1" t="s">
        <v>264</v>
      </c>
      <c r="X2251" t="s">
        <v>161</v>
      </c>
      <c r="Y2251" t="s">
        <v>2272</v>
      </c>
      <c r="Z2251" t="s">
        <v>2272</v>
      </c>
      <c r="AA2251" t="s">
        <v>2272</v>
      </c>
      <c r="AB2251" t="s">
        <v>2272</v>
      </c>
      <c r="AC2251" t="s">
        <v>162</v>
      </c>
      <c r="AD2251" t="s">
        <v>2272</v>
      </c>
      <c r="AF2251" t="s">
        <v>49</v>
      </c>
      <c r="AJ2251" t="s">
        <v>49</v>
      </c>
      <c r="AM2251" t="s">
        <v>970</v>
      </c>
      <c r="AN2251" t="s">
        <v>165</v>
      </c>
      <c r="AQ2251" s="5">
        <v>0</v>
      </c>
    </row>
    <row r="2252" spans="1:45" x14ac:dyDescent="0.2">
      <c r="A2252" t="s">
        <v>1326</v>
      </c>
      <c r="B2252" t="s">
        <v>1327</v>
      </c>
      <c r="C2252" s="1">
        <v>2016</v>
      </c>
      <c r="D2252" t="s">
        <v>45</v>
      </c>
      <c r="F2252" s="1" t="s">
        <v>81</v>
      </c>
      <c r="G2252" t="s">
        <v>86</v>
      </c>
      <c r="H2252" t="s">
        <v>350</v>
      </c>
      <c r="I2252">
        <v>2008</v>
      </c>
      <c r="J2252">
        <v>0.15</v>
      </c>
      <c r="K2252" t="s">
        <v>101</v>
      </c>
      <c r="M2252">
        <v>0</v>
      </c>
      <c r="N2252" t="s">
        <v>121</v>
      </c>
      <c r="O2252" t="s">
        <v>1329</v>
      </c>
      <c r="P2252" t="s">
        <v>1328</v>
      </c>
      <c r="Q2252" s="1" t="s">
        <v>2292</v>
      </c>
      <c r="R2252" s="1" t="s">
        <v>264</v>
      </c>
      <c r="S2252" s="1" t="s">
        <v>264</v>
      </c>
      <c r="T2252" t="s">
        <v>396</v>
      </c>
      <c r="U2252" s="1" t="s">
        <v>264</v>
      </c>
      <c r="X2252" t="s">
        <v>161</v>
      </c>
      <c r="Y2252" t="s">
        <v>2272</v>
      </c>
      <c r="Z2252" t="s">
        <v>2272</v>
      </c>
      <c r="AA2252" t="s">
        <v>2272</v>
      </c>
      <c r="AB2252" t="s">
        <v>2272</v>
      </c>
      <c r="AC2252" t="s">
        <v>162</v>
      </c>
      <c r="AD2252" t="s">
        <v>2272</v>
      </c>
      <c r="AF2252" t="s">
        <v>49</v>
      </c>
      <c r="AJ2252" t="s">
        <v>49</v>
      </c>
      <c r="AM2252" t="s">
        <v>970</v>
      </c>
      <c r="AN2252" t="s">
        <v>165</v>
      </c>
      <c r="AQ2252" s="5">
        <v>0</v>
      </c>
    </row>
    <row r="2253" spans="1:45" x14ac:dyDescent="0.2">
      <c r="A2253" t="s">
        <v>1326</v>
      </c>
      <c r="B2253" t="s">
        <v>1327</v>
      </c>
      <c r="C2253" s="1">
        <v>2016</v>
      </c>
      <c r="D2253" t="s">
        <v>45</v>
      </c>
      <c r="F2253" s="1" t="s">
        <v>81</v>
      </c>
      <c r="G2253" t="s">
        <v>86</v>
      </c>
      <c r="H2253" t="s">
        <v>350</v>
      </c>
      <c r="I2253">
        <v>2008</v>
      </c>
      <c r="J2253">
        <v>0.15</v>
      </c>
      <c r="K2253" t="s">
        <v>101</v>
      </c>
      <c r="M2253">
        <v>0</v>
      </c>
      <c r="N2253" t="s">
        <v>121</v>
      </c>
      <c r="O2253" t="s">
        <v>121</v>
      </c>
      <c r="P2253" t="s">
        <v>286</v>
      </c>
      <c r="Q2253" s="1" t="s">
        <v>2292</v>
      </c>
      <c r="R2253" s="1" t="s">
        <v>264</v>
      </c>
      <c r="S2253" s="1" t="s">
        <v>264</v>
      </c>
      <c r="X2253" t="s">
        <v>189</v>
      </c>
      <c r="Y2253" t="s">
        <v>2279</v>
      </c>
      <c r="Z2253" t="s">
        <v>2280</v>
      </c>
      <c r="AA2253" t="s">
        <v>2358</v>
      </c>
      <c r="AB2253" t="s">
        <v>189</v>
      </c>
      <c r="AC2253" t="s">
        <v>152</v>
      </c>
      <c r="AD2253" t="s">
        <v>2278</v>
      </c>
      <c r="AF2253" t="s">
        <v>49</v>
      </c>
      <c r="AJ2253" t="s">
        <v>49</v>
      </c>
      <c r="AM2253" t="s">
        <v>970</v>
      </c>
      <c r="AN2253" t="s">
        <v>154</v>
      </c>
      <c r="AP2253" t="s">
        <v>158</v>
      </c>
    </row>
    <row r="2254" spans="1:45" x14ac:dyDescent="0.2">
      <c r="A2254" t="s">
        <v>1326</v>
      </c>
      <c r="B2254" t="s">
        <v>1327</v>
      </c>
      <c r="C2254" s="1">
        <v>2016</v>
      </c>
      <c r="D2254" t="s">
        <v>45</v>
      </c>
      <c r="F2254" s="1" t="s">
        <v>81</v>
      </c>
      <c r="G2254" t="s">
        <v>86</v>
      </c>
      <c r="H2254" t="s">
        <v>350</v>
      </c>
      <c r="I2254">
        <v>2008</v>
      </c>
      <c r="J2254">
        <v>0.15</v>
      </c>
      <c r="K2254" t="s">
        <v>101</v>
      </c>
      <c r="M2254">
        <v>0</v>
      </c>
      <c r="N2254" t="s">
        <v>121</v>
      </c>
      <c r="O2254" t="s">
        <v>1329</v>
      </c>
      <c r="P2254" t="s">
        <v>1328</v>
      </c>
      <c r="Q2254" s="1" t="s">
        <v>2292</v>
      </c>
      <c r="R2254" s="1" t="s">
        <v>264</v>
      </c>
      <c r="S2254" s="1" t="s">
        <v>264</v>
      </c>
      <c r="X2254" t="s">
        <v>189</v>
      </c>
      <c r="Y2254" t="s">
        <v>2279</v>
      </c>
      <c r="Z2254" t="s">
        <v>2280</v>
      </c>
      <c r="AA2254" t="s">
        <v>2358</v>
      </c>
      <c r="AB2254" t="s">
        <v>189</v>
      </c>
      <c r="AC2254" t="s">
        <v>152</v>
      </c>
      <c r="AD2254" t="s">
        <v>2278</v>
      </c>
      <c r="AF2254" t="s">
        <v>49</v>
      </c>
      <c r="AJ2254" t="s">
        <v>49</v>
      </c>
      <c r="AM2254" t="s">
        <v>970</v>
      </c>
      <c r="AN2254" t="s">
        <v>154</v>
      </c>
      <c r="AP2254" t="s">
        <v>158</v>
      </c>
    </row>
    <row r="2255" spans="1:45" x14ac:dyDescent="0.2">
      <c r="A2255" t="s">
        <v>1336</v>
      </c>
      <c r="B2255" t="s">
        <v>1337</v>
      </c>
      <c r="C2255" s="1">
        <v>2016</v>
      </c>
      <c r="D2255" t="s">
        <v>627</v>
      </c>
      <c r="Q2255" s="1" t="s">
        <v>2272</v>
      </c>
      <c r="R2255" s="1" t="s">
        <v>2272</v>
      </c>
      <c r="S2255" s="1" t="s">
        <v>2272</v>
      </c>
      <c r="Y2255" t="s">
        <v>2272</v>
      </c>
      <c r="Z2255" t="s">
        <v>2272</v>
      </c>
      <c r="AA2255" t="s">
        <v>2272</v>
      </c>
      <c r="AB2255" t="s">
        <v>2272</v>
      </c>
      <c r="AD2255" t="s">
        <v>2272</v>
      </c>
      <c r="AR2255" t="s">
        <v>144</v>
      </c>
      <c r="AS2255" t="s">
        <v>2583</v>
      </c>
    </row>
    <row r="2256" spans="1:45" x14ac:dyDescent="0.2">
      <c r="A2256" t="s">
        <v>1338</v>
      </c>
      <c r="B2256" t="s">
        <v>1339</v>
      </c>
      <c r="C2256" s="1">
        <v>2016</v>
      </c>
      <c r="D2256" t="s">
        <v>44</v>
      </c>
      <c r="F2256" s="1" t="s">
        <v>83</v>
      </c>
      <c r="G2256" t="s">
        <v>85</v>
      </c>
      <c r="H2256" t="s">
        <v>350</v>
      </c>
      <c r="I2256" t="s">
        <v>108</v>
      </c>
      <c r="J2256">
        <v>1.42</v>
      </c>
      <c r="K2256" t="s">
        <v>42</v>
      </c>
      <c r="M2256">
        <v>0</v>
      </c>
      <c r="N2256" t="s">
        <v>132</v>
      </c>
      <c r="O2256" t="s">
        <v>1340</v>
      </c>
      <c r="P2256" t="s">
        <v>1342</v>
      </c>
      <c r="Q2256" s="1" t="s">
        <v>2276</v>
      </c>
      <c r="R2256" s="1" t="s">
        <v>669</v>
      </c>
      <c r="S2256" s="1" t="s">
        <v>168</v>
      </c>
      <c r="X2256" t="s">
        <v>171</v>
      </c>
      <c r="Y2256" t="s">
        <v>2273</v>
      </c>
      <c r="Z2256" t="s">
        <v>249</v>
      </c>
      <c r="AA2256" t="s">
        <v>2359</v>
      </c>
      <c r="AB2256" t="s">
        <v>1979</v>
      </c>
      <c r="AC2256" t="s">
        <v>152</v>
      </c>
      <c r="AD2256" t="s">
        <v>137</v>
      </c>
    </row>
    <row r="2257" spans="1:43" x14ac:dyDescent="0.2">
      <c r="A2257" t="s">
        <v>1338</v>
      </c>
      <c r="B2257" t="s">
        <v>1339</v>
      </c>
      <c r="C2257" s="1">
        <v>2016</v>
      </c>
      <c r="D2257" t="s">
        <v>44</v>
      </c>
      <c r="F2257" s="1" t="s">
        <v>83</v>
      </c>
      <c r="G2257" t="s">
        <v>85</v>
      </c>
      <c r="H2257" t="s">
        <v>350</v>
      </c>
      <c r="I2257" t="s">
        <v>108</v>
      </c>
      <c r="J2257">
        <v>1.42</v>
      </c>
      <c r="K2257" t="s">
        <v>42</v>
      </c>
      <c r="M2257">
        <v>0</v>
      </c>
      <c r="N2257" t="s">
        <v>132</v>
      </c>
      <c r="O2257" t="s">
        <v>1340</v>
      </c>
      <c r="P2257" t="s">
        <v>1341</v>
      </c>
      <c r="Q2257" s="1" t="s">
        <v>2276</v>
      </c>
      <c r="R2257" s="1" t="s">
        <v>669</v>
      </c>
      <c r="S2257" s="1" t="s">
        <v>168</v>
      </c>
      <c r="X2257" t="s">
        <v>171</v>
      </c>
      <c r="Y2257" t="s">
        <v>2273</v>
      </c>
      <c r="Z2257" t="s">
        <v>249</v>
      </c>
      <c r="AA2257" t="s">
        <v>2359</v>
      </c>
      <c r="AB2257" t="s">
        <v>1979</v>
      </c>
      <c r="AC2257" t="s">
        <v>152</v>
      </c>
      <c r="AD2257" t="s">
        <v>137</v>
      </c>
    </row>
    <row r="2258" spans="1:43" x14ac:dyDescent="0.2">
      <c r="A2258" t="s">
        <v>1338</v>
      </c>
      <c r="B2258" t="s">
        <v>1339</v>
      </c>
      <c r="C2258" s="1">
        <v>2016</v>
      </c>
      <c r="D2258" t="s">
        <v>44</v>
      </c>
      <c r="F2258" s="1" t="s">
        <v>83</v>
      </c>
      <c r="G2258" t="s">
        <v>85</v>
      </c>
      <c r="H2258" t="s">
        <v>350</v>
      </c>
      <c r="I2258" t="s">
        <v>108</v>
      </c>
      <c r="J2258">
        <v>1.42</v>
      </c>
      <c r="K2258" t="s">
        <v>42</v>
      </c>
      <c r="M2258">
        <v>0</v>
      </c>
      <c r="N2258" t="s">
        <v>120</v>
      </c>
      <c r="O2258" t="s">
        <v>252</v>
      </c>
      <c r="P2258" t="s">
        <v>244</v>
      </c>
      <c r="Q2258" s="1" t="s">
        <v>2276</v>
      </c>
      <c r="R2258" s="1" t="s">
        <v>669</v>
      </c>
      <c r="S2258" s="1" t="s">
        <v>168</v>
      </c>
      <c r="X2258" t="s">
        <v>171</v>
      </c>
      <c r="Y2258" t="s">
        <v>2273</v>
      </c>
      <c r="Z2258" t="s">
        <v>249</v>
      </c>
      <c r="AA2258" t="s">
        <v>2359</v>
      </c>
      <c r="AB2258" t="s">
        <v>1979</v>
      </c>
      <c r="AC2258" t="s">
        <v>152</v>
      </c>
      <c r="AD2258" t="s">
        <v>137</v>
      </c>
    </row>
    <row r="2259" spans="1:43" x14ac:dyDescent="0.2">
      <c r="A2259" t="s">
        <v>1338</v>
      </c>
      <c r="B2259" t="s">
        <v>1339</v>
      </c>
      <c r="C2259" s="1">
        <v>2016</v>
      </c>
      <c r="D2259" t="s">
        <v>44</v>
      </c>
      <c r="F2259" s="1" t="s">
        <v>83</v>
      </c>
      <c r="G2259" t="s">
        <v>85</v>
      </c>
      <c r="H2259" t="s">
        <v>350</v>
      </c>
      <c r="I2259" t="s">
        <v>108</v>
      </c>
      <c r="J2259">
        <v>1.42</v>
      </c>
      <c r="K2259" t="s">
        <v>42</v>
      </c>
      <c r="M2259">
        <v>0</v>
      </c>
      <c r="N2259" t="s">
        <v>132</v>
      </c>
      <c r="O2259" t="s">
        <v>1340</v>
      </c>
      <c r="P2259" t="s">
        <v>1342</v>
      </c>
      <c r="Q2259" s="1" t="s">
        <v>2276</v>
      </c>
      <c r="R2259" s="1" t="s">
        <v>669</v>
      </c>
      <c r="S2259" s="1" t="s">
        <v>168</v>
      </c>
      <c r="T2259" t="s">
        <v>396</v>
      </c>
      <c r="U2259" t="s">
        <v>2364</v>
      </c>
      <c r="X2259" t="s">
        <v>161</v>
      </c>
      <c r="Y2259" t="s">
        <v>2272</v>
      </c>
      <c r="Z2259" t="s">
        <v>2272</v>
      </c>
      <c r="AA2259" t="s">
        <v>2272</v>
      </c>
      <c r="AB2259" t="s">
        <v>2272</v>
      </c>
      <c r="AC2259" t="s">
        <v>162</v>
      </c>
      <c r="AD2259" t="s">
        <v>2272</v>
      </c>
      <c r="AF2259" t="s">
        <v>49</v>
      </c>
      <c r="AI2259" t="s">
        <v>49</v>
      </c>
      <c r="AM2259" t="s">
        <v>201</v>
      </c>
      <c r="AN2259" t="s">
        <v>154</v>
      </c>
      <c r="AQ2259" s="5">
        <v>2</v>
      </c>
    </row>
    <row r="2260" spans="1:43" x14ac:dyDescent="0.2">
      <c r="A2260" t="s">
        <v>1338</v>
      </c>
      <c r="B2260" t="s">
        <v>1339</v>
      </c>
      <c r="C2260" s="1">
        <v>2016</v>
      </c>
      <c r="D2260" t="s">
        <v>44</v>
      </c>
      <c r="F2260" s="1" t="s">
        <v>83</v>
      </c>
      <c r="G2260" t="s">
        <v>85</v>
      </c>
      <c r="H2260" t="s">
        <v>350</v>
      </c>
      <c r="I2260" t="s">
        <v>108</v>
      </c>
      <c r="J2260">
        <v>1.42</v>
      </c>
      <c r="K2260" t="s">
        <v>42</v>
      </c>
      <c r="M2260">
        <v>0</v>
      </c>
      <c r="N2260" t="s">
        <v>132</v>
      </c>
      <c r="O2260" t="s">
        <v>1340</v>
      </c>
      <c r="P2260" t="s">
        <v>1341</v>
      </c>
      <c r="Q2260" s="1" t="s">
        <v>2276</v>
      </c>
      <c r="R2260" s="1" t="s">
        <v>669</v>
      </c>
      <c r="S2260" s="1" t="s">
        <v>168</v>
      </c>
      <c r="T2260" t="s">
        <v>396</v>
      </c>
      <c r="U2260" t="s">
        <v>2364</v>
      </c>
      <c r="X2260" t="s">
        <v>161</v>
      </c>
      <c r="Y2260" t="s">
        <v>2272</v>
      </c>
      <c r="Z2260" t="s">
        <v>2272</v>
      </c>
      <c r="AA2260" t="s">
        <v>2272</v>
      </c>
      <c r="AB2260" t="s">
        <v>2272</v>
      </c>
      <c r="AC2260" t="s">
        <v>162</v>
      </c>
      <c r="AD2260" t="s">
        <v>2272</v>
      </c>
      <c r="AF2260" t="s">
        <v>49</v>
      </c>
      <c r="AI2260" t="s">
        <v>49</v>
      </c>
      <c r="AM2260" t="s">
        <v>201</v>
      </c>
      <c r="AN2260" t="s">
        <v>154</v>
      </c>
      <c r="AQ2260" s="5">
        <v>1</v>
      </c>
    </row>
    <row r="2261" spans="1:43" x14ac:dyDescent="0.2">
      <c r="A2261" t="s">
        <v>1338</v>
      </c>
      <c r="B2261" t="s">
        <v>1339</v>
      </c>
      <c r="C2261" s="1">
        <v>2016</v>
      </c>
      <c r="D2261" t="s">
        <v>44</v>
      </c>
      <c r="F2261" s="1" t="s">
        <v>83</v>
      </c>
      <c r="G2261" t="s">
        <v>85</v>
      </c>
      <c r="H2261" t="s">
        <v>350</v>
      </c>
      <c r="I2261" t="s">
        <v>108</v>
      </c>
      <c r="J2261">
        <v>1.42</v>
      </c>
      <c r="K2261" t="s">
        <v>42</v>
      </c>
      <c r="M2261">
        <v>0</v>
      </c>
      <c r="N2261" t="s">
        <v>120</v>
      </c>
      <c r="O2261" t="s">
        <v>252</v>
      </c>
      <c r="P2261" t="s">
        <v>244</v>
      </c>
      <c r="Q2261" s="1" t="s">
        <v>2276</v>
      </c>
      <c r="R2261" s="1" t="s">
        <v>669</v>
      </c>
      <c r="S2261" s="1" t="s">
        <v>168</v>
      </c>
      <c r="T2261" t="s">
        <v>396</v>
      </c>
      <c r="U2261" t="s">
        <v>2364</v>
      </c>
      <c r="X2261" t="s">
        <v>161</v>
      </c>
      <c r="Y2261" t="s">
        <v>2272</v>
      </c>
      <c r="Z2261" t="s">
        <v>2272</v>
      </c>
      <c r="AA2261" t="s">
        <v>2272</v>
      </c>
      <c r="AB2261" t="s">
        <v>2272</v>
      </c>
      <c r="AC2261" t="s">
        <v>162</v>
      </c>
      <c r="AD2261" t="s">
        <v>2272</v>
      </c>
      <c r="AF2261" t="s">
        <v>49</v>
      </c>
      <c r="AI2261" t="s">
        <v>49</v>
      </c>
      <c r="AM2261" t="s">
        <v>201</v>
      </c>
      <c r="AN2261" t="s">
        <v>154</v>
      </c>
      <c r="AQ2261" s="5">
        <v>1</v>
      </c>
    </row>
    <row r="2262" spans="1:43" x14ac:dyDescent="0.2">
      <c r="A2262" t="s">
        <v>1338</v>
      </c>
      <c r="B2262" t="s">
        <v>1339</v>
      </c>
      <c r="C2262" s="1">
        <v>2016</v>
      </c>
      <c r="D2262" t="s">
        <v>44</v>
      </c>
      <c r="F2262" s="1" t="s">
        <v>83</v>
      </c>
      <c r="G2262" t="s">
        <v>85</v>
      </c>
      <c r="H2262" t="s">
        <v>350</v>
      </c>
      <c r="I2262" t="s">
        <v>108</v>
      </c>
      <c r="J2262">
        <v>1.42</v>
      </c>
      <c r="K2262" t="s">
        <v>42</v>
      </c>
      <c r="M2262">
        <v>0</v>
      </c>
      <c r="N2262" t="s">
        <v>132</v>
      </c>
      <c r="O2262" t="s">
        <v>1340</v>
      </c>
      <c r="P2262" t="s">
        <v>1342</v>
      </c>
      <c r="Q2262" s="1" t="s">
        <v>2276</v>
      </c>
      <c r="R2262" s="1" t="s">
        <v>669</v>
      </c>
      <c r="S2262" s="1" t="s">
        <v>168</v>
      </c>
      <c r="T2262" t="s">
        <v>396</v>
      </c>
      <c r="U2262" t="s">
        <v>2364</v>
      </c>
      <c r="X2262" t="s">
        <v>161</v>
      </c>
      <c r="Y2262" t="s">
        <v>2272</v>
      </c>
      <c r="Z2262" t="s">
        <v>2272</v>
      </c>
      <c r="AA2262" t="s">
        <v>2272</v>
      </c>
      <c r="AB2262" t="s">
        <v>2272</v>
      </c>
      <c r="AC2262" t="s">
        <v>162</v>
      </c>
      <c r="AD2262" t="s">
        <v>2272</v>
      </c>
      <c r="AF2262" t="s">
        <v>49</v>
      </c>
      <c r="AI2262" t="s">
        <v>49</v>
      </c>
      <c r="AM2262" t="s">
        <v>201</v>
      </c>
      <c r="AN2262" t="s">
        <v>166</v>
      </c>
      <c r="AQ2262" s="5">
        <v>0</v>
      </c>
    </row>
    <row r="2263" spans="1:43" x14ac:dyDescent="0.2">
      <c r="A2263" t="s">
        <v>1338</v>
      </c>
      <c r="B2263" t="s">
        <v>1339</v>
      </c>
      <c r="C2263" s="1">
        <v>2016</v>
      </c>
      <c r="D2263" t="s">
        <v>44</v>
      </c>
      <c r="F2263" s="1" t="s">
        <v>83</v>
      </c>
      <c r="G2263" t="s">
        <v>85</v>
      </c>
      <c r="H2263" t="s">
        <v>350</v>
      </c>
      <c r="I2263" t="s">
        <v>108</v>
      </c>
      <c r="J2263">
        <v>1.42</v>
      </c>
      <c r="K2263" t="s">
        <v>42</v>
      </c>
      <c r="M2263">
        <v>0</v>
      </c>
      <c r="N2263" t="s">
        <v>132</v>
      </c>
      <c r="O2263" t="s">
        <v>1340</v>
      </c>
      <c r="P2263" t="s">
        <v>1341</v>
      </c>
      <c r="Q2263" s="1" t="s">
        <v>2276</v>
      </c>
      <c r="R2263" s="1" t="s">
        <v>669</v>
      </c>
      <c r="S2263" s="1" t="s">
        <v>168</v>
      </c>
      <c r="T2263" t="s">
        <v>396</v>
      </c>
      <c r="U2263" t="s">
        <v>2364</v>
      </c>
      <c r="X2263" t="s">
        <v>161</v>
      </c>
      <c r="Y2263" t="s">
        <v>2272</v>
      </c>
      <c r="Z2263" t="s">
        <v>2272</v>
      </c>
      <c r="AA2263" t="s">
        <v>2272</v>
      </c>
      <c r="AB2263" t="s">
        <v>2272</v>
      </c>
      <c r="AC2263" t="s">
        <v>162</v>
      </c>
      <c r="AD2263" t="s">
        <v>2272</v>
      </c>
      <c r="AF2263" t="s">
        <v>49</v>
      </c>
      <c r="AI2263" t="s">
        <v>49</v>
      </c>
      <c r="AM2263" t="s">
        <v>201</v>
      </c>
      <c r="AN2263" t="s">
        <v>166</v>
      </c>
      <c r="AQ2263" s="5">
        <v>0</v>
      </c>
    </row>
    <row r="2264" spans="1:43" x14ac:dyDescent="0.2">
      <c r="A2264" t="s">
        <v>1338</v>
      </c>
      <c r="B2264" t="s">
        <v>1339</v>
      </c>
      <c r="C2264" s="1">
        <v>2016</v>
      </c>
      <c r="D2264" t="s">
        <v>44</v>
      </c>
      <c r="F2264" s="1" t="s">
        <v>83</v>
      </c>
      <c r="G2264" t="s">
        <v>85</v>
      </c>
      <c r="H2264" t="s">
        <v>350</v>
      </c>
      <c r="I2264" t="s">
        <v>108</v>
      </c>
      <c r="J2264">
        <v>1.42</v>
      </c>
      <c r="K2264" t="s">
        <v>42</v>
      </c>
      <c r="M2264">
        <v>0</v>
      </c>
      <c r="N2264" t="s">
        <v>120</v>
      </c>
      <c r="O2264" t="s">
        <v>252</v>
      </c>
      <c r="P2264" t="s">
        <v>244</v>
      </c>
      <c r="Q2264" s="1" t="s">
        <v>2276</v>
      </c>
      <c r="R2264" s="1" t="s">
        <v>669</v>
      </c>
      <c r="S2264" s="1" t="s">
        <v>168</v>
      </c>
      <c r="T2264" t="s">
        <v>396</v>
      </c>
      <c r="U2264" t="s">
        <v>2364</v>
      </c>
      <c r="X2264" t="s">
        <v>161</v>
      </c>
      <c r="Y2264" t="s">
        <v>2272</v>
      </c>
      <c r="Z2264" t="s">
        <v>2272</v>
      </c>
      <c r="AA2264" t="s">
        <v>2272</v>
      </c>
      <c r="AB2264" t="s">
        <v>2272</v>
      </c>
      <c r="AC2264" t="s">
        <v>162</v>
      </c>
      <c r="AD2264" t="s">
        <v>2272</v>
      </c>
      <c r="AF2264" t="s">
        <v>49</v>
      </c>
      <c r="AI2264" t="s">
        <v>49</v>
      </c>
      <c r="AM2264" t="s">
        <v>201</v>
      </c>
      <c r="AN2264" t="s">
        <v>166</v>
      </c>
      <c r="AQ2264" s="5">
        <v>0</v>
      </c>
    </row>
    <row r="2265" spans="1:43" x14ac:dyDescent="0.2">
      <c r="A2265" t="s">
        <v>1338</v>
      </c>
      <c r="B2265" t="s">
        <v>1339</v>
      </c>
      <c r="C2265" s="1">
        <v>2016</v>
      </c>
      <c r="D2265" t="s">
        <v>44</v>
      </c>
      <c r="F2265" s="1" t="s">
        <v>83</v>
      </c>
      <c r="G2265" t="s">
        <v>85</v>
      </c>
      <c r="H2265" t="s">
        <v>350</v>
      </c>
      <c r="I2265" t="s">
        <v>108</v>
      </c>
      <c r="J2265">
        <v>1.42</v>
      </c>
      <c r="K2265" t="s">
        <v>42</v>
      </c>
      <c r="M2265">
        <v>0</v>
      </c>
      <c r="N2265" t="s">
        <v>132</v>
      </c>
      <c r="O2265" t="s">
        <v>1340</v>
      </c>
      <c r="P2265" t="s">
        <v>1342</v>
      </c>
      <c r="Q2265" s="1" t="s">
        <v>2276</v>
      </c>
      <c r="R2265" s="1" t="s">
        <v>669</v>
      </c>
      <c r="S2265" s="1" t="s">
        <v>168</v>
      </c>
      <c r="T2265" t="s">
        <v>396</v>
      </c>
      <c r="U2265" t="s">
        <v>2364</v>
      </c>
      <c r="X2265" t="s">
        <v>161</v>
      </c>
      <c r="Y2265" t="s">
        <v>2272</v>
      </c>
      <c r="Z2265" t="s">
        <v>2272</v>
      </c>
      <c r="AA2265" t="s">
        <v>2272</v>
      </c>
      <c r="AB2265" t="s">
        <v>2272</v>
      </c>
      <c r="AC2265" t="s">
        <v>162</v>
      </c>
      <c r="AD2265" t="s">
        <v>2272</v>
      </c>
      <c r="AF2265" t="s">
        <v>49</v>
      </c>
      <c r="AI2265" t="s">
        <v>49</v>
      </c>
      <c r="AM2265" t="s">
        <v>201</v>
      </c>
      <c r="AN2265" t="s">
        <v>109</v>
      </c>
      <c r="AO2265" t="s">
        <v>1343</v>
      </c>
      <c r="AQ2265" s="5">
        <v>1</v>
      </c>
    </row>
    <row r="2266" spans="1:43" x14ac:dyDescent="0.2">
      <c r="A2266" t="s">
        <v>1338</v>
      </c>
      <c r="B2266" t="s">
        <v>1339</v>
      </c>
      <c r="C2266" s="1">
        <v>2016</v>
      </c>
      <c r="D2266" t="s">
        <v>44</v>
      </c>
      <c r="F2266" s="1" t="s">
        <v>83</v>
      </c>
      <c r="G2266" t="s">
        <v>85</v>
      </c>
      <c r="H2266" t="s">
        <v>350</v>
      </c>
      <c r="I2266" t="s">
        <v>108</v>
      </c>
      <c r="J2266">
        <v>1.42</v>
      </c>
      <c r="K2266" t="s">
        <v>42</v>
      </c>
      <c r="M2266">
        <v>0</v>
      </c>
      <c r="N2266" t="s">
        <v>132</v>
      </c>
      <c r="O2266" t="s">
        <v>1340</v>
      </c>
      <c r="P2266" t="s">
        <v>1341</v>
      </c>
      <c r="Q2266" s="1" t="s">
        <v>2276</v>
      </c>
      <c r="R2266" s="1" t="s">
        <v>669</v>
      </c>
      <c r="S2266" s="1" t="s">
        <v>168</v>
      </c>
      <c r="T2266" t="s">
        <v>396</v>
      </c>
      <c r="U2266" t="s">
        <v>2364</v>
      </c>
      <c r="X2266" t="s">
        <v>161</v>
      </c>
      <c r="Y2266" t="s">
        <v>2272</v>
      </c>
      <c r="Z2266" t="s">
        <v>2272</v>
      </c>
      <c r="AA2266" t="s">
        <v>2272</v>
      </c>
      <c r="AB2266" t="s">
        <v>2272</v>
      </c>
      <c r="AC2266" t="s">
        <v>162</v>
      </c>
      <c r="AD2266" t="s">
        <v>2272</v>
      </c>
      <c r="AF2266" t="s">
        <v>49</v>
      </c>
      <c r="AI2266" t="s">
        <v>49</v>
      </c>
      <c r="AM2266" t="s">
        <v>201</v>
      </c>
      <c r="AN2266" t="s">
        <v>109</v>
      </c>
      <c r="AO2266" t="s">
        <v>1343</v>
      </c>
      <c r="AQ2266" s="5">
        <v>3</v>
      </c>
    </row>
    <row r="2267" spans="1:43" x14ac:dyDescent="0.2">
      <c r="A2267" t="s">
        <v>1338</v>
      </c>
      <c r="B2267" t="s">
        <v>1339</v>
      </c>
      <c r="C2267" s="1">
        <v>2016</v>
      </c>
      <c r="D2267" t="s">
        <v>44</v>
      </c>
      <c r="F2267" s="1" t="s">
        <v>83</v>
      </c>
      <c r="G2267" t="s">
        <v>85</v>
      </c>
      <c r="H2267" t="s">
        <v>350</v>
      </c>
      <c r="I2267" t="s">
        <v>108</v>
      </c>
      <c r="J2267">
        <v>1.42</v>
      </c>
      <c r="K2267" t="s">
        <v>42</v>
      </c>
      <c r="M2267">
        <v>0</v>
      </c>
      <c r="N2267" t="s">
        <v>120</v>
      </c>
      <c r="O2267" t="s">
        <v>252</v>
      </c>
      <c r="P2267" t="s">
        <v>244</v>
      </c>
      <c r="Q2267" s="1" t="s">
        <v>2276</v>
      </c>
      <c r="R2267" s="1" t="s">
        <v>669</v>
      </c>
      <c r="S2267" s="1" t="s">
        <v>168</v>
      </c>
      <c r="T2267" t="s">
        <v>396</v>
      </c>
      <c r="U2267" t="s">
        <v>2364</v>
      </c>
      <c r="X2267" t="s">
        <v>161</v>
      </c>
      <c r="Y2267" t="s">
        <v>2272</v>
      </c>
      <c r="Z2267" t="s">
        <v>2272</v>
      </c>
      <c r="AA2267" t="s">
        <v>2272</v>
      </c>
      <c r="AB2267" t="s">
        <v>2272</v>
      </c>
      <c r="AC2267" t="s">
        <v>162</v>
      </c>
      <c r="AD2267" t="s">
        <v>2272</v>
      </c>
      <c r="AF2267" t="s">
        <v>49</v>
      </c>
      <c r="AI2267" t="s">
        <v>49</v>
      </c>
      <c r="AM2267" t="s">
        <v>201</v>
      </c>
      <c r="AN2267" t="s">
        <v>109</v>
      </c>
      <c r="AO2267" t="s">
        <v>1343</v>
      </c>
      <c r="AQ2267" s="5">
        <v>2</v>
      </c>
    </row>
    <row r="2268" spans="1:43" x14ac:dyDescent="0.2">
      <c r="A2268" t="s">
        <v>1338</v>
      </c>
      <c r="B2268" t="s">
        <v>1339</v>
      </c>
      <c r="C2268" s="1">
        <v>2016</v>
      </c>
      <c r="D2268" t="s">
        <v>44</v>
      </c>
      <c r="F2268" s="1" t="s">
        <v>83</v>
      </c>
      <c r="G2268" t="s">
        <v>85</v>
      </c>
      <c r="H2268" t="s">
        <v>350</v>
      </c>
      <c r="I2268" t="s">
        <v>108</v>
      </c>
      <c r="J2268">
        <v>1.42</v>
      </c>
      <c r="K2268" t="s">
        <v>42</v>
      </c>
      <c r="M2268">
        <v>0</v>
      </c>
      <c r="N2268" t="s">
        <v>132</v>
      </c>
      <c r="O2268" t="s">
        <v>1340</v>
      </c>
      <c r="P2268" t="s">
        <v>1342</v>
      </c>
      <c r="Q2268" s="1" t="s">
        <v>2276</v>
      </c>
      <c r="R2268" s="1" t="s">
        <v>669</v>
      </c>
      <c r="S2268" s="1" t="s">
        <v>168</v>
      </c>
      <c r="T2268" t="s">
        <v>396</v>
      </c>
      <c r="U2268" t="s">
        <v>2364</v>
      </c>
      <c r="X2268" t="s">
        <v>161</v>
      </c>
      <c r="Y2268" t="s">
        <v>2272</v>
      </c>
      <c r="Z2268" t="s">
        <v>2272</v>
      </c>
      <c r="AA2268" t="s">
        <v>2272</v>
      </c>
      <c r="AB2268" t="s">
        <v>2272</v>
      </c>
      <c r="AC2268" t="s">
        <v>162</v>
      </c>
      <c r="AD2268" t="s">
        <v>2272</v>
      </c>
      <c r="AF2268" t="s">
        <v>49</v>
      </c>
      <c r="AI2268" t="s">
        <v>49</v>
      </c>
      <c r="AM2268" t="s">
        <v>201</v>
      </c>
      <c r="AN2268" t="s">
        <v>109</v>
      </c>
      <c r="AO2268" t="s">
        <v>1344</v>
      </c>
      <c r="AP2268" t="s">
        <v>49</v>
      </c>
    </row>
    <row r="2269" spans="1:43" x14ac:dyDescent="0.2">
      <c r="A2269" t="s">
        <v>1338</v>
      </c>
      <c r="B2269" t="s">
        <v>1339</v>
      </c>
      <c r="C2269" s="1">
        <v>2016</v>
      </c>
      <c r="D2269" t="s">
        <v>44</v>
      </c>
      <c r="F2269" s="1" t="s">
        <v>83</v>
      </c>
      <c r="G2269" t="s">
        <v>85</v>
      </c>
      <c r="H2269" t="s">
        <v>350</v>
      </c>
      <c r="I2269" t="s">
        <v>108</v>
      </c>
      <c r="J2269">
        <v>1.42</v>
      </c>
      <c r="K2269" t="s">
        <v>42</v>
      </c>
      <c r="M2269">
        <v>0</v>
      </c>
      <c r="N2269" t="s">
        <v>132</v>
      </c>
      <c r="O2269" t="s">
        <v>1340</v>
      </c>
      <c r="P2269" t="s">
        <v>1341</v>
      </c>
      <c r="Q2269" s="1" t="s">
        <v>2276</v>
      </c>
      <c r="R2269" s="1" t="s">
        <v>669</v>
      </c>
      <c r="S2269" s="1" t="s">
        <v>168</v>
      </c>
      <c r="T2269" t="s">
        <v>396</v>
      </c>
      <c r="U2269" t="s">
        <v>2364</v>
      </c>
      <c r="X2269" t="s">
        <v>161</v>
      </c>
      <c r="Y2269" t="s">
        <v>2272</v>
      </c>
      <c r="Z2269" t="s">
        <v>2272</v>
      </c>
      <c r="AA2269" t="s">
        <v>2272</v>
      </c>
      <c r="AB2269" t="s">
        <v>2272</v>
      </c>
      <c r="AC2269" t="s">
        <v>162</v>
      </c>
      <c r="AD2269" t="s">
        <v>2272</v>
      </c>
      <c r="AF2269" t="s">
        <v>49</v>
      </c>
      <c r="AI2269" t="s">
        <v>49</v>
      </c>
      <c r="AM2269" t="s">
        <v>201</v>
      </c>
      <c r="AN2269" t="s">
        <v>109</v>
      </c>
      <c r="AO2269" t="s">
        <v>1344</v>
      </c>
      <c r="AP2269" t="s">
        <v>49</v>
      </c>
    </row>
    <row r="2270" spans="1:43" x14ac:dyDescent="0.2">
      <c r="A2270" t="s">
        <v>1338</v>
      </c>
      <c r="B2270" t="s">
        <v>1339</v>
      </c>
      <c r="C2270" s="1">
        <v>2016</v>
      </c>
      <c r="D2270" t="s">
        <v>44</v>
      </c>
      <c r="F2270" s="1" t="s">
        <v>83</v>
      </c>
      <c r="G2270" t="s">
        <v>85</v>
      </c>
      <c r="H2270" t="s">
        <v>350</v>
      </c>
      <c r="I2270" t="s">
        <v>108</v>
      </c>
      <c r="J2270">
        <v>1.42</v>
      </c>
      <c r="K2270" t="s">
        <v>42</v>
      </c>
      <c r="M2270">
        <v>0</v>
      </c>
      <c r="N2270" t="s">
        <v>120</v>
      </c>
      <c r="O2270" t="s">
        <v>252</v>
      </c>
      <c r="P2270" t="s">
        <v>244</v>
      </c>
      <c r="Q2270" s="1" t="s">
        <v>2276</v>
      </c>
      <c r="R2270" s="1" t="s">
        <v>669</v>
      </c>
      <c r="S2270" s="1" t="s">
        <v>168</v>
      </c>
      <c r="T2270" t="s">
        <v>396</v>
      </c>
      <c r="U2270" t="s">
        <v>2364</v>
      </c>
      <c r="X2270" t="s">
        <v>161</v>
      </c>
      <c r="Y2270" t="s">
        <v>2272</v>
      </c>
      <c r="Z2270" t="s">
        <v>2272</v>
      </c>
      <c r="AA2270" t="s">
        <v>2272</v>
      </c>
      <c r="AB2270" t="s">
        <v>2272</v>
      </c>
      <c r="AC2270" t="s">
        <v>162</v>
      </c>
      <c r="AD2270" t="s">
        <v>2272</v>
      </c>
      <c r="AF2270" t="s">
        <v>49</v>
      </c>
      <c r="AI2270" t="s">
        <v>49</v>
      </c>
      <c r="AM2270" t="s">
        <v>201</v>
      </c>
      <c r="AN2270" t="s">
        <v>109</v>
      </c>
      <c r="AO2270" t="s">
        <v>1344</v>
      </c>
      <c r="AP2270" t="s">
        <v>49</v>
      </c>
    </row>
    <row r="2271" spans="1:43" x14ac:dyDescent="0.2">
      <c r="A2271" t="s">
        <v>1338</v>
      </c>
      <c r="B2271" t="s">
        <v>1339</v>
      </c>
      <c r="C2271" s="1">
        <v>2016</v>
      </c>
      <c r="D2271" t="s">
        <v>44</v>
      </c>
      <c r="F2271" s="1" t="s">
        <v>83</v>
      </c>
      <c r="G2271" t="s">
        <v>85</v>
      </c>
      <c r="H2271" t="s">
        <v>350</v>
      </c>
      <c r="I2271" t="s">
        <v>108</v>
      </c>
      <c r="J2271">
        <v>1.42</v>
      </c>
      <c r="K2271" t="s">
        <v>42</v>
      </c>
      <c r="M2271">
        <v>0</v>
      </c>
      <c r="N2271" t="s">
        <v>132</v>
      </c>
      <c r="O2271" t="s">
        <v>1340</v>
      </c>
      <c r="P2271" t="s">
        <v>1342</v>
      </c>
      <c r="Q2271" s="1" t="s">
        <v>2276</v>
      </c>
      <c r="R2271" s="1" t="s">
        <v>669</v>
      </c>
      <c r="S2271" s="1" t="s">
        <v>168</v>
      </c>
      <c r="T2271" t="s">
        <v>396</v>
      </c>
      <c r="U2271" t="s">
        <v>2364</v>
      </c>
      <c r="X2271" t="s">
        <v>161</v>
      </c>
      <c r="Y2271" t="s">
        <v>2272</v>
      </c>
      <c r="Z2271" t="s">
        <v>2272</v>
      </c>
      <c r="AA2271" t="s">
        <v>2272</v>
      </c>
      <c r="AB2271" t="s">
        <v>2272</v>
      </c>
      <c r="AC2271" t="s">
        <v>162</v>
      </c>
      <c r="AD2271" t="s">
        <v>2272</v>
      </c>
      <c r="AF2271" t="s">
        <v>49</v>
      </c>
      <c r="AI2271" t="s">
        <v>49</v>
      </c>
      <c r="AM2271" t="s">
        <v>201</v>
      </c>
      <c r="AN2271" t="s">
        <v>165</v>
      </c>
      <c r="AP2271" t="s">
        <v>49</v>
      </c>
    </row>
    <row r="2272" spans="1:43" x14ac:dyDescent="0.2">
      <c r="A2272" t="s">
        <v>1338</v>
      </c>
      <c r="B2272" t="s">
        <v>1339</v>
      </c>
      <c r="C2272" s="1">
        <v>2016</v>
      </c>
      <c r="D2272" t="s">
        <v>44</v>
      </c>
      <c r="F2272" s="1" t="s">
        <v>83</v>
      </c>
      <c r="G2272" t="s">
        <v>85</v>
      </c>
      <c r="H2272" t="s">
        <v>350</v>
      </c>
      <c r="I2272" t="s">
        <v>108</v>
      </c>
      <c r="J2272">
        <v>1.42</v>
      </c>
      <c r="K2272" t="s">
        <v>42</v>
      </c>
      <c r="M2272">
        <v>0</v>
      </c>
      <c r="N2272" t="s">
        <v>132</v>
      </c>
      <c r="O2272" t="s">
        <v>1340</v>
      </c>
      <c r="P2272" t="s">
        <v>1341</v>
      </c>
      <c r="Q2272" s="1" t="s">
        <v>2276</v>
      </c>
      <c r="R2272" s="1" t="s">
        <v>669</v>
      </c>
      <c r="S2272" s="1" t="s">
        <v>168</v>
      </c>
      <c r="T2272" t="s">
        <v>396</v>
      </c>
      <c r="U2272" t="s">
        <v>2364</v>
      </c>
      <c r="X2272" t="s">
        <v>161</v>
      </c>
      <c r="Y2272" t="s">
        <v>2272</v>
      </c>
      <c r="Z2272" t="s">
        <v>2272</v>
      </c>
      <c r="AA2272" t="s">
        <v>2272</v>
      </c>
      <c r="AB2272" t="s">
        <v>2272</v>
      </c>
      <c r="AC2272" t="s">
        <v>162</v>
      </c>
      <c r="AD2272" t="s">
        <v>2272</v>
      </c>
      <c r="AF2272" t="s">
        <v>49</v>
      </c>
      <c r="AI2272" t="s">
        <v>49</v>
      </c>
      <c r="AM2272" t="s">
        <v>201</v>
      </c>
      <c r="AN2272" t="s">
        <v>165</v>
      </c>
      <c r="AP2272" t="s">
        <v>49</v>
      </c>
    </row>
    <row r="2273" spans="1:43" x14ac:dyDescent="0.2">
      <c r="A2273" t="s">
        <v>1338</v>
      </c>
      <c r="B2273" t="s">
        <v>1339</v>
      </c>
      <c r="C2273" s="1">
        <v>2016</v>
      </c>
      <c r="D2273" t="s">
        <v>44</v>
      </c>
      <c r="F2273" s="1" t="s">
        <v>83</v>
      </c>
      <c r="G2273" t="s">
        <v>85</v>
      </c>
      <c r="H2273" t="s">
        <v>350</v>
      </c>
      <c r="I2273" t="s">
        <v>108</v>
      </c>
      <c r="J2273">
        <v>1.42</v>
      </c>
      <c r="K2273" t="s">
        <v>42</v>
      </c>
      <c r="M2273">
        <v>0</v>
      </c>
      <c r="N2273" t="s">
        <v>120</v>
      </c>
      <c r="O2273" t="s">
        <v>252</v>
      </c>
      <c r="P2273" t="s">
        <v>244</v>
      </c>
      <c r="Q2273" s="1" t="s">
        <v>2276</v>
      </c>
      <c r="R2273" s="1" t="s">
        <v>669</v>
      </c>
      <c r="S2273" s="1" t="s">
        <v>168</v>
      </c>
      <c r="T2273" t="s">
        <v>396</v>
      </c>
      <c r="U2273" t="s">
        <v>2364</v>
      </c>
      <c r="X2273" t="s">
        <v>161</v>
      </c>
      <c r="Y2273" t="s">
        <v>2272</v>
      </c>
      <c r="Z2273" t="s">
        <v>2272</v>
      </c>
      <c r="AA2273" t="s">
        <v>2272</v>
      </c>
      <c r="AB2273" t="s">
        <v>2272</v>
      </c>
      <c r="AC2273" t="s">
        <v>162</v>
      </c>
      <c r="AD2273" t="s">
        <v>2272</v>
      </c>
      <c r="AF2273" t="s">
        <v>49</v>
      </c>
      <c r="AI2273" t="s">
        <v>49</v>
      </c>
      <c r="AM2273" t="s">
        <v>201</v>
      </c>
      <c r="AN2273" t="s">
        <v>165</v>
      </c>
      <c r="AP2273" t="s">
        <v>49</v>
      </c>
    </row>
    <row r="2274" spans="1:43" x14ac:dyDescent="0.2">
      <c r="A2274" t="s">
        <v>1338</v>
      </c>
      <c r="B2274" t="s">
        <v>1339</v>
      </c>
      <c r="C2274" s="1">
        <v>2016</v>
      </c>
      <c r="D2274" t="s">
        <v>811</v>
      </c>
      <c r="F2274" s="1" t="s">
        <v>83</v>
      </c>
      <c r="G2274" t="s">
        <v>85</v>
      </c>
      <c r="H2274" t="s">
        <v>350</v>
      </c>
      <c r="K2274" t="s">
        <v>101</v>
      </c>
      <c r="M2274">
        <v>0</v>
      </c>
      <c r="N2274" t="s">
        <v>132</v>
      </c>
      <c r="O2274" t="s">
        <v>1340</v>
      </c>
      <c r="P2274" t="s">
        <v>1342</v>
      </c>
      <c r="Q2274" s="1" t="s">
        <v>2276</v>
      </c>
      <c r="R2274" s="1" t="s">
        <v>669</v>
      </c>
      <c r="S2274" s="1" t="s">
        <v>168</v>
      </c>
      <c r="T2274" t="s">
        <v>396</v>
      </c>
      <c r="U2274" t="s">
        <v>2364</v>
      </c>
      <c r="X2274" t="s">
        <v>161</v>
      </c>
      <c r="Y2274" t="s">
        <v>2272</v>
      </c>
      <c r="Z2274" t="s">
        <v>2272</v>
      </c>
      <c r="AA2274" t="s">
        <v>2272</v>
      </c>
      <c r="AB2274" t="s">
        <v>2272</v>
      </c>
      <c r="AC2274" t="s">
        <v>162</v>
      </c>
      <c r="AD2274" t="s">
        <v>2272</v>
      </c>
      <c r="AF2274" t="s">
        <v>49</v>
      </c>
      <c r="AI2274" t="s">
        <v>49</v>
      </c>
      <c r="AM2274" t="s">
        <v>201</v>
      </c>
      <c r="AN2274" t="s">
        <v>154</v>
      </c>
      <c r="AQ2274" s="5">
        <v>2</v>
      </c>
    </row>
    <row r="2275" spans="1:43" x14ac:dyDescent="0.2">
      <c r="A2275" t="s">
        <v>1338</v>
      </c>
      <c r="B2275" t="s">
        <v>1339</v>
      </c>
      <c r="C2275" s="1">
        <v>2016</v>
      </c>
      <c r="D2275" t="s">
        <v>811</v>
      </c>
      <c r="F2275" s="1" t="s">
        <v>83</v>
      </c>
      <c r="G2275" t="s">
        <v>85</v>
      </c>
      <c r="H2275" t="s">
        <v>350</v>
      </c>
      <c r="I2275" t="s">
        <v>1345</v>
      </c>
      <c r="J2275">
        <f>18/12</f>
        <v>1.5</v>
      </c>
      <c r="K2275" t="s">
        <v>42</v>
      </c>
      <c r="M2275">
        <v>0</v>
      </c>
      <c r="N2275" t="s">
        <v>132</v>
      </c>
      <c r="O2275" t="s">
        <v>1340</v>
      </c>
      <c r="P2275" t="s">
        <v>1341</v>
      </c>
      <c r="Q2275" s="1" t="s">
        <v>2276</v>
      </c>
      <c r="R2275" s="1" t="s">
        <v>669</v>
      </c>
      <c r="S2275" s="1" t="s">
        <v>168</v>
      </c>
      <c r="T2275" t="s">
        <v>396</v>
      </c>
      <c r="U2275" t="s">
        <v>2364</v>
      </c>
      <c r="X2275" t="s">
        <v>161</v>
      </c>
      <c r="Y2275" t="s">
        <v>2272</v>
      </c>
      <c r="Z2275" t="s">
        <v>2272</v>
      </c>
      <c r="AA2275" t="s">
        <v>2272</v>
      </c>
      <c r="AB2275" t="s">
        <v>2272</v>
      </c>
      <c r="AC2275" t="s">
        <v>162</v>
      </c>
      <c r="AD2275" t="s">
        <v>2272</v>
      </c>
      <c r="AF2275" t="s">
        <v>49</v>
      </c>
      <c r="AI2275" t="s">
        <v>49</v>
      </c>
      <c r="AM2275" t="s">
        <v>201</v>
      </c>
      <c r="AN2275" t="s">
        <v>154</v>
      </c>
      <c r="AQ2275" s="5">
        <v>1</v>
      </c>
    </row>
    <row r="2276" spans="1:43" x14ac:dyDescent="0.2">
      <c r="A2276" t="s">
        <v>1338</v>
      </c>
      <c r="B2276" t="s">
        <v>1339</v>
      </c>
      <c r="C2276" s="1">
        <v>2016</v>
      </c>
      <c r="D2276" t="s">
        <v>811</v>
      </c>
      <c r="F2276" s="1" t="s">
        <v>83</v>
      </c>
      <c r="G2276" t="s">
        <v>85</v>
      </c>
      <c r="H2276" t="s">
        <v>350</v>
      </c>
      <c r="K2276" t="s">
        <v>101</v>
      </c>
      <c r="M2276">
        <v>0</v>
      </c>
      <c r="N2276" t="s">
        <v>120</v>
      </c>
      <c r="O2276" t="s">
        <v>252</v>
      </c>
      <c r="P2276" t="s">
        <v>244</v>
      </c>
      <c r="Q2276" s="1" t="s">
        <v>2276</v>
      </c>
      <c r="R2276" s="1" t="s">
        <v>669</v>
      </c>
      <c r="S2276" s="1" t="s">
        <v>168</v>
      </c>
      <c r="T2276" t="s">
        <v>396</v>
      </c>
      <c r="U2276" t="s">
        <v>2364</v>
      </c>
      <c r="X2276" t="s">
        <v>161</v>
      </c>
      <c r="Y2276" t="s">
        <v>2272</v>
      </c>
      <c r="Z2276" t="s">
        <v>2272</v>
      </c>
      <c r="AA2276" t="s">
        <v>2272</v>
      </c>
      <c r="AB2276" t="s">
        <v>2272</v>
      </c>
      <c r="AC2276" t="s">
        <v>162</v>
      </c>
      <c r="AD2276" t="s">
        <v>2272</v>
      </c>
      <c r="AF2276" t="s">
        <v>49</v>
      </c>
      <c r="AI2276" t="s">
        <v>49</v>
      </c>
      <c r="AM2276" t="s">
        <v>201</v>
      </c>
      <c r="AN2276" t="s">
        <v>154</v>
      </c>
      <c r="AQ2276" s="5">
        <v>1</v>
      </c>
    </row>
    <row r="2277" spans="1:43" x14ac:dyDescent="0.2">
      <c r="A2277" t="s">
        <v>1338</v>
      </c>
      <c r="B2277" t="s">
        <v>1339</v>
      </c>
      <c r="C2277" s="1">
        <v>2016</v>
      </c>
      <c r="D2277" t="s">
        <v>811</v>
      </c>
      <c r="F2277" s="1" t="s">
        <v>83</v>
      </c>
      <c r="G2277" t="s">
        <v>85</v>
      </c>
      <c r="H2277" t="s">
        <v>350</v>
      </c>
      <c r="K2277" t="s">
        <v>101</v>
      </c>
      <c r="M2277">
        <v>0</v>
      </c>
      <c r="N2277" t="s">
        <v>132</v>
      </c>
      <c r="O2277" t="s">
        <v>1340</v>
      </c>
      <c r="P2277" t="s">
        <v>1342</v>
      </c>
      <c r="Q2277" s="1" t="s">
        <v>2276</v>
      </c>
      <c r="R2277" s="1" t="s">
        <v>669</v>
      </c>
      <c r="S2277" s="1" t="s">
        <v>168</v>
      </c>
      <c r="T2277" t="s">
        <v>396</v>
      </c>
      <c r="U2277" t="s">
        <v>2364</v>
      </c>
      <c r="X2277" t="s">
        <v>161</v>
      </c>
      <c r="Y2277" t="s">
        <v>2272</v>
      </c>
      <c r="Z2277" t="s">
        <v>2272</v>
      </c>
      <c r="AA2277" t="s">
        <v>2272</v>
      </c>
      <c r="AB2277" t="s">
        <v>2272</v>
      </c>
      <c r="AC2277" t="s">
        <v>162</v>
      </c>
      <c r="AD2277" t="s">
        <v>2272</v>
      </c>
      <c r="AF2277" t="s">
        <v>49</v>
      </c>
      <c r="AI2277" t="s">
        <v>49</v>
      </c>
      <c r="AM2277" t="s">
        <v>201</v>
      </c>
      <c r="AN2277" t="s">
        <v>166</v>
      </c>
      <c r="AQ2277" s="5">
        <v>0</v>
      </c>
    </row>
    <row r="2278" spans="1:43" x14ac:dyDescent="0.2">
      <c r="A2278" t="s">
        <v>1338</v>
      </c>
      <c r="B2278" t="s">
        <v>1339</v>
      </c>
      <c r="C2278" s="1">
        <v>2016</v>
      </c>
      <c r="D2278" t="s">
        <v>811</v>
      </c>
      <c r="F2278" s="1" t="s">
        <v>83</v>
      </c>
      <c r="G2278" t="s">
        <v>85</v>
      </c>
      <c r="H2278" t="s">
        <v>350</v>
      </c>
      <c r="I2278" t="s">
        <v>1345</v>
      </c>
      <c r="J2278">
        <f>18/12</f>
        <v>1.5</v>
      </c>
      <c r="K2278" t="s">
        <v>42</v>
      </c>
      <c r="M2278">
        <v>0</v>
      </c>
      <c r="N2278" t="s">
        <v>132</v>
      </c>
      <c r="O2278" t="s">
        <v>1340</v>
      </c>
      <c r="P2278" t="s">
        <v>1341</v>
      </c>
      <c r="Q2278" s="1" t="s">
        <v>2276</v>
      </c>
      <c r="R2278" s="1" t="s">
        <v>669</v>
      </c>
      <c r="S2278" s="1" t="s">
        <v>168</v>
      </c>
      <c r="T2278" t="s">
        <v>396</v>
      </c>
      <c r="U2278" t="s">
        <v>2364</v>
      </c>
      <c r="X2278" t="s">
        <v>161</v>
      </c>
      <c r="Y2278" t="s">
        <v>2272</v>
      </c>
      <c r="Z2278" t="s">
        <v>2272</v>
      </c>
      <c r="AA2278" t="s">
        <v>2272</v>
      </c>
      <c r="AB2278" t="s">
        <v>2272</v>
      </c>
      <c r="AC2278" t="s">
        <v>162</v>
      </c>
      <c r="AD2278" t="s">
        <v>2272</v>
      </c>
      <c r="AF2278" t="s">
        <v>49</v>
      </c>
      <c r="AI2278" t="s">
        <v>49</v>
      </c>
      <c r="AM2278" t="s">
        <v>201</v>
      </c>
      <c r="AN2278" t="s">
        <v>166</v>
      </c>
      <c r="AQ2278" s="5">
        <v>0</v>
      </c>
    </row>
    <row r="2279" spans="1:43" x14ac:dyDescent="0.2">
      <c r="A2279" t="s">
        <v>1338</v>
      </c>
      <c r="B2279" t="s">
        <v>1339</v>
      </c>
      <c r="C2279" s="1">
        <v>2016</v>
      </c>
      <c r="D2279" t="s">
        <v>811</v>
      </c>
      <c r="F2279" s="1" t="s">
        <v>83</v>
      </c>
      <c r="G2279" t="s">
        <v>85</v>
      </c>
      <c r="H2279" t="s">
        <v>350</v>
      </c>
      <c r="K2279" t="s">
        <v>101</v>
      </c>
      <c r="M2279">
        <v>0</v>
      </c>
      <c r="N2279" t="s">
        <v>120</v>
      </c>
      <c r="O2279" t="s">
        <v>252</v>
      </c>
      <c r="P2279" t="s">
        <v>244</v>
      </c>
      <c r="Q2279" s="1" t="s">
        <v>2276</v>
      </c>
      <c r="R2279" s="1" t="s">
        <v>669</v>
      </c>
      <c r="S2279" s="1" t="s">
        <v>168</v>
      </c>
      <c r="T2279" t="s">
        <v>396</v>
      </c>
      <c r="U2279" t="s">
        <v>2364</v>
      </c>
      <c r="X2279" t="s">
        <v>161</v>
      </c>
      <c r="Y2279" t="s">
        <v>2272</v>
      </c>
      <c r="Z2279" t="s">
        <v>2272</v>
      </c>
      <c r="AA2279" t="s">
        <v>2272</v>
      </c>
      <c r="AB2279" t="s">
        <v>2272</v>
      </c>
      <c r="AC2279" t="s">
        <v>162</v>
      </c>
      <c r="AD2279" t="s">
        <v>2272</v>
      </c>
      <c r="AF2279" t="s">
        <v>49</v>
      </c>
      <c r="AI2279" t="s">
        <v>49</v>
      </c>
      <c r="AM2279" t="s">
        <v>201</v>
      </c>
      <c r="AN2279" t="s">
        <v>166</v>
      </c>
      <c r="AQ2279" s="5">
        <v>0</v>
      </c>
    </row>
    <row r="2280" spans="1:43" x14ac:dyDescent="0.2">
      <c r="A2280" t="s">
        <v>1338</v>
      </c>
      <c r="B2280" t="s">
        <v>1339</v>
      </c>
      <c r="C2280" s="1">
        <v>2016</v>
      </c>
      <c r="D2280" t="s">
        <v>811</v>
      </c>
      <c r="F2280" s="1" t="s">
        <v>83</v>
      </c>
      <c r="G2280" t="s">
        <v>85</v>
      </c>
      <c r="H2280" t="s">
        <v>350</v>
      </c>
      <c r="K2280" t="s">
        <v>101</v>
      </c>
      <c r="M2280">
        <v>0</v>
      </c>
      <c r="N2280" t="s">
        <v>132</v>
      </c>
      <c r="O2280" t="s">
        <v>1340</v>
      </c>
      <c r="P2280" t="s">
        <v>1342</v>
      </c>
      <c r="Q2280" s="1" t="s">
        <v>2276</v>
      </c>
      <c r="R2280" s="1" t="s">
        <v>669</v>
      </c>
      <c r="S2280" s="1" t="s">
        <v>168</v>
      </c>
      <c r="T2280" t="s">
        <v>396</v>
      </c>
      <c r="U2280" t="s">
        <v>2364</v>
      </c>
      <c r="X2280" t="s">
        <v>161</v>
      </c>
      <c r="Y2280" t="s">
        <v>2272</v>
      </c>
      <c r="Z2280" t="s">
        <v>2272</v>
      </c>
      <c r="AA2280" t="s">
        <v>2272</v>
      </c>
      <c r="AB2280" t="s">
        <v>2272</v>
      </c>
      <c r="AC2280" t="s">
        <v>162</v>
      </c>
      <c r="AD2280" t="s">
        <v>2272</v>
      </c>
      <c r="AF2280" t="s">
        <v>49</v>
      </c>
      <c r="AI2280" t="s">
        <v>49</v>
      </c>
      <c r="AM2280" t="s">
        <v>201</v>
      </c>
      <c r="AN2280" t="s">
        <v>109</v>
      </c>
      <c r="AO2280" t="s">
        <v>1343</v>
      </c>
      <c r="AQ2280" s="5">
        <v>1</v>
      </c>
    </row>
    <row r="2281" spans="1:43" x14ac:dyDescent="0.2">
      <c r="A2281" t="s">
        <v>1338</v>
      </c>
      <c r="B2281" t="s">
        <v>1339</v>
      </c>
      <c r="C2281" s="1">
        <v>2016</v>
      </c>
      <c r="D2281" t="s">
        <v>811</v>
      </c>
      <c r="F2281" s="1" t="s">
        <v>83</v>
      </c>
      <c r="G2281" t="s">
        <v>85</v>
      </c>
      <c r="H2281" t="s">
        <v>350</v>
      </c>
      <c r="I2281" t="s">
        <v>1345</v>
      </c>
      <c r="J2281">
        <f>18/12</f>
        <v>1.5</v>
      </c>
      <c r="K2281" t="s">
        <v>42</v>
      </c>
      <c r="M2281">
        <v>0</v>
      </c>
      <c r="N2281" t="s">
        <v>132</v>
      </c>
      <c r="O2281" t="s">
        <v>1340</v>
      </c>
      <c r="P2281" t="s">
        <v>1341</v>
      </c>
      <c r="Q2281" s="1" t="s">
        <v>2276</v>
      </c>
      <c r="R2281" s="1" t="s">
        <v>669</v>
      </c>
      <c r="S2281" s="1" t="s">
        <v>168</v>
      </c>
      <c r="T2281" t="s">
        <v>396</v>
      </c>
      <c r="U2281" t="s">
        <v>2364</v>
      </c>
      <c r="X2281" t="s">
        <v>161</v>
      </c>
      <c r="Y2281" t="s">
        <v>2272</v>
      </c>
      <c r="Z2281" t="s">
        <v>2272</v>
      </c>
      <c r="AA2281" t="s">
        <v>2272</v>
      </c>
      <c r="AB2281" t="s">
        <v>2272</v>
      </c>
      <c r="AC2281" t="s">
        <v>162</v>
      </c>
      <c r="AD2281" t="s">
        <v>2272</v>
      </c>
      <c r="AF2281" t="s">
        <v>49</v>
      </c>
      <c r="AI2281" t="s">
        <v>49</v>
      </c>
      <c r="AM2281" t="s">
        <v>201</v>
      </c>
      <c r="AN2281" t="s">
        <v>109</v>
      </c>
      <c r="AO2281" t="s">
        <v>1343</v>
      </c>
      <c r="AQ2281" s="5">
        <v>2</v>
      </c>
    </row>
    <row r="2282" spans="1:43" x14ac:dyDescent="0.2">
      <c r="A2282" t="s">
        <v>1338</v>
      </c>
      <c r="B2282" t="s">
        <v>1339</v>
      </c>
      <c r="C2282" s="1">
        <v>2016</v>
      </c>
      <c r="D2282" t="s">
        <v>811</v>
      </c>
      <c r="F2282" s="1" t="s">
        <v>83</v>
      </c>
      <c r="G2282" t="s">
        <v>85</v>
      </c>
      <c r="H2282" t="s">
        <v>350</v>
      </c>
      <c r="K2282" t="s">
        <v>101</v>
      </c>
      <c r="M2282">
        <v>0</v>
      </c>
      <c r="N2282" t="s">
        <v>120</v>
      </c>
      <c r="O2282" t="s">
        <v>252</v>
      </c>
      <c r="P2282" t="s">
        <v>244</v>
      </c>
      <c r="Q2282" s="1" t="s">
        <v>2276</v>
      </c>
      <c r="R2282" s="1" t="s">
        <v>669</v>
      </c>
      <c r="S2282" s="1" t="s">
        <v>168</v>
      </c>
      <c r="T2282" t="s">
        <v>396</v>
      </c>
      <c r="U2282" t="s">
        <v>2364</v>
      </c>
      <c r="X2282" t="s">
        <v>161</v>
      </c>
      <c r="Y2282" t="s">
        <v>2272</v>
      </c>
      <c r="Z2282" t="s">
        <v>2272</v>
      </c>
      <c r="AA2282" t="s">
        <v>2272</v>
      </c>
      <c r="AB2282" t="s">
        <v>2272</v>
      </c>
      <c r="AC2282" t="s">
        <v>162</v>
      </c>
      <c r="AD2282" t="s">
        <v>2272</v>
      </c>
      <c r="AF2282" t="s">
        <v>49</v>
      </c>
      <c r="AI2282" t="s">
        <v>49</v>
      </c>
      <c r="AM2282" t="s">
        <v>201</v>
      </c>
      <c r="AN2282" t="s">
        <v>109</v>
      </c>
      <c r="AO2282" t="s">
        <v>1343</v>
      </c>
      <c r="AQ2282" s="5">
        <v>3</v>
      </c>
    </row>
    <row r="2283" spans="1:43" x14ac:dyDescent="0.2">
      <c r="A2283" t="s">
        <v>1338</v>
      </c>
      <c r="B2283" t="s">
        <v>1339</v>
      </c>
      <c r="C2283" s="1">
        <v>2016</v>
      </c>
      <c r="D2283" t="s">
        <v>811</v>
      </c>
      <c r="F2283" s="1" t="s">
        <v>83</v>
      </c>
      <c r="G2283" t="s">
        <v>85</v>
      </c>
      <c r="H2283" t="s">
        <v>350</v>
      </c>
      <c r="K2283" t="s">
        <v>101</v>
      </c>
      <c r="M2283">
        <v>0</v>
      </c>
      <c r="N2283" t="s">
        <v>132</v>
      </c>
      <c r="O2283" t="s">
        <v>1340</v>
      </c>
      <c r="P2283" t="s">
        <v>1342</v>
      </c>
      <c r="Q2283" s="1" t="s">
        <v>2276</v>
      </c>
      <c r="R2283" s="1" t="s">
        <v>669</v>
      </c>
      <c r="S2283" s="1" t="s">
        <v>168</v>
      </c>
      <c r="T2283" t="s">
        <v>396</v>
      </c>
      <c r="U2283" t="s">
        <v>2364</v>
      </c>
      <c r="X2283" t="s">
        <v>161</v>
      </c>
      <c r="Y2283" t="s">
        <v>2272</v>
      </c>
      <c r="Z2283" t="s">
        <v>2272</v>
      </c>
      <c r="AA2283" t="s">
        <v>2272</v>
      </c>
      <c r="AB2283" t="s">
        <v>2272</v>
      </c>
      <c r="AC2283" t="s">
        <v>162</v>
      </c>
      <c r="AD2283" t="s">
        <v>2272</v>
      </c>
      <c r="AF2283" t="s">
        <v>49</v>
      </c>
      <c r="AI2283" t="s">
        <v>49</v>
      </c>
      <c r="AM2283" t="s">
        <v>201</v>
      </c>
      <c r="AN2283" t="s">
        <v>109</v>
      </c>
      <c r="AO2283" t="s">
        <v>1344</v>
      </c>
      <c r="AQ2283" s="5">
        <v>1</v>
      </c>
    </row>
    <row r="2284" spans="1:43" x14ac:dyDescent="0.2">
      <c r="A2284" t="s">
        <v>1338</v>
      </c>
      <c r="B2284" t="s">
        <v>1339</v>
      </c>
      <c r="C2284" s="1">
        <v>2016</v>
      </c>
      <c r="D2284" t="s">
        <v>811</v>
      </c>
      <c r="F2284" s="1" t="s">
        <v>83</v>
      </c>
      <c r="G2284" t="s">
        <v>85</v>
      </c>
      <c r="H2284" t="s">
        <v>350</v>
      </c>
      <c r="I2284" t="s">
        <v>1345</v>
      </c>
      <c r="J2284">
        <f>18/12</f>
        <v>1.5</v>
      </c>
      <c r="K2284" t="s">
        <v>42</v>
      </c>
      <c r="M2284">
        <v>0</v>
      </c>
      <c r="N2284" t="s">
        <v>132</v>
      </c>
      <c r="O2284" t="s">
        <v>1340</v>
      </c>
      <c r="P2284" t="s">
        <v>1341</v>
      </c>
      <c r="Q2284" s="1" t="s">
        <v>2276</v>
      </c>
      <c r="R2284" s="1" t="s">
        <v>669</v>
      </c>
      <c r="S2284" s="1" t="s">
        <v>168</v>
      </c>
      <c r="T2284" t="s">
        <v>396</v>
      </c>
      <c r="U2284" t="s">
        <v>2364</v>
      </c>
      <c r="X2284" t="s">
        <v>161</v>
      </c>
      <c r="Y2284" t="s">
        <v>2272</v>
      </c>
      <c r="Z2284" t="s">
        <v>2272</v>
      </c>
      <c r="AA2284" t="s">
        <v>2272</v>
      </c>
      <c r="AB2284" t="s">
        <v>2272</v>
      </c>
      <c r="AC2284" t="s">
        <v>162</v>
      </c>
      <c r="AD2284" t="s">
        <v>2272</v>
      </c>
      <c r="AF2284" t="s">
        <v>49</v>
      </c>
      <c r="AI2284" t="s">
        <v>49</v>
      </c>
      <c r="AM2284" t="s">
        <v>201</v>
      </c>
      <c r="AN2284" t="s">
        <v>109</v>
      </c>
      <c r="AO2284" t="s">
        <v>1344</v>
      </c>
      <c r="AQ2284" s="5">
        <v>2</v>
      </c>
    </row>
    <row r="2285" spans="1:43" x14ac:dyDescent="0.2">
      <c r="A2285" t="s">
        <v>1338</v>
      </c>
      <c r="B2285" t="s">
        <v>1339</v>
      </c>
      <c r="C2285" s="1">
        <v>2016</v>
      </c>
      <c r="D2285" t="s">
        <v>811</v>
      </c>
      <c r="F2285" s="1" t="s">
        <v>83</v>
      </c>
      <c r="G2285" t="s">
        <v>85</v>
      </c>
      <c r="H2285" t="s">
        <v>350</v>
      </c>
      <c r="K2285" t="s">
        <v>101</v>
      </c>
      <c r="M2285">
        <v>0</v>
      </c>
      <c r="N2285" t="s">
        <v>120</v>
      </c>
      <c r="O2285" t="s">
        <v>252</v>
      </c>
      <c r="P2285" t="s">
        <v>244</v>
      </c>
      <c r="Q2285" s="1" t="s">
        <v>2276</v>
      </c>
      <c r="R2285" s="1" t="s">
        <v>669</v>
      </c>
      <c r="S2285" s="1" t="s">
        <v>168</v>
      </c>
      <c r="T2285" t="s">
        <v>396</v>
      </c>
      <c r="U2285" t="s">
        <v>2364</v>
      </c>
      <c r="X2285" t="s">
        <v>161</v>
      </c>
      <c r="Y2285" t="s">
        <v>2272</v>
      </c>
      <c r="Z2285" t="s">
        <v>2272</v>
      </c>
      <c r="AA2285" t="s">
        <v>2272</v>
      </c>
      <c r="AB2285" t="s">
        <v>2272</v>
      </c>
      <c r="AC2285" t="s">
        <v>162</v>
      </c>
      <c r="AD2285" t="s">
        <v>2272</v>
      </c>
      <c r="AF2285" t="s">
        <v>49</v>
      </c>
      <c r="AI2285" t="s">
        <v>49</v>
      </c>
      <c r="AM2285" t="s">
        <v>201</v>
      </c>
      <c r="AN2285" t="s">
        <v>109</v>
      </c>
      <c r="AO2285" t="s">
        <v>1344</v>
      </c>
      <c r="AQ2285" s="5">
        <v>2</v>
      </c>
    </row>
    <row r="2286" spans="1:43" x14ac:dyDescent="0.2">
      <c r="A2286" t="s">
        <v>1338</v>
      </c>
      <c r="B2286" t="s">
        <v>1339</v>
      </c>
      <c r="C2286" s="1">
        <v>2016</v>
      </c>
      <c r="D2286" t="s">
        <v>811</v>
      </c>
      <c r="F2286" s="1" t="s">
        <v>83</v>
      </c>
      <c r="G2286" t="s">
        <v>85</v>
      </c>
      <c r="H2286" t="s">
        <v>350</v>
      </c>
      <c r="I2286" t="s">
        <v>1345</v>
      </c>
      <c r="J2286">
        <f>18/12</f>
        <v>1.5</v>
      </c>
      <c r="K2286" t="s">
        <v>42</v>
      </c>
      <c r="M2286">
        <v>0</v>
      </c>
      <c r="N2286" t="s">
        <v>132</v>
      </c>
      <c r="O2286" t="s">
        <v>1340</v>
      </c>
      <c r="P2286" t="s">
        <v>1341</v>
      </c>
      <c r="Q2286" s="1" t="s">
        <v>2276</v>
      </c>
      <c r="R2286" s="1" t="s">
        <v>669</v>
      </c>
      <c r="S2286" s="1" t="s">
        <v>168</v>
      </c>
      <c r="T2286" t="s">
        <v>396</v>
      </c>
      <c r="X2286" t="s">
        <v>1346</v>
      </c>
      <c r="Y2286" t="s">
        <v>2279</v>
      </c>
      <c r="Z2286" t="s">
        <v>2361</v>
      </c>
      <c r="AA2286" t="s">
        <v>2362</v>
      </c>
      <c r="AB2286" t="s">
        <v>2296</v>
      </c>
      <c r="AC2286" t="s">
        <v>162</v>
      </c>
      <c r="AD2286" t="s">
        <v>2278</v>
      </c>
      <c r="AF2286" t="s">
        <v>49</v>
      </c>
      <c r="AI2286" t="s">
        <v>49</v>
      </c>
      <c r="AM2286" t="s">
        <v>201</v>
      </c>
      <c r="AN2286" t="s">
        <v>154</v>
      </c>
      <c r="AP2286" t="s">
        <v>51</v>
      </c>
    </row>
    <row r="2287" spans="1:43" x14ac:dyDescent="0.2">
      <c r="A2287" t="s">
        <v>1338</v>
      </c>
      <c r="B2287" t="s">
        <v>1339</v>
      </c>
      <c r="C2287" s="1">
        <v>2016</v>
      </c>
      <c r="D2287" t="s">
        <v>811</v>
      </c>
      <c r="F2287" s="1" t="s">
        <v>83</v>
      </c>
      <c r="G2287" t="s">
        <v>85</v>
      </c>
      <c r="H2287" t="s">
        <v>350</v>
      </c>
      <c r="I2287" t="s">
        <v>1345</v>
      </c>
      <c r="J2287">
        <f>18/12</f>
        <v>1.5</v>
      </c>
      <c r="K2287" t="s">
        <v>42</v>
      </c>
      <c r="M2287">
        <v>0</v>
      </c>
      <c r="N2287" t="s">
        <v>132</v>
      </c>
      <c r="O2287" t="s">
        <v>1340</v>
      </c>
      <c r="P2287" t="s">
        <v>1341</v>
      </c>
      <c r="Q2287" s="1" t="s">
        <v>2276</v>
      </c>
      <c r="R2287" s="1" t="s">
        <v>669</v>
      </c>
      <c r="S2287" s="1" t="s">
        <v>168</v>
      </c>
      <c r="T2287" t="s">
        <v>396</v>
      </c>
      <c r="X2287" t="s">
        <v>1346</v>
      </c>
      <c r="Y2287" t="s">
        <v>2279</v>
      </c>
      <c r="Z2287" t="s">
        <v>2361</v>
      </c>
      <c r="AA2287" t="s">
        <v>2362</v>
      </c>
      <c r="AB2287" t="s">
        <v>2296</v>
      </c>
      <c r="AC2287" t="s">
        <v>162</v>
      </c>
      <c r="AD2287" t="s">
        <v>2278</v>
      </c>
      <c r="AF2287" t="s">
        <v>49</v>
      </c>
      <c r="AI2287" t="s">
        <v>49</v>
      </c>
      <c r="AM2287" t="s">
        <v>201</v>
      </c>
      <c r="AN2287" t="s">
        <v>166</v>
      </c>
      <c r="AP2287" t="s">
        <v>49</v>
      </c>
    </row>
    <row r="2288" spans="1:43" x14ac:dyDescent="0.2">
      <c r="A2288" t="s">
        <v>1338</v>
      </c>
      <c r="B2288" t="s">
        <v>1339</v>
      </c>
      <c r="C2288" s="1">
        <v>2016</v>
      </c>
      <c r="D2288" t="s">
        <v>811</v>
      </c>
      <c r="F2288" s="1" t="s">
        <v>83</v>
      </c>
      <c r="G2288" t="s">
        <v>85</v>
      </c>
      <c r="H2288" t="s">
        <v>350</v>
      </c>
      <c r="I2288" t="s">
        <v>1345</v>
      </c>
      <c r="J2288">
        <f>18/12</f>
        <v>1.5</v>
      </c>
      <c r="K2288" t="s">
        <v>42</v>
      </c>
      <c r="M2288">
        <v>0</v>
      </c>
      <c r="N2288" t="s">
        <v>132</v>
      </c>
      <c r="O2288" t="s">
        <v>1340</v>
      </c>
      <c r="P2288" t="s">
        <v>1341</v>
      </c>
      <c r="Q2288" s="1" t="s">
        <v>2276</v>
      </c>
      <c r="R2288" s="1" t="s">
        <v>669</v>
      </c>
      <c r="S2288" s="1" t="s">
        <v>168</v>
      </c>
      <c r="T2288" t="s">
        <v>396</v>
      </c>
      <c r="X2288" t="s">
        <v>1346</v>
      </c>
      <c r="Y2288" t="s">
        <v>2279</v>
      </c>
      <c r="Z2288" t="s">
        <v>2361</v>
      </c>
      <c r="AA2288" t="s">
        <v>2362</v>
      </c>
      <c r="AB2288" t="s">
        <v>2296</v>
      </c>
      <c r="AC2288" t="s">
        <v>162</v>
      </c>
      <c r="AD2288" t="s">
        <v>2278</v>
      </c>
      <c r="AF2288" t="s">
        <v>49</v>
      </c>
      <c r="AI2288" t="s">
        <v>49</v>
      </c>
      <c r="AM2288" t="s">
        <v>201</v>
      </c>
      <c r="AN2288" t="s">
        <v>109</v>
      </c>
      <c r="AO2288" t="s">
        <v>1343</v>
      </c>
      <c r="AP2288" t="s">
        <v>49</v>
      </c>
    </row>
    <row r="2289" spans="1:43" x14ac:dyDescent="0.2">
      <c r="A2289" t="s">
        <v>1338</v>
      </c>
      <c r="B2289" t="s">
        <v>1339</v>
      </c>
      <c r="C2289" s="1">
        <v>2016</v>
      </c>
      <c r="D2289" t="s">
        <v>811</v>
      </c>
      <c r="F2289" s="1" t="s">
        <v>83</v>
      </c>
      <c r="G2289" t="s">
        <v>85</v>
      </c>
      <c r="H2289" t="s">
        <v>350</v>
      </c>
      <c r="I2289" t="s">
        <v>1345</v>
      </c>
      <c r="J2289">
        <f>18/12</f>
        <v>1.5</v>
      </c>
      <c r="K2289" t="s">
        <v>42</v>
      </c>
      <c r="M2289">
        <v>0</v>
      </c>
      <c r="N2289" t="s">
        <v>132</v>
      </c>
      <c r="O2289" t="s">
        <v>1340</v>
      </c>
      <c r="P2289" t="s">
        <v>1341</v>
      </c>
      <c r="Q2289" s="1" t="s">
        <v>2276</v>
      </c>
      <c r="R2289" s="1" t="s">
        <v>669</v>
      </c>
      <c r="S2289" s="1" t="s">
        <v>168</v>
      </c>
      <c r="T2289" t="s">
        <v>396</v>
      </c>
      <c r="X2289" t="s">
        <v>1346</v>
      </c>
      <c r="Y2289" t="s">
        <v>2279</v>
      </c>
      <c r="Z2289" t="s">
        <v>2361</v>
      </c>
      <c r="AA2289" t="s">
        <v>2362</v>
      </c>
      <c r="AB2289" t="s">
        <v>2296</v>
      </c>
      <c r="AC2289" t="s">
        <v>162</v>
      </c>
      <c r="AD2289" t="s">
        <v>2278</v>
      </c>
      <c r="AF2289" t="s">
        <v>49</v>
      </c>
      <c r="AI2289" t="s">
        <v>49</v>
      </c>
      <c r="AM2289" t="s">
        <v>201</v>
      </c>
      <c r="AN2289" t="s">
        <v>109</v>
      </c>
      <c r="AO2289" t="s">
        <v>1344</v>
      </c>
      <c r="AP2289" t="s">
        <v>51</v>
      </c>
    </row>
    <row r="2290" spans="1:43" x14ac:dyDescent="0.2">
      <c r="A2290" t="s">
        <v>1338</v>
      </c>
      <c r="B2290" t="s">
        <v>1339</v>
      </c>
      <c r="C2290" s="1">
        <v>2016</v>
      </c>
      <c r="D2290" t="s">
        <v>811</v>
      </c>
      <c r="F2290" s="1" t="s">
        <v>83</v>
      </c>
      <c r="G2290" t="s">
        <v>85</v>
      </c>
      <c r="H2290" t="s">
        <v>350</v>
      </c>
      <c r="K2290" t="s">
        <v>101</v>
      </c>
      <c r="M2290">
        <v>0</v>
      </c>
      <c r="N2290" t="s">
        <v>132</v>
      </c>
      <c r="O2290" t="s">
        <v>1340</v>
      </c>
      <c r="P2290" t="s">
        <v>1342</v>
      </c>
      <c r="Q2290" s="1" t="s">
        <v>2276</v>
      </c>
      <c r="R2290" s="1" t="s">
        <v>669</v>
      </c>
      <c r="S2290" s="1" t="s">
        <v>168</v>
      </c>
      <c r="T2290" t="s">
        <v>396</v>
      </c>
      <c r="U2290" t="s">
        <v>2364</v>
      </c>
      <c r="X2290" t="s">
        <v>161</v>
      </c>
      <c r="Y2290" t="s">
        <v>2272</v>
      </c>
      <c r="Z2290" t="s">
        <v>2272</v>
      </c>
      <c r="AA2290" t="s">
        <v>2272</v>
      </c>
      <c r="AB2290" t="s">
        <v>2272</v>
      </c>
      <c r="AC2290" t="s">
        <v>162</v>
      </c>
      <c r="AD2290" t="s">
        <v>2272</v>
      </c>
      <c r="AF2290" t="s">
        <v>49</v>
      </c>
      <c r="AI2290" t="s">
        <v>49</v>
      </c>
      <c r="AM2290" t="s">
        <v>201</v>
      </c>
      <c r="AN2290" t="s">
        <v>165</v>
      </c>
      <c r="AP2290" t="s">
        <v>49</v>
      </c>
    </row>
    <row r="2291" spans="1:43" x14ac:dyDescent="0.2">
      <c r="A2291" t="s">
        <v>1338</v>
      </c>
      <c r="B2291" t="s">
        <v>1339</v>
      </c>
      <c r="C2291" s="1">
        <v>2016</v>
      </c>
      <c r="D2291" t="s">
        <v>811</v>
      </c>
      <c r="F2291" s="1" t="s">
        <v>83</v>
      </c>
      <c r="G2291" t="s">
        <v>85</v>
      </c>
      <c r="H2291" t="s">
        <v>350</v>
      </c>
      <c r="I2291" t="s">
        <v>1345</v>
      </c>
      <c r="J2291">
        <f>18/12</f>
        <v>1.5</v>
      </c>
      <c r="K2291" t="s">
        <v>42</v>
      </c>
      <c r="M2291">
        <v>0</v>
      </c>
      <c r="N2291" t="s">
        <v>132</v>
      </c>
      <c r="O2291" t="s">
        <v>1340</v>
      </c>
      <c r="P2291" t="s">
        <v>1341</v>
      </c>
      <c r="Q2291" s="1" t="s">
        <v>2276</v>
      </c>
      <c r="R2291" s="1" t="s">
        <v>669</v>
      </c>
      <c r="S2291" s="1" t="s">
        <v>168</v>
      </c>
      <c r="T2291" t="s">
        <v>396</v>
      </c>
      <c r="U2291" t="s">
        <v>2364</v>
      </c>
      <c r="X2291" t="s">
        <v>161</v>
      </c>
      <c r="Y2291" t="s">
        <v>2272</v>
      </c>
      <c r="Z2291" t="s">
        <v>2272</v>
      </c>
      <c r="AA2291" t="s">
        <v>2272</v>
      </c>
      <c r="AB2291" t="s">
        <v>2272</v>
      </c>
      <c r="AC2291" t="s">
        <v>162</v>
      </c>
      <c r="AD2291" t="s">
        <v>2272</v>
      </c>
      <c r="AF2291" t="s">
        <v>49</v>
      </c>
      <c r="AI2291" t="s">
        <v>49</v>
      </c>
      <c r="AM2291" t="s">
        <v>201</v>
      </c>
      <c r="AN2291" t="s">
        <v>165</v>
      </c>
      <c r="AP2291" t="s">
        <v>49</v>
      </c>
    </row>
    <row r="2292" spans="1:43" x14ac:dyDescent="0.2">
      <c r="A2292" t="s">
        <v>1338</v>
      </c>
      <c r="B2292" t="s">
        <v>1339</v>
      </c>
      <c r="C2292" s="1">
        <v>2016</v>
      </c>
      <c r="D2292" t="s">
        <v>811</v>
      </c>
      <c r="F2292" s="1" t="s">
        <v>83</v>
      </c>
      <c r="G2292" t="s">
        <v>85</v>
      </c>
      <c r="H2292" t="s">
        <v>350</v>
      </c>
      <c r="K2292" t="s">
        <v>101</v>
      </c>
      <c r="M2292">
        <v>0</v>
      </c>
      <c r="N2292" t="s">
        <v>120</v>
      </c>
      <c r="O2292" t="s">
        <v>252</v>
      </c>
      <c r="P2292" t="s">
        <v>244</v>
      </c>
      <c r="Q2292" s="1" t="s">
        <v>2276</v>
      </c>
      <c r="R2292" s="1" t="s">
        <v>669</v>
      </c>
      <c r="S2292" s="1" t="s">
        <v>168</v>
      </c>
      <c r="T2292" t="s">
        <v>396</v>
      </c>
      <c r="U2292" t="s">
        <v>2364</v>
      </c>
      <c r="X2292" t="s">
        <v>161</v>
      </c>
      <c r="Y2292" t="s">
        <v>2272</v>
      </c>
      <c r="Z2292" t="s">
        <v>2272</v>
      </c>
      <c r="AA2292" t="s">
        <v>2272</v>
      </c>
      <c r="AB2292" t="s">
        <v>2272</v>
      </c>
      <c r="AC2292" t="s">
        <v>162</v>
      </c>
      <c r="AD2292" t="s">
        <v>2272</v>
      </c>
      <c r="AF2292" t="s">
        <v>49</v>
      </c>
      <c r="AI2292" t="s">
        <v>49</v>
      </c>
      <c r="AM2292" t="s">
        <v>201</v>
      </c>
      <c r="AN2292" t="s">
        <v>165</v>
      </c>
      <c r="AP2292" t="s">
        <v>49</v>
      </c>
    </row>
    <row r="2293" spans="1:43" x14ac:dyDescent="0.2">
      <c r="A2293" t="s">
        <v>1338</v>
      </c>
      <c r="B2293" t="s">
        <v>1339</v>
      </c>
      <c r="C2293" s="1">
        <v>2016</v>
      </c>
      <c r="D2293" t="s">
        <v>811</v>
      </c>
      <c r="F2293" s="1" t="s">
        <v>83</v>
      </c>
      <c r="G2293" t="s">
        <v>85</v>
      </c>
      <c r="H2293" t="s">
        <v>350</v>
      </c>
      <c r="I2293" t="s">
        <v>1345</v>
      </c>
      <c r="J2293">
        <f>18/12</f>
        <v>1.5</v>
      </c>
      <c r="K2293" t="s">
        <v>42</v>
      </c>
      <c r="M2293">
        <v>0</v>
      </c>
      <c r="N2293" t="s">
        <v>132</v>
      </c>
      <c r="O2293" t="s">
        <v>1340</v>
      </c>
      <c r="P2293" t="s">
        <v>1341</v>
      </c>
      <c r="Q2293" s="1" t="s">
        <v>2276</v>
      </c>
      <c r="R2293" s="1" t="s">
        <v>669</v>
      </c>
      <c r="S2293" s="1" t="s">
        <v>168</v>
      </c>
      <c r="X2293" t="s">
        <v>1346</v>
      </c>
      <c r="Y2293" t="s">
        <v>2279</v>
      </c>
      <c r="Z2293" t="s">
        <v>2361</v>
      </c>
      <c r="AA2293" t="s">
        <v>2362</v>
      </c>
      <c r="AB2293" t="s">
        <v>2296</v>
      </c>
      <c r="AC2293" t="s">
        <v>162</v>
      </c>
      <c r="AD2293" t="s">
        <v>2278</v>
      </c>
      <c r="AF2293" t="s">
        <v>49</v>
      </c>
      <c r="AI2293" t="s">
        <v>49</v>
      </c>
      <c r="AM2293" t="s">
        <v>201</v>
      </c>
      <c r="AN2293" t="s">
        <v>165</v>
      </c>
      <c r="AP2293" t="s">
        <v>49</v>
      </c>
    </row>
    <row r="2294" spans="1:43" x14ac:dyDescent="0.2">
      <c r="A2294" t="s">
        <v>1338</v>
      </c>
      <c r="B2294" t="s">
        <v>1339</v>
      </c>
      <c r="C2294" s="1">
        <v>2016</v>
      </c>
      <c r="D2294" t="s">
        <v>811</v>
      </c>
      <c r="F2294" s="1" t="s">
        <v>83</v>
      </c>
      <c r="G2294" t="s">
        <v>85</v>
      </c>
      <c r="H2294" t="s">
        <v>350</v>
      </c>
      <c r="K2294" t="s">
        <v>101</v>
      </c>
      <c r="M2294">
        <v>0</v>
      </c>
      <c r="N2294" t="s">
        <v>132</v>
      </c>
      <c r="O2294" t="s">
        <v>1340</v>
      </c>
      <c r="P2294" t="s">
        <v>1342</v>
      </c>
      <c r="Q2294" s="1" t="s">
        <v>2276</v>
      </c>
      <c r="R2294" s="1" t="s">
        <v>669</v>
      </c>
      <c r="S2294" s="1" t="s">
        <v>168</v>
      </c>
      <c r="T2294" t="s">
        <v>396</v>
      </c>
      <c r="U2294" t="s">
        <v>2364</v>
      </c>
      <c r="X2294" t="s">
        <v>161</v>
      </c>
      <c r="Y2294" t="s">
        <v>2272</v>
      </c>
      <c r="Z2294" t="s">
        <v>2272</v>
      </c>
      <c r="AA2294" t="s">
        <v>2272</v>
      </c>
      <c r="AB2294" t="s">
        <v>2272</v>
      </c>
      <c r="AC2294" t="s">
        <v>162</v>
      </c>
      <c r="AD2294" t="s">
        <v>2272</v>
      </c>
      <c r="AF2294" t="s">
        <v>49</v>
      </c>
      <c r="AI2294" t="s">
        <v>49</v>
      </c>
      <c r="AM2294" t="s">
        <v>1347</v>
      </c>
      <c r="AN2294" t="s">
        <v>109</v>
      </c>
      <c r="AO2294" t="s">
        <v>1344</v>
      </c>
      <c r="AQ2294" s="5">
        <v>0</v>
      </c>
    </row>
    <row r="2295" spans="1:43" x14ac:dyDescent="0.2">
      <c r="A2295" t="s">
        <v>1338</v>
      </c>
      <c r="B2295" t="s">
        <v>1339</v>
      </c>
      <c r="C2295" s="1">
        <v>2016</v>
      </c>
      <c r="D2295" t="s">
        <v>811</v>
      </c>
      <c r="F2295" s="1" t="s">
        <v>83</v>
      </c>
      <c r="G2295" t="s">
        <v>85</v>
      </c>
      <c r="H2295" t="s">
        <v>350</v>
      </c>
      <c r="I2295" t="s">
        <v>1345</v>
      </c>
      <c r="J2295">
        <f>18/12</f>
        <v>1.5</v>
      </c>
      <c r="K2295" t="s">
        <v>42</v>
      </c>
      <c r="M2295">
        <v>0</v>
      </c>
      <c r="N2295" t="s">
        <v>132</v>
      </c>
      <c r="O2295" t="s">
        <v>1340</v>
      </c>
      <c r="P2295" t="s">
        <v>1341</v>
      </c>
      <c r="Q2295" s="1" t="s">
        <v>2276</v>
      </c>
      <c r="R2295" s="1" t="s">
        <v>669</v>
      </c>
      <c r="S2295" s="1" t="s">
        <v>168</v>
      </c>
      <c r="T2295" t="s">
        <v>396</v>
      </c>
      <c r="U2295" t="s">
        <v>2364</v>
      </c>
      <c r="X2295" t="s">
        <v>161</v>
      </c>
      <c r="Y2295" t="s">
        <v>2272</v>
      </c>
      <c r="Z2295" t="s">
        <v>2272</v>
      </c>
      <c r="AA2295" t="s">
        <v>2272</v>
      </c>
      <c r="AB2295" t="s">
        <v>2272</v>
      </c>
      <c r="AC2295" t="s">
        <v>162</v>
      </c>
      <c r="AD2295" t="s">
        <v>2272</v>
      </c>
      <c r="AF2295" t="s">
        <v>49</v>
      </c>
      <c r="AI2295" t="s">
        <v>49</v>
      </c>
      <c r="AM2295" t="s">
        <v>1347</v>
      </c>
      <c r="AN2295" t="s">
        <v>109</v>
      </c>
      <c r="AO2295" t="s">
        <v>1344</v>
      </c>
      <c r="AQ2295" s="5">
        <v>0</v>
      </c>
    </row>
    <row r="2296" spans="1:43" x14ac:dyDescent="0.2">
      <c r="A2296" t="s">
        <v>1338</v>
      </c>
      <c r="B2296" t="s">
        <v>1339</v>
      </c>
      <c r="C2296" s="1">
        <v>2016</v>
      </c>
      <c r="D2296" t="s">
        <v>811</v>
      </c>
      <c r="F2296" s="1" t="s">
        <v>83</v>
      </c>
      <c r="G2296" t="s">
        <v>85</v>
      </c>
      <c r="H2296" t="s">
        <v>350</v>
      </c>
      <c r="K2296" t="s">
        <v>101</v>
      </c>
      <c r="M2296">
        <v>0</v>
      </c>
      <c r="N2296" t="s">
        <v>120</v>
      </c>
      <c r="O2296" t="s">
        <v>252</v>
      </c>
      <c r="P2296" t="s">
        <v>244</v>
      </c>
      <c r="Q2296" s="1" t="s">
        <v>2276</v>
      </c>
      <c r="R2296" s="1" t="s">
        <v>669</v>
      </c>
      <c r="S2296" s="1" t="s">
        <v>168</v>
      </c>
      <c r="T2296" t="s">
        <v>396</v>
      </c>
      <c r="U2296" t="s">
        <v>2364</v>
      </c>
      <c r="X2296" t="s">
        <v>161</v>
      </c>
      <c r="Y2296" t="s">
        <v>2272</v>
      </c>
      <c r="Z2296" t="s">
        <v>2272</v>
      </c>
      <c r="AA2296" t="s">
        <v>2272</v>
      </c>
      <c r="AB2296" t="s">
        <v>2272</v>
      </c>
      <c r="AC2296" t="s">
        <v>162</v>
      </c>
      <c r="AD2296" t="s">
        <v>2272</v>
      </c>
      <c r="AF2296" t="s">
        <v>49</v>
      </c>
      <c r="AI2296" t="s">
        <v>49</v>
      </c>
      <c r="AM2296" t="s">
        <v>1347</v>
      </c>
      <c r="AN2296" t="s">
        <v>109</v>
      </c>
      <c r="AO2296" t="s">
        <v>1344</v>
      </c>
      <c r="AQ2296" s="5">
        <v>0</v>
      </c>
    </row>
    <row r="2297" spans="1:43" x14ac:dyDescent="0.2">
      <c r="A2297" t="s">
        <v>1338</v>
      </c>
      <c r="B2297" t="s">
        <v>1339</v>
      </c>
      <c r="C2297" s="1">
        <v>2016</v>
      </c>
      <c r="D2297" t="s">
        <v>811</v>
      </c>
      <c r="F2297" s="1" t="s">
        <v>83</v>
      </c>
      <c r="G2297" t="s">
        <v>85</v>
      </c>
      <c r="H2297" t="s">
        <v>350</v>
      </c>
      <c r="I2297" t="s">
        <v>1345</v>
      </c>
      <c r="J2297">
        <f>18/12</f>
        <v>1.5</v>
      </c>
      <c r="K2297" t="s">
        <v>42</v>
      </c>
      <c r="M2297">
        <v>0</v>
      </c>
      <c r="N2297" t="s">
        <v>132</v>
      </c>
      <c r="O2297" t="s">
        <v>1340</v>
      </c>
      <c r="P2297" t="s">
        <v>1341</v>
      </c>
      <c r="Q2297" s="1" t="s">
        <v>2276</v>
      </c>
      <c r="R2297" s="1" t="s">
        <v>669</v>
      </c>
      <c r="S2297" s="1" t="s">
        <v>168</v>
      </c>
      <c r="X2297" t="s">
        <v>1346</v>
      </c>
      <c r="Y2297" t="s">
        <v>2279</v>
      </c>
      <c r="Z2297" t="s">
        <v>2361</v>
      </c>
      <c r="AA2297" t="s">
        <v>2362</v>
      </c>
      <c r="AB2297" t="s">
        <v>2296</v>
      </c>
      <c r="AC2297" t="s">
        <v>162</v>
      </c>
      <c r="AD2297" t="s">
        <v>2278</v>
      </c>
      <c r="AF2297" t="s">
        <v>49</v>
      </c>
      <c r="AI2297" t="s">
        <v>49</v>
      </c>
      <c r="AM2297" t="s">
        <v>1347</v>
      </c>
      <c r="AN2297" t="s">
        <v>109</v>
      </c>
      <c r="AO2297" t="s">
        <v>1344</v>
      </c>
      <c r="AP2297" t="s">
        <v>51</v>
      </c>
    </row>
    <row r="2298" spans="1:43" x14ac:dyDescent="0.2">
      <c r="A2298" t="s">
        <v>1338</v>
      </c>
      <c r="B2298" t="s">
        <v>1339</v>
      </c>
      <c r="C2298" s="1">
        <v>2016</v>
      </c>
      <c r="D2298" t="s">
        <v>811</v>
      </c>
      <c r="F2298" s="1" t="s">
        <v>83</v>
      </c>
      <c r="G2298" t="s">
        <v>85</v>
      </c>
      <c r="H2298" t="s">
        <v>350</v>
      </c>
      <c r="K2298" t="s">
        <v>101</v>
      </c>
      <c r="M2298">
        <v>0</v>
      </c>
      <c r="N2298" t="s">
        <v>132</v>
      </c>
      <c r="O2298" t="s">
        <v>1340</v>
      </c>
      <c r="P2298" t="s">
        <v>1342</v>
      </c>
      <c r="Q2298" s="1" t="s">
        <v>2276</v>
      </c>
      <c r="R2298" s="1" t="s">
        <v>669</v>
      </c>
      <c r="S2298" s="1" t="s">
        <v>168</v>
      </c>
      <c r="T2298" t="s">
        <v>396</v>
      </c>
      <c r="U2298" t="s">
        <v>2364</v>
      </c>
      <c r="X2298" t="s">
        <v>161</v>
      </c>
      <c r="Y2298" t="s">
        <v>2272</v>
      </c>
      <c r="Z2298" t="s">
        <v>2272</v>
      </c>
      <c r="AA2298" t="s">
        <v>2272</v>
      </c>
      <c r="AB2298" t="s">
        <v>2272</v>
      </c>
      <c r="AC2298" t="s">
        <v>162</v>
      </c>
      <c r="AD2298" t="s">
        <v>2272</v>
      </c>
      <c r="AF2298" t="s">
        <v>49</v>
      </c>
      <c r="AI2298" t="s">
        <v>49</v>
      </c>
      <c r="AM2298" t="s">
        <v>1348</v>
      </c>
      <c r="AN2298" t="s">
        <v>109</v>
      </c>
      <c r="AO2298" t="s">
        <v>1344</v>
      </c>
      <c r="AQ2298" s="5">
        <v>1</v>
      </c>
    </row>
    <row r="2299" spans="1:43" x14ac:dyDescent="0.2">
      <c r="A2299" t="s">
        <v>1338</v>
      </c>
      <c r="B2299" t="s">
        <v>1339</v>
      </c>
      <c r="C2299" s="1">
        <v>2016</v>
      </c>
      <c r="D2299" t="s">
        <v>811</v>
      </c>
      <c r="F2299" s="1" t="s">
        <v>83</v>
      </c>
      <c r="G2299" t="s">
        <v>85</v>
      </c>
      <c r="H2299" t="s">
        <v>350</v>
      </c>
      <c r="I2299" t="s">
        <v>1345</v>
      </c>
      <c r="J2299">
        <f>18/12</f>
        <v>1.5</v>
      </c>
      <c r="K2299" t="s">
        <v>42</v>
      </c>
      <c r="M2299">
        <v>0</v>
      </c>
      <c r="N2299" t="s">
        <v>132</v>
      </c>
      <c r="O2299" t="s">
        <v>1340</v>
      </c>
      <c r="P2299" t="s">
        <v>1341</v>
      </c>
      <c r="Q2299" s="1" t="s">
        <v>2276</v>
      </c>
      <c r="R2299" s="1" t="s">
        <v>669</v>
      </c>
      <c r="S2299" s="1" t="s">
        <v>168</v>
      </c>
      <c r="T2299" t="s">
        <v>396</v>
      </c>
      <c r="U2299" t="s">
        <v>2364</v>
      </c>
      <c r="X2299" t="s">
        <v>161</v>
      </c>
      <c r="Y2299" t="s">
        <v>2272</v>
      </c>
      <c r="Z2299" t="s">
        <v>2272</v>
      </c>
      <c r="AA2299" t="s">
        <v>2272</v>
      </c>
      <c r="AB2299" t="s">
        <v>2272</v>
      </c>
      <c r="AC2299" t="s">
        <v>162</v>
      </c>
      <c r="AD2299" t="s">
        <v>2272</v>
      </c>
      <c r="AF2299" t="s">
        <v>49</v>
      </c>
      <c r="AI2299" t="s">
        <v>49</v>
      </c>
      <c r="AM2299" t="s">
        <v>1348</v>
      </c>
      <c r="AN2299" t="s">
        <v>109</v>
      </c>
      <c r="AO2299" t="s">
        <v>1344</v>
      </c>
      <c r="AQ2299" s="5">
        <v>2</v>
      </c>
    </row>
    <row r="2300" spans="1:43" x14ac:dyDescent="0.2">
      <c r="A2300" t="s">
        <v>1338</v>
      </c>
      <c r="B2300" t="s">
        <v>1339</v>
      </c>
      <c r="C2300" s="1">
        <v>2016</v>
      </c>
      <c r="D2300" t="s">
        <v>811</v>
      </c>
      <c r="F2300" s="1" t="s">
        <v>83</v>
      </c>
      <c r="G2300" t="s">
        <v>85</v>
      </c>
      <c r="H2300" t="s">
        <v>350</v>
      </c>
      <c r="K2300" t="s">
        <v>101</v>
      </c>
      <c r="M2300">
        <v>0</v>
      </c>
      <c r="N2300" t="s">
        <v>120</v>
      </c>
      <c r="O2300" t="s">
        <v>252</v>
      </c>
      <c r="P2300" t="s">
        <v>244</v>
      </c>
      <c r="Q2300" s="1" t="s">
        <v>2276</v>
      </c>
      <c r="R2300" s="1" t="s">
        <v>669</v>
      </c>
      <c r="S2300" s="1" t="s">
        <v>168</v>
      </c>
      <c r="T2300" t="s">
        <v>396</v>
      </c>
      <c r="U2300" t="s">
        <v>2364</v>
      </c>
      <c r="X2300" t="s">
        <v>161</v>
      </c>
      <c r="Y2300" t="s">
        <v>2272</v>
      </c>
      <c r="Z2300" t="s">
        <v>2272</v>
      </c>
      <c r="AA2300" t="s">
        <v>2272</v>
      </c>
      <c r="AB2300" t="s">
        <v>2272</v>
      </c>
      <c r="AC2300" t="s">
        <v>162</v>
      </c>
      <c r="AD2300" t="s">
        <v>2272</v>
      </c>
      <c r="AF2300" t="s">
        <v>49</v>
      </c>
      <c r="AI2300" t="s">
        <v>49</v>
      </c>
      <c r="AM2300" t="s">
        <v>1348</v>
      </c>
      <c r="AN2300" t="s">
        <v>109</v>
      </c>
      <c r="AO2300" t="s">
        <v>1344</v>
      </c>
      <c r="AQ2300" s="5">
        <v>2</v>
      </c>
    </row>
    <row r="2301" spans="1:43" x14ac:dyDescent="0.2">
      <c r="A2301" t="s">
        <v>1338</v>
      </c>
      <c r="B2301" t="s">
        <v>1339</v>
      </c>
      <c r="C2301" s="1">
        <v>2016</v>
      </c>
      <c r="D2301" t="s">
        <v>811</v>
      </c>
      <c r="F2301" s="1" t="s">
        <v>83</v>
      </c>
      <c r="G2301" t="s">
        <v>85</v>
      </c>
      <c r="H2301" t="s">
        <v>350</v>
      </c>
      <c r="I2301" t="s">
        <v>1345</v>
      </c>
      <c r="J2301">
        <f>18/12</f>
        <v>1.5</v>
      </c>
      <c r="K2301" t="s">
        <v>42</v>
      </c>
      <c r="M2301">
        <v>0</v>
      </c>
      <c r="N2301" t="s">
        <v>132</v>
      </c>
      <c r="O2301" t="s">
        <v>1340</v>
      </c>
      <c r="P2301" t="s">
        <v>1341</v>
      </c>
      <c r="Q2301" s="1" t="s">
        <v>2276</v>
      </c>
      <c r="R2301" s="1" t="s">
        <v>669</v>
      </c>
      <c r="S2301" s="1" t="s">
        <v>168</v>
      </c>
      <c r="X2301" t="s">
        <v>1346</v>
      </c>
      <c r="Y2301" t="s">
        <v>2279</v>
      </c>
      <c r="Z2301" t="s">
        <v>2361</v>
      </c>
      <c r="AA2301" t="s">
        <v>2362</v>
      </c>
      <c r="AB2301" t="s">
        <v>2296</v>
      </c>
      <c r="AC2301" t="s">
        <v>162</v>
      </c>
      <c r="AD2301" t="s">
        <v>2278</v>
      </c>
      <c r="AF2301" t="s">
        <v>49</v>
      </c>
      <c r="AI2301" t="s">
        <v>49</v>
      </c>
      <c r="AM2301" t="s">
        <v>1348</v>
      </c>
      <c r="AN2301" t="s">
        <v>109</v>
      </c>
      <c r="AO2301" t="s">
        <v>1344</v>
      </c>
      <c r="AP2301" t="s">
        <v>49</v>
      </c>
    </row>
    <row r="2302" spans="1:43" x14ac:dyDescent="0.2">
      <c r="A2302" t="s">
        <v>1349</v>
      </c>
      <c r="B2302" t="s">
        <v>1350</v>
      </c>
      <c r="C2302" s="1">
        <v>2016</v>
      </c>
      <c r="D2302" t="s">
        <v>44</v>
      </c>
      <c r="F2302" s="1" t="s">
        <v>82</v>
      </c>
      <c r="G2302" t="s">
        <v>86</v>
      </c>
      <c r="H2302" t="s">
        <v>350</v>
      </c>
      <c r="I2302" t="s">
        <v>831</v>
      </c>
      <c r="J2302">
        <v>0.92</v>
      </c>
      <c r="K2302" t="s">
        <v>102</v>
      </c>
      <c r="M2302">
        <v>0</v>
      </c>
      <c r="N2302" t="s">
        <v>120</v>
      </c>
      <c r="O2302" t="s">
        <v>252</v>
      </c>
      <c r="P2302" t="s">
        <v>196</v>
      </c>
      <c r="Q2302" s="1" t="s">
        <v>2276</v>
      </c>
      <c r="R2302" s="1" t="s">
        <v>669</v>
      </c>
      <c r="S2302" s="1" t="s">
        <v>168</v>
      </c>
      <c r="X2302" t="s">
        <v>647</v>
      </c>
      <c r="Y2302" t="s">
        <v>2273</v>
      </c>
      <c r="Z2302" t="s">
        <v>2356</v>
      </c>
      <c r="AA2302" t="s">
        <v>2357</v>
      </c>
      <c r="AB2302" t="s">
        <v>2277</v>
      </c>
      <c r="AC2302" t="s">
        <v>152</v>
      </c>
      <c r="AD2302" t="s">
        <v>137</v>
      </c>
    </row>
    <row r="2303" spans="1:43" x14ac:dyDescent="0.2">
      <c r="A2303" t="s">
        <v>1349</v>
      </c>
      <c r="B2303" t="s">
        <v>1350</v>
      </c>
      <c r="C2303" s="1">
        <v>2016</v>
      </c>
      <c r="D2303" t="s">
        <v>44</v>
      </c>
      <c r="F2303" s="1" t="s">
        <v>82</v>
      </c>
      <c r="G2303" t="s">
        <v>86</v>
      </c>
      <c r="H2303" t="s">
        <v>350</v>
      </c>
      <c r="I2303" t="s">
        <v>831</v>
      </c>
      <c r="J2303">
        <v>0.92</v>
      </c>
      <c r="K2303" t="s">
        <v>102</v>
      </c>
      <c r="M2303">
        <v>0</v>
      </c>
      <c r="N2303" t="s">
        <v>120</v>
      </c>
      <c r="O2303" t="s">
        <v>252</v>
      </c>
      <c r="P2303" t="s">
        <v>196</v>
      </c>
      <c r="Q2303" s="1" t="s">
        <v>2276</v>
      </c>
      <c r="R2303" s="1" t="s">
        <v>669</v>
      </c>
      <c r="S2303" s="1" t="s">
        <v>168</v>
      </c>
      <c r="X2303" t="s">
        <v>648</v>
      </c>
      <c r="Y2303" t="s">
        <v>2273</v>
      </c>
      <c r="Z2303" t="s">
        <v>249</v>
      </c>
      <c r="AA2303" t="s">
        <v>2359</v>
      </c>
      <c r="AB2303" t="s">
        <v>1419</v>
      </c>
      <c r="AC2303" t="s">
        <v>152</v>
      </c>
      <c r="AD2303" t="s">
        <v>2288</v>
      </c>
    </row>
    <row r="2304" spans="1:43" x14ac:dyDescent="0.2">
      <c r="A2304" t="s">
        <v>1349</v>
      </c>
      <c r="B2304" t="s">
        <v>1350</v>
      </c>
      <c r="C2304" s="1">
        <v>2016</v>
      </c>
      <c r="D2304" t="s">
        <v>44</v>
      </c>
      <c r="F2304" s="1" t="s">
        <v>82</v>
      </c>
      <c r="G2304" t="s">
        <v>86</v>
      </c>
      <c r="H2304" t="s">
        <v>350</v>
      </c>
      <c r="I2304" t="s">
        <v>831</v>
      </c>
      <c r="J2304">
        <v>0.92</v>
      </c>
      <c r="K2304" t="s">
        <v>102</v>
      </c>
      <c r="M2304">
        <v>0</v>
      </c>
      <c r="N2304" t="s">
        <v>120</v>
      </c>
      <c r="O2304" t="s">
        <v>252</v>
      </c>
      <c r="P2304" t="s">
        <v>196</v>
      </c>
      <c r="Q2304" s="1" t="s">
        <v>2276</v>
      </c>
      <c r="R2304" s="1" t="s">
        <v>669</v>
      </c>
      <c r="S2304" s="1" t="s">
        <v>168</v>
      </c>
      <c r="X2304" t="s">
        <v>177</v>
      </c>
      <c r="Y2304" t="s">
        <v>2273</v>
      </c>
      <c r="Z2304" t="s">
        <v>249</v>
      </c>
      <c r="AA2304" t="s">
        <v>2359</v>
      </c>
      <c r="AB2304" t="s">
        <v>1419</v>
      </c>
      <c r="AC2304" t="s">
        <v>152</v>
      </c>
      <c r="AD2304" t="s">
        <v>2288</v>
      </c>
    </row>
    <row r="2305" spans="1:43" x14ac:dyDescent="0.2">
      <c r="A2305" t="s">
        <v>1349</v>
      </c>
      <c r="B2305" t="s">
        <v>1350</v>
      </c>
      <c r="C2305" s="1">
        <v>2016</v>
      </c>
      <c r="D2305" t="s">
        <v>44</v>
      </c>
      <c r="F2305" s="1" t="s">
        <v>82</v>
      </c>
      <c r="G2305" t="s">
        <v>86</v>
      </c>
      <c r="H2305" t="s">
        <v>350</v>
      </c>
      <c r="I2305" t="s">
        <v>831</v>
      </c>
      <c r="J2305">
        <v>0.92</v>
      </c>
      <c r="K2305" t="s">
        <v>102</v>
      </c>
      <c r="M2305">
        <v>0</v>
      </c>
      <c r="N2305" t="s">
        <v>120</v>
      </c>
      <c r="O2305" t="s">
        <v>252</v>
      </c>
      <c r="P2305" t="s">
        <v>196</v>
      </c>
      <c r="Q2305" s="1" t="s">
        <v>2276</v>
      </c>
      <c r="R2305" s="1" t="s">
        <v>669</v>
      </c>
      <c r="S2305" s="1" t="s">
        <v>168</v>
      </c>
      <c r="X2305" t="s">
        <v>886</v>
      </c>
      <c r="Y2305" t="s">
        <v>2273</v>
      </c>
      <c r="Z2305" t="s">
        <v>249</v>
      </c>
      <c r="AA2305" t="s">
        <v>2359</v>
      </c>
      <c r="AB2305" t="s">
        <v>2289</v>
      </c>
      <c r="AC2305" t="s">
        <v>152</v>
      </c>
      <c r="AD2305" t="s">
        <v>137</v>
      </c>
    </row>
    <row r="2306" spans="1:43" x14ac:dyDescent="0.2">
      <c r="A2306" t="s">
        <v>1349</v>
      </c>
      <c r="B2306" t="s">
        <v>1350</v>
      </c>
      <c r="C2306" s="1">
        <v>2016</v>
      </c>
      <c r="D2306" t="s">
        <v>44</v>
      </c>
      <c r="F2306" s="1" t="s">
        <v>82</v>
      </c>
      <c r="G2306" t="s">
        <v>86</v>
      </c>
      <c r="H2306" t="s">
        <v>350</v>
      </c>
      <c r="I2306" t="s">
        <v>831</v>
      </c>
      <c r="J2306">
        <v>0.92</v>
      </c>
      <c r="K2306" t="s">
        <v>102</v>
      </c>
      <c r="M2306">
        <v>0</v>
      </c>
      <c r="N2306" t="s">
        <v>120</v>
      </c>
      <c r="O2306" t="s">
        <v>252</v>
      </c>
      <c r="P2306" t="s">
        <v>196</v>
      </c>
      <c r="Q2306" s="1" t="s">
        <v>2276</v>
      </c>
      <c r="R2306" s="1" t="s">
        <v>669</v>
      </c>
      <c r="S2306" s="1" t="s">
        <v>168</v>
      </c>
      <c r="X2306" t="s">
        <v>322</v>
      </c>
      <c r="Y2306" t="s">
        <v>2273</v>
      </c>
      <c r="Z2306" t="s">
        <v>249</v>
      </c>
      <c r="AA2306" t="s">
        <v>2359</v>
      </c>
      <c r="AB2306" t="s">
        <v>2285</v>
      </c>
      <c r="AC2306" t="s">
        <v>152</v>
      </c>
      <c r="AD2306" t="s">
        <v>2288</v>
      </c>
    </row>
    <row r="2307" spans="1:43" x14ac:dyDescent="0.2">
      <c r="A2307" t="s">
        <v>1349</v>
      </c>
      <c r="B2307" t="s">
        <v>1350</v>
      </c>
      <c r="C2307" s="1">
        <v>2016</v>
      </c>
      <c r="D2307" t="s">
        <v>44</v>
      </c>
      <c r="F2307" s="1" t="s">
        <v>82</v>
      </c>
      <c r="G2307" t="s">
        <v>86</v>
      </c>
      <c r="H2307" t="s">
        <v>350</v>
      </c>
      <c r="I2307" t="s">
        <v>831</v>
      </c>
      <c r="J2307">
        <v>0.92</v>
      </c>
      <c r="K2307" t="s">
        <v>102</v>
      </c>
      <c r="M2307">
        <v>0</v>
      </c>
      <c r="N2307" t="s">
        <v>120</v>
      </c>
      <c r="O2307" t="s">
        <v>252</v>
      </c>
      <c r="P2307" t="s">
        <v>196</v>
      </c>
      <c r="Q2307" s="1" t="s">
        <v>2276</v>
      </c>
      <c r="R2307" s="1" t="s">
        <v>669</v>
      </c>
      <c r="S2307" s="1" t="s">
        <v>168</v>
      </c>
      <c r="X2307" t="s">
        <v>1351</v>
      </c>
      <c r="Y2307" t="s">
        <v>2273</v>
      </c>
      <c r="Z2307" t="s">
        <v>249</v>
      </c>
      <c r="AA2307" t="s">
        <v>2274</v>
      </c>
      <c r="AB2307" t="s">
        <v>2298</v>
      </c>
      <c r="AC2307" t="s">
        <v>152</v>
      </c>
      <c r="AD2307" t="s">
        <v>2288</v>
      </c>
    </row>
    <row r="2308" spans="1:43" x14ac:dyDescent="0.2">
      <c r="A2308" t="s">
        <v>1349</v>
      </c>
      <c r="B2308" t="s">
        <v>1350</v>
      </c>
      <c r="C2308" s="1">
        <v>2016</v>
      </c>
      <c r="D2308" t="s">
        <v>44</v>
      </c>
      <c r="F2308" s="1" t="s">
        <v>82</v>
      </c>
      <c r="G2308" t="s">
        <v>86</v>
      </c>
      <c r="H2308" t="s">
        <v>350</v>
      </c>
      <c r="I2308" t="s">
        <v>831</v>
      </c>
      <c r="J2308">
        <v>0.92</v>
      </c>
      <c r="K2308" t="s">
        <v>102</v>
      </c>
      <c r="M2308">
        <v>0</v>
      </c>
      <c r="N2308" t="s">
        <v>120</v>
      </c>
      <c r="O2308" t="s">
        <v>252</v>
      </c>
      <c r="P2308" t="s">
        <v>196</v>
      </c>
      <c r="Q2308" s="1" t="s">
        <v>2276</v>
      </c>
      <c r="R2308" s="1" t="s">
        <v>669</v>
      </c>
      <c r="S2308" s="1" t="s">
        <v>168</v>
      </c>
      <c r="X2308" t="s">
        <v>171</v>
      </c>
      <c r="Y2308" t="s">
        <v>2273</v>
      </c>
      <c r="Z2308" t="s">
        <v>249</v>
      </c>
      <c r="AA2308" t="s">
        <v>2359</v>
      </c>
      <c r="AB2308" t="s">
        <v>1979</v>
      </c>
      <c r="AC2308" t="s">
        <v>152</v>
      </c>
      <c r="AD2308" t="s">
        <v>137</v>
      </c>
      <c r="AE2308" t="s">
        <v>102</v>
      </c>
    </row>
    <row r="2309" spans="1:43" x14ac:dyDescent="0.2">
      <c r="A2309" t="s">
        <v>1349</v>
      </c>
      <c r="B2309" t="s">
        <v>1350</v>
      </c>
      <c r="C2309" s="1">
        <v>2016</v>
      </c>
      <c r="D2309" t="s">
        <v>44</v>
      </c>
      <c r="F2309" s="1" t="s">
        <v>82</v>
      </c>
      <c r="G2309" t="s">
        <v>86</v>
      </c>
      <c r="H2309" t="s">
        <v>350</v>
      </c>
      <c r="I2309" t="s">
        <v>831</v>
      </c>
      <c r="J2309">
        <v>0.92</v>
      </c>
      <c r="K2309" t="s">
        <v>102</v>
      </c>
      <c r="M2309">
        <v>0</v>
      </c>
      <c r="N2309" t="s">
        <v>120</v>
      </c>
      <c r="O2309" t="s">
        <v>252</v>
      </c>
      <c r="P2309" t="s">
        <v>196</v>
      </c>
      <c r="Q2309" s="1" t="s">
        <v>2276</v>
      </c>
      <c r="R2309" s="1" t="s">
        <v>669</v>
      </c>
      <c r="S2309" s="1" t="s">
        <v>168</v>
      </c>
      <c r="T2309" t="s">
        <v>421</v>
      </c>
      <c r="U2309" t="s">
        <v>421</v>
      </c>
      <c r="X2309" t="s">
        <v>161</v>
      </c>
      <c r="Y2309" t="s">
        <v>2272</v>
      </c>
      <c r="Z2309" t="s">
        <v>2272</v>
      </c>
      <c r="AA2309" t="s">
        <v>2272</v>
      </c>
      <c r="AB2309" t="s">
        <v>2272</v>
      </c>
      <c r="AC2309" t="s">
        <v>162</v>
      </c>
      <c r="AD2309" t="s">
        <v>2272</v>
      </c>
      <c r="AF2309" t="s">
        <v>49</v>
      </c>
      <c r="AJ2309" t="s">
        <v>49</v>
      </c>
      <c r="AM2309" t="s">
        <v>257</v>
      </c>
      <c r="AN2309" t="s">
        <v>419</v>
      </c>
      <c r="AP2309" t="s">
        <v>49</v>
      </c>
    </row>
    <row r="2310" spans="1:43" x14ac:dyDescent="0.2">
      <c r="A2310" t="s">
        <v>1349</v>
      </c>
      <c r="B2310" t="s">
        <v>1350</v>
      </c>
      <c r="C2310" s="1">
        <v>2016</v>
      </c>
      <c r="D2310" t="s">
        <v>44</v>
      </c>
      <c r="F2310" s="1" t="s">
        <v>82</v>
      </c>
      <c r="G2310" t="s">
        <v>86</v>
      </c>
      <c r="H2310" t="s">
        <v>350</v>
      </c>
      <c r="I2310" t="s">
        <v>831</v>
      </c>
      <c r="J2310">
        <v>0.92</v>
      </c>
      <c r="K2310" t="s">
        <v>102</v>
      </c>
      <c r="M2310">
        <v>0</v>
      </c>
      <c r="N2310" t="s">
        <v>120</v>
      </c>
      <c r="O2310" t="s">
        <v>252</v>
      </c>
      <c r="P2310" t="s">
        <v>196</v>
      </c>
      <c r="Q2310" s="1" t="s">
        <v>2276</v>
      </c>
      <c r="R2310" s="1" t="s">
        <v>669</v>
      </c>
      <c r="S2310" s="1" t="s">
        <v>168</v>
      </c>
      <c r="X2310" t="s">
        <v>161</v>
      </c>
      <c r="Y2310" t="s">
        <v>2272</v>
      </c>
      <c r="Z2310" t="s">
        <v>2272</v>
      </c>
      <c r="AA2310" t="s">
        <v>2272</v>
      </c>
      <c r="AB2310" t="s">
        <v>2272</v>
      </c>
      <c r="AC2310" t="s">
        <v>162</v>
      </c>
      <c r="AD2310" t="s">
        <v>2272</v>
      </c>
      <c r="AF2310" t="s">
        <v>49</v>
      </c>
      <c r="AJ2310" t="s">
        <v>49</v>
      </c>
      <c r="AM2310" t="s">
        <v>257</v>
      </c>
      <c r="AN2310" t="s">
        <v>154</v>
      </c>
    </row>
    <row r="2311" spans="1:43" x14ac:dyDescent="0.2">
      <c r="A2311" t="s">
        <v>1349</v>
      </c>
      <c r="B2311" t="s">
        <v>1350</v>
      </c>
      <c r="C2311" s="1">
        <v>2016</v>
      </c>
      <c r="D2311" t="s">
        <v>44</v>
      </c>
      <c r="F2311" s="1" t="s">
        <v>82</v>
      </c>
      <c r="G2311" t="s">
        <v>86</v>
      </c>
      <c r="H2311" t="s">
        <v>350</v>
      </c>
      <c r="I2311" t="s">
        <v>831</v>
      </c>
      <c r="J2311">
        <v>0.92</v>
      </c>
      <c r="K2311" t="s">
        <v>102</v>
      </c>
      <c r="M2311">
        <v>0</v>
      </c>
      <c r="N2311" t="s">
        <v>120</v>
      </c>
      <c r="O2311" t="s">
        <v>252</v>
      </c>
      <c r="P2311" t="s">
        <v>196</v>
      </c>
      <c r="Q2311" s="1" t="s">
        <v>2276</v>
      </c>
      <c r="R2311" s="1" t="s">
        <v>669</v>
      </c>
      <c r="S2311" s="1" t="s">
        <v>168</v>
      </c>
      <c r="X2311" t="s">
        <v>161</v>
      </c>
      <c r="Y2311" t="s">
        <v>2272</v>
      </c>
      <c r="Z2311" t="s">
        <v>2272</v>
      </c>
      <c r="AA2311" t="s">
        <v>2272</v>
      </c>
      <c r="AB2311" t="s">
        <v>2272</v>
      </c>
      <c r="AC2311" t="s">
        <v>162</v>
      </c>
      <c r="AD2311" t="s">
        <v>2272</v>
      </c>
      <c r="AF2311" t="s">
        <v>49</v>
      </c>
      <c r="AJ2311" t="s">
        <v>49</v>
      </c>
      <c r="AM2311" t="s">
        <v>257</v>
      </c>
      <c r="AN2311" t="s">
        <v>171</v>
      </c>
    </row>
    <row r="2312" spans="1:43" x14ac:dyDescent="0.2">
      <c r="A2312" t="s">
        <v>1349</v>
      </c>
      <c r="B2312" t="s">
        <v>1350</v>
      </c>
      <c r="C2312" s="1">
        <v>2016</v>
      </c>
      <c r="D2312" t="s">
        <v>44</v>
      </c>
      <c r="F2312" s="1" t="s">
        <v>82</v>
      </c>
      <c r="G2312" t="s">
        <v>86</v>
      </c>
      <c r="H2312" t="s">
        <v>350</v>
      </c>
      <c r="I2312" t="s">
        <v>831</v>
      </c>
      <c r="J2312">
        <v>0.92</v>
      </c>
      <c r="K2312" t="s">
        <v>102</v>
      </c>
      <c r="M2312">
        <v>0</v>
      </c>
      <c r="N2312" t="s">
        <v>120</v>
      </c>
      <c r="O2312" t="s">
        <v>252</v>
      </c>
      <c r="P2312" t="s">
        <v>196</v>
      </c>
      <c r="Q2312" s="1" t="s">
        <v>2276</v>
      </c>
      <c r="R2312" s="1" t="s">
        <v>669</v>
      </c>
      <c r="S2312" s="1" t="s">
        <v>168</v>
      </c>
      <c r="X2312" t="s">
        <v>161</v>
      </c>
      <c r="Y2312" t="s">
        <v>2272</v>
      </c>
      <c r="Z2312" t="s">
        <v>2272</v>
      </c>
      <c r="AA2312" t="s">
        <v>2272</v>
      </c>
      <c r="AB2312" t="s">
        <v>2272</v>
      </c>
      <c r="AC2312" t="s">
        <v>162</v>
      </c>
      <c r="AD2312" t="s">
        <v>2272</v>
      </c>
      <c r="AF2312" t="s">
        <v>49</v>
      </c>
      <c r="AJ2312" t="s">
        <v>49</v>
      </c>
      <c r="AM2312" t="s">
        <v>257</v>
      </c>
      <c r="AN2312" t="s">
        <v>165</v>
      </c>
    </row>
    <row r="2313" spans="1:43" x14ac:dyDescent="0.2">
      <c r="A2313" t="s">
        <v>1349</v>
      </c>
      <c r="B2313" t="s">
        <v>1350</v>
      </c>
      <c r="C2313" s="1">
        <v>2016</v>
      </c>
      <c r="D2313" t="s">
        <v>44</v>
      </c>
      <c r="F2313" s="1" t="s">
        <v>82</v>
      </c>
      <c r="G2313" t="s">
        <v>86</v>
      </c>
      <c r="H2313" t="s">
        <v>350</v>
      </c>
      <c r="I2313" t="s">
        <v>831</v>
      </c>
      <c r="J2313">
        <v>0.92</v>
      </c>
      <c r="K2313" t="s">
        <v>102</v>
      </c>
      <c r="M2313">
        <v>0</v>
      </c>
      <c r="N2313" t="s">
        <v>120</v>
      </c>
      <c r="O2313" t="s">
        <v>252</v>
      </c>
      <c r="P2313" t="s">
        <v>196</v>
      </c>
      <c r="Q2313" s="1" t="s">
        <v>2276</v>
      </c>
      <c r="R2313" s="1" t="s">
        <v>669</v>
      </c>
      <c r="S2313" s="1" t="s">
        <v>168</v>
      </c>
      <c r="X2313" t="s">
        <v>161</v>
      </c>
      <c r="Y2313" t="s">
        <v>2272</v>
      </c>
      <c r="Z2313" t="s">
        <v>2272</v>
      </c>
      <c r="AA2313" t="s">
        <v>2272</v>
      </c>
      <c r="AB2313" t="s">
        <v>2272</v>
      </c>
      <c r="AC2313" t="s">
        <v>162</v>
      </c>
      <c r="AD2313" t="s">
        <v>2272</v>
      </c>
      <c r="AF2313" t="s">
        <v>49</v>
      </c>
      <c r="AJ2313" t="s">
        <v>49</v>
      </c>
      <c r="AM2313" t="s">
        <v>1352</v>
      </c>
      <c r="AN2313" t="s">
        <v>154</v>
      </c>
    </row>
    <row r="2314" spans="1:43" x14ac:dyDescent="0.2">
      <c r="A2314" t="s">
        <v>1349</v>
      </c>
      <c r="B2314" t="s">
        <v>1350</v>
      </c>
      <c r="C2314" s="1">
        <v>2016</v>
      </c>
      <c r="D2314" t="s">
        <v>44</v>
      </c>
      <c r="F2314" s="1" t="s">
        <v>82</v>
      </c>
      <c r="G2314" t="s">
        <v>86</v>
      </c>
      <c r="H2314" t="s">
        <v>350</v>
      </c>
      <c r="I2314" t="s">
        <v>831</v>
      </c>
      <c r="J2314">
        <v>0.92</v>
      </c>
      <c r="K2314" t="s">
        <v>102</v>
      </c>
      <c r="M2314">
        <v>0</v>
      </c>
      <c r="N2314" t="s">
        <v>120</v>
      </c>
      <c r="O2314" t="s">
        <v>252</v>
      </c>
      <c r="P2314" t="s">
        <v>196</v>
      </c>
      <c r="Q2314" s="1" t="s">
        <v>2276</v>
      </c>
      <c r="R2314" s="1" t="s">
        <v>669</v>
      </c>
      <c r="S2314" s="1" t="s">
        <v>168</v>
      </c>
      <c r="X2314" t="s">
        <v>161</v>
      </c>
      <c r="Y2314" t="s">
        <v>2272</v>
      </c>
      <c r="Z2314" t="s">
        <v>2272</v>
      </c>
      <c r="AA2314" t="s">
        <v>2272</v>
      </c>
      <c r="AB2314" t="s">
        <v>2272</v>
      </c>
      <c r="AC2314" t="s">
        <v>162</v>
      </c>
      <c r="AD2314" t="s">
        <v>2272</v>
      </c>
      <c r="AF2314" t="s">
        <v>49</v>
      </c>
      <c r="AJ2314" t="s">
        <v>49</v>
      </c>
      <c r="AM2314" t="s">
        <v>1352</v>
      </c>
      <c r="AN2314" t="s">
        <v>171</v>
      </c>
    </row>
    <row r="2315" spans="1:43" x14ac:dyDescent="0.2">
      <c r="A2315" t="s">
        <v>1349</v>
      </c>
      <c r="B2315" t="s">
        <v>1350</v>
      </c>
      <c r="C2315" s="1">
        <v>2016</v>
      </c>
      <c r="D2315" t="s">
        <v>44</v>
      </c>
      <c r="F2315" s="1" t="s">
        <v>82</v>
      </c>
      <c r="G2315" t="s">
        <v>86</v>
      </c>
      <c r="H2315" t="s">
        <v>350</v>
      </c>
      <c r="I2315" t="s">
        <v>831</v>
      </c>
      <c r="J2315">
        <v>0.92</v>
      </c>
      <c r="K2315" t="s">
        <v>102</v>
      </c>
      <c r="M2315">
        <v>0</v>
      </c>
      <c r="N2315" t="s">
        <v>120</v>
      </c>
      <c r="O2315" t="s">
        <v>252</v>
      </c>
      <c r="P2315" t="s">
        <v>196</v>
      </c>
      <c r="Q2315" s="1" t="s">
        <v>2276</v>
      </c>
      <c r="R2315" s="1" t="s">
        <v>669</v>
      </c>
      <c r="S2315" s="1" t="s">
        <v>168</v>
      </c>
      <c r="X2315" t="s">
        <v>161</v>
      </c>
      <c r="Y2315" t="s">
        <v>2272</v>
      </c>
      <c r="Z2315" t="s">
        <v>2272</v>
      </c>
      <c r="AA2315" t="s">
        <v>2272</v>
      </c>
      <c r="AB2315" t="s">
        <v>2272</v>
      </c>
      <c r="AC2315" t="s">
        <v>162</v>
      </c>
      <c r="AD2315" t="s">
        <v>2272</v>
      </c>
      <c r="AF2315" t="s">
        <v>49</v>
      </c>
      <c r="AJ2315" t="s">
        <v>49</v>
      </c>
      <c r="AM2315" t="s">
        <v>1352</v>
      </c>
      <c r="AN2315" t="s">
        <v>165</v>
      </c>
    </row>
    <row r="2316" spans="1:43" x14ac:dyDescent="0.2">
      <c r="A2316" t="s">
        <v>1353</v>
      </c>
      <c r="B2316" t="s">
        <v>1354</v>
      </c>
      <c r="C2316" s="1">
        <v>2016</v>
      </c>
      <c r="D2316" t="s">
        <v>811</v>
      </c>
      <c r="F2316" t="s">
        <v>1358</v>
      </c>
      <c r="G2316" t="s">
        <v>86</v>
      </c>
      <c r="H2316" t="s">
        <v>350</v>
      </c>
      <c r="I2316">
        <v>2004</v>
      </c>
      <c r="J2316">
        <v>0.21</v>
      </c>
      <c r="K2316" t="s">
        <v>101</v>
      </c>
      <c r="M2316">
        <v>3.1399999999999997E-2</v>
      </c>
      <c r="N2316" t="s">
        <v>123</v>
      </c>
      <c r="O2316" t="s">
        <v>123</v>
      </c>
      <c r="P2316" t="s">
        <v>170</v>
      </c>
      <c r="Q2316" s="1" t="s">
        <v>2281</v>
      </c>
      <c r="R2316" s="1" t="s">
        <v>2282</v>
      </c>
      <c r="S2316" s="1" t="s">
        <v>123</v>
      </c>
      <c r="T2316" t="s">
        <v>421</v>
      </c>
      <c r="U2316" t="s">
        <v>421</v>
      </c>
      <c r="X2316" t="s">
        <v>161</v>
      </c>
      <c r="Y2316" t="s">
        <v>2272</v>
      </c>
      <c r="Z2316" t="s">
        <v>2272</v>
      </c>
      <c r="AA2316" t="s">
        <v>2272</v>
      </c>
      <c r="AB2316" t="s">
        <v>2272</v>
      </c>
      <c r="AC2316" t="s">
        <v>162</v>
      </c>
      <c r="AD2316" t="s">
        <v>2272</v>
      </c>
      <c r="AF2316" t="s">
        <v>49</v>
      </c>
      <c r="AI2316" t="s">
        <v>49</v>
      </c>
      <c r="AM2316" t="s">
        <v>202</v>
      </c>
      <c r="AN2316" t="s">
        <v>166</v>
      </c>
      <c r="AP2316" t="s">
        <v>49</v>
      </c>
    </row>
    <row r="2317" spans="1:43" x14ac:dyDescent="0.2">
      <c r="A2317" t="s">
        <v>1353</v>
      </c>
      <c r="B2317" t="s">
        <v>1354</v>
      </c>
      <c r="C2317" s="1">
        <v>2016</v>
      </c>
      <c r="D2317" t="s">
        <v>811</v>
      </c>
      <c r="F2317" t="s">
        <v>1358</v>
      </c>
      <c r="G2317" t="s">
        <v>86</v>
      </c>
      <c r="H2317" t="s">
        <v>350</v>
      </c>
      <c r="I2317">
        <v>2004</v>
      </c>
      <c r="J2317">
        <v>0.21</v>
      </c>
      <c r="K2317" t="s">
        <v>101</v>
      </c>
      <c r="M2317">
        <v>3.1399999999999997E-2</v>
      </c>
      <c r="N2317" t="s">
        <v>123</v>
      </c>
      <c r="O2317" t="s">
        <v>123</v>
      </c>
      <c r="P2317" t="s">
        <v>170</v>
      </c>
      <c r="Q2317" s="1" t="s">
        <v>2281</v>
      </c>
      <c r="R2317" s="1" t="s">
        <v>2282</v>
      </c>
      <c r="S2317" s="1" t="s">
        <v>123</v>
      </c>
      <c r="T2317" t="s">
        <v>421</v>
      </c>
      <c r="U2317" t="s">
        <v>421</v>
      </c>
      <c r="X2317" t="s">
        <v>161</v>
      </c>
      <c r="Y2317" t="s">
        <v>2272</v>
      </c>
      <c r="Z2317" t="s">
        <v>2272</v>
      </c>
      <c r="AA2317" t="s">
        <v>2272</v>
      </c>
      <c r="AB2317" t="s">
        <v>2272</v>
      </c>
      <c r="AC2317" t="s">
        <v>162</v>
      </c>
      <c r="AD2317" t="s">
        <v>2272</v>
      </c>
      <c r="AF2317" t="s">
        <v>49</v>
      </c>
      <c r="AI2317" t="s">
        <v>49</v>
      </c>
      <c r="AM2317" t="s">
        <v>202</v>
      </c>
      <c r="AN2317" t="s">
        <v>171</v>
      </c>
      <c r="AP2317" t="s">
        <v>49</v>
      </c>
    </row>
    <row r="2318" spans="1:43" x14ac:dyDescent="0.2">
      <c r="A2318" t="s">
        <v>1353</v>
      </c>
      <c r="B2318" t="s">
        <v>1354</v>
      </c>
      <c r="C2318" s="1">
        <v>2016</v>
      </c>
      <c r="D2318" t="s">
        <v>811</v>
      </c>
      <c r="F2318" t="s">
        <v>1358</v>
      </c>
      <c r="G2318" t="s">
        <v>86</v>
      </c>
      <c r="H2318" t="s">
        <v>350</v>
      </c>
      <c r="I2318">
        <v>2004</v>
      </c>
      <c r="J2318">
        <v>0.21</v>
      </c>
      <c r="K2318" t="s">
        <v>101</v>
      </c>
      <c r="M2318">
        <v>3.1399999999999997E-2</v>
      </c>
      <c r="N2318" t="s">
        <v>123</v>
      </c>
      <c r="O2318" t="s">
        <v>123</v>
      </c>
      <c r="P2318" t="s">
        <v>170</v>
      </c>
      <c r="Q2318" s="1" t="s">
        <v>2281</v>
      </c>
      <c r="R2318" s="1" t="s">
        <v>2282</v>
      </c>
      <c r="S2318" s="1" t="s">
        <v>123</v>
      </c>
      <c r="T2318" t="s">
        <v>421</v>
      </c>
      <c r="U2318" t="s">
        <v>421</v>
      </c>
      <c r="X2318" t="s">
        <v>161</v>
      </c>
      <c r="Y2318" t="s">
        <v>2272</v>
      </c>
      <c r="Z2318" t="s">
        <v>2272</v>
      </c>
      <c r="AA2318" t="s">
        <v>2272</v>
      </c>
      <c r="AB2318" t="s">
        <v>2272</v>
      </c>
      <c r="AC2318" t="s">
        <v>162</v>
      </c>
      <c r="AD2318" t="s">
        <v>2272</v>
      </c>
      <c r="AF2318" t="s">
        <v>49</v>
      </c>
      <c r="AI2318" t="s">
        <v>49</v>
      </c>
      <c r="AM2318" t="s">
        <v>202</v>
      </c>
      <c r="AN2318" t="s">
        <v>154</v>
      </c>
      <c r="AQ2318" s="5">
        <v>0</v>
      </c>
    </row>
    <row r="2319" spans="1:43" x14ac:dyDescent="0.2">
      <c r="A2319" t="s">
        <v>1353</v>
      </c>
      <c r="B2319" t="s">
        <v>1354</v>
      </c>
      <c r="C2319" s="1">
        <v>2016</v>
      </c>
      <c r="D2319" t="s">
        <v>811</v>
      </c>
      <c r="F2319" t="s">
        <v>1358</v>
      </c>
      <c r="G2319" t="s">
        <v>86</v>
      </c>
      <c r="H2319" t="s">
        <v>350</v>
      </c>
      <c r="I2319">
        <v>2004</v>
      </c>
      <c r="J2319">
        <v>0.21</v>
      </c>
      <c r="K2319" t="s">
        <v>101</v>
      </c>
      <c r="M2319">
        <v>3.1399999999999997E-2</v>
      </c>
      <c r="N2319" t="s">
        <v>123</v>
      </c>
      <c r="O2319" t="s">
        <v>123</v>
      </c>
      <c r="P2319" t="s">
        <v>170</v>
      </c>
      <c r="Q2319" s="1" t="s">
        <v>2281</v>
      </c>
      <c r="R2319" s="1" t="s">
        <v>2282</v>
      </c>
      <c r="S2319" s="1" t="s">
        <v>123</v>
      </c>
      <c r="T2319" t="s">
        <v>421</v>
      </c>
      <c r="U2319" t="s">
        <v>421</v>
      </c>
      <c r="X2319" t="s">
        <v>161</v>
      </c>
      <c r="Y2319" t="s">
        <v>2272</v>
      </c>
      <c r="Z2319" t="s">
        <v>2272</v>
      </c>
      <c r="AA2319" t="s">
        <v>2272</v>
      </c>
      <c r="AB2319" t="s">
        <v>2272</v>
      </c>
      <c r="AC2319" t="s">
        <v>162</v>
      </c>
      <c r="AD2319" t="s">
        <v>2272</v>
      </c>
      <c r="AF2319" t="s">
        <v>49</v>
      </c>
      <c r="AJ2319" t="s">
        <v>49</v>
      </c>
      <c r="AM2319" t="s">
        <v>1355</v>
      </c>
      <c r="AN2319" t="s">
        <v>166</v>
      </c>
      <c r="AQ2319" s="5">
        <v>1</v>
      </c>
    </row>
    <row r="2320" spans="1:43" x14ac:dyDescent="0.2">
      <c r="A2320" t="s">
        <v>1353</v>
      </c>
      <c r="B2320" t="s">
        <v>1354</v>
      </c>
      <c r="C2320" s="1">
        <v>2016</v>
      </c>
      <c r="D2320" t="s">
        <v>811</v>
      </c>
      <c r="F2320" t="s">
        <v>1358</v>
      </c>
      <c r="G2320" t="s">
        <v>86</v>
      </c>
      <c r="H2320" t="s">
        <v>350</v>
      </c>
      <c r="I2320">
        <v>2004</v>
      </c>
      <c r="J2320">
        <v>0.21</v>
      </c>
      <c r="K2320" t="s">
        <v>101</v>
      </c>
      <c r="M2320">
        <v>3.1399999999999997E-2</v>
      </c>
      <c r="N2320" t="s">
        <v>123</v>
      </c>
      <c r="O2320" t="s">
        <v>123</v>
      </c>
      <c r="P2320" t="s">
        <v>170</v>
      </c>
      <c r="Q2320" s="1" t="s">
        <v>2281</v>
      </c>
      <c r="R2320" s="1" t="s">
        <v>2282</v>
      </c>
      <c r="S2320" s="1" t="s">
        <v>123</v>
      </c>
      <c r="T2320" t="s">
        <v>421</v>
      </c>
      <c r="U2320" t="s">
        <v>421</v>
      </c>
      <c r="X2320" t="s">
        <v>161</v>
      </c>
      <c r="Y2320" t="s">
        <v>2272</v>
      </c>
      <c r="Z2320" t="s">
        <v>2272</v>
      </c>
      <c r="AA2320" t="s">
        <v>2272</v>
      </c>
      <c r="AB2320" t="s">
        <v>2272</v>
      </c>
      <c r="AC2320" t="s">
        <v>162</v>
      </c>
      <c r="AD2320" t="s">
        <v>2272</v>
      </c>
      <c r="AF2320" t="s">
        <v>49</v>
      </c>
      <c r="AJ2320" t="s">
        <v>49</v>
      </c>
      <c r="AM2320" t="s">
        <v>1355</v>
      </c>
      <c r="AN2320" t="s">
        <v>171</v>
      </c>
      <c r="AQ2320" s="5">
        <v>1</v>
      </c>
    </row>
    <row r="2321" spans="1:44" x14ac:dyDescent="0.2">
      <c r="A2321" t="s">
        <v>1353</v>
      </c>
      <c r="B2321" t="s">
        <v>1354</v>
      </c>
      <c r="C2321" s="1">
        <v>2016</v>
      </c>
      <c r="D2321" t="s">
        <v>811</v>
      </c>
      <c r="F2321" t="s">
        <v>1358</v>
      </c>
      <c r="G2321" t="s">
        <v>86</v>
      </c>
      <c r="H2321" t="s">
        <v>350</v>
      </c>
      <c r="I2321">
        <v>2004</v>
      </c>
      <c r="J2321">
        <v>0.21</v>
      </c>
      <c r="K2321" t="s">
        <v>101</v>
      </c>
      <c r="M2321">
        <v>3.1399999999999997E-2</v>
      </c>
      <c r="N2321" t="s">
        <v>123</v>
      </c>
      <c r="O2321" t="s">
        <v>123</v>
      </c>
      <c r="P2321" t="s">
        <v>170</v>
      </c>
      <c r="Q2321" s="1" t="s">
        <v>2281</v>
      </c>
      <c r="R2321" s="1" t="s">
        <v>2282</v>
      </c>
      <c r="S2321" s="1" t="s">
        <v>123</v>
      </c>
      <c r="T2321" t="s">
        <v>421</v>
      </c>
      <c r="U2321" t="s">
        <v>421</v>
      </c>
      <c r="X2321" t="s">
        <v>161</v>
      </c>
      <c r="Y2321" t="s">
        <v>2272</v>
      </c>
      <c r="Z2321" t="s">
        <v>2272</v>
      </c>
      <c r="AA2321" t="s">
        <v>2272</v>
      </c>
      <c r="AB2321" t="s">
        <v>2272</v>
      </c>
      <c r="AC2321" t="s">
        <v>162</v>
      </c>
      <c r="AD2321" t="s">
        <v>2272</v>
      </c>
      <c r="AF2321" t="s">
        <v>49</v>
      </c>
      <c r="AJ2321" t="s">
        <v>49</v>
      </c>
      <c r="AM2321" t="s">
        <v>1355</v>
      </c>
      <c r="AN2321" t="s">
        <v>154</v>
      </c>
      <c r="AQ2321" s="5">
        <v>1</v>
      </c>
    </row>
    <row r="2322" spans="1:44" x14ac:dyDescent="0.2">
      <c r="A2322" t="s">
        <v>1353</v>
      </c>
      <c r="B2322" t="s">
        <v>1354</v>
      </c>
      <c r="C2322" s="1">
        <v>2016</v>
      </c>
      <c r="D2322" t="s">
        <v>811</v>
      </c>
      <c r="F2322" t="s">
        <v>1358</v>
      </c>
      <c r="G2322" t="s">
        <v>86</v>
      </c>
      <c r="H2322" t="s">
        <v>350</v>
      </c>
      <c r="I2322">
        <v>2004</v>
      </c>
      <c r="J2322">
        <v>0.21</v>
      </c>
      <c r="K2322" t="s">
        <v>101</v>
      </c>
      <c r="M2322">
        <v>3.1399999999999997E-2</v>
      </c>
      <c r="N2322" t="s">
        <v>123</v>
      </c>
      <c r="O2322" t="s">
        <v>123</v>
      </c>
      <c r="P2322" t="s">
        <v>170</v>
      </c>
      <c r="Q2322" s="1" t="s">
        <v>2281</v>
      </c>
      <c r="R2322" s="1" t="s">
        <v>2282</v>
      </c>
      <c r="S2322" s="1" t="s">
        <v>123</v>
      </c>
      <c r="T2322" t="s">
        <v>421</v>
      </c>
      <c r="U2322" t="s">
        <v>421</v>
      </c>
      <c r="X2322" t="s">
        <v>161</v>
      </c>
      <c r="Y2322" t="s">
        <v>2272</v>
      </c>
      <c r="Z2322" t="s">
        <v>2272</v>
      </c>
      <c r="AA2322" t="s">
        <v>2272</v>
      </c>
      <c r="AB2322" t="s">
        <v>2272</v>
      </c>
      <c r="AC2322" t="s">
        <v>162</v>
      </c>
      <c r="AD2322" t="s">
        <v>2272</v>
      </c>
      <c r="AF2322" t="s">
        <v>49</v>
      </c>
      <c r="AJ2322" t="s">
        <v>49</v>
      </c>
      <c r="AM2322" t="s">
        <v>837</v>
      </c>
      <c r="AN2322" t="s">
        <v>166</v>
      </c>
      <c r="AQ2322" s="5">
        <v>0</v>
      </c>
    </row>
    <row r="2323" spans="1:44" x14ac:dyDescent="0.2">
      <c r="A2323" t="s">
        <v>1353</v>
      </c>
      <c r="B2323" t="s">
        <v>1354</v>
      </c>
      <c r="C2323" s="1">
        <v>2016</v>
      </c>
      <c r="D2323" t="s">
        <v>811</v>
      </c>
      <c r="F2323" t="s">
        <v>1358</v>
      </c>
      <c r="G2323" t="s">
        <v>86</v>
      </c>
      <c r="H2323" t="s">
        <v>350</v>
      </c>
      <c r="I2323">
        <v>2004</v>
      </c>
      <c r="J2323">
        <v>0.21</v>
      </c>
      <c r="K2323" t="s">
        <v>101</v>
      </c>
      <c r="M2323">
        <v>3.1399999999999997E-2</v>
      </c>
      <c r="N2323" t="s">
        <v>123</v>
      </c>
      <c r="O2323" t="s">
        <v>123</v>
      </c>
      <c r="P2323" t="s">
        <v>170</v>
      </c>
      <c r="Q2323" s="1" t="s">
        <v>2281</v>
      </c>
      <c r="R2323" s="1" t="s">
        <v>2282</v>
      </c>
      <c r="S2323" s="1" t="s">
        <v>123</v>
      </c>
      <c r="T2323" t="s">
        <v>421</v>
      </c>
      <c r="U2323" t="s">
        <v>421</v>
      </c>
      <c r="X2323" t="s">
        <v>161</v>
      </c>
      <c r="Y2323" t="s">
        <v>2272</v>
      </c>
      <c r="Z2323" t="s">
        <v>2272</v>
      </c>
      <c r="AA2323" t="s">
        <v>2272</v>
      </c>
      <c r="AB2323" t="s">
        <v>2272</v>
      </c>
      <c r="AC2323" t="s">
        <v>162</v>
      </c>
      <c r="AD2323" t="s">
        <v>2272</v>
      </c>
      <c r="AF2323" t="s">
        <v>49</v>
      </c>
      <c r="AJ2323" t="s">
        <v>49</v>
      </c>
      <c r="AM2323" t="s">
        <v>837</v>
      </c>
      <c r="AN2323" t="s">
        <v>171</v>
      </c>
      <c r="AQ2323" s="5">
        <v>0</v>
      </c>
    </row>
    <row r="2324" spans="1:44" x14ac:dyDescent="0.2">
      <c r="A2324" t="s">
        <v>1353</v>
      </c>
      <c r="B2324" t="s">
        <v>1354</v>
      </c>
      <c r="C2324" s="1">
        <v>2016</v>
      </c>
      <c r="D2324" t="s">
        <v>811</v>
      </c>
      <c r="F2324" t="s">
        <v>1358</v>
      </c>
      <c r="G2324" t="s">
        <v>86</v>
      </c>
      <c r="H2324" t="s">
        <v>350</v>
      </c>
      <c r="I2324">
        <v>2004</v>
      </c>
      <c r="J2324">
        <v>0.21</v>
      </c>
      <c r="K2324" t="s">
        <v>101</v>
      </c>
      <c r="M2324">
        <v>3.1399999999999997E-2</v>
      </c>
      <c r="N2324" t="s">
        <v>123</v>
      </c>
      <c r="O2324" t="s">
        <v>123</v>
      </c>
      <c r="P2324" t="s">
        <v>170</v>
      </c>
      <c r="Q2324" s="1" t="s">
        <v>2281</v>
      </c>
      <c r="R2324" s="1" t="s">
        <v>2282</v>
      </c>
      <c r="S2324" s="1" t="s">
        <v>123</v>
      </c>
      <c r="T2324" t="s">
        <v>421</v>
      </c>
      <c r="U2324" t="s">
        <v>421</v>
      </c>
      <c r="X2324" t="s">
        <v>161</v>
      </c>
      <c r="Y2324" t="s">
        <v>2272</v>
      </c>
      <c r="Z2324" t="s">
        <v>2272</v>
      </c>
      <c r="AA2324" t="s">
        <v>2272</v>
      </c>
      <c r="AB2324" t="s">
        <v>2272</v>
      </c>
      <c r="AC2324" t="s">
        <v>162</v>
      </c>
      <c r="AD2324" t="s">
        <v>2272</v>
      </c>
      <c r="AF2324" t="s">
        <v>49</v>
      </c>
      <c r="AI2324" t="s">
        <v>49</v>
      </c>
      <c r="AM2324" t="s">
        <v>202</v>
      </c>
      <c r="AN2324" t="s">
        <v>155</v>
      </c>
      <c r="AP2324" t="s">
        <v>49</v>
      </c>
    </row>
    <row r="2325" spans="1:44" x14ac:dyDescent="0.2">
      <c r="A2325" t="s">
        <v>1353</v>
      </c>
      <c r="B2325" t="s">
        <v>1354</v>
      </c>
      <c r="C2325" s="1">
        <v>2016</v>
      </c>
      <c r="D2325" t="s">
        <v>811</v>
      </c>
      <c r="F2325" t="s">
        <v>1358</v>
      </c>
      <c r="G2325" t="s">
        <v>86</v>
      </c>
      <c r="H2325" t="s">
        <v>350</v>
      </c>
      <c r="I2325">
        <v>2004</v>
      </c>
      <c r="J2325">
        <v>0.21</v>
      </c>
      <c r="K2325" t="s">
        <v>101</v>
      </c>
      <c r="M2325">
        <v>3.1399999999999997E-2</v>
      </c>
      <c r="N2325" t="s">
        <v>123</v>
      </c>
      <c r="O2325" t="s">
        <v>123</v>
      </c>
      <c r="P2325" t="s">
        <v>170</v>
      </c>
      <c r="Q2325" s="1" t="s">
        <v>2281</v>
      </c>
      <c r="R2325" s="1" t="s">
        <v>2282</v>
      </c>
      <c r="S2325" s="1" t="s">
        <v>123</v>
      </c>
      <c r="T2325" t="s">
        <v>421</v>
      </c>
      <c r="U2325" t="s">
        <v>421</v>
      </c>
      <c r="X2325" t="s">
        <v>161</v>
      </c>
      <c r="Y2325" t="s">
        <v>2272</v>
      </c>
      <c r="Z2325" t="s">
        <v>2272</v>
      </c>
      <c r="AA2325" t="s">
        <v>2272</v>
      </c>
      <c r="AB2325" t="s">
        <v>2272</v>
      </c>
      <c r="AC2325" t="s">
        <v>162</v>
      </c>
      <c r="AD2325" t="s">
        <v>2272</v>
      </c>
      <c r="AF2325" t="s">
        <v>49</v>
      </c>
      <c r="AI2325" t="s">
        <v>49</v>
      </c>
      <c r="AM2325" t="s">
        <v>202</v>
      </c>
      <c r="AN2325" t="s">
        <v>419</v>
      </c>
      <c r="AQ2325" s="5">
        <v>0</v>
      </c>
    </row>
    <row r="2326" spans="1:44" x14ac:dyDescent="0.2">
      <c r="A2326" t="s">
        <v>1353</v>
      </c>
      <c r="B2326" t="s">
        <v>1354</v>
      </c>
      <c r="C2326" s="1">
        <v>2016</v>
      </c>
      <c r="D2326" t="s">
        <v>811</v>
      </c>
      <c r="F2326" t="s">
        <v>1358</v>
      </c>
      <c r="G2326" t="s">
        <v>86</v>
      </c>
      <c r="H2326" t="s">
        <v>350</v>
      </c>
      <c r="I2326">
        <v>2004</v>
      </c>
      <c r="J2326">
        <v>0.21</v>
      </c>
      <c r="K2326" t="s">
        <v>101</v>
      </c>
      <c r="M2326">
        <v>3.1399999999999997E-2</v>
      </c>
      <c r="N2326" t="s">
        <v>123</v>
      </c>
      <c r="O2326" t="s">
        <v>123</v>
      </c>
      <c r="P2326" t="s">
        <v>170</v>
      </c>
      <c r="Q2326" s="1" t="s">
        <v>2281</v>
      </c>
      <c r="R2326" s="1" t="s">
        <v>2282</v>
      </c>
      <c r="S2326" s="1" t="s">
        <v>123</v>
      </c>
      <c r="T2326" t="s">
        <v>421</v>
      </c>
      <c r="U2326" t="s">
        <v>421</v>
      </c>
      <c r="X2326" t="s">
        <v>161</v>
      </c>
      <c r="Y2326" t="s">
        <v>2272</v>
      </c>
      <c r="Z2326" t="s">
        <v>2272</v>
      </c>
      <c r="AA2326" t="s">
        <v>2272</v>
      </c>
      <c r="AB2326" t="s">
        <v>2272</v>
      </c>
      <c r="AC2326" t="s">
        <v>162</v>
      </c>
      <c r="AD2326" t="s">
        <v>2272</v>
      </c>
      <c r="AF2326" t="s">
        <v>49</v>
      </c>
      <c r="AI2326" t="s">
        <v>49</v>
      </c>
      <c r="AM2326" t="s">
        <v>202</v>
      </c>
      <c r="AN2326" t="s">
        <v>166</v>
      </c>
      <c r="AQ2326" s="5">
        <v>1</v>
      </c>
    </row>
    <row r="2327" spans="1:44" x14ac:dyDescent="0.2">
      <c r="A2327" t="s">
        <v>1353</v>
      </c>
      <c r="B2327" t="s">
        <v>1354</v>
      </c>
      <c r="C2327" s="1">
        <v>2016</v>
      </c>
      <c r="D2327" t="s">
        <v>811</v>
      </c>
      <c r="F2327" t="s">
        <v>1358</v>
      </c>
      <c r="G2327" t="s">
        <v>86</v>
      </c>
      <c r="H2327" t="s">
        <v>350</v>
      </c>
      <c r="I2327">
        <v>2004</v>
      </c>
      <c r="J2327">
        <v>0.21</v>
      </c>
      <c r="K2327" t="s">
        <v>101</v>
      </c>
      <c r="M2327">
        <v>3.1399999999999997E-2</v>
      </c>
      <c r="N2327" t="s">
        <v>123</v>
      </c>
      <c r="O2327" t="s">
        <v>123</v>
      </c>
      <c r="P2327" t="s">
        <v>170</v>
      </c>
      <c r="Q2327" s="1" t="s">
        <v>2281</v>
      </c>
      <c r="R2327" s="1" t="s">
        <v>2282</v>
      </c>
      <c r="S2327" s="1" t="s">
        <v>123</v>
      </c>
      <c r="T2327" t="s">
        <v>421</v>
      </c>
      <c r="U2327" t="s">
        <v>421</v>
      </c>
      <c r="X2327" t="s">
        <v>161</v>
      </c>
      <c r="Y2327" t="s">
        <v>2272</v>
      </c>
      <c r="Z2327" t="s">
        <v>2272</v>
      </c>
      <c r="AA2327" t="s">
        <v>2272</v>
      </c>
      <c r="AB2327" t="s">
        <v>2272</v>
      </c>
      <c r="AC2327" t="s">
        <v>162</v>
      </c>
      <c r="AD2327" t="s">
        <v>2272</v>
      </c>
      <c r="AF2327" t="s">
        <v>49</v>
      </c>
      <c r="AI2327" t="s">
        <v>49</v>
      </c>
      <c r="AM2327" t="s">
        <v>202</v>
      </c>
      <c r="AN2327" t="s">
        <v>171</v>
      </c>
      <c r="AQ2327" s="5">
        <v>1</v>
      </c>
    </row>
    <row r="2328" spans="1:44" x14ac:dyDescent="0.2">
      <c r="A2328" t="s">
        <v>1353</v>
      </c>
      <c r="B2328" t="s">
        <v>1354</v>
      </c>
      <c r="C2328" s="1">
        <v>2016</v>
      </c>
      <c r="D2328" t="s">
        <v>811</v>
      </c>
      <c r="F2328" t="s">
        <v>1358</v>
      </c>
      <c r="G2328" t="s">
        <v>86</v>
      </c>
      <c r="H2328" t="s">
        <v>350</v>
      </c>
      <c r="I2328">
        <v>2004</v>
      </c>
      <c r="J2328">
        <v>0.21</v>
      </c>
      <c r="K2328" t="s">
        <v>101</v>
      </c>
      <c r="M2328">
        <v>3.1399999999999997E-2</v>
      </c>
      <c r="N2328" t="s">
        <v>123</v>
      </c>
      <c r="O2328" t="s">
        <v>123</v>
      </c>
      <c r="P2328" t="s">
        <v>170</v>
      </c>
      <c r="Q2328" s="1" t="s">
        <v>2281</v>
      </c>
      <c r="R2328" s="1" t="s">
        <v>2282</v>
      </c>
      <c r="S2328" s="1" t="s">
        <v>123</v>
      </c>
      <c r="T2328" t="s">
        <v>421</v>
      </c>
      <c r="U2328" t="s">
        <v>421</v>
      </c>
      <c r="X2328" t="s">
        <v>161</v>
      </c>
      <c r="Y2328" t="s">
        <v>2272</v>
      </c>
      <c r="Z2328" t="s">
        <v>2272</v>
      </c>
      <c r="AA2328" t="s">
        <v>2272</v>
      </c>
      <c r="AB2328" t="s">
        <v>2272</v>
      </c>
      <c r="AC2328" t="s">
        <v>162</v>
      </c>
      <c r="AD2328" t="s">
        <v>2272</v>
      </c>
      <c r="AF2328" t="s">
        <v>49</v>
      </c>
      <c r="AI2328" t="s">
        <v>49</v>
      </c>
      <c r="AM2328" t="s">
        <v>202</v>
      </c>
      <c r="AN2328" t="s">
        <v>165</v>
      </c>
      <c r="AP2328" t="s">
        <v>49</v>
      </c>
    </row>
    <row r="2329" spans="1:44" x14ac:dyDescent="0.2">
      <c r="A2329" t="s">
        <v>1356</v>
      </c>
      <c r="B2329" t="s">
        <v>1357</v>
      </c>
      <c r="C2329" s="1">
        <v>2016</v>
      </c>
      <c r="D2329" t="s">
        <v>44</v>
      </c>
      <c r="F2329" t="s">
        <v>628</v>
      </c>
      <c r="G2329" t="s">
        <v>86</v>
      </c>
      <c r="H2329" t="s">
        <v>96</v>
      </c>
      <c r="I2329">
        <v>2012</v>
      </c>
      <c r="K2329" t="s">
        <v>101</v>
      </c>
      <c r="L2329">
        <v>2</v>
      </c>
      <c r="M2329">
        <f>0.5*0.5</f>
        <v>0.25</v>
      </c>
      <c r="N2329" t="s">
        <v>120</v>
      </c>
      <c r="O2329" t="s">
        <v>120</v>
      </c>
      <c r="P2329" t="s">
        <v>711</v>
      </c>
      <c r="Q2329" s="1" t="s">
        <v>2276</v>
      </c>
      <c r="R2329" s="1" t="s">
        <v>669</v>
      </c>
      <c r="S2329" s="1" t="s">
        <v>168</v>
      </c>
      <c r="X2329" t="s">
        <v>189</v>
      </c>
      <c r="Y2329" t="s">
        <v>2279</v>
      </c>
      <c r="Z2329" t="s">
        <v>2280</v>
      </c>
      <c r="AA2329" t="s">
        <v>2358</v>
      </c>
      <c r="AB2329" t="s">
        <v>189</v>
      </c>
      <c r="AC2329" t="s">
        <v>152</v>
      </c>
      <c r="AD2329" t="s">
        <v>2278</v>
      </c>
      <c r="AE2329" t="s">
        <v>415</v>
      </c>
      <c r="AF2329" t="s">
        <v>49</v>
      </c>
      <c r="AH2329" t="s">
        <v>49</v>
      </c>
      <c r="AJ2329" t="s">
        <v>49</v>
      </c>
      <c r="AM2329" t="s">
        <v>1352</v>
      </c>
      <c r="AN2329" t="s">
        <v>165</v>
      </c>
      <c r="AP2329" t="s">
        <v>49</v>
      </c>
      <c r="AR2329">
        <v>1</v>
      </c>
    </row>
    <row r="2330" spans="1:44" x14ac:dyDescent="0.2">
      <c r="A2330" t="s">
        <v>1356</v>
      </c>
      <c r="B2330" t="s">
        <v>1357</v>
      </c>
      <c r="C2330" s="1">
        <v>2016</v>
      </c>
      <c r="D2330" t="s">
        <v>44</v>
      </c>
      <c r="F2330" t="s">
        <v>628</v>
      </c>
      <c r="G2330" t="s">
        <v>86</v>
      </c>
      <c r="H2330" t="s">
        <v>96</v>
      </c>
      <c r="I2330">
        <v>2012</v>
      </c>
      <c r="K2330" t="s">
        <v>101</v>
      </c>
      <c r="L2330">
        <v>2</v>
      </c>
      <c r="M2330">
        <f>0.5*0.5</f>
        <v>0.25</v>
      </c>
      <c r="N2330" t="s">
        <v>120</v>
      </c>
      <c r="O2330" t="s">
        <v>120</v>
      </c>
      <c r="P2330" t="s">
        <v>711</v>
      </c>
      <c r="Q2330" s="1" t="s">
        <v>2276</v>
      </c>
      <c r="R2330" s="1" t="s">
        <v>669</v>
      </c>
      <c r="S2330" s="1" t="s">
        <v>168</v>
      </c>
      <c r="X2330" t="s">
        <v>293</v>
      </c>
      <c r="Y2330" t="s">
        <v>2273</v>
      </c>
      <c r="Z2330" t="s">
        <v>249</v>
      </c>
      <c r="AA2330" t="s">
        <v>2359</v>
      </c>
      <c r="AB2330" t="s">
        <v>1419</v>
      </c>
      <c r="AC2330" t="s">
        <v>152</v>
      </c>
      <c r="AD2330" t="s">
        <v>137</v>
      </c>
      <c r="AE2330" t="s">
        <v>415</v>
      </c>
      <c r="AF2330" t="s">
        <v>49</v>
      </c>
      <c r="AH2330" t="s">
        <v>49</v>
      </c>
      <c r="AJ2330" t="s">
        <v>49</v>
      </c>
      <c r="AM2330" t="s">
        <v>1352</v>
      </c>
      <c r="AN2330" t="s">
        <v>165</v>
      </c>
      <c r="AP2330" t="s">
        <v>49</v>
      </c>
      <c r="AR2330">
        <v>1</v>
      </c>
    </row>
    <row r="2331" spans="1:44" x14ac:dyDescent="0.2">
      <c r="A2331" t="s">
        <v>1356</v>
      </c>
      <c r="B2331" t="s">
        <v>1357</v>
      </c>
      <c r="C2331" s="1">
        <v>2016</v>
      </c>
      <c r="D2331" t="s">
        <v>44</v>
      </c>
      <c r="F2331" t="s">
        <v>628</v>
      </c>
      <c r="G2331" t="s">
        <v>86</v>
      </c>
      <c r="H2331" t="s">
        <v>96</v>
      </c>
      <c r="I2331">
        <v>2012</v>
      </c>
      <c r="K2331" t="s">
        <v>101</v>
      </c>
      <c r="L2331">
        <v>2</v>
      </c>
      <c r="M2331">
        <f>0.5*0.5</f>
        <v>0.25</v>
      </c>
      <c r="N2331" t="s">
        <v>120</v>
      </c>
      <c r="O2331" t="s">
        <v>120</v>
      </c>
      <c r="P2331" t="s">
        <v>711</v>
      </c>
      <c r="Q2331" s="1" t="s">
        <v>2276</v>
      </c>
      <c r="R2331" s="1" t="s">
        <v>669</v>
      </c>
      <c r="S2331" s="1" t="s">
        <v>168</v>
      </c>
      <c r="X2331" t="s">
        <v>712</v>
      </c>
      <c r="Y2331" t="s">
        <v>2273</v>
      </c>
      <c r="Z2331" t="s">
        <v>249</v>
      </c>
      <c r="AA2331" t="s">
        <v>2359</v>
      </c>
      <c r="AB2331" t="s">
        <v>1419</v>
      </c>
      <c r="AC2331" t="s">
        <v>152</v>
      </c>
      <c r="AD2331" t="s">
        <v>137</v>
      </c>
      <c r="AE2331" t="s">
        <v>415</v>
      </c>
      <c r="AF2331" t="s">
        <v>49</v>
      </c>
      <c r="AH2331" t="s">
        <v>49</v>
      </c>
      <c r="AJ2331" t="s">
        <v>49</v>
      </c>
      <c r="AM2331" t="s">
        <v>1352</v>
      </c>
      <c r="AN2331" t="s">
        <v>165</v>
      </c>
      <c r="AP2331" t="s">
        <v>49</v>
      </c>
      <c r="AR2331">
        <v>1</v>
      </c>
    </row>
    <row r="2332" spans="1:44" x14ac:dyDescent="0.2">
      <c r="A2332" t="s">
        <v>1356</v>
      </c>
      <c r="B2332" t="s">
        <v>1357</v>
      </c>
      <c r="C2332" s="1">
        <v>2016</v>
      </c>
      <c r="D2332" t="s">
        <v>44</v>
      </c>
      <c r="F2332" t="s">
        <v>628</v>
      </c>
      <c r="G2332" t="s">
        <v>86</v>
      </c>
      <c r="H2332" t="s">
        <v>96</v>
      </c>
      <c r="I2332">
        <v>2012</v>
      </c>
      <c r="K2332" t="s">
        <v>101</v>
      </c>
      <c r="L2332">
        <v>2</v>
      </c>
      <c r="M2332">
        <f>0.5*0.5</f>
        <v>0.25</v>
      </c>
      <c r="N2332" t="s">
        <v>120</v>
      </c>
      <c r="O2332" t="s">
        <v>120</v>
      </c>
      <c r="P2332" t="s">
        <v>711</v>
      </c>
      <c r="Q2332" s="1" t="s">
        <v>2276</v>
      </c>
      <c r="R2332" s="1" t="s">
        <v>669</v>
      </c>
      <c r="S2332" s="1" t="s">
        <v>168</v>
      </c>
      <c r="X2332" t="s">
        <v>171</v>
      </c>
      <c r="Y2332" t="s">
        <v>2273</v>
      </c>
      <c r="Z2332" t="s">
        <v>249</v>
      </c>
      <c r="AA2332" t="s">
        <v>2359</v>
      </c>
      <c r="AB2332" t="s">
        <v>1979</v>
      </c>
      <c r="AC2332" t="s">
        <v>152</v>
      </c>
      <c r="AD2332" t="s">
        <v>137</v>
      </c>
      <c r="AE2332" t="s">
        <v>415</v>
      </c>
      <c r="AF2332" t="s">
        <v>49</v>
      </c>
      <c r="AH2332" t="s">
        <v>49</v>
      </c>
      <c r="AJ2332" t="s">
        <v>49</v>
      </c>
      <c r="AM2332" t="s">
        <v>1352</v>
      </c>
      <c r="AN2332" t="s">
        <v>165</v>
      </c>
      <c r="AP2332" t="s">
        <v>49</v>
      </c>
      <c r="AR2332">
        <v>1</v>
      </c>
    </row>
    <row r="2333" spans="1:44" x14ac:dyDescent="0.2">
      <c r="A2333" t="s">
        <v>1356</v>
      </c>
      <c r="B2333" t="s">
        <v>1357</v>
      </c>
      <c r="C2333" s="1">
        <v>2016</v>
      </c>
      <c r="D2333" t="s">
        <v>44</v>
      </c>
      <c r="F2333" t="s">
        <v>628</v>
      </c>
      <c r="G2333" t="s">
        <v>86</v>
      </c>
      <c r="H2333" t="s">
        <v>96</v>
      </c>
      <c r="I2333">
        <v>2012</v>
      </c>
      <c r="K2333" t="s">
        <v>101</v>
      </c>
      <c r="L2333">
        <v>2</v>
      </c>
      <c r="M2333">
        <v>0</v>
      </c>
      <c r="N2333" t="s">
        <v>120</v>
      </c>
      <c r="O2333" t="s">
        <v>120</v>
      </c>
      <c r="P2333" t="s">
        <v>711</v>
      </c>
      <c r="Q2333" s="1" t="s">
        <v>2276</v>
      </c>
      <c r="R2333" s="1" t="s">
        <v>669</v>
      </c>
      <c r="S2333" s="1" t="s">
        <v>168</v>
      </c>
      <c r="X2333" t="s">
        <v>1359</v>
      </c>
      <c r="Y2333" t="s">
        <v>2273</v>
      </c>
      <c r="Z2333" t="s">
        <v>2356</v>
      </c>
      <c r="AA2333" t="s">
        <v>2357</v>
      </c>
      <c r="AB2333" t="s">
        <v>2306</v>
      </c>
      <c r="AC2333" t="s">
        <v>152</v>
      </c>
      <c r="AD2333" t="s">
        <v>137</v>
      </c>
      <c r="AF2333" t="s">
        <v>49</v>
      </c>
      <c r="AH2333" t="s">
        <v>49</v>
      </c>
      <c r="AJ2333" t="s">
        <v>49</v>
      </c>
      <c r="AM2333" t="s">
        <v>1352</v>
      </c>
      <c r="AN2333" t="s">
        <v>165</v>
      </c>
      <c r="AR2333">
        <v>1</v>
      </c>
    </row>
    <row r="2334" spans="1:44" x14ac:dyDescent="0.2">
      <c r="A2334" t="s">
        <v>1356</v>
      </c>
      <c r="B2334" t="s">
        <v>1357</v>
      </c>
      <c r="C2334" s="1">
        <v>2016</v>
      </c>
      <c r="D2334" t="s">
        <v>44</v>
      </c>
      <c r="F2334" t="s">
        <v>628</v>
      </c>
      <c r="G2334" t="s">
        <v>86</v>
      </c>
      <c r="H2334" t="s">
        <v>96</v>
      </c>
      <c r="I2334">
        <v>2012</v>
      </c>
      <c r="K2334" t="s">
        <v>101</v>
      </c>
      <c r="L2334">
        <v>2</v>
      </c>
      <c r="M2334">
        <v>0</v>
      </c>
      <c r="N2334" t="s">
        <v>120</v>
      </c>
      <c r="O2334" t="s">
        <v>120</v>
      </c>
      <c r="P2334" t="s">
        <v>711</v>
      </c>
      <c r="Q2334" s="1" t="s">
        <v>2276</v>
      </c>
      <c r="R2334" s="1" t="s">
        <v>669</v>
      </c>
      <c r="S2334" s="1" t="s">
        <v>168</v>
      </c>
      <c r="X2334" t="s">
        <v>1360</v>
      </c>
      <c r="Y2334" t="s">
        <v>2273</v>
      </c>
      <c r="Z2334" t="s">
        <v>2356</v>
      </c>
      <c r="AA2334" t="s">
        <v>2357</v>
      </c>
      <c r="AB2334" t="s">
        <v>2306</v>
      </c>
      <c r="AC2334" t="s">
        <v>152</v>
      </c>
      <c r="AD2334" t="s">
        <v>137</v>
      </c>
      <c r="AF2334" t="s">
        <v>49</v>
      </c>
      <c r="AH2334" t="s">
        <v>49</v>
      </c>
      <c r="AJ2334" t="s">
        <v>49</v>
      </c>
      <c r="AM2334" t="s">
        <v>1352</v>
      </c>
      <c r="AN2334" t="s">
        <v>165</v>
      </c>
      <c r="AR2334">
        <v>1</v>
      </c>
    </row>
    <row r="2335" spans="1:44" x14ac:dyDescent="0.2">
      <c r="A2335" t="s">
        <v>1356</v>
      </c>
      <c r="B2335" t="s">
        <v>1357</v>
      </c>
      <c r="C2335" s="1">
        <v>2016</v>
      </c>
      <c r="D2335" t="s">
        <v>44</v>
      </c>
      <c r="F2335" t="s">
        <v>628</v>
      </c>
      <c r="G2335" t="s">
        <v>86</v>
      </c>
      <c r="H2335" t="s">
        <v>96</v>
      </c>
      <c r="I2335">
        <v>2012</v>
      </c>
      <c r="K2335" t="s">
        <v>101</v>
      </c>
      <c r="L2335">
        <v>2</v>
      </c>
      <c r="M2335">
        <v>0</v>
      </c>
      <c r="N2335" t="s">
        <v>120</v>
      </c>
      <c r="O2335" t="s">
        <v>120</v>
      </c>
      <c r="P2335" t="s">
        <v>711</v>
      </c>
      <c r="Q2335" s="1" t="s">
        <v>2276</v>
      </c>
      <c r="R2335" s="1" t="s">
        <v>669</v>
      </c>
      <c r="S2335" s="1" t="s">
        <v>168</v>
      </c>
      <c r="X2335" t="s">
        <v>1363</v>
      </c>
      <c r="Y2335" t="s">
        <v>2273</v>
      </c>
      <c r="Z2335" t="s">
        <v>249</v>
      </c>
      <c r="AA2335" t="s">
        <v>2359</v>
      </c>
      <c r="AB2335" t="s">
        <v>2285</v>
      </c>
      <c r="AC2335" t="s">
        <v>315</v>
      </c>
      <c r="AD2335" t="s">
        <v>137</v>
      </c>
      <c r="AF2335" t="s">
        <v>49</v>
      </c>
      <c r="AH2335" t="s">
        <v>49</v>
      </c>
      <c r="AJ2335" t="s">
        <v>49</v>
      </c>
      <c r="AM2335" t="s">
        <v>1352</v>
      </c>
      <c r="AN2335" t="s">
        <v>165</v>
      </c>
      <c r="AR2335">
        <v>1</v>
      </c>
    </row>
    <row r="2336" spans="1:44" x14ac:dyDescent="0.2">
      <c r="A2336" t="s">
        <v>1356</v>
      </c>
      <c r="B2336" t="s">
        <v>1357</v>
      </c>
      <c r="C2336" s="1">
        <v>2016</v>
      </c>
      <c r="D2336" t="s">
        <v>44</v>
      </c>
      <c r="F2336" t="s">
        <v>628</v>
      </c>
      <c r="G2336" t="s">
        <v>86</v>
      </c>
      <c r="H2336" t="s">
        <v>96</v>
      </c>
      <c r="I2336">
        <v>2012</v>
      </c>
      <c r="K2336" t="s">
        <v>101</v>
      </c>
      <c r="L2336">
        <v>2</v>
      </c>
      <c r="M2336">
        <v>0</v>
      </c>
      <c r="N2336" t="s">
        <v>120</v>
      </c>
      <c r="O2336" t="s">
        <v>120</v>
      </c>
      <c r="P2336" t="s">
        <v>711</v>
      </c>
      <c r="Q2336" s="1" t="s">
        <v>2276</v>
      </c>
      <c r="R2336" s="1" t="s">
        <v>669</v>
      </c>
      <c r="S2336" s="1" t="s">
        <v>168</v>
      </c>
      <c r="X2336" t="s">
        <v>568</v>
      </c>
      <c r="Y2336" t="s">
        <v>2273</v>
      </c>
      <c r="Z2336" t="s">
        <v>249</v>
      </c>
      <c r="AA2336" t="s">
        <v>2274</v>
      </c>
      <c r="AB2336" t="s">
        <v>2300</v>
      </c>
      <c r="AC2336" t="s">
        <v>152</v>
      </c>
      <c r="AD2336" t="s">
        <v>137</v>
      </c>
      <c r="AF2336" t="s">
        <v>49</v>
      </c>
      <c r="AH2336" t="s">
        <v>49</v>
      </c>
      <c r="AJ2336" t="s">
        <v>49</v>
      </c>
      <c r="AM2336" t="s">
        <v>1352</v>
      </c>
      <c r="AN2336" t="s">
        <v>165</v>
      </c>
      <c r="AR2336">
        <v>1</v>
      </c>
    </row>
    <row r="2337" spans="1:45" x14ac:dyDescent="0.2">
      <c r="A2337" t="s">
        <v>1356</v>
      </c>
      <c r="B2337" t="s">
        <v>1357</v>
      </c>
      <c r="C2337" s="1">
        <v>2016</v>
      </c>
      <c r="D2337" t="s">
        <v>44</v>
      </c>
      <c r="F2337" t="s">
        <v>628</v>
      </c>
      <c r="G2337" t="s">
        <v>86</v>
      </c>
      <c r="H2337" t="s">
        <v>96</v>
      </c>
      <c r="I2337">
        <v>2012</v>
      </c>
      <c r="K2337" t="s">
        <v>101</v>
      </c>
      <c r="L2337">
        <v>2</v>
      </c>
      <c r="M2337">
        <v>0</v>
      </c>
      <c r="N2337" t="s">
        <v>120</v>
      </c>
      <c r="O2337" t="s">
        <v>120</v>
      </c>
      <c r="P2337" t="s">
        <v>711</v>
      </c>
      <c r="Q2337" s="1" t="s">
        <v>2276</v>
      </c>
      <c r="R2337" s="1" t="s">
        <v>669</v>
      </c>
      <c r="S2337" s="1" t="s">
        <v>168</v>
      </c>
      <c r="X2337" t="s">
        <v>321</v>
      </c>
      <c r="Y2337" t="s">
        <v>2273</v>
      </c>
      <c r="Z2337" t="s">
        <v>249</v>
      </c>
      <c r="AA2337" t="s">
        <v>2274</v>
      </c>
      <c r="AB2337" t="s">
        <v>2298</v>
      </c>
      <c r="AC2337" t="s">
        <v>315</v>
      </c>
      <c r="AD2337" t="s">
        <v>137</v>
      </c>
      <c r="AF2337" t="s">
        <v>49</v>
      </c>
      <c r="AH2337" t="s">
        <v>49</v>
      </c>
      <c r="AJ2337" t="s">
        <v>49</v>
      </c>
      <c r="AM2337" t="s">
        <v>1352</v>
      </c>
      <c r="AN2337" t="s">
        <v>165</v>
      </c>
      <c r="AR2337">
        <v>1</v>
      </c>
    </row>
    <row r="2338" spans="1:45" x14ac:dyDescent="0.2">
      <c r="A2338" t="s">
        <v>1356</v>
      </c>
      <c r="B2338" t="s">
        <v>1357</v>
      </c>
      <c r="C2338" s="1">
        <v>2016</v>
      </c>
      <c r="D2338" t="s">
        <v>44</v>
      </c>
      <c r="F2338" t="s">
        <v>628</v>
      </c>
      <c r="G2338" t="s">
        <v>86</v>
      </c>
      <c r="H2338" t="s">
        <v>96</v>
      </c>
      <c r="I2338">
        <v>2012</v>
      </c>
      <c r="K2338" t="s">
        <v>101</v>
      </c>
      <c r="L2338">
        <v>2</v>
      </c>
      <c r="M2338">
        <v>0</v>
      </c>
      <c r="N2338" t="s">
        <v>120</v>
      </c>
      <c r="O2338" t="s">
        <v>120</v>
      </c>
      <c r="P2338" t="s">
        <v>711</v>
      </c>
      <c r="Q2338" s="1" t="s">
        <v>2276</v>
      </c>
      <c r="R2338" s="1" t="s">
        <v>669</v>
      </c>
      <c r="S2338" s="1" t="s">
        <v>168</v>
      </c>
      <c r="X2338" t="s">
        <v>1361</v>
      </c>
      <c r="Y2338" t="s">
        <v>2273</v>
      </c>
      <c r="Z2338" t="s">
        <v>249</v>
      </c>
      <c r="AA2338" t="s">
        <v>2359</v>
      </c>
      <c r="AB2338" t="s">
        <v>1419</v>
      </c>
      <c r="AC2338" t="s">
        <v>152</v>
      </c>
      <c r="AD2338" t="s">
        <v>2288</v>
      </c>
      <c r="AF2338" t="s">
        <v>49</v>
      </c>
      <c r="AH2338" t="s">
        <v>49</v>
      </c>
      <c r="AJ2338" t="s">
        <v>49</v>
      </c>
      <c r="AM2338" t="s">
        <v>1352</v>
      </c>
      <c r="AN2338" t="s">
        <v>165</v>
      </c>
      <c r="AR2338">
        <v>1</v>
      </c>
    </row>
    <row r="2339" spans="1:45" x14ac:dyDescent="0.2">
      <c r="A2339" t="s">
        <v>1356</v>
      </c>
      <c r="B2339" t="s">
        <v>1357</v>
      </c>
      <c r="C2339" s="1">
        <v>2016</v>
      </c>
      <c r="D2339" t="s">
        <v>44</v>
      </c>
      <c r="F2339" t="s">
        <v>628</v>
      </c>
      <c r="G2339" t="s">
        <v>86</v>
      </c>
      <c r="H2339" t="s">
        <v>96</v>
      </c>
      <c r="I2339">
        <v>2012</v>
      </c>
      <c r="K2339" t="s">
        <v>101</v>
      </c>
      <c r="L2339">
        <v>2</v>
      </c>
      <c r="M2339">
        <v>0</v>
      </c>
      <c r="N2339" t="s">
        <v>120</v>
      </c>
      <c r="O2339" t="s">
        <v>120</v>
      </c>
      <c r="P2339" t="s">
        <v>711</v>
      </c>
      <c r="Q2339" s="1" t="s">
        <v>2276</v>
      </c>
      <c r="R2339" s="1" t="s">
        <v>669</v>
      </c>
      <c r="S2339" s="1" t="s">
        <v>168</v>
      </c>
      <c r="X2339" t="s">
        <v>1362</v>
      </c>
      <c r="Y2339" t="s">
        <v>2273</v>
      </c>
      <c r="Z2339" t="s">
        <v>249</v>
      </c>
      <c r="AA2339" t="s">
        <v>2359</v>
      </c>
      <c r="AB2339" t="s">
        <v>2285</v>
      </c>
      <c r="AC2339" t="s">
        <v>152</v>
      </c>
      <c r="AD2339" t="s">
        <v>137</v>
      </c>
      <c r="AF2339" t="s">
        <v>49</v>
      </c>
      <c r="AH2339" t="s">
        <v>49</v>
      </c>
      <c r="AJ2339" t="s">
        <v>49</v>
      </c>
      <c r="AM2339" t="s">
        <v>1352</v>
      </c>
      <c r="AN2339" t="s">
        <v>165</v>
      </c>
      <c r="AR2339">
        <v>1</v>
      </c>
    </row>
    <row r="2340" spans="1:45" x14ac:dyDescent="0.2">
      <c r="A2340" t="s">
        <v>1356</v>
      </c>
      <c r="B2340" t="s">
        <v>1357</v>
      </c>
      <c r="C2340" s="1">
        <v>2016</v>
      </c>
      <c r="D2340" t="s">
        <v>44</v>
      </c>
      <c r="F2340" t="s">
        <v>628</v>
      </c>
      <c r="G2340" t="s">
        <v>86</v>
      </c>
      <c r="H2340" t="s">
        <v>96</v>
      </c>
      <c r="I2340">
        <v>2012</v>
      </c>
      <c r="K2340" t="s">
        <v>101</v>
      </c>
      <c r="L2340">
        <v>2</v>
      </c>
      <c r="M2340">
        <f>0.5*0.5</f>
        <v>0.25</v>
      </c>
      <c r="N2340" t="s">
        <v>120</v>
      </c>
      <c r="O2340" t="s">
        <v>120</v>
      </c>
      <c r="P2340" t="s">
        <v>711</v>
      </c>
      <c r="Q2340" s="1" t="s">
        <v>2276</v>
      </c>
      <c r="R2340" s="1" t="s">
        <v>669</v>
      </c>
      <c r="S2340" s="1" t="s">
        <v>168</v>
      </c>
      <c r="X2340" t="s">
        <v>189</v>
      </c>
      <c r="Y2340" t="s">
        <v>2279</v>
      </c>
      <c r="Z2340" t="s">
        <v>2280</v>
      </c>
      <c r="AA2340" t="s">
        <v>2358</v>
      </c>
      <c r="AB2340" t="s">
        <v>189</v>
      </c>
      <c r="AC2340" t="s">
        <v>152</v>
      </c>
      <c r="AD2340" t="s">
        <v>2278</v>
      </c>
      <c r="AE2340" t="s">
        <v>415</v>
      </c>
      <c r="AF2340" t="s">
        <v>49</v>
      </c>
      <c r="AH2340" t="s">
        <v>49</v>
      </c>
      <c r="AJ2340" t="s">
        <v>49</v>
      </c>
      <c r="AM2340" t="s">
        <v>1145</v>
      </c>
      <c r="AN2340" t="s">
        <v>165</v>
      </c>
      <c r="AP2340" t="s">
        <v>49</v>
      </c>
      <c r="AR2340">
        <v>1</v>
      </c>
    </row>
    <row r="2341" spans="1:45" x14ac:dyDescent="0.2">
      <c r="A2341" t="s">
        <v>1356</v>
      </c>
      <c r="B2341" t="s">
        <v>1357</v>
      </c>
      <c r="C2341" s="1">
        <v>2016</v>
      </c>
      <c r="D2341" t="s">
        <v>44</v>
      </c>
      <c r="F2341" t="s">
        <v>628</v>
      </c>
      <c r="G2341" t="s">
        <v>86</v>
      </c>
      <c r="H2341" t="s">
        <v>96</v>
      </c>
      <c r="I2341">
        <v>2012</v>
      </c>
      <c r="K2341" t="s">
        <v>101</v>
      </c>
      <c r="L2341">
        <v>2</v>
      </c>
      <c r="M2341">
        <f>0.5*0.5</f>
        <v>0.25</v>
      </c>
      <c r="N2341" t="s">
        <v>120</v>
      </c>
      <c r="O2341" t="s">
        <v>120</v>
      </c>
      <c r="P2341" t="s">
        <v>711</v>
      </c>
      <c r="Q2341" s="1" t="s">
        <v>2276</v>
      </c>
      <c r="R2341" s="1" t="s">
        <v>669</v>
      </c>
      <c r="S2341" s="1" t="s">
        <v>168</v>
      </c>
      <c r="X2341" t="s">
        <v>293</v>
      </c>
      <c r="Y2341" t="s">
        <v>2273</v>
      </c>
      <c r="Z2341" t="s">
        <v>249</v>
      </c>
      <c r="AA2341" t="s">
        <v>2359</v>
      </c>
      <c r="AB2341" t="s">
        <v>1419</v>
      </c>
      <c r="AC2341" t="s">
        <v>152</v>
      </c>
      <c r="AD2341" t="s">
        <v>137</v>
      </c>
      <c r="AE2341" t="s">
        <v>415</v>
      </c>
      <c r="AF2341" t="s">
        <v>49</v>
      </c>
      <c r="AH2341" t="s">
        <v>49</v>
      </c>
      <c r="AJ2341" t="s">
        <v>49</v>
      </c>
      <c r="AM2341" t="s">
        <v>1145</v>
      </c>
      <c r="AN2341" t="s">
        <v>165</v>
      </c>
      <c r="AP2341" t="s">
        <v>49</v>
      </c>
      <c r="AR2341">
        <v>1</v>
      </c>
    </row>
    <row r="2342" spans="1:45" x14ac:dyDescent="0.2">
      <c r="A2342" t="s">
        <v>1356</v>
      </c>
      <c r="B2342" t="s">
        <v>1357</v>
      </c>
      <c r="C2342" s="1">
        <v>2016</v>
      </c>
      <c r="D2342" t="s">
        <v>44</v>
      </c>
      <c r="F2342" t="s">
        <v>628</v>
      </c>
      <c r="G2342" t="s">
        <v>86</v>
      </c>
      <c r="H2342" t="s">
        <v>96</v>
      </c>
      <c r="I2342">
        <v>2012</v>
      </c>
      <c r="K2342" t="s">
        <v>101</v>
      </c>
      <c r="L2342">
        <v>2</v>
      </c>
      <c r="M2342">
        <f>0.5*0.5</f>
        <v>0.25</v>
      </c>
      <c r="N2342" t="s">
        <v>120</v>
      </c>
      <c r="O2342" t="s">
        <v>120</v>
      </c>
      <c r="P2342" t="s">
        <v>711</v>
      </c>
      <c r="Q2342" s="1" t="s">
        <v>2276</v>
      </c>
      <c r="R2342" s="1" t="s">
        <v>669</v>
      </c>
      <c r="S2342" s="1" t="s">
        <v>168</v>
      </c>
      <c r="X2342" t="s">
        <v>712</v>
      </c>
      <c r="Y2342" t="s">
        <v>2273</v>
      </c>
      <c r="Z2342" t="s">
        <v>249</v>
      </c>
      <c r="AA2342" t="s">
        <v>2359</v>
      </c>
      <c r="AB2342" t="s">
        <v>1419</v>
      </c>
      <c r="AC2342" t="s">
        <v>152</v>
      </c>
      <c r="AD2342" t="s">
        <v>137</v>
      </c>
      <c r="AE2342" t="s">
        <v>415</v>
      </c>
      <c r="AF2342" t="s">
        <v>49</v>
      </c>
      <c r="AH2342" t="s">
        <v>49</v>
      </c>
      <c r="AJ2342" t="s">
        <v>49</v>
      </c>
      <c r="AM2342" t="s">
        <v>1145</v>
      </c>
      <c r="AN2342" t="s">
        <v>165</v>
      </c>
      <c r="AP2342" t="s">
        <v>49</v>
      </c>
      <c r="AR2342">
        <v>1</v>
      </c>
    </row>
    <row r="2343" spans="1:45" x14ac:dyDescent="0.2">
      <c r="A2343" t="s">
        <v>1356</v>
      </c>
      <c r="B2343" t="s">
        <v>1357</v>
      </c>
      <c r="C2343" s="1">
        <v>2016</v>
      </c>
      <c r="D2343" t="s">
        <v>44</v>
      </c>
      <c r="F2343" t="s">
        <v>628</v>
      </c>
      <c r="G2343" t="s">
        <v>86</v>
      </c>
      <c r="H2343" t="s">
        <v>96</v>
      </c>
      <c r="I2343">
        <v>2012</v>
      </c>
      <c r="K2343" t="s">
        <v>101</v>
      </c>
      <c r="L2343">
        <v>2</v>
      </c>
      <c r="M2343">
        <f>0.5*0.5</f>
        <v>0.25</v>
      </c>
      <c r="N2343" t="s">
        <v>120</v>
      </c>
      <c r="O2343" t="s">
        <v>120</v>
      </c>
      <c r="P2343" t="s">
        <v>711</v>
      </c>
      <c r="Q2343" s="1" t="s">
        <v>2276</v>
      </c>
      <c r="R2343" s="1" t="s">
        <v>669</v>
      </c>
      <c r="S2343" s="1" t="s">
        <v>168</v>
      </c>
      <c r="X2343" t="s">
        <v>171</v>
      </c>
      <c r="Y2343" t="s">
        <v>2273</v>
      </c>
      <c r="Z2343" t="s">
        <v>249</v>
      </c>
      <c r="AA2343" t="s">
        <v>2359</v>
      </c>
      <c r="AB2343" t="s">
        <v>1979</v>
      </c>
      <c r="AC2343" t="s">
        <v>152</v>
      </c>
      <c r="AD2343" t="s">
        <v>137</v>
      </c>
      <c r="AE2343" t="s">
        <v>415</v>
      </c>
      <c r="AF2343" t="s">
        <v>49</v>
      </c>
      <c r="AH2343" t="s">
        <v>49</v>
      </c>
      <c r="AJ2343" t="s">
        <v>49</v>
      </c>
      <c r="AM2343" t="s">
        <v>1145</v>
      </c>
      <c r="AN2343" t="s">
        <v>165</v>
      </c>
      <c r="AP2343" t="s">
        <v>49</v>
      </c>
      <c r="AR2343">
        <v>1</v>
      </c>
    </row>
    <row r="2344" spans="1:45" x14ac:dyDescent="0.2">
      <c r="A2344" t="s">
        <v>1356</v>
      </c>
      <c r="B2344" t="s">
        <v>1357</v>
      </c>
      <c r="C2344" s="1">
        <v>2016</v>
      </c>
      <c r="D2344" t="s">
        <v>44</v>
      </c>
      <c r="F2344" t="s">
        <v>628</v>
      </c>
      <c r="G2344" t="s">
        <v>86</v>
      </c>
      <c r="H2344" t="s">
        <v>96</v>
      </c>
      <c r="I2344">
        <v>2012</v>
      </c>
      <c r="K2344" t="s">
        <v>101</v>
      </c>
      <c r="L2344">
        <v>2</v>
      </c>
      <c r="M2344">
        <v>0</v>
      </c>
      <c r="N2344" t="s">
        <v>120</v>
      </c>
      <c r="O2344" t="s">
        <v>120</v>
      </c>
      <c r="P2344" t="s">
        <v>711</v>
      </c>
      <c r="Q2344" s="1" t="s">
        <v>2276</v>
      </c>
      <c r="R2344" s="1" t="s">
        <v>669</v>
      </c>
      <c r="S2344" s="1" t="s">
        <v>168</v>
      </c>
      <c r="X2344" t="s">
        <v>1359</v>
      </c>
      <c r="Y2344" t="s">
        <v>2273</v>
      </c>
      <c r="Z2344" t="s">
        <v>2356</v>
      </c>
      <c r="AA2344" t="s">
        <v>2357</v>
      </c>
      <c r="AB2344" t="s">
        <v>2306</v>
      </c>
      <c r="AC2344" t="s">
        <v>152</v>
      </c>
      <c r="AD2344" t="s">
        <v>137</v>
      </c>
      <c r="AF2344" t="s">
        <v>49</v>
      </c>
      <c r="AH2344" t="s">
        <v>49</v>
      </c>
      <c r="AJ2344" t="s">
        <v>49</v>
      </c>
      <c r="AM2344" t="s">
        <v>1145</v>
      </c>
      <c r="AN2344" t="s">
        <v>165</v>
      </c>
      <c r="AR2344">
        <v>1</v>
      </c>
    </row>
    <row r="2345" spans="1:45" x14ac:dyDescent="0.2">
      <c r="A2345" t="s">
        <v>1356</v>
      </c>
      <c r="B2345" t="s">
        <v>1357</v>
      </c>
      <c r="C2345" s="1">
        <v>2016</v>
      </c>
      <c r="D2345" t="s">
        <v>44</v>
      </c>
      <c r="F2345" t="s">
        <v>628</v>
      </c>
      <c r="G2345" t="s">
        <v>86</v>
      </c>
      <c r="H2345" t="s">
        <v>96</v>
      </c>
      <c r="I2345">
        <v>2012</v>
      </c>
      <c r="K2345" t="s">
        <v>101</v>
      </c>
      <c r="L2345">
        <v>2</v>
      </c>
      <c r="M2345">
        <v>0</v>
      </c>
      <c r="N2345" t="s">
        <v>120</v>
      </c>
      <c r="O2345" t="s">
        <v>120</v>
      </c>
      <c r="P2345" t="s">
        <v>711</v>
      </c>
      <c r="Q2345" s="1" t="s">
        <v>2276</v>
      </c>
      <c r="R2345" s="1" t="s">
        <v>669</v>
      </c>
      <c r="S2345" s="1" t="s">
        <v>168</v>
      </c>
      <c r="X2345" t="s">
        <v>1360</v>
      </c>
      <c r="Y2345" t="s">
        <v>2273</v>
      </c>
      <c r="Z2345" t="s">
        <v>2356</v>
      </c>
      <c r="AA2345" t="s">
        <v>2357</v>
      </c>
      <c r="AB2345" t="s">
        <v>2306</v>
      </c>
      <c r="AC2345" t="s">
        <v>152</v>
      </c>
      <c r="AD2345" t="s">
        <v>137</v>
      </c>
      <c r="AF2345" t="s">
        <v>49</v>
      </c>
      <c r="AH2345" t="s">
        <v>49</v>
      </c>
      <c r="AJ2345" t="s">
        <v>49</v>
      </c>
      <c r="AM2345" t="s">
        <v>1145</v>
      </c>
      <c r="AN2345" t="s">
        <v>165</v>
      </c>
      <c r="AR2345">
        <v>1</v>
      </c>
    </row>
    <row r="2346" spans="1:45" x14ac:dyDescent="0.2">
      <c r="A2346" t="s">
        <v>1356</v>
      </c>
      <c r="B2346" t="s">
        <v>1357</v>
      </c>
      <c r="C2346" s="1">
        <v>2016</v>
      </c>
      <c r="D2346" t="s">
        <v>44</v>
      </c>
      <c r="F2346" t="s">
        <v>628</v>
      </c>
      <c r="G2346" t="s">
        <v>86</v>
      </c>
      <c r="H2346" t="s">
        <v>96</v>
      </c>
      <c r="I2346">
        <v>2012</v>
      </c>
      <c r="K2346" t="s">
        <v>101</v>
      </c>
      <c r="L2346">
        <v>2</v>
      </c>
      <c r="M2346">
        <v>0</v>
      </c>
      <c r="N2346" t="s">
        <v>120</v>
      </c>
      <c r="O2346" t="s">
        <v>120</v>
      </c>
      <c r="P2346" t="s">
        <v>711</v>
      </c>
      <c r="Q2346" s="1" t="s">
        <v>2276</v>
      </c>
      <c r="R2346" s="1" t="s">
        <v>669</v>
      </c>
      <c r="S2346" s="1" t="s">
        <v>168</v>
      </c>
      <c r="X2346" t="s">
        <v>1363</v>
      </c>
      <c r="Y2346" t="s">
        <v>2273</v>
      </c>
      <c r="Z2346" t="s">
        <v>249</v>
      </c>
      <c r="AA2346" t="s">
        <v>2359</v>
      </c>
      <c r="AB2346" t="s">
        <v>2285</v>
      </c>
      <c r="AC2346" t="s">
        <v>315</v>
      </c>
      <c r="AD2346" t="s">
        <v>137</v>
      </c>
      <c r="AF2346" t="s">
        <v>49</v>
      </c>
      <c r="AH2346" t="s">
        <v>49</v>
      </c>
      <c r="AJ2346" t="s">
        <v>49</v>
      </c>
      <c r="AM2346" t="s">
        <v>1145</v>
      </c>
      <c r="AN2346" t="s">
        <v>165</v>
      </c>
      <c r="AR2346">
        <v>1</v>
      </c>
    </row>
    <row r="2347" spans="1:45" x14ac:dyDescent="0.2">
      <c r="A2347" t="s">
        <v>1356</v>
      </c>
      <c r="B2347" t="s">
        <v>1357</v>
      </c>
      <c r="C2347" s="1">
        <v>2016</v>
      </c>
      <c r="D2347" t="s">
        <v>44</v>
      </c>
      <c r="F2347" t="s">
        <v>628</v>
      </c>
      <c r="G2347" t="s">
        <v>86</v>
      </c>
      <c r="H2347" t="s">
        <v>96</v>
      </c>
      <c r="I2347">
        <v>2012</v>
      </c>
      <c r="K2347" t="s">
        <v>101</v>
      </c>
      <c r="L2347">
        <v>2</v>
      </c>
      <c r="M2347">
        <v>0</v>
      </c>
      <c r="N2347" t="s">
        <v>120</v>
      </c>
      <c r="O2347" t="s">
        <v>120</v>
      </c>
      <c r="P2347" t="s">
        <v>711</v>
      </c>
      <c r="Q2347" s="1" t="s">
        <v>2276</v>
      </c>
      <c r="R2347" s="1" t="s">
        <v>669</v>
      </c>
      <c r="S2347" s="1" t="s">
        <v>168</v>
      </c>
      <c r="X2347" t="s">
        <v>568</v>
      </c>
      <c r="Y2347" t="s">
        <v>2273</v>
      </c>
      <c r="Z2347" t="s">
        <v>249</v>
      </c>
      <c r="AA2347" t="s">
        <v>2274</v>
      </c>
      <c r="AB2347" t="s">
        <v>2300</v>
      </c>
      <c r="AC2347" t="s">
        <v>152</v>
      </c>
      <c r="AD2347" t="s">
        <v>137</v>
      </c>
      <c r="AF2347" t="s">
        <v>49</v>
      </c>
      <c r="AH2347" t="s">
        <v>49</v>
      </c>
      <c r="AJ2347" t="s">
        <v>49</v>
      </c>
      <c r="AM2347" t="s">
        <v>1145</v>
      </c>
      <c r="AN2347" t="s">
        <v>165</v>
      </c>
      <c r="AR2347">
        <v>1</v>
      </c>
    </row>
    <row r="2348" spans="1:45" x14ac:dyDescent="0.2">
      <c r="A2348" t="s">
        <v>1356</v>
      </c>
      <c r="B2348" t="s">
        <v>1357</v>
      </c>
      <c r="C2348" s="1">
        <v>2016</v>
      </c>
      <c r="D2348" t="s">
        <v>44</v>
      </c>
      <c r="F2348" t="s">
        <v>628</v>
      </c>
      <c r="G2348" t="s">
        <v>86</v>
      </c>
      <c r="H2348" t="s">
        <v>96</v>
      </c>
      <c r="I2348">
        <v>2012</v>
      </c>
      <c r="K2348" t="s">
        <v>101</v>
      </c>
      <c r="L2348">
        <v>2</v>
      </c>
      <c r="M2348">
        <v>0</v>
      </c>
      <c r="N2348" t="s">
        <v>120</v>
      </c>
      <c r="O2348" t="s">
        <v>120</v>
      </c>
      <c r="P2348" t="s">
        <v>711</v>
      </c>
      <c r="Q2348" s="1" t="s">
        <v>2276</v>
      </c>
      <c r="R2348" s="1" t="s">
        <v>669</v>
      </c>
      <c r="S2348" s="1" t="s">
        <v>168</v>
      </c>
      <c r="X2348" t="s">
        <v>321</v>
      </c>
      <c r="Y2348" t="s">
        <v>2273</v>
      </c>
      <c r="Z2348" t="s">
        <v>249</v>
      </c>
      <c r="AA2348" t="s">
        <v>2274</v>
      </c>
      <c r="AB2348" t="s">
        <v>2298</v>
      </c>
      <c r="AC2348" t="s">
        <v>315</v>
      </c>
      <c r="AD2348" t="s">
        <v>137</v>
      </c>
      <c r="AF2348" t="s">
        <v>49</v>
      </c>
      <c r="AH2348" t="s">
        <v>49</v>
      </c>
      <c r="AJ2348" t="s">
        <v>49</v>
      </c>
      <c r="AM2348" t="s">
        <v>1145</v>
      </c>
      <c r="AN2348" t="s">
        <v>165</v>
      </c>
      <c r="AR2348">
        <v>1</v>
      </c>
    </row>
    <row r="2349" spans="1:45" x14ac:dyDescent="0.2">
      <c r="A2349" t="s">
        <v>1356</v>
      </c>
      <c r="B2349" t="s">
        <v>1357</v>
      </c>
      <c r="C2349" s="1">
        <v>2016</v>
      </c>
      <c r="D2349" t="s">
        <v>44</v>
      </c>
      <c r="F2349" t="s">
        <v>628</v>
      </c>
      <c r="G2349" t="s">
        <v>86</v>
      </c>
      <c r="H2349" t="s">
        <v>96</v>
      </c>
      <c r="I2349">
        <v>2012</v>
      </c>
      <c r="K2349" t="s">
        <v>101</v>
      </c>
      <c r="L2349">
        <v>2</v>
      </c>
      <c r="M2349">
        <v>0</v>
      </c>
      <c r="N2349" t="s">
        <v>120</v>
      </c>
      <c r="O2349" t="s">
        <v>120</v>
      </c>
      <c r="P2349" t="s">
        <v>711</v>
      </c>
      <c r="Q2349" s="1" t="s">
        <v>2276</v>
      </c>
      <c r="R2349" s="1" t="s">
        <v>669</v>
      </c>
      <c r="S2349" s="1" t="s">
        <v>168</v>
      </c>
      <c r="X2349" t="s">
        <v>1361</v>
      </c>
      <c r="Y2349" t="s">
        <v>2273</v>
      </c>
      <c r="Z2349" t="s">
        <v>249</v>
      </c>
      <c r="AA2349" t="s">
        <v>2359</v>
      </c>
      <c r="AB2349" t="s">
        <v>1419</v>
      </c>
      <c r="AC2349" t="s">
        <v>152</v>
      </c>
      <c r="AD2349" t="s">
        <v>2288</v>
      </c>
      <c r="AF2349" t="s">
        <v>49</v>
      </c>
      <c r="AH2349" t="s">
        <v>49</v>
      </c>
      <c r="AJ2349" t="s">
        <v>49</v>
      </c>
      <c r="AM2349" t="s">
        <v>1145</v>
      </c>
      <c r="AN2349" t="s">
        <v>165</v>
      </c>
      <c r="AR2349">
        <v>1</v>
      </c>
    </row>
    <row r="2350" spans="1:45" x14ac:dyDescent="0.2">
      <c r="A2350" t="s">
        <v>1356</v>
      </c>
      <c r="B2350" t="s">
        <v>1357</v>
      </c>
      <c r="C2350" s="1">
        <v>2016</v>
      </c>
      <c r="D2350" t="s">
        <v>44</v>
      </c>
      <c r="F2350" t="s">
        <v>628</v>
      </c>
      <c r="G2350" t="s">
        <v>86</v>
      </c>
      <c r="H2350" t="s">
        <v>96</v>
      </c>
      <c r="I2350">
        <v>2012</v>
      </c>
      <c r="K2350" t="s">
        <v>101</v>
      </c>
      <c r="L2350">
        <v>2</v>
      </c>
      <c r="M2350">
        <v>0</v>
      </c>
      <c r="N2350" t="s">
        <v>120</v>
      </c>
      <c r="O2350" t="s">
        <v>120</v>
      </c>
      <c r="P2350" t="s">
        <v>711</v>
      </c>
      <c r="Q2350" s="1" t="s">
        <v>2276</v>
      </c>
      <c r="R2350" s="1" t="s">
        <v>669</v>
      </c>
      <c r="S2350" s="1" t="s">
        <v>168</v>
      </c>
      <c r="X2350" t="s">
        <v>1362</v>
      </c>
      <c r="Y2350" t="s">
        <v>2273</v>
      </c>
      <c r="Z2350" t="s">
        <v>249</v>
      </c>
      <c r="AA2350" t="s">
        <v>2359</v>
      </c>
      <c r="AB2350" t="s">
        <v>2285</v>
      </c>
      <c r="AC2350" t="s">
        <v>152</v>
      </c>
      <c r="AD2350" t="s">
        <v>137</v>
      </c>
      <c r="AF2350" t="s">
        <v>49</v>
      </c>
      <c r="AH2350" t="s">
        <v>49</v>
      </c>
      <c r="AJ2350" t="s">
        <v>49</v>
      </c>
      <c r="AM2350" t="s">
        <v>1145</v>
      </c>
      <c r="AN2350" t="s">
        <v>165</v>
      </c>
      <c r="AR2350">
        <v>1</v>
      </c>
    </row>
    <row r="2351" spans="1:45" x14ac:dyDescent="0.2">
      <c r="A2351" t="s">
        <v>1364</v>
      </c>
      <c r="B2351" t="s">
        <v>1365</v>
      </c>
      <c r="C2351" s="1">
        <v>2016</v>
      </c>
      <c r="Q2351" s="1" t="s">
        <v>2272</v>
      </c>
      <c r="R2351" s="1" t="s">
        <v>2272</v>
      </c>
      <c r="S2351" s="1" t="s">
        <v>2272</v>
      </c>
      <c r="Y2351" t="s">
        <v>2272</v>
      </c>
      <c r="Z2351" t="s">
        <v>2272</v>
      </c>
      <c r="AA2351" t="s">
        <v>2272</v>
      </c>
      <c r="AB2351" t="s">
        <v>2272</v>
      </c>
      <c r="AD2351" t="s">
        <v>2272</v>
      </c>
      <c r="AR2351" t="s">
        <v>144</v>
      </c>
      <c r="AS2351" t="s">
        <v>2583</v>
      </c>
    </row>
    <row r="2352" spans="1:45" x14ac:dyDescent="0.2">
      <c r="A2352" t="s">
        <v>1366</v>
      </c>
      <c r="B2352" t="s">
        <v>1367</v>
      </c>
      <c r="C2352" s="1">
        <v>2016</v>
      </c>
      <c r="D2352" t="s">
        <v>44</v>
      </c>
      <c r="F2352" t="s">
        <v>1368</v>
      </c>
      <c r="G2352" t="s">
        <v>86</v>
      </c>
      <c r="H2352" t="s">
        <v>350</v>
      </c>
      <c r="I2352">
        <v>2009</v>
      </c>
      <c r="J2352">
        <v>0.17</v>
      </c>
      <c r="K2352" t="s">
        <v>101</v>
      </c>
      <c r="M2352">
        <v>0</v>
      </c>
      <c r="N2352" t="s">
        <v>131</v>
      </c>
      <c r="O2352" t="s">
        <v>131</v>
      </c>
      <c r="P2352" t="s">
        <v>698</v>
      </c>
      <c r="Q2352" s="1" t="s">
        <v>2281</v>
      </c>
      <c r="R2352" s="1" t="s">
        <v>2295</v>
      </c>
      <c r="S2352" s="1" t="s">
        <v>2295</v>
      </c>
      <c r="T2352" t="s">
        <v>396</v>
      </c>
      <c r="U2352" s="1" t="s">
        <v>2295</v>
      </c>
      <c r="X2352" t="s">
        <v>161</v>
      </c>
      <c r="Y2352" t="s">
        <v>2272</v>
      </c>
      <c r="Z2352" t="s">
        <v>2272</v>
      </c>
      <c r="AA2352" t="s">
        <v>2272</v>
      </c>
      <c r="AB2352" t="s">
        <v>2272</v>
      </c>
      <c r="AC2352" t="s">
        <v>162</v>
      </c>
      <c r="AD2352" t="s">
        <v>2272</v>
      </c>
      <c r="AF2352" t="s">
        <v>49</v>
      </c>
      <c r="AI2352" t="s">
        <v>49</v>
      </c>
      <c r="AM2352" t="s">
        <v>202</v>
      </c>
      <c r="AN2352" t="s">
        <v>165</v>
      </c>
      <c r="AP2352" t="s">
        <v>49</v>
      </c>
    </row>
    <row r="2353" spans="1:45" x14ac:dyDescent="0.2">
      <c r="A2353" t="s">
        <v>1366</v>
      </c>
      <c r="B2353" t="s">
        <v>1367</v>
      </c>
      <c r="C2353" s="1">
        <v>2016</v>
      </c>
      <c r="D2353" t="s">
        <v>44</v>
      </c>
      <c r="F2353" t="s">
        <v>1368</v>
      </c>
      <c r="G2353" t="s">
        <v>86</v>
      </c>
      <c r="H2353" t="s">
        <v>350</v>
      </c>
      <c r="I2353">
        <v>2009</v>
      </c>
      <c r="J2353">
        <v>0.17</v>
      </c>
      <c r="K2353" t="s">
        <v>101</v>
      </c>
      <c r="M2353">
        <v>0</v>
      </c>
      <c r="N2353" t="s">
        <v>131</v>
      </c>
      <c r="O2353" t="s">
        <v>131</v>
      </c>
      <c r="P2353" t="s">
        <v>1370</v>
      </c>
      <c r="Q2353" s="1" t="s">
        <v>2281</v>
      </c>
      <c r="R2353" s="1" t="s">
        <v>2295</v>
      </c>
      <c r="S2353" s="1" t="s">
        <v>2295</v>
      </c>
      <c r="T2353" t="s">
        <v>396</v>
      </c>
      <c r="U2353" s="1" t="s">
        <v>2295</v>
      </c>
      <c r="X2353" t="s">
        <v>161</v>
      </c>
      <c r="Y2353" t="s">
        <v>2272</v>
      </c>
      <c r="Z2353" t="s">
        <v>2272</v>
      </c>
      <c r="AA2353" t="s">
        <v>2272</v>
      </c>
      <c r="AB2353" t="s">
        <v>2272</v>
      </c>
      <c r="AC2353" t="s">
        <v>162</v>
      </c>
      <c r="AD2353" t="s">
        <v>2272</v>
      </c>
      <c r="AF2353" t="s">
        <v>49</v>
      </c>
      <c r="AI2353" t="s">
        <v>49</v>
      </c>
      <c r="AM2353" t="s">
        <v>202</v>
      </c>
      <c r="AN2353" t="s">
        <v>165</v>
      </c>
      <c r="AP2353" t="s">
        <v>49</v>
      </c>
    </row>
    <row r="2354" spans="1:45" x14ac:dyDescent="0.2">
      <c r="A2354" t="s">
        <v>1366</v>
      </c>
      <c r="B2354" t="s">
        <v>1367</v>
      </c>
      <c r="C2354" s="1">
        <v>2016</v>
      </c>
      <c r="D2354" t="s">
        <v>44</v>
      </c>
      <c r="F2354" t="s">
        <v>1368</v>
      </c>
      <c r="G2354" t="s">
        <v>86</v>
      </c>
      <c r="H2354" t="s">
        <v>350</v>
      </c>
      <c r="I2354">
        <v>2009</v>
      </c>
      <c r="J2354">
        <v>0.17</v>
      </c>
      <c r="K2354" t="s">
        <v>101</v>
      </c>
      <c r="M2354">
        <v>0</v>
      </c>
      <c r="N2354" t="s">
        <v>131</v>
      </c>
      <c r="O2354" t="s">
        <v>131</v>
      </c>
      <c r="P2354" t="s">
        <v>1369</v>
      </c>
      <c r="Q2354" s="1" t="s">
        <v>2281</v>
      </c>
      <c r="R2354" s="1" t="s">
        <v>2295</v>
      </c>
      <c r="S2354" s="1" t="s">
        <v>2295</v>
      </c>
      <c r="X2354" t="s">
        <v>615</v>
      </c>
      <c r="Y2354" t="s">
        <v>2273</v>
      </c>
      <c r="Z2354" t="s">
        <v>249</v>
      </c>
      <c r="AA2354" t="s">
        <v>2359</v>
      </c>
      <c r="AB2354" t="s">
        <v>2285</v>
      </c>
      <c r="AC2354" t="s">
        <v>152</v>
      </c>
      <c r="AD2354" t="s">
        <v>137</v>
      </c>
      <c r="AF2354" t="s">
        <v>49</v>
      </c>
      <c r="AI2354" t="s">
        <v>49</v>
      </c>
      <c r="AM2354" t="s">
        <v>202</v>
      </c>
      <c r="AN2354" t="s">
        <v>166</v>
      </c>
      <c r="AP2354" t="s">
        <v>157</v>
      </c>
    </row>
    <row r="2355" spans="1:45" x14ac:dyDescent="0.2">
      <c r="A2355" t="s">
        <v>1366</v>
      </c>
      <c r="B2355" t="s">
        <v>1367</v>
      </c>
      <c r="C2355" s="1">
        <v>2016</v>
      </c>
      <c r="D2355" t="s">
        <v>44</v>
      </c>
      <c r="F2355" t="s">
        <v>1368</v>
      </c>
      <c r="G2355" t="s">
        <v>86</v>
      </c>
      <c r="H2355" t="s">
        <v>350</v>
      </c>
      <c r="I2355">
        <v>2009</v>
      </c>
      <c r="J2355">
        <v>0.17</v>
      </c>
      <c r="K2355" t="s">
        <v>101</v>
      </c>
      <c r="M2355">
        <v>0</v>
      </c>
      <c r="N2355" t="s">
        <v>131</v>
      </c>
      <c r="O2355" t="s">
        <v>131</v>
      </c>
      <c r="P2355" t="s">
        <v>1369</v>
      </c>
      <c r="Q2355" s="1" t="s">
        <v>2281</v>
      </c>
      <c r="R2355" s="1" t="s">
        <v>2295</v>
      </c>
      <c r="S2355" s="1" t="s">
        <v>2295</v>
      </c>
      <c r="X2355" t="s">
        <v>615</v>
      </c>
      <c r="Y2355" t="s">
        <v>2273</v>
      </c>
      <c r="Z2355" t="s">
        <v>249</v>
      </c>
      <c r="AA2355" t="s">
        <v>2359</v>
      </c>
      <c r="AB2355" t="s">
        <v>2285</v>
      </c>
      <c r="AC2355" t="s">
        <v>152</v>
      </c>
      <c r="AD2355" t="s">
        <v>137</v>
      </c>
      <c r="AF2355" t="s">
        <v>49</v>
      </c>
      <c r="AI2355" t="s">
        <v>49</v>
      </c>
      <c r="AM2355" t="s">
        <v>202</v>
      </c>
      <c r="AN2355" t="s">
        <v>154</v>
      </c>
      <c r="AP2355" t="s">
        <v>157</v>
      </c>
    </row>
    <row r="2356" spans="1:45" x14ac:dyDescent="0.2">
      <c r="A2356" t="s">
        <v>1366</v>
      </c>
      <c r="B2356" t="s">
        <v>1367</v>
      </c>
      <c r="C2356" s="1">
        <v>2016</v>
      </c>
      <c r="D2356" t="s">
        <v>44</v>
      </c>
      <c r="F2356" t="s">
        <v>1368</v>
      </c>
      <c r="G2356" t="s">
        <v>86</v>
      </c>
      <c r="H2356" t="s">
        <v>350</v>
      </c>
      <c r="I2356">
        <v>2009</v>
      </c>
      <c r="J2356">
        <v>0.17</v>
      </c>
      <c r="K2356" t="s">
        <v>101</v>
      </c>
      <c r="M2356">
        <v>0</v>
      </c>
      <c r="N2356" t="s">
        <v>131</v>
      </c>
      <c r="O2356" t="s">
        <v>131</v>
      </c>
      <c r="P2356" t="s">
        <v>698</v>
      </c>
      <c r="Q2356" s="1" t="s">
        <v>2281</v>
      </c>
      <c r="R2356" s="1" t="s">
        <v>2295</v>
      </c>
      <c r="S2356" s="1" t="s">
        <v>2295</v>
      </c>
      <c r="T2356" t="s">
        <v>396</v>
      </c>
      <c r="X2356" t="s">
        <v>161</v>
      </c>
      <c r="Y2356" t="s">
        <v>2272</v>
      </c>
      <c r="Z2356" t="s">
        <v>2272</v>
      </c>
      <c r="AA2356" t="s">
        <v>2272</v>
      </c>
      <c r="AB2356" t="s">
        <v>2272</v>
      </c>
      <c r="AC2356" t="s">
        <v>162</v>
      </c>
      <c r="AD2356" t="s">
        <v>2272</v>
      </c>
      <c r="AF2356" t="s">
        <v>49</v>
      </c>
      <c r="AI2356" t="s">
        <v>49</v>
      </c>
      <c r="AM2356" t="s">
        <v>202</v>
      </c>
      <c r="AN2356" t="s">
        <v>166</v>
      </c>
    </row>
    <row r="2357" spans="1:45" x14ac:dyDescent="0.2">
      <c r="A2357" t="s">
        <v>1366</v>
      </c>
      <c r="B2357" t="s">
        <v>1367</v>
      </c>
      <c r="C2357" s="1">
        <v>2016</v>
      </c>
      <c r="D2357" t="s">
        <v>44</v>
      </c>
      <c r="F2357" t="s">
        <v>1368</v>
      </c>
      <c r="G2357" t="s">
        <v>86</v>
      </c>
      <c r="H2357" t="s">
        <v>350</v>
      </c>
      <c r="I2357">
        <v>2009</v>
      </c>
      <c r="J2357">
        <v>0.17</v>
      </c>
      <c r="K2357" t="s">
        <v>101</v>
      </c>
      <c r="M2357">
        <v>0</v>
      </c>
      <c r="N2357" t="s">
        <v>131</v>
      </c>
      <c r="O2357" t="s">
        <v>131</v>
      </c>
      <c r="P2357" t="s">
        <v>1370</v>
      </c>
      <c r="Q2357" s="1" t="s">
        <v>2281</v>
      </c>
      <c r="R2357" s="1" t="s">
        <v>2295</v>
      </c>
      <c r="S2357" s="1" t="s">
        <v>2295</v>
      </c>
      <c r="T2357" t="s">
        <v>396</v>
      </c>
      <c r="X2357" t="s">
        <v>161</v>
      </c>
      <c r="Y2357" t="s">
        <v>2272</v>
      </c>
      <c r="Z2357" t="s">
        <v>2272</v>
      </c>
      <c r="AA2357" t="s">
        <v>2272</v>
      </c>
      <c r="AB2357" t="s">
        <v>2272</v>
      </c>
      <c r="AC2357" t="s">
        <v>162</v>
      </c>
      <c r="AD2357" t="s">
        <v>2272</v>
      </c>
      <c r="AF2357" t="s">
        <v>49</v>
      </c>
      <c r="AI2357" t="s">
        <v>49</v>
      </c>
      <c r="AM2357" t="s">
        <v>202</v>
      </c>
      <c r="AN2357" t="s">
        <v>166</v>
      </c>
    </row>
    <row r="2358" spans="1:45" x14ac:dyDescent="0.2">
      <c r="A2358" t="s">
        <v>1366</v>
      </c>
      <c r="B2358" t="s">
        <v>1367</v>
      </c>
      <c r="C2358" s="1">
        <v>2016</v>
      </c>
      <c r="D2358" t="s">
        <v>44</v>
      </c>
      <c r="F2358" t="s">
        <v>1368</v>
      </c>
      <c r="G2358" t="s">
        <v>86</v>
      </c>
      <c r="H2358" t="s">
        <v>350</v>
      </c>
      <c r="I2358">
        <v>2009</v>
      </c>
      <c r="J2358">
        <v>0.17</v>
      </c>
      <c r="K2358" t="s">
        <v>101</v>
      </c>
      <c r="M2358">
        <v>0</v>
      </c>
      <c r="N2358" t="s">
        <v>131</v>
      </c>
      <c r="O2358" t="s">
        <v>131</v>
      </c>
      <c r="P2358" t="s">
        <v>698</v>
      </c>
      <c r="Q2358" s="1" t="s">
        <v>2281</v>
      </c>
      <c r="R2358" s="1" t="s">
        <v>2295</v>
      </c>
      <c r="S2358" s="1" t="s">
        <v>2295</v>
      </c>
      <c r="T2358" t="s">
        <v>396</v>
      </c>
      <c r="X2358" t="s">
        <v>161</v>
      </c>
      <c r="Y2358" t="s">
        <v>2272</v>
      </c>
      <c r="Z2358" t="s">
        <v>2272</v>
      </c>
      <c r="AA2358" t="s">
        <v>2272</v>
      </c>
      <c r="AB2358" t="s">
        <v>2272</v>
      </c>
      <c r="AC2358" t="s">
        <v>162</v>
      </c>
      <c r="AD2358" t="s">
        <v>2272</v>
      </c>
      <c r="AF2358" t="s">
        <v>49</v>
      </c>
      <c r="AI2358" t="s">
        <v>49</v>
      </c>
      <c r="AM2358" t="s">
        <v>202</v>
      </c>
      <c r="AN2358" t="s">
        <v>154</v>
      </c>
    </row>
    <row r="2359" spans="1:45" x14ac:dyDescent="0.2">
      <c r="A2359" t="s">
        <v>1366</v>
      </c>
      <c r="B2359" t="s">
        <v>1367</v>
      </c>
      <c r="C2359" s="1">
        <v>2016</v>
      </c>
      <c r="D2359" t="s">
        <v>44</v>
      </c>
      <c r="F2359" t="s">
        <v>1368</v>
      </c>
      <c r="G2359" t="s">
        <v>86</v>
      </c>
      <c r="H2359" t="s">
        <v>350</v>
      </c>
      <c r="I2359">
        <v>2009</v>
      </c>
      <c r="J2359">
        <v>0.17</v>
      </c>
      <c r="K2359" t="s">
        <v>101</v>
      </c>
      <c r="M2359">
        <v>0</v>
      </c>
      <c r="N2359" t="s">
        <v>131</v>
      </c>
      <c r="O2359" t="s">
        <v>131</v>
      </c>
      <c r="P2359" t="s">
        <v>1370</v>
      </c>
      <c r="Q2359" s="1" t="s">
        <v>2281</v>
      </c>
      <c r="R2359" s="1" t="s">
        <v>2295</v>
      </c>
      <c r="S2359" s="1" t="s">
        <v>2295</v>
      </c>
      <c r="T2359" t="s">
        <v>396</v>
      </c>
      <c r="X2359" t="s">
        <v>161</v>
      </c>
      <c r="Y2359" t="s">
        <v>2272</v>
      </c>
      <c r="Z2359" t="s">
        <v>2272</v>
      </c>
      <c r="AA2359" t="s">
        <v>2272</v>
      </c>
      <c r="AB2359" t="s">
        <v>2272</v>
      </c>
      <c r="AC2359" t="s">
        <v>162</v>
      </c>
      <c r="AD2359" t="s">
        <v>2272</v>
      </c>
      <c r="AF2359" t="s">
        <v>49</v>
      </c>
      <c r="AI2359" t="s">
        <v>49</v>
      </c>
      <c r="AM2359" t="s">
        <v>202</v>
      </c>
      <c r="AN2359" t="s">
        <v>154</v>
      </c>
    </row>
    <row r="2360" spans="1:45" x14ac:dyDescent="0.2">
      <c r="A2360" t="s">
        <v>1366</v>
      </c>
      <c r="B2360" t="s">
        <v>1367</v>
      </c>
      <c r="C2360" s="1">
        <v>2016</v>
      </c>
      <c r="D2360" t="s">
        <v>44</v>
      </c>
      <c r="F2360" t="s">
        <v>1368</v>
      </c>
      <c r="G2360" t="s">
        <v>86</v>
      </c>
      <c r="H2360" t="s">
        <v>350</v>
      </c>
      <c r="I2360">
        <v>2009</v>
      </c>
      <c r="J2360">
        <v>0.17</v>
      </c>
      <c r="K2360" t="s">
        <v>101</v>
      </c>
      <c r="M2360">
        <v>0</v>
      </c>
      <c r="N2360" t="s">
        <v>131</v>
      </c>
      <c r="O2360" t="s">
        <v>131</v>
      </c>
      <c r="P2360" t="s">
        <v>698</v>
      </c>
      <c r="Q2360" s="1" t="s">
        <v>2281</v>
      </c>
      <c r="R2360" s="1" t="s">
        <v>2295</v>
      </c>
      <c r="S2360" s="1" t="s">
        <v>2295</v>
      </c>
      <c r="T2360" t="s">
        <v>396</v>
      </c>
      <c r="X2360" t="s">
        <v>161</v>
      </c>
      <c r="Y2360" t="s">
        <v>2272</v>
      </c>
      <c r="Z2360" t="s">
        <v>2272</v>
      </c>
      <c r="AA2360" t="s">
        <v>2272</v>
      </c>
      <c r="AB2360" t="s">
        <v>2272</v>
      </c>
      <c r="AC2360" t="s">
        <v>162</v>
      </c>
      <c r="AD2360" t="s">
        <v>2272</v>
      </c>
      <c r="AF2360" t="s">
        <v>49</v>
      </c>
      <c r="AI2360" t="s">
        <v>49</v>
      </c>
      <c r="AM2360" t="s">
        <v>202</v>
      </c>
      <c r="AN2360" t="s">
        <v>191</v>
      </c>
    </row>
    <row r="2361" spans="1:45" x14ac:dyDescent="0.2">
      <c r="A2361" t="s">
        <v>1366</v>
      </c>
      <c r="B2361" t="s">
        <v>1367</v>
      </c>
      <c r="C2361" s="1">
        <v>2016</v>
      </c>
      <c r="D2361" t="s">
        <v>44</v>
      </c>
      <c r="F2361" t="s">
        <v>1368</v>
      </c>
      <c r="G2361" t="s">
        <v>86</v>
      </c>
      <c r="H2361" t="s">
        <v>350</v>
      </c>
      <c r="I2361">
        <v>2009</v>
      </c>
      <c r="J2361">
        <v>0.17</v>
      </c>
      <c r="K2361" t="s">
        <v>101</v>
      </c>
      <c r="M2361">
        <v>0</v>
      </c>
      <c r="N2361" t="s">
        <v>131</v>
      </c>
      <c r="O2361" t="s">
        <v>131</v>
      </c>
      <c r="P2361" t="s">
        <v>1370</v>
      </c>
      <c r="Q2361" s="1" t="s">
        <v>2281</v>
      </c>
      <c r="R2361" s="1" t="s">
        <v>2295</v>
      </c>
      <c r="S2361" s="1" t="s">
        <v>2295</v>
      </c>
      <c r="T2361" t="s">
        <v>396</v>
      </c>
      <c r="X2361" t="s">
        <v>161</v>
      </c>
      <c r="Y2361" t="s">
        <v>2272</v>
      </c>
      <c r="Z2361" t="s">
        <v>2272</v>
      </c>
      <c r="AA2361" t="s">
        <v>2272</v>
      </c>
      <c r="AB2361" t="s">
        <v>2272</v>
      </c>
      <c r="AC2361" t="s">
        <v>162</v>
      </c>
      <c r="AD2361" t="s">
        <v>2272</v>
      </c>
      <c r="AF2361" t="s">
        <v>49</v>
      </c>
      <c r="AI2361" t="s">
        <v>49</v>
      </c>
      <c r="AM2361" t="s">
        <v>202</v>
      </c>
      <c r="AN2361" t="s">
        <v>191</v>
      </c>
    </row>
    <row r="2362" spans="1:45" x14ac:dyDescent="0.2">
      <c r="A2362" t="s">
        <v>1371</v>
      </c>
      <c r="B2362" t="s">
        <v>1372</v>
      </c>
      <c r="C2362" s="1">
        <v>2016</v>
      </c>
      <c r="F2362" t="s">
        <v>82</v>
      </c>
      <c r="G2362" t="s">
        <v>86</v>
      </c>
      <c r="H2362" t="s">
        <v>350</v>
      </c>
      <c r="P2362" t="s">
        <v>1373</v>
      </c>
      <c r="Q2362" s="1" t="s">
        <v>2272</v>
      </c>
      <c r="R2362" s="1" t="s">
        <v>755</v>
      </c>
      <c r="S2362" s="1" t="s">
        <v>2352</v>
      </c>
      <c r="Y2362" t="s">
        <v>2272</v>
      </c>
      <c r="Z2362" t="s">
        <v>2272</v>
      </c>
      <c r="AA2362" t="s">
        <v>2272</v>
      </c>
      <c r="AB2362" t="s">
        <v>2272</v>
      </c>
      <c r="AD2362" t="s">
        <v>2272</v>
      </c>
      <c r="AR2362" t="s">
        <v>144</v>
      </c>
      <c r="AS2362" t="s">
        <v>1942</v>
      </c>
    </row>
    <row r="2363" spans="1:45" x14ac:dyDescent="0.2">
      <c r="A2363" t="s">
        <v>1374</v>
      </c>
      <c r="B2363" t="s">
        <v>1375</v>
      </c>
      <c r="C2363" s="1">
        <v>2016</v>
      </c>
      <c r="D2363" t="s">
        <v>811</v>
      </c>
      <c r="F2363" t="s">
        <v>1376</v>
      </c>
      <c r="G2363" t="s">
        <v>86</v>
      </c>
      <c r="H2363" t="s">
        <v>96</v>
      </c>
      <c r="L2363">
        <v>300</v>
      </c>
      <c r="Q2363" s="1" t="s">
        <v>2272</v>
      </c>
      <c r="R2363" s="1" t="s">
        <v>2272</v>
      </c>
      <c r="S2363" s="1" t="s">
        <v>2272</v>
      </c>
      <c r="Y2363" t="s">
        <v>2272</v>
      </c>
      <c r="Z2363" t="s">
        <v>2272</v>
      </c>
      <c r="AA2363" t="s">
        <v>2272</v>
      </c>
      <c r="AB2363" t="s">
        <v>2272</v>
      </c>
      <c r="AD2363" t="s">
        <v>2272</v>
      </c>
      <c r="AR2363" t="s">
        <v>144</v>
      </c>
      <c r="AS2363" t="s">
        <v>2583</v>
      </c>
    </row>
    <row r="2364" spans="1:45" x14ac:dyDescent="0.2">
      <c r="A2364" t="s">
        <v>1377</v>
      </c>
      <c r="B2364" t="s">
        <v>1378</v>
      </c>
      <c r="C2364" s="1">
        <v>2016</v>
      </c>
      <c r="Q2364" s="1" t="s">
        <v>2351</v>
      </c>
      <c r="R2364" s="1" t="s">
        <v>2351</v>
      </c>
      <c r="S2364" s="1" t="s">
        <v>2351</v>
      </c>
      <c r="Y2364" t="s">
        <v>2272</v>
      </c>
      <c r="Z2364" t="s">
        <v>2272</v>
      </c>
      <c r="AA2364" t="s">
        <v>2272</v>
      </c>
      <c r="AB2364" t="s">
        <v>2272</v>
      </c>
      <c r="AD2364" t="s">
        <v>2272</v>
      </c>
      <c r="AR2364" t="s">
        <v>144</v>
      </c>
      <c r="AS2364" t="s">
        <v>2583</v>
      </c>
    </row>
    <row r="2365" spans="1:45" x14ac:dyDescent="0.2">
      <c r="A2365" t="s">
        <v>1379</v>
      </c>
      <c r="B2365" t="s">
        <v>1388</v>
      </c>
      <c r="C2365" s="1">
        <v>2016</v>
      </c>
      <c r="D2365" t="s">
        <v>44</v>
      </c>
      <c r="F2365" t="s">
        <v>1380</v>
      </c>
      <c r="G2365" t="s">
        <v>271</v>
      </c>
      <c r="H2365" t="s">
        <v>350</v>
      </c>
      <c r="I2365" t="s">
        <v>979</v>
      </c>
      <c r="J2365">
        <v>2</v>
      </c>
      <c r="K2365" t="s">
        <v>102</v>
      </c>
      <c r="L2365">
        <v>50</v>
      </c>
      <c r="M2365">
        <v>0</v>
      </c>
      <c r="N2365" t="s">
        <v>128</v>
      </c>
      <c r="O2365" t="s">
        <v>221</v>
      </c>
      <c r="P2365" t="s">
        <v>1381</v>
      </c>
      <c r="Q2365" s="1" t="s">
        <v>2276</v>
      </c>
      <c r="R2365" s="1" t="s">
        <v>2350</v>
      </c>
      <c r="S2365" s="1" t="s">
        <v>2350</v>
      </c>
      <c r="X2365" t="s">
        <v>171</v>
      </c>
      <c r="Y2365" t="s">
        <v>2273</v>
      </c>
      <c r="Z2365" t="s">
        <v>249</v>
      </c>
      <c r="AA2365" t="s">
        <v>2359</v>
      </c>
      <c r="AB2365" t="s">
        <v>1979</v>
      </c>
      <c r="AC2365" t="s">
        <v>152</v>
      </c>
      <c r="AD2365" t="s">
        <v>137</v>
      </c>
      <c r="AF2365" t="s">
        <v>49</v>
      </c>
      <c r="AI2365" t="s">
        <v>49</v>
      </c>
    </row>
    <row r="2366" spans="1:45" x14ac:dyDescent="0.2">
      <c r="A2366" t="s">
        <v>1379</v>
      </c>
      <c r="B2366" t="s">
        <v>1388</v>
      </c>
      <c r="C2366" s="1">
        <v>2016</v>
      </c>
      <c r="D2366" t="s">
        <v>44</v>
      </c>
      <c r="F2366" t="s">
        <v>1380</v>
      </c>
      <c r="G2366" t="s">
        <v>271</v>
      </c>
      <c r="H2366" t="s">
        <v>350</v>
      </c>
      <c r="I2366" t="s">
        <v>979</v>
      </c>
      <c r="J2366">
        <v>2</v>
      </c>
      <c r="K2366" t="s">
        <v>102</v>
      </c>
      <c r="L2366">
        <v>50</v>
      </c>
      <c r="M2366">
        <v>0</v>
      </c>
      <c r="N2366" t="s">
        <v>128</v>
      </c>
      <c r="O2366" t="s">
        <v>221</v>
      </c>
      <c r="P2366" t="s">
        <v>245</v>
      </c>
      <c r="Q2366" s="1" t="s">
        <v>2276</v>
      </c>
      <c r="R2366" s="1" t="s">
        <v>669</v>
      </c>
      <c r="S2366" s="1" t="s">
        <v>168</v>
      </c>
      <c r="T2366" t="s">
        <v>396</v>
      </c>
      <c r="U2366" s="1" t="s">
        <v>2409</v>
      </c>
      <c r="X2366" t="s">
        <v>161</v>
      </c>
      <c r="Y2366" t="s">
        <v>2272</v>
      </c>
      <c r="Z2366" t="s">
        <v>2272</v>
      </c>
      <c r="AA2366" t="s">
        <v>2272</v>
      </c>
      <c r="AB2366" t="s">
        <v>2272</v>
      </c>
      <c r="AC2366" t="s">
        <v>162</v>
      </c>
      <c r="AD2366" t="s">
        <v>2272</v>
      </c>
      <c r="AF2366" t="s">
        <v>49</v>
      </c>
      <c r="AI2366" t="s">
        <v>49</v>
      </c>
      <c r="AM2366" t="s">
        <v>201</v>
      </c>
      <c r="AN2366" t="s">
        <v>154</v>
      </c>
      <c r="AP2366" t="s">
        <v>49</v>
      </c>
    </row>
    <row r="2367" spans="1:45" x14ac:dyDescent="0.2">
      <c r="A2367" t="s">
        <v>1379</v>
      </c>
      <c r="B2367" t="s">
        <v>1388</v>
      </c>
      <c r="C2367" s="1">
        <v>2016</v>
      </c>
      <c r="D2367" t="s">
        <v>44</v>
      </c>
      <c r="F2367" t="s">
        <v>1380</v>
      </c>
      <c r="G2367" t="s">
        <v>271</v>
      </c>
      <c r="H2367" t="s">
        <v>350</v>
      </c>
      <c r="I2367" t="s">
        <v>979</v>
      </c>
      <c r="J2367">
        <v>2</v>
      </c>
      <c r="K2367" t="s">
        <v>102</v>
      </c>
      <c r="L2367">
        <v>50</v>
      </c>
      <c r="M2367">
        <v>0</v>
      </c>
      <c r="N2367" t="s">
        <v>128</v>
      </c>
      <c r="O2367" t="s">
        <v>221</v>
      </c>
      <c r="P2367" t="s">
        <v>1382</v>
      </c>
      <c r="Q2367" s="1" t="s">
        <v>2276</v>
      </c>
      <c r="R2367" s="1" t="s">
        <v>751</v>
      </c>
      <c r="S2367" s="1" t="s">
        <v>2346</v>
      </c>
      <c r="T2367" t="s">
        <v>396</v>
      </c>
      <c r="U2367" s="1" t="s">
        <v>2410</v>
      </c>
      <c r="X2367" t="s">
        <v>161</v>
      </c>
      <c r="Y2367" t="s">
        <v>2272</v>
      </c>
      <c r="Z2367" t="s">
        <v>2272</v>
      </c>
      <c r="AA2367" t="s">
        <v>2272</v>
      </c>
      <c r="AB2367" t="s">
        <v>2272</v>
      </c>
      <c r="AC2367" t="s">
        <v>162</v>
      </c>
      <c r="AD2367" t="s">
        <v>2272</v>
      </c>
      <c r="AF2367" t="s">
        <v>49</v>
      </c>
      <c r="AI2367" t="s">
        <v>49</v>
      </c>
      <c r="AM2367" t="s">
        <v>201</v>
      </c>
      <c r="AN2367" t="s">
        <v>154</v>
      </c>
      <c r="AP2367" t="s">
        <v>49</v>
      </c>
    </row>
    <row r="2368" spans="1:45" x14ac:dyDescent="0.2">
      <c r="A2368" t="s">
        <v>1379</v>
      </c>
      <c r="B2368" t="s">
        <v>1388</v>
      </c>
      <c r="C2368" s="1">
        <v>2016</v>
      </c>
      <c r="D2368" t="s">
        <v>44</v>
      </c>
      <c r="F2368" t="s">
        <v>1380</v>
      </c>
      <c r="G2368" t="s">
        <v>271</v>
      </c>
      <c r="H2368" t="s">
        <v>350</v>
      </c>
      <c r="I2368" t="s">
        <v>979</v>
      </c>
      <c r="J2368">
        <v>2</v>
      </c>
      <c r="K2368" t="s">
        <v>102</v>
      </c>
      <c r="L2368">
        <v>50</v>
      </c>
      <c r="M2368">
        <v>0</v>
      </c>
      <c r="N2368" t="s">
        <v>128</v>
      </c>
      <c r="O2368" t="s">
        <v>221</v>
      </c>
      <c r="P2368" t="s">
        <v>1383</v>
      </c>
      <c r="Q2368" s="1" t="s">
        <v>2276</v>
      </c>
      <c r="R2368" s="1" t="s">
        <v>2284</v>
      </c>
      <c r="S2368" s="1" t="s">
        <v>2348</v>
      </c>
      <c r="T2368" t="s">
        <v>396</v>
      </c>
      <c r="U2368" s="1" t="s">
        <v>2411</v>
      </c>
      <c r="X2368" t="s">
        <v>161</v>
      </c>
      <c r="Y2368" t="s">
        <v>2272</v>
      </c>
      <c r="Z2368" t="s">
        <v>2272</v>
      </c>
      <c r="AA2368" t="s">
        <v>2272</v>
      </c>
      <c r="AB2368" t="s">
        <v>2272</v>
      </c>
      <c r="AC2368" t="s">
        <v>162</v>
      </c>
      <c r="AD2368" t="s">
        <v>2272</v>
      </c>
      <c r="AF2368" t="s">
        <v>49</v>
      </c>
      <c r="AI2368" t="s">
        <v>49</v>
      </c>
      <c r="AM2368" t="s">
        <v>201</v>
      </c>
      <c r="AN2368" t="s">
        <v>154</v>
      </c>
      <c r="AP2368" t="s">
        <v>49</v>
      </c>
    </row>
    <row r="2369" spans="1:42" x14ac:dyDescent="0.2">
      <c r="A2369" t="s">
        <v>1379</v>
      </c>
      <c r="B2369" t="s">
        <v>1388</v>
      </c>
      <c r="C2369" s="1">
        <v>2016</v>
      </c>
      <c r="D2369" t="s">
        <v>44</v>
      </c>
      <c r="F2369" t="s">
        <v>1380</v>
      </c>
      <c r="G2369" t="s">
        <v>271</v>
      </c>
      <c r="H2369" t="s">
        <v>350</v>
      </c>
      <c r="I2369" t="s">
        <v>979</v>
      </c>
      <c r="J2369">
        <v>2</v>
      </c>
      <c r="K2369" t="s">
        <v>102</v>
      </c>
      <c r="L2369">
        <v>50</v>
      </c>
      <c r="M2369">
        <v>0</v>
      </c>
      <c r="N2369" t="s">
        <v>128</v>
      </c>
      <c r="O2369" t="s">
        <v>221</v>
      </c>
      <c r="P2369" t="s">
        <v>1384</v>
      </c>
      <c r="Q2369" s="1" t="s">
        <v>2276</v>
      </c>
      <c r="R2369" s="1" t="s">
        <v>751</v>
      </c>
      <c r="S2369" s="1" t="s">
        <v>2346</v>
      </c>
      <c r="T2369" t="s">
        <v>396</v>
      </c>
      <c r="U2369" s="1" t="s">
        <v>2412</v>
      </c>
      <c r="X2369" t="s">
        <v>161</v>
      </c>
      <c r="Y2369" t="s">
        <v>2272</v>
      </c>
      <c r="Z2369" t="s">
        <v>2272</v>
      </c>
      <c r="AA2369" t="s">
        <v>2272</v>
      </c>
      <c r="AB2369" t="s">
        <v>2272</v>
      </c>
      <c r="AC2369" t="s">
        <v>162</v>
      </c>
      <c r="AD2369" t="s">
        <v>2272</v>
      </c>
      <c r="AF2369" t="s">
        <v>49</v>
      </c>
      <c r="AI2369" t="s">
        <v>49</v>
      </c>
      <c r="AM2369" t="s">
        <v>201</v>
      </c>
      <c r="AN2369" t="s">
        <v>154</v>
      </c>
      <c r="AP2369" t="s">
        <v>49</v>
      </c>
    </row>
    <row r="2370" spans="1:42" x14ac:dyDescent="0.2">
      <c r="A2370" t="s">
        <v>1379</v>
      </c>
      <c r="B2370" t="s">
        <v>1388</v>
      </c>
      <c r="C2370" s="1">
        <v>2016</v>
      </c>
      <c r="D2370" t="s">
        <v>44</v>
      </c>
      <c r="F2370" t="s">
        <v>1380</v>
      </c>
      <c r="G2370" t="s">
        <v>271</v>
      </c>
      <c r="H2370" t="s">
        <v>350</v>
      </c>
      <c r="I2370" t="s">
        <v>979</v>
      </c>
      <c r="J2370">
        <v>2</v>
      </c>
      <c r="K2370" t="s">
        <v>102</v>
      </c>
      <c r="L2370">
        <v>50</v>
      </c>
      <c r="M2370">
        <v>0</v>
      </c>
      <c r="N2370" t="s">
        <v>128</v>
      </c>
      <c r="O2370" t="s">
        <v>221</v>
      </c>
      <c r="P2370" t="s">
        <v>1385</v>
      </c>
      <c r="Q2370" s="1" t="s">
        <v>2276</v>
      </c>
      <c r="R2370" s="1" t="s">
        <v>2350</v>
      </c>
      <c r="S2370" s="1" t="s">
        <v>2350</v>
      </c>
      <c r="T2370" t="s">
        <v>396</v>
      </c>
      <c r="U2370" s="1" t="s">
        <v>2408</v>
      </c>
      <c r="X2370" t="s">
        <v>161</v>
      </c>
      <c r="Y2370" t="s">
        <v>2272</v>
      </c>
      <c r="Z2370" t="s">
        <v>2272</v>
      </c>
      <c r="AA2370" t="s">
        <v>2272</v>
      </c>
      <c r="AB2370" t="s">
        <v>2272</v>
      </c>
      <c r="AC2370" t="s">
        <v>162</v>
      </c>
      <c r="AD2370" t="s">
        <v>2272</v>
      </c>
      <c r="AF2370" t="s">
        <v>49</v>
      </c>
      <c r="AI2370" t="s">
        <v>49</v>
      </c>
      <c r="AM2370" t="s">
        <v>201</v>
      </c>
      <c r="AN2370" t="s">
        <v>154</v>
      </c>
      <c r="AP2370" t="s">
        <v>49</v>
      </c>
    </row>
    <row r="2371" spans="1:42" x14ac:dyDescent="0.2">
      <c r="A2371" t="s">
        <v>1379</v>
      </c>
      <c r="B2371" t="s">
        <v>1388</v>
      </c>
      <c r="C2371" s="1">
        <v>2016</v>
      </c>
      <c r="D2371" t="s">
        <v>44</v>
      </c>
      <c r="F2371" t="s">
        <v>1380</v>
      </c>
      <c r="G2371" t="s">
        <v>271</v>
      </c>
      <c r="H2371" t="s">
        <v>350</v>
      </c>
      <c r="I2371" t="s">
        <v>979</v>
      </c>
      <c r="J2371">
        <v>2</v>
      </c>
      <c r="K2371" t="s">
        <v>102</v>
      </c>
      <c r="L2371">
        <v>50</v>
      </c>
      <c r="M2371">
        <v>0</v>
      </c>
      <c r="N2371" t="s">
        <v>128</v>
      </c>
      <c r="O2371" t="s">
        <v>221</v>
      </c>
      <c r="P2371" t="s">
        <v>245</v>
      </c>
      <c r="Q2371" s="1" t="s">
        <v>2276</v>
      </c>
      <c r="R2371" s="1" t="s">
        <v>669</v>
      </c>
      <c r="S2371" s="1" t="s">
        <v>168</v>
      </c>
      <c r="T2371" t="s">
        <v>396</v>
      </c>
      <c r="U2371" s="1" t="s">
        <v>2409</v>
      </c>
      <c r="X2371" t="s">
        <v>161</v>
      </c>
      <c r="Y2371" t="s">
        <v>2272</v>
      </c>
      <c r="Z2371" t="s">
        <v>2272</v>
      </c>
      <c r="AA2371" t="s">
        <v>2272</v>
      </c>
      <c r="AB2371" t="s">
        <v>2272</v>
      </c>
      <c r="AC2371" t="s">
        <v>162</v>
      </c>
      <c r="AD2371" t="s">
        <v>2272</v>
      </c>
      <c r="AF2371" t="s">
        <v>49</v>
      </c>
      <c r="AI2371" t="s">
        <v>49</v>
      </c>
      <c r="AM2371" t="s">
        <v>201</v>
      </c>
      <c r="AN2371" t="s">
        <v>165</v>
      </c>
    </row>
    <row r="2372" spans="1:42" x14ac:dyDescent="0.2">
      <c r="A2372" t="s">
        <v>1379</v>
      </c>
      <c r="B2372" t="s">
        <v>1388</v>
      </c>
      <c r="C2372" s="1">
        <v>2016</v>
      </c>
      <c r="D2372" t="s">
        <v>44</v>
      </c>
      <c r="F2372" t="s">
        <v>1380</v>
      </c>
      <c r="G2372" t="s">
        <v>271</v>
      </c>
      <c r="H2372" t="s">
        <v>350</v>
      </c>
      <c r="I2372" t="s">
        <v>979</v>
      </c>
      <c r="J2372">
        <v>2</v>
      </c>
      <c r="K2372" t="s">
        <v>102</v>
      </c>
      <c r="L2372">
        <v>50</v>
      </c>
      <c r="M2372">
        <v>0</v>
      </c>
      <c r="N2372" t="s">
        <v>128</v>
      </c>
      <c r="O2372" t="s">
        <v>221</v>
      </c>
      <c r="P2372" t="s">
        <v>1382</v>
      </c>
      <c r="Q2372" s="1" t="s">
        <v>2276</v>
      </c>
      <c r="R2372" s="1" t="s">
        <v>751</v>
      </c>
      <c r="S2372" s="1" t="s">
        <v>2346</v>
      </c>
      <c r="T2372" t="s">
        <v>396</v>
      </c>
      <c r="U2372" s="1" t="s">
        <v>2410</v>
      </c>
      <c r="X2372" t="s">
        <v>161</v>
      </c>
      <c r="Y2372" t="s">
        <v>2272</v>
      </c>
      <c r="Z2372" t="s">
        <v>2272</v>
      </c>
      <c r="AA2372" t="s">
        <v>2272</v>
      </c>
      <c r="AB2372" t="s">
        <v>2272</v>
      </c>
      <c r="AC2372" t="s">
        <v>162</v>
      </c>
      <c r="AD2372" t="s">
        <v>2272</v>
      </c>
      <c r="AF2372" t="s">
        <v>49</v>
      </c>
      <c r="AI2372" t="s">
        <v>49</v>
      </c>
      <c r="AM2372" t="s">
        <v>201</v>
      </c>
      <c r="AN2372" t="s">
        <v>165</v>
      </c>
    </row>
    <row r="2373" spans="1:42" x14ac:dyDescent="0.2">
      <c r="A2373" t="s">
        <v>1379</v>
      </c>
      <c r="B2373" t="s">
        <v>1388</v>
      </c>
      <c r="C2373" s="1">
        <v>2016</v>
      </c>
      <c r="D2373" t="s">
        <v>44</v>
      </c>
      <c r="F2373" t="s">
        <v>1380</v>
      </c>
      <c r="G2373" t="s">
        <v>271</v>
      </c>
      <c r="H2373" t="s">
        <v>350</v>
      </c>
      <c r="I2373" t="s">
        <v>979</v>
      </c>
      <c r="J2373">
        <v>2</v>
      </c>
      <c r="K2373" t="s">
        <v>102</v>
      </c>
      <c r="L2373">
        <v>50</v>
      </c>
      <c r="M2373">
        <v>0</v>
      </c>
      <c r="N2373" t="s">
        <v>128</v>
      </c>
      <c r="O2373" t="s">
        <v>221</v>
      </c>
      <c r="P2373" t="s">
        <v>1383</v>
      </c>
      <c r="Q2373" s="1" t="s">
        <v>2276</v>
      </c>
      <c r="R2373" s="1" t="s">
        <v>2284</v>
      </c>
      <c r="S2373" s="1" t="s">
        <v>2348</v>
      </c>
      <c r="T2373" t="s">
        <v>396</v>
      </c>
      <c r="U2373" s="1" t="s">
        <v>2411</v>
      </c>
      <c r="X2373" t="s">
        <v>161</v>
      </c>
      <c r="Y2373" t="s">
        <v>2272</v>
      </c>
      <c r="Z2373" t="s">
        <v>2272</v>
      </c>
      <c r="AA2373" t="s">
        <v>2272</v>
      </c>
      <c r="AB2373" t="s">
        <v>2272</v>
      </c>
      <c r="AC2373" t="s">
        <v>162</v>
      </c>
      <c r="AD2373" t="s">
        <v>2272</v>
      </c>
      <c r="AF2373" t="s">
        <v>49</v>
      </c>
      <c r="AI2373" t="s">
        <v>49</v>
      </c>
      <c r="AM2373" t="s">
        <v>201</v>
      </c>
      <c r="AN2373" t="s">
        <v>165</v>
      </c>
    </row>
    <row r="2374" spans="1:42" x14ac:dyDescent="0.2">
      <c r="A2374" t="s">
        <v>1379</v>
      </c>
      <c r="B2374" t="s">
        <v>1388</v>
      </c>
      <c r="C2374" s="1">
        <v>2016</v>
      </c>
      <c r="D2374" t="s">
        <v>44</v>
      </c>
      <c r="F2374" t="s">
        <v>1380</v>
      </c>
      <c r="G2374" t="s">
        <v>271</v>
      </c>
      <c r="H2374" t="s">
        <v>350</v>
      </c>
      <c r="I2374" t="s">
        <v>979</v>
      </c>
      <c r="J2374">
        <v>2</v>
      </c>
      <c r="K2374" t="s">
        <v>102</v>
      </c>
      <c r="L2374">
        <v>50</v>
      </c>
      <c r="M2374">
        <v>0</v>
      </c>
      <c r="N2374" t="s">
        <v>128</v>
      </c>
      <c r="O2374" t="s">
        <v>221</v>
      </c>
      <c r="P2374" t="s">
        <v>1384</v>
      </c>
      <c r="Q2374" s="1" t="s">
        <v>2276</v>
      </c>
      <c r="R2374" s="1" t="s">
        <v>751</v>
      </c>
      <c r="S2374" s="1" t="s">
        <v>2346</v>
      </c>
      <c r="T2374" t="s">
        <v>396</v>
      </c>
      <c r="U2374" s="1" t="s">
        <v>2412</v>
      </c>
      <c r="X2374" t="s">
        <v>161</v>
      </c>
      <c r="Y2374" t="s">
        <v>2272</v>
      </c>
      <c r="Z2374" t="s">
        <v>2272</v>
      </c>
      <c r="AA2374" t="s">
        <v>2272</v>
      </c>
      <c r="AB2374" t="s">
        <v>2272</v>
      </c>
      <c r="AC2374" t="s">
        <v>162</v>
      </c>
      <c r="AD2374" t="s">
        <v>2272</v>
      </c>
      <c r="AF2374" t="s">
        <v>49</v>
      </c>
      <c r="AI2374" t="s">
        <v>49</v>
      </c>
      <c r="AM2374" t="s">
        <v>201</v>
      </c>
      <c r="AN2374" t="s">
        <v>165</v>
      </c>
    </row>
    <row r="2375" spans="1:42" x14ac:dyDescent="0.2">
      <c r="A2375" t="s">
        <v>1379</v>
      </c>
      <c r="B2375" t="s">
        <v>1388</v>
      </c>
      <c r="C2375" s="1">
        <v>2016</v>
      </c>
      <c r="D2375" t="s">
        <v>44</v>
      </c>
      <c r="F2375" t="s">
        <v>1380</v>
      </c>
      <c r="G2375" t="s">
        <v>271</v>
      </c>
      <c r="H2375" t="s">
        <v>350</v>
      </c>
      <c r="I2375" t="s">
        <v>979</v>
      </c>
      <c r="J2375">
        <v>2</v>
      </c>
      <c r="K2375" t="s">
        <v>102</v>
      </c>
      <c r="L2375">
        <v>50</v>
      </c>
      <c r="M2375">
        <v>0</v>
      </c>
      <c r="N2375" t="s">
        <v>128</v>
      </c>
      <c r="O2375" t="s">
        <v>221</v>
      </c>
      <c r="P2375" t="s">
        <v>1385</v>
      </c>
      <c r="Q2375" s="1" t="s">
        <v>2276</v>
      </c>
      <c r="R2375" s="1" t="s">
        <v>2350</v>
      </c>
      <c r="S2375" s="1" t="s">
        <v>2350</v>
      </c>
      <c r="T2375" t="s">
        <v>396</v>
      </c>
      <c r="U2375" s="1" t="s">
        <v>2408</v>
      </c>
      <c r="X2375" t="s">
        <v>161</v>
      </c>
      <c r="Y2375" t="s">
        <v>2272</v>
      </c>
      <c r="Z2375" t="s">
        <v>2272</v>
      </c>
      <c r="AA2375" t="s">
        <v>2272</v>
      </c>
      <c r="AB2375" t="s">
        <v>2272</v>
      </c>
      <c r="AC2375" t="s">
        <v>162</v>
      </c>
      <c r="AD2375" t="s">
        <v>2272</v>
      </c>
      <c r="AF2375" t="s">
        <v>49</v>
      </c>
      <c r="AI2375" t="s">
        <v>49</v>
      </c>
      <c r="AM2375" t="s">
        <v>201</v>
      </c>
      <c r="AN2375" t="s">
        <v>165</v>
      </c>
    </row>
    <row r="2376" spans="1:42" x14ac:dyDescent="0.2">
      <c r="A2376" t="s">
        <v>1379</v>
      </c>
      <c r="B2376" t="s">
        <v>1388</v>
      </c>
      <c r="C2376" s="1">
        <v>2016</v>
      </c>
      <c r="D2376" t="s">
        <v>44</v>
      </c>
      <c r="F2376" t="s">
        <v>1380</v>
      </c>
      <c r="G2376" t="s">
        <v>271</v>
      </c>
      <c r="H2376" t="s">
        <v>350</v>
      </c>
      <c r="I2376" t="s">
        <v>979</v>
      </c>
      <c r="J2376">
        <v>2</v>
      </c>
      <c r="K2376" t="s">
        <v>102</v>
      </c>
      <c r="L2376">
        <v>50</v>
      </c>
      <c r="M2376">
        <v>0</v>
      </c>
      <c r="N2376" t="s">
        <v>128</v>
      </c>
      <c r="O2376" t="s">
        <v>221</v>
      </c>
      <c r="P2376" t="s">
        <v>245</v>
      </c>
      <c r="Q2376" s="1" t="s">
        <v>2276</v>
      </c>
      <c r="R2376" s="1" t="s">
        <v>669</v>
      </c>
      <c r="S2376" s="1" t="s">
        <v>168</v>
      </c>
      <c r="T2376" t="s">
        <v>396</v>
      </c>
      <c r="U2376" s="1" t="s">
        <v>2409</v>
      </c>
      <c r="X2376" t="s">
        <v>161</v>
      </c>
      <c r="Y2376" t="s">
        <v>2272</v>
      </c>
      <c r="Z2376" t="s">
        <v>2272</v>
      </c>
      <c r="AA2376" t="s">
        <v>2272</v>
      </c>
      <c r="AB2376" t="s">
        <v>2272</v>
      </c>
      <c r="AC2376" t="s">
        <v>162</v>
      </c>
      <c r="AD2376" t="s">
        <v>2272</v>
      </c>
      <c r="AF2376" t="s">
        <v>49</v>
      </c>
      <c r="AI2376" t="s">
        <v>49</v>
      </c>
      <c r="AM2376" t="s">
        <v>201</v>
      </c>
      <c r="AN2376" t="s">
        <v>166</v>
      </c>
      <c r="AP2376" t="s">
        <v>49</v>
      </c>
    </row>
    <row r="2377" spans="1:42" x14ac:dyDescent="0.2">
      <c r="A2377" t="s">
        <v>1379</v>
      </c>
      <c r="B2377" t="s">
        <v>1388</v>
      </c>
      <c r="C2377" s="1">
        <v>2016</v>
      </c>
      <c r="D2377" t="s">
        <v>44</v>
      </c>
      <c r="F2377" t="s">
        <v>1380</v>
      </c>
      <c r="G2377" t="s">
        <v>271</v>
      </c>
      <c r="H2377" t="s">
        <v>350</v>
      </c>
      <c r="I2377" t="s">
        <v>979</v>
      </c>
      <c r="J2377">
        <v>2</v>
      </c>
      <c r="K2377" t="s">
        <v>102</v>
      </c>
      <c r="L2377">
        <v>50</v>
      </c>
      <c r="M2377">
        <v>0</v>
      </c>
      <c r="N2377" t="s">
        <v>128</v>
      </c>
      <c r="O2377" t="s">
        <v>221</v>
      </c>
      <c r="P2377" t="s">
        <v>1382</v>
      </c>
      <c r="Q2377" s="1" t="s">
        <v>2276</v>
      </c>
      <c r="R2377" s="1" t="s">
        <v>751</v>
      </c>
      <c r="S2377" s="1" t="s">
        <v>2346</v>
      </c>
      <c r="T2377" t="s">
        <v>396</v>
      </c>
      <c r="U2377" s="1" t="s">
        <v>2410</v>
      </c>
      <c r="X2377" t="s">
        <v>161</v>
      </c>
      <c r="Y2377" t="s">
        <v>2272</v>
      </c>
      <c r="Z2377" t="s">
        <v>2272</v>
      </c>
      <c r="AA2377" t="s">
        <v>2272</v>
      </c>
      <c r="AB2377" t="s">
        <v>2272</v>
      </c>
      <c r="AC2377" t="s">
        <v>162</v>
      </c>
      <c r="AD2377" t="s">
        <v>2272</v>
      </c>
      <c r="AF2377" t="s">
        <v>49</v>
      </c>
      <c r="AI2377" t="s">
        <v>49</v>
      </c>
      <c r="AM2377" t="s">
        <v>201</v>
      </c>
      <c r="AN2377" t="s">
        <v>166</v>
      </c>
      <c r="AP2377" t="s">
        <v>49</v>
      </c>
    </row>
    <row r="2378" spans="1:42" x14ac:dyDescent="0.2">
      <c r="A2378" t="s">
        <v>1379</v>
      </c>
      <c r="B2378" t="s">
        <v>1388</v>
      </c>
      <c r="C2378" s="1">
        <v>2016</v>
      </c>
      <c r="D2378" t="s">
        <v>44</v>
      </c>
      <c r="F2378" t="s">
        <v>1380</v>
      </c>
      <c r="G2378" t="s">
        <v>271</v>
      </c>
      <c r="H2378" t="s">
        <v>350</v>
      </c>
      <c r="I2378" t="s">
        <v>979</v>
      </c>
      <c r="J2378">
        <v>2</v>
      </c>
      <c r="K2378" t="s">
        <v>102</v>
      </c>
      <c r="L2378">
        <v>50</v>
      </c>
      <c r="M2378">
        <v>0</v>
      </c>
      <c r="N2378" t="s">
        <v>128</v>
      </c>
      <c r="O2378" t="s">
        <v>221</v>
      </c>
      <c r="P2378" t="s">
        <v>1383</v>
      </c>
      <c r="Q2378" s="1" t="s">
        <v>2276</v>
      </c>
      <c r="R2378" s="1" t="s">
        <v>2284</v>
      </c>
      <c r="S2378" s="1" t="s">
        <v>2348</v>
      </c>
      <c r="T2378" t="s">
        <v>396</v>
      </c>
      <c r="U2378" s="1" t="s">
        <v>2411</v>
      </c>
      <c r="X2378" t="s">
        <v>161</v>
      </c>
      <c r="Y2378" t="s">
        <v>2272</v>
      </c>
      <c r="Z2378" t="s">
        <v>2272</v>
      </c>
      <c r="AA2378" t="s">
        <v>2272</v>
      </c>
      <c r="AB2378" t="s">
        <v>2272</v>
      </c>
      <c r="AC2378" t="s">
        <v>162</v>
      </c>
      <c r="AD2378" t="s">
        <v>2272</v>
      </c>
      <c r="AF2378" t="s">
        <v>49</v>
      </c>
      <c r="AI2378" t="s">
        <v>49</v>
      </c>
      <c r="AM2378" t="s">
        <v>201</v>
      </c>
      <c r="AN2378" t="s">
        <v>166</v>
      </c>
      <c r="AP2378" t="s">
        <v>49</v>
      </c>
    </row>
    <row r="2379" spans="1:42" x14ac:dyDescent="0.2">
      <c r="A2379" t="s">
        <v>1379</v>
      </c>
      <c r="B2379" t="s">
        <v>1388</v>
      </c>
      <c r="C2379" s="1">
        <v>2016</v>
      </c>
      <c r="D2379" t="s">
        <v>44</v>
      </c>
      <c r="F2379" t="s">
        <v>1380</v>
      </c>
      <c r="G2379" t="s">
        <v>271</v>
      </c>
      <c r="H2379" t="s">
        <v>350</v>
      </c>
      <c r="I2379" t="s">
        <v>979</v>
      </c>
      <c r="J2379">
        <v>2</v>
      </c>
      <c r="K2379" t="s">
        <v>102</v>
      </c>
      <c r="L2379">
        <v>50</v>
      </c>
      <c r="M2379">
        <v>0</v>
      </c>
      <c r="N2379" t="s">
        <v>128</v>
      </c>
      <c r="O2379" t="s">
        <v>221</v>
      </c>
      <c r="P2379" t="s">
        <v>1384</v>
      </c>
      <c r="Q2379" s="1" t="s">
        <v>2276</v>
      </c>
      <c r="R2379" s="1" t="s">
        <v>751</v>
      </c>
      <c r="S2379" s="1" t="s">
        <v>2346</v>
      </c>
      <c r="T2379" t="s">
        <v>396</v>
      </c>
      <c r="U2379" s="1" t="s">
        <v>2412</v>
      </c>
      <c r="X2379" t="s">
        <v>161</v>
      </c>
      <c r="Y2379" t="s">
        <v>2272</v>
      </c>
      <c r="Z2379" t="s">
        <v>2272</v>
      </c>
      <c r="AA2379" t="s">
        <v>2272</v>
      </c>
      <c r="AB2379" t="s">
        <v>2272</v>
      </c>
      <c r="AC2379" t="s">
        <v>162</v>
      </c>
      <c r="AD2379" t="s">
        <v>2272</v>
      </c>
      <c r="AF2379" t="s">
        <v>49</v>
      </c>
      <c r="AI2379" t="s">
        <v>49</v>
      </c>
      <c r="AM2379" t="s">
        <v>201</v>
      </c>
      <c r="AN2379" t="s">
        <v>166</v>
      </c>
      <c r="AP2379" t="s">
        <v>49</v>
      </c>
    </row>
    <row r="2380" spans="1:42" x14ac:dyDescent="0.2">
      <c r="A2380" t="s">
        <v>1379</v>
      </c>
      <c r="B2380" t="s">
        <v>1388</v>
      </c>
      <c r="C2380" s="1">
        <v>2016</v>
      </c>
      <c r="D2380" t="s">
        <v>44</v>
      </c>
      <c r="F2380" t="s">
        <v>1380</v>
      </c>
      <c r="G2380" t="s">
        <v>271</v>
      </c>
      <c r="H2380" t="s">
        <v>350</v>
      </c>
      <c r="I2380" t="s">
        <v>979</v>
      </c>
      <c r="J2380">
        <v>2</v>
      </c>
      <c r="K2380" t="s">
        <v>102</v>
      </c>
      <c r="L2380">
        <v>50</v>
      </c>
      <c r="M2380">
        <v>0</v>
      </c>
      <c r="N2380" t="s">
        <v>128</v>
      </c>
      <c r="O2380" t="s">
        <v>221</v>
      </c>
      <c r="P2380" t="s">
        <v>1385</v>
      </c>
      <c r="Q2380" s="1" t="s">
        <v>2276</v>
      </c>
      <c r="R2380" s="1" t="s">
        <v>2350</v>
      </c>
      <c r="S2380" s="1" t="s">
        <v>2350</v>
      </c>
      <c r="T2380" t="s">
        <v>396</v>
      </c>
      <c r="U2380" s="1" t="s">
        <v>2408</v>
      </c>
      <c r="X2380" t="s">
        <v>161</v>
      </c>
      <c r="Y2380" t="s">
        <v>2272</v>
      </c>
      <c r="Z2380" t="s">
        <v>2272</v>
      </c>
      <c r="AA2380" t="s">
        <v>2272</v>
      </c>
      <c r="AB2380" t="s">
        <v>2272</v>
      </c>
      <c r="AC2380" t="s">
        <v>162</v>
      </c>
      <c r="AD2380" t="s">
        <v>2272</v>
      </c>
      <c r="AF2380" t="s">
        <v>49</v>
      </c>
      <c r="AI2380" t="s">
        <v>49</v>
      </c>
      <c r="AM2380" t="s">
        <v>201</v>
      </c>
      <c r="AN2380" t="s">
        <v>166</v>
      </c>
      <c r="AP2380" t="s">
        <v>49</v>
      </c>
    </row>
    <row r="2381" spans="1:42" x14ac:dyDescent="0.2">
      <c r="A2381" t="s">
        <v>1386</v>
      </c>
      <c r="B2381" t="s">
        <v>1387</v>
      </c>
      <c r="C2381" s="1">
        <v>2016</v>
      </c>
      <c r="D2381" t="s">
        <v>44</v>
      </c>
      <c r="F2381" t="s">
        <v>710</v>
      </c>
      <c r="G2381" t="s">
        <v>86</v>
      </c>
      <c r="H2381" t="s">
        <v>350</v>
      </c>
      <c r="I2381">
        <v>2014</v>
      </c>
      <c r="J2381">
        <v>0.33</v>
      </c>
      <c r="K2381" t="s">
        <v>104</v>
      </c>
      <c r="M2381">
        <v>0</v>
      </c>
      <c r="N2381" t="s">
        <v>120</v>
      </c>
      <c r="O2381" t="s">
        <v>120</v>
      </c>
      <c r="P2381" t="s">
        <v>1389</v>
      </c>
      <c r="Q2381" s="1" t="s">
        <v>2276</v>
      </c>
      <c r="R2381" s="1" t="s">
        <v>669</v>
      </c>
      <c r="S2381" s="1" t="s">
        <v>168</v>
      </c>
      <c r="V2381" t="s">
        <v>194</v>
      </c>
      <c r="W2381" t="s">
        <v>910</v>
      </c>
      <c r="X2381" t="s">
        <v>1390</v>
      </c>
      <c r="Y2381" t="s">
        <v>2273</v>
      </c>
      <c r="Z2381" t="s">
        <v>249</v>
      </c>
      <c r="AA2381" t="s">
        <v>2359</v>
      </c>
      <c r="AB2381" t="s">
        <v>1419</v>
      </c>
      <c r="AC2381" t="s">
        <v>152</v>
      </c>
      <c r="AD2381" t="s">
        <v>137</v>
      </c>
      <c r="AE2381" t="s">
        <v>102</v>
      </c>
    </row>
    <row r="2382" spans="1:42" x14ac:dyDescent="0.2">
      <c r="A2382" t="s">
        <v>1386</v>
      </c>
      <c r="B2382" t="s">
        <v>1387</v>
      </c>
      <c r="C2382" s="1">
        <v>2016</v>
      </c>
      <c r="D2382" t="s">
        <v>44</v>
      </c>
      <c r="F2382" t="s">
        <v>710</v>
      </c>
      <c r="G2382" t="s">
        <v>86</v>
      </c>
      <c r="H2382" t="s">
        <v>350</v>
      </c>
      <c r="I2382">
        <v>2014</v>
      </c>
      <c r="J2382">
        <v>0.33</v>
      </c>
      <c r="K2382" t="s">
        <v>104</v>
      </c>
      <c r="M2382">
        <v>0</v>
      </c>
      <c r="N2382" t="s">
        <v>120</v>
      </c>
      <c r="O2382" t="s">
        <v>120</v>
      </c>
      <c r="P2382" t="s">
        <v>1389</v>
      </c>
      <c r="Q2382" s="1" t="s">
        <v>2276</v>
      </c>
      <c r="R2382" s="1" t="s">
        <v>669</v>
      </c>
      <c r="S2382" s="1" t="s">
        <v>168</v>
      </c>
      <c r="V2382" t="s">
        <v>194</v>
      </c>
      <c r="W2382" t="s">
        <v>910</v>
      </c>
      <c r="X2382" t="s">
        <v>648</v>
      </c>
      <c r="Y2382" t="s">
        <v>2273</v>
      </c>
      <c r="Z2382" t="s">
        <v>249</v>
      </c>
      <c r="AA2382" t="s">
        <v>2359</v>
      </c>
      <c r="AB2382" t="s">
        <v>1419</v>
      </c>
      <c r="AC2382" t="s">
        <v>152</v>
      </c>
      <c r="AD2382" t="s">
        <v>2288</v>
      </c>
      <c r="AE2382" t="s">
        <v>102</v>
      </c>
    </row>
    <row r="2383" spans="1:42" x14ac:dyDescent="0.2">
      <c r="A2383" t="s">
        <v>1386</v>
      </c>
      <c r="B2383" t="s">
        <v>1387</v>
      </c>
      <c r="C2383" s="1">
        <v>2016</v>
      </c>
      <c r="D2383" t="s">
        <v>44</v>
      </c>
      <c r="F2383" t="s">
        <v>710</v>
      </c>
      <c r="G2383" t="s">
        <v>86</v>
      </c>
      <c r="H2383" t="s">
        <v>350</v>
      </c>
      <c r="I2383">
        <v>2014</v>
      </c>
      <c r="J2383">
        <v>0.33</v>
      </c>
      <c r="K2383" t="s">
        <v>104</v>
      </c>
      <c r="M2383">
        <v>0</v>
      </c>
      <c r="N2383" t="s">
        <v>120</v>
      </c>
      <c r="O2383" t="s">
        <v>120</v>
      </c>
      <c r="P2383" t="s">
        <v>1389</v>
      </c>
      <c r="Q2383" s="1" t="s">
        <v>2276</v>
      </c>
      <c r="R2383" s="1" t="s">
        <v>669</v>
      </c>
      <c r="S2383" s="1" t="s">
        <v>168</v>
      </c>
      <c r="V2383" t="s">
        <v>194</v>
      </c>
      <c r="W2383" t="s">
        <v>910</v>
      </c>
      <c r="X2383" t="s">
        <v>1391</v>
      </c>
      <c r="Y2383" t="s">
        <v>2273</v>
      </c>
      <c r="Z2383" t="s">
        <v>249</v>
      </c>
      <c r="AA2383" t="s">
        <v>2359</v>
      </c>
      <c r="AB2383" t="s">
        <v>1979</v>
      </c>
      <c r="AC2383" t="s">
        <v>152</v>
      </c>
      <c r="AD2383" t="s">
        <v>137</v>
      </c>
      <c r="AE2383" t="s">
        <v>102</v>
      </c>
    </row>
    <row r="2384" spans="1:42" x14ac:dyDescent="0.2">
      <c r="A2384" t="s">
        <v>1386</v>
      </c>
      <c r="B2384" t="s">
        <v>1387</v>
      </c>
      <c r="C2384" s="1">
        <v>2016</v>
      </c>
      <c r="D2384" t="s">
        <v>44</v>
      </c>
      <c r="F2384" t="s">
        <v>710</v>
      </c>
      <c r="G2384" t="s">
        <v>86</v>
      </c>
      <c r="H2384" t="s">
        <v>350</v>
      </c>
      <c r="I2384">
        <v>2014</v>
      </c>
      <c r="J2384">
        <v>0.33</v>
      </c>
      <c r="K2384" t="s">
        <v>104</v>
      </c>
      <c r="M2384">
        <v>0</v>
      </c>
      <c r="N2384" t="s">
        <v>120</v>
      </c>
      <c r="O2384" t="s">
        <v>120</v>
      </c>
      <c r="P2384" t="s">
        <v>1389</v>
      </c>
      <c r="Q2384" s="1" t="s">
        <v>2276</v>
      </c>
      <c r="R2384" s="1" t="s">
        <v>669</v>
      </c>
      <c r="S2384" s="1" t="s">
        <v>168</v>
      </c>
      <c r="V2384" t="s">
        <v>194</v>
      </c>
      <c r="W2384" t="s">
        <v>910</v>
      </c>
      <c r="X2384" t="s">
        <v>1392</v>
      </c>
      <c r="Y2384" t="s">
        <v>2273</v>
      </c>
      <c r="Z2384" t="s">
        <v>249</v>
      </c>
      <c r="AA2384" t="s">
        <v>2359</v>
      </c>
      <c r="AB2384" t="s">
        <v>2285</v>
      </c>
      <c r="AC2384" t="s">
        <v>152</v>
      </c>
      <c r="AD2384" t="s">
        <v>2288</v>
      </c>
    </row>
    <row r="2385" spans="1:43" x14ac:dyDescent="0.2">
      <c r="A2385" t="s">
        <v>1386</v>
      </c>
      <c r="B2385" t="s">
        <v>1387</v>
      </c>
      <c r="C2385" s="1">
        <v>2016</v>
      </c>
      <c r="D2385" t="s">
        <v>44</v>
      </c>
      <c r="F2385" t="s">
        <v>710</v>
      </c>
      <c r="G2385" t="s">
        <v>86</v>
      </c>
      <c r="H2385" t="s">
        <v>350</v>
      </c>
      <c r="I2385">
        <v>2014</v>
      </c>
      <c r="J2385">
        <v>0.33</v>
      </c>
      <c r="K2385" t="s">
        <v>104</v>
      </c>
      <c r="M2385">
        <v>0</v>
      </c>
      <c r="N2385" t="s">
        <v>120</v>
      </c>
      <c r="O2385" t="s">
        <v>120</v>
      </c>
      <c r="P2385" t="s">
        <v>1389</v>
      </c>
      <c r="Q2385" s="1" t="s">
        <v>2276</v>
      </c>
      <c r="R2385" s="1" t="s">
        <v>669</v>
      </c>
      <c r="S2385" s="1" t="s">
        <v>168</v>
      </c>
      <c r="V2385" t="s">
        <v>194</v>
      </c>
      <c r="W2385" t="s">
        <v>910</v>
      </c>
      <c r="X2385" t="s">
        <v>1393</v>
      </c>
      <c r="Y2385" t="s">
        <v>2273</v>
      </c>
      <c r="Z2385" t="s">
        <v>249</v>
      </c>
      <c r="AA2385" t="s">
        <v>2359</v>
      </c>
      <c r="AB2385" t="s">
        <v>2285</v>
      </c>
      <c r="AC2385" t="s">
        <v>152</v>
      </c>
      <c r="AD2385" t="s">
        <v>2288</v>
      </c>
    </row>
    <row r="2386" spans="1:43" x14ac:dyDescent="0.2">
      <c r="A2386" t="s">
        <v>1386</v>
      </c>
      <c r="B2386" t="s">
        <v>1387</v>
      </c>
      <c r="C2386" s="1">
        <v>2016</v>
      </c>
      <c r="D2386" t="s">
        <v>44</v>
      </c>
      <c r="F2386" t="s">
        <v>710</v>
      </c>
      <c r="G2386" t="s">
        <v>86</v>
      </c>
      <c r="H2386" t="s">
        <v>350</v>
      </c>
      <c r="I2386">
        <v>2014</v>
      </c>
      <c r="J2386">
        <v>0.33</v>
      </c>
      <c r="K2386" t="s">
        <v>104</v>
      </c>
      <c r="M2386">
        <v>0</v>
      </c>
      <c r="N2386" t="s">
        <v>120</v>
      </c>
      <c r="O2386" t="s">
        <v>120</v>
      </c>
      <c r="P2386" t="s">
        <v>1389</v>
      </c>
      <c r="Q2386" s="1" t="s">
        <v>2276</v>
      </c>
      <c r="R2386" s="1" t="s">
        <v>669</v>
      </c>
      <c r="S2386" s="1" t="s">
        <v>168</v>
      </c>
      <c r="V2386" t="s">
        <v>194</v>
      </c>
      <c r="W2386" t="s">
        <v>910</v>
      </c>
      <c r="X2386" t="s">
        <v>384</v>
      </c>
      <c r="Y2386" t="s">
        <v>2273</v>
      </c>
      <c r="Z2386" t="s">
        <v>249</v>
      </c>
      <c r="AA2386" t="s">
        <v>2274</v>
      </c>
      <c r="AB2386" t="s">
        <v>2298</v>
      </c>
      <c r="AC2386" t="s">
        <v>315</v>
      </c>
      <c r="AD2386" t="s">
        <v>2288</v>
      </c>
      <c r="AE2386" t="s">
        <v>102</v>
      </c>
    </row>
    <row r="2387" spans="1:43" x14ac:dyDescent="0.2">
      <c r="A2387" t="s">
        <v>1386</v>
      </c>
      <c r="B2387" t="s">
        <v>1387</v>
      </c>
      <c r="C2387" s="1">
        <v>2016</v>
      </c>
      <c r="D2387" t="s">
        <v>44</v>
      </c>
      <c r="F2387" t="s">
        <v>710</v>
      </c>
      <c r="G2387" t="s">
        <v>86</v>
      </c>
      <c r="H2387" t="s">
        <v>350</v>
      </c>
      <c r="I2387">
        <v>2014</v>
      </c>
      <c r="J2387">
        <v>0.33</v>
      </c>
      <c r="K2387" t="s">
        <v>104</v>
      </c>
      <c r="M2387">
        <v>0</v>
      </c>
      <c r="N2387" t="s">
        <v>120</v>
      </c>
      <c r="O2387" t="s">
        <v>120</v>
      </c>
      <c r="P2387" t="s">
        <v>1389</v>
      </c>
      <c r="Q2387" s="1" t="s">
        <v>2276</v>
      </c>
      <c r="R2387" s="1" t="s">
        <v>669</v>
      </c>
      <c r="S2387" s="1" t="s">
        <v>168</v>
      </c>
      <c r="V2387" t="s">
        <v>194</v>
      </c>
      <c r="W2387" t="s">
        <v>910</v>
      </c>
      <c r="X2387" t="s">
        <v>886</v>
      </c>
      <c r="Y2387" t="s">
        <v>2273</v>
      </c>
      <c r="Z2387" t="s">
        <v>249</v>
      </c>
      <c r="AA2387" t="s">
        <v>2359</v>
      </c>
      <c r="AB2387" t="s">
        <v>2289</v>
      </c>
      <c r="AC2387" t="s">
        <v>152</v>
      </c>
      <c r="AD2387" t="s">
        <v>137</v>
      </c>
      <c r="AE2387" t="s">
        <v>102</v>
      </c>
    </row>
    <row r="2388" spans="1:43" x14ac:dyDescent="0.2">
      <c r="A2388" t="s">
        <v>1386</v>
      </c>
      <c r="B2388" t="s">
        <v>1387</v>
      </c>
      <c r="C2388" s="1">
        <v>2016</v>
      </c>
      <c r="D2388" t="s">
        <v>44</v>
      </c>
      <c r="F2388" t="s">
        <v>710</v>
      </c>
      <c r="G2388" t="s">
        <v>86</v>
      </c>
      <c r="H2388" t="s">
        <v>350</v>
      </c>
      <c r="I2388">
        <v>2014</v>
      </c>
      <c r="J2388">
        <f t="shared" ref="J2388:J2415" si="48">9/12</f>
        <v>0.75</v>
      </c>
      <c r="K2388" t="s">
        <v>104</v>
      </c>
      <c r="M2388">
        <v>0</v>
      </c>
      <c r="N2388" t="s">
        <v>120</v>
      </c>
      <c r="O2388" t="s">
        <v>120</v>
      </c>
      <c r="P2388" t="s">
        <v>910</v>
      </c>
      <c r="Q2388" s="1" t="s">
        <v>2276</v>
      </c>
      <c r="R2388" s="1" t="s">
        <v>669</v>
      </c>
      <c r="S2388" s="1" t="s">
        <v>168</v>
      </c>
      <c r="T2388" t="s">
        <v>396</v>
      </c>
      <c r="U2388" t="s">
        <v>2366</v>
      </c>
      <c r="V2388" t="s">
        <v>194</v>
      </c>
      <c r="W2388" t="s">
        <v>910</v>
      </c>
      <c r="X2388" t="s">
        <v>161</v>
      </c>
      <c r="Y2388" t="s">
        <v>2272</v>
      </c>
      <c r="Z2388" t="s">
        <v>2272</v>
      </c>
      <c r="AA2388" t="s">
        <v>2272</v>
      </c>
      <c r="AB2388" t="s">
        <v>2272</v>
      </c>
      <c r="AC2388" t="s">
        <v>162</v>
      </c>
      <c r="AD2388" t="s">
        <v>2272</v>
      </c>
      <c r="AF2388" t="s">
        <v>49</v>
      </c>
      <c r="AJ2388" t="s">
        <v>49</v>
      </c>
      <c r="AM2388" t="s">
        <v>1394</v>
      </c>
      <c r="AN2388" t="s">
        <v>154</v>
      </c>
      <c r="AQ2388" s="5">
        <v>2</v>
      </c>
    </row>
    <row r="2389" spans="1:43" x14ac:dyDescent="0.2">
      <c r="A2389" t="s">
        <v>1386</v>
      </c>
      <c r="B2389" t="s">
        <v>1387</v>
      </c>
      <c r="C2389" s="1">
        <v>2016</v>
      </c>
      <c r="D2389" t="s">
        <v>44</v>
      </c>
      <c r="F2389" t="s">
        <v>710</v>
      </c>
      <c r="G2389" t="s">
        <v>86</v>
      </c>
      <c r="H2389" t="s">
        <v>350</v>
      </c>
      <c r="I2389">
        <v>2014</v>
      </c>
      <c r="J2389">
        <f t="shared" si="48"/>
        <v>0.75</v>
      </c>
      <c r="K2389" t="s">
        <v>104</v>
      </c>
      <c r="M2389">
        <v>0</v>
      </c>
      <c r="N2389" t="s">
        <v>120</v>
      </c>
      <c r="O2389" t="s">
        <v>120</v>
      </c>
      <c r="P2389" t="s">
        <v>324</v>
      </c>
      <c r="Q2389" s="1" t="s">
        <v>2276</v>
      </c>
      <c r="R2389" s="1" t="s">
        <v>669</v>
      </c>
      <c r="S2389" s="1" t="s">
        <v>168</v>
      </c>
      <c r="T2389" t="s">
        <v>396</v>
      </c>
      <c r="U2389" t="s">
        <v>2366</v>
      </c>
      <c r="V2389" t="s">
        <v>194</v>
      </c>
      <c r="W2389" t="s">
        <v>910</v>
      </c>
      <c r="X2389" t="s">
        <v>161</v>
      </c>
      <c r="Y2389" t="s">
        <v>2272</v>
      </c>
      <c r="Z2389" t="s">
        <v>2272</v>
      </c>
      <c r="AA2389" t="s">
        <v>2272</v>
      </c>
      <c r="AB2389" t="s">
        <v>2272</v>
      </c>
      <c r="AC2389" t="s">
        <v>162</v>
      </c>
      <c r="AD2389" t="s">
        <v>2272</v>
      </c>
      <c r="AF2389" t="s">
        <v>49</v>
      </c>
      <c r="AJ2389" t="s">
        <v>49</v>
      </c>
      <c r="AM2389" t="s">
        <v>1394</v>
      </c>
      <c r="AN2389" t="s">
        <v>154</v>
      </c>
      <c r="AQ2389" s="5">
        <v>2</v>
      </c>
    </row>
    <row r="2390" spans="1:43" x14ac:dyDescent="0.2">
      <c r="A2390" t="s">
        <v>1386</v>
      </c>
      <c r="B2390" t="s">
        <v>1387</v>
      </c>
      <c r="C2390" s="1">
        <v>2016</v>
      </c>
      <c r="D2390" t="s">
        <v>44</v>
      </c>
      <c r="F2390" t="s">
        <v>710</v>
      </c>
      <c r="G2390" t="s">
        <v>86</v>
      </c>
      <c r="H2390" t="s">
        <v>350</v>
      </c>
      <c r="I2390">
        <v>2014</v>
      </c>
      <c r="J2390">
        <f t="shared" si="48"/>
        <v>0.75</v>
      </c>
      <c r="K2390" t="s">
        <v>104</v>
      </c>
      <c r="M2390">
        <v>0</v>
      </c>
      <c r="N2390" t="s">
        <v>120</v>
      </c>
      <c r="O2390" t="s">
        <v>120</v>
      </c>
      <c r="P2390" t="s">
        <v>756</v>
      </c>
      <c r="Q2390" s="1" t="s">
        <v>2276</v>
      </c>
      <c r="R2390" s="1" t="s">
        <v>669</v>
      </c>
      <c r="S2390" s="1" t="s">
        <v>168</v>
      </c>
      <c r="T2390" t="s">
        <v>396</v>
      </c>
      <c r="U2390" t="s">
        <v>2366</v>
      </c>
      <c r="V2390" t="s">
        <v>194</v>
      </c>
      <c r="W2390" t="s">
        <v>910</v>
      </c>
      <c r="X2390" t="s">
        <v>161</v>
      </c>
      <c r="Y2390" t="s">
        <v>2272</v>
      </c>
      <c r="Z2390" t="s">
        <v>2272</v>
      </c>
      <c r="AA2390" t="s">
        <v>2272</v>
      </c>
      <c r="AB2390" t="s">
        <v>2272</v>
      </c>
      <c r="AC2390" t="s">
        <v>162</v>
      </c>
      <c r="AD2390" t="s">
        <v>2272</v>
      </c>
      <c r="AF2390" t="s">
        <v>49</v>
      </c>
      <c r="AJ2390" t="s">
        <v>49</v>
      </c>
      <c r="AM2390" t="s">
        <v>1394</v>
      </c>
      <c r="AN2390" t="s">
        <v>154</v>
      </c>
      <c r="AQ2390" s="5">
        <v>1</v>
      </c>
    </row>
    <row r="2391" spans="1:43" x14ac:dyDescent="0.2">
      <c r="A2391" t="s">
        <v>1386</v>
      </c>
      <c r="B2391" t="s">
        <v>1387</v>
      </c>
      <c r="C2391" s="1">
        <v>2016</v>
      </c>
      <c r="D2391" t="s">
        <v>44</v>
      </c>
      <c r="F2391" t="s">
        <v>710</v>
      </c>
      <c r="G2391" t="s">
        <v>86</v>
      </c>
      <c r="H2391" t="s">
        <v>350</v>
      </c>
      <c r="I2391">
        <v>2014</v>
      </c>
      <c r="J2391">
        <f t="shared" si="48"/>
        <v>0.75</v>
      </c>
      <c r="K2391" t="s">
        <v>104</v>
      </c>
      <c r="M2391">
        <v>0</v>
      </c>
      <c r="N2391" t="s">
        <v>120</v>
      </c>
      <c r="O2391" t="s">
        <v>120</v>
      </c>
      <c r="P2391" t="s">
        <v>320</v>
      </c>
      <c r="Q2391" s="1" t="s">
        <v>2276</v>
      </c>
      <c r="R2391" s="1" t="s">
        <v>669</v>
      </c>
      <c r="S2391" s="1" t="s">
        <v>168</v>
      </c>
      <c r="T2391" t="s">
        <v>396</v>
      </c>
      <c r="U2391" t="s">
        <v>2366</v>
      </c>
      <c r="V2391" t="s">
        <v>194</v>
      </c>
      <c r="W2391" t="s">
        <v>910</v>
      </c>
      <c r="X2391" t="s">
        <v>161</v>
      </c>
      <c r="Y2391" t="s">
        <v>2272</v>
      </c>
      <c r="Z2391" t="s">
        <v>2272</v>
      </c>
      <c r="AA2391" t="s">
        <v>2272</v>
      </c>
      <c r="AB2391" t="s">
        <v>2272</v>
      </c>
      <c r="AC2391" t="s">
        <v>162</v>
      </c>
      <c r="AD2391" t="s">
        <v>2272</v>
      </c>
      <c r="AF2391" t="s">
        <v>49</v>
      </c>
      <c r="AJ2391" t="s">
        <v>49</v>
      </c>
      <c r="AM2391" t="s">
        <v>1394</v>
      </c>
      <c r="AN2391" t="s">
        <v>154</v>
      </c>
      <c r="AQ2391" s="5">
        <v>2</v>
      </c>
    </row>
    <row r="2392" spans="1:43" x14ac:dyDescent="0.2">
      <c r="A2392" t="s">
        <v>1386</v>
      </c>
      <c r="B2392" t="s">
        <v>1387</v>
      </c>
      <c r="C2392" s="1">
        <v>2016</v>
      </c>
      <c r="D2392" t="s">
        <v>44</v>
      </c>
      <c r="F2392" t="s">
        <v>710</v>
      </c>
      <c r="G2392" t="s">
        <v>86</v>
      </c>
      <c r="H2392" t="s">
        <v>350</v>
      </c>
      <c r="I2392">
        <v>2014</v>
      </c>
      <c r="J2392">
        <f t="shared" si="48"/>
        <v>0.75</v>
      </c>
      <c r="K2392" t="s">
        <v>104</v>
      </c>
      <c r="M2392">
        <v>0</v>
      </c>
      <c r="N2392" t="s">
        <v>120</v>
      </c>
      <c r="O2392" t="s">
        <v>120</v>
      </c>
      <c r="P2392" t="s">
        <v>910</v>
      </c>
      <c r="Q2392" s="1" t="s">
        <v>2276</v>
      </c>
      <c r="R2392" s="1" t="s">
        <v>669</v>
      </c>
      <c r="S2392" s="1" t="s">
        <v>168</v>
      </c>
      <c r="T2392" t="s">
        <v>396</v>
      </c>
      <c r="U2392" t="s">
        <v>2366</v>
      </c>
      <c r="V2392" t="s">
        <v>194</v>
      </c>
      <c r="W2392" t="s">
        <v>910</v>
      </c>
      <c r="X2392" t="s">
        <v>161</v>
      </c>
      <c r="Y2392" t="s">
        <v>2272</v>
      </c>
      <c r="Z2392" t="s">
        <v>2272</v>
      </c>
      <c r="AA2392" t="s">
        <v>2272</v>
      </c>
      <c r="AB2392" t="s">
        <v>2272</v>
      </c>
      <c r="AC2392" t="s">
        <v>162</v>
      </c>
      <c r="AD2392" t="s">
        <v>2272</v>
      </c>
      <c r="AF2392" t="s">
        <v>49</v>
      </c>
      <c r="AJ2392" t="s">
        <v>49</v>
      </c>
      <c r="AM2392" t="s">
        <v>1394</v>
      </c>
      <c r="AN2392" t="s">
        <v>166</v>
      </c>
      <c r="AQ2392" s="5">
        <v>3</v>
      </c>
    </row>
    <row r="2393" spans="1:43" x14ac:dyDescent="0.2">
      <c r="A2393" t="s">
        <v>1386</v>
      </c>
      <c r="B2393" t="s">
        <v>1387</v>
      </c>
      <c r="C2393" s="1">
        <v>2016</v>
      </c>
      <c r="D2393" t="s">
        <v>44</v>
      </c>
      <c r="F2393" t="s">
        <v>710</v>
      </c>
      <c r="G2393" t="s">
        <v>86</v>
      </c>
      <c r="H2393" t="s">
        <v>350</v>
      </c>
      <c r="I2393">
        <v>2014</v>
      </c>
      <c r="J2393">
        <f t="shared" si="48"/>
        <v>0.75</v>
      </c>
      <c r="K2393" t="s">
        <v>104</v>
      </c>
      <c r="M2393">
        <v>0</v>
      </c>
      <c r="N2393" t="s">
        <v>120</v>
      </c>
      <c r="O2393" t="s">
        <v>120</v>
      </c>
      <c r="P2393" t="s">
        <v>324</v>
      </c>
      <c r="Q2393" s="1" t="s">
        <v>2276</v>
      </c>
      <c r="R2393" s="1" t="s">
        <v>669</v>
      </c>
      <c r="S2393" s="1" t="s">
        <v>168</v>
      </c>
      <c r="T2393" t="s">
        <v>396</v>
      </c>
      <c r="U2393" t="s">
        <v>2366</v>
      </c>
      <c r="V2393" t="s">
        <v>194</v>
      </c>
      <c r="W2393" t="s">
        <v>910</v>
      </c>
      <c r="X2393" t="s">
        <v>161</v>
      </c>
      <c r="Y2393" t="s">
        <v>2272</v>
      </c>
      <c r="Z2393" t="s">
        <v>2272</v>
      </c>
      <c r="AA2393" t="s">
        <v>2272</v>
      </c>
      <c r="AB2393" t="s">
        <v>2272</v>
      </c>
      <c r="AC2393" t="s">
        <v>162</v>
      </c>
      <c r="AD2393" t="s">
        <v>2272</v>
      </c>
      <c r="AF2393" t="s">
        <v>49</v>
      </c>
      <c r="AJ2393" t="s">
        <v>49</v>
      </c>
      <c r="AM2393" t="s">
        <v>1394</v>
      </c>
      <c r="AN2393" t="s">
        <v>166</v>
      </c>
      <c r="AQ2393" s="5">
        <v>2</v>
      </c>
    </row>
    <row r="2394" spans="1:43" x14ac:dyDescent="0.2">
      <c r="A2394" t="s">
        <v>1386</v>
      </c>
      <c r="B2394" t="s">
        <v>1387</v>
      </c>
      <c r="C2394" s="1">
        <v>2016</v>
      </c>
      <c r="D2394" t="s">
        <v>44</v>
      </c>
      <c r="F2394" t="s">
        <v>710</v>
      </c>
      <c r="G2394" t="s">
        <v>86</v>
      </c>
      <c r="H2394" t="s">
        <v>350</v>
      </c>
      <c r="I2394">
        <v>2014</v>
      </c>
      <c r="J2394">
        <f t="shared" si="48"/>
        <v>0.75</v>
      </c>
      <c r="K2394" t="s">
        <v>104</v>
      </c>
      <c r="M2394">
        <v>0</v>
      </c>
      <c r="N2394" t="s">
        <v>120</v>
      </c>
      <c r="O2394" t="s">
        <v>120</v>
      </c>
      <c r="P2394" t="s">
        <v>756</v>
      </c>
      <c r="Q2394" s="1" t="s">
        <v>2276</v>
      </c>
      <c r="R2394" s="1" t="s">
        <v>669</v>
      </c>
      <c r="S2394" s="1" t="s">
        <v>168</v>
      </c>
      <c r="T2394" t="s">
        <v>396</v>
      </c>
      <c r="U2394" t="s">
        <v>2366</v>
      </c>
      <c r="V2394" t="s">
        <v>194</v>
      </c>
      <c r="W2394" t="s">
        <v>910</v>
      </c>
      <c r="X2394" t="s">
        <v>161</v>
      </c>
      <c r="Y2394" t="s">
        <v>2272</v>
      </c>
      <c r="Z2394" t="s">
        <v>2272</v>
      </c>
      <c r="AA2394" t="s">
        <v>2272</v>
      </c>
      <c r="AB2394" t="s">
        <v>2272</v>
      </c>
      <c r="AC2394" t="s">
        <v>162</v>
      </c>
      <c r="AD2394" t="s">
        <v>2272</v>
      </c>
      <c r="AF2394" t="s">
        <v>49</v>
      </c>
      <c r="AJ2394" t="s">
        <v>49</v>
      </c>
      <c r="AM2394" t="s">
        <v>1394</v>
      </c>
      <c r="AN2394" t="s">
        <v>166</v>
      </c>
      <c r="AQ2394" s="5">
        <v>1</v>
      </c>
    </row>
    <row r="2395" spans="1:43" x14ac:dyDescent="0.2">
      <c r="A2395" t="s">
        <v>1386</v>
      </c>
      <c r="B2395" t="s">
        <v>1387</v>
      </c>
      <c r="C2395" s="1">
        <v>2016</v>
      </c>
      <c r="D2395" t="s">
        <v>44</v>
      </c>
      <c r="F2395" t="s">
        <v>710</v>
      </c>
      <c r="G2395" t="s">
        <v>86</v>
      </c>
      <c r="H2395" t="s">
        <v>350</v>
      </c>
      <c r="I2395">
        <v>2014</v>
      </c>
      <c r="J2395">
        <f t="shared" si="48"/>
        <v>0.75</v>
      </c>
      <c r="K2395" t="s">
        <v>104</v>
      </c>
      <c r="M2395">
        <v>0</v>
      </c>
      <c r="N2395" t="s">
        <v>120</v>
      </c>
      <c r="O2395" t="s">
        <v>120</v>
      </c>
      <c r="P2395" t="s">
        <v>320</v>
      </c>
      <c r="Q2395" s="1" t="s">
        <v>2276</v>
      </c>
      <c r="R2395" s="1" t="s">
        <v>669</v>
      </c>
      <c r="S2395" s="1" t="s">
        <v>168</v>
      </c>
      <c r="T2395" t="s">
        <v>396</v>
      </c>
      <c r="U2395" t="s">
        <v>2366</v>
      </c>
      <c r="V2395" t="s">
        <v>194</v>
      </c>
      <c r="W2395" t="s">
        <v>910</v>
      </c>
      <c r="X2395" t="s">
        <v>161</v>
      </c>
      <c r="Y2395" t="s">
        <v>2272</v>
      </c>
      <c r="Z2395" t="s">
        <v>2272</v>
      </c>
      <c r="AA2395" t="s">
        <v>2272</v>
      </c>
      <c r="AB2395" t="s">
        <v>2272</v>
      </c>
      <c r="AC2395" t="s">
        <v>162</v>
      </c>
      <c r="AD2395" t="s">
        <v>2272</v>
      </c>
      <c r="AF2395" t="s">
        <v>49</v>
      </c>
      <c r="AJ2395" t="s">
        <v>49</v>
      </c>
      <c r="AM2395" t="s">
        <v>1394</v>
      </c>
      <c r="AN2395" t="s">
        <v>166</v>
      </c>
      <c r="AQ2395" s="5">
        <v>1</v>
      </c>
    </row>
    <row r="2396" spans="1:43" x14ac:dyDescent="0.2">
      <c r="A2396" t="s">
        <v>1386</v>
      </c>
      <c r="B2396" t="s">
        <v>1387</v>
      </c>
      <c r="C2396" s="1">
        <v>2016</v>
      </c>
      <c r="D2396" t="s">
        <v>44</v>
      </c>
      <c r="F2396" t="s">
        <v>710</v>
      </c>
      <c r="G2396" t="s">
        <v>86</v>
      </c>
      <c r="H2396" t="s">
        <v>350</v>
      </c>
      <c r="I2396">
        <v>2014</v>
      </c>
      <c r="J2396">
        <f t="shared" si="48"/>
        <v>0.75</v>
      </c>
      <c r="K2396" t="s">
        <v>104</v>
      </c>
      <c r="M2396">
        <v>0</v>
      </c>
      <c r="N2396" t="s">
        <v>120</v>
      </c>
      <c r="O2396" t="s">
        <v>120</v>
      </c>
      <c r="P2396" t="s">
        <v>910</v>
      </c>
      <c r="Q2396" s="1" t="s">
        <v>2276</v>
      </c>
      <c r="R2396" s="1" t="s">
        <v>669</v>
      </c>
      <c r="S2396" s="1" t="s">
        <v>168</v>
      </c>
      <c r="T2396" t="s">
        <v>396</v>
      </c>
      <c r="U2396" t="s">
        <v>2366</v>
      </c>
      <c r="V2396" t="s">
        <v>194</v>
      </c>
      <c r="W2396" t="s">
        <v>910</v>
      </c>
      <c r="X2396" t="s">
        <v>161</v>
      </c>
      <c r="Y2396" t="s">
        <v>2272</v>
      </c>
      <c r="Z2396" t="s">
        <v>2272</v>
      </c>
      <c r="AA2396" t="s">
        <v>2272</v>
      </c>
      <c r="AB2396" t="s">
        <v>2272</v>
      </c>
      <c r="AC2396" t="s">
        <v>162</v>
      </c>
      <c r="AD2396" t="s">
        <v>2272</v>
      </c>
      <c r="AF2396" t="s">
        <v>49</v>
      </c>
      <c r="AJ2396" t="s">
        <v>49</v>
      </c>
      <c r="AM2396" t="s">
        <v>1394</v>
      </c>
      <c r="AN2396" t="s">
        <v>165</v>
      </c>
      <c r="AP2396" t="s">
        <v>49</v>
      </c>
    </row>
    <row r="2397" spans="1:43" x14ac:dyDescent="0.2">
      <c r="A2397" t="s">
        <v>1386</v>
      </c>
      <c r="B2397" t="s">
        <v>1387</v>
      </c>
      <c r="C2397" s="1">
        <v>2016</v>
      </c>
      <c r="D2397" t="s">
        <v>44</v>
      </c>
      <c r="F2397" t="s">
        <v>710</v>
      </c>
      <c r="G2397" t="s">
        <v>86</v>
      </c>
      <c r="H2397" t="s">
        <v>350</v>
      </c>
      <c r="I2397">
        <v>2014</v>
      </c>
      <c r="J2397">
        <f t="shared" si="48"/>
        <v>0.75</v>
      </c>
      <c r="K2397" t="s">
        <v>104</v>
      </c>
      <c r="M2397">
        <v>0</v>
      </c>
      <c r="N2397" t="s">
        <v>120</v>
      </c>
      <c r="O2397" t="s">
        <v>120</v>
      </c>
      <c r="P2397" t="s">
        <v>324</v>
      </c>
      <c r="Q2397" s="1" t="s">
        <v>2276</v>
      </c>
      <c r="R2397" s="1" t="s">
        <v>669</v>
      </c>
      <c r="S2397" s="1" t="s">
        <v>168</v>
      </c>
      <c r="T2397" t="s">
        <v>396</v>
      </c>
      <c r="U2397" t="s">
        <v>2366</v>
      </c>
      <c r="V2397" t="s">
        <v>194</v>
      </c>
      <c r="W2397" t="s">
        <v>910</v>
      </c>
      <c r="X2397" t="s">
        <v>161</v>
      </c>
      <c r="Y2397" t="s">
        <v>2272</v>
      </c>
      <c r="Z2397" t="s">
        <v>2272</v>
      </c>
      <c r="AA2397" t="s">
        <v>2272</v>
      </c>
      <c r="AB2397" t="s">
        <v>2272</v>
      </c>
      <c r="AC2397" t="s">
        <v>162</v>
      </c>
      <c r="AD2397" t="s">
        <v>2272</v>
      </c>
      <c r="AF2397" t="s">
        <v>49</v>
      </c>
      <c r="AJ2397" t="s">
        <v>49</v>
      </c>
      <c r="AM2397" t="s">
        <v>1394</v>
      </c>
      <c r="AN2397" t="s">
        <v>165</v>
      </c>
      <c r="AP2397" t="s">
        <v>49</v>
      </c>
    </row>
    <row r="2398" spans="1:43" x14ac:dyDescent="0.2">
      <c r="A2398" t="s">
        <v>1386</v>
      </c>
      <c r="B2398" t="s">
        <v>1387</v>
      </c>
      <c r="C2398" s="1">
        <v>2016</v>
      </c>
      <c r="D2398" t="s">
        <v>44</v>
      </c>
      <c r="F2398" t="s">
        <v>710</v>
      </c>
      <c r="G2398" t="s">
        <v>86</v>
      </c>
      <c r="H2398" t="s">
        <v>350</v>
      </c>
      <c r="I2398">
        <v>2014</v>
      </c>
      <c r="J2398">
        <f t="shared" si="48"/>
        <v>0.75</v>
      </c>
      <c r="K2398" t="s">
        <v>104</v>
      </c>
      <c r="M2398">
        <v>0</v>
      </c>
      <c r="N2398" t="s">
        <v>120</v>
      </c>
      <c r="O2398" t="s">
        <v>120</v>
      </c>
      <c r="P2398" t="s">
        <v>756</v>
      </c>
      <c r="Q2398" s="1" t="s">
        <v>2276</v>
      </c>
      <c r="R2398" s="1" t="s">
        <v>669</v>
      </c>
      <c r="S2398" s="1" t="s">
        <v>168</v>
      </c>
      <c r="T2398" t="s">
        <v>396</v>
      </c>
      <c r="U2398" t="s">
        <v>2366</v>
      </c>
      <c r="V2398" t="s">
        <v>194</v>
      </c>
      <c r="W2398" t="s">
        <v>910</v>
      </c>
      <c r="X2398" t="s">
        <v>161</v>
      </c>
      <c r="Y2398" t="s">
        <v>2272</v>
      </c>
      <c r="Z2398" t="s">
        <v>2272</v>
      </c>
      <c r="AA2398" t="s">
        <v>2272</v>
      </c>
      <c r="AB2398" t="s">
        <v>2272</v>
      </c>
      <c r="AC2398" t="s">
        <v>162</v>
      </c>
      <c r="AD2398" t="s">
        <v>2272</v>
      </c>
      <c r="AF2398" t="s">
        <v>49</v>
      </c>
      <c r="AJ2398" t="s">
        <v>49</v>
      </c>
      <c r="AM2398" t="s">
        <v>1394</v>
      </c>
      <c r="AN2398" t="s">
        <v>165</v>
      </c>
      <c r="AP2398" t="s">
        <v>49</v>
      </c>
    </row>
    <row r="2399" spans="1:43" x14ac:dyDescent="0.2">
      <c r="A2399" t="s">
        <v>1386</v>
      </c>
      <c r="B2399" t="s">
        <v>1387</v>
      </c>
      <c r="C2399" s="1">
        <v>2016</v>
      </c>
      <c r="D2399" t="s">
        <v>44</v>
      </c>
      <c r="F2399" t="s">
        <v>710</v>
      </c>
      <c r="G2399" t="s">
        <v>86</v>
      </c>
      <c r="H2399" t="s">
        <v>350</v>
      </c>
      <c r="I2399">
        <v>2014</v>
      </c>
      <c r="J2399">
        <f t="shared" si="48"/>
        <v>0.75</v>
      </c>
      <c r="K2399" t="s">
        <v>104</v>
      </c>
      <c r="M2399">
        <v>0</v>
      </c>
      <c r="N2399" t="s">
        <v>120</v>
      </c>
      <c r="O2399" t="s">
        <v>120</v>
      </c>
      <c r="P2399" t="s">
        <v>320</v>
      </c>
      <c r="Q2399" s="1" t="s">
        <v>2276</v>
      </c>
      <c r="R2399" s="1" t="s">
        <v>669</v>
      </c>
      <c r="S2399" s="1" t="s">
        <v>168</v>
      </c>
      <c r="T2399" t="s">
        <v>396</v>
      </c>
      <c r="U2399" t="s">
        <v>2366</v>
      </c>
      <c r="V2399" t="s">
        <v>194</v>
      </c>
      <c r="W2399" t="s">
        <v>910</v>
      </c>
      <c r="X2399" t="s">
        <v>161</v>
      </c>
      <c r="Y2399" t="s">
        <v>2272</v>
      </c>
      <c r="Z2399" t="s">
        <v>2272</v>
      </c>
      <c r="AA2399" t="s">
        <v>2272</v>
      </c>
      <c r="AB2399" t="s">
        <v>2272</v>
      </c>
      <c r="AC2399" t="s">
        <v>162</v>
      </c>
      <c r="AD2399" t="s">
        <v>2272</v>
      </c>
      <c r="AF2399" t="s">
        <v>49</v>
      </c>
      <c r="AJ2399" t="s">
        <v>49</v>
      </c>
      <c r="AM2399" t="s">
        <v>1394</v>
      </c>
      <c r="AN2399" t="s">
        <v>165</v>
      </c>
      <c r="AP2399" t="s">
        <v>49</v>
      </c>
    </row>
    <row r="2400" spans="1:43" x14ac:dyDescent="0.2">
      <c r="A2400" t="s">
        <v>1386</v>
      </c>
      <c r="B2400" t="s">
        <v>1387</v>
      </c>
      <c r="C2400" s="1">
        <v>2016</v>
      </c>
      <c r="D2400" t="s">
        <v>44</v>
      </c>
      <c r="F2400" t="s">
        <v>710</v>
      </c>
      <c r="G2400" t="s">
        <v>86</v>
      </c>
      <c r="H2400" t="s">
        <v>350</v>
      </c>
      <c r="I2400">
        <v>2014</v>
      </c>
      <c r="J2400">
        <f t="shared" si="48"/>
        <v>0.75</v>
      </c>
      <c r="K2400" t="s">
        <v>104</v>
      </c>
      <c r="M2400">
        <v>0</v>
      </c>
      <c r="N2400" t="s">
        <v>120</v>
      </c>
      <c r="O2400" t="s">
        <v>120</v>
      </c>
      <c r="P2400" t="s">
        <v>910</v>
      </c>
      <c r="Q2400" s="1" t="s">
        <v>2276</v>
      </c>
      <c r="R2400" s="1" t="s">
        <v>669</v>
      </c>
      <c r="S2400" s="1" t="s">
        <v>168</v>
      </c>
      <c r="T2400" t="s">
        <v>396</v>
      </c>
      <c r="U2400" t="s">
        <v>2366</v>
      </c>
      <c r="V2400" t="s">
        <v>194</v>
      </c>
      <c r="W2400" t="s">
        <v>910</v>
      </c>
      <c r="X2400" t="s">
        <v>161</v>
      </c>
      <c r="Y2400" t="s">
        <v>2272</v>
      </c>
      <c r="Z2400" t="s">
        <v>2272</v>
      </c>
      <c r="AA2400" t="s">
        <v>2272</v>
      </c>
      <c r="AB2400" t="s">
        <v>2272</v>
      </c>
      <c r="AC2400" t="s">
        <v>162</v>
      </c>
      <c r="AD2400" t="s">
        <v>2272</v>
      </c>
      <c r="AF2400" t="s">
        <v>49</v>
      </c>
      <c r="AJ2400" t="s">
        <v>49</v>
      </c>
      <c r="AM2400" t="s">
        <v>1395</v>
      </c>
      <c r="AN2400" t="s">
        <v>154</v>
      </c>
    </row>
    <row r="2401" spans="1:45" x14ac:dyDescent="0.2">
      <c r="A2401" t="s">
        <v>1386</v>
      </c>
      <c r="B2401" t="s">
        <v>1387</v>
      </c>
      <c r="C2401" s="1">
        <v>2016</v>
      </c>
      <c r="D2401" t="s">
        <v>44</v>
      </c>
      <c r="F2401" t="s">
        <v>710</v>
      </c>
      <c r="G2401" t="s">
        <v>86</v>
      </c>
      <c r="H2401" t="s">
        <v>350</v>
      </c>
      <c r="I2401">
        <v>2014</v>
      </c>
      <c r="J2401">
        <f t="shared" si="48"/>
        <v>0.75</v>
      </c>
      <c r="K2401" t="s">
        <v>104</v>
      </c>
      <c r="M2401">
        <v>0</v>
      </c>
      <c r="N2401" t="s">
        <v>120</v>
      </c>
      <c r="O2401" t="s">
        <v>120</v>
      </c>
      <c r="P2401" t="s">
        <v>324</v>
      </c>
      <c r="Q2401" s="1" t="s">
        <v>2276</v>
      </c>
      <c r="R2401" s="1" t="s">
        <v>669</v>
      </c>
      <c r="S2401" s="1" t="s">
        <v>168</v>
      </c>
      <c r="T2401" t="s">
        <v>396</v>
      </c>
      <c r="U2401" t="s">
        <v>2366</v>
      </c>
      <c r="V2401" t="s">
        <v>194</v>
      </c>
      <c r="W2401" t="s">
        <v>910</v>
      </c>
      <c r="X2401" t="s">
        <v>161</v>
      </c>
      <c r="Y2401" t="s">
        <v>2272</v>
      </c>
      <c r="Z2401" t="s">
        <v>2272</v>
      </c>
      <c r="AA2401" t="s">
        <v>2272</v>
      </c>
      <c r="AB2401" t="s">
        <v>2272</v>
      </c>
      <c r="AC2401" t="s">
        <v>162</v>
      </c>
      <c r="AD2401" t="s">
        <v>2272</v>
      </c>
      <c r="AF2401" t="s">
        <v>49</v>
      </c>
      <c r="AJ2401" t="s">
        <v>49</v>
      </c>
      <c r="AM2401" t="s">
        <v>1395</v>
      </c>
      <c r="AN2401" t="s">
        <v>154</v>
      </c>
    </row>
    <row r="2402" spans="1:45" x14ac:dyDescent="0.2">
      <c r="A2402" t="s">
        <v>1386</v>
      </c>
      <c r="B2402" t="s">
        <v>1387</v>
      </c>
      <c r="C2402" s="1">
        <v>2016</v>
      </c>
      <c r="D2402" t="s">
        <v>44</v>
      </c>
      <c r="F2402" t="s">
        <v>710</v>
      </c>
      <c r="G2402" t="s">
        <v>86</v>
      </c>
      <c r="H2402" t="s">
        <v>350</v>
      </c>
      <c r="I2402">
        <v>2014</v>
      </c>
      <c r="J2402">
        <f t="shared" si="48"/>
        <v>0.75</v>
      </c>
      <c r="K2402" t="s">
        <v>104</v>
      </c>
      <c r="M2402">
        <v>0</v>
      </c>
      <c r="N2402" t="s">
        <v>120</v>
      </c>
      <c r="O2402" t="s">
        <v>120</v>
      </c>
      <c r="P2402" t="s">
        <v>756</v>
      </c>
      <c r="Q2402" s="1" t="s">
        <v>2276</v>
      </c>
      <c r="R2402" s="1" t="s">
        <v>669</v>
      </c>
      <c r="S2402" s="1" t="s">
        <v>168</v>
      </c>
      <c r="T2402" t="s">
        <v>396</v>
      </c>
      <c r="U2402" t="s">
        <v>2366</v>
      </c>
      <c r="V2402" t="s">
        <v>194</v>
      </c>
      <c r="W2402" t="s">
        <v>910</v>
      </c>
      <c r="X2402" t="s">
        <v>161</v>
      </c>
      <c r="Y2402" t="s">
        <v>2272</v>
      </c>
      <c r="Z2402" t="s">
        <v>2272</v>
      </c>
      <c r="AA2402" t="s">
        <v>2272</v>
      </c>
      <c r="AB2402" t="s">
        <v>2272</v>
      </c>
      <c r="AC2402" t="s">
        <v>162</v>
      </c>
      <c r="AD2402" t="s">
        <v>2272</v>
      </c>
      <c r="AF2402" t="s">
        <v>49</v>
      </c>
      <c r="AJ2402" t="s">
        <v>49</v>
      </c>
      <c r="AM2402" t="s">
        <v>1395</v>
      </c>
      <c r="AN2402" t="s">
        <v>154</v>
      </c>
    </row>
    <row r="2403" spans="1:45" x14ac:dyDescent="0.2">
      <c r="A2403" t="s">
        <v>1386</v>
      </c>
      <c r="B2403" t="s">
        <v>1387</v>
      </c>
      <c r="C2403" s="1">
        <v>2016</v>
      </c>
      <c r="D2403" t="s">
        <v>44</v>
      </c>
      <c r="F2403" t="s">
        <v>710</v>
      </c>
      <c r="G2403" t="s">
        <v>86</v>
      </c>
      <c r="H2403" t="s">
        <v>350</v>
      </c>
      <c r="I2403">
        <v>2014</v>
      </c>
      <c r="J2403">
        <f t="shared" si="48"/>
        <v>0.75</v>
      </c>
      <c r="K2403" t="s">
        <v>104</v>
      </c>
      <c r="M2403">
        <v>0</v>
      </c>
      <c r="N2403" t="s">
        <v>120</v>
      </c>
      <c r="O2403" t="s">
        <v>120</v>
      </c>
      <c r="P2403" t="s">
        <v>320</v>
      </c>
      <c r="Q2403" s="1" t="s">
        <v>2276</v>
      </c>
      <c r="R2403" s="1" t="s">
        <v>669</v>
      </c>
      <c r="S2403" s="1" t="s">
        <v>168</v>
      </c>
      <c r="T2403" t="s">
        <v>396</v>
      </c>
      <c r="U2403" t="s">
        <v>2366</v>
      </c>
      <c r="V2403" t="s">
        <v>194</v>
      </c>
      <c r="W2403" t="s">
        <v>910</v>
      </c>
      <c r="X2403" t="s">
        <v>161</v>
      </c>
      <c r="Y2403" t="s">
        <v>2272</v>
      </c>
      <c r="Z2403" t="s">
        <v>2272</v>
      </c>
      <c r="AA2403" t="s">
        <v>2272</v>
      </c>
      <c r="AB2403" t="s">
        <v>2272</v>
      </c>
      <c r="AC2403" t="s">
        <v>162</v>
      </c>
      <c r="AD2403" t="s">
        <v>2272</v>
      </c>
      <c r="AF2403" t="s">
        <v>49</v>
      </c>
      <c r="AJ2403" t="s">
        <v>49</v>
      </c>
      <c r="AM2403" t="s">
        <v>1395</v>
      </c>
      <c r="AN2403" t="s">
        <v>154</v>
      </c>
    </row>
    <row r="2404" spans="1:45" x14ac:dyDescent="0.2">
      <c r="A2404" t="s">
        <v>1386</v>
      </c>
      <c r="B2404" t="s">
        <v>1387</v>
      </c>
      <c r="C2404" s="1">
        <v>2016</v>
      </c>
      <c r="D2404" t="s">
        <v>44</v>
      </c>
      <c r="F2404" t="s">
        <v>710</v>
      </c>
      <c r="G2404" t="s">
        <v>86</v>
      </c>
      <c r="H2404" t="s">
        <v>350</v>
      </c>
      <c r="I2404">
        <v>2014</v>
      </c>
      <c r="J2404">
        <f t="shared" si="48"/>
        <v>0.75</v>
      </c>
      <c r="K2404" t="s">
        <v>104</v>
      </c>
      <c r="M2404">
        <v>0</v>
      </c>
      <c r="N2404" t="s">
        <v>120</v>
      </c>
      <c r="O2404" t="s">
        <v>120</v>
      </c>
      <c r="P2404" t="s">
        <v>910</v>
      </c>
      <c r="Q2404" s="1" t="s">
        <v>2276</v>
      </c>
      <c r="R2404" s="1" t="s">
        <v>669</v>
      </c>
      <c r="S2404" s="1" t="s">
        <v>168</v>
      </c>
      <c r="T2404" t="s">
        <v>396</v>
      </c>
      <c r="U2404" t="s">
        <v>2366</v>
      </c>
      <c r="V2404" t="s">
        <v>194</v>
      </c>
      <c r="W2404" t="s">
        <v>910</v>
      </c>
      <c r="X2404" t="s">
        <v>161</v>
      </c>
      <c r="Y2404" t="s">
        <v>2272</v>
      </c>
      <c r="Z2404" t="s">
        <v>2272</v>
      </c>
      <c r="AA2404" t="s">
        <v>2272</v>
      </c>
      <c r="AB2404" t="s">
        <v>2272</v>
      </c>
      <c r="AC2404" t="s">
        <v>162</v>
      </c>
      <c r="AD2404" t="s">
        <v>2272</v>
      </c>
      <c r="AF2404" t="s">
        <v>49</v>
      </c>
      <c r="AJ2404" t="s">
        <v>49</v>
      </c>
      <c r="AM2404" t="s">
        <v>1395</v>
      </c>
      <c r="AN2404" t="s">
        <v>166</v>
      </c>
    </row>
    <row r="2405" spans="1:45" x14ac:dyDescent="0.2">
      <c r="A2405" t="s">
        <v>1386</v>
      </c>
      <c r="B2405" t="s">
        <v>1387</v>
      </c>
      <c r="C2405" s="1">
        <v>2016</v>
      </c>
      <c r="D2405" t="s">
        <v>44</v>
      </c>
      <c r="F2405" t="s">
        <v>710</v>
      </c>
      <c r="G2405" t="s">
        <v>86</v>
      </c>
      <c r="H2405" t="s">
        <v>350</v>
      </c>
      <c r="I2405">
        <v>2014</v>
      </c>
      <c r="J2405">
        <f t="shared" si="48"/>
        <v>0.75</v>
      </c>
      <c r="K2405" t="s">
        <v>104</v>
      </c>
      <c r="M2405">
        <v>0</v>
      </c>
      <c r="N2405" t="s">
        <v>120</v>
      </c>
      <c r="O2405" t="s">
        <v>120</v>
      </c>
      <c r="P2405" t="s">
        <v>324</v>
      </c>
      <c r="Q2405" s="1" t="s">
        <v>2276</v>
      </c>
      <c r="R2405" s="1" t="s">
        <v>669</v>
      </c>
      <c r="S2405" s="1" t="s">
        <v>168</v>
      </c>
      <c r="T2405" t="s">
        <v>396</v>
      </c>
      <c r="U2405" t="s">
        <v>2366</v>
      </c>
      <c r="V2405" t="s">
        <v>194</v>
      </c>
      <c r="W2405" t="s">
        <v>910</v>
      </c>
      <c r="X2405" t="s">
        <v>161</v>
      </c>
      <c r="Y2405" t="s">
        <v>2272</v>
      </c>
      <c r="Z2405" t="s">
        <v>2272</v>
      </c>
      <c r="AA2405" t="s">
        <v>2272</v>
      </c>
      <c r="AB2405" t="s">
        <v>2272</v>
      </c>
      <c r="AC2405" t="s">
        <v>162</v>
      </c>
      <c r="AD2405" t="s">
        <v>2272</v>
      </c>
      <c r="AF2405" t="s">
        <v>49</v>
      </c>
      <c r="AJ2405" t="s">
        <v>49</v>
      </c>
      <c r="AM2405" t="s">
        <v>1395</v>
      </c>
      <c r="AN2405" t="s">
        <v>166</v>
      </c>
    </row>
    <row r="2406" spans="1:45" x14ac:dyDescent="0.2">
      <c r="A2406" t="s">
        <v>1386</v>
      </c>
      <c r="B2406" t="s">
        <v>1387</v>
      </c>
      <c r="C2406" s="1">
        <v>2016</v>
      </c>
      <c r="D2406" t="s">
        <v>44</v>
      </c>
      <c r="F2406" t="s">
        <v>710</v>
      </c>
      <c r="G2406" t="s">
        <v>86</v>
      </c>
      <c r="H2406" t="s">
        <v>350</v>
      </c>
      <c r="I2406">
        <v>2014</v>
      </c>
      <c r="J2406">
        <f t="shared" si="48"/>
        <v>0.75</v>
      </c>
      <c r="K2406" t="s">
        <v>104</v>
      </c>
      <c r="M2406">
        <v>0</v>
      </c>
      <c r="N2406" t="s">
        <v>120</v>
      </c>
      <c r="O2406" t="s">
        <v>120</v>
      </c>
      <c r="P2406" t="s">
        <v>756</v>
      </c>
      <c r="Q2406" s="1" t="s">
        <v>2276</v>
      </c>
      <c r="R2406" s="1" t="s">
        <v>669</v>
      </c>
      <c r="S2406" s="1" t="s">
        <v>168</v>
      </c>
      <c r="T2406" t="s">
        <v>396</v>
      </c>
      <c r="U2406" t="s">
        <v>2366</v>
      </c>
      <c r="V2406" t="s">
        <v>194</v>
      </c>
      <c r="W2406" t="s">
        <v>910</v>
      </c>
      <c r="X2406" t="s">
        <v>161</v>
      </c>
      <c r="Y2406" t="s">
        <v>2272</v>
      </c>
      <c r="Z2406" t="s">
        <v>2272</v>
      </c>
      <c r="AA2406" t="s">
        <v>2272</v>
      </c>
      <c r="AB2406" t="s">
        <v>2272</v>
      </c>
      <c r="AC2406" t="s">
        <v>162</v>
      </c>
      <c r="AD2406" t="s">
        <v>2272</v>
      </c>
      <c r="AF2406" t="s">
        <v>49</v>
      </c>
      <c r="AJ2406" t="s">
        <v>49</v>
      </c>
      <c r="AM2406" t="s">
        <v>1395</v>
      </c>
      <c r="AN2406" t="s">
        <v>166</v>
      </c>
    </row>
    <row r="2407" spans="1:45" x14ac:dyDescent="0.2">
      <c r="A2407" t="s">
        <v>1386</v>
      </c>
      <c r="B2407" t="s">
        <v>1387</v>
      </c>
      <c r="C2407" s="1">
        <v>2016</v>
      </c>
      <c r="D2407" t="s">
        <v>44</v>
      </c>
      <c r="F2407" t="s">
        <v>710</v>
      </c>
      <c r="G2407" t="s">
        <v>86</v>
      </c>
      <c r="H2407" t="s">
        <v>350</v>
      </c>
      <c r="I2407">
        <v>2014</v>
      </c>
      <c r="J2407">
        <f t="shared" si="48"/>
        <v>0.75</v>
      </c>
      <c r="K2407" t="s">
        <v>104</v>
      </c>
      <c r="M2407">
        <v>0</v>
      </c>
      <c r="N2407" t="s">
        <v>120</v>
      </c>
      <c r="O2407" t="s">
        <v>120</v>
      </c>
      <c r="P2407" t="s">
        <v>320</v>
      </c>
      <c r="Q2407" s="1" t="s">
        <v>2276</v>
      </c>
      <c r="R2407" s="1" t="s">
        <v>669</v>
      </c>
      <c r="S2407" s="1" t="s">
        <v>168</v>
      </c>
      <c r="T2407" t="s">
        <v>396</v>
      </c>
      <c r="U2407" t="s">
        <v>2366</v>
      </c>
      <c r="V2407" t="s">
        <v>194</v>
      </c>
      <c r="W2407" t="s">
        <v>910</v>
      </c>
      <c r="X2407" t="s">
        <v>161</v>
      </c>
      <c r="Y2407" t="s">
        <v>2272</v>
      </c>
      <c r="Z2407" t="s">
        <v>2272</v>
      </c>
      <c r="AA2407" t="s">
        <v>2272</v>
      </c>
      <c r="AB2407" t="s">
        <v>2272</v>
      </c>
      <c r="AC2407" t="s">
        <v>162</v>
      </c>
      <c r="AD2407" t="s">
        <v>2272</v>
      </c>
      <c r="AF2407" t="s">
        <v>49</v>
      </c>
      <c r="AJ2407" t="s">
        <v>49</v>
      </c>
      <c r="AM2407" t="s">
        <v>1395</v>
      </c>
      <c r="AN2407" t="s">
        <v>166</v>
      </c>
    </row>
    <row r="2408" spans="1:45" x14ac:dyDescent="0.2">
      <c r="A2408" t="s">
        <v>1386</v>
      </c>
      <c r="B2408" t="s">
        <v>1387</v>
      </c>
      <c r="C2408" s="1">
        <v>2016</v>
      </c>
      <c r="D2408" t="s">
        <v>44</v>
      </c>
      <c r="F2408" t="s">
        <v>710</v>
      </c>
      <c r="G2408" t="s">
        <v>86</v>
      </c>
      <c r="H2408" t="s">
        <v>350</v>
      </c>
      <c r="I2408">
        <v>2014</v>
      </c>
      <c r="J2408">
        <f t="shared" si="48"/>
        <v>0.75</v>
      </c>
      <c r="K2408" t="s">
        <v>104</v>
      </c>
      <c r="M2408">
        <v>0</v>
      </c>
      <c r="N2408" t="s">
        <v>120</v>
      </c>
      <c r="O2408" t="s">
        <v>120</v>
      </c>
      <c r="P2408" t="s">
        <v>910</v>
      </c>
      <c r="Q2408" s="1" t="s">
        <v>2276</v>
      </c>
      <c r="R2408" s="1" t="s">
        <v>669</v>
      </c>
      <c r="S2408" s="1" t="s">
        <v>168</v>
      </c>
      <c r="T2408" t="s">
        <v>396</v>
      </c>
      <c r="U2408" t="s">
        <v>2366</v>
      </c>
      <c r="V2408" t="s">
        <v>194</v>
      </c>
      <c r="W2408" t="s">
        <v>910</v>
      </c>
      <c r="X2408" t="s">
        <v>161</v>
      </c>
      <c r="Y2408" t="s">
        <v>2272</v>
      </c>
      <c r="Z2408" t="s">
        <v>2272</v>
      </c>
      <c r="AA2408" t="s">
        <v>2272</v>
      </c>
      <c r="AB2408" t="s">
        <v>2272</v>
      </c>
      <c r="AC2408" t="s">
        <v>162</v>
      </c>
      <c r="AD2408" t="s">
        <v>2272</v>
      </c>
      <c r="AF2408" t="s">
        <v>49</v>
      </c>
      <c r="AJ2408" t="s">
        <v>49</v>
      </c>
      <c r="AM2408" t="s">
        <v>1395</v>
      </c>
      <c r="AN2408" t="s">
        <v>165</v>
      </c>
      <c r="AP2408" t="s">
        <v>49</v>
      </c>
    </row>
    <row r="2409" spans="1:45" x14ac:dyDescent="0.2">
      <c r="A2409" t="s">
        <v>1386</v>
      </c>
      <c r="B2409" t="s">
        <v>1387</v>
      </c>
      <c r="C2409" s="1">
        <v>2016</v>
      </c>
      <c r="D2409" t="s">
        <v>44</v>
      </c>
      <c r="F2409" t="s">
        <v>710</v>
      </c>
      <c r="G2409" t="s">
        <v>86</v>
      </c>
      <c r="H2409" t="s">
        <v>350</v>
      </c>
      <c r="I2409">
        <v>2014</v>
      </c>
      <c r="J2409">
        <f t="shared" si="48"/>
        <v>0.75</v>
      </c>
      <c r="K2409" t="s">
        <v>104</v>
      </c>
      <c r="M2409">
        <v>0</v>
      </c>
      <c r="N2409" t="s">
        <v>120</v>
      </c>
      <c r="O2409" t="s">
        <v>120</v>
      </c>
      <c r="P2409" t="s">
        <v>324</v>
      </c>
      <c r="Q2409" s="1" t="s">
        <v>2276</v>
      </c>
      <c r="R2409" s="1" t="s">
        <v>669</v>
      </c>
      <c r="S2409" s="1" t="s">
        <v>168</v>
      </c>
      <c r="T2409" t="s">
        <v>396</v>
      </c>
      <c r="U2409" t="s">
        <v>2366</v>
      </c>
      <c r="V2409" t="s">
        <v>194</v>
      </c>
      <c r="W2409" t="s">
        <v>910</v>
      </c>
      <c r="X2409" t="s">
        <v>161</v>
      </c>
      <c r="Y2409" t="s">
        <v>2272</v>
      </c>
      <c r="Z2409" t="s">
        <v>2272</v>
      </c>
      <c r="AA2409" t="s">
        <v>2272</v>
      </c>
      <c r="AB2409" t="s">
        <v>2272</v>
      </c>
      <c r="AC2409" t="s">
        <v>162</v>
      </c>
      <c r="AD2409" t="s">
        <v>2272</v>
      </c>
      <c r="AF2409" t="s">
        <v>49</v>
      </c>
      <c r="AJ2409" t="s">
        <v>49</v>
      </c>
      <c r="AM2409" t="s">
        <v>1395</v>
      </c>
      <c r="AN2409" t="s">
        <v>165</v>
      </c>
      <c r="AP2409" t="s">
        <v>49</v>
      </c>
    </row>
    <row r="2410" spans="1:45" x14ac:dyDescent="0.2">
      <c r="A2410" t="s">
        <v>1386</v>
      </c>
      <c r="B2410" t="s">
        <v>1387</v>
      </c>
      <c r="C2410" s="1">
        <v>2016</v>
      </c>
      <c r="D2410" t="s">
        <v>44</v>
      </c>
      <c r="F2410" t="s">
        <v>710</v>
      </c>
      <c r="G2410" t="s">
        <v>86</v>
      </c>
      <c r="H2410" t="s">
        <v>350</v>
      </c>
      <c r="I2410">
        <v>2014</v>
      </c>
      <c r="J2410">
        <f t="shared" si="48"/>
        <v>0.75</v>
      </c>
      <c r="K2410" t="s">
        <v>104</v>
      </c>
      <c r="M2410">
        <v>0</v>
      </c>
      <c r="N2410" t="s">
        <v>120</v>
      </c>
      <c r="O2410" t="s">
        <v>120</v>
      </c>
      <c r="P2410" t="s">
        <v>756</v>
      </c>
      <c r="Q2410" s="1" t="s">
        <v>2276</v>
      </c>
      <c r="R2410" s="1" t="s">
        <v>669</v>
      </c>
      <c r="S2410" s="1" t="s">
        <v>168</v>
      </c>
      <c r="T2410" t="s">
        <v>396</v>
      </c>
      <c r="U2410" t="s">
        <v>2366</v>
      </c>
      <c r="V2410" t="s">
        <v>194</v>
      </c>
      <c r="W2410" t="s">
        <v>910</v>
      </c>
      <c r="X2410" t="s">
        <v>161</v>
      </c>
      <c r="Y2410" t="s">
        <v>2272</v>
      </c>
      <c r="Z2410" t="s">
        <v>2272</v>
      </c>
      <c r="AA2410" t="s">
        <v>2272</v>
      </c>
      <c r="AB2410" t="s">
        <v>2272</v>
      </c>
      <c r="AC2410" t="s">
        <v>162</v>
      </c>
      <c r="AD2410" t="s">
        <v>2272</v>
      </c>
      <c r="AF2410" t="s">
        <v>49</v>
      </c>
      <c r="AJ2410" t="s">
        <v>49</v>
      </c>
      <c r="AM2410" t="s">
        <v>1395</v>
      </c>
      <c r="AN2410" t="s">
        <v>165</v>
      </c>
      <c r="AP2410" t="s">
        <v>49</v>
      </c>
    </row>
    <row r="2411" spans="1:45" x14ac:dyDescent="0.2">
      <c r="A2411" t="s">
        <v>1386</v>
      </c>
      <c r="B2411" t="s">
        <v>1387</v>
      </c>
      <c r="C2411" s="1">
        <v>2016</v>
      </c>
      <c r="D2411" t="s">
        <v>44</v>
      </c>
      <c r="F2411" t="s">
        <v>710</v>
      </c>
      <c r="G2411" t="s">
        <v>86</v>
      </c>
      <c r="H2411" t="s">
        <v>350</v>
      </c>
      <c r="I2411">
        <v>2014</v>
      </c>
      <c r="J2411">
        <f t="shared" si="48"/>
        <v>0.75</v>
      </c>
      <c r="K2411" t="s">
        <v>104</v>
      </c>
      <c r="M2411">
        <v>0</v>
      </c>
      <c r="N2411" t="s">
        <v>120</v>
      </c>
      <c r="O2411" t="s">
        <v>120</v>
      </c>
      <c r="P2411" t="s">
        <v>320</v>
      </c>
      <c r="Q2411" s="1" t="s">
        <v>2276</v>
      </c>
      <c r="R2411" s="1" t="s">
        <v>669</v>
      </c>
      <c r="S2411" s="1" t="s">
        <v>168</v>
      </c>
      <c r="T2411" t="s">
        <v>396</v>
      </c>
      <c r="U2411" t="s">
        <v>2366</v>
      </c>
      <c r="V2411" t="s">
        <v>194</v>
      </c>
      <c r="W2411" t="s">
        <v>910</v>
      </c>
      <c r="X2411" t="s">
        <v>161</v>
      </c>
      <c r="Y2411" t="s">
        <v>2272</v>
      </c>
      <c r="Z2411" t="s">
        <v>2272</v>
      </c>
      <c r="AA2411" t="s">
        <v>2272</v>
      </c>
      <c r="AB2411" t="s">
        <v>2272</v>
      </c>
      <c r="AC2411" t="s">
        <v>162</v>
      </c>
      <c r="AD2411" t="s">
        <v>2272</v>
      </c>
      <c r="AF2411" t="s">
        <v>49</v>
      </c>
      <c r="AJ2411" t="s">
        <v>49</v>
      </c>
      <c r="AM2411" t="s">
        <v>1395</v>
      </c>
      <c r="AN2411" t="s">
        <v>165</v>
      </c>
      <c r="AP2411" t="s">
        <v>49</v>
      </c>
    </row>
    <row r="2412" spans="1:45" x14ac:dyDescent="0.2">
      <c r="A2412" t="s">
        <v>1386</v>
      </c>
      <c r="B2412" t="s">
        <v>1387</v>
      </c>
      <c r="C2412" s="1">
        <v>2016</v>
      </c>
      <c r="D2412" t="s">
        <v>44</v>
      </c>
      <c r="F2412" t="s">
        <v>710</v>
      </c>
      <c r="G2412" t="s">
        <v>86</v>
      </c>
      <c r="H2412" t="s">
        <v>350</v>
      </c>
      <c r="I2412">
        <v>2014</v>
      </c>
      <c r="J2412">
        <f t="shared" si="48"/>
        <v>0.75</v>
      </c>
      <c r="K2412" t="s">
        <v>104</v>
      </c>
      <c r="M2412">
        <v>0</v>
      </c>
      <c r="N2412" t="s">
        <v>120</v>
      </c>
      <c r="O2412" t="s">
        <v>120</v>
      </c>
      <c r="P2412" t="s">
        <v>910</v>
      </c>
      <c r="Q2412" s="1" t="s">
        <v>2276</v>
      </c>
      <c r="R2412" s="1" t="s">
        <v>669</v>
      </c>
      <c r="S2412" s="1" t="s">
        <v>168</v>
      </c>
      <c r="T2412" t="s">
        <v>396</v>
      </c>
      <c r="V2412" t="s">
        <v>194</v>
      </c>
      <c r="W2412" t="s">
        <v>910</v>
      </c>
      <c r="X2412" t="s">
        <v>161</v>
      </c>
      <c r="Y2412" t="s">
        <v>2272</v>
      </c>
      <c r="Z2412" t="s">
        <v>2272</v>
      </c>
      <c r="AA2412" t="s">
        <v>2272</v>
      </c>
      <c r="AB2412" t="s">
        <v>2272</v>
      </c>
      <c r="AC2412" t="s">
        <v>162</v>
      </c>
      <c r="AD2412" t="s">
        <v>2272</v>
      </c>
      <c r="AF2412" t="s">
        <v>49</v>
      </c>
      <c r="AJ2412" t="s">
        <v>49</v>
      </c>
      <c r="AM2412" t="s">
        <v>257</v>
      </c>
      <c r="AN2412" t="s">
        <v>154</v>
      </c>
    </row>
    <row r="2413" spans="1:45" x14ac:dyDescent="0.2">
      <c r="A2413" t="s">
        <v>1386</v>
      </c>
      <c r="B2413" t="s">
        <v>1387</v>
      </c>
      <c r="C2413" s="1">
        <v>2016</v>
      </c>
      <c r="D2413" t="s">
        <v>44</v>
      </c>
      <c r="F2413" t="s">
        <v>710</v>
      </c>
      <c r="G2413" t="s">
        <v>86</v>
      </c>
      <c r="H2413" t="s">
        <v>350</v>
      </c>
      <c r="I2413">
        <v>2014</v>
      </c>
      <c r="J2413">
        <f t="shared" si="48"/>
        <v>0.75</v>
      </c>
      <c r="K2413" t="s">
        <v>104</v>
      </c>
      <c r="M2413">
        <v>0</v>
      </c>
      <c r="N2413" t="s">
        <v>120</v>
      </c>
      <c r="O2413" t="s">
        <v>120</v>
      </c>
      <c r="P2413" t="s">
        <v>324</v>
      </c>
      <c r="Q2413" s="1" t="s">
        <v>2276</v>
      </c>
      <c r="R2413" s="1" t="s">
        <v>669</v>
      </c>
      <c r="S2413" s="1" t="s">
        <v>168</v>
      </c>
      <c r="T2413" t="s">
        <v>396</v>
      </c>
      <c r="V2413" t="s">
        <v>194</v>
      </c>
      <c r="W2413" t="s">
        <v>910</v>
      </c>
      <c r="X2413" t="s">
        <v>161</v>
      </c>
      <c r="Y2413" t="s">
        <v>2272</v>
      </c>
      <c r="Z2413" t="s">
        <v>2272</v>
      </c>
      <c r="AA2413" t="s">
        <v>2272</v>
      </c>
      <c r="AB2413" t="s">
        <v>2272</v>
      </c>
      <c r="AC2413" t="s">
        <v>162</v>
      </c>
      <c r="AD2413" t="s">
        <v>2272</v>
      </c>
      <c r="AF2413" t="s">
        <v>49</v>
      </c>
      <c r="AJ2413" t="s">
        <v>49</v>
      </c>
      <c r="AM2413" t="s">
        <v>257</v>
      </c>
      <c r="AN2413" t="s">
        <v>154</v>
      </c>
    </row>
    <row r="2414" spans="1:45" x14ac:dyDescent="0.2">
      <c r="A2414" t="s">
        <v>1386</v>
      </c>
      <c r="B2414" t="s">
        <v>1387</v>
      </c>
      <c r="C2414" s="1">
        <v>2016</v>
      </c>
      <c r="D2414" t="s">
        <v>44</v>
      </c>
      <c r="F2414" t="s">
        <v>710</v>
      </c>
      <c r="G2414" t="s">
        <v>86</v>
      </c>
      <c r="H2414" t="s">
        <v>350</v>
      </c>
      <c r="I2414">
        <v>2014</v>
      </c>
      <c r="J2414">
        <f t="shared" si="48"/>
        <v>0.75</v>
      </c>
      <c r="K2414" t="s">
        <v>104</v>
      </c>
      <c r="M2414">
        <v>0</v>
      </c>
      <c r="N2414" t="s">
        <v>120</v>
      </c>
      <c r="O2414" t="s">
        <v>120</v>
      </c>
      <c r="P2414" t="s">
        <v>756</v>
      </c>
      <c r="Q2414" s="1" t="s">
        <v>2276</v>
      </c>
      <c r="R2414" s="1" t="s">
        <v>669</v>
      </c>
      <c r="S2414" s="1" t="s">
        <v>168</v>
      </c>
      <c r="T2414" t="s">
        <v>396</v>
      </c>
      <c r="V2414" t="s">
        <v>194</v>
      </c>
      <c r="W2414" t="s">
        <v>910</v>
      </c>
      <c r="X2414" t="s">
        <v>161</v>
      </c>
      <c r="Y2414" t="s">
        <v>2272</v>
      </c>
      <c r="Z2414" t="s">
        <v>2272</v>
      </c>
      <c r="AA2414" t="s">
        <v>2272</v>
      </c>
      <c r="AB2414" t="s">
        <v>2272</v>
      </c>
      <c r="AC2414" t="s">
        <v>162</v>
      </c>
      <c r="AD2414" t="s">
        <v>2272</v>
      </c>
      <c r="AF2414" t="s">
        <v>49</v>
      </c>
      <c r="AJ2414" t="s">
        <v>49</v>
      </c>
      <c r="AM2414" t="s">
        <v>257</v>
      </c>
      <c r="AN2414" t="s">
        <v>154</v>
      </c>
    </row>
    <row r="2415" spans="1:45" x14ac:dyDescent="0.2">
      <c r="A2415" t="s">
        <v>1386</v>
      </c>
      <c r="B2415" t="s">
        <v>1387</v>
      </c>
      <c r="C2415" s="1">
        <v>2016</v>
      </c>
      <c r="D2415" t="s">
        <v>44</v>
      </c>
      <c r="F2415" t="s">
        <v>710</v>
      </c>
      <c r="G2415" t="s">
        <v>86</v>
      </c>
      <c r="H2415" t="s">
        <v>350</v>
      </c>
      <c r="I2415">
        <v>2014</v>
      </c>
      <c r="J2415">
        <f t="shared" si="48"/>
        <v>0.75</v>
      </c>
      <c r="K2415" t="s">
        <v>104</v>
      </c>
      <c r="M2415">
        <v>0</v>
      </c>
      <c r="N2415" t="s">
        <v>120</v>
      </c>
      <c r="O2415" t="s">
        <v>120</v>
      </c>
      <c r="P2415" t="s">
        <v>320</v>
      </c>
      <c r="Q2415" s="1" t="s">
        <v>2276</v>
      </c>
      <c r="R2415" s="1" t="s">
        <v>669</v>
      </c>
      <c r="S2415" s="1" t="s">
        <v>168</v>
      </c>
      <c r="T2415" t="s">
        <v>396</v>
      </c>
      <c r="V2415" t="s">
        <v>194</v>
      </c>
      <c r="W2415" t="s">
        <v>910</v>
      </c>
      <c r="X2415" t="s">
        <v>161</v>
      </c>
      <c r="Y2415" t="s">
        <v>2272</v>
      </c>
      <c r="Z2415" t="s">
        <v>2272</v>
      </c>
      <c r="AA2415" t="s">
        <v>2272</v>
      </c>
      <c r="AB2415" t="s">
        <v>2272</v>
      </c>
      <c r="AC2415" t="s">
        <v>162</v>
      </c>
      <c r="AD2415" t="s">
        <v>2272</v>
      </c>
      <c r="AF2415" t="s">
        <v>49</v>
      </c>
      <c r="AJ2415" t="s">
        <v>49</v>
      </c>
      <c r="AM2415" t="s">
        <v>257</v>
      </c>
      <c r="AN2415" t="s">
        <v>154</v>
      </c>
    </row>
    <row r="2416" spans="1:45" x14ac:dyDescent="0.2">
      <c r="A2416" t="s">
        <v>1396</v>
      </c>
      <c r="B2416" t="s">
        <v>1397</v>
      </c>
      <c r="C2416" s="1">
        <v>2016</v>
      </c>
      <c r="Q2416" s="1" t="s">
        <v>2272</v>
      </c>
      <c r="R2416" s="1" t="s">
        <v>2272</v>
      </c>
      <c r="S2416" s="1" t="s">
        <v>2272</v>
      </c>
      <c r="Y2416" t="s">
        <v>2272</v>
      </c>
      <c r="Z2416" t="s">
        <v>2272</v>
      </c>
      <c r="AA2416" t="s">
        <v>2272</v>
      </c>
      <c r="AB2416" t="s">
        <v>2272</v>
      </c>
      <c r="AD2416" t="s">
        <v>2272</v>
      </c>
      <c r="AR2416" t="s">
        <v>144</v>
      </c>
      <c r="AS2416" t="s">
        <v>2583</v>
      </c>
    </row>
    <row r="2417" spans="1:45" x14ac:dyDescent="0.2">
      <c r="A2417" t="s">
        <v>1398</v>
      </c>
      <c r="B2417" t="s">
        <v>1399</v>
      </c>
      <c r="C2417" s="1">
        <v>2016</v>
      </c>
      <c r="Q2417" s="1" t="s">
        <v>2272</v>
      </c>
      <c r="R2417" s="1" t="s">
        <v>2272</v>
      </c>
      <c r="S2417" s="1" t="s">
        <v>2272</v>
      </c>
      <c r="Y2417" t="s">
        <v>2272</v>
      </c>
      <c r="Z2417" t="s">
        <v>2272</v>
      </c>
      <c r="AA2417" t="s">
        <v>2272</v>
      </c>
      <c r="AB2417" t="s">
        <v>2272</v>
      </c>
      <c r="AD2417" t="s">
        <v>2272</v>
      </c>
      <c r="AR2417" t="s">
        <v>144</v>
      </c>
      <c r="AS2417" t="s">
        <v>2583</v>
      </c>
    </row>
    <row r="2418" spans="1:45" x14ac:dyDescent="0.2">
      <c r="A2418" t="s">
        <v>1400</v>
      </c>
      <c r="B2418" t="s">
        <v>1401</v>
      </c>
      <c r="C2418" s="1">
        <v>2016</v>
      </c>
      <c r="D2418" t="s">
        <v>44</v>
      </c>
      <c r="E2418" t="s">
        <v>51</v>
      </c>
      <c r="F2418" t="s">
        <v>1402</v>
      </c>
      <c r="G2418" t="s">
        <v>88</v>
      </c>
      <c r="H2418" t="s">
        <v>350</v>
      </c>
      <c r="I2418">
        <v>2014</v>
      </c>
      <c r="J2418">
        <v>3.0000000000000001E-3</v>
      </c>
      <c r="K2418" t="s">
        <v>101</v>
      </c>
      <c r="M2418">
        <v>0</v>
      </c>
      <c r="N2418" t="s">
        <v>122</v>
      </c>
      <c r="O2418" t="s">
        <v>122</v>
      </c>
      <c r="P2418" t="s">
        <v>1403</v>
      </c>
      <c r="Q2418" s="1" t="s">
        <v>2281</v>
      </c>
      <c r="R2418" s="1" t="s">
        <v>122</v>
      </c>
      <c r="S2418" s="1" t="s">
        <v>2294</v>
      </c>
      <c r="X2418" t="s">
        <v>293</v>
      </c>
      <c r="Y2418" t="s">
        <v>2273</v>
      </c>
      <c r="Z2418" t="s">
        <v>249</v>
      </c>
      <c r="AA2418" t="s">
        <v>2359</v>
      </c>
      <c r="AB2418" t="s">
        <v>1419</v>
      </c>
      <c r="AC2418" t="s">
        <v>152</v>
      </c>
      <c r="AD2418" t="s">
        <v>137</v>
      </c>
      <c r="AH2418" s="4" t="s">
        <v>49</v>
      </c>
      <c r="AI2418" t="s">
        <v>49</v>
      </c>
      <c r="AM2418" t="s">
        <v>233</v>
      </c>
      <c r="AN2418" t="s">
        <v>165</v>
      </c>
      <c r="AP2418" t="s">
        <v>49</v>
      </c>
      <c r="AR2418">
        <v>1</v>
      </c>
    </row>
    <row r="2419" spans="1:45" x14ac:dyDescent="0.2">
      <c r="A2419" t="s">
        <v>1400</v>
      </c>
      <c r="B2419" t="s">
        <v>1401</v>
      </c>
      <c r="C2419" s="1">
        <v>2016</v>
      </c>
      <c r="D2419" t="s">
        <v>44</v>
      </c>
      <c r="E2419" t="s">
        <v>51</v>
      </c>
      <c r="F2419" t="s">
        <v>1402</v>
      </c>
      <c r="G2419" t="s">
        <v>88</v>
      </c>
      <c r="H2419" t="s">
        <v>350</v>
      </c>
      <c r="I2419">
        <v>2014</v>
      </c>
      <c r="J2419">
        <v>3.0000000000000001E-3</v>
      </c>
      <c r="K2419" t="s">
        <v>101</v>
      </c>
      <c r="M2419">
        <v>0</v>
      </c>
      <c r="N2419" t="s">
        <v>122</v>
      </c>
      <c r="O2419" t="s">
        <v>122</v>
      </c>
      <c r="P2419" t="s">
        <v>1403</v>
      </c>
      <c r="Q2419" s="1" t="s">
        <v>2281</v>
      </c>
      <c r="R2419" s="1" t="s">
        <v>122</v>
      </c>
      <c r="S2419" s="1" t="s">
        <v>2294</v>
      </c>
      <c r="X2419" t="s">
        <v>338</v>
      </c>
      <c r="Y2419" t="s">
        <v>2273</v>
      </c>
      <c r="Z2419" t="s">
        <v>249</v>
      </c>
      <c r="AA2419" t="s">
        <v>2359</v>
      </c>
      <c r="AB2419" t="s">
        <v>1419</v>
      </c>
      <c r="AC2419" t="s">
        <v>152</v>
      </c>
      <c r="AD2419" t="s">
        <v>137</v>
      </c>
      <c r="AH2419" s="4" t="s">
        <v>49</v>
      </c>
      <c r="AI2419" t="s">
        <v>49</v>
      </c>
      <c r="AM2419" t="s">
        <v>233</v>
      </c>
      <c r="AN2419" t="s">
        <v>165</v>
      </c>
      <c r="AP2419" t="s">
        <v>49</v>
      </c>
      <c r="AR2419">
        <v>1</v>
      </c>
    </row>
    <row r="2420" spans="1:45" x14ac:dyDescent="0.2">
      <c r="A2420" t="s">
        <v>1400</v>
      </c>
      <c r="B2420" t="s">
        <v>1401</v>
      </c>
      <c r="C2420" s="1">
        <v>2016</v>
      </c>
      <c r="D2420" t="s">
        <v>44</v>
      </c>
      <c r="E2420" t="s">
        <v>51</v>
      </c>
      <c r="F2420" t="s">
        <v>1402</v>
      </c>
      <c r="G2420" t="s">
        <v>88</v>
      </c>
      <c r="H2420" t="s">
        <v>350</v>
      </c>
      <c r="I2420">
        <v>2014</v>
      </c>
      <c r="J2420">
        <v>3.0000000000000001E-3</v>
      </c>
      <c r="K2420" t="s">
        <v>101</v>
      </c>
      <c r="M2420">
        <v>0</v>
      </c>
      <c r="N2420" t="s">
        <v>122</v>
      </c>
      <c r="O2420" t="s">
        <v>122</v>
      </c>
      <c r="P2420" t="s">
        <v>1403</v>
      </c>
      <c r="Q2420" s="1" t="s">
        <v>2281</v>
      </c>
      <c r="R2420" s="1" t="s">
        <v>122</v>
      </c>
      <c r="S2420" s="1" t="s">
        <v>2294</v>
      </c>
      <c r="X2420" t="s">
        <v>826</v>
      </c>
      <c r="Y2420" t="s">
        <v>2273</v>
      </c>
      <c r="Z2420" t="s">
        <v>249</v>
      </c>
      <c r="AA2420" t="s">
        <v>2359</v>
      </c>
      <c r="AB2420" t="s">
        <v>1419</v>
      </c>
      <c r="AC2420" t="s">
        <v>152</v>
      </c>
      <c r="AD2420" t="s">
        <v>137</v>
      </c>
      <c r="AH2420" s="4" t="s">
        <v>49</v>
      </c>
      <c r="AI2420" t="s">
        <v>49</v>
      </c>
      <c r="AM2420" t="s">
        <v>233</v>
      </c>
      <c r="AR2420">
        <v>1</v>
      </c>
    </row>
    <row r="2421" spans="1:45" x14ac:dyDescent="0.2">
      <c r="A2421" t="s">
        <v>1400</v>
      </c>
      <c r="B2421" t="s">
        <v>1401</v>
      </c>
      <c r="C2421" s="1">
        <v>2016</v>
      </c>
      <c r="D2421" t="s">
        <v>44</v>
      </c>
      <c r="E2421" t="s">
        <v>51</v>
      </c>
      <c r="F2421" t="s">
        <v>1402</v>
      </c>
      <c r="G2421" t="s">
        <v>88</v>
      </c>
      <c r="H2421" t="s">
        <v>350</v>
      </c>
      <c r="I2421">
        <v>2014</v>
      </c>
      <c r="J2421">
        <v>3.0000000000000001E-3</v>
      </c>
      <c r="K2421" t="s">
        <v>101</v>
      </c>
      <c r="M2421">
        <v>0</v>
      </c>
      <c r="N2421" t="s">
        <v>122</v>
      </c>
      <c r="O2421" t="s">
        <v>122</v>
      </c>
      <c r="P2421" t="s">
        <v>1403</v>
      </c>
      <c r="Q2421" s="1" t="s">
        <v>2281</v>
      </c>
      <c r="R2421" s="1" t="s">
        <v>122</v>
      </c>
      <c r="S2421" s="1" t="s">
        <v>2294</v>
      </c>
      <c r="X2421" t="s">
        <v>1405</v>
      </c>
      <c r="Y2421" t="s">
        <v>2273</v>
      </c>
      <c r="Z2421" t="s">
        <v>249</v>
      </c>
      <c r="AA2421" t="s">
        <v>2274</v>
      </c>
      <c r="AB2421" t="s">
        <v>2283</v>
      </c>
      <c r="AC2421" t="s">
        <v>152</v>
      </c>
      <c r="AD2421" t="s">
        <v>137</v>
      </c>
      <c r="AH2421" s="4" t="s">
        <v>49</v>
      </c>
      <c r="AI2421" t="s">
        <v>49</v>
      </c>
      <c r="AM2421" t="s">
        <v>233</v>
      </c>
      <c r="AN2421" t="s">
        <v>165</v>
      </c>
      <c r="AP2421" t="s">
        <v>49</v>
      </c>
      <c r="AR2421">
        <v>1</v>
      </c>
    </row>
    <row r="2422" spans="1:45" x14ac:dyDescent="0.2">
      <c r="A2422" t="s">
        <v>1400</v>
      </c>
      <c r="B2422" t="s">
        <v>1401</v>
      </c>
      <c r="C2422" s="1">
        <v>2016</v>
      </c>
      <c r="D2422" t="s">
        <v>44</v>
      </c>
      <c r="E2422" t="s">
        <v>51</v>
      </c>
      <c r="F2422" t="s">
        <v>1402</v>
      </c>
      <c r="G2422" t="s">
        <v>88</v>
      </c>
      <c r="H2422" t="s">
        <v>350</v>
      </c>
      <c r="I2422">
        <v>2014</v>
      </c>
      <c r="J2422">
        <v>3.0000000000000001E-3</v>
      </c>
      <c r="K2422" t="s">
        <v>101</v>
      </c>
      <c r="M2422">
        <v>0</v>
      </c>
      <c r="N2422" t="s">
        <v>122</v>
      </c>
      <c r="O2422" t="s">
        <v>122</v>
      </c>
      <c r="P2422" t="s">
        <v>1403</v>
      </c>
      <c r="Q2422" s="1" t="s">
        <v>2281</v>
      </c>
      <c r="R2422" s="1" t="s">
        <v>122</v>
      </c>
      <c r="S2422" s="1" t="s">
        <v>2294</v>
      </c>
      <c r="X2422" t="s">
        <v>1404</v>
      </c>
      <c r="Y2422" t="s">
        <v>2273</v>
      </c>
      <c r="Z2422" t="s">
        <v>249</v>
      </c>
      <c r="AA2422" t="s">
        <v>2274</v>
      </c>
      <c r="AB2422" t="s">
        <v>2283</v>
      </c>
      <c r="AC2422" t="s">
        <v>152</v>
      </c>
      <c r="AD2422" t="s">
        <v>137</v>
      </c>
      <c r="AH2422" s="4" t="s">
        <v>49</v>
      </c>
      <c r="AI2422" t="s">
        <v>49</v>
      </c>
      <c r="AM2422" t="s">
        <v>233</v>
      </c>
      <c r="AR2422">
        <v>1</v>
      </c>
    </row>
    <row r="2423" spans="1:45" x14ac:dyDescent="0.2">
      <c r="A2423" t="s">
        <v>1400</v>
      </c>
      <c r="B2423" t="s">
        <v>1401</v>
      </c>
      <c r="C2423" s="1">
        <v>2016</v>
      </c>
      <c r="D2423" t="s">
        <v>44</v>
      </c>
      <c r="E2423" t="s">
        <v>51</v>
      </c>
      <c r="F2423" t="s">
        <v>1402</v>
      </c>
      <c r="G2423" t="s">
        <v>88</v>
      </c>
      <c r="H2423" t="s">
        <v>350</v>
      </c>
      <c r="I2423">
        <v>2014</v>
      </c>
      <c r="J2423">
        <v>3.0000000000000001E-3</v>
      </c>
      <c r="K2423" t="s">
        <v>101</v>
      </c>
      <c r="M2423">
        <v>0</v>
      </c>
      <c r="N2423" t="s">
        <v>122</v>
      </c>
      <c r="O2423" t="s">
        <v>122</v>
      </c>
      <c r="P2423" t="s">
        <v>1403</v>
      </c>
      <c r="Q2423" s="1" t="s">
        <v>2281</v>
      </c>
      <c r="R2423" s="1" t="s">
        <v>122</v>
      </c>
      <c r="S2423" s="1" t="s">
        <v>2294</v>
      </c>
      <c r="X2423" t="s">
        <v>1406</v>
      </c>
      <c r="Y2423" t="s">
        <v>2279</v>
      </c>
      <c r="Z2423" t="s">
        <v>2280</v>
      </c>
      <c r="AA2423" t="s">
        <v>2358</v>
      </c>
      <c r="AB2423" t="s">
        <v>2459</v>
      </c>
      <c r="AC2423" t="s">
        <v>152</v>
      </c>
      <c r="AD2423" t="s">
        <v>2278</v>
      </c>
      <c r="AH2423" s="4" t="s">
        <v>49</v>
      </c>
      <c r="AI2423" t="s">
        <v>49</v>
      </c>
      <c r="AM2423" t="s">
        <v>233</v>
      </c>
      <c r="AR2423">
        <v>1</v>
      </c>
    </row>
    <row r="2424" spans="1:45" x14ac:dyDescent="0.2">
      <c r="A2424" t="s">
        <v>1400</v>
      </c>
      <c r="B2424" t="s">
        <v>1401</v>
      </c>
      <c r="C2424" s="1">
        <v>2016</v>
      </c>
      <c r="D2424" t="s">
        <v>44</v>
      </c>
      <c r="E2424" t="s">
        <v>51</v>
      </c>
      <c r="F2424" t="s">
        <v>1402</v>
      </c>
      <c r="G2424" t="s">
        <v>88</v>
      </c>
      <c r="H2424" t="s">
        <v>350</v>
      </c>
      <c r="I2424">
        <v>2014</v>
      </c>
      <c r="J2424">
        <v>3.0000000000000001E-3</v>
      </c>
      <c r="K2424" t="s">
        <v>101</v>
      </c>
      <c r="M2424">
        <v>0</v>
      </c>
      <c r="N2424" t="s">
        <v>122</v>
      </c>
      <c r="O2424" t="s">
        <v>122</v>
      </c>
      <c r="P2424" t="s">
        <v>1403</v>
      </c>
      <c r="Q2424" s="1" t="s">
        <v>2281</v>
      </c>
      <c r="R2424" s="1" t="s">
        <v>122</v>
      </c>
      <c r="S2424" s="1" t="s">
        <v>2294</v>
      </c>
      <c r="X2424" t="s">
        <v>1411</v>
      </c>
      <c r="Y2424" t="s">
        <v>2279</v>
      </c>
      <c r="Z2424" t="s">
        <v>2280</v>
      </c>
      <c r="AA2424" t="s">
        <v>2286</v>
      </c>
      <c r="AB2424" t="s">
        <v>2287</v>
      </c>
      <c r="AC2424" t="s">
        <v>315</v>
      </c>
      <c r="AD2424" t="s">
        <v>2278</v>
      </c>
      <c r="AH2424" s="4" t="s">
        <v>49</v>
      </c>
      <c r="AI2424" t="s">
        <v>49</v>
      </c>
      <c r="AM2424" t="s">
        <v>233</v>
      </c>
      <c r="AN2424" t="s">
        <v>165</v>
      </c>
      <c r="AP2424" t="s">
        <v>51</v>
      </c>
      <c r="AR2424">
        <v>1</v>
      </c>
    </row>
    <row r="2425" spans="1:45" x14ac:dyDescent="0.2">
      <c r="A2425" t="s">
        <v>1400</v>
      </c>
      <c r="B2425" t="s">
        <v>1401</v>
      </c>
      <c r="C2425" s="1">
        <v>2016</v>
      </c>
      <c r="D2425" t="s">
        <v>44</v>
      </c>
      <c r="E2425" t="s">
        <v>51</v>
      </c>
      <c r="F2425" t="s">
        <v>1402</v>
      </c>
      <c r="G2425" t="s">
        <v>88</v>
      </c>
      <c r="H2425" t="s">
        <v>350</v>
      </c>
      <c r="I2425">
        <v>2014</v>
      </c>
      <c r="J2425">
        <v>3.0000000000000001E-3</v>
      </c>
      <c r="K2425" t="s">
        <v>101</v>
      </c>
      <c r="M2425">
        <v>0</v>
      </c>
      <c r="N2425" t="s">
        <v>122</v>
      </c>
      <c r="O2425" t="s">
        <v>122</v>
      </c>
      <c r="P2425" t="s">
        <v>1403</v>
      </c>
      <c r="Q2425" s="1" t="s">
        <v>2281</v>
      </c>
      <c r="R2425" s="1" t="s">
        <v>122</v>
      </c>
      <c r="S2425" s="1" t="s">
        <v>2294</v>
      </c>
      <c r="X2425" t="s">
        <v>1407</v>
      </c>
      <c r="Y2425" t="s">
        <v>2279</v>
      </c>
      <c r="Z2425" t="s">
        <v>2280</v>
      </c>
      <c r="AA2425" t="s">
        <v>2358</v>
      </c>
      <c r="AB2425" t="s">
        <v>189</v>
      </c>
      <c r="AC2425" t="s">
        <v>152</v>
      </c>
      <c r="AD2425" t="s">
        <v>2278</v>
      </c>
      <c r="AH2425" s="4" t="s">
        <v>49</v>
      </c>
      <c r="AI2425" t="s">
        <v>49</v>
      </c>
      <c r="AM2425" t="s">
        <v>233</v>
      </c>
      <c r="AR2425">
        <v>1</v>
      </c>
    </row>
    <row r="2426" spans="1:45" x14ac:dyDescent="0.2">
      <c r="A2426" t="s">
        <v>1400</v>
      </c>
      <c r="B2426" t="s">
        <v>1401</v>
      </c>
      <c r="C2426" s="1">
        <v>2016</v>
      </c>
      <c r="D2426" t="s">
        <v>44</v>
      </c>
      <c r="E2426" t="s">
        <v>51</v>
      </c>
      <c r="F2426" t="s">
        <v>1402</v>
      </c>
      <c r="G2426" t="s">
        <v>88</v>
      </c>
      <c r="H2426" t="s">
        <v>350</v>
      </c>
      <c r="I2426">
        <v>2014</v>
      </c>
      <c r="J2426">
        <v>3.0000000000000001E-3</v>
      </c>
      <c r="K2426" t="s">
        <v>101</v>
      </c>
      <c r="M2426">
        <v>2.5000000000000001E-3</v>
      </c>
      <c r="N2426" t="s">
        <v>122</v>
      </c>
      <c r="O2426" t="s">
        <v>122</v>
      </c>
      <c r="P2426" t="s">
        <v>1403</v>
      </c>
      <c r="Q2426" s="1" t="s">
        <v>2281</v>
      </c>
      <c r="R2426" s="1" t="s">
        <v>122</v>
      </c>
      <c r="S2426" s="1" t="s">
        <v>2294</v>
      </c>
      <c r="X2426" t="s">
        <v>1408</v>
      </c>
      <c r="Y2426" t="s">
        <v>2279</v>
      </c>
      <c r="Z2426" t="s">
        <v>2280</v>
      </c>
      <c r="AA2426" t="s">
        <v>2286</v>
      </c>
      <c r="AB2426" t="s">
        <v>2328</v>
      </c>
      <c r="AC2426" t="s">
        <v>315</v>
      </c>
      <c r="AD2426" t="s">
        <v>2278</v>
      </c>
      <c r="AH2426" s="4" t="s">
        <v>49</v>
      </c>
      <c r="AI2426" t="s">
        <v>49</v>
      </c>
      <c r="AM2426" t="s">
        <v>233</v>
      </c>
      <c r="AN2426" t="s">
        <v>165</v>
      </c>
      <c r="AP2426" t="s">
        <v>49</v>
      </c>
      <c r="AR2426">
        <v>1</v>
      </c>
    </row>
    <row r="2427" spans="1:45" x14ac:dyDescent="0.2">
      <c r="A2427" t="s">
        <v>1400</v>
      </c>
      <c r="B2427" t="s">
        <v>1401</v>
      </c>
      <c r="C2427" s="1">
        <v>2016</v>
      </c>
      <c r="D2427" t="s">
        <v>44</v>
      </c>
      <c r="E2427" t="s">
        <v>51</v>
      </c>
      <c r="F2427" t="s">
        <v>1402</v>
      </c>
      <c r="G2427" t="s">
        <v>88</v>
      </c>
      <c r="H2427" t="s">
        <v>350</v>
      </c>
      <c r="I2427">
        <v>2014</v>
      </c>
      <c r="J2427">
        <v>3.0000000000000001E-3</v>
      </c>
      <c r="K2427" t="s">
        <v>101</v>
      </c>
      <c r="M2427">
        <v>0</v>
      </c>
      <c r="N2427" t="s">
        <v>122</v>
      </c>
      <c r="O2427" t="s">
        <v>122</v>
      </c>
      <c r="P2427" t="s">
        <v>1403</v>
      </c>
      <c r="Q2427" s="1" t="s">
        <v>2281</v>
      </c>
      <c r="R2427" s="1" t="s">
        <v>122</v>
      </c>
      <c r="S2427" s="1" t="s">
        <v>2294</v>
      </c>
      <c r="X2427" t="s">
        <v>1409</v>
      </c>
      <c r="Y2427" t="s">
        <v>2279</v>
      </c>
      <c r="Z2427" t="s">
        <v>2361</v>
      </c>
      <c r="AA2427" t="s">
        <v>2362</v>
      </c>
      <c r="AB2427" t="s">
        <v>2296</v>
      </c>
      <c r="AC2427" t="s">
        <v>152</v>
      </c>
      <c r="AD2427" t="s">
        <v>2278</v>
      </c>
      <c r="AH2427" s="4" t="s">
        <v>49</v>
      </c>
      <c r="AI2427" t="s">
        <v>49</v>
      </c>
      <c r="AM2427" t="s">
        <v>233</v>
      </c>
      <c r="AN2427" t="s">
        <v>165</v>
      </c>
      <c r="AP2427" t="s">
        <v>51</v>
      </c>
      <c r="AR2427">
        <v>1</v>
      </c>
    </row>
    <row r="2428" spans="1:45" x14ac:dyDescent="0.2">
      <c r="A2428" t="s">
        <v>1400</v>
      </c>
      <c r="B2428" t="s">
        <v>1401</v>
      </c>
      <c r="C2428" s="1">
        <v>2016</v>
      </c>
      <c r="D2428" t="s">
        <v>44</v>
      </c>
      <c r="E2428" t="s">
        <v>51</v>
      </c>
      <c r="F2428" t="s">
        <v>1402</v>
      </c>
      <c r="G2428" t="s">
        <v>88</v>
      </c>
      <c r="H2428" t="s">
        <v>350</v>
      </c>
      <c r="I2428">
        <v>2014</v>
      </c>
      <c r="J2428">
        <v>3.0000000000000001E-3</v>
      </c>
      <c r="K2428" t="s">
        <v>101</v>
      </c>
      <c r="M2428">
        <v>2.5000000000000001E-3</v>
      </c>
      <c r="N2428" t="s">
        <v>122</v>
      </c>
      <c r="O2428" t="s">
        <v>122</v>
      </c>
      <c r="P2428" t="s">
        <v>1403</v>
      </c>
      <c r="Q2428" s="1" t="s">
        <v>2281</v>
      </c>
      <c r="R2428" s="1" t="s">
        <v>122</v>
      </c>
      <c r="S2428" s="1" t="s">
        <v>2294</v>
      </c>
      <c r="X2428" t="s">
        <v>1410</v>
      </c>
      <c r="Y2428" t="s">
        <v>2279</v>
      </c>
      <c r="Z2428" t="s">
        <v>2280</v>
      </c>
      <c r="AA2428" t="s">
        <v>2358</v>
      </c>
      <c r="AB2428" t="s">
        <v>189</v>
      </c>
      <c r="AC2428" t="s">
        <v>152</v>
      </c>
      <c r="AD2428" t="s">
        <v>2278</v>
      </c>
      <c r="AH2428" s="4" t="s">
        <v>49</v>
      </c>
      <c r="AI2428" t="s">
        <v>49</v>
      </c>
      <c r="AM2428" t="s">
        <v>233</v>
      </c>
      <c r="AN2428" t="s">
        <v>165</v>
      </c>
      <c r="AP2428" t="s">
        <v>49</v>
      </c>
      <c r="AR2428">
        <v>1</v>
      </c>
    </row>
    <row r="2429" spans="1:45" x14ac:dyDescent="0.2">
      <c r="A2429" t="s">
        <v>1400</v>
      </c>
      <c r="B2429" t="s">
        <v>1401</v>
      </c>
      <c r="C2429" s="1">
        <v>2016</v>
      </c>
      <c r="D2429" t="s">
        <v>44</v>
      </c>
      <c r="E2429" t="s">
        <v>51</v>
      </c>
      <c r="F2429" t="s">
        <v>1402</v>
      </c>
      <c r="G2429" t="s">
        <v>88</v>
      </c>
      <c r="H2429" t="s">
        <v>350</v>
      </c>
      <c r="I2429">
        <v>2014</v>
      </c>
      <c r="J2429">
        <v>3.0000000000000001E-3</v>
      </c>
      <c r="K2429" t="s">
        <v>101</v>
      </c>
      <c r="M2429">
        <v>0</v>
      </c>
      <c r="N2429" t="s">
        <v>122</v>
      </c>
      <c r="O2429" t="s">
        <v>122</v>
      </c>
      <c r="P2429" t="s">
        <v>1403</v>
      </c>
      <c r="Q2429" s="1" t="s">
        <v>2281</v>
      </c>
      <c r="R2429" s="1" t="s">
        <v>122</v>
      </c>
      <c r="S2429" s="1" t="s">
        <v>2294</v>
      </c>
      <c r="X2429" t="s">
        <v>293</v>
      </c>
      <c r="Y2429" t="s">
        <v>2273</v>
      </c>
      <c r="Z2429" t="s">
        <v>249</v>
      </c>
      <c r="AA2429" t="s">
        <v>2359</v>
      </c>
      <c r="AB2429" t="s">
        <v>1419</v>
      </c>
      <c r="AC2429" t="s">
        <v>152</v>
      </c>
      <c r="AD2429" t="s">
        <v>137</v>
      </c>
      <c r="AH2429" s="4" t="s">
        <v>49</v>
      </c>
      <c r="AI2429" t="s">
        <v>49</v>
      </c>
      <c r="AM2429" t="s">
        <v>233</v>
      </c>
      <c r="AN2429" t="s">
        <v>166</v>
      </c>
      <c r="AP2429" t="s">
        <v>49</v>
      </c>
      <c r="AR2429">
        <v>1</v>
      </c>
    </row>
    <row r="2430" spans="1:45" x14ac:dyDescent="0.2">
      <c r="A2430" t="s">
        <v>1400</v>
      </c>
      <c r="B2430" t="s">
        <v>1401</v>
      </c>
      <c r="C2430" s="1">
        <v>2016</v>
      </c>
      <c r="D2430" t="s">
        <v>44</v>
      </c>
      <c r="E2430" t="s">
        <v>51</v>
      </c>
      <c r="F2430" t="s">
        <v>1402</v>
      </c>
      <c r="G2430" t="s">
        <v>88</v>
      </c>
      <c r="H2430" t="s">
        <v>350</v>
      </c>
      <c r="I2430">
        <v>2014</v>
      </c>
      <c r="J2430">
        <v>3.0000000000000001E-3</v>
      </c>
      <c r="K2430" t="s">
        <v>101</v>
      </c>
      <c r="M2430">
        <v>0</v>
      </c>
      <c r="N2430" t="s">
        <v>122</v>
      </c>
      <c r="O2430" t="s">
        <v>122</v>
      </c>
      <c r="P2430" t="s">
        <v>1403</v>
      </c>
      <c r="Q2430" s="1" t="s">
        <v>2281</v>
      </c>
      <c r="R2430" s="1" t="s">
        <v>122</v>
      </c>
      <c r="S2430" s="1" t="s">
        <v>2294</v>
      </c>
      <c r="X2430" t="s">
        <v>338</v>
      </c>
      <c r="Y2430" t="s">
        <v>2273</v>
      </c>
      <c r="Z2430" t="s">
        <v>249</v>
      </c>
      <c r="AA2430" t="s">
        <v>2359</v>
      </c>
      <c r="AB2430" t="s">
        <v>1419</v>
      </c>
      <c r="AC2430" t="s">
        <v>152</v>
      </c>
      <c r="AD2430" t="s">
        <v>137</v>
      </c>
      <c r="AH2430" s="4" t="s">
        <v>49</v>
      </c>
      <c r="AI2430" t="s">
        <v>49</v>
      </c>
      <c r="AM2430" t="s">
        <v>233</v>
      </c>
      <c r="AN2430" t="s">
        <v>166</v>
      </c>
      <c r="AR2430">
        <v>1</v>
      </c>
    </row>
    <row r="2431" spans="1:45" x14ac:dyDescent="0.2">
      <c r="A2431" t="s">
        <v>1400</v>
      </c>
      <c r="B2431" t="s">
        <v>1401</v>
      </c>
      <c r="C2431" s="1">
        <v>2016</v>
      </c>
      <c r="D2431" t="s">
        <v>44</v>
      </c>
      <c r="E2431" t="s">
        <v>51</v>
      </c>
      <c r="F2431" t="s">
        <v>1402</v>
      </c>
      <c r="G2431" t="s">
        <v>88</v>
      </c>
      <c r="H2431" t="s">
        <v>350</v>
      </c>
      <c r="I2431">
        <v>2014</v>
      </c>
      <c r="J2431">
        <v>3.0000000000000001E-3</v>
      </c>
      <c r="K2431" t="s">
        <v>101</v>
      </c>
      <c r="M2431">
        <v>0</v>
      </c>
      <c r="N2431" t="s">
        <v>122</v>
      </c>
      <c r="O2431" t="s">
        <v>122</v>
      </c>
      <c r="P2431" t="s">
        <v>1403</v>
      </c>
      <c r="Q2431" s="1" t="s">
        <v>2281</v>
      </c>
      <c r="R2431" s="1" t="s">
        <v>122</v>
      </c>
      <c r="S2431" s="1" t="s">
        <v>2294</v>
      </c>
      <c r="X2431" t="s">
        <v>826</v>
      </c>
      <c r="Y2431" t="s">
        <v>2273</v>
      </c>
      <c r="Z2431" t="s">
        <v>249</v>
      </c>
      <c r="AA2431" t="s">
        <v>2359</v>
      </c>
      <c r="AB2431" t="s">
        <v>1419</v>
      </c>
      <c r="AC2431" t="s">
        <v>152</v>
      </c>
      <c r="AD2431" t="s">
        <v>137</v>
      </c>
      <c r="AH2431" s="4" t="s">
        <v>49</v>
      </c>
      <c r="AI2431" t="s">
        <v>49</v>
      </c>
      <c r="AM2431" t="s">
        <v>233</v>
      </c>
      <c r="AR2431">
        <v>1</v>
      </c>
    </row>
    <row r="2432" spans="1:45" x14ac:dyDescent="0.2">
      <c r="A2432" t="s">
        <v>1400</v>
      </c>
      <c r="B2432" t="s">
        <v>1401</v>
      </c>
      <c r="C2432" s="1">
        <v>2016</v>
      </c>
      <c r="D2432" t="s">
        <v>44</v>
      </c>
      <c r="E2432" t="s">
        <v>51</v>
      </c>
      <c r="F2432" t="s">
        <v>1402</v>
      </c>
      <c r="G2432" t="s">
        <v>88</v>
      </c>
      <c r="H2432" t="s">
        <v>350</v>
      </c>
      <c r="I2432">
        <v>2014</v>
      </c>
      <c r="J2432">
        <v>3.0000000000000001E-3</v>
      </c>
      <c r="K2432" t="s">
        <v>101</v>
      </c>
      <c r="M2432">
        <v>0</v>
      </c>
      <c r="N2432" t="s">
        <v>122</v>
      </c>
      <c r="O2432" t="s">
        <v>122</v>
      </c>
      <c r="P2432" t="s">
        <v>1403</v>
      </c>
      <c r="Q2432" s="1" t="s">
        <v>2281</v>
      </c>
      <c r="R2432" s="1" t="s">
        <v>122</v>
      </c>
      <c r="S2432" s="1" t="s">
        <v>2294</v>
      </c>
      <c r="X2432" t="s">
        <v>1405</v>
      </c>
      <c r="Y2432" t="s">
        <v>2273</v>
      </c>
      <c r="Z2432" t="s">
        <v>249</v>
      </c>
      <c r="AA2432" t="s">
        <v>2274</v>
      </c>
      <c r="AB2432" t="s">
        <v>2283</v>
      </c>
      <c r="AC2432" t="s">
        <v>152</v>
      </c>
      <c r="AD2432" t="s">
        <v>137</v>
      </c>
      <c r="AH2432" s="4" t="s">
        <v>49</v>
      </c>
      <c r="AI2432" t="s">
        <v>49</v>
      </c>
      <c r="AM2432" t="s">
        <v>233</v>
      </c>
      <c r="AN2432" t="s">
        <v>166</v>
      </c>
      <c r="AP2432" t="s">
        <v>49</v>
      </c>
      <c r="AR2432">
        <v>1</v>
      </c>
    </row>
    <row r="2433" spans="1:44" x14ac:dyDescent="0.2">
      <c r="A2433" t="s">
        <v>1400</v>
      </c>
      <c r="B2433" t="s">
        <v>1401</v>
      </c>
      <c r="C2433" s="1">
        <v>2016</v>
      </c>
      <c r="D2433" t="s">
        <v>44</v>
      </c>
      <c r="E2433" t="s">
        <v>51</v>
      </c>
      <c r="F2433" t="s">
        <v>1402</v>
      </c>
      <c r="G2433" t="s">
        <v>88</v>
      </c>
      <c r="H2433" t="s">
        <v>350</v>
      </c>
      <c r="I2433">
        <v>2014</v>
      </c>
      <c r="J2433">
        <v>3.0000000000000001E-3</v>
      </c>
      <c r="K2433" t="s">
        <v>101</v>
      </c>
      <c r="M2433">
        <v>0</v>
      </c>
      <c r="N2433" t="s">
        <v>122</v>
      </c>
      <c r="O2433" t="s">
        <v>122</v>
      </c>
      <c r="P2433" t="s">
        <v>1403</v>
      </c>
      <c r="Q2433" s="1" t="s">
        <v>2281</v>
      </c>
      <c r="R2433" s="1" t="s">
        <v>122</v>
      </c>
      <c r="S2433" s="1" t="s">
        <v>2294</v>
      </c>
      <c r="X2433" t="s">
        <v>1404</v>
      </c>
      <c r="Y2433" t="s">
        <v>2273</v>
      </c>
      <c r="Z2433" t="s">
        <v>249</v>
      </c>
      <c r="AA2433" t="s">
        <v>2274</v>
      </c>
      <c r="AB2433" t="s">
        <v>2283</v>
      </c>
      <c r="AC2433" t="s">
        <v>152</v>
      </c>
      <c r="AD2433" t="s">
        <v>137</v>
      </c>
      <c r="AH2433" s="4" t="s">
        <v>49</v>
      </c>
      <c r="AI2433" t="s">
        <v>49</v>
      </c>
      <c r="AM2433" t="s">
        <v>233</v>
      </c>
      <c r="AR2433">
        <v>1</v>
      </c>
    </row>
    <row r="2434" spans="1:44" x14ac:dyDescent="0.2">
      <c r="A2434" t="s">
        <v>1400</v>
      </c>
      <c r="B2434" t="s">
        <v>1401</v>
      </c>
      <c r="C2434" s="1">
        <v>2016</v>
      </c>
      <c r="D2434" t="s">
        <v>44</v>
      </c>
      <c r="E2434" t="s">
        <v>51</v>
      </c>
      <c r="F2434" t="s">
        <v>1402</v>
      </c>
      <c r="G2434" t="s">
        <v>88</v>
      </c>
      <c r="H2434" t="s">
        <v>350</v>
      </c>
      <c r="I2434">
        <v>2014</v>
      </c>
      <c r="J2434">
        <v>3.0000000000000001E-3</v>
      </c>
      <c r="K2434" t="s">
        <v>101</v>
      </c>
      <c r="M2434">
        <v>0</v>
      </c>
      <c r="N2434" t="s">
        <v>122</v>
      </c>
      <c r="O2434" t="s">
        <v>122</v>
      </c>
      <c r="P2434" t="s">
        <v>1403</v>
      </c>
      <c r="Q2434" s="1" t="s">
        <v>2281</v>
      </c>
      <c r="R2434" s="1" t="s">
        <v>122</v>
      </c>
      <c r="S2434" s="1" t="s">
        <v>2294</v>
      </c>
      <c r="X2434" t="s">
        <v>1406</v>
      </c>
      <c r="Y2434" t="s">
        <v>2279</v>
      </c>
      <c r="Z2434" t="s">
        <v>2280</v>
      </c>
      <c r="AA2434" t="s">
        <v>2358</v>
      </c>
      <c r="AB2434" t="s">
        <v>2459</v>
      </c>
      <c r="AC2434" t="s">
        <v>152</v>
      </c>
      <c r="AD2434" t="s">
        <v>2278</v>
      </c>
      <c r="AH2434" s="4" t="s">
        <v>49</v>
      </c>
      <c r="AI2434" t="s">
        <v>49</v>
      </c>
      <c r="AM2434" t="s">
        <v>233</v>
      </c>
      <c r="AR2434">
        <v>1</v>
      </c>
    </row>
    <row r="2435" spans="1:44" x14ac:dyDescent="0.2">
      <c r="A2435" t="s">
        <v>1400</v>
      </c>
      <c r="B2435" t="s">
        <v>1401</v>
      </c>
      <c r="C2435" s="1">
        <v>2016</v>
      </c>
      <c r="D2435" t="s">
        <v>44</v>
      </c>
      <c r="E2435" t="s">
        <v>51</v>
      </c>
      <c r="F2435" t="s">
        <v>1402</v>
      </c>
      <c r="G2435" t="s">
        <v>88</v>
      </c>
      <c r="H2435" t="s">
        <v>350</v>
      </c>
      <c r="I2435">
        <v>2014</v>
      </c>
      <c r="J2435">
        <v>3.0000000000000001E-3</v>
      </c>
      <c r="K2435" t="s">
        <v>101</v>
      </c>
      <c r="M2435">
        <v>0</v>
      </c>
      <c r="N2435" t="s">
        <v>122</v>
      </c>
      <c r="O2435" t="s">
        <v>122</v>
      </c>
      <c r="P2435" t="s">
        <v>1403</v>
      </c>
      <c r="Q2435" s="1" t="s">
        <v>2281</v>
      </c>
      <c r="R2435" s="1" t="s">
        <v>122</v>
      </c>
      <c r="S2435" s="1" t="s">
        <v>2294</v>
      </c>
      <c r="X2435" t="s">
        <v>1411</v>
      </c>
      <c r="Y2435" t="s">
        <v>2279</v>
      </c>
      <c r="Z2435" t="s">
        <v>2280</v>
      </c>
      <c r="AA2435" t="s">
        <v>2286</v>
      </c>
      <c r="AB2435" t="s">
        <v>2287</v>
      </c>
      <c r="AC2435" t="s">
        <v>315</v>
      </c>
      <c r="AD2435" t="s">
        <v>2278</v>
      </c>
      <c r="AH2435" s="4" t="s">
        <v>49</v>
      </c>
      <c r="AI2435" t="s">
        <v>49</v>
      </c>
      <c r="AM2435" t="s">
        <v>233</v>
      </c>
      <c r="AN2435" t="s">
        <v>166</v>
      </c>
      <c r="AR2435">
        <v>1</v>
      </c>
    </row>
    <row r="2436" spans="1:44" x14ac:dyDescent="0.2">
      <c r="A2436" t="s">
        <v>1400</v>
      </c>
      <c r="B2436" t="s">
        <v>1401</v>
      </c>
      <c r="C2436" s="1">
        <v>2016</v>
      </c>
      <c r="D2436" t="s">
        <v>44</v>
      </c>
      <c r="E2436" t="s">
        <v>51</v>
      </c>
      <c r="F2436" t="s">
        <v>1402</v>
      </c>
      <c r="G2436" t="s">
        <v>88</v>
      </c>
      <c r="H2436" t="s">
        <v>350</v>
      </c>
      <c r="I2436">
        <v>2014</v>
      </c>
      <c r="J2436">
        <v>3.0000000000000001E-3</v>
      </c>
      <c r="K2436" t="s">
        <v>101</v>
      </c>
      <c r="M2436">
        <v>0</v>
      </c>
      <c r="N2436" t="s">
        <v>122</v>
      </c>
      <c r="O2436" t="s">
        <v>122</v>
      </c>
      <c r="P2436" t="s">
        <v>1403</v>
      </c>
      <c r="Q2436" s="1" t="s">
        <v>2281</v>
      </c>
      <c r="R2436" s="1" t="s">
        <v>122</v>
      </c>
      <c r="S2436" s="1" t="s">
        <v>2294</v>
      </c>
      <c r="X2436" t="s">
        <v>1407</v>
      </c>
      <c r="Y2436" t="s">
        <v>2279</v>
      </c>
      <c r="Z2436" t="s">
        <v>2280</v>
      </c>
      <c r="AA2436" t="s">
        <v>2358</v>
      </c>
      <c r="AB2436" t="s">
        <v>189</v>
      </c>
      <c r="AC2436" t="s">
        <v>152</v>
      </c>
      <c r="AD2436" t="s">
        <v>2278</v>
      </c>
      <c r="AH2436" s="4" t="s">
        <v>49</v>
      </c>
      <c r="AI2436" t="s">
        <v>49</v>
      </c>
      <c r="AM2436" t="s">
        <v>233</v>
      </c>
      <c r="AR2436">
        <v>1</v>
      </c>
    </row>
    <row r="2437" spans="1:44" x14ac:dyDescent="0.2">
      <c r="A2437" t="s">
        <v>1400</v>
      </c>
      <c r="B2437" t="s">
        <v>1401</v>
      </c>
      <c r="C2437" s="1">
        <v>2016</v>
      </c>
      <c r="D2437" t="s">
        <v>44</v>
      </c>
      <c r="E2437" t="s">
        <v>51</v>
      </c>
      <c r="F2437" t="s">
        <v>1402</v>
      </c>
      <c r="G2437" t="s">
        <v>88</v>
      </c>
      <c r="H2437" t="s">
        <v>350</v>
      </c>
      <c r="I2437">
        <v>2014</v>
      </c>
      <c r="J2437">
        <v>3.0000000000000001E-3</v>
      </c>
      <c r="K2437" t="s">
        <v>101</v>
      </c>
      <c r="M2437">
        <v>2.5000000000000001E-3</v>
      </c>
      <c r="N2437" t="s">
        <v>122</v>
      </c>
      <c r="O2437" t="s">
        <v>122</v>
      </c>
      <c r="P2437" t="s">
        <v>1403</v>
      </c>
      <c r="Q2437" s="1" t="s">
        <v>2281</v>
      </c>
      <c r="R2437" s="1" t="s">
        <v>122</v>
      </c>
      <c r="S2437" s="1" t="s">
        <v>2294</v>
      </c>
      <c r="X2437" t="s">
        <v>1408</v>
      </c>
      <c r="Y2437" t="s">
        <v>2279</v>
      </c>
      <c r="Z2437" t="s">
        <v>2280</v>
      </c>
      <c r="AA2437" t="s">
        <v>2286</v>
      </c>
      <c r="AB2437" t="s">
        <v>2328</v>
      </c>
      <c r="AC2437" t="s">
        <v>315</v>
      </c>
      <c r="AD2437" t="s">
        <v>2278</v>
      </c>
      <c r="AH2437" s="4" t="s">
        <v>49</v>
      </c>
      <c r="AI2437" t="s">
        <v>49</v>
      </c>
      <c r="AM2437" t="s">
        <v>233</v>
      </c>
      <c r="AN2437" t="s">
        <v>166</v>
      </c>
      <c r="AP2437" t="s">
        <v>49</v>
      </c>
      <c r="AR2437">
        <v>1</v>
      </c>
    </row>
    <row r="2438" spans="1:44" x14ac:dyDescent="0.2">
      <c r="A2438" t="s">
        <v>1400</v>
      </c>
      <c r="B2438" t="s">
        <v>1401</v>
      </c>
      <c r="C2438" s="1">
        <v>2016</v>
      </c>
      <c r="D2438" t="s">
        <v>44</v>
      </c>
      <c r="E2438" t="s">
        <v>51</v>
      </c>
      <c r="F2438" t="s">
        <v>1402</v>
      </c>
      <c r="G2438" t="s">
        <v>88</v>
      </c>
      <c r="H2438" t="s">
        <v>350</v>
      </c>
      <c r="I2438">
        <v>2014</v>
      </c>
      <c r="J2438">
        <v>3.0000000000000001E-3</v>
      </c>
      <c r="K2438" t="s">
        <v>101</v>
      </c>
      <c r="M2438">
        <v>0</v>
      </c>
      <c r="N2438" t="s">
        <v>122</v>
      </c>
      <c r="O2438" t="s">
        <v>122</v>
      </c>
      <c r="P2438" t="s">
        <v>1403</v>
      </c>
      <c r="Q2438" s="1" t="s">
        <v>2281</v>
      </c>
      <c r="R2438" s="1" t="s">
        <v>122</v>
      </c>
      <c r="S2438" s="1" t="s">
        <v>2294</v>
      </c>
      <c r="X2438" t="s">
        <v>1409</v>
      </c>
      <c r="Y2438" t="s">
        <v>2279</v>
      </c>
      <c r="Z2438" t="s">
        <v>2361</v>
      </c>
      <c r="AA2438" t="s">
        <v>2362</v>
      </c>
      <c r="AB2438" t="s">
        <v>2296</v>
      </c>
      <c r="AC2438" t="s">
        <v>152</v>
      </c>
      <c r="AD2438" t="s">
        <v>2278</v>
      </c>
      <c r="AH2438" s="4" t="s">
        <v>49</v>
      </c>
      <c r="AI2438" t="s">
        <v>49</v>
      </c>
      <c r="AM2438" t="s">
        <v>233</v>
      </c>
      <c r="AN2438" t="s">
        <v>166</v>
      </c>
      <c r="AR2438">
        <v>1</v>
      </c>
    </row>
    <row r="2439" spans="1:44" x14ac:dyDescent="0.2">
      <c r="A2439" t="s">
        <v>1400</v>
      </c>
      <c r="B2439" t="s">
        <v>1401</v>
      </c>
      <c r="C2439" s="1">
        <v>2016</v>
      </c>
      <c r="D2439" t="s">
        <v>44</v>
      </c>
      <c r="E2439" t="s">
        <v>51</v>
      </c>
      <c r="F2439" t="s">
        <v>1402</v>
      </c>
      <c r="G2439" t="s">
        <v>88</v>
      </c>
      <c r="H2439" t="s">
        <v>350</v>
      </c>
      <c r="I2439">
        <v>2014</v>
      </c>
      <c r="J2439">
        <v>3.0000000000000001E-3</v>
      </c>
      <c r="K2439" t="s">
        <v>101</v>
      </c>
      <c r="M2439">
        <v>2.5000000000000001E-3</v>
      </c>
      <c r="N2439" t="s">
        <v>122</v>
      </c>
      <c r="O2439" t="s">
        <v>122</v>
      </c>
      <c r="P2439" t="s">
        <v>1403</v>
      </c>
      <c r="Q2439" s="1" t="s">
        <v>2281</v>
      </c>
      <c r="R2439" s="1" t="s">
        <v>122</v>
      </c>
      <c r="S2439" s="1" t="s">
        <v>2294</v>
      </c>
      <c r="X2439" t="s">
        <v>1410</v>
      </c>
      <c r="Y2439" t="s">
        <v>2279</v>
      </c>
      <c r="Z2439" t="s">
        <v>2280</v>
      </c>
      <c r="AA2439" t="s">
        <v>2358</v>
      </c>
      <c r="AB2439" t="s">
        <v>189</v>
      </c>
      <c r="AC2439" t="s">
        <v>152</v>
      </c>
      <c r="AD2439" t="s">
        <v>2278</v>
      </c>
      <c r="AH2439" s="4" t="s">
        <v>49</v>
      </c>
      <c r="AI2439" t="s">
        <v>49</v>
      </c>
      <c r="AM2439" t="s">
        <v>233</v>
      </c>
      <c r="AN2439" t="s">
        <v>166</v>
      </c>
      <c r="AP2439" t="s">
        <v>49</v>
      </c>
      <c r="AR2439">
        <v>1</v>
      </c>
    </row>
    <row r="2440" spans="1:44" x14ac:dyDescent="0.2">
      <c r="A2440" t="s">
        <v>1400</v>
      </c>
      <c r="B2440" t="s">
        <v>1401</v>
      </c>
      <c r="C2440" s="1">
        <v>2016</v>
      </c>
      <c r="D2440" t="s">
        <v>44</v>
      </c>
      <c r="E2440" t="s">
        <v>51</v>
      </c>
      <c r="F2440" t="s">
        <v>1402</v>
      </c>
      <c r="G2440" t="s">
        <v>88</v>
      </c>
      <c r="H2440" t="s">
        <v>350</v>
      </c>
      <c r="I2440">
        <v>2014</v>
      </c>
      <c r="J2440">
        <v>3.0000000000000001E-3</v>
      </c>
      <c r="K2440" t="s">
        <v>101</v>
      </c>
      <c r="M2440">
        <v>0</v>
      </c>
      <c r="N2440" t="s">
        <v>122</v>
      </c>
      <c r="O2440" t="s">
        <v>122</v>
      </c>
      <c r="P2440" t="s">
        <v>1403</v>
      </c>
      <c r="Q2440" s="1" t="s">
        <v>2281</v>
      </c>
      <c r="R2440" s="1" t="s">
        <v>122</v>
      </c>
      <c r="S2440" s="1" t="s">
        <v>2294</v>
      </c>
      <c r="X2440" t="s">
        <v>293</v>
      </c>
      <c r="Y2440" t="s">
        <v>2273</v>
      </c>
      <c r="Z2440" t="s">
        <v>249</v>
      </c>
      <c r="AA2440" t="s">
        <v>2359</v>
      </c>
      <c r="AB2440" t="s">
        <v>1419</v>
      </c>
      <c r="AC2440" t="s">
        <v>152</v>
      </c>
      <c r="AD2440" t="s">
        <v>137</v>
      </c>
      <c r="AH2440" s="4" t="s">
        <v>49</v>
      </c>
      <c r="AI2440" t="s">
        <v>49</v>
      </c>
      <c r="AM2440" t="s">
        <v>233</v>
      </c>
      <c r="AN2440" t="s">
        <v>154</v>
      </c>
      <c r="AP2440" t="s">
        <v>49</v>
      </c>
      <c r="AR2440">
        <v>1</v>
      </c>
    </row>
    <row r="2441" spans="1:44" x14ac:dyDescent="0.2">
      <c r="A2441" t="s">
        <v>1400</v>
      </c>
      <c r="B2441" t="s">
        <v>1401</v>
      </c>
      <c r="C2441" s="1">
        <v>2016</v>
      </c>
      <c r="D2441" t="s">
        <v>44</v>
      </c>
      <c r="E2441" t="s">
        <v>51</v>
      </c>
      <c r="F2441" t="s">
        <v>1402</v>
      </c>
      <c r="G2441" t="s">
        <v>88</v>
      </c>
      <c r="H2441" t="s">
        <v>350</v>
      </c>
      <c r="I2441">
        <v>2014</v>
      </c>
      <c r="J2441">
        <v>3.0000000000000001E-3</v>
      </c>
      <c r="K2441" t="s">
        <v>101</v>
      </c>
      <c r="M2441">
        <v>0</v>
      </c>
      <c r="N2441" t="s">
        <v>122</v>
      </c>
      <c r="O2441" t="s">
        <v>122</v>
      </c>
      <c r="P2441" t="s">
        <v>1403</v>
      </c>
      <c r="Q2441" s="1" t="s">
        <v>2281</v>
      </c>
      <c r="R2441" s="1" t="s">
        <v>122</v>
      </c>
      <c r="S2441" s="1" t="s">
        <v>2294</v>
      </c>
      <c r="X2441" t="s">
        <v>338</v>
      </c>
      <c r="Y2441" t="s">
        <v>2273</v>
      </c>
      <c r="Z2441" t="s">
        <v>249</v>
      </c>
      <c r="AA2441" t="s">
        <v>2359</v>
      </c>
      <c r="AB2441" t="s">
        <v>1419</v>
      </c>
      <c r="AC2441" t="s">
        <v>152</v>
      </c>
      <c r="AD2441" t="s">
        <v>137</v>
      </c>
      <c r="AH2441" s="4" t="s">
        <v>49</v>
      </c>
      <c r="AI2441" t="s">
        <v>49</v>
      </c>
      <c r="AM2441" t="s">
        <v>233</v>
      </c>
      <c r="AN2441" t="s">
        <v>154</v>
      </c>
      <c r="AR2441">
        <v>1</v>
      </c>
    </row>
    <row r="2442" spans="1:44" x14ac:dyDescent="0.2">
      <c r="A2442" t="s">
        <v>1400</v>
      </c>
      <c r="B2442" t="s">
        <v>1401</v>
      </c>
      <c r="C2442" s="1">
        <v>2016</v>
      </c>
      <c r="D2442" t="s">
        <v>44</v>
      </c>
      <c r="E2442" t="s">
        <v>51</v>
      </c>
      <c r="F2442" t="s">
        <v>1402</v>
      </c>
      <c r="G2442" t="s">
        <v>88</v>
      </c>
      <c r="H2442" t="s">
        <v>350</v>
      </c>
      <c r="I2442">
        <v>2014</v>
      </c>
      <c r="J2442">
        <v>3.0000000000000001E-3</v>
      </c>
      <c r="K2442" t="s">
        <v>101</v>
      </c>
      <c r="M2442">
        <v>0</v>
      </c>
      <c r="N2442" t="s">
        <v>122</v>
      </c>
      <c r="O2442" t="s">
        <v>122</v>
      </c>
      <c r="P2442" t="s">
        <v>1403</v>
      </c>
      <c r="Q2442" s="1" t="s">
        <v>2281</v>
      </c>
      <c r="R2442" s="1" t="s">
        <v>122</v>
      </c>
      <c r="S2442" s="1" t="s">
        <v>2294</v>
      </c>
      <c r="X2442" t="s">
        <v>826</v>
      </c>
      <c r="Y2442" t="s">
        <v>2273</v>
      </c>
      <c r="Z2442" t="s">
        <v>249</v>
      </c>
      <c r="AA2442" t="s">
        <v>2359</v>
      </c>
      <c r="AB2442" t="s">
        <v>1419</v>
      </c>
      <c r="AC2442" t="s">
        <v>152</v>
      </c>
      <c r="AD2442" t="s">
        <v>137</v>
      </c>
      <c r="AH2442" s="4" t="s">
        <v>49</v>
      </c>
      <c r="AI2442" t="s">
        <v>49</v>
      </c>
      <c r="AM2442" t="s">
        <v>233</v>
      </c>
      <c r="AR2442">
        <v>1</v>
      </c>
    </row>
    <row r="2443" spans="1:44" x14ac:dyDescent="0.2">
      <c r="A2443" t="s">
        <v>1400</v>
      </c>
      <c r="B2443" t="s">
        <v>1401</v>
      </c>
      <c r="C2443" s="1">
        <v>2016</v>
      </c>
      <c r="D2443" t="s">
        <v>44</v>
      </c>
      <c r="E2443" t="s">
        <v>51</v>
      </c>
      <c r="F2443" t="s">
        <v>1402</v>
      </c>
      <c r="G2443" t="s">
        <v>88</v>
      </c>
      <c r="H2443" t="s">
        <v>350</v>
      </c>
      <c r="I2443">
        <v>2014</v>
      </c>
      <c r="J2443">
        <v>3.0000000000000001E-3</v>
      </c>
      <c r="K2443" t="s">
        <v>101</v>
      </c>
      <c r="M2443">
        <v>0</v>
      </c>
      <c r="N2443" t="s">
        <v>122</v>
      </c>
      <c r="O2443" t="s">
        <v>122</v>
      </c>
      <c r="P2443" t="s">
        <v>1403</v>
      </c>
      <c r="Q2443" s="1" t="s">
        <v>2281</v>
      </c>
      <c r="R2443" s="1" t="s">
        <v>122</v>
      </c>
      <c r="S2443" s="1" t="s">
        <v>2294</v>
      </c>
      <c r="X2443" t="s">
        <v>1405</v>
      </c>
      <c r="Y2443" t="s">
        <v>2273</v>
      </c>
      <c r="Z2443" t="s">
        <v>249</v>
      </c>
      <c r="AA2443" t="s">
        <v>2274</v>
      </c>
      <c r="AB2443" t="s">
        <v>2283</v>
      </c>
      <c r="AC2443" t="s">
        <v>152</v>
      </c>
      <c r="AD2443" t="s">
        <v>137</v>
      </c>
      <c r="AH2443" s="4" t="s">
        <v>49</v>
      </c>
      <c r="AI2443" t="s">
        <v>49</v>
      </c>
      <c r="AM2443" t="s">
        <v>233</v>
      </c>
      <c r="AN2443" t="s">
        <v>154</v>
      </c>
      <c r="AP2443" t="s">
        <v>49</v>
      </c>
      <c r="AR2443">
        <v>1</v>
      </c>
    </row>
    <row r="2444" spans="1:44" x14ac:dyDescent="0.2">
      <c r="A2444" t="s">
        <v>1400</v>
      </c>
      <c r="B2444" t="s">
        <v>1401</v>
      </c>
      <c r="C2444" s="1">
        <v>2016</v>
      </c>
      <c r="D2444" t="s">
        <v>44</v>
      </c>
      <c r="E2444" t="s">
        <v>51</v>
      </c>
      <c r="F2444" t="s">
        <v>1402</v>
      </c>
      <c r="G2444" t="s">
        <v>88</v>
      </c>
      <c r="H2444" t="s">
        <v>350</v>
      </c>
      <c r="I2444">
        <v>2014</v>
      </c>
      <c r="J2444">
        <v>3.0000000000000001E-3</v>
      </c>
      <c r="K2444" t="s">
        <v>101</v>
      </c>
      <c r="M2444">
        <v>0</v>
      </c>
      <c r="N2444" t="s">
        <v>122</v>
      </c>
      <c r="O2444" t="s">
        <v>122</v>
      </c>
      <c r="P2444" t="s">
        <v>1403</v>
      </c>
      <c r="Q2444" s="1" t="s">
        <v>2281</v>
      </c>
      <c r="R2444" s="1" t="s">
        <v>122</v>
      </c>
      <c r="S2444" s="1" t="s">
        <v>2294</v>
      </c>
      <c r="X2444" t="s">
        <v>1404</v>
      </c>
      <c r="Y2444" t="s">
        <v>2273</v>
      </c>
      <c r="Z2444" t="s">
        <v>249</v>
      </c>
      <c r="AA2444" t="s">
        <v>2274</v>
      </c>
      <c r="AB2444" t="s">
        <v>2283</v>
      </c>
      <c r="AC2444" t="s">
        <v>152</v>
      </c>
      <c r="AD2444" t="s">
        <v>137</v>
      </c>
      <c r="AH2444" s="4" t="s">
        <v>49</v>
      </c>
      <c r="AI2444" t="s">
        <v>49</v>
      </c>
      <c r="AM2444" t="s">
        <v>233</v>
      </c>
      <c r="AR2444">
        <v>1</v>
      </c>
    </row>
    <row r="2445" spans="1:44" x14ac:dyDescent="0.2">
      <c r="A2445" t="s">
        <v>1400</v>
      </c>
      <c r="B2445" t="s">
        <v>1401</v>
      </c>
      <c r="C2445" s="1">
        <v>2016</v>
      </c>
      <c r="D2445" t="s">
        <v>44</v>
      </c>
      <c r="E2445" t="s">
        <v>51</v>
      </c>
      <c r="F2445" t="s">
        <v>1402</v>
      </c>
      <c r="G2445" t="s">
        <v>88</v>
      </c>
      <c r="H2445" t="s">
        <v>350</v>
      </c>
      <c r="I2445">
        <v>2014</v>
      </c>
      <c r="J2445">
        <v>3.0000000000000001E-3</v>
      </c>
      <c r="K2445" t="s">
        <v>101</v>
      </c>
      <c r="M2445">
        <v>0</v>
      </c>
      <c r="N2445" t="s">
        <v>122</v>
      </c>
      <c r="O2445" t="s">
        <v>122</v>
      </c>
      <c r="P2445" t="s">
        <v>1403</v>
      </c>
      <c r="Q2445" s="1" t="s">
        <v>2281</v>
      </c>
      <c r="R2445" s="1" t="s">
        <v>122</v>
      </c>
      <c r="S2445" s="1" t="s">
        <v>2294</v>
      </c>
      <c r="X2445" t="s">
        <v>1406</v>
      </c>
      <c r="Y2445" t="s">
        <v>2279</v>
      </c>
      <c r="Z2445" t="s">
        <v>2280</v>
      </c>
      <c r="AA2445" t="s">
        <v>2358</v>
      </c>
      <c r="AB2445" t="s">
        <v>2459</v>
      </c>
      <c r="AC2445" t="s">
        <v>152</v>
      </c>
      <c r="AD2445" t="s">
        <v>2278</v>
      </c>
      <c r="AH2445" s="4" t="s">
        <v>49</v>
      </c>
      <c r="AI2445" t="s">
        <v>49</v>
      </c>
      <c r="AM2445" t="s">
        <v>233</v>
      </c>
      <c r="AR2445">
        <v>1</v>
      </c>
    </row>
    <row r="2446" spans="1:44" x14ac:dyDescent="0.2">
      <c r="A2446" t="s">
        <v>1400</v>
      </c>
      <c r="B2446" t="s">
        <v>1401</v>
      </c>
      <c r="C2446" s="1">
        <v>2016</v>
      </c>
      <c r="D2446" t="s">
        <v>44</v>
      </c>
      <c r="E2446" t="s">
        <v>51</v>
      </c>
      <c r="F2446" t="s">
        <v>1402</v>
      </c>
      <c r="G2446" t="s">
        <v>88</v>
      </c>
      <c r="H2446" t="s">
        <v>350</v>
      </c>
      <c r="I2446">
        <v>2014</v>
      </c>
      <c r="J2446">
        <v>3.0000000000000001E-3</v>
      </c>
      <c r="K2446" t="s">
        <v>101</v>
      </c>
      <c r="M2446">
        <v>0</v>
      </c>
      <c r="N2446" t="s">
        <v>122</v>
      </c>
      <c r="O2446" t="s">
        <v>122</v>
      </c>
      <c r="P2446" t="s">
        <v>1403</v>
      </c>
      <c r="Q2446" s="1" t="s">
        <v>2281</v>
      </c>
      <c r="R2446" s="1" t="s">
        <v>122</v>
      </c>
      <c r="S2446" s="1" t="s">
        <v>2294</v>
      </c>
      <c r="X2446" t="s">
        <v>1411</v>
      </c>
      <c r="Y2446" t="s">
        <v>2279</v>
      </c>
      <c r="Z2446" t="s">
        <v>2280</v>
      </c>
      <c r="AA2446" t="s">
        <v>2286</v>
      </c>
      <c r="AB2446" t="s">
        <v>2287</v>
      </c>
      <c r="AC2446" t="s">
        <v>315</v>
      </c>
      <c r="AD2446" t="s">
        <v>2278</v>
      </c>
      <c r="AH2446" s="4" t="s">
        <v>49</v>
      </c>
      <c r="AI2446" t="s">
        <v>49</v>
      </c>
      <c r="AM2446" t="s">
        <v>233</v>
      </c>
      <c r="AN2446" t="s">
        <v>154</v>
      </c>
      <c r="AR2446">
        <v>1</v>
      </c>
    </row>
    <row r="2447" spans="1:44" x14ac:dyDescent="0.2">
      <c r="A2447" t="s">
        <v>1400</v>
      </c>
      <c r="B2447" t="s">
        <v>1401</v>
      </c>
      <c r="C2447" s="1">
        <v>2016</v>
      </c>
      <c r="D2447" t="s">
        <v>44</v>
      </c>
      <c r="E2447" t="s">
        <v>51</v>
      </c>
      <c r="F2447" t="s">
        <v>1402</v>
      </c>
      <c r="G2447" t="s">
        <v>88</v>
      </c>
      <c r="H2447" t="s">
        <v>350</v>
      </c>
      <c r="I2447">
        <v>2014</v>
      </c>
      <c r="J2447">
        <v>3.0000000000000001E-3</v>
      </c>
      <c r="K2447" t="s">
        <v>101</v>
      </c>
      <c r="M2447">
        <v>0</v>
      </c>
      <c r="N2447" t="s">
        <v>122</v>
      </c>
      <c r="O2447" t="s">
        <v>122</v>
      </c>
      <c r="P2447" t="s">
        <v>1403</v>
      </c>
      <c r="Q2447" s="1" t="s">
        <v>2281</v>
      </c>
      <c r="R2447" s="1" t="s">
        <v>122</v>
      </c>
      <c r="S2447" s="1" t="s">
        <v>2294</v>
      </c>
      <c r="X2447" t="s">
        <v>1407</v>
      </c>
      <c r="Y2447" t="s">
        <v>2279</v>
      </c>
      <c r="Z2447" t="s">
        <v>2280</v>
      </c>
      <c r="AA2447" t="s">
        <v>2358</v>
      </c>
      <c r="AB2447" t="s">
        <v>189</v>
      </c>
      <c r="AC2447" t="s">
        <v>152</v>
      </c>
      <c r="AD2447" t="s">
        <v>2278</v>
      </c>
      <c r="AH2447" s="4" t="s">
        <v>49</v>
      </c>
      <c r="AI2447" t="s">
        <v>49</v>
      </c>
      <c r="AM2447" t="s">
        <v>233</v>
      </c>
      <c r="AR2447">
        <v>1</v>
      </c>
    </row>
    <row r="2448" spans="1:44" x14ac:dyDescent="0.2">
      <c r="A2448" t="s">
        <v>1400</v>
      </c>
      <c r="B2448" t="s">
        <v>1401</v>
      </c>
      <c r="C2448" s="1">
        <v>2016</v>
      </c>
      <c r="D2448" t="s">
        <v>44</v>
      </c>
      <c r="E2448" t="s">
        <v>51</v>
      </c>
      <c r="F2448" t="s">
        <v>1402</v>
      </c>
      <c r="G2448" t="s">
        <v>88</v>
      </c>
      <c r="H2448" t="s">
        <v>350</v>
      </c>
      <c r="I2448">
        <v>2014</v>
      </c>
      <c r="J2448">
        <v>3.0000000000000001E-3</v>
      </c>
      <c r="K2448" t="s">
        <v>101</v>
      </c>
      <c r="M2448">
        <v>2.5000000000000001E-3</v>
      </c>
      <c r="N2448" t="s">
        <v>122</v>
      </c>
      <c r="O2448" t="s">
        <v>122</v>
      </c>
      <c r="P2448" t="s">
        <v>1403</v>
      </c>
      <c r="Q2448" s="1" t="s">
        <v>2281</v>
      </c>
      <c r="R2448" s="1" t="s">
        <v>122</v>
      </c>
      <c r="S2448" s="1" t="s">
        <v>2294</v>
      </c>
      <c r="X2448" t="s">
        <v>1408</v>
      </c>
      <c r="Y2448" t="s">
        <v>2279</v>
      </c>
      <c r="Z2448" t="s">
        <v>2280</v>
      </c>
      <c r="AA2448" t="s">
        <v>2286</v>
      </c>
      <c r="AB2448" t="s">
        <v>2328</v>
      </c>
      <c r="AC2448" t="s">
        <v>315</v>
      </c>
      <c r="AD2448" t="s">
        <v>2278</v>
      </c>
      <c r="AH2448" s="4" t="s">
        <v>49</v>
      </c>
      <c r="AI2448" t="s">
        <v>49</v>
      </c>
      <c r="AM2448" t="s">
        <v>233</v>
      </c>
      <c r="AN2448" t="s">
        <v>154</v>
      </c>
      <c r="AP2448" t="s">
        <v>49</v>
      </c>
      <c r="AR2448">
        <v>1</v>
      </c>
    </row>
    <row r="2449" spans="1:45" x14ac:dyDescent="0.2">
      <c r="A2449" t="s">
        <v>1400</v>
      </c>
      <c r="B2449" t="s">
        <v>1401</v>
      </c>
      <c r="C2449" s="1">
        <v>2016</v>
      </c>
      <c r="D2449" t="s">
        <v>44</v>
      </c>
      <c r="E2449" t="s">
        <v>51</v>
      </c>
      <c r="F2449" t="s">
        <v>1402</v>
      </c>
      <c r="G2449" t="s">
        <v>88</v>
      </c>
      <c r="H2449" t="s">
        <v>350</v>
      </c>
      <c r="I2449">
        <v>2014</v>
      </c>
      <c r="J2449">
        <v>3.0000000000000001E-3</v>
      </c>
      <c r="K2449" t="s">
        <v>101</v>
      </c>
      <c r="M2449">
        <v>0</v>
      </c>
      <c r="N2449" t="s">
        <v>122</v>
      </c>
      <c r="O2449" t="s">
        <v>122</v>
      </c>
      <c r="P2449" t="s">
        <v>1403</v>
      </c>
      <c r="Q2449" s="1" t="s">
        <v>2281</v>
      </c>
      <c r="R2449" s="1" t="s">
        <v>122</v>
      </c>
      <c r="S2449" s="1" t="s">
        <v>2294</v>
      </c>
      <c r="X2449" t="s">
        <v>1409</v>
      </c>
      <c r="Y2449" t="s">
        <v>2279</v>
      </c>
      <c r="Z2449" t="s">
        <v>2361</v>
      </c>
      <c r="AA2449" t="s">
        <v>2362</v>
      </c>
      <c r="AB2449" t="s">
        <v>2296</v>
      </c>
      <c r="AC2449" t="s">
        <v>152</v>
      </c>
      <c r="AD2449" t="s">
        <v>2278</v>
      </c>
      <c r="AH2449" s="4" t="s">
        <v>49</v>
      </c>
      <c r="AI2449" t="s">
        <v>49</v>
      </c>
      <c r="AM2449" t="s">
        <v>233</v>
      </c>
      <c r="AN2449" t="s">
        <v>154</v>
      </c>
      <c r="AR2449">
        <v>1</v>
      </c>
    </row>
    <row r="2450" spans="1:45" x14ac:dyDescent="0.2">
      <c r="A2450" t="s">
        <v>1400</v>
      </c>
      <c r="B2450" t="s">
        <v>1401</v>
      </c>
      <c r="C2450" s="1">
        <v>2016</v>
      </c>
      <c r="D2450" t="s">
        <v>44</v>
      </c>
      <c r="E2450" t="s">
        <v>51</v>
      </c>
      <c r="F2450" t="s">
        <v>1402</v>
      </c>
      <c r="G2450" t="s">
        <v>88</v>
      </c>
      <c r="H2450" t="s">
        <v>350</v>
      </c>
      <c r="I2450">
        <v>2014</v>
      </c>
      <c r="J2450">
        <v>3.0000000000000001E-3</v>
      </c>
      <c r="K2450" t="s">
        <v>101</v>
      </c>
      <c r="M2450">
        <v>2.5000000000000001E-3</v>
      </c>
      <c r="N2450" t="s">
        <v>122</v>
      </c>
      <c r="O2450" t="s">
        <v>122</v>
      </c>
      <c r="P2450" t="s">
        <v>1403</v>
      </c>
      <c r="Q2450" s="1" t="s">
        <v>2281</v>
      </c>
      <c r="R2450" s="1" t="s">
        <v>122</v>
      </c>
      <c r="S2450" s="1" t="s">
        <v>2294</v>
      </c>
      <c r="X2450" t="s">
        <v>1410</v>
      </c>
      <c r="Y2450" t="s">
        <v>2279</v>
      </c>
      <c r="Z2450" t="s">
        <v>2280</v>
      </c>
      <c r="AA2450" t="s">
        <v>2358</v>
      </c>
      <c r="AB2450" t="s">
        <v>189</v>
      </c>
      <c r="AC2450" t="s">
        <v>152</v>
      </c>
      <c r="AD2450" t="s">
        <v>2278</v>
      </c>
      <c r="AH2450" s="4" t="s">
        <v>49</v>
      </c>
      <c r="AI2450" t="s">
        <v>49</v>
      </c>
      <c r="AM2450" t="s">
        <v>233</v>
      </c>
      <c r="AN2450" t="s">
        <v>154</v>
      </c>
      <c r="AP2450" t="s">
        <v>49</v>
      </c>
      <c r="AR2450">
        <v>1</v>
      </c>
    </row>
    <row r="2451" spans="1:45" x14ac:dyDescent="0.2">
      <c r="A2451" t="s">
        <v>1412</v>
      </c>
      <c r="B2451" t="s">
        <v>1413</v>
      </c>
      <c r="C2451" s="1">
        <v>2015</v>
      </c>
      <c r="Q2451" s="1" t="s">
        <v>2272</v>
      </c>
      <c r="R2451" s="1" t="s">
        <v>2272</v>
      </c>
      <c r="S2451" s="1" t="s">
        <v>2272</v>
      </c>
      <c r="Y2451" t="s">
        <v>2272</v>
      </c>
      <c r="Z2451" t="s">
        <v>2272</v>
      </c>
      <c r="AA2451" t="s">
        <v>2272</v>
      </c>
      <c r="AB2451" t="s">
        <v>2272</v>
      </c>
      <c r="AD2451" t="s">
        <v>2272</v>
      </c>
      <c r="AR2451" t="s">
        <v>144</v>
      </c>
      <c r="AS2451" t="s">
        <v>2583</v>
      </c>
    </row>
    <row r="2452" spans="1:45" x14ac:dyDescent="0.2">
      <c r="A2452" t="s">
        <v>1414</v>
      </c>
      <c r="B2452" t="s">
        <v>1415</v>
      </c>
      <c r="C2452" s="1">
        <v>2015</v>
      </c>
      <c r="Q2452" s="1" t="s">
        <v>2272</v>
      </c>
      <c r="R2452" s="1" t="s">
        <v>2272</v>
      </c>
      <c r="S2452" s="1" t="s">
        <v>2272</v>
      </c>
      <c r="Y2452" t="s">
        <v>2272</v>
      </c>
      <c r="Z2452" t="s">
        <v>2272</v>
      </c>
      <c r="AA2452" t="s">
        <v>2272</v>
      </c>
      <c r="AB2452" t="s">
        <v>2272</v>
      </c>
      <c r="AD2452" t="s">
        <v>2272</v>
      </c>
      <c r="AR2452" t="s">
        <v>144</v>
      </c>
      <c r="AS2452" t="s">
        <v>2583</v>
      </c>
    </row>
    <row r="2453" spans="1:45" x14ac:dyDescent="0.2">
      <c r="A2453" t="s">
        <v>1414</v>
      </c>
      <c r="B2453" t="s">
        <v>1415</v>
      </c>
      <c r="C2453" s="1">
        <v>2015</v>
      </c>
      <c r="Q2453" s="1" t="s">
        <v>2272</v>
      </c>
      <c r="R2453" s="1" t="s">
        <v>2272</v>
      </c>
      <c r="S2453" s="1" t="s">
        <v>2272</v>
      </c>
      <c r="Y2453" t="s">
        <v>2272</v>
      </c>
      <c r="Z2453" t="s">
        <v>2272</v>
      </c>
      <c r="AA2453" t="s">
        <v>2272</v>
      </c>
      <c r="AB2453" t="s">
        <v>2272</v>
      </c>
      <c r="AD2453" t="s">
        <v>2272</v>
      </c>
      <c r="AR2453" t="s">
        <v>144</v>
      </c>
      <c r="AS2453" t="s">
        <v>2583</v>
      </c>
    </row>
    <row r="2454" spans="1:45" x14ac:dyDescent="0.2">
      <c r="A2454" t="s">
        <v>1416</v>
      </c>
      <c r="B2454" t="s">
        <v>1417</v>
      </c>
      <c r="C2454" s="1">
        <v>2015</v>
      </c>
      <c r="D2454" t="s">
        <v>44</v>
      </c>
      <c r="F2454" t="s">
        <v>628</v>
      </c>
      <c r="G2454" t="s">
        <v>91</v>
      </c>
      <c r="H2454" t="s">
        <v>350</v>
      </c>
      <c r="I2454" t="s">
        <v>1418</v>
      </c>
      <c r="J2454">
        <v>4</v>
      </c>
      <c r="K2454" t="s">
        <v>42</v>
      </c>
      <c r="L2454">
        <v>95</v>
      </c>
      <c r="M2454">
        <f t="shared" ref="M2454:M2459" si="49">30*4</f>
        <v>120</v>
      </c>
      <c r="N2454" t="s">
        <v>120</v>
      </c>
      <c r="O2454" t="s">
        <v>120</v>
      </c>
      <c r="P2454" t="s">
        <v>217</v>
      </c>
      <c r="Q2454" s="1" t="s">
        <v>2276</v>
      </c>
      <c r="R2454" s="1" t="s">
        <v>669</v>
      </c>
      <c r="S2454" s="1" t="s">
        <v>168</v>
      </c>
      <c r="X2454" t="s">
        <v>646</v>
      </c>
      <c r="Y2454" t="s">
        <v>2279</v>
      </c>
      <c r="Z2454" t="s">
        <v>2280</v>
      </c>
      <c r="AA2454" t="s">
        <v>2358</v>
      </c>
      <c r="AB2454" t="s">
        <v>2290</v>
      </c>
      <c r="AC2454" t="s">
        <v>152</v>
      </c>
      <c r="AD2454" t="s">
        <v>2278</v>
      </c>
      <c r="AH2454" s="4" t="s">
        <v>49</v>
      </c>
      <c r="AI2454" t="s">
        <v>49</v>
      </c>
      <c r="AM2454" t="s">
        <v>233</v>
      </c>
      <c r="AN2454" t="s">
        <v>171</v>
      </c>
      <c r="AP2454" t="s">
        <v>157</v>
      </c>
    </row>
    <row r="2455" spans="1:45" x14ac:dyDescent="0.2">
      <c r="A2455" t="s">
        <v>1416</v>
      </c>
      <c r="B2455" t="s">
        <v>1417</v>
      </c>
      <c r="C2455" s="1">
        <v>2015</v>
      </c>
      <c r="D2455" t="s">
        <v>44</v>
      </c>
      <c r="F2455" t="s">
        <v>628</v>
      </c>
      <c r="G2455" t="s">
        <v>91</v>
      </c>
      <c r="H2455" t="s">
        <v>350</v>
      </c>
      <c r="I2455" t="s">
        <v>1418</v>
      </c>
      <c r="J2455">
        <v>4</v>
      </c>
      <c r="K2455" t="s">
        <v>42</v>
      </c>
      <c r="L2455">
        <v>95</v>
      </c>
      <c r="M2455">
        <f t="shared" si="49"/>
        <v>120</v>
      </c>
      <c r="N2455" t="s">
        <v>120</v>
      </c>
      <c r="O2455" t="s">
        <v>120</v>
      </c>
      <c r="P2455" t="s">
        <v>217</v>
      </c>
      <c r="Q2455" s="1" t="s">
        <v>2276</v>
      </c>
      <c r="R2455" s="1" t="s">
        <v>669</v>
      </c>
      <c r="S2455" s="1" t="s">
        <v>168</v>
      </c>
      <c r="X2455" t="s">
        <v>189</v>
      </c>
      <c r="Y2455" t="s">
        <v>2279</v>
      </c>
      <c r="Z2455" t="s">
        <v>2280</v>
      </c>
      <c r="AA2455" t="s">
        <v>2358</v>
      </c>
      <c r="AB2455" t="s">
        <v>189</v>
      </c>
      <c r="AC2455" t="s">
        <v>152</v>
      </c>
      <c r="AD2455" t="s">
        <v>2278</v>
      </c>
      <c r="AH2455" s="4" t="s">
        <v>49</v>
      </c>
      <c r="AI2455" t="s">
        <v>49</v>
      </c>
      <c r="AM2455" t="s">
        <v>233</v>
      </c>
      <c r="AN2455" t="s">
        <v>171</v>
      </c>
      <c r="AP2455" t="s">
        <v>157</v>
      </c>
    </row>
    <row r="2456" spans="1:45" x14ac:dyDescent="0.2">
      <c r="A2456" t="s">
        <v>1416</v>
      </c>
      <c r="B2456" t="s">
        <v>1417</v>
      </c>
      <c r="C2456" s="1">
        <v>2015</v>
      </c>
      <c r="D2456" t="s">
        <v>44</v>
      </c>
      <c r="F2456" t="s">
        <v>628</v>
      </c>
      <c r="G2456" t="s">
        <v>91</v>
      </c>
      <c r="H2456" t="s">
        <v>350</v>
      </c>
      <c r="I2456" t="s">
        <v>1418</v>
      </c>
      <c r="J2456">
        <v>4</v>
      </c>
      <c r="K2456" t="s">
        <v>42</v>
      </c>
      <c r="L2456">
        <v>95</v>
      </c>
      <c r="M2456">
        <f t="shared" si="49"/>
        <v>120</v>
      </c>
      <c r="N2456" t="s">
        <v>120</v>
      </c>
      <c r="O2456" t="s">
        <v>120</v>
      </c>
      <c r="P2456" t="s">
        <v>217</v>
      </c>
      <c r="Q2456" s="1" t="s">
        <v>2276</v>
      </c>
      <c r="R2456" s="1" t="s">
        <v>669</v>
      </c>
      <c r="S2456" s="1" t="s">
        <v>168</v>
      </c>
      <c r="X2456" t="s">
        <v>646</v>
      </c>
      <c r="Y2456" t="s">
        <v>2279</v>
      </c>
      <c r="Z2456" t="s">
        <v>2280</v>
      </c>
      <c r="AA2456" t="s">
        <v>2358</v>
      </c>
      <c r="AB2456" t="s">
        <v>2290</v>
      </c>
      <c r="AC2456" t="s">
        <v>152</v>
      </c>
      <c r="AD2456" t="s">
        <v>2278</v>
      </c>
      <c r="AH2456" s="4" t="s">
        <v>49</v>
      </c>
      <c r="AI2456" t="s">
        <v>49</v>
      </c>
      <c r="AM2456" t="s">
        <v>233</v>
      </c>
      <c r="AN2456" t="s">
        <v>109</v>
      </c>
      <c r="AO2456" t="s">
        <v>1419</v>
      </c>
      <c r="AP2456" t="s">
        <v>51</v>
      </c>
    </row>
    <row r="2457" spans="1:45" x14ac:dyDescent="0.2">
      <c r="A2457" t="s">
        <v>1416</v>
      </c>
      <c r="B2457" t="s">
        <v>1417</v>
      </c>
      <c r="C2457" s="1">
        <v>2015</v>
      </c>
      <c r="D2457" t="s">
        <v>44</v>
      </c>
      <c r="F2457" t="s">
        <v>628</v>
      </c>
      <c r="G2457" t="s">
        <v>91</v>
      </c>
      <c r="H2457" t="s">
        <v>350</v>
      </c>
      <c r="I2457" t="s">
        <v>1418</v>
      </c>
      <c r="J2457">
        <v>4</v>
      </c>
      <c r="K2457" t="s">
        <v>42</v>
      </c>
      <c r="L2457">
        <v>95</v>
      </c>
      <c r="M2457">
        <f t="shared" si="49"/>
        <v>120</v>
      </c>
      <c r="N2457" t="s">
        <v>120</v>
      </c>
      <c r="O2457" t="s">
        <v>120</v>
      </c>
      <c r="P2457" t="s">
        <v>217</v>
      </c>
      <c r="Q2457" s="1" t="s">
        <v>2276</v>
      </c>
      <c r="R2457" s="1" t="s">
        <v>669</v>
      </c>
      <c r="S2457" s="1" t="s">
        <v>168</v>
      </c>
      <c r="X2457" t="s">
        <v>189</v>
      </c>
      <c r="Y2457" t="s">
        <v>2279</v>
      </c>
      <c r="Z2457" t="s">
        <v>2280</v>
      </c>
      <c r="AA2457" t="s">
        <v>2358</v>
      </c>
      <c r="AB2457" t="s">
        <v>189</v>
      </c>
      <c r="AC2457" t="s">
        <v>152</v>
      </c>
      <c r="AD2457" t="s">
        <v>2278</v>
      </c>
      <c r="AH2457" s="4" t="s">
        <v>49</v>
      </c>
      <c r="AI2457" t="s">
        <v>49</v>
      </c>
      <c r="AM2457" t="s">
        <v>233</v>
      </c>
      <c r="AN2457" t="s">
        <v>109</v>
      </c>
      <c r="AO2457" t="s">
        <v>1419</v>
      </c>
    </row>
    <row r="2458" spans="1:45" x14ac:dyDescent="0.2">
      <c r="A2458" t="s">
        <v>1416</v>
      </c>
      <c r="B2458" t="s">
        <v>1417</v>
      </c>
      <c r="C2458" s="1">
        <v>2015</v>
      </c>
      <c r="D2458" t="s">
        <v>44</v>
      </c>
      <c r="F2458" t="s">
        <v>628</v>
      </c>
      <c r="G2458" t="s">
        <v>91</v>
      </c>
      <c r="H2458" t="s">
        <v>350</v>
      </c>
      <c r="I2458" t="s">
        <v>1418</v>
      </c>
      <c r="J2458">
        <v>4</v>
      </c>
      <c r="K2458" t="s">
        <v>42</v>
      </c>
      <c r="L2458">
        <v>95</v>
      </c>
      <c r="M2458">
        <f t="shared" si="49"/>
        <v>120</v>
      </c>
      <c r="N2458" t="s">
        <v>120</v>
      </c>
      <c r="O2458" t="s">
        <v>120</v>
      </c>
      <c r="P2458" t="s">
        <v>217</v>
      </c>
      <c r="Q2458" s="1" t="s">
        <v>2276</v>
      </c>
      <c r="R2458" s="1" t="s">
        <v>669</v>
      </c>
      <c r="S2458" s="1" t="s">
        <v>168</v>
      </c>
      <c r="X2458" t="s">
        <v>646</v>
      </c>
      <c r="Y2458" t="s">
        <v>2279</v>
      </c>
      <c r="Z2458" t="s">
        <v>2280</v>
      </c>
      <c r="AA2458" t="s">
        <v>2358</v>
      </c>
      <c r="AB2458" t="s">
        <v>2290</v>
      </c>
      <c r="AC2458" t="s">
        <v>152</v>
      </c>
      <c r="AD2458" t="s">
        <v>2278</v>
      </c>
      <c r="AH2458" s="4" t="s">
        <v>49</v>
      </c>
      <c r="AI2458" t="s">
        <v>49</v>
      </c>
      <c r="AM2458" t="s">
        <v>233</v>
      </c>
      <c r="AN2458" t="s">
        <v>109</v>
      </c>
      <c r="AO2458" t="s">
        <v>1420</v>
      </c>
    </row>
    <row r="2459" spans="1:45" x14ac:dyDescent="0.2">
      <c r="A2459" t="s">
        <v>1416</v>
      </c>
      <c r="B2459" t="s">
        <v>1417</v>
      </c>
      <c r="C2459" s="1">
        <v>2015</v>
      </c>
      <c r="D2459" t="s">
        <v>44</v>
      </c>
      <c r="F2459" t="s">
        <v>628</v>
      </c>
      <c r="G2459" t="s">
        <v>91</v>
      </c>
      <c r="H2459" t="s">
        <v>350</v>
      </c>
      <c r="I2459" t="s">
        <v>1418</v>
      </c>
      <c r="J2459">
        <v>4</v>
      </c>
      <c r="K2459" t="s">
        <v>42</v>
      </c>
      <c r="L2459">
        <v>95</v>
      </c>
      <c r="M2459">
        <f t="shared" si="49"/>
        <v>120</v>
      </c>
      <c r="N2459" t="s">
        <v>120</v>
      </c>
      <c r="O2459" t="s">
        <v>120</v>
      </c>
      <c r="P2459" t="s">
        <v>217</v>
      </c>
      <c r="Q2459" s="1" t="s">
        <v>2276</v>
      </c>
      <c r="R2459" s="1" t="s">
        <v>669</v>
      </c>
      <c r="S2459" s="1" t="s">
        <v>168</v>
      </c>
      <c r="X2459" t="s">
        <v>189</v>
      </c>
      <c r="Y2459" t="s">
        <v>2279</v>
      </c>
      <c r="Z2459" t="s">
        <v>2280</v>
      </c>
      <c r="AA2459" t="s">
        <v>2358</v>
      </c>
      <c r="AB2459" t="s">
        <v>189</v>
      </c>
      <c r="AC2459" t="s">
        <v>152</v>
      </c>
      <c r="AD2459" t="s">
        <v>2278</v>
      </c>
      <c r="AH2459" s="4" t="s">
        <v>49</v>
      </c>
      <c r="AI2459" t="s">
        <v>49</v>
      </c>
      <c r="AM2459" t="s">
        <v>233</v>
      </c>
      <c r="AN2459" t="s">
        <v>109</v>
      </c>
      <c r="AO2459" t="s">
        <v>1420</v>
      </c>
    </row>
    <row r="2460" spans="1:45" x14ac:dyDescent="0.2">
      <c r="A2460" t="s">
        <v>1421</v>
      </c>
      <c r="B2460" t="s">
        <v>1422</v>
      </c>
      <c r="C2460" s="1">
        <v>2015</v>
      </c>
      <c r="Q2460" s="1" t="s">
        <v>2272</v>
      </c>
      <c r="R2460" s="1" t="s">
        <v>2272</v>
      </c>
      <c r="S2460" s="1" t="s">
        <v>2272</v>
      </c>
      <c r="Y2460" t="s">
        <v>2272</v>
      </c>
      <c r="Z2460" t="s">
        <v>2272</v>
      </c>
      <c r="AA2460" t="s">
        <v>2272</v>
      </c>
      <c r="AB2460" t="s">
        <v>2272</v>
      </c>
      <c r="AD2460" t="s">
        <v>2272</v>
      </c>
      <c r="AR2460" t="s">
        <v>144</v>
      </c>
      <c r="AS2460" t="s">
        <v>1112</v>
      </c>
    </row>
    <row r="2461" spans="1:45" x14ac:dyDescent="0.2">
      <c r="A2461" t="s">
        <v>1423</v>
      </c>
      <c r="B2461" t="s">
        <v>1424</v>
      </c>
      <c r="C2461" s="1">
        <v>2015</v>
      </c>
      <c r="Q2461" s="1" t="s">
        <v>2272</v>
      </c>
      <c r="R2461" s="1" t="s">
        <v>2272</v>
      </c>
      <c r="S2461" s="1" t="s">
        <v>2272</v>
      </c>
      <c r="Y2461" t="s">
        <v>2272</v>
      </c>
      <c r="Z2461" t="s">
        <v>2272</v>
      </c>
      <c r="AA2461" t="s">
        <v>2272</v>
      </c>
      <c r="AB2461" t="s">
        <v>2272</v>
      </c>
      <c r="AD2461" t="s">
        <v>2272</v>
      </c>
      <c r="AR2461" t="s">
        <v>144</v>
      </c>
      <c r="AS2461" t="s">
        <v>2583</v>
      </c>
    </row>
    <row r="2462" spans="1:45" x14ac:dyDescent="0.2">
      <c r="A2462" t="s">
        <v>1425</v>
      </c>
      <c r="B2462" t="s">
        <v>1426</v>
      </c>
      <c r="C2462" s="1">
        <v>2015</v>
      </c>
      <c r="D2462" t="s">
        <v>44</v>
      </c>
      <c r="F2462" t="s">
        <v>638</v>
      </c>
      <c r="G2462" t="s">
        <v>90</v>
      </c>
      <c r="H2462" t="s">
        <v>350</v>
      </c>
      <c r="I2462">
        <v>2000</v>
      </c>
      <c r="K2462" t="s">
        <v>101</v>
      </c>
      <c r="L2462">
        <v>1</v>
      </c>
      <c r="N2462" t="s">
        <v>127</v>
      </c>
      <c r="O2462" t="s">
        <v>639</v>
      </c>
      <c r="P2462" t="s">
        <v>1427</v>
      </c>
      <c r="Q2462" s="1" t="s">
        <v>2281</v>
      </c>
      <c r="R2462" s="1" t="s">
        <v>2291</v>
      </c>
      <c r="S2462" s="1" t="s">
        <v>2291</v>
      </c>
      <c r="X2462" t="s">
        <v>1428</v>
      </c>
      <c r="Y2462" t="s">
        <v>2279</v>
      </c>
      <c r="Z2462" t="s">
        <v>2280</v>
      </c>
      <c r="AA2462" t="s">
        <v>2286</v>
      </c>
      <c r="AB2462" t="s">
        <v>2287</v>
      </c>
      <c r="AC2462" t="s">
        <v>162</v>
      </c>
      <c r="AD2462" t="s">
        <v>2278</v>
      </c>
      <c r="AF2462" t="s">
        <v>49</v>
      </c>
      <c r="AK2462" t="s">
        <v>49</v>
      </c>
      <c r="AM2462" t="s">
        <v>306</v>
      </c>
      <c r="AN2462" t="s">
        <v>191</v>
      </c>
      <c r="AP2462" t="s">
        <v>49</v>
      </c>
      <c r="AR2462">
        <v>1</v>
      </c>
    </row>
    <row r="2463" spans="1:45" x14ac:dyDescent="0.2">
      <c r="A2463" t="s">
        <v>1425</v>
      </c>
      <c r="B2463" t="s">
        <v>1426</v>
      </c>
      <c r="C2463" s="1">
        <v>2015</v>
      </c>
      <c r="D2463" t="s">
        <v>44</v>
      </c>
      <c r="F2463" t="s">
        <v>638</v>
      </c>
      <c r="G2463" t="s">
        <v>90</v>
      </c>
      <c r="H2463" t="s">
        <v>350</v>
      </c>
      <c r="I2463">
        <v>2000</v>
      </c>
      <c r="K2463" t="s">
        <v>101</v>
      </c>
      <c r="L2463">
        <v>1</v>
      </c>
      <c r="N2463" t="s">
        <v>127</v>
      </c>
      <c r="O2463" t="s">
        <v>639</v>
      </c>
      <c r="P2463" t="s">
        <v>1427</v>
      </c>
      <c r="Q2463" s="1" t="s">
        <v>2281</v>
      </c>
      <c r="R2463" s="1" t="s">
        <v>2291</v>
      </c>
      <c r="S2463" s="1" t="s">
        <v>2291</v>
      </c>
      <c r="X2463" t="s">
        <v>615</v>
      </c>
      <c r="Y2463" t="s">
        <v>2279</v>
      </c>
      <c r="Z2463" t="s">
        <v>2280</v>
      </c>
      <c r="AA2463" t="s">
        <v>2358</v>
      </c>
      <c r="AB2463" t="s">
        <v>261</v>
      </c>
      <c r="AC2463" t="s">
        <v>152</v>
      </c>
      <c r="AD2463" t="s">
        <v>2278</v>
      </c>
      <c r="AF2463" t="s">
        <v>49</v>
      </c>
      <c r="AK2463" t="s">
        <v>49</v>
      </c>
      <c r="AM2463" t="s">
        <v>306</v>
      </c>
      <c r="AN2463" t="s">
        <v>154</v>
      </c>
      <c r="AP2463" t="s">
        <v>157</v>
      </c>
      <c r="AR2463">
        <v>1</v>
      </c>
    </row>
    <row r="2464" spans="1:45" x14ac:dyDescent="0.2">
      <c r="A2464" t="s">
        <v>1425</v>
      </c>
      <c r="B2464" t="s">
        <v>1426</v>
      </c>
      <c r="C2464" s="1">
        <v>2015</v>
      </c>
      <c r="D2464" t="s">
        <v>44</v>
      </c>
      <c r="F2464" t="s">
        <v>638</v>
      </c>
      <c r="G2464" t="s">
        <v>90</v>
      </c>
      <c r="H2464" t="s">
        <v>350</v>
      </c>
      <c r="I2464">
        <v>2000</v>
      </c>
      <c r="K2464" t="s">
        <v>101</v>
      </c>
      <c r="L2464">
        <v>1</v>
      </c>
      <c r="N2464" t="s">
        <v>127</v>
      </c>
      <c r="O2464" t="s">
        <v>639</v>
      </c>
      <c r="P2464" t="s">
        <v>1427</v>
      </c>
      <c r="Q2464" s="1" t="s">
        <v>2281</v>
      </c>
      <c r="R2464" s="1" t="s">
        <v>2291</v>
      </c>
      <c r="S2464" s="1" t="s">
        <v>2291</v>
      </c>
      <c r="X2464" t="s">
        <v>1428</v>
      </c>
      <c r="Y2464" t="s">
        <v>2279</v>
      </c>
      <c r="Z2464" t="s">
        <v>2280</v>
      </c>
      <c r="AA2464" t="s">
        <v>2286</v>
      </c>
      <c r="AB2464" t="s">
        <v>2287</v>
      </c>
      <c r="AC2464" t="s">
        <v>162</v>
      </c>
      <c r="AD2464" t="s">
        <v>2278</v>
      </c>
      <c r="AF2464" t="s">
        <v>49</v>
      </c>
      <c r="AK2464" t="s">
        <v>49</v>
      </c>
      <c r="AM2464" t="s">
        <v>306</v>
      </c>
      <c r="AN2464" t="s">
        <v>154</v>
      </c>
      <c r="AP2464" t="s">
        <v>49</v>
      </c>
      <c r="AR2464">
        <v>1</v>
      </c>
    </row>
    <row r="2465" spans="1:45" x14ac:dyDescent="0.2">
      <c r="A2465" t="s">
        <v>1425</v>
      </c>
      <c r="B2465" t="s">
        <v>1426</v>
      </c>
      <c r="C2465" s="1">
        <v>2015</v>
      </c>
      <c r="D2465" t="s">
        <v>44</v>
      </c>
      <c r="F2465" t="s">
        <v>638</v>
      </c>
      <c r="G2465" t="s">
        <v>90</v>
      </c>
      <c r="H2465" t="s">
        <v>350</v>
      </c>
      <c r="I2465">
        <v>2000</v>
      </c>
      <c r="K2465" t="s">
        <v>101</v>
      </c>
      <c r="L2465">
        <v>1</v>
      </c>
      <c r="N2465" t="s">
        <v>127</v>
      </c>
      <c r="O2465" t="s">
        <v>639</v>
      </c>
      <c r="P2465" t="s">
        <v>1427</v>
      </c>
      <c r="Q2465" s="1" t="s">
        <v>2281</v>
      </c>
      <c r="R2465" s="1" t="s">
        <v>2291</v>
      </c>
      <c r="S2465" s="1" t="s">
        <v>2291</v>
      </c>
      <c r="X2465" t="s">
        <v>615</v>
      </c>
      <c r="Y2465" t="s">
        <v>2279</v>
      </c>
      <c r="Z2465" t="s">
        <v>2280</v>
      </c>
      <c r="AA2465" t="s">
        <v>2358</v>
      </c>
      <c r="AB2465" t="s">
        <v>261</v>
      </c>
      <c r="AC2465" t="s">
        <v>152</v>
      </c>
      <c r="AD2465" t="s">
        <v>2278</v>
      </c>
      <c r="AF2465" t="s">
        <v>49</v>
      </c>
      <c r="AK2465" t="s">
        <v>49</v>
      </c>
      <c r="AM2465" t="s">
        <v>306</v>
      </c>
      <c r="AN2465" t="s">
        <v>166</v>
      </c>
      <c r="AP2465" t="s">
        <v>157</v>
      </c>
      <c r="AR2465">
        <v>1</v>
      </c>
    </row>
    <row r="2466" spans="1:45" x14ac:dyDescent="0.2">
      <c r="A2466" t="s">
        <v>1425</v>
      </c>
      <c r="B2466" t="s">
        <v>1426</v>
      </c>
      <c r="C2466" s="1">
        <v>2015</v>
      </c>
      <c r="D2466" t="s">
        <v>44</v>
      </c>
      <c r="F2466" t="s">
        <v>638</v>
      </c>
      <c r="G2466" t="s">
        <v>90</v>
      </c>
      <c r="H2466" t="s">
        <v>350</v>
      </c>
      <c r="I2466">
        <v>2000</v>
      </c>
      <c r="K2466" t="s">
        <v>101</v>
      </c>
      <c r="L2466">
        <v>1</v>
      </c>
      <c r="N2466" t="s">
        <v>127</v>
      </c>
      <c r="O2466" t="s">
        <v>639</v>
      </c>
      <c r="P2466" t="s">
        <v>1427</v>
      </c>
      <c r="Q2466" s="1" t="s">
        <v>2281</v>
      </c>
      <c r="R2466" s="1" t="s">
        <v>2291</v>
      </c>
      <c r="S2466" s="1" t="s">
        <v>2291</v>
      </c>
      <c r="X2466" t="s">
        <v>1428</v>
      </c>
      <c r="Y2466" t="s">
        <v>2279</v>
      </c>
      <c r="Z2466" t="s">
        <v>2280</v>
      </c>
      <c r="AA2466" t="s">
        <v>2286</v>
      </c>
      <c r="AB2466" t="s">
        <v>2287</v>
      </c>
      <c r="AC2466" t="s">
        <v>162</v>
      </c>
      <c r="AD2466" t="s">
        <v>2278</v>
      </c>
      <c r="AF2466" t="s">
        <v>49</v>
      </c>
      <c r="AK2466" t="s">
        <v>49</v>
      </c>
      <c r="AM2466" t="s">
        <v>306</v>
      </c>
      <c r="AN2466" t="s">
        <v>166</v>
      </c>
      <c r="AP2466" t="s">
        <v>51</v>
      </c>
      <c r="AR2466">
        <v>1</v>
      </c>
    </row>
    <row r="2467" spans="1:45" x14ac:dyDescent="0.2">
      <c r="A2467" t="s">
        <v>1425</v>
      </c>
      <c r="B2467" t="s">
        <v>1426</v>
      </c>
      <c r="C2467" s="1">
        <v>2015</v>
      </c>
      <c r="D2467" t="s">
        <v>44</v>
      </c>
      <c r="F2467" t="s">
        <v>638</v>
      </c>
      <c r="G2467" t="s">
        <v>90</v>
      </c>
      <c r="H2467" t="s">
        <v>350</v>
      </c>
      <c r="I2467">
        <v>2000</v>
      </c>
      <c r="K2467" t="s">
        <v>101</v>
      </c>
      <c r="L2467">
        <v>1</v>
      </c>
      <c r="N2467" t="s">
        <v>127</v>
      </c>
      <c r="O2467" t="s">
        <v>639</v>
      </c>
      <c r="P2467" t="s">
        <v>1427</v>
      </c>
      <c r="Q2467" s="1" t="s">
        <v>2281</v>
      </c>
      <c r="R2467" s="1" t="s">
        <v>2291</v>
      </c>
      <c r="S2467" s="1" t="s">
        <v>2291</v>
      </c>
      <c r="X2467" t="s">
        <v>615</v>
      </c>
      <c r="Y2467" t="s">
        <v>2279</v>
      </c>
      <c r="Z2467" t="s">
        <v>2280</v>
      </c>
      <c r="AA2467" t="s">
        <v>2358</v>
      </c>
      <c r="AB2467" t="s">
        <v>261</v>
      </c>
      <c r="AC2467" t="s">
        <v>152</v>
      </c>
      <c r="AD2467" t="s">
        <v>2278</v>
      </c>
      <c r="AF2467" t="s">
        <v>49</v>
      </c>
      <c r="AK2467" t="s">
        <v>49</v>
      </c>
      <c r="AM2467" t="s">
        <v>306</v>
      </c>
      <c r="AN2467" t="s">
        <v>165</v>
      </c>
      <c r="AP2467" t="s">
        <v>49</v>
      </c>
      <c r="AR2467">
        <v>1</v>
      </c>
    </row>
    <row r="2468" spans="1:45" x14ac:dyDescent="0.2">
      <c r="A2468" t="s">
        <v>1425</v>
      </c>
      <c r="B2468" t="s">
        <v>1426</v>
      </c>
      <c r="C2468" s="1">
        <v>2015</v>
      </c>
      <c r="D2468" t="s">
        <v>44</v>
      </c>
      <c r="F2468" t="s">
        <v>638</v>
      </c>
      <c r="G2468" t="s">
        <v>90</v>
      </c>
      <c r="H2468" t="s">
        <v>350</v>
      </c>
      <c r="I2468">
        <v>2000</v>
      </c>
      <c r="K2468" t="s">
        <v>101</v>
      </c>
      <c r="L2468">
        <v>1</v>
      </c>
      <c r="N2468" t="s">
        <v>127</v>
      </c>
      <c r="O2468" t="s">
        <v>639</v>
      </c>
      <c r="P2468" t="s">
        <v>1427</v>
      </c>
      <c r="Q2468" s="1" t="s">
        <v>2281</v>
      </c>
      <c r="R2468" s="1" t="s">
        <v>2291</v>
      </c>
      <c r="S2468" s="1" t="s">
        <v>2291</v>
      </c>
      <c r="X2468" t="s">
        <v>1428</v>
      </c>
      <c r="Y2468" t="s">
        <v>2279</v>
      </c>
      <c r="Z2468" t="s">
        <v>2280</v>
      </c>
      <c r="AA2468" t="s">
        <v>2286</v>
      </c>
      <c r="AB2468" t="s">
        <v>2287</v>
      </c>
      <c r="AC2468" t="s">
        <v>162</v>
      </c>
      <c r="AD2468" t="s">
        <v>2278</v>
      </c>
      <c r="AF2468" t="s">
        <v>49</v>
      </c>
      <c r="AK2468" t="s">
        <v>49</v>
      </c>
      <c r="AM2468" t="s">
        <v>306</v>
      </c>
      <c r="AN2468" t="s">
        <v>165</v>
      </c>
      <c r="AP2468" t="s">
        <v>49</v>
      </c>
      <c r="AR2468">
        <v>1</v>
      </c>
    </row>
    <row r="2469" spans="1:45" x14ac:dyDescent="0.2">
      <c r="A2469" t="s">
        <v>1429</v>
      </c>
      <c r="B2469" t="s">
        <v>387</v>
      </c>
      <c r="C2469" s="1">
        <v>2015</v>
      </c>
      <c r="D2469" t="s">
        <v>44</v>
      </c>
      <c r="F2469" t="s">
        <v>57</v>
      </c>
      <c r="G2469" t="s">
        <v>89</v>
      </c>
      <c r="H2469" t="s">
        <v>96</v>
      </c>
      <c r="I2469" t="s">
        <v>2508</v>
      </c>
      <c r="J2469">
        <v>33</v>
      </c>
      <c r="K2469" t="s">
        <v>109</v>
      </c>
      <c r="M2469">
        <v>0.01</v>
      </c>
      <c r="P2469" t="s">
        <v>2509</v>
      </c>
      <c r="Q2469" s="1" t="s">
        <v>2276</v>
      </c>
      <c r="R2469" s="1" t="s">
        <v>751</v>
      </c>
      <c r="S2469" s="1" t="s">
        <v>2353</v>
      </c>
      <c r="Y2469" t="s">
        <v>2272</v>
      </c>
      <c r="Z2469" t="s">
        <v>2272</v>
      </c>
      <c r="AA2469" t="s">
        <v>2272</v>
      </c>
      <c r="AB2469" t="s">
        <v>2272</v>
      </c>
      <c r="AD2469" t="s">
        <v>2272</v>
      </c>
      <c r="AS2469" t="s">
        <v>2666</v>
      </c>
    </row>
    <row r="2470" spans="1:45" x14ac:dyDescent="0.2">
      <c r="A2470" t="s">
        <v>1429</v>
      </c>
      <c r="B2470" t="s">
        <v>387</v>
      </c>
      <c r="C2470" s="1">
        <v>2015</v>
      </c>
      <c r="D2470" t="s">
        <v>44</v>
      </c>
      <c r="F2470" t="s">
        <v>57</v>
      </c>
      <c r="G2470" t="s">
        <v>89</v>
      </c>
      <c r="H2470" t="s">
        <v>96</v>
      </c>
      <c r="I2470" t="s">
        <v>2508</v>
      </c>
      <c r="J2470">
        <v>33</v>
      </c>
      <c r="K2470" t="s">
        <v>109</v>
      </c>
      <c r="M2470">
        <v>0.01</v>
      </c>
      <c r="P2470" t="s">
        <v>1218</v>
      </c>
      <c r="Q2470" s="1" t="s">
        <v>2276</v>
      </c>
      <c r="R2470" s="1" t="s">
        <v>755</v>
      </c>
      <c r="S2470" s="1" t="s">
        <v>2349</v>
      </c>
      <c r="Y2470" t="s">
        <v>2272</v>
      </c>
      <c r="Z2470" t="s">
        <v>2272</v>
      </c>
      <c r="AA2470" t="s">
        <v>2272</v>
      </c>
      <c r="AB2470" t="s">
        <v>2272</v>
      </c>
      <c r="AD2470" t="s">
        <v>2272</v>
      </c>
      <c r="AS2470" t="s">
        <v>2666</v>
      </c>
    </row>
    <row r="2471" spans="1:45" x14ac:dyDescent="0.2">
      <c r="A2471" t="s">
        <v>1429</v>
      </c>
      <c r="B2471" t="s">
        <v>387</v>
      </c>
      <c r="C2471" s="1">
        <v>2015</v>
      </c>
      <c r="D2471" t="s">
        <v>44</v>
      </c>
      <c r="F2471" t="s">
        <v>57</v>
      </c>
      <c r="G2471" t="s">
        <v>89</v>
      </c>
      <c r="H2471" t="s">
        <v>96</v>
      </c>
      <c r="I2471" t="s">
        <v>2508</v>
      </c>
      <c r="J2471">
        <v>33</v>
      </c>
      <c r="K2471" t="s">
        <v>109</v>
      </c>
      <c r="M2471">
        <v>0.01</v>
      </c>
      <c r="P2471" t="s">
        <v>2510</v>
      </c>
      <c r="Q2471" s="1" t="s">
        <v>2276</v>
      </c>
      <c r="R2471" s="1" t="s">
        <v>751</v>
      </c>
      <c r="S2471" s="1" t="s">
        <v>2353</v>
      </c>
      <c r="Y2471" t="s">
        <v>2272</v>
      </c>
      <c r="Z2471" t="s">
        <v>2272</v>
      </c>
      <c r="AA2471" t="s">
        <v>2272</v>
      </c>
      <c r="AB2471" t="s">
        <v>2272</v>
      </c>
      <c r="AD2471" t="s">
        <v>2272</v>
      </c>
      <c r="AS2471" t="s">
        <v>2666</v>
      </c>
    </row>
    <row r="2472" spans="1:45" x14ac:dyDescent="0.2">
      <c r="A2472" t="s">
        <v>1429</v>
      </c>
      <c r="B2472" t="s">
        <v>387</v>
      </c>
      <c r="C2472" s="1">
        <v>2015</v>
      </c>
      <c r="D2472" t="s">
        <v>44</v>
      </c>
      <c r="F2472" t="s">
        <v>57</v>
      </c>
      <c r="G2472" t="s">
        <v>89</v>
      </c>
      <c r="H2472" t="s">
        <v>96</v>
      </c>
      <c r="I2472" t="s">
        <v>2508</v>
      </c>
      <c r="J2472">
        <v>33</v>
      </c>
      <c r="K2472" t="s">
        <v>109</v>
      </c>
      <c r="M2472">
        <v>0.01</v>
      </c>
      <c r="N2472" t="s">
        <v>127</v>
      </c>
      <c r="O2472" t="s">
        <v>2511</v>
      </c>
      <c r="Q2472" s="1" t="s">
        <v>2351</v>
      </c>
      <c r="R2472" s="1" t="s">
        <v>2351</v>
      </c>
      <c r="S2472" s="1" t="s">
        <v>2351</v>
      </c>
      <c r="Y2472" t="s">
        <v>2272</v>
      </c>
      <c r="Z2472" t="s">
        <v>2272</v>
      </c>
      <c r="AA2472" t="s">
        <v>2272</v>
      </c>
      <c r="AB2472" t="s">
        <v>2272</v>
      </c>
      <c r="AD2472" t="s">
        <v>2272</v>
      </c>
      <c r="AS2472" t="s">
        <v>2666</v>
      </c>
    </row>
    <row r="2473" spans="1:45" x14ac:dyDescent="0.2">
      <c r="A2473" t="s">
        <v>1430</v>
      </c>
      <c r="B2473" t="s">
        <v>403</v>
      </c>
      <c r="C2473" s="1">
        <v>2015</v>
      </c>
      <c r="D2473" t="s">
        <v>44</v>
      </c>
      <c r="F2473" t="s">
        <v>1445</v>
      </c>
      <c r="G2473" t="s">
        <v>86</v>
      </c>
      <c r="H2473" t="s">
        <v>350</v>
      </c>
      <c r="I2473" t="s">
        <v>1535</v>
      </c>
      <c r="J2473">
        <f>9/12</f>
        <v>0.75</v>
      </c>
      <c r="K2473" t="s">
        <v>102</v>
      </c>
      <c r="L2473">
        <v>16</v>
      </c>
      <c r="Q2473" s="1" t="s">
        <v>2351</v>
      </c>
      <c r="R2473" s="1" t="s">
        <v>2351</v>
      </c>
      <c r="S2473" s="1" t="s">
        <v>2351</v>
      </c>
      <c r="Y2473" t="s">
        <v>2272</v>
      </c>
      <c r="Z2473" t="s">
        <v>2272</v>
      </c>
      <c r="AA2473" t="s">
        <v>2272</v>
      </c>
      <c r="AB2473" t="s">
        <v>2272</v>
      </c>
      <c r="AD2473" t="s">
        <v>2272</v>
      </c>
      <c r="AR2473" t="s">
        <v>144</v>
      </c>
      <c r="AS2473" t="s">
        <v>1693</v>
      </c>
    </row>
    <row r="2474" spans="1:45" x14ac:dyDescent="0.2">
      <c r="A2474" t="s">
        <v>1431</v>
      </c>
      <c r="B2474" t="s">
        <v>1432</v>
      </c>
      <c r="C2474" s="1">
        <v>2015</v>
      </c>
      <c r="D2474" t="s">
        <v>44</v>
      </c>
      <c r="F2474" t="s">
        <v>1433</v>
      </c>
      <c r="G2474" t="s">
        <v>1434</v>
      </c>
      <c r="H2474" t="s">
        <v>350</v>
      </c>
      <c r="I2474" t="s">
        <v>1435</v>
      </c>
      <c r="J2474">
        <v>9</v>
      </c>
      <c r="K2474" t="s">
        <v>101</v>
      </c>
      <c r="M2474">
        <v>0</v>
      </c>
      <c r="N2474" t="s">
        <v>127</v>
      </c>
      <c r="O2474" t="s">
        <v>639</v>
      </c>
      <c r="P2474" t="s">
        <v>1437</v>
      </c>
      <c r="Q2474" s="1" t="s">
        <v>2281</v>
      </c>
      <c r="R2474" s="1" t="s">
        <v>2291</v>
      </c>
      <c r="S2474" s="1" t="s">
        <v>2291</v>
      </c>
      <c r="T2474" t="s">
        <v>396</v>
      </c>
      <c r="U2474" s="1" t="s">
        <v>2291</v>
      </c>
      <c r="X2474" t="s">
        <v>161</v>
      </c>
      <c r="Y2474" t="s">
        <v>2272</v>
      </c>
      <c r="Z2474" t="s">
        <v>2272</v>
      </c>
      <c r="AA2474" t="s">
        <v>2272</v>
      </c>
      <c r="AB2474" t="s">
        <v>2272</v>
      </c>
      <c r="AC2474" t="s">
        <v>162</v>
      </c>
      <c r="AD2474" t="s">
        <v>2272</v>
      </c>
      <c r="AF2474" t="s">
        <v>49</v>
      </c>
      <c r="AJ2474" t="s">
        <v>49</v>
      </c>
      <c r="AM2474" t="s">
        <v>1436</v>
      </c>
      <c r="AN2474" t="s">
        <v>154</v>
      </c>
      <c r="AQ2474" s="5">
        <v>1</v>
      </c>
    </row>
    <row r="2475" spans="1:45" x14ac:dyDescent="0.2">
      <c r="A2475" t="s">
        <v>1431</v>
      </c>
      <c r="B2475" t="s">
        <v>1432</v>
      </c>
      <c r="C2475" s="1">
        <v>2015</v>
      </c>
      <c r="D2475" t="s">
        <v>44</v>
      </c>
      <c r="F2475" t="s">
        <v>1433</v>
      </c>
      <c r="G2475" t="s">
        <v>1434</v>
      </c>
      <c r="H2475" t="s">
        <v>350</v>
      </c>
      <c r="I2475" t="s">
        <v>1435</v>
      </c>
      <c r="J2475">
        <v>9</v>
      </c>
      <c r="K2475" t="s">
        <v>101</v>
      </c>
      <c r="M2475">
        <v>0</v>
      </c>
      <c r="N2475" t="s">
        <v>127</v>
      </c>
      <c r="O2475" t="s">
        <v>639</v>
      </c>
      <c r="P2475" t="s">
        <v>1438</v>
      </c>
      <c r="Q2475" s="1" t="s">
        <v>2281</v>
      </c>
      <c r="R2475" s="1" t="s">
        <v>2291</v>
      </c>
      <c r="S2475" s="1" t="s">
        <v>2291</v>
      </c>
      <c r="T2475" t="s">
        <v>396</v>
      </c>
      <c r="U2475" s="1" t="s">
        <v>2291</v>
      </c>
      <c r="X2475" t="s">
        <v>161</v>
      </c>
      <c r="Y2475" t="s">
        <v>2272</v>
      </c>
      <c r="Z2475" t="s">
        <v>2272</v>
      </c>
      <c r="AA2475" t="s">
        <v>2272</v>
      </c>
      <c r="AB2475" t="s">
        <v>2272</v>
      </c>
      <c r="AC2475" t="s">
        <v>162</v>
      </c>
      <c r="AD2475" t="s">
        <v>2272</v>
      </c>
      <c r="AF2475" t="s">
        <v>49</v>
      </c>
      <c r="AJ2475" t="s">
        <v>49</v>
      </c>
      <c r="AM2475" t="s">
        <v>1436</v>
      </c>
      <c r="AN2475" t="s">
        <v>154</v>
      </c>
      <c r="AQ2475" s="5">
        <v>3</v>
      </c>
    </row>
    <row r="2476" spans="1:45" x14ac:dyDescent="0.2">
      <c r="A2476" t="s">
        <v>1431</v>
      </c>
      <c r="B2476" t="s">
        <v>1432</v>
      </c>
      <c r="C2476" s="1">
        <v>2015</v>
      </c>
      <c r="D2476" t="s">
        <v>44</v>
      </c>
      <c r="F2476" t="s">
        <v>1433</v>
      </c>
      <c r="G2476" t="s">
        <v>1434</v>
      </c>
      <c r="H2476" t="s">
        <v>350</v>
      </c>
      <c r="I2476" t="s">
        <v>1435</v>
      </c>
      <c r="J2476">
        <v>9</v>
      </c>
      <c r="K2476" t="s">
        <v>101</v>
      </c>
      <c r="M2476">
        <v>0</v>
      </c>
      <c r="N2476" t="s">
        <v>127</v>
      </c>
      <c r="O2476" t="s">
        <v>639</v>
      </c>
      <c r="P2476" t="s">
        <v>1439</v>
      </c>
      <c r="Q2476" s="1" t="s">
        <v>2281</v>
      </c>
      <c r="R2476" s="1" t="s">
        <v>2291</v>
      </c>
      <c r="S2476" s="1" t="s">
        <v>2291</v>
      </c>
      <c r="T2476" t="s">
        <v>396</v>
      </c>
      <c r="U2476" s="1" t="s">
        <v>2291</v>
      </c>
      <c r="X2476" t="s">
        <v>161</v>
      </c>
      <c r="Y2476" t="s">
        <v>2272</v>
      </c>
      <c r="Z2476" t="s">
        <v>2272</v>
      </c>
      <c r="AA2476" t="s">
        <v>2272</v>
      </c>
      <c r="AB2476" t="s">
        <v>2272</v>
      </c>
      <c r="AC2476" t="s">
        <v>162</v>
      </c>
      <c r="AD2476" t="s">
        <v>2272</v>
      </c>
      <c r="AF2476" t="s">
        <v>49</v>
      </c>
      <c r="AJ2476" t="s">
        <v>49</v>
      </c>
      <c r="AM2476" t="s">
        <v>1436</v>
      </c>
      <c r="AN2476" t="s">
        <v>154</v>
      </c>
      <c r="AQ2476" s="5">
        <v>2</v>
      </c>
    </row>
    <row r="2477" spans="1:45" x14ac:dyDescent="0.2">
      <c r="A2477" t="s">
        <v>1431</v>
      </c>
      <c r="B2477" t="s">
        <v>1432</v>
      </c>
      <c r="C2477" s="1">
        <v>2015</v>
      </c>
      <c r="D2477" t="s">
        <v>44</v>
      </c>
      <c r="F2477" t="s">
        <v>1433</v>
      </c>
      <c r="G2477" t="s">
        <v>1434</v>
      </c>
      <c r="H2477" t="s">
        <v>350</v>
      </c>
      <c r="I2477" t="s">
        <v>1435</v>
      </c>
      <c r="J2477">
        <v>9</v>
      </c>
      <c r="K2477" t="s">
        <v>101</v>
      </c>
      <c r="M2477">
        <v>0</v>
      </c>
      <c r="N2477" t="s">
        <v>127</v>
      </c>
      <c r="O2477" t="s">
        <v>639</v>
      </c>
      <c r="P2477" t="s">
        <v>1437</v>
      </c>
      <c r="Q2477" s="1" t="s">
        <v>2281</v>
      </c>
      <c r="R2477" s="1" t="s">
        <v>2291</v>
      </c>
      <c r="S2477" s="1" t="s">
        <v>2291</v>
      </c>
      <c r="T2477" t="s">
        <v>396</v>
      </c>
      <c r="U2477" s="1" t="s">
        <v>2291</v>
      </c>
      <c r="X2477" t="s">
        <v>161</v>
      </c>
      <c r="Y2477" t="s">
        <v>2272</v>
      </c>
      <c r="Z2477" t="s">
        <v>2272</v>
      </c>
      <c r="AA2477" t="s">
        <v>2272</v>
      </c>
      <c r="AB2477" t="s">
        <v>2272</v>
      </c>
      <c r="AC2477" t="s">
        <v>162</v>
      </c>
      <c r="AD2477" t="s">
        <v>2272</v>
      </c>
      <c r="AF2477" t="s">
        <v>49</v>
      </c>
      <c r="AJ2477" t="s">
        <v>49</v>
      </c>
      <c r="AM2477" t="s">
        <v>1436</v>
      </c>
      <c r="AN2477" t="s">
        <v>166</v>
      </c>
      <c r="AQ2477" s="5">
        <v>2</v>
      </c>
    </row>
    <row r="2478" spans="1:45" x14ac:dyDescent="0.2">
      <c r="A2478" t="s">
        <v>1431</v>
      </c>
      <c r="B2478" t="s">
        <v>1432</v>
      </c>
      <c r="C2478" s="1">
        <v>2015</v>
      </c>
      <c r="D2478" t="s">
        <v>44</v>
      </c>
      <c r="F2478" t="s">
        <v>1433</v>
      </c>
      <c r="G2478" t="s">
        <v>1434</v>
      </c>
      <c r="H2478" t="s">
        <v>350</v>
      </c>
      <c r="I2478" t="s">
        <v>1435</v>
      </c>
      <c r="J2478">
        <v>9</v>
      </c>
      <c r="K2478" t="s">
        <v>101</v>
      </c>
      <c r="M2478">
        <v>0</v>
      </c>
      <c r="N2478" t="s">
        <v>127</v>
      </c>
      <c r="O2478" t="s">
        <v>639</v>
      </c>
      <c r="P2478" t="s">
        <v>1438</v>
      </c>
      <c r="Q2478" s="1" t="s">
        <v>2281</v>
      </c>
      <c r="R2478" s="1" t="s">
        <v>2291</v>
      </c>
      <c r="S2478" s="1" t="s">
        <v>2291</v>
      </c>
      <c r="T2478" t="s">
        <v>396</v>
      </c>
      <c r="U2478" s="1" t="s">
        <v>2291</v>
      </c>
      <c r="X2478" t="s">
        <v>161</v>
      </c>
      <c r="Y2478" t="s">
        <v>2272</v>
      </c>
      <c r="Z2478" t="s">
        <v>2272</v>
      </c>
      <c r="AA2478" t="s">
        <v>2272</v>
      </c>
      <c r="AB2478" t="s">
        <v>2272</v>
      </c>
      <c r="AC2478" t="s">
        <v>162</v>
      </c>
      <c r="AD2478" t="s">
        <v>2272</v>
      </c>
      <c r="AF2478" t="s">
        <v>49</v>
      </c>
      <c r="AJ2478" t="s">
        <v>49</v>
      </c>
      <c r="AM2478" t="s">
        <v>1436</v>
      </c>
      <c r="AN2478" t="s">
        <v>166</v>
      </c>
      <c r="AQ2478" s="5">
        <v>1</v>
      </c>
    </row>
    <row r="2479" spans="1:45" x14ac:dyDescent="0.2">
      <c r="A2479" t="s">
        <v>1431</v>
      </c>
      <c r="B2479" t="s">
        <v>1432</v>
      </c>
      <c r="C2479" s="1">
        <v>2015</v>
      </c>
      <c r="D2479" t="s">
        <v>44</v>
      </c>
      <c r="F2479" t="s">
        <v>1433</v>
      </c>
      <c r="G2479" t="s">
        <v>1434</v>
      </c>
      <c r="H2479" t="s">
        <v>350</v>
      </c>
      <c r="I2479" t="s">
        <v>1435</v>
      </c>
      <c r="J2479">
        <v>9</v>
      </c>
      <c r="K2479" t="s">
        <v>101</v>
      </c>
      <c r="M2479">
        <v>0</v>
      </c>
      <c r="N2479" t="s">
        <v>127</v>
      </c>
      <c r="O2479" t="s">
        <v>639</v>
      </c>
      <c r="P2479" t="s">
        <v>1439</v>
      </c>
      <c r="Q2479" s="1" t="s">
        <v>2281</v>
      </c>
      <c r="R2479" s="1" t="s">
        <v>2291</v>
      </c>
      <c r="S2479" s="1" t="s">
        <v>2291</v>
      </c>
      <c r="T2479" t="s">
        <v>396</v>
      </c>
      <c r="U2479" s="1" t="s">
        <v>2291</v>
      </c>
      <c r="X2479" t="s">
        <v>161</v>
      </c>
      <c r="Y2479" t="s">
        <v>2272</v>
      </c>
      <c r="Z2479" t="s">
        <v>2272</v>
      </c>
      <c r="AA2479" t="s">
        <v>2272</v>
      </c>
      <c r="AB2479" t="s">
        <v>2272</v>
      </c>
      <c r="AC2479" t="s">
        <v>162</v>
      </c>
      <c r="AD2479" t="s">
        <v>2272</v>
      </c>
      <c r="AF2479" t="s">
        <v>49</v>
      </c>
      <c r="AJ2479" t="s">
        <v>49</v>
      </c>
      <c r="AM2479" t="s">
        <v>1436</v>
      </c>
      <c r="AN2479" t="s">
        <v>166</v>
      </c>
      <c r="AQ2479" s="5">
        <v>2</v>
      </c>
    </row>
    <row r="2480" spans="1:45" x14ac:dyDescent="0.2">
      <c r="A2480" t="s">
        <v>1431</v>
      </c>
      <c r="B2480" t="s">
        <v>1432</v>
      </c>
      <c r="C2480" s="1">
        <v>2015</v>
      </c>
      <c r="D2480" t="s">
        <v>44</v>
      </c>
      <c r="F2480" t="s">
        <v>1433</v>
      </c>
      <c r="G2480" t="s">
        <v>1434</v>
      </c>
      <c r="H2480" t="s">
        <v>350</v>
      </c>
      <c r="I2480" t="s">
        <v>1435</v>
      </c>
      <c r="J2480">
        <v>9</v>
      </c>
      <c r="K2480" t="s">
        <v>101</v>
      </c>
      <c r="M2480">
        <v>0</v>
      </c>
      <c r="N2480" t="s">
        <v>127</v>
      </c>
      <c r="O2480" t="s">
        <v>639</v>
      </c>
      <c r="P2480" t="s">
        <v>1437</v>
      </c>
      <c r="Q2480" s="1" t="s">
        <v>2281</v>
      </c>
      <c r="R2480" s="1" t="s">
        <v>2291</v>
      </c>
      <c r="S2480" s="1" t="s">
        <v>2291</v>
      </c>
      <c r="X2480" t="s">
        <v>1440</v>
      </c>
      <c r="Y2480" t="s">
        <v>2273</v>
      </c>
      <c r="Z2480" t="s">
        <v>249</v>
      </c>
      <c r="AA2480" t="s">
        <v>2274</v>
      </c>
      <c r="AB2480" t="s">
        <v>2298</v>
      </c>
      <c r="AC2480" t="s">
        <v>152</v>
      </c>
      <c r="AD2480" t="s">
        <v>137</v>
      </c>
      <c r="AF2480" t="s">
        <v>49</v>
      </c>
      <c r="AJ2480" t="s">
        <v>49</v>
      </c>
      <c r="AM2480" t="s">
        <v>1436</v>
      </c>
      <c r="AN2480" t="s">
        <v>166</v>
      </c>
      <c r="AP2480" t="s">
        <v>157</v>
      </c>
    </row>
    <row r="2481" spans="1:45" x14ac:dyDescent="0.2">
      <c r="A2481" t="s">
        <v>1431</v>
      </c>
      <c r="B2481" t="s">
        <v>1432</v>
      </c>
      <c r="C2481" s="1">
        <v>2015</v>
      </c>
      <c r="D2481" t="s">
        <v>44</v>
      </c>
      <c r="F2481" t="s">
        <v>1433</v>
      </c>
      <c r="G2481" t="s">
        <v>1434</v>
      </c>
      <c r="H2481" t="s">
        <v>350</v>
      </c>
      <c r="I2481" t="s">
        <v>1435</v>
      </c>
      <c r="J2481">
        <v>9</v>
      </c>
      <c r="K2481" t="s">
        <v>101</v>
      </c>
      <c r="M2481">
        <v>0</v>
      </c>
      <c r="N2481" t="s">
        <v>127</v>
      </c>
      <c r="O2481" t="s">
        <v>639</v>
      </c>
      <c r="P2481" t="s">
        <v>1438</v>
      </c>
      <c r="Q2481" s="1" t="s">
        <v>2281</v>
      </c>
      <c r="R2481" s="1" t="s">
        <v>2291</v>
      </c>
      <c r="S2481" s="1" t="s">
        <v>2291</v>
      </c>
      <c r="X2481" t="s">
        <v>1440</v>
      </c>
      <c r="Y2481" t="s">
        <v>2273</v>
      </c>
      <c r="Z2481" t="s">
        <v>249</v>
      </c>
      <c r="AA2481" t="s">
        <v>2274</v>
      </c>
      <c r="AB2481" t="s">
        <v>2298</v>
      </c>
      <c r="AC2481" t="s">
        <v>152</v>
      </c>
      <c r="AD2481" t="s">
        <v>137</v>
      </c>
      <c r="AF2481" t="s">
        <v>49</v>
      </c>
      <c r="AJ2481" t="s">
        <v>49</v>
      </c>
      <c r="AM2481" t="s">
        <v>1436</v>
      </c>
      <c r="AN2481" t="s">
        <v>166</v>
      </c>
      <c r="AP2481" t="s">
        <v>51</v>
      </c>
    </row>
    <row r="2482" spans="1:45" x14ac:dyDescent="0.2">
      <c r="A2482" t="s">
        <v>1431</v>
      </c>
      <c r="B2482" t="s">
        <v>1432</v>
      </c>
      <c r="C2482" s="1">
        <v>2015</v>
      </c>
      <c r="D2482" t="s">
        <v>44</v>
      </c>
      <c r="F2482" t="s">
        <v>1433</v>
      </c>
      <c r="G2482" t="s">
        <v>1434</v>
      </c>
      <c r="H2482" t="s">
        <v>350</v>
      </c>
      <c r="I2482" t="s">
        <v>1435</v>
      </c>
      <c r="J2482">
        <v>9</v>
      </c>
      <c r="K2482" t="s">
        <v>101</v>
      </c>
      <c r="M2482">
        <v>0</v>
      </c>
      <c r="N2482" t="s">
        <v>127</v>
      </c>
      <c r="O2482" t="s">
        <v>639</v>
      </c>
      <c r="P2482" t="s">
        <v>1439</v>
      </c>
      <c r="Q2482" s="1" t="s">
        <v>2281</v>
      </c>
      <c r="R2482" s="1" t="s">
        <v>2291</v>
      </c>
      <c r="S2482" s="1" t="s">
        <v>2291</v>
      </c>
      <c r="X2482" t="s">
        <v>1440</v>
      </c>
      <c r="Y2482" t="s">
        <v>2273</v>
      </c>
      <c r="Z2482" t="s">
        <v>249</v>
      </c>
      <c r="AA2482" t="s">
        <v>2274</v>
      </c>
      <c r="AB2482" t="s">
        <v>2298</v>
      </c>
      <c r="AC2482" t="s">
        <v>152</v>
      </c>
      <c r="AD2482" t="s">
        <v>137</v>
      </c>
      <c r="AF2482" t="s">
        <v>49</v>
      </c>
      <c r="AJ2482" t="s">
        <v>49</v>
      </c>
      <c r="AM2482" t="s">
        <v>1436</v>
      </c>
      <c r="AN2482" t="s">
        <v>166</v>
      </c>
      <c r="AP2482" t="s">
        <v>51</v>
      </c>
    </row>
    <row r="2483" spans="1:45" x14ac:dyDescent="0.2">
      <c r="A2483" t="s">
        <v>1441</v>
      </c>
      <c r="B2483" t="s">
        <v>1442</v>
      </c>
      <c r="C2483" s="1">
        <v>2015</v>
      </c>
      <c r="Q2483" s="1" t="s">
        <v>2272</v>
      </c>
      <c r="R2483" s="1" t="s">
        <v>2272</v>
      </c>
      <c r="S2483" s="1" t="s">
        <v>2272</v>
      </c>
      <c r="Y2483" t="s">
        <v>2272</v>
      </c>
      <c r="Z2483" t="s">
        <v>2272</v>
      </c>
      <c r="AA2483" t="s">
        <v>2272</v>
      </c>
      <c r="AB2483" t="s">
        <v>2272</v>
      </c>
      <c r="AD2483" t="s">
        <v>2272</v>
      </c>
      <c r="AR2483" t="s">
        <v>144</v>
      </c>
      <c r="AS2483" t="s">
        <v>2583</v>
      </c>
    </row>
    <row r="2484" spans="1:45" x14ac:dyDescent="0.2">
      <c r="A2484" t="s">
        <v>1443</v>
      </c>
      <c r="B2484" t="s">
        <v>1444</v>
      </c>
      <c r="C2484" s="1">
        <v>2015</v>
      </c>
      <c r="D2484" t="s">
        <v>811</v>
      </c>
      <c r="F2484" t="s">
        <v>1445</v>
      </c>
      <c r="G2484" t="s">
        <v>86</v>
      </c>
      <c r="H2484" t="s">
        <v>96</v>
      </c>
      <c r="J2484">
        <v>0.17</v>
      </c>
      <c r="K2484" t="s">
        <v>109</v>
      </c>
      <c r="M2484">
        <v>4.4999999999999997E-3</v>
      </c>
      <c r="N2484" t="s">
        <v>1293</v>
      </c>
      <c r="O2484" t="s">
        <v>1447</v>
      </c>
      <c r="P2484" t="s">
        <v>1446</v>
      </c>
      <c r="Q2484" s="1" t="s">
        <v>2281</v>
      </c>
      <c r="R2484" s="1" t="s">
        <v>2282</v>
      </c>
      <c r="S2484" s="1" t="s">
        <v>2304</v>
      </c>
      <c r="X2484" t="s">
        <v>293</v>
      </c>
      <c r="Y2484" t="s">
        <v>2273</v>
      </c>
      <c r="Z2484" t="s">
        <v>249</v>
      </c>
      <c r="AA2484" t="s">
        <v>2359</v>
      </c>
      <c r="AB2484" t="s">
        <v>1419</v>
      </c>
      <c r="AC2484" t="s">
        <v>152</v>
      </c>
      <c r="AD2484" t="s">
        <v>137</v>
      </c>
      <c r="AG2484" t="s">
        <v>49</v>
      </c>
    </row>
    <row r="2485" spans="1:45" x14ac:dyDescent="0.2">
      <c r="A2485" t="s">
        <v>2458</v>
      </c>
      <c r="B2485" t="s">
        <v>1444</v>
      </c>
      <c r="C2485" s="1">
        <v>2015</v>
      </c>
      <c r="D2485" t="s">
        <v>811</v>
      </c>
      <c r="F2485" t="s">
        <v>1445</v>
      </c>
      <c r="G2485" t="s">
        <v>86</v>
      </c>
      <c r="H2485" t="s">
        <v>96</v>
      </c>
      <c r="J2485">
        <v>0.17</v>
      </c>
      <c r="K2485" t="s">
        <v>109</v>
      </c>
      <c r="M2485">
        <v>4.4999999999999997E-3</v>
      </c>
      <c r="N2485" t="s">
        <v>1293</v>
      </c>
      <c r="O2485" t="s">
        <v>1447</v>
      </c>
      <c r="P2485" t="s">
        <v>1446</v>
      </c>
      <c r="Q2485" s="1" t="s">
        <v>2281</v>
      </c>
      <c r="R2485" s="1" t="s">
        <v>2282</v>
      </c>
      <c r="S2485" s="1" t="s">
        <v>2304</v>
      </c>
      <c r="T2485" t="s">
        <v>421</v>
      </c>
      <c r="U2485" t="s">
        <v>421</v>
      </c>
      <c r="X2485" t="s">
        <v>1448</v>
      </c>
      <c r="Y2485" t="s">
        <v>2272</v>
      </c>
      <c r="Z2485" t="s">
        <v>2272</v>
      </c>
      <c r="AA2485" t="s">
        <v>2272</v>
      </c>
      <c r="AB2485" t="s">
        <v>2272</v>
      </c>
      <c r="AC2485" t="s">
        <v>162</v>
      </c>
      <c r="AD2485" t="s">
        <v>2272</v>
      </c>
      <c r="AG2485" t="s">
        <v>49</v>
      </c>
      <c r="AI2485" t="s">
        <v>49</v>
      </c>
      <c r="AM2485" t="s">
        <v>1449</v>
      </c>
      <c r="AN2485" t="s">
        <v>166</v>
      </c>
      <c r="AQ2485" s="5">
        <v>1</v>
      </c>
    </row>
    <row r="2486" spans="1:45" x14ac:dyDescent="0.2">
      <c r="A2486" t="s">
        <v>1443</v>
      </c>
      <c r="B2486" t="s">
        <v>1444</v>
      </c>
      <c r="C2486" s="1">
        <v>2015</v>
      </c>
      <c r="D2486" t="s">
        <v>811</v>
      </c>
      <c r="F2486" t="s">
        <v>1445</v>
      </c>
      <c r="G2486" t="s">
        <v>86</v>
      </c>
      <c r="H2486" t="s">
        <v>96</v>
      </c>
      <c r="J2486">
        <v>0.17</v>
      </c>
      <c r="K2486" t="s">
        <v>109</v>
      </c>
      <c r="M2486">
        <v>4.4999999999999997E-3</v>
      </c>
      <c r="N2486" t="s">
        <v>1293</v>
      </c>
      <c r="O2486" t="s">
        <v>1447</v>
      </c>
      <c r="P2486" t="s">
        <v>1446</v>
      </c>
      <c r="Q2486" s="1" t="s">
        <v>2281</v>
      </c>
      <c r="R2486" s="1" t="s">
        <v>2282</v>
      </c>
      <c r="S2486" s="1" t="s">
        <v>2304</v>
      </c>
      <c r="T2486" t="s">
        <v>421</v>
      </c>
      <c r="U2486" t="s">
        <v>421</v>
      </c>
      <c r="X2486" t="s">
        <v>1448</v>
      </c>
      <c r="Y2486" t="s">
        <v>2272</v>
      </c>
      <c r="Z2486" t="s">
        <v>2272</v>
      </c>
      <c r="AA2486" t="s">
        <v>2272</v>
      </c>
      <c r="AB2486" t="s">
        <v>2272</v>
      </c>
      <c r="AC2486" t="s">
        <v>162</v>
      </c>
      <c r="AD2486" t="s">
        <v>2272</v>
      </c>
      <c r="AG2486" t="s">
        <v>49</v>
      </c>
      <c r="AI2486" t="s">
        <v>49</v>
      </c>
      <c r="AM2486" t="s">
        <v>1449</v>
      </c>
      <c r="AN2486" t="s">
        <v>171</v>
      </c>
      <c r="AQ2486" s="5">
        <v>1</v>
      </c>
    </row>
    <row r="2487" spans="1:45" x14ac:dyDescent="0.2">
      <c r="A2487" t="s">
        <v>1443</v>
      </c>
      <c r="B2487" t="s">
        <v>1444</v>
      </c>
      <c r="C2487" s="1">
        <v>2015</v>
      </c>
      <c r="D2487" t="s">
        <v>811</v>
      </c>
      <c r="F2487" t="s">
        <v>1445</v>
      </c>
      <c r="G2487" t="s">
        <v>86</v>
      </c>
      <c r="H2487" t="s">
        <v>96</v>
      </c>
      <c r="J2487">
        <v>0.17</v>
      </c>
      <c r="K2487" t="s">
        <v>109</v>
      </c>
      <c r="M2487">
        <v>4.4999999999999997E-3</v>
      </c>
      <c r="N2487" t="s">
        <v>1293</v>
      </c>
      <c r="O2487" t="s">
        <v>1447</v>
      </c>
      <c r="P2487" t="s">
        <v>1446</v>
      </c>
      <c r="Q2487" s="1" t="s">
        <v>2281</v>
      </c>
      <c r="R2487" s="1" t="s">
        <v>2282</v>
      </c>
      <c r="S2487" s="1" t="s">
        <v>2304</v>
      </c>
      <c r="T2487" t="s">
        <v>421</v>
      </c>
      <c r="U2487" t="s">
        <v>421</v>
      </c>
      <c r="X2487" t="s">
        <v>1448</v>
      </c>
      <c r="Y2487" t="s">
        <v>2272</v>
      </c>
      <c r="Z2487" t="s">
        <v>2272</v>
      </c>
      <c r="AA2487" t="s">
        <v>2272</v>
      </c>
      <c r="AB2487" t="s">
        <v>2272</v>
      </c>
      <c r="AC2487" t="s">
        <v>162</v>
      </c>
      <c r="AD2487" t="s">
        <v>2272</v>
      </c>
      <c r="AG2487" t="s">
        <v>49</v>
      </c>
      <c r="AI2487" t="s">
        <v>49</v>
      </c>
      <c r="AM2487" t="s">
        <v>1449</v>
      </c>
      <c r="AN2487" t="s">
        <v>154</v>
      </c>
      <c r="AQ2487" s="5">
        <v>1</v>
      </c>
    </row>
    <row r="2488" spans="1:45" x14ac:dyDescent="0.2">
      <c r="A2488" t="s">
        <v>1443</v>
      </c>
      <c r="B2488" t="s">
        <v>1444</v>
      </c>
      <c r="C2488" s="1">
        <v>2015</v>
      </c>
      <c r="D2488" t="s">
        <v>811</v>
      </c>
      <c r="F2488" t="s">
        <v>1445</v>
      </c>
      <c r="G2488" t="s">
        <v>86</v>
      </c>
      <c r="H2488" t="s">
        <v>96</v>
      </c>
      <c r="J2488">
        <v>0.17</v>
      </c>
      <c r="K2488" t="s">
        <v>109</v>
      </c>
      <c r="M2488">
        <v>4.4999999999999997E-3</v>
      </c>
      <c r="N2488" t="s">
        <v>1293</v>
      </c>
      <c r="O2488" t="s">
        <v>1447</v>
      </c>
      <c r="P2488" t="s">
        <v>1446</v>
      </c>
      <c r="Q2488" s="1" t="s">
        <v>2281</v>
      </c>
      <c r="R2488" s="1" t="s">
        <v>2282</v>
      </c>
      <c r="S2488" s="1" t="s">
        <v>2304</v>
      </c>
      <c r="T2488" t="s">
        <v>421</v>
      </c>
      <c r="U2488" t="s">
        <v>421</v>
      </c>
      <c r="X2488" t="s">
        <v>1448</v>
      </c>
      <c r="Y2488" t="s">
        <v>2272</v>
      </c>
      <c r="Z2488" t="s">
        <v>2272</v>
      </c>
      <c r="AA2488" t="s">
        <v>2272</v>
      </c>
      <c r="AB2488" t="s">
        <v>2272</v>
      </c>
      <c r="AC2488" t="s">
        <v>162</v>
      </c>
      <c r="AD2488" t="s">
        <v>2272</v>
      </c>
      <c r="AG2488" t="s">
        <v>49</v>
      </c>
      <c r="AK2488" t="s">
        <v>49</v>
      </c>
      <c r="AM2488" t="s">
        <v>1450</v>
      </c>
      <c r="AN2488" t="s">
        <v>166</v>
      </c>
      <c r="AQ2488" s="5">
        <v>1</v>
      </c>
    </row>
    <row r="2489" spans="1:45" x14ac:dyDescent="0.2">
      <c r="A2489" t="s">
        <v>1443</v>
      </c>
      <c r="B2489" t="s">
        <v>1444</v>
      </c>
      <c r="C2489" s="1">
        <v>2015</v>
      </c>
      <c r="D2489" t="s">
        <v>811</v>
      </c>
      <c r="F2489" t="s">
        <v>1445</v>
      </c>
      <c r="G2489" t="s">
        <v>86</v>
      </c>
      <c r="H2489" t="s">
        <v>96</v>
      </c>
      <c r="J2489">
        <v>0.17</v>
      </c>
      <c r="K2489" t="s">
        <v>109</v>
      </c>
      <c r="M2489">
        <v>4.4999999999999997E-3</v>
      </c>
      <c r="N2489" t="s">
        <v>1293</v>
      </c>
      <c r="O2489" t="s">
        <v>1447</v>
      </c>
      <c r="P2489" t="s">
        <v>1446</v>
      </c>
      <c r="Q2489" s="1" t="s">
        <v>2281</v>
      </c>
      <c r="R2489" s="1" t="s">
        <v>2282</v>
      </c>
      <c r="S2489" s="1" t="s">
        <v>2304</v>
      </c>
      <c r="T2489" t="s">
        <v>421</v>
      </c>
      <c r="U2489" t="s">
        <v>421</v>
      </c>
      <c r="X2489" t="s">
        <v>1448</v>
      </c>
      <c r="Y2489" t="s">
        <v>2272</v>
      </c>
      <c r="Z2489" t="s">
        <v>2272</v>
      </c>
      <c r="AA2489" t="s">
        <v>2272</v>
      </c>
      <c r="AB2489" t="s">
        <v>2272</v>
      </c>
      <c r="AC2489" t="s">
        <v>162</v>
      </c>
      <c r="AD2489" t="s">
        <v>2272</v>
      </c>
      <c r="AG2489" t="s">
        <v>49</v>
      </c>
      <c r="AK2489" t="s">
        <v>49</v>
      </c>
      <c r="AM2489" t="s">
        <v>1450</v>
      </c>
      <c r="AN2489" t="s">
        <v>171</v>
      </c>
      <c r="AQ2489" s="5">
        <v>0</v>
      </c>
    </row>
    <row r="2490" spans="1:45" x14ac:dyDescent="0.2">
      <c r="A2490" t="s">
        <v>1443</v>
      </c>
      <c r="B2490" t="s">
        <v>1444</v>
      </c>
      <c r="C2490" s="1">
        <v>2015</v>
      </c>
      <c r="D2490" t="s">
        <v>811</v>
      </c>
      <c r="F2490" t="s">
        <v>1445</v>
      </c>
      <c r="G2490" t="s">
        <v>86</v>
      </c>
      <c r="H2490" t="s">
        <v>96</v>
      </c>
      <c r="J2490">
        <v>0.17</v>
      </c>
      <c r="K2490" t="s">
        <v>109</v>
      </c>
      <c r="M2490">
        <v>4.4999999999999997E-3</v>
      </c>
      <c r="N2490" t="s">
        <v>1293</v>
      </c>
      <c r="O2490" t="s">
        <v>1447</v>
      </c>
      <c r="P2490" t="s">
        <v>1446</v>
      </c>
      <c r="Q2490" s="1" t="s">
        <v>2281</v>
      </c>
      <c r="R2490" s="1" t="s">
        <v>2282</v>
      </c>
      <c r="S2490" s="1" t="s">
        <v>2304</v>
      </c>
      <c r="T2490" t="s">
        <v>421</v>
      </c>
      <c r="U2490" t="s">
        <v>421</v>
      </c>
      <c r="X2490" t="s">
        <v>1448</v>
      </c>
      <c r="Y2490" t="s">
        <v>2272</v>
      </c>
      <c r="Z2490" t="s">
        <v>2272</v>
      </c>
      <c r="AA2490" t="s">
        <v>2272</v>
      </c>
      <c r="AB2490" t="s">
        <v>2272</v>
      </c>
      <c r="AC2490" t="s">
        <v>162</v>
      </c>
      <c r="AD2490" t="s">
        <v>2272</v>
      </c>
      <c r="AG2490" t="s">
        <v>49</v>
      </c>
      <c r="AK2490" t="s">
        <v>49</v>
      </c>
      <c r="AM2490" t="s">
        <v>609</v>
      </c>
      <c r="AN2490" t="s">
        <v>166</v>
      </c>
      <c r="AQ2490" s="5">
        <v>0</v>
      </c>
    </row>
    <row r="2491" spans="1:45" x14ac:dyDescent="0.2">
      <c r="A2491" t="s">
        <v>1443</v>
      </c>
      <c r="B2491" t="s">
        <v>1444</v>
      </c>
      <c r="C2491" s="1">
        <v>2015</v>
      </c>
      <c r="D2491" t="s">
        <v>811</v>
      </c>
      <c r="F2491" t="s">
        <v>1445</v>
      </c>
      <c r="G2491" t="s">
        <v>86</v>
      </c>
      <c r="H2491" t="s">
        <v>96</v>
      </c>
      <c r="J2491">
        <v>0.17</v>
      </c>
      <c r="K2491" t="s">
        <v>109</v>
      </c>
      <c r="M2491">
        <v>4.4999999999999997E-3</v>
      </c>
      <c r="N2491" t="s">
        <v>1293</v>
      </c>
      <c r="O2491" t="s">
        <v>1447</v>
      </c>
      <c r="P2491" t="s">
        <v>1446</v>
      </c>
      <c r="Q2491" s="1" t="s">
        <v>2281</v>
      </c>
      <c r="R2491" s="1" t="s">
        <v>2282</v>
      </c>
      <c r="S2491" s="1" t="s">
        <v>2304</v>
      </c>
      <c r="T2491" t="s">
        <v>421</v>
      </c>
      <c r="U2491" t="s">
        <v>421</v>
      </c>
      <c r="X2491" t="s">
        <v>1448</v>
      </c>
      <c r="Y2491" t="s">
        <v>2272</v>
      </c>
      <c r="Z2491" t="s">
        <v>2272</v>
      </c>
      <c r="AA2491" t="s">
        <v>2272</v>
      </c>
      <c r="AB2491" t="s">
        <v>2272</v>
      </c>
      <c r="AC2491" t="s">
        <v>162</v>
      </c>
      <c r="AD2491" t="s">
        <v>2272</v>
      </c>
      <c r="AG2491" t="s">
        <v>49</v>
      </c>
      <c r="AK2491" t="s">
        <v>49</v>
      </c>
      <c r="AM2491" t="s">
        <v>609</v>
      </c>
      <c r="AN2491" t="s">
        <v>171</v>
      </c>
      <c r="AQ2491" s="5">
        <v>1</v>
      </c>
    </row>
    <row r="2492" spans="1:45" x14ac:dyDescent="0.2">
      <c r="A2492" t="s">
        <v>1443</v>
      </c>
      <c r="B2492" t="s">
        <v>1444</v>
      </c>
      <c r="C2492" s="1">
        <v>2015</v>
      </c>
      <c r="D2492" t="s">
        <v>811</v>
      </c>
      <c r="F2492" t="s">
        <v>1445</v>
      </c>
      <c r="G2492" t="s">
        <v>86</v>
      </c>
      <c r="H2492" t="s">
        <v>96</v>
      </c>
      <c r="J2492">
        <v>0.17</v>
      </c>
      <c r="K2492" t="s">
        <v>109</v>
      </c>
      <c r="M2492">
        <v>4.4999999999999997E-3</v>
      </c>
      <c r="N2492" t="s">
        <v>1293</v>
      </c>
      <c r="O2492" t="s">
        <v>1447</v>
      </c>
      <c r="P2492" t="s">
        <v>1446</v>
      </c>
      <c r="Q2492" s="1" t="s">
        <v>2281</v>
      </c>
      <c r="R2492" s="1" t="s">
        <v>2282</v>
      </c>
      <c r="S2492" s="1" t="s">
        <v>2304</v>
      </c>
      <c r="T2492" t="s">
        <v>421</v>
      </c>
      <c r="U2492" t="s">
        <v>421</v>
      </c>
      <c r="X2492" t="s">
        <v>1448</v>
      </c>
      <c r="Y2492" t="s">
        <v>2272</v>
      </c>
      <c r="Z2492" t="s">
        <v>2272</v>
      </c>
      <c r="AA2492" t="s">
        <v>2272</v>
      </c>
      <c r="AB2492" t="s">
        <v>2272</v>
      </c>
      <c r="AC2492" t="s">
        <v>162</v>
      </c>
      <c r="AD2492" t="s">
        <v>2272</v>
      </c>
      <c r="AG2492" t="s">
        <v>49</v>
      </c>
      <c r="AK2492" t="s">
        <v>49</v>
      </c>
      <c r="AM2492" t="s">
        <v>1451</v>
      </c>
      <c r="AN2492" t="s">
        <v>166</v>
      </c>
      <c r="AQ2492" s="5">
        <v>1</v>
      </c>
    </row>
    <row r="2493" spans="1:45" x14ac:dyDescent="0.2">
      <c r="A2493" t="s">
        <v>1443</v>
      </c>
      <c r="B2493" t="s">
        <v>1444</v>
      </c>
      <c r="C2493" s="1">
        <v>2015</v>
      </c>
      <c r="D2493" t="s">
        <v>811</v>
      </c>
      <c r="F2493" t="s">
        <v>1445</v>
      </c>
      <c r="G2493" t="s">
        <v>86</v>
      </c>
      <c r="H2493" t="s">
        <v>96</v>
      </c>
      <c r="J2493">
        <v>0.17</v>
      </c>
      <c r="K2493" t="s">
        <v>109</v>
      </c>
      <c r="M2493">
        <v>4.4999999999999997E-3</v>
      </c>
      <c r="N2493" t="s">
        <v>1293</v>
      </c>
      <c r="O2493" t="s">
        <v>1447</v>
      </c>
      <c r="P2493" t="s">
        <v>1446</v>
      </c>
      <c r="Q2493" s="1" t="s">
        <v>2281</v>
      </c>
      <c r="R2493" s="1" t="s">
        <v>2282</v>
      </c>
      <c r="S2493" s="1" t="s">
        <v>2304</v>
      </c>
      <c r="T2493" t="s">
        <v>421</v>
      </c>
      <c r="U2493" t="s">
        <v>421</v>
      </c>
      <c r="X2493" t="s">
        <v>1448</v>
      </c>
      <c r="Y2493" t="s">
        <v>2272</v>
      </c>
      <c r="Z2493" t="s">
        <v>2272</v>
      </c>
      <c r="AA2493" t="s">
        <v>2272</v>
      </c>
      <c r="AB2493" t="s">
        <v>2272</v>
      </c>
      <c r="AC2493" t="s">
        <v>162</v>
      </c>
      <c r="AD2493" t="s">
        <v>2272</v>
      </c>
      <c r="AG2493" t="s">
        <v>49</v>
      </c>
      <c r="AK2493" t="s">
        <v>49</v>
      </c>
      <c r="AM2493" t="s">
        <v>1451</v>
      </c>
      <c r="AN2493" t="s">
        <v>171</v>
      </c>
      <c r="AQ2493" s="5">
        <v>0</v>
      </c>
    </row>
    <row r="2494" spans="1:45" x14ac:dyDescent="0.2">
      <c r="A2494" t="s">
        <v>1443</v>
      </c>
      <c r="B2494" t="s">
        <v>1444</v>
      </c>
      <c r="C2494" s="1">
        <v>2015</v>
      </c>
      <c r="D2494" t="s">
        <v>811</v>
      </c>
      <c r="F2494" t="s">
        <v>1445</v>
      </c>
      <c r="G2494" t="s">
        <v>86</v>
      </c>
      <c r="H2494" t="s">
        <v>96</v>
      </c>
      <c r="J2494">
        <v>0.17</v>
      </c>
      <c r="K2494" t="s">
        <v>109</v>
      </c>
      <c r="M2494">
        <v>4.4999999999999997E-3</v>
      </c>
      <c r="N2494" t="s">
        <v>1293</v>
      </c>
      <c r="O2494" t="s">
        <v>1447</v>
      </c>
      <c r="P2494" t="s">
        <v>1446</v>
      </c>
      <c r="Q2494" s="1" t="s">
        <v>2281</v>
      </c>
      <c r="R2494" s="1" t="s">
        <v>2282</v>
      </c>
      <c r="S2494" s="1" t="s">
        <v>2304</v>
      </c>
      <c r="T2494" t="s">
        <v>421</v>
      </c>
      <c r="U2494" t="s">
        <v>421</v>
      </c>
      <c r="X2494" t="s">
        <v>1448</v>
      </c>
      <c r="Y2494" t="s">
        <v>2272</v>
      </c>
      <c r="Z2494" t="s">
        <v>2272</v>
      </c>
      <c r="AA2494" t="s">
        <v>2272</v>
      </c>
      <c r="AB2494" t="s">
        <v>2272</v>
      </c>
      <c r="AC2494" t="s">
        <v>162</v>
      </c>
      <c r="AD2494" t="s">
        <v>2272</v>
      </c>
      <c r="AG2494" t="s">
        <v>49</v>
      </c>
      <c r="AI2494" t="s">
        <v>49</v>
      </c>
      <c r="AM2494" t="s">
        <v>1449</v>
      </c>
      <c r="AN2494" t="s">
        <v>165</v>
      </c>
    </row>
    <row r="2495" spans="1:45" x14ac:dyDescent="0.2">
      <c r="A2495" t="s">
        <v>1452</v>
      </c>
      <c r="B2495" t="s">
        <v>1453</v>
      </c>
      <c r="C2495" s="1">
        <v>2015</v>
      </c>
      <c r="D2495" t="s">
        <v>811</v>
      </c>
      <c r="F2495" t="s">
        <v>588</v>
      </c>
      <c r="G2495" t="s">
        <v>86</v>
      </c>
      <c r="H2495" t="s">
        <v>350</v>
      </c>
      <c r="I2495">
        <v>2010</v>
      </c>
      <c r="J2495">
        <f t="shared" ref="J2495:J2502" si="50">3/12</f>
        <v>0.25</v>
      </c>
      <c r="K2495" t="s">
        <v>101</v>
      </c>
      <c r="M2495">
        <f t="shared" ref="M2495:M2502" si="51">0.7*0.7</f>
        <v>0.48999999999999994</v>
      </c>
      <c r="N2495" t="s">
        <v>123</v>
      </c>
      <c r="O2495" t="s">
        <v>123</v>
      </c>
      <c r="P2495" t="s">
        <v>518</v>
      </c>
      <c r="Q2495" s="1" t="s">
        <v>2281</v>
      </c>
      <c r="R2495" s="1" t="s">
        <v>2282</v>
      </c>
      <c r="S2495" s="1" t="s">
        <v>123</v>
      </c>
      <c r="T2495" t="s">
        <v>421</v>
      </c>
      <c r="U2495" t="s">
        <v>421</v>
      </c>
      <c r="X2495" t="s">
        <v>1448</v>
      </c>
      <c r="Y2495" t="s">
        <v>2272</v>
      </c>
      <c r="Z2495" t="s">
        <v>2272</v>
      </c>
      <c r="AA2495" t="s">
        <v>2272</v>
      </c>
      <c r="AB2495" t="s">
        <v>2272</v>
      </c>
      <c r="AC2495" t="s">
        <v>162</v>
      </c>
      <c r="AD2495" t="s">
        <v>2272</v>
      </c>
      <c r="AG2495" t="s">
        <v>49</v>
      </c>
      <c r="AI2495" t="s">
        <v>49</v>
      </c>
      <c r="AM2495" t="s">
        <v>442</v>
      </c>
      <c r="AN2495" t="s">
        <v>166</v>
      </c>
      <c r="AP2495" t="s">
        <v>51</v>
      </c>
    </row>
    <row r="2496" spans="1:45" x14ac:dyDescent="0.2">
      <c r="A2496" t="s">
        <v>1452</v>
      </c>
      <c r="B2496" t="s">
        <v>1453</v>
      </c>
      <c r="C2496" s="1">
        <v>2015</v>
      </c>
      <c r="D2496" t="s">
        <v>811</v>
      </c>
      <c r="F2496" t="s">
        <v>588</v>
      </c>
      <c r="G2496" t="s">
        <v>86</v>
      </c>
      <c r="H2496" t="s">
        <v>350</v>
      </c>
      <c r="I2496">
        <v>2010</v>
      </c>
      <c r="J2496">
        <f t="shared" si="50"/>
        <v>0.25</v>
      </c>
      <c r="K2496" t="s">
        <v>101</v>
      </c>
      <c r="M2496">
        <f t="shared" si="51"/>
        <v>0.48999999999999994</v>
      </c>
      <c r="N2496" t="s">
        <v>126</v>
      </c>
      <c r="O2496" t="s">
        <v>126</v>
      </c>
      <c r="P2496" t="s">
        <v>2571</v>
      </c>
      <c r="Q2496" s="1" t="s">
        <v>2281</v>
      </c>
      <c r="R2496" s="1" t="s">
        <v>2282</v>
      </c>
      <c r="S2496" s="1" t="s">
        <v>126</v>
      </c>
      <c r="T2496" t="s">
        <v>421</v>
      </c>
      <c r="U2496" t="s">
        <v>421</v>
      </c>
      <c r="X2496" t="s">
        <v>1448</v>
      </c>
      <c r="Y2496" t="s">
        <v>2272</v>
      </c>
      <c r="Z2496" t="s">
        <v>2272</v>
      </c>
      <c r="AA2496" t="s">
        <v>2272</v>
      </c>
      <c r="AB2496" t="s">
        <v>2272</v>
      </c>
      <c r="AC2496" t="s">
        <v>162</v>
      </c>
      <c r="AD2496" t="s">
        <v>2272</v>
      </c>
      <c r="AG2496" t="s">
        <v>49</v>
      </c>
      <c r="AI2496" t="s">
        <v>49</v>
      </c>
      <c r="AM2496" t="s">
        <v>442</v>
      </c>
      <c r="AN2496" t="s">
        <v>166</v>
      </c>
      <c r="AP2496" t="s">
        <v>51</v>
      </c>
    </row>
    <row r="2497" spans="1:43" x14ac:dyDescent="0.2">
      <c r="A2497" t="s">
        <v>1452</v>
      </c>
      <c r="B2497" t="s">
        <v>1453</v>
      </c>
      <c r="C2497" s="1">
        <v>2015</v>
      </c>
      <c r="D2497" t="s">
        <v>811</v>
      </c>
      <c r="F2497" t="s">
        <v>588</v>
      </c>
      <c r="G2497" t="s">
        <v>86</v>
      </c>
      <c r="H2497" t="s">
        <v>350</v>
      </c>
      <c r="I2497">
        <v>2010</v>
      </c>
      <c r="J2497">
        <f t="shared" si="50"/>
        <v>0.25</v>
      </c>
      <c r="K2497" t="s">
        <v>101</v>
      </c>
      <c r="M2497">
        <f t="shared" si="51"/>
        <v>0.48999999999999994</v>
      </c>
      <c r="N2497" t="s">
        <v>123</v>
      </c>
      <c r="O2497" t="s">
        <v>123</v>
      </c>
      <c r="P2497" t="s">
        <v>518</v>
      </c>
      <c r="Q2497" s="1" t="s">
        <v>2281</v>
      </c>
      <c r="R2497" s="1" t="s">
        <v>2282</v>
      </c>
      <c r="S2497" s="1" t="s">
        <v>123</v>
      </c>
      <c r="T2497" t="s">
        <v>421</v>
      </c>
      <c r="U2497" t="s">
        <v>421</v>
      </c>
      <c r="X2497" t="s">
        <v>1448</v>
      </c>
      <c r="Y2497" t="s">
        <v>2272</v>
      </c>
      <c r="Z2497" t="s">
        <v>2272</v>
      </c>
      <c r="AA2497" t="s">
        <v>2272</v>
      </c>
      <c r="AB2497" t="s">
        <v>2272</v>
      </c>
      <c r="AC2497" t="s">
        <v>162</v>
      </c>
      <c r="AD2497" t="s">
        <v>2272</v>
      </c>
      <c r="AG2497" t="s">
        <v>49</v>
      </c>
      <c r="AI2497" t="s">
        <v>49</v>
      </c>
      <c r="AM2497" t="s">
        <v>442</v>
      </c>
      <c r="AN2497" t="s">
        <v>154</v>
      </c>
      <c r="AP2497" t="s">
        <v>51</v>
      </c>
    </row>
    <row r="2498" spans="1:43" x14ac:dyDescent="0.2">
      <c r="A2498" t="s">
        <v>1452</v>
      </c>
      <c r="B2498" t="s">
        <v>1453</v>
      </c>
      <c r="C2498" s="1">
        <v>2015</v>
      </c>
      <c r="D2498" t="s">
        <v>811</v>
      </c>
      <c r="F2498" t="s">
        <v>588</v>
      </c>
      <c r="G2498" t="s">
        <v>86</v>
      </c>
      <c r="H2498" t="s">
        <v>350</v>
      </c>
      <c r="I2498">
        <v>2010</v>
      </c>
      <c r="J2498">
        <f t="shared" si="50"/>
        <v>0.25</v>
      </c>
      <c r="K2498" t="s">
        <v>101</v>
      </c>
      <c r="M2498">
        <f t="shared" si="51"/>
        <v>0.48999999999999994</v>
      </c>
      <c r="N2498" t="s">
        <v>126</v>
      </c>
      <c r="O2498" t="s">
        <v>126</v>
      </c>
      <c r="P2498" t="s">
        <v>2571</v>
      </c>
      <c r="Q2498" s="1" t="s">
        <v>2281</v>
      </c>
      <c r="R2498" s="1" t="s">
        <v>2282</v>
      </c>
      <c r="S2498" s="1" t="s">
        <v>126</v>
      </c>
      <c r="T2498" t="s">
        <v>421</v>
      </c>
      <c r="U2498" t="s">
        <v>421</v>
      </c>
      <c r="X2498" t="s">
        <v>1448</v>
      </c>
      <c r="Y2498" t="s">
        <v>2272</v>
      </c>
      <c r="Z2498" t="s">
        <v>2272</v>
      </c>
      <c r="AA2498" t="s">
        <v>2272</v>
      </c>
      <c r="AB2498" t="s">
        <v>2272</v>
      </c>
      <c r="AC2498" t="s">
        <v>162</v>
      </c>
      <c r="AD2498" t="s">
        <v>2272</v>
      </c>
      <c r="AG2498" t="s">
        <v>49</v>
      </c>
      <c r="AI2498" t="s">
        <v>49</v>
      </c>
      <c r="AM2498" t="s">
        <v>442</v>
      </c>
      <c r="AN2498" t="s">
        <v>154</v>
      </c>
      <c r="AP2498" t="s">
        <v>51</v>
      </c>
    </row>
    <row r="2499" spans="1:43" x14ac:dyDescent="0.2">
      <c r="A2499" t="s">
        <v>1452</v>
      </c>
      <c r="B2499" t="s">
        <v>1453</v>
      </c>
      <c r="C2499" s="1">
        <v>2015</v>
      </c>
      <c r="D2499" t="s">
        <v>811</v>
      </c>
      <c r="F2499" t="s">
        <v>588</v>
      </c>
      <c r="G2499" t="s">
        <v>86</v>
      </c>
      <c r="H2499" t="s">
        <v>350</v>
      </c>
      <c r="I2499">
        <v>2010</v>
      </c>
      <c r="J2499">
        <f t="shared" si="50"/>
        <v>0.25</v>
      </c>
      <c r="K2499" t="s">
        <v>101</v>
      </c>
      <c r="M2499">
        <f t="shared" si="51"/>
        <v>0.48999999999999994</v>
      </c>
      <c r="N2499" t="s">
        <v>123</v>
      </c>
      <c r="O2499" t="s">
        <v>123</v>
      </c>
      <c r="P2499" t="s">
        <v>518</v>
      </c>
      <c r="Q2499" s="1" t="s">
        <v>2281</v>
      </c>
      <c r="R2499" s="1" t="s">
        <v>2282</v>
      </c>
      <c r="S2499" s="1" t="s">
        <v>123</v>
      </c>
      <c r="T2499" t="s">
        <v>396</v>
      </c>
      <c r="U2499" t="s">
        <v>126</v>
      </c>
      <c r="X2499" t="s">
        <v>1448</v>
      </c>
      <c r="Y2499" t="s">
        <v>2272</v>
      </c>
      <c r="Z2499" t="s">
        <v>2272</v>
      </c>
      <c r="AA2499" t="s">
        <v>2272</v>
      </c>
      <c r="AB2499" t="s">
        <v>2272</v>
      </c>
      <c r="AC2499" t="s">
        <v>162</v>
      </c>
      <c r="AD2499" t="s">
        <v>2272</v>
      </c>
      <c r="AG2499" t="s">
        <v>49</v>
      </c>
      <c r="AI2499" t="s">
        <v>49</v>
      </c>
      <c r="AM2499" t="s">
        <v>442</v>
      </c>
      <c r="AN2499" t="s">
        <v>166</v>
      </c>
      <c r="AP2499" t="s">
        <v>51</v>
      </c>
    </row>
    <row r="2500" spans="1:43" x14ac:dyDescent="0.2">
      <c r="A2500" t="s">
        <v>1452</v>
      </c>
      <c r="B2500" t="s">
        <v>1453</v>
      </c>
      <c r="C2500" s="1">
        <v>2015</v>
      </c>
      <c r="D2500" t="s">
        <v>811</v>
      </c>
      <c r="F2500" t="s">
        <v>588</v>
      </c>
      <c r="G2500" t="s">
        <v>86</v>
      </c>
      <c r="H2500" t="s">
        <v>350</v>
      </c>
      <c r="I2500">
        <v>2010</v>
      </c>
      <c r="J2500">
        <f t="shared" si="50"/>
        <v>0.25</v>
      </c>
      <c r="K2500" t="s">
        <v>101</v>
      </c>
      <c r="M2500">
        <f t="shared" si="51"/>
        <v>0.48999999999999994</v>
      </c>
      <c r="N2500" t="s">
        <v>126</v>
      </c>
      <c r="O2500" t="s">
        <v>126</v>
      </c>
      <c r="P2500" t="s">
        <v>2571</v>
      </c>
      <c r="Q2500" s="1" t="s">
        <v>2281</v>
      </c>
      <c r="R2500" s="1" t="s">
        <v>2282</v>
      </c>
      <c r="S2500" s="1" t="s">
        <v>126</v>
      </c>
      <c r="T2500" t="s">
        <v>396</v>
      </c>
      <c r="U2500" t="s">
        <v>123</v>
      </c>
      <c r="X2500" t="s">
        <v>1448</v>
      </c>
      <c r="Y2500" t="s">
        <v>2272</v>
      </c>
      <c r="Z2500" t="s">
        <v>2272</v>
      </c>
      <c r="AA2500" t="s">
        <v>2272</v>
      </c>
      <c r="AB2500" t="s">
        <v>2272</v>
      </c>
      <c r="AC2500" t="s">
        <v>162</v>
      </c>
      <c r="AD2500" t="s">
        <v>2272</v>
      </c>
      <c r="AG2500" t="s">
        <v>49</v>
      </c>
      <c r="AI2500" t="s">
        <v>49</v>
      </c>
      <c r="AM2500" t="s">
        <v>442</v>
      </c>
      <c r="AN2500" t="s">
        <v>166</v>
      </c>
      <c r="AP2500" t="s">
        <v>51</v>
      </c>
    </row>
    <row r="2501" spans="1:43" x14ac:dyDescent="0.2">
      <c r="A2501" t="s">
        <v>1452</v>
      </c>
      <c r="B2501" t="s">
        <v>1453</v>
      </c>
      <c r="C2501" s="1">
        <v>2015</v>
      </c>
      <c r="D2501" t="s">
        <v>811</v>
      </c>
      <c r="F2501" t="s">
        <v>588</v>
      </c>
      <c r="G2501" t="s">
        <v>86</v>
      </c>
      <c r="H2501" t="s">
        <v>350</v>
      </c>
      <c r="I2501">
        <v>2010</v>
      </c>
      <c r="J2501">
        <f t="shared" si="50"/>
        <v>0.25</v>
      </c>
      <c r="K2501" t="s">
        <v>101</v>
      </c>
      <c r="M2501">
        <f t="shared" si="51"/>
        <v>0.48999999999999994</v>
      </c>
      <c r="N2501" t="s">
        <v>123</v>
      </c>
      <c r="O2501" t="s">
        <v>123</v>
      </c>
      <c r="P2501" t="s">
        <v>518</v>
      </c>
      <c r="Q2501" s="1" t="s">
        <v>2281</v>
      </c>
      <c r="R2501" s="1" t="s">
        <v>2282</v>
      </c>
      <c r="S2501" s="1" t="s">
        <v>123</v>
      </c>
      <c r="T2501" t="s">
        <v>396</v>
      </c>
      <c r="U2501" t="s">
        <v>126</v>
      </c>
      <c r="X2501" t="s">
        <v>1448</v>
      </c>
      <c r="Y2501" t="s">
        <v>2272</v>
      </c>
      <c r="Z2501" t="s">
        <v>2272</v>
      </c>
      <c r="AA2501" t="s">
        <v>2272</v>
      </c>
      <c r="AB2501" t="s">
        <v>2272</v>
      </c>
      <c r="AC2501" t="s">
        <v>162</v>
      </c>
      <c r="AD2501" t="s">
        <v>2272</v>
      </c>
      <c r="AG2501" t="s">
        <v>49</v>
      </c>
      <c r="AI2501" t="s">
        <v>49</v>
      </c>
      <c r="AM2501" t="s">
        <v>442</v>
      </c>
      <c r="AN2501" t="s">
        <v>154</v>
      </c>
      <c r="AP2501" t="s">
        <v>51</v>
      </c>
    </row>
    <row r="2502" spans="1:43" x14ac:dyDescent="0.2">
      <c r="A2502" t="s">
        <v>1452</v>
      </c>
      <c r="B2502" t="s">
        <v>1453</v>
      </c>
      <c r="C2502" s="1">
        <v>2015</v>
      </c>
      <c r="D2502" t="s">
        <v>811</v>
      </c>
      <c r="F2502" t="s">
        <v>588</v>
      </c>
      <c r="G2502" t="s">
        <v>86</v>
      </c>
      <c r="H2502" t="s">
        <v>350</v>
      </c>
      <c r="I2502">
        <v>2010</v>
      </c>
      <c r="J2502">
        <f t="shared" si="50"/>
        <v>0.25</v>
      </c>
      <c r="K2502" t="s">
        <v>101</v>
      </c>
      <c r="M2502">
        <f t="shared" si="51"/>
        <v>0.48999999999999994</v>
      </c>
      <c r="N2502" t="s">
        <v>126</v>
      </c>
      <c r="O2502" t="s">
        <v>126</v>
      </c>
      <c r="P2502" t="s">
        <v>2571</v>
      </c>
      <c r="Q2502" s="1" t="s">
        <v>2281</v>
      </c>
      <c r="R2502" s="1" t="s">
        <v>2282</v>
      </c>
      <c r="S2502" s="1" t="s">
        <v>126</v>
      </c>
      <c r="T2502" t="s">
        <v>396</v>
      </c>
      <c r="U2502" t="s">
        <v>123</v>
      </c>
      <c r="X2502" t="s">
        <v>1448</v>
      </c>
      <c r="Y2502" t="s">
        <v>2272</v>
      </c>
      <c r="Z2502" t="s">
        <v>2272</v>
      </c>
      <c r="AA2502" t="s">
        <v>2272</v>
      </c>
      <c r="AB2502" t="s">
        <v>2272</v>
      </c>
      <c r="AC2502" t="s">
        <v>162</v>
      </c>
      <c r="AD2502" t="s">
        <v>2272</v>
      </c>
      <c r="AG2502" t="s">
        <v>49</v>
      </c>
      <c r="AI2502" t="s">
        <v>49</v>
      </c>
      <c r="AM2502" t="s">
        <v>442</v>
      </c>
      <c r="AN2502" t="s">
        <v>154</v>
      </c>
      <c r="AP2502" t="s">
        <v>51</v>
      </c>
    </row>
    <row r="2503" spans="1:43" x14ac:dyDescent="0.2">
      <c r="A2503" t="s">
        <v>1452</v>
      </c>
      <c r="B2503" t="s">
        <v>1453</v>
      </c>
      <c r="C2503" s="1">
        <v>2015</v>
      </c>
      <c r="D2503" t="s">
        <v>811</v>
      </c>
      <c r="F2503" t="s">
        <v>588</v>
      </c>
      <c r="G2503" t="s">
        <v>86</v>
      </c>
      <c r="H2503" t="s">
        <v>350</v>
      </c>
      <c r="I2503">
        <v>2010</v>
      </c>
      <c r="J2503">
        <f t="shared" ref="J2503:J2550" si="52">3/12</f>
        <v>0.25</v>
      </c>
      <c r="K2503" t="s">
        <v>101</v>
      </c>
      <c r="M2503">
        <f t="shared" ref="M2503:M2550" si="53">0.7*0.7</f>
        <v>0.48999999999999994</v>
      </c>
      <c r="N2503" t="s">
        <v>123</v>
      </c>
      <c r="O2503" t="s">
        <v>123</v>
      </c>
      <c r="P2503" t="s">
        <v>518</v>
      </c>
      <c r="Q2503" s="1" t="s">
        <v>2281</v>
      </c>
      <c r="R2503" s="1" t="s">
        <v>2282</v>
      </c>
      <c r="S2503" s="1" t="s">
        <v>123</v>
      </c>
      <c r="T2503" t="s">
        <v>421</v>
      </c>
      <c r="U2503" t="s">
        <v>421</v>
      </c>
      <c r="X2503" t="s">
        <v>1448</v>
      </c>
      <c r="Y2503" t="s">
        <v>2272</v>
      </c>
      <c r="Z2503" t="s">
        <v>2272</v>
      </c>
      <c r="AA2503" t="s">
        <v>2272</v>
      </c>
      <c r="AB2503" t="s">
        <v>2272</v>
      </c>
      <c r="AC2503" t="s">
        <v>162</v>
      </c>
      <c r="AD2503" t="s">
        <v>2272</v>
      </c>
      <c r="AF2503" t="s">
        <v>49</v>
      </c>
      <c r="AI2503" t="s">
        <v>49</v>
      </c>
      <c r="AM2503" t="s">
        <v>1454</v>
      </c>
      <c r="AN2503" t="s">
        <v>166</v>
      </c>
      <c r="AQ2503" s="5">
        <v>1</v>
      </c>
    </row>
    <row r="2504" spans="1:43" x14ac:dyDescent="0.2">
      <c r="A2504" t="s">
        <v>1452</v>
      </c>
      <c r="B2504" t="s">
        <v>1453</v>
      </c>
      <c r="C2504" s="1">
        <v>2015</v>
      </c>
      <c r="D2504" t="s">
        <v>811</v>
      </c>
      <c r="F2504" t="s">
        <v>588</v>
      </c>
      <c r="G2504" t="s">
        <v>86</v>
      </c>
      <c r="H2504" t="s">
        <v>350</v>
      </c>
      <c r="I2504">
        <v>2010</v>
      </c>
      <c r="J2504">
        <f t="shared" si="52"/>
        <v>0.25</v>
      </c>
      <c r="K2504" t="s">
        <v>101</v>
      </c>
      <c r="M2504">
        <f t="shared" si="53"/>
        <v>0.48999999999999994</v>
      </c>
      <c r="N2504" t="s">
        <v>126</v>
      </c>
      <c r="O2504" t="s">
        <v>126</v>
      </c>
      <c r="P2504" t="s">
        <v>2571</v>
      </c>
      <c r="Q2504" s="1" t="s">
        <v>2281</v>
      </c>
      <c r="R2504" s="1" t="s">
        <v>2282</v>
      </c>
      <c r="S2504" s="1" t="s">
        <v>126</v>
      </c>
      <c r="T2504" t="s">
        <v>421</v>
      </c>
      <c r="U2504" t="s">
        <v>421</v>
      </c>
      <c r="X2504" t="s">
        <v>1448</v>
      </c>
      <c r="Y2504" t="s">
        <v>2272</v>
      </c>
      <c r="Z2504" t="s">
        <v>2272</v>
      </c>
      <c r="AA2504" t="s">
        <v>2272</v>
      </c>
      <c r="AB2504" t="s">
        <v>2272</v>
      </c>
      <c r="AC2504" t="s">
        <v>162</v>
      </c>
      <c r="AD2504" t="s">
        <v>2272</v>
      </c>
      <c r="AF2504" t="s">
        <v>49</v>
      </c>
      <c r="AI2504" t="s">
        <v>49</v>
      </c>
      <c r="AM2504" t="s">
        <v>1454</v>
      </c>
      <c r="AN2504" t="s">
        <v>166</v>
      </c>
      <c r="AQ2504" s="5">
        <v>1</v>
      </c>
    </row>
    <row r="2505" spans="1:43" x14ac:dyDescent="0.2">
      <c r="A2505" t="s">
        <v>1452</v>
      </c>
      <c r="B2505" t="s">
        <v>1453</v>
      </c>
      <c r="C2505" s="1">
        <v>2015</v>
      </c>
      <c r="D2505" t="s">
        <v>811</v>
      </c>
      <c r="F2505" t="s">
        <v>588</v>
      </c>
      <c r="G2505" t="s">
        <v>86</v>
      </c>
      <c r="H2505" t="s">
        <v>350</v>
      </c>
      <c r="I2505">
        <v>2010</v>
      </c>
      <c r="J2505">
        <f t="shared" si="52"/>
        <v>0.25</v>
      </c>
      <c r="K2505" t="s">
        <v>101</v>
      </c>
      <c r="M2505">
        <f t="shared" si="53"/>
        <v>0.48999999999999994</v>
      </c>
      <c r="N2505" t="s">
        <v>123</v>
      </c>
      <c r="O2505" t="s">
        <v>123</v>
      </c>
      <c r="P2505" t="s">
        <v>518</v>
      </c>
      <c r="Q2505" s="1" t="s">
        <v>2281</v>
      </c>
      <c r="R2505" s="1" t="s">
        <v>2282</v>
      </c>
      <c r="S2505" s="1" t="s">
        <v>123</v>
      </c>
      <c r="T2505" t="s">
        <v>421</v>
      </c>
      <c r="U2505" t="s">
        <v>421</v>
      </c>
      <c r="X2505" t="s">
        <v>1448</v>
      </c>
      <c r="Y2505" t="s">
        <v>2272</v>
      </c>
      <c r="Z2505" t="s">
        <v>2272</v>
      </c>
      <c r="AA2505" t="s">
        <v>2272</v>
      </c>
      <c r="AB2505" t="s">
        <v>2272</v>
      </c>
      <c r="AC2505" t="s">
        <v>162</v>
      </c>
      <c r="AD2505" t="s">
        <v>2272</v>
      </c>
      <c r="AF2505" t="s">
        <v>49</v>
      </c>
      <c r="AI2505" t="s">
        <v>49</v>
      </c>
      <c r="AM2505" t="s">
        <v>1454</v>
      </c>
      <c r="AN2505" t="s">
        <v>171</v>
      </c>
      <c r="AQ2505" s="5">
        <v>1</v>
      </c>
    </row>
    <row r="2506" spans="1:43" x14ac:dyDescent="0.2">
      <c r="A2506" t="s">
        <v>1452</v>
      </c>
      <c r="B2506" t="s">
        <v>1453</v>
      </c>
      <c r="C2506" s="1">
        <v>2015</v>
      </c>
      <c r="D2506" t="s">
        <v>811</v>
      </c>
      <c r="F2506" t="s">
        <v>588</v>
      </c>
      <c r="G2506" t="s">
        <v>86</v>
      </c>
      <c r="H2506" t="s">
        <v>350</v>
      </c>
      <c r="I2506">
        <v>2010</v>
      </c>
      <c r="J2506">
        <f t="shared" si="52"/>
        <v>0.25</v>
      </c>
      <c r="K2506" t="s">
        <v>101</v>
      </c>
      <c r="M2506">
        <f t="shared" si="53"/>
        <v>0.48999999999999994</v>
      </c>
      <c r="N2506" t="s">
        <v>126</v>
      </c>
      <c r="O2506" t="s">
        <v>126</v>
      </c>
      <c r="P2506" t="s">
        <v>2571</v>
      </c>
      <c r="Q2506" s="1" t="s">
        <v>2281</v>
      </c>
      <c r="R2506" s="1" t="s">
        <v>2282</v>
      </c>
      <c r="S2506" s="1" t="s">
        <v>126</v>
      </c>
      <c r="T2506" t="s">
        <v>421</v>
      </c>
      <c r="U2506" t="s">
        <v>421</v>
      </c>
      <c r="X2506" t="s">
        <v>1448</v>
      </c>
      <c r="Y2506" t="s">
        <v>2272</v>
      </c>
      <c r="Z2506" t="s">
        <v>2272</v>
      </c>
      <c r="AA2506" t="s">
        <v>2272</v>
      </c>
      <c r="AB2506" t="s">
        <v>2272</v>
      </c>
      <c r="AC2506" t="s">
        <v>162</v>
      </c>
      <c r="AD2506" t="s">
        <v>2272</v>
      </c>
      <c r="AF2506" t="s">
        <v>49</v>
      </c>
      <c r="AI2506" t="s">
        <v>49</v>
      </c>
      <c r="AM2506" t="s">
        <v>1454</v>
      </c>
      <c r="AN2506" t="s">
        <v>171</v>
      </c>
      <c r="AQ2506" s="5">
        <v>1</v>
      </c>
    </row>
    <row r="2507" spans="1:43" x14ac:dyDescent="0.2">
      <c r="A2507" t="s">
        <v>1452</v>
      </c>
      <c r="B2507" t="s">
        <v>1453</v>
      </c>
      <c r="C2507" s="1">
        <v>2015</v>
      </c>
      <c r="D2507" t="s">
        <v>811</v>
      </c>
      <c r="F2507" t="s">
        <v>588</v>
      </c>
      <c r="G2507" t="s">
        <v>86</v>
      </c>
      <c r="H2507" t="s">
        <v>350</v>
      </c>
      <c r="I2507">
        <v>2010</v>
      </c>
      <c r="J2507">
        <f t="shared" si="52"/>
        <v>0.25</v>
      </c>
      <c r="K2507" t="s">
        <v>101</v>
      </c>
      <c r="M2507">
        <f t="shared" si="53"/>
        <v>0.48999999999999994</v>
      </c>
      <c r="N2507" t="s">
        <v>123</v>
      </c>
      <c r="O2507" t="s">
        <v>123</v>
      </c>
      <c r="P2507" t="s">
        <v>518</v>
      </c>
      <c r="Q2507" s="1" t="s">
        <v>2281</v>
      </c>
      <c r="R2507" s="1" t="s">
        <v>2282</v>
      </c>
      <c r="S2507" s="1" t="s">
        <v>123</v>
      </c>
      <c r="T2507" t="s">
        <v>396</v>
      </c>
      <c r="U2507" t="s">
        <v>126</v>
      </c>
      <c r="X2507" t="s">
        <v>1448</v>
      </c>
      <c r="Y2507" t="s">
        <v>2272</v>
      </c>
      <c r="Z2507" t="s">
        <v>2272</v>
      </c>
      <c r="AA2507" t="s">
        <v>2272</v>
      </c>
      <c r="AB2507" t="s">
        <v>2272</v>
      </c>
      <c r="AC2507" t="s">
        <v>162</v>
      </c>
      <c r="AD2507" t="s">
        <v>2272</v>
      </c>
      <c r="AF2507" t="s">
        <v>49</v>
      </c>
      <c r="AI2507" t="s">
        <v>49</v>
      </c>
      <c r="AM2507" t="s">
        <v>1454</v>
      </c>
      <c r="AN2507" t="s">
        <v>166</v>
      </c>
      <c r="AQ2507" s="5">
        <v>0</v>
      </c>
    </row>
    <row r="2508" spans="1:43" x14ac:dyDescent="0.2">
      <c r="A2508" t="s">
        <v>1452</v>
      </c>
      <c r="B2508" t="s">
        <v>1453</v>
      </c>
      <c r="C2508" s="1">
        <v>2015</v>
      </c>
      <c r="D2508" t="s">
        <v>811</v>
      </c>
      <c r="F2508" t="s">
        <v>588</v>
      </c>
      <c r="G2508" t="s">
        <v>86</v>
      </c>
      <c r="H2508" t="s">
        <v>350</v>
      </c>
      <c r="I2508">
        <v>2010</v>
      </c>
      <c r="J2508">
        <f t="shared" si="52"/>
        <v>0.25</v>
      </c>
      <c r="K2508" t="s">
        <v>101</v>
      </c>
      <c r="M2508">
        <f t="shared" si="53"/>
        <v>0.48999999999999994</v>
      </c>
      <c r="N2508" t="s">
        <v>126</v>
      </c>
      <c r="O2508" t="s">
        <v>126</v>
      </c>
      <c r="P2508" t="s">
        <v>2571</v>
      </c>
      <c r="Q2508" s="1" t="s">
        <v>2281</v>
      </c>
      <c r="R2508" s="1" t="s">
        <v>2282</v>
      </c>
      <c r="S2508" s="1" t="s">
        <v>126</v>
      </c>
      <c r="T2508" t="s">
        <v>396</v>
      </c>
      <c r="U2508" t="s">
        <v>123</v>
      </c>
      <c r="X2508" t="s">
        <v>1448</v>
      </c>
      <c r="Y2508" t="s">
        <v>2272</v>
      </c>
      <c r="Z2508" t="s">
        <v>2272</v>
      </c>
      <c r="AA2508" t="s">
        <v>2272</v>
      </c>
      <c r="AB2508" t="s">
        <v>2272</v>
      </c>
      <c r="AC2508" t="s">
        <v>162</v>
      </c>
      <c r="AD2508" t="s">
        <v>2272</v>
      </c>
      <c r="AF2508" t="s">
        <v>49</v>
      </c>
      <c r="AI2508" t="s">
        <v>49</v>
      </c>
      <c r="AM2508" t="s">
        <v>1454</v>
      </c>
      <c r="AN2508" t="s">
        <v>166</v>
      </c>
      <c r="AQ2508" s="5">
        <v>0</v>
      </c>
    </row>
    <row r="2509" spans="1:43" x14ac:dyDescent="0.2">
      <c r="A2509" t="s">
        <v>1452</v>
      </c>
      <c r="B2509" t="s">
        <v>1453</v>
      </c>
      <c r="C2509" s="1">
        <v>2015</v>
      </c>
      <c r="D2509" t="s">
        <v>811</v>
      </c>
      <c r="F2509" t="s">
        <v>588</v>
      </c>
      <c r="G2509" t="s">
        <v>86</v>
      </c>
      <c r="H2509" t="s">
        <v>350</v>
      </c>
      <c r="I2509">
        <v>2010</v>
      </c>
      <c r="J2509">
        <f t="shared" si="52"/>
        <v>0.25</v>
      </c>
      <c r="K2509" t="s">
        <v>101</v>
      </c>
      <c r="M2509">
        <f t="shared" si="53"/>
        <v>0.48999999999999994</v>
      </c>
      <c r="N2509" t="s">
        <v>123</v>
      </c>
      <c r="O2509" t="s">
        <v>123</v>
      </c>
      <c r="P2509" t="s">
        <v>518</v>
      </c>
      <c r="Q2509" s="1" t="s">
        <v>2281</v>
      </c>
      <c r="R2509" s="1" t="s">
        <v>2282</v>
      </c>
      <c r="S2509" s="1" t="s">
        <v>123</v>
      </c>
      <c r="T2509" t="s">
        <v>396</v>
      </c>
      <c r="U2509" t="s">
        <v>126</v>
      </c>
      <c r="X2509" t="s">
        <v>1448</v>
      </c>
      <c r="Y2509" t="s">
        <v>2272</v>
      </c>
      <c r="Z2509" t="s">
        <v>2272</v>
      </c>
      <c r="AA2509" t="s">
        <v>2272</v>
      </c>
      <c r="AB2509" t="s">
        <v>2272</v>
      </c>
      <c r="AC2509" t="s">
        <v>162</v>
      </c>
      <c r="AD2509" t="s">
        <v>2272</v>
      </c>
      <c r="AF2509" t="s">
        <v>49</v>
      </c>
      <c r="AI2509" t="s">
        <v>49</v>
      </c>
      <c r="AM2509" t="s">
        <v>1454</v>
      </c>
      <c r="AN2509" t="s">
        <v>171</v>
      </c>
      <c r="AQ2509" s="5">
        <v>0</v>
      </c>
    </row>
    <row r="2510" spans="1:43" x14ac:dyDescent="0.2">
      <c r="A2510" t="s">
        <v>1452</v>
      </c>
      <c r="B2510" t="s">
        <v>1453</v>
      </c>
      <c r="C2510" s="1">
        <v>2015</v>
      </c>
      <c r="D2510" t="s">
        <v>811</v>
      </c>
      <c r="F2510" t="s">
        <v>588</v>
      </c>
      <c r="G2510" t="s">
        <v>86</v>
      </c>
      <c r="H2510" t="s">
        <v>350</v>
      </c>
      <c r="I2510">
        <v>2010</v>
      </c>
      <c r="J2510">
        <f t="shared" si="52"/>
        <v>0.25</v>
      </c>
      <c r="K2510" t="s">
        <v>101</v>
      </c>
      <c r="M2510">
        <f t="shared" si="53"/>
        <v>0.48999999999999994</v>
      </c>
      <c r="N2510" t="s">
        <v>126</v>
      </c>
      <c r="O2510" t="s">
        <v>126</v>
      </c>
      <c r="P2510" t="s">
        <v>2571</v>
      </c>
      <c r="Q2510" s="1" t="s">
        <v>2281</v>
      </c>
      <c r="R2510" s="1" t="s">
        <v>2282</v>
      </c>
      <c r="S2510" s="1" t="s">
        <v>126</v>
      </c>
      <c r="T2510" t="s">
        <v>396</v>
      </c>
      <c r="U2510" t="s">
        <v>123</v>
      </c>
      <c r="X2510" t="s">
        <v>1448</v>
      </c>
      <c r="Y2510" t="s">
        <v>2272</v>
      </c>
      <c r="Z2510" t="s">
        <v>2272</v>
      </c>
      <c r="AA2510" t="s">
        <v>2272</v>
      </c>
      <c r="AB2510" t="s">
        <v>2272</v>
      </c>
      <c r="AC2510" t="s">
        <v>162</v>
      </c>
      <c r="AD2510" t="s">
        <v>2272</v>
      </c>
      <c r="AF2510" t="s">
        <v>49</v>
      </c>
      <c r="AI2510" t="s">
        <v>49</v>
      </c>
      <c r="AM2510" t="s">
        <v>1454</v>
      </c>
      <c r="AN2510" t="s">
        <v>171</v>
      </c>
      <c r="AQ2510" s="5">
        <v>0</v>
      </c>
    </row>
    <row r="2511" spans="1:43" x14ac:dyDescent="0.2">
      <c r="A2511" t="s">
        <v>1452</v>
      </c>
      <c r="B2511" t="s">
        <v>1453</v>
      </c>
      <c r="C2511" s="1">
        <v>2015</v>
      </c>
      <c r="D2511" t="s">
        <v>811</v>
      </c>
      <c r="F2511" t="s">
        <v>588</v>
      </c>
      <c r="G2511" t="s">
        <v>86</v>
      </c>
      <c r="H2511" t="s">
        <v>350</v>
      </c>
      <c r="I2511">
        <v>2010</v>
      </c>
      <c r="J2511">
        <f t="shared" si="52"/>
        <v>0.25</v>
      </c>
      <c r="K2511" t="s">
        <v>101</v>
      </c>
      <c r="M2511">
        <f t="shared" si="53"/>
        <v>0.48999999999999994</v>
      </c>
      <c r="N2511" t="s">
        <v>123</v>
      </c>
      <c r="O2511" t="s">
        <v>123</v>
      </c>
      <c r="P2511" t="s">
        <v>518</v>
      </c>
      <c r="Q2511" s="1" t="s">
        <v>2281</v>
      </c>
      <c r="R2511" s="1" t="s">
        <v>2282</v>
      </c>
      <c r="S2511" s="1" t="s">
        <v>123</v>
      </c>
      <c r="T2511" t="s">
        <v>421</v>
      </c>
      <c r="U2511" t="s">
        <v>421</v>
      </c>
      <c r="X2511" t="s">
        <v>1448</v>
      </c>
      <c r="Y2511" t="s">
        <v>2272</v>
      </c>
      <c r="Z2511" t="s">
        <v>2272</v>
      </c>
      <c r="AA2511" t="s">
        <v>2272</v>
      </c>
      <c r="AB2511" t="s">
        <v>2272</v>
      </c>
      <c r="AC2511" t="s">
        <v>162</v>
      </c>
      <c r="AD2511" t="s">
        <v>2272</v>
      </c>
      <c r="AF2511" t="s">
        <v>49</v>
      </c>
      <c r="AI2511" t="s">
        <v>49</v>
      </c>
      <c r="AM2511" t="s">
        <v>1454</v>
      </c>
      <c r="AN2511" t="s">
        <v>154</v>
      </c>
      <c r="AQ2511" s="5">
        <v>0</v>
      </c>
    </row>
    <row r="2512" spans="1:43" x14ac:dyDescent="0.2">
      <c r="A2512" t="s">
        <v>1452</v>
      </c>
      <c r="B2512" t="s">
        <v>1453</v>
      </c>
      <c r="C2512" s="1">
        <v>2015</v>
      </c>
      <c r="D2512" t="s">
        <v>811</v>
      </c>
      <c r="F2512" t="s">
        <v>588</v>
      </c>
      <c r="G2512" t="s">
        <v>86</v>
      </c>
      <c r="H2512" t="s">
        <v>350</v>
      </c>
      <c r="I2512">
        <v>2010</v>
      </c>
      <c r="J2512">
        <f t="shared" si="52"/>
        <v>0.25</v>
      </c>
      <c r="K2512" t="s">
        <v>101</v>
      </c>
      <c r="M2512">
        <f t="shared" si="53"/>
        <v>0.48999999999999994</v>
      </c>
      <c r="N2512" t="s">
        <v>126</v>
      </c>
      <c r="O2512" t="s">
        <v>126</v>
      </c>
      <c r="P2512" t="s">
        <v>2571</v>
      </c>
      <c r="Q2512" s="1" t="s">
        <v>2281</v>
      </c>
      <c r="R2512" s="1" t="s">
        <v>2282</v>
      </c>
      <c r="S2512" s="1" t="s">
        <v>126</v>
      </c>
      <c r="T2512" t="s">
        <v>421</v>
      </c>
      <c r="U2512" t="s">
        <v>421</v>
      </c>
      <c r="X2512" t="s">
        <v>1448</v>
      </c>
      <c r="Y2512" t="s">
        <v>2272</v>
      </c>
      <c r="Z2512" t="s">
        <v>2272</v>
      </c>
      <c r="AA2512" t="s">
        <v>2272</v>
      </c>
      <c r="AB2512" t="s">
        <v>2272</v>
      </c>
      <c r="AC2512" t="s">
        <v>162</v>
      </c>
      <c r="AD2512" t="s">
        <v>2272</v>
      </c>
      <c r="AF2512" t="s">
        <v>49</v>
      </c>
      <c r="AI2512" t="s">
        <v>49</v>
      </c>
      <c r="AM2512" t="s">
        <v>1454</v>
      </c>
      <c r="AN2512" t="s">
        <v>154</v>
      </c>
      <c r="AQ2512" s="5">
        <v>0</v>
      </c>
    </row>
    <row r="2513" spans="1:43" x14ac:dyDescent="0.2">
      <c r="A2513" t="s">
        <v>1452</v>
      </c>
      <c r="B2513" t="s">
        <v>1453</v>
      </c>
      <c r="C2513" s="1">
        <v>2015</v>
      </c>
      <c r="D2513" t="s">
        <v>811</v>
      </c>
      <c r="F2513" t="s">
        <v>588</v>
      </c>
      <c r="G2513" t="s">
        <v>86</v>
      </c>
      <c r="H2513" t="s">
        <v>350</v>
      </c>
      <c r="I2513">
        <v>2010</v>
      </c>
      <c r="J2513">
        <f t="shared" si="52"/>
        <v>0.25</v>
      </c>
      <c r="K2513" t="s">
        <v>101</v>
      </c>
      <c r="M2513">
        <f t="shared" si="53"/>
        <v>0.48999999999999994</v>
      </c>
      <c r="N2513" t="s">
        <v>123</v>
      </c>
      <c r="O2513" t="s">
        <v>123</v>
      </c>
      <c r="P2513" t="s">
        <v>518</v>
      </c>
      <c r="Q2513" s="1" t="s">
        <v>2281</v>
      </c>
      <c r="R2513" s="1" t="s">
        <v>2282</v>
      </c>
      <c r="S2513" s="1" t="s">
        <v>123</v>
      </c>
      <c r="T2513" t="s">
        <v>396</v>
      </c>
      <c r="U2513" t="s">
        <v>126</v>
      </c>
      <c r="X2513" t="s">
        <v>1448</v>
      </c>
      <c r="Y2513" t="s">
        <v>2272</v>
      </c>
      <c r="Z2513" t="s">
        <v>2272</v>
      </c>
      <c r="AA2513" t="s">
        <v>2272</v>
      </c>
      <c r="AB2513" t="s">
        <v>2272</v>
      </c>
      <c r="AC2513" t="s">
        <v>162</v>
      </c>
      <c r="AD2513" t="s">
        <v>2272</v>
      </c>
      <c r="AF2513" t="s">
        <v>49</v>
      </c>
      <c r="AI2513" t="s">
        <v>49</v>
      </c>
      <c r="AM2513" t="s">
        <v>1454</v>
      </c>
      <c r="AN2513" t="s">
        <v>154</v>
      </c>
      <c r="AQ2513" s="5">
        <v>0</v>
      </c>
    </row>
    <row r="2514" spans="1:43" x14ac:dyDescent="0.2">
      <c r="A2514" t="s">
        <v>1452</v>
      </c>
      <c r="B2514" t="s">
        <v>1453</v>
      </c>
      <c r="C2514" s="1">
        <v>2015</v>
      </c>
      <c r="D2514" t="s">
        <v>811</v>
      </c>
      <c r="F2514" t="s">
        <v>588</v>
      </c>
      <c r="G2514" t="s">
        <v>86</v>
      </c>
      <c r="H2514" t="s">
        <v>350</v>
      </c>
      <c r="I2514">
        <v>2010</v>
      </c>
      <c r="J2514">
        <f t="shared" si="52"/>
        <v>0.25</v>
      </c>
      <c r="K2514" t="s">
        <v>101</v>
      </c>
      <c r="M2514">
        <f t="shared" si="53"/>
        <v>0.48999999999999994</v>
      </c>
      <c r="N2514" t="s">
        <v>126</v>
      </c>
      <c r="O2514" t="s">
        <v>126</v>
      </c>
      <c r="P2514" t="s">
        <v>2571</v>
      </c>
      <c r="Q2514" s="1" t="s">
        <v>2281</v>
      </c>
      <c r="R2514" s="1" t="s">
        <v>2282</v>
      </c>
      <c r="S2514" s="1" t="s">
        <v>126</v>
      </c>
      <c r="T2514" t="s">
        <v>396</v>
      </c>
      <c r="U2514" t="s">
        <v>123</v>
      </c>
      <c r="X2514" t="s">
        <v>1448</v>
      </c>
      <c r="Y2514" t="s">
        <v>2272</v>
      </c>
      <c r="Z2514" t="s">
        <v>2272</v>
      </c>
      <c r="AA2514" t="s">
        <v>2272</v>
      </c>
      <c r="AB2514" t="s">
        <v>2272</v>
      </c>
      <c r="AC2514" t="s">
        <v>162</v>
      </c>
      <c r="AD2514" t="s">
        <v>2272</v>
      </c>
      <c r="AF2514" t="s">
        <v>49</v>
      </c>
      <c r="AI2514" t="s">
        <v>49</v>
      </c>
      <c r="AM2514" t="s">
        <v>1454</v>
      </c>
      <c r="AN2514" t="s">
        <v>154</v>
      </c>
      <c r="AQ2514" s="5">
        <v>0</v>
      </c>
    </row>
    <row r="2515" spans="1:43" x14ac:dyDescent="0.2">
      <c r="A2515" t="s">
        <v>1452</v>
      </c>
      <c r="B2515" t="s">
        <v>1453</v>
      </c>
      <c r="C2515" s="1">
        <v>2015</v>
      </c>
      <c r="D2515" t="s">
        <v>811</v>
      </c>
      <c r="F2515" t="s">
        <v>588</v>
      </c>
      <c r="G2515" t="s">
        <v>86</v>
      </c>
      <c r="H2515" t="s">
        <v>350</v>
      </c>
      <c r="I2515">
        <v>2010</v>
      </c>
      <c r="J2515">
        <f t="shared" si="52"/>
        <v>0.25</v>
      </c>
      <c r="K2515" t="s">
        <v>101</v>
      </c>
      <c r="M2515">
        <f t="shared" si="53"/>
        <v>0.48999999999999994</v>
      </c>
      <c r="N2515" t="s">
        <v>123</v>
      </c>
      <c r="O2515" t="s">
        <v>123</v>
      </c>
      <c r="P2515" t="s">
        <v>518</v>
      </c>
      <c r="Q2515" s="1" t="s">
        <v>2281</v>
      </c>
      <c r="R2515" s="1" t="s">
        <v>2282</v>
      </c>
      <c r="S2515" s="1" t="s">
        <v>123</v>
      </c>
      <c r="T2515" t="s">
        <v>421</v>
      </c>
      <c r="U2515" t="s">
        <v>421</v>
      </c>
      <c r="X2515" t="s">
        <v>1448</v>
      </c>
      <c r="Y2515" t="s">
        <v>2272</v>
      </c>
      <c r="Z2515" t="s">
        <v>2272</v>
      </c>
      <c r="AA2515" t="s">
        <v>2272</v>
      </c>
      <c r="AB2515" t="s">
        <v>2272</v>
      </c>
      <c r="AC2515" t="s">
        <v>162</v>
      </c>
      <c r="AD2515" t="s">
        <v>2272</v>
      </c>
      <c r="AF2515" t="s">
        <v>49</v>
      </c>
      <c r="AI2515" t="s">
        <v>49</v>
      </c>
      <c r="AM2515" t="s">
        <v>1454</v>
      </c>
      <c r="AN2515" t="s">
        <v>165</v>
      </c>
      <c r="AP2515" t="s">
        <v>49</v>
      </c>
    </row>
    <row r="2516" spans="1:43" x14ac:dyDescent="0.2">
      <c r="A2516" t="s">
        <v>1452</v>
      </c>
      <c r="B2516" t="s">
        <v>1453</v>
      </c>
      <c r="C2516" s="1">
        <v>2015</v>
      </c>
      <c r="D2516" t="s">
        <v>811</v>
      </c>
      <c r="F2516" t="s">
        <v>588</v>
      </c>
      <c r="G2516" t="s">
        <v>86</v>
      </c>
      <c r="H2516" t="s">
        <v>350</v>
      </c>
      <c r="I2516">
        <v>2010</v>
      </c>
      <c r="J2516">
        <f t="shared" si="52"/>
        <v>0.25</v>
      </c>
      <c r="K2516" t="s">
        <v>101</v>
      </c>
      <c r="M2516">
        <f t="shared" si="53"/>
        <v>0.48999999999999994</v>
      </c>
      <c r="N2516" t="s">
        <v>126</v>
      </c>
      <c r="O2516" t="s">
        <v>126</v>
      </c>
      <c r="P2516" t="s">
        <v>2571</v>
      </c>
      <c r="Q2516" s="1" t="s">
        <v>2281</v>
      </c>
      <c r="R2516" s="1" t="s">
        <v>2282</v>
      </c>
      <c r="S2516" s="1" t="s">
        <v>126</v>
      </c>
      <c r="T2516" t="s">
        <v>421</v>
      </c>
      <c r="U2516" t="s">
        <v>421</v>
      </c>
      <c r="X2516" t="s">
        <v>1448</v>
      </c>
      <c r="Y2516" t="s">
        <v>2272</v>
      </c>
      <c r="Z2516" t="s">
        <v>2272</v>
      </c>
      <c r="AA2516" t="s">
        <v>2272</v>
      </c>
      <c r="AB2516" t="s">
        <v>2272</v>
      </c>
      <c r="AC2516" t="s">
        <v>162</v>
      </c>
      <c r="AD2516" t="s">
        <v>2272</v>
      </c>
      <c r="AF2516" t="s">
        <v>49</v>
      </c>
      <c r="AI2516" t="s">
        <v>49</v>
      </c>
      <c r="AM2516" t="s">
        <v>1454</v>
      </c>
      <c r="AN2516" t="s">
        <v>165</v>
      </c>
      <c r="AP2516" t="s">
        <v>49</v>
      </c>
    </row>
    <row r="2517" spans="1:43" x14ac:dyDescent="0.2">
      <c r="A2517" t="s">
        <v>1452</v>
      </c>
      <c r="B2517" t="s">
        <v>1453</v>
      </c>
      <c r="C2517" s="1">
        <v>2015</v>
      </c>
      <c r="D2517" t="s">
        <v>811</v>
      </c>
      <c r="F2517" t="s">
        <v>588</v>
      </c>
      <c r="G2517" t="s">
        <v>86</v>
      </c>
      <c r="H2517" t="s">
        <v>350</v>
      </c>
      <c r="I2517">
        <v>2010</v>
      </c>
      <c r="J2517">
        <f t="shared" si="52"/>
        <v>0.25</v>
      </c>
      <c r="K2517" t="s">
        <v>101</v>
      </c>
      <c r="M2517">
        <f t="shared" si="53"/>
        <v>0.48999999999999994</v>
      </c>
      <c r="N2517" t="s">
        <v>123</v>
      </c>
      <c r="O2517" t="s">
        <v>123</v>
      </c>
      <c r="P2517" t="s">
        <v>518</v>
      </c>
      <c r="Q2517" s="1" t="s">
        <v>2281</v>
      </c>
      <c r="R2517" s="1" t="s">
        <v>2282</v>
      </c>
      <c r="S2517" s="1" t="s">
        <v>123</v>
      </c>
      <c r="T2517" t="s">
        <v>396</v>
      </c>
      <c r="U2517" t="s">
        <v>126</v>
      </c>
      <c r="X2517" t="s">
        <v>1448</v>
      </c>
      <c r="Y2517" t="s">
        <v>2272</v>
      </c>
      <c r="Z2517" t="s">
        <v>2272</v>
      </c>
      <c r="AA2517" t="s">
        <v>2272</v>
      </c>
      <c r="AB2517" t="s">
        <v>2272</v>
      </c>
      <c r="AC2517" t="s">
        <v>162</v>
      </c>
      <c r="AD2517" t="s">
        <v>2272</v>
      </c>
      <c r="AF2517" t="s">
        <v>49</v>
      </c>
      <c r="AI2517" t="s">
        <v>49</v>
      </c>
      <c r="AM2517" t="s">
        <v>1454</v>
      </c>
      <c r="AN2517" t="s">
        <v>165</v>
      </c>
      <c r="AQ2517" s="5">
        <v>0</v>
      </c>
    </row>
    <row r="2518" spans="1:43" x14ac:dyDescent="0.2">
      <c r="A2518" t="s">
        <v>1452</v>
      </c>
      <c r="B2518" t="s">
        <v>1453</v>
      </c>
      <c r="C2518" s="1">
        <v>2015</v>
      </c>
      <c r="D2518" t="s">
        <v>811</v>
      </c>
      <c r="F2518" t="s">
        <v>588</v>
      </c>
      <c r="G2518" t="s">
        <v>86</v>
      </c>
      <c r="H2518" t="s">
        <v>350</v>
      </c>
      <c r="I2518">
        <v>2010</v>
      </c>
      <c r="J2518">
        <f t="shared" si="52"/>
        <v>0.25</v>
      </c>
      <c r="K2518" t="s">
        <v>101</v>
      </c>
      <c r="M2518">
        <f t="shared" si="53"/>
        <v>0.48999999999999994</v>
      </c>
      <c r="N2518" t="s">
        <v>126</v>
      </c>
      <c r="O2518" t="s">
        <v>126</v>
      </c>
      <c r="P2518" t="s">
        <v>2571</v>
      </c>
      <c r="Q2518" s="1" t="s">
        <v>2281</v>
      </c>
      <c r="R2518" s="1" t="s">
        <v>2282</v>
      </c>
      <c r="S2518" s="1" t="s">
        <v>126</v>
      </c>
      <c r="T2518" t="s">
        <v>396</v>
      </c>
      <c r="U2518" t="s">
        <v>123</v>
      </c>
      <c r="X2518" t="s">
        <v>1448</v>
      </c>
      <c r="Y2518" t="s">
        <v>2272</v>
      </c>
      <c r="Z2518" t="s">
        <v>2272</v>
      </c>
      <c r="AA2518" t="s">
        <v>2272</v>
      </c>
      <c r="AB2518" t="s">
        <v>2272</v>
      </c>
      <c r="AC2518" t="s">
        <v>162</v>
      </c>
      <c r="AD2518" t="s">
        <v>2272</v>
      </c>
      <c r="AF2518" t="s">
        <v>49</v>
      </c>
      <c r="AI2518" t="s">
        <v>49</v>
      </c>
      <c r="AM2518" t="s">
        <v>1454</v>
      </c>
      <c r="AN2518" t="s">
        <v>165</v>
      </c>
      <c r="AQ2518" s="5">
        <v>0</v>
      </c>
    </row>
    <row r="2519" spans="1:43" x14ac:dyDescent="0.2">
      <c r="A2519" t="s">
        <v>1452</v>
      </c>
      <c r="B2519" t="s">
        <v>1453</v>
      </c>
      <c r="C2519" s="1">
        <v>2015</v>
      </c>
      <c r="D2519" t="s">
        <v>811</v>
      </c>
      <c r="F2519" t="s">
        <v>588</v>
      </c>
      <c r="G2519" t="s">
        <v>86</v>
      </c>
      <c r="H2519" t="s">
        <v>350</v>
      </c>
      <c r="I2519">
        <v>2010</v>
      </c>
      <c r="J2519">
        <f t="shared" si="52"/>
        <v>0.25</v>
      </c>
      <c r="K2519" t="s">
        <v>101</v>
      </c>
      <c r="M2519">
        <f t="shared" si="53"/>
        <v>0.48999999999999994</v>
      </c>
      <c r="N2519" t="s">
        <v>123</v>
      </c>
      <c r="O2519" t="s">
        <v>123</v>
      </c>
      <c r="P2519" t="s">
        <v>518</v>
      </c>
      <c r="Q2519" s="1" t="s">
        <v>2281</v>
      </c>
      <c r="R2519" s="1" t="s">
        <v>2282</v>
      </c>
      <c r="S2519" s="1" t="s">
        <v>123</v>
      </c>
      <c r="T2519" t="s">
        <v>421</v>
      </c>
      <c r="U2519" t="s">
        <v>421</v>
      </c>
      <c r="X2519" t="s">
        <v>1448</v>
      </c>
      <c r="Y2519" t="s">
        <v>2272</v>
      </c>
      <c r="Z2519" t="s">
        <v>2272</v>
      </c>
      <c r="AA2519" t="s">
        <v>2272</v>
      </c>
      <c r="AB2519" t="s">
        <v>2272</v>
      </c>
      <c r="AC2519" t="s">
        <v>162</v>
      </c>
      <c r="AD2519" t="s">
        <v>2272</v>
      </c>
      <c r="AH2519" s="4" t="s">
        <v>49</v>
      </c>
      <c r="AI2519" t="s">
        <v>49</v>
      </c>
      <c r="AM2519" t="s">
        <v>233</v>
      </c>
      <c r="AN2519" t="s">
        <v>154</v>
      </c>
      <c r="AQ2519" s="5">
        <v>1</v>
      </c>
    </row>
    <row r="2520" spans="1:43" x14ac:dyDescent="0.2">
      <c r="A2520" t="s">
        <v>1452</v>
      </c>
      <c r="B2520" t="s">
        <v>1453</v>
      </c>
      <c r="C2520" s="1">
        <v>2015</v>
      </c>
      <c r="D2520" t="s">
        <v>811</v>
      </c>
      <c r="F2520" t="s">
        <v>588</v>
      </c>
      <c r="G2520" t="s">
        <v>86</v>
      </c>
      <c r="H2520" t="s">
        <v>350</v>
      </c>
      <c r="I2520">
        <v>2010</v>
      </c>
      <c r="J2520">
        <f t="shared" si="52"/>
        <v>0.25</v>
      </c>
      <c r="K2520" t="s">
        <v>101</v>
      </c>
      <c r="M2520">
        <f t="shared" si="53"/>
        <v>0.48999999999999994</v>
      </c>
      <c r="N2520" t="s">
        <v>126</v>
      </c>
      <c r="O2520" t="s">
        <v>126</v>
      </c>
      <c r="P2520" t="s">
        <v>2571</v>
      </c>
      <c r="Q2520" s="1" t="s">
        <v>2281</v>
      </c>
      <c r="R2520" s="1" t="s">
        <v>2282</v>
      </c>
      <c r="S2520" s="1" t="s">
        <v>126</v>
      </c>
      <c r="T2520" t="s">
        <v>421</v>
      </c>
      <c r="U2520" t="s">
        <v>421</v>
      </c>
      <c r="X2520" t="s">
        <v>1448</v>
      </c>
      <c r="Y2520" t="s">
        <v>2272</v>
      </c>
      <c r="Z2520" t="s">
        <v>2272</v>
      </c>
      <c r="AA2520" t="s">
        <v>2272</v>
      </c>
      <c r="AB2520" t="s">
        <v>2272</v>
      </c>
      <c r="AC2520" t="s">
        <v>162</v>
      </c>
      <c r="AD2520" t="s">
        <v>2272</v>
      </c>
      <c r="AH2520" s="4" t="s">
        <v>49</v>
      </c>
      <c r="AI2520" t="s">
        <v>49</v>
      </c>
      <c r="AM2520" t="s">
        <v>233</v>
      </c>
      <c r="AN2520" t="s">
        <v>154</v>
      </c>
      <c r="AP2520" t="s">
        <v>51</v>
      </c>
      <c r="AQ2520" s="5">
        <v>0</v>
      </c>
    </row>
    <row r="2521" spans="1:43" x14ac:dyDescent="0.2">
      <c r="A2521" t="s">
        <v>1452</v>
      </c>
      <c r="B2521" t="s">
        <v>1453</v>
      </c>
      <c r="C2521" s="1">
        <v>2015</v>
      </c>
      <c r="D2521" t="s">
        <v>811</v>
      </c>
      <c r="F2521" t="s">
        <v>588</v>
      </c>
      <c r="G2521" t="s">
        <v>86</v>
      </c>
      <c r="H2521" t="s">
        <v>350</v>
      </c>
      <c r="I2521">
        <v>2010</v>
      </c>
      <c r="J2521">
        <f t="shared" si="52"/>
        <v>0.25</v>
      </c>
      <c r="K2521" t="s">
        <v>101</v>
      </c>
      <c r="M2521">
        <f t="shared" si="53"/>
        <v>0.48999999999999994</v>
      </c>
      <c r="N2521" t="s">
        <v>123</v>
      </c>
      <c r="O2521" t="s">
        <v>123</v>
      </c>
      <c r="P2521" t="s">
        <v>518</v>
      </c>
      <c r="Q2521" s="1" t="s">
        <v>2281</v>
      </c>
      <c r="R2521" s="1" t="s">
        <v>2282</v>
      </c>
      <c r="S2521" s="1" t="s">
        <v>123</v>
      </c>
      <c r="T2521" t="s">
        <v>396</v>
      </c>
      <c r="U2521" t="s">
        <v>126</v>
      </c>
      <c r="X2521" t="s">
        <v>1448</v>
      </c>
      <c r="Y2521" t="s">
        <v>2272</v>
      </c>
      <c r="Z2521" t="s">
        <v>2272</v>
      </c>
      <c r="AA2521" t="s">
        <v>2272</v>
      </c>
      <c r="AB2521" t="s">
        <v>2272</v>
      </c>
      <c r="AC2521" t="s">
        <v>162</v>
      </c>
      <c r="AD2521" t="s">
        <v>2272</v>
      </c>
      <c r="AH2521" s="4" t="s">
        <v>49</v>
      </c>
      <c r="AI2521" t="s">
        <v>49</v>
      </c>
      <c r="AM2521" t="s">
        <v>233</v>
      </c>
      <c r="AN2521" t="s">
        <v>154</v>
      </c>
      <c r="AQ2521" s="5">
        <v>0</v>
      </c>
    </row>
    <row r="2522" spans="1:43" x14ac:dyDescent="0.2">
      <c r="A2522" t="s">
        <v>1452</v>
      </c>
      <c r="B2522" t="s">
        <v>1453</v>
      </c>
      <c r="C2522" s="1">
        <v>2015</v>
      </c>
      <c r="D2522" t="s">
        <v>811</v>
      </c>
      <c r="F2522" t="s">
        <v>588</v>
      </c>
      <c r="G2522" t="s">
        <v>86</v>
      </c>
      <c r="H2522" t="s">
        <v>350</v>
      </c>
      <c r="I2522">
        <v>2010</v>
      </c>
      <c r="J2522">
        <f t="shared" si="52"/>
        <v>0.25</v>
      </c>
      <c r="K2522" t="s">
        <v>101</v>
      </c>
      <c r="M2522">
        <f t="shared" si="53"/>
        <v>0.48999999999999994</v>
      </c>
      <c r="N2522" t="s">
        <v>126</v>
      </c>
      <c r="O2522" t="s">
        <v>126</v>
      </c>
      <c r="P2522" t="s">
        <v>2571</v>
      </c>
      <c r="Q2522" s="1" t="s">
        <v>2281</v>
      </c>
      <c r="R2522" s="1" t="s">
        <v>2282</v>
      </c>
      <c r="S2522" s="1" t="s">
        <v>126</v>
      </c>
      <c r="T2522" t="s">
        <v>396</v>
      </c>
      <c r="U2522" t="s">
        <v>123</v>
      </c>
      <c r="X2522" t="s">
        <v>1448</v>
      </c>
      <c r="Y2522" t="s">
        <v>2272</v>
      </c>
      <c r="Z2522" t="s">
        <v>2272</v>
      </c>
      <c r="AA2522" t="s">
        <v>2272</v>
      </c>
      <c r="AB2522" t="s">
        <v>2272</v>
      </c>
      <c r="AC2522" t="s">
        <v>162</v>
      </c>
      <c r="AD2522" t="s">
        <v>2272</v>
      </c>
      <c r="AH2522" s="4" t="s">
        <v>49</v>
      </c>
      <c r="AI2522" t="s">
        <v>49</v>
      </c>
      <c r="AM2522" t="s">
        <v>233</v>
      </c>
      <c r="AN2522" t="s">
        <v>154</v>
      </c>
      <c r="AQ2522" s="5">
        <v>0</v>
      </c>
    </row>
    <row r="2523" spans="1:43" x14ac:dyDescent="0.2">
      <c r="A2523" t="s">
        <v>1452</v>
      </c>
      <c r="B2523" t="s">
        <v>1453</v>
      </c>
      <c r="C2523" s="1">
        <v>2015</v>
      </c>
      <c r="D2523" t="s">
        <v>811</v>
      </c>
      <c r="F2523" t="s">
        <v>588</v>
      </c>
      <c r="G2523" t="s">
        <v>86</v>
      </c>
      <c r="H2523" t="s">
        <v>350</v>
      </c>
      <c r="I2523">
        <v>2010</v>
      </c>
      <c r="J2523">
        <f t="shared" si="52"/>
        <v>0.25</v>
      </c>
      <c r="K2523" t="s">
        <v>101</v>
      </c>
      <c r="M2523">
        <f t="shared" si="53"/>
        <v>0.48999999999999994</v>
      </c>
      <c r="N2523" t="s">
        <v>123</v>
      </c>
      <c r="O2523" t="s">
        <v>123</v>
      </c>
      <c r="P2523" t="s">
        <v>518</v>
      </c>
      <c r="Q2523" s="1" t="s">
        <v>2281</v>
      </c>
      <c r="R2523" s="1" t="s">
        <v>2282</v>
      </c>
      <c r="S2523" s="1" t="s">
        <v>123</v>
      </c>
      <c r="T2523" t="s">
        <v>421</v>
      </c>
      <c r="U2523" t="s">
        <v>421</v>
      </c>
      <c r="X2523" t="s">
        <v>1448</v>
      </c>
      <c r="Y2523" t="s">
        <v>2272</v>
      </c>
      <c r="Z2523" t="s">
        <v>2272</v>
      </c>
      <c r="AA2523" t="s">
        <v>2272</v>
      </c>
      <c r="AB2523" t="s">
        <v>2272</v>
      </c>
      <c r="AC2523" t="s">
        <v>162</v>
      </c>
      <c r="AD2523" t="s">
        <v>2272</v>
      </c>
      <c r="AH2523" s="4" t="s">
        <v>49</v>
      </c>
      <c r="AI2523" t="s">
        <v>49</v>
      </c>
      <c r="AM2523" t="s">
        <v>233</v>
      </c>
      <c r="AN2523" t="s">
        <v>166</v>
      </c>
      <c r="AQ2523" s="5">
        <v>0</v>
      </c>
    </row>
    <row r="2524" spans="1:43" x14ac:dyDescent="0.2">
      <c r="A2524" t="s">
        <v>1452</v>
      </c>
      <c r="B2524" t="s">
        <v>1453</v>
      </c>
      <c r="C2524" s="1">
        <v>2015</v>
      </c>
      <c r="D2524" t="s">
        <v>811</v>
      </c>
      <c r="F2524" t="s">
        <v>588</v>
      </c>
      <c r="G2524" t="s">
        <v>86</v>
      </c>
      <c r="H2524" t="s">
        <v>350</v>
      </c>
      <c r="I2524">
        <v>2010</v>
      </c>
      <c r="J2524">
        <f t="shared" si="52"/>
        <v>0.25</v>
      </c>
      <c r="K2524" t="s">
        <v>101</v>
      </c>
      <c r="M2524">
        <f t="shared" si="53"/>
        <v>0.48999999999999994</v>
      </c>
      <c r="N2524" t="s">
        <v>126</v>
      </c>
      <c r="O2524" t="s">
        <v>126</v>
      </c>
      <c r="P2524" t="s">
        <v>2571</v>
      </c>
      <c r="Q2524" s="1" t="s">
        <v>2281</v>
      </c>
      <c r="R2524" s="1" t="s">
        <v>2282</v>
      </c>
      <c r="S2524" s="1" t="s">
        <v>126</v>
      </c>
      <c r="T2524" t="s">
        <v>421</v>
      </c>
      <c r="U2524" t="s">
        <v>421</v>
      </c>
      <c r="X2524" t="s">
        <v>1448</v>
      </c>
      <c r="Y2524" t="s">
        <v>2272</v>
      </c>
      <c r="Z2524" t="s">
        <v>2272</v>
      </c>
      <c r="AA2524" t="s">
        <v>2272</v>
      </c>
      <c r="AB2524" t="s">
        <v>2272</v>
      </c>
      <c r="AC2524" t="s">
        <v>162</v>
      </c>
      <c r="AD2524" t="s">
        <v>2272</v>
      </c>
      <c r="AH2524" s="4" t="s">
        <v>49</v>
      </c>
      <c r="AI2524" t="s">
        <v>49</v>
      </c>
      <c r="AM2524" t="s">
        <v>233</v>
      </c>
      <c r="AN2524" t="s">
        <v>166</v>
      </c>
      <c r="AQ2524" s="5">
        <v>0</v>
      </c>
    </row>
    <row r="2525" spans="1:43" x14ac:dyDescent="0.2">
      <c r="A2525" t="s">
        <v>1452</v>
      </c>
      <c r="B2525" t="s">
        <v>1453</v>
      </c>
      <c r="C2525" s="1">
        <v>2015</v>
      </c>
      <c r="D2525" t="s">
        <v>811</v>
      </c>
      <c r="F2525" t="s">
        <v>588</v>
      </c>
      <c r="G2525" t="s">
        <v>86</v>
      </c>
      <c r="H2525" t="s">
        <v>350</v>
      </c>
      <c r="I2525">
        <v>2010</v>
      </c>
      <c r="J2525">
        <f t="shared" si="52"/>
        <v>0.25</v>
      </c>
      <c r="K2525" t="s">
        <v>101</v>
      </c>
      <c r="M2525">
        <f t="shared" si="53"/>
        <v>0.48999999999999994</v>
      </c>
      <c r="N2525" t="s">
        <v>123</v>
      </c>
      <c r="O2525" t="s">
        <v>123</v>
      </c>
      <c r="P2525" t="s">
        <v>518</v>
      </c>
      <c r="Q2525" s="1" t="s">
        <v>2281</v>
      </c>
      <c r="R2525" s="1" t="s">
        <v>2282</v>
      </c>
      <c r="S2525" s="1" t="s">
        <v>123</v>
      </c>
      <c r="T2525" t="s">
        <v>396</v>
      </c>
      <c r="U2525" t="s">
        <v>126</v>
      </c>
      <c r="X2525" t="s">
        <v>1448</v>
      </c>
      <c r="Y2525" t="s">
        <v>2272</v>
      </c>
      <c r="Z2525" t="s">
        <v>2272</v>
      </c>
      <c r="AA2525" t="s">
        <v>2272</v>
      </c>
      <c r="AB2525" t="s">
        <v>2272</v>
      </c>
      <c r="AC2525" t="s">
        <v>162</v>
      </c>
      <c r="AD2525" t="s">
        <v>2272</v>
      </c>
      <c r="AH2525" s="4" t="s">
        <v>49</v>
      </c>
      <c r="AI2525" t="s">
        <v>49</v>
      </c>
      <c r="AM2525" t="s">
        <v>233</v>
      </c>
      <c r="AN2525" t="s">
        <v>166</v>
      </c>
      <c r="AQ2525" s="5">
        <v>0</v>
      </c>
    </row>
    <row r="2526" spans="1:43" x14ac:dyDescent="0.2">
      <c r="A2526" t="s">
        <v>1452</v>
      </c>
      <c r="B2526" t="s">
        <v>1453</v>
      </c>
      <c r="C2526" s="1">
        <v>2015</v>
      </c>
      <c r="D2526" t="s">
        <v>811</v>
      </c>
      <c r="F2526" t="s">
        <v>588</v>
      </c>
      <c r="G2526" t="s">
        <v>86</v>
      </c>
      <c r="H2526" t="s">
        <v>350</v>
      </c>
      <c r="I2526">
        <v>2010</v>
      </c>
      <c r="J2526">
        <f t="shared" si="52"/>
        <v>0.25</v>
      </c>
      <c r="K2526" t="s">
        <v>101</v>
      </c>
      <c r="M2526">
        <f t="shared" si="53"/>
        <v>0.48999999999999994</v>
      </c>
      <c r="N2526" t="s">
        <v>126</v>
      </c>
      <c r="O2526" t="s">
        <v>126</v>
      </c>
      <c r="P2526" t="s">
        <v>2571</v>
      </c>
      <c r="Q2526" s="1" t="s">
        <v>2281</v>
      </c>
      <c r="R2526" s="1" t="s">
        <v>2282</v>
      </c>
      <c r="S2526" s="1" t="s">
        <v>126</v>
      </c>
      <c r="T2526" t="s">
        <v>396</v>
      </c>
      <c r="U2526" t="s">
        <v>123</v>
      </c>
      <c r="X2526" t="s">
        <v>1448</v>
      </c>
      <c r="Y2526" t="s">
        <v>2272</v>
      </c>
      <c r="Z2526" t="s">
        <v>2272</v>
      </c>
      <c r="AA2526" t="s">
        <v>2272</v>
      </c>
      <c r="AB2526" t="s">
        <v>2272</v>
      </c>
      <c r="AC2526" t="s">
        <v>162</v>
      </c>
      <c r="AD2526" t="s">
        <v>2272</v>
      </c>
      <c r="AH2526" s="4" t="s">
        <v>49</v>
      </c>
      <c r="AI2526" t="s">
        <v>49</v>
      </c>
      <c r="AM2526" t="s">
        <v>233</v>
      </c>
      <c r="AN2526" t="s">
        <v>166</v>
      </c>
      <c r="AQ2526" s="5">
        <v>0</v>
      </c>
    </row>
    <row r="2527" spans="1:43" x14ac:dyDescent="0.2">
      <c r="A2527" t="s">
        <v>1452</v>
      </c>
      <c r="B2527" t="s">
        <v>1453</v>
      </c>
      <c r="C2527" s="1">
        <v>2015</v>
      </c>
      <c r="D2527" t="s">
        <v>811</v>
      </c>
      <c r="F2527" t="s">
        <v>588</v>
      </c>
      <c r="G2527" t="s">
        <v>86</v>
      </c>
      <c r="H2527" t="s">
        <v>350</v>
      </c>
      <c r="I2527">
        <v>2010</v>
      </c>
      <c r="J2527">
        <f t="shared" si="52"/>
        <v>0.25</v>
      </c>
      <c r="K2527" t="s">
        <v>101</v>
      </c>
      <c r="M2527">
        <f t="shared" si="53"/>
        <v>0.48999999999999994</v>
      </c>
      <c r="N2527" t="s">
        <v>123</v>
      </c>
      <c r="O2527" t="s">
        <v>123</v>
      </c>
      <c r="P2527" t="s">
        <v>518</v>
      </c>
      <c r="Q2527" s="1" t="s">
        <v>2281</v>
      </c>
      <c r="R2527" s="1" t="s">
        <v>2282</v>
      </c>
      <c r="S2527" s="1" t="s">
        <v>123</v>
      </c>
      <c r="T2527" t="s">
        <v>421</v>
      </c>
      <c r="U2527" t="s">
        <v>421</v>
      </c>
      <c r="X2527" t="s">
        <v>1448</v>
      </c>
      <c r="Y2527" t="s">
        <v>2272</v>
      </c>
      <c r="Z2527" t="s">
        <v>2272</v>
      </c>
      <c r="AA2527" t="s">
        <v>2272</v>
      </c>
      <c r="AB2527" t="s">
        <v>2272</v>
      </c>
      <c r="AC2527" t="s">
        <v>162</v>
      </c>
      <c r="AD2527" t="s">
        <v>2272</v>
      </c>
      <c r="AH2527" s="4" t="s">
        <v>49</v>
      </c>
      <c r="AI2527" t="s">
        <v>49</v>
      </c>
      <c r="AM2527" t="s">
        <v>233</v>
      </c>
      <c r="AN2527" t="s">
        <v>171</v>
      </c>
      <c r="AQ2527" s="5">
        <v>1</v>
      </c>
    </row>
    <row r="2528" spans="1:43" x14ac:dyDescent="0.2">
      <c r="A2528" t="s">
        <v>1452</v>
      </c>
      <c r="B2528" t="s">
        <v>1453</v>
      </c>
      <c r="C2528" s="1">
        <v>2015</v>
      </c>
      <c r="D2528" t="s">
        <v>811</v>
      </c>
      <c r="F2528" t="s">
        <v>588</v>
      </c>
      <c r="G2528" t="s">
        <v>86</v>
      </c>
      <c r="H2528" t="s">
        <v>350</v>
      </c>
      <c r="I2528">
        <v>2010</v>
      </c>
      <c r="J2528">
        <f t="shared" si="52"/>
        <v>0.25</v>
      </c>
      <c r="K2528" t="s">
        <v>101</v>
      </c>
      <c r="M2528">
        <f t="shared" si="53"/>
        <v>0.48999999999999994</v>
      </c>
      <c r="N2528" t="s">
        <v>126</v>
      </c>
      <c r="O2528" t="s">
        <v>126</v>
      </c>
      <c r="P2528" t="s">
        <v>2571</v>
      </c>
      <c r="Q2528" s="1" t="s">
        <v>2281</v>
      </c>
      <c r="R2528" s="1" t="s">
        <v>2282</v>
      </c>
      <c r="S2528" s="1" t="s">
        <v>126</v>
      </c>
      <c r="T2528" t="s">
        <v>421</v>
      </c>
      <c r="U2528" t="s">
        <v>421</v>
      </c>
      <c r="X2528" t="s">
        <v>1448</v>
      </c>
      <c r="Y2528" t="s">
        <v>2272</v>
      </c>
      <c r="Z2528" t="s">
        <v>2272</v>
      </c>
      <c r="AA2528" t="s">
        <v>2272</v>
      </c>
      <c r="AB2528" t="s">
        <v>2272</v>
      </c>
      <c r="AC2528" t="s">
        <v>162</v>
      </c>
      <c r="AD2528" t="s">
        <v>2272</v>
      </c>
      <c r="AH2528" s="4" t="s">
        <v>49</v>
      </c>
      <c r="AI2528" t="s">
        <v>49</v>
      </c>
      <c r="AM2528" t="s">
        <v>233</v>
      </c>
      <c r="AN2528" t="s">
        <v>171</v>
      </c>
      <c r="AP2528" t="s">
        <v>51</v>
      </c>
      <c r="AQ2528" s="5">
        <v>0</v>
      </c>
    </row>
    <row r="2529" spans="1:43" x14ac:dyDescent="0.2">
      <c r="A2529" t="s">
        <v>1452</v>
      </c>
      <c r="B2529" t="s">
        <v>1453</v>
      </c>
      <c r="C2529" s="1">
        <v>2015</v>
      </c>
      <c r="D2529" t="s">
        <v>811</v>
      </c>
      <c r="F2529" t="s">
        <v>588</v>
      </c>
      <c r="G2529" t="s">
        <v>86</v>
      </c>
      <c r="H2529" t="s">
        <v>350</v>
      </c>
      <c r="I2529">
        <v>2010</v>
      </c>
      <c r="J2529">
        <f t="shared" si="52"/>
        <v>0.25</v>
      </c>
      <c r="K2529" t="s">
        <v>101</v>
      </c>
      <c r="M2529">
        <f t="shared" si="53"/>
        <v>0.48999999999999994</v>
      </c>
      <c r="N2529" t="s">
        <v>123</v>
      </c>
      <c r="O2529" t="s">
        <v>123</v>
      </c>
      <c r="P2529" t="s">
        <v>518</v>
      </c>
      <c r="Q2529" s="1" t="s">
        <v>2281</v>
      </c>
      <c r="R2529" s="1" t="s">
        <v>2282</v>
      </c>
      <c r="S2529" s="1" t="s">
        <v>123</v>
      </c>
      <c r="T2529" t="s">
        <v>396</v>
      </c>
      <c r="U2529" t="s">
        <v>126</v>
      </c>
      <c r="X2529" t="s">
        <v>1448</v>
      </c>
      <c r="Y2529" t="s">
        <v>2272</v>
      </c>
      <c r="Z2529" t="s">
        <v>2272</v>
      </c>
      <c r="AA2529" t="s">
        <v>2272</v>
      </c>
      <c r="AB2529" t="s">
        <v>2272</v>
      </c>
      <c r="AC2529" t="s">
        <v>162</v>
      </c>
      <c r="AD2529" t="s">
        <v>2272</v>
      </c>
      <c r="AH2529" s="4" t="s">
        <v>49</v>
      </c>
      <c r="AI2529" t="s">
        <v>49</v>
      </c>
      <c r="AM2529" t="s">
        <v>233</v>
      </c>
      <c r="AN2529" t="s">
        <v>171</v>
      </c>
      <c r="AQ2529" s="5">
        <v>0</v>
      </c>
    </row>
    <row r="2530" spans="1:43" x14ac:dyDescent="0.2">
      <c r="A2530" t="s">
        <v>1452</v>
      </c>
      <c r="B2530" t="s">
        <v>1453</v>
      </c>
      <c r="C2530" s="1">
        <v>2015</v>
      </c>
      <c r="D2530" t="s">
        <v>811</v>
      </c>
      <c r="F2530" t="s">
        <v>588</v>
      </c>
      <c r="G2530" t="s">
        <v>86</v>
      </c>
      <c r="H2530" t="s">
        <v>350</v>
      </c>
      <c r="I2530">
        <v>2010</v>
      </c>
      <c r="J2530">
        <f t="shared" si="52"/>
        <v>0.25</v>
      </c>
      <c r="K2530" t="s">
        <v>101</v>
      </c>
      <c r="M2530">
        <f t="shared" si="53"/>
        <v>0.48999999999999994</v>
      </c>
      <c r="N2530" t="s">
        <v>126</v>
      </c>
      <c r="O2530" t="s">
        <v>126</v>
      </c>
      <c r="P2530" t="s">
        <v>2571</v>
      </c>
      <c r="Q2530" s="1" t="s">
        <v>2281</v>
      </c>
      <c r="R2530" s="1" t="s">
        <v>2282</v>
      </c>
      <c r="S2530" s="1" t="s">
        <v>126</v>
      </c>
      <c r="T2530" t="s">
        <v>396</v>
      </c>
      <c r="U2530" t="s">
        <v>123</v>
      </c>
      <c r="X2530" t="s">
        <v>1448</v>
      </c>
      <c r="Y2530" t="s">
        <v>2272</v>
      </c>
      <c r="Z2530" t="s">
        <v>2272</v>
      </c>
      <c r="AA2530" t="s">
        <v>2272</v>
      </c>
      <c r="AB2530" t="s">
        <v>2272</v>
      </c>
      <c r="AC2530" t="s">
        <v>162</v>
      </c>
      <c r="AD2530" t="s">
        <v>2272</v>
      </c>
      <c r="AH2530" s="4" t="s">
        <v>49</v>
      </c>
      <c r="AI2530" t="s">
        <v>49</v>
      </c>
      <c r="AM2530" t="s">
        <v>233</v>
      </c>
      <c r="AN2530" t="s">
        <v>171</v>
      </c>
      <c r="AQ2530" s="5">
        <v>0</v>
      </c>
    </row>
    <row r="2531" spans="1:43" x14ac:dyDescent="0.2">
      <c r="A2531" t="s">
        <v>1452</v>
      </c>
      <c r="B2531" t="s">
        <v>1453</v>
      </c>
      <c r="C2531" s="1">
        <v>2015</v>
      </c>
      <c r="D2531" t="s">
        <v>811</v>
      </c>
      <c r="F2531" t="s">
        <v>588</v>
      </c>
      <c r="G2531" t="s">
        <v>86</v>
      </c>
      <c r="H2531" t="s">
        <v>350</v>
      </c>
      <c r="I2531">
        <v>2010</v>
      </c>
      <c r="J2531">
        <f t="shared" si="52"/>
        <v>0.25</v>
      </c>
      <c r="K2531" t="s">
        <v>101</v>
      </c>
      <c r="M2531">
        <f t="shared" si="53"/>
        <v>0.48999999999999994</v>
      </c>
      <c r="N2531" t="s">
        <v>123</v>
      </c>
      <c r="O2531" t="s">
        <v>123</v>
      </c>
      <c r="P2531" t="s">
        <v>518</v>
      </c>
      <c r="Q2531" s="1" t="s">
        <v>2281</v>
      </c>
      <c r="R2531" s="1" t="s">
        <v>2282</v>
      </c>
      <c r="S2531" s="1" t="s">
        <v>123</v>
      </c>
      <c r="T2531" t="s">
        <v>421</v>
      </c>
      <c r="U2531" t="s">
        <v>421</v>
      </c>
      <c r="X2531" t="s">
        <v>1448</v>
      </c>
      <c r="Y2531" t="s">
        <v>2272</v>
      </c>
      <c r="Z2531" t="s">
        <v>2272</v>
      </c>
      <c r="AA2531" t="s">
        <v>2272</v>
      </c>
      <c r="AB2531" t="s">
        <v>2272</v>
      </c>
      <c r="AC2531" t="s">
        <v>162</v>
      </c>
      <c r="AD2531" t="s">
        <v>2272</v>
      </c>
      <c r="AH2531" s="4" t="s">
        <v>49</v>
      </c>
      <c r="AL2531" t="s">
        <v>49</v>
      </c>
      <c r="AM2531" t="s">
        <v>1455</v>
      </c>
      <c r="AN2531" t="s">
        <v>171</v>
      </c>
      <c r="AQ2531" s="5">
        <v>1</v>
      </c>
    </row>
    <row r="2532" spans="1:43" x14ac:dyDescent="0.2">
      <c r="A2532" t="s">
        <v>1452</v>
      </c>
      <c r="B2532" t="s">
        <v>1453</v>
      </c>
      <c r="C2532" s="1">
        <v>2015</v>
      </c>
      <c r="D2532" t="s">
        <v>811</v>
      </c>
      <c r="F2532" t="s">
        <v>588</v>
      </c>
      <c r="G2532" t="s">
        <v>86</v>
      </c>
      <c r="H2532" t="s">
        <v>350</v>
      </c>
      <c r="I2532">
        <v>2010</v>
      </c>
      <c r="J2532">
        <f t="shared" si="52"/>
        <v>0.25</v>
      </c>
      <c r="K2532" t="s">
        <v>101</v>
      </c>
      <c r="M2532">
        <f t="shared" si="53"/>
        <v>0.48999999999999994</v>
      </c>
      <c r="N2532" t="s">
        <v>126</v>
      </c>
      <c r="O2532" t="s">
        <v>126</v>
      </c>
      <c r="P2532" t="s">
        <v>2571</v>
      </c>
      <c r="Q2532" s="1" t="s">
        <v>2281</v>
      </c>
      <c r="R2532" s="1" t="s">
        <v>2282</v>
      </c>
      <c r="S2532" s="1" t="s">
        <v>126</v>
      </c>
      <c r="T2532" t="s">
        <v>421</v>
      </c>
      <c r="U2532" t="s">
        <v>421</v>
      </c>
      <c r="X2532" t="s">
        <v>1448</v>
      </c>
      <c r="Y2532" t="s">
        <v>2272</v>
      </c>
      <c r="Z2532" t="s">
        <v>2272</v>
      </c>
      <c r="AA2532" t="s">
        <v>2272</v>
      </c>
      <c r="AB2532" t="s">
        <v>2272</v>
      </c>
      <c r="AC2532" t="s">
        <v>162</v>
      </c>
      <c r="AD2532" t="s">
        <v>2272</v>
      </c>
      <c r="AH2532" s="4" t="s">
        <v>49</v>
      </c>
      <c r="AL2532" t="s">
        <v>49</v>
      </c>
      <c r="AM2532" t="s">
        <v>1455</v>
      </c>
      <c r="AN2532" t="s">
        <v>171</v>
      </c>
      <c r="AP2532" t="s">
        <v>51</v>
      </c>
      <c r="AQ2532" s="5">
        <v>0</v>
      </c>
    </row>
    <row r="2533" spans="1:43" x14ac:dyDescent="0.2">
      <c r="A2533" t="s">
        <v>1452</v>
      </c>
      <c r="B2533" t="s">
        <v>1453</v>
      </c>
      <c r="C2533" s="1">
        <v>2015</v>
      </c>
      <c r="D2533" t="s">
        <v>811</v>
      </c>
      <c r="F2533" t="s">
        <v>588</v>
      </c>
      <c r="G2533" t="s">
        <v>86</v>
      </c>
      <c r="H2533" t="s">
        <v>350</v>
      </c>
      <c r="I2533">
        <v>2010</v>
      </c>
      <c r="J2533">
        <f t="shared" si="52"/>
        <v>0.25</v>
      </c>
      <c r="K2533" t="s">
        <v>101</v>
      </c>
      <c r="M2533">
        <f t="shared" si="53"/>
        <v>0.48999999999999994</v>
      </c>
      <c r="N2533" t="s">
        <v>123</v>
      </c>
      <c r="O2533" t="s">
        <v>123</v>
      </c>
      <c r="P2533" t="s">
        <v>518</v>
      </c>
      <c r="Q2533" s="1" t="s">
        <v>2281</v>
      </c>
      <c r="R2533" s="1" t="s">
        <v>2282</v>
      </c>
      <c r="S2533" s="1" t="s">
        <v>123</v>
      </c>
      <c r="T2533" t="s">
        <v>396</v>
      </c>
      <c r="U2533" t="s">
        <v>126</v>
      </c>
      <c r="X2533" t="s">
        <v>1448</v>
      </c>
      <c r="Y2533" t="s">
        <v>2272</v>
      </c>
      <c r="Z2533" t="s">
        <v>2272</v>
      </c>
      <c r="AA2533" t="s">
        <v>2272</v>
      </c>
      <c r="AB2533" t="s">
        <v>2272</v>
      </c>
      <c r="AC2533" t="s">
        <v>162</v>
      </c>
      <c r="AD2533" t="s">
        <v>2272</v>
      </c>
      <c r="AH2533" s="4" t="s">
        <v>49</v>
      </c>
      <c r="AL2533" t="s">
        <v>49</v>
      </c>
      <c r="AM2533" t="s">
        <v>1455</v>
      </c>
      <c r="AN2533" t="s">
        <v>171</v>
      </c>
      <c r="AQ2533" s="5">
        <v>2</v>
      </c>
    </row>
    <row r="2534" spans="1:43" x14ac:dyDescent="0.2">
      <c r="A2534" t="s">
        <v>1452</v>
      </c>
      <c r="B2534" t="s">
        <v>1453</v>
      </c>
      <c r="C2534" s="1">
        <v>2015</v>
      </c>
      <c r="D2534" t="s">
        <v>811</v>
      </c>
      <c r="F2534" t="s">
        <v>588</v>
      </c>
      <c r="G2534" t="s">
        <v>86</v>
      </c>
      <c r="H2534" t="s">
        <v>350</v>
      </c>
      <c r="I2534">
        <v>2010</v>
      </c>
      <c r="J2534">
        <f t="shared" si="52"/>
        <v>0.25</v>
      </c>
      <c r="K2534" t="s">
        <v>101</v>
      </c>
      <c r="M2534">
        <f t="shared" si="53"/>
        <v>0.48999999999999994</v>
      </c>
      <c r="N2534" t="s">
        <v>126</v>
      </c>
      <c r="O2534" t="s">
        <v>126</v>
      </c>
      <c r="P2534" t="s">
        <v>2571</v>
      </c>
      <c r="Q2534" s="1" t="s">
        <v>2281</v>
      </c>
      <c r="R2534" s="1" t="s">
        <v>2282</v>
      </c>
      <c r="S2534" s="1" t="s">
        <v>126</v>
      </c>
      <c r="T2534" t="s">
        <v>396</v>
      </c>
      <c r="U2534" t="s">
        <v>123</v>
      </c>
      <c r="X2534" t="s">
        <v>1448</v>
      </c>
      <c r="Y2534" t="s">
        <v>2272</v>
      </c>
      <c r="Z2534" t="s">
        <v>2272</v>
      </c>
      <c r="AA2534" t="s">
        <v>2272</v>
      </c>
      <c r="AB2534" t="s">
        <v>2272</v>
      </c>
      <c r="AC2534" t="s">
        <v>162</v>
      </c>
      <c r="AD2534" t="s">
        <v>2272</v>
      </c>
      <c r="AH2534" s="4" t="s">
        <v>49</v>
      </c>
      <c r="AL2534" t="s">
        <v>49</v>
      </c>
      <c r="AM2534" t="s">
        <v>1455</v>
      </c>
      <c r="AN2534" t="s">
        <v>171</v>
      </c>
      <c r="AQ2534" s="5">
        <v>1</v>
      </c>
    </row>
    <row r="2535" spans="1:43" x14ac:dyDescent="0.2">
      <c r="A2535" t="s">
        <v>1452</v>
      </c>
      <c r="B2535" t="s">
        <v>1453</v>
      </c>
      <c r="C2535" s="1">
        <v>2015</v>
      </c>
      <c r="D2535" t="s">
        <v>811</v>
      </c>
      <c r="F2535" t="s">
        <v>588</v>
      </c>
      <c r="G2535" t="s">
        <v>86</v>
      </c>
      <c r="H2535" t="s">
        <v>350</v>
      </c>
      <c r="I2535">
        <v>2010</v>
      </c>
      <c r="J2535">
        <f t="shared" si="52"/>
        <v>0.25</v>
      </c>
      <c r="K2535" t="s">
        <v>101</v>
      </c>
      <c r="M2535">
        <f t="shared" si="53"/>
        <v>0.48999999999999994</v>
      </c>
      <c r="N2535" t="s">
        <v>123</v>
      </c>
      <c r="O2535" t="s">
        <v>123</v>
      </c>
      <c r="P2535" t="s">
        <v>518</v>
      </c>
      <c r="Q2535" s="1" t="s">
        <v>2281</v>
      </c>
      <c r="R2535" s="1" t="s">
        <v>2282</v>
      </c>
      <c r="S2535" s="1" t="s">
        <v>123</v>
      </c>
      <c r="T2535" t="s">
        <v>421</v>
      </c>
      <c r="U2535" t="s">
        <v>421</v>
      </c>
      <c r="X2535" t="s">
        <v>1448</v>
      </c>
      <c r="Y2535" t="s">
        <v>2272</v>
      </c>
      <c r="Z2535" t="s">
        <v>2272</v>
      </c>
      <c r="AA2535" t="s">
        <v>2272</v>
      </c>
      <c r="AB2535" t="s">
        <v>2272</v>
      </c>
      <c r="AC2535" t="s">
        <v>162</v>
      </c>
      <c r="AD2535" t="s">
        <v>2272</v>
      </c>
      <c r="AH2535" t="s">
        <v>49</v>
      </c>
      <c r="AL2535" t="s">
        <v>49</v>
      </c>
      <c r="AM2535" t="s">
        <v>1456</v>
      </c>
      <c r="AN2535" t="s">
        <v>171</v>
      </c>
      <c r="AQ2535" s="5">
        <v>1</v>
      </c>
    </row>
    <row r="2536" spans="1:43" x14ac:dyDescent="0.2">
      <c r="A2536" t="s">
        <v>1452</v>
      </c>
      <c r="B2536" t="s">
        <v>1453</v>
      </c>
      <c r="C2536" s="1">
        <v>2015</v>
      </c>
      <c r="D2536" t="s">
        <v>811</v>
      </c>
      <c r="F2536" t="s">
        <v>588</v>
      </c>
      <c r="G2536" t="s">
        <v>86</v>
      </c>
      <c r="H2536" t="s">
        <v>350</v>
      </c>
      <c r="I2536">
        <v>2010</v>
      </c>
      <c r="J2536">
        <f t="shared" si="52"/>
        <v>0.25</v>
      </c>
      <c r="K2536" t="s">
        <v>101</v>
      </c>
      <c r="M2536">
        <f t="shared" si="53"/>
        <v>0.48999999999999994</v>
      </c>
      <c r="N2536" t="s">
        <v>126</v>
      </c>
      <c r="O2536" t="s">
        <v>126</v>
      </c>
      <c r="P2536" t="s">
        <v>2571</v>
      </c>
      <c r="Q2536" s="1" t="s">
        <v>2281</v>
      </c>
      <c r="R2536" s="1" t="s">
        <v>2282</v>
      </c>
      <c r="S2536" s="1" t="s">
        <v>126</v>
      </c>
      <c r="T2536" t="s">
        <v>421</v>
      </c>
      <c r="U2536" t="s">
        <v>421</v>
      </c>
      <c r="X2536" t="s">
        <v>1448</v>
      </c>
      <c r="Y2536" t="s">
        <v>2272</v>
      </c>
      <c r="Z2536" t="s">
        <v>2272</v>
      </c>
      <c r="AA2536" t="s">
        <v>2272</v>
      </c>
      <c r="AB2536" t="s">
        <v>2272</v>
      </c>
      <c r="AC2536" t="s">
        <v>162</v>
      </c>
      <c r="AD2536" t="s">
        <v>2272</v>
      </c>
      <c r="AH2536" t="s">
        <v>49</v>
      </c>
      <c r="AL2536" t="s">
        <v>49</v>
      </c>
      <c r="AM2536" t="s">
        <v>1456</v>
      </c>
      <c r="AN2536" t="s">
        <v>171</v>
      </c>
      <c r="AQ2536" s="5">
        <v>1</v>
      </c>
    </row>
    <row r="2537" spans="1:43" x14ac:dyDescent="0.2">
      <c r="A2537" t="s">
        <v>1452</v>
      </c>
      <c r="B2537" t="s">
        <v>1453</v>
      </c>
      <c r="C2537" s="1">
        <v>2015</v>
      </c>
      <c r="D2537" t="s">
        <v>811</v>
      </c>
      <c r="F2537" t="s">
        <v>588</v>
      </c>
      <c r="G2537" t="s">
        <v>86</v>
      </c>
      <c r="H2537" t="s">
        <v>350</v>
      </c>
      <c r="I2537">
        <v>2010</v>
      </c>
      <c r="J2537">
        <f t="shared" si="52"/>
        <v>0.25</v>
      </c>
      <c r="K2537" t="s">
        <v>101</v>
      </c>
      <c r="M2537">
        <f t="shared" si="53"/>
        <v>0.48999999999999994</v>
      </c>
      <c r="N2537" t="s">
        <v>123</v>
      </c>
      <c r="O2537" t="s">
        <v>123</v>
      </c>
      <c r="P2537" t="s">
        <v>518</v>
      </c>
      <c r="Q2537" s="1" t="s">
        <v>2281</v>
      </c>
      <c r="R2537" s="1" t="s">
        <v>2282</v>
      </c>
      <c r="S2537" s="1" t="s">
        <v>123</v>
      </c>
      <c r="T2537" t="s">
        <v>396</v>
      </c>
      <c r="U2537" t="s">
        <v>126</v>
      </c>
      <c r="X2537" t="s">
        <v>1448</v>
      </c>
      <c r="Y2537" t="s">
        <v>2272</v>
      </c>
      <c r="Z2537" t="s">
        <v>2272</v>
      </c>
      <c r="AA2537" t="s">
        <v>2272</v>
      </c>
      <c r="AB2537" t="s">
        <v>2272</v>
      </c>
      <c r="AC2537" t="s">
        <v>162</v>
      </c>
      <c r="AD2537" t="s">
        <v>2272</v>
      </c>
      <c r="AH2537" t="s">
        <v>49</v>
      </c>
      <c r="AL2537" t="s">
        <v>49</v>
      </c>
      <c r="AM2537" t="s">
        <v>1456</v>
      </c>
      <c r="AN2537" t="s">
        <v>171</v>
      </c>
      <c r="AQ2537" s="5">
        <v>0</v>
      </c>
    </row>
    <row r="2538" spans="1:43" x14ac:dyDescent="0.2">
      <c r="A2538" t="s">
        <v>1452</v>
      </c>
      <c r="B2538" t="s">
        <v>1453</v>
      </c>
      <c r="C2538" s="1">
        <v>2015</v>
      </c>
      <c r="D2538" t="s">
        <v>811</v>
      </c>
      <c r="F2538" t="s">
        <v>588</v>
      </c>
      <c r="G2538" t="s">
        <v>86</v>
      </c>
      <c r="H2538" t="s">
        <v>350</v>
      </c>
      <c r="I2538">
        <v>2010</v>
      </c>
      <c r="J2538">
        <f t="shared" si="52"/>
        <v>0.25</v>
      </c>
      <c r="K2538" t="s">
        <v>101</v>
      </c>
      <c r="M2538">
        <f t="shared" si="53"/>
        <v>0.48999999999999994</v>
      </c>
      <c r="N2538" t="s">
        <v>126</v>
      </c>
      <c r="O2538" t="s">
        <v>126</v>
      </c>
      <c r="P2538" t="s">
        <v>2571</v>
      </c>
      <c r="Q2538" s="1" t="s">
        <v>2281</v>
      </c>
      <c r="R2538" s="1" t="s">
        <v>2282</v>
      </c>
      <c r="S2538" s="1" t="s">
        <v>126</v>
      </c>
      <c r="T2538" t="s">
        <v>396</v>
      </c>
      <c r="U2538" t="s">
        <v>123</v>
      </c>
      <c r="X2538" t="s">
        <v>1448</v>
      </c>
      <c r="Y2538" t="s">
        <v>2272</v>
      </c>
      <c r="Z2538" t="s">
        <v>2272</v>
      </c>
      <c r="AA2538" t="s">
        <v>2272</v>
      </c>
      <c r="AB2538" t="s">
        <v>2272</v>
      </c>
      <c r="AC2538" t="s">
        <v>162</v>
      </c>
      <c r="AD2538" t="s">
        <v>2272</v>
      </c>
      <c r="AH2538" t="s">
        <v>49</v>
      </c>
      <c r="AL2538" t="s">
        <v>49</v>
      </c>
      <c r="AM2538" t="s">
        <v>1456</v>
      </c>
      <c r="AN2538" t="s">
        <v>171</v>
      </c>
      <c r="AQ2538" s="5">
        <v>0</v>
      </c>
    </row>
    <row r="2539" spans="1:43" x14ac:dyDescent="0.2">
      <c r="A2539" t="s">
        <v>1452</v>
      </c>
      <c r="B2539" t="s">
        <v>1453</v>
      </c>
      <c r="C2539" s="1">
        <v>2015</v>
      </c>
      <c r="D2539" t="s">
        <v>811</v>
      </c>
      <c r="F2539" t="s">
        <v>588</v>
      </c>
      <c r="G2539" t="s">
        <v>86</v>
      </c>
      <c r="H2539" t="s">
        <v>350</v>
      </c>
      <c r="I2539">
        <v>2010</v>
      </c>
      <c r="J2539">
        <f t="shared" si="52"/>
        <v>0.25</v>
      </c>
      <c r="K2539" t="s">
        <v>101</v>
      </c>
      <c r="M2539">
        <f t="shared" si="53"/>
        <v>0.48999999999999994</v>
      </c>
      <c r="N2539" t="s">
        <v>123</v>
      </c>
      <c r="O2539" t="s">
        <v>123</v>
      </c>
      <c r="P2539" t="s">
        <v>518</v>
      </c>
      <c r="Q2539" s="1" t="s">
        <v>2281</v>
      </c>
      <c r="R2539" s="1" t="s">
        <v>2282</v>
      </c>
      <c r="S2539" s="1" t="s">
        <v>123</v>
      </c>
      <c r="T2539" t="s">
        <v>421</v>
      </c>
      <c r="U2539" t="s">
        <v>421</v>
      </c>
      <c r="X2539" t="s">
        <v>1448</v>
      </c>
      <c r="Y2539" t="s">
        <v>2272</v>
      </c>
      <c r="Z2539" t="s">
        <v>2272</v>
      </c>
      <c r="AA2539" t="s">
        <v>2272</v>
      </c>
      <c r="AB2539" t="s">
        <v>2272</v>
      </c>
      <c r="AC2539" t="s">
        <v>162</v>
      </c>
      <c r="AD2539" t="s">
        <v>2272</v>
      </c>
      <c r="AH2539" t="s">
        <v>49</v>
      </c>
      <c r="AL2539" t="s">
        <v>49</v>
      </c>
      <c r="AM2539" t="s">
        <v>1457</v>
      </c>
      <c r="AN2539" t="s">
        <v>171</v>
      </c>
      <c r="AP2539" t="s">
        <v>51</v>
      </c>
      <c r="AQ2539" s="5">
        <v>0</v>
      </c>
    </row>
    <row r="2540" spans="1:43" x14ac:dyDescent="0.2">
      <c r="A2540" t="s">
        <v>1452</v>
      </c>
      <c r="B2540" t="s">
        <v>1453</v>
      </c>
      <c r="C2540" s="1">
        <v>2015</v>
      </c>
      <c r="D2540" t="s">
        <v>811</v>
      </c>
      <c r="F2540" t="s">
        <v>588</v>
      </c>
      <c r="G2540" t="s">
        <v>86</v>
      </c>
      <c r="H2540" t="s">
        <v>350</v>
      </c>
      <c r="I2540">
        <v>2010</v>
      </c>
      <c r="J2540">
        <f t="shared" si="52"/>
        <v>0.25</v>
      </c>
      <c r="K2540" t="s">
        <v>101</v>
      </c>
      <c r="M2540">
        <f t="shared" si="53"/>
        <v>0.48999999999999994</v>
      </c>
      <c r="N2540" t="s">
        <v>126</v>
      </c>
      <c r="O2540" t="s">
        <v>126</v>
      </c>
      <c r="P2540" t="s">
        <v>2571</v>
      </c>
      <c r="Q2540" s="1" t="s">
        <v>2281</v>
      </c>
      <c r="R2540" s="1" t="s">
        <v>2282</v>
      </c>
      <c r="S2540" s="1" t="s">
        <v>126</v>
      </c>
      <c r="T2540" t="s">
        <v>421</v>
      </c>
      <c r="U2540" t="s">
        <v>421</v>
      </c>
      <c r="X2540" t="s">
        <v>1448</v>
      </c>
      <c r="Y2540" t="s">
        <v>2272</v>
      </c>
      <c r="Z2540" t="s">
        <v>2272</v>
      </c>
      <c r="AA2540" t="s">
        <v>2272</v>
      </c>
      <c r="AB2540" t="s">
        <v>2272</v>
      </c>
      <c r="AC2540" t="s">
        <v>162</v>
      </c>
      <c r="AD2540" t="s">
        <v>2272</v>
      </c>
      <c r="AH2540" t="s">
        <v>49</v>
      </c>
      <c r="AL2540" t="s">
        <v>49</v>
      </c>
      <c r="AM2540" t="s">
        <v>1457</v>
      </c>
      <c r="AN2540" t="s">
        <v>171</v>
      </c>
      <c r="AP2540" t="s">
        <v>51</v>
      </c>
      <c r="AQ2540" s="5">
        <v>0</v>
      </c>
    </row>
    <row r="2541" spans="1:43" x14ac:dyDescent="0.2">
      <c r="A2541" t="s">
        <v>1452</v>
      </c>
      <c r="B2541" t="s">
        <v>1453</v>
      </c>
      <c r="C2541" s="1">
        <v>2015</v>
      </c>
      <c r="D2541" t="s">
        <v>811</v>
      </c>
      <c r="F2541" t="s">
        <v>588</v>
      </c>
      <c r="G2541" t="s">
        <v>86</v>
      </c>
      <c r="H2541" t="s">
        <v>350</v>
      </c>
      <c r="I2541">
        <v>2010</v>
      </c>
      <c r="J2541">
        <f t="shared" si="52"/>
        <v>0.25</v>
      </c>
      <c r="K2541" t="s">
        <v>101</v>
      </c>
      <c r="M2541">
        <f t="shared" si="53"/>
        <v>0.48999999999999994</v>
      </c>
      <c r="N2541" t="s">
        <v>123</v>
      </c>
      <c r="O2541" t="s">
        <v>123</v>
      </c>
      <c r="P2541" t="s">
        <v>518</v>
      </c>
      <c r="Q2541" s="1" t="s">
        <v>2281</v>
      </c>
      <c r="R2541" s="1" t="s">
        <v>2282</v>
      </c>
      <c r="S2541" s="1" t="s">
        <v>123</v>
      </c>
      <c r="T2541" t="s">
        <v>396</v>
      </c>
      <c r="U2541" t="s">
        <v>126</v>
      </c>
      <c r="X2541" t="s">
        <v>1448</v>
      </c>
      <c r="Y2541" t="s">
        <v>2272</v>
      </c>
      <c r="Z2541" t="s">
        <v>2272</v>
      </c>
      <c r="AA2541" t="s">
        <v>2272</v>
      </c>
      <c r="AB2541" t="s">
        <v>2272</v>
      </c>
      <c r="AC2541" t="s">
        <v>162</v>
      </c>
      <c r="AD2541" t="s">
        <v>2272</v>
      </c>
      <c r="AH2541" t="s">
        <v>49</v>
      </c>
      <c r="AL2541" t="s">
        <v>49</v>
      </c>
      <c r="AM2541" t="s">
        <v>1457</v>
      </c>
      <c r="AN2541" t="s">
        <v>171</v>
      </c>
      <c r="AQ2541" s="5">
        <v>0</v>
      </c>
    </row>
    <row r="2542" spans="1:43" x14ac:dyDescent="0.2">
      <c r="A2542" t="s">
        <v>1452</v>
      </c>
      <c r="B2542" t="s">
        <v>1453</v>
      </c>
      <c r="C2542" s="1">
        <v>2015</v>
      </c>
      <c r="D2542" t="s">
        <v>811</v>
      </c>
      <c r="F2542" t="s">
        <v>588</v>
      </c>
      <c r="G2542" t="s">
        <v>86</v>
      </c>
      <c r="H2542" t="s">
        <v>350</v>
      </c>
      <c r="I2542">
        <v>2010</v>
      </c>
      <c r="J2542">
        <f t="shared" si="52"/>
        <v>0.25</v>
      </c>
      <c r="K2542" t="s">
        <v>101</v>
      </c>
      <c r="M2542">
        <f t="shared" si="53"/>
        <v>0.48999999999999994</v>
      </c>
      <c r="N2542" t="s">
        <v>126</v>
      </c>
      <c r="O2542" t="s">
        <v>126</v>
      </c>
      <c r="P2542" t="s">
        <v>2571</v>
      </c>
      <c r="Q2542" s="1" t="s">
        <v>2281</v>
      </c>
      <c r="R2542" s="1" t="s">
        <v>2282</v>
      </c>
      <c r="S2542" s="1" t="s">
        <v>126</v>
      </c>
      <c r="T2542" t="s">
        <v>396</v>
      </c>
      <c r="U2542" t="s">
        <v>123</v>
      </c>
      <c r="X2542" t="s">
        <v>1448</v>
      </c>
      <c r="Y2542" t="s">
        <v>2272</v>
      </c>
      <c r="Z2542" t="s">
        <v>2272</v>
      </c>
      <c r="AA2542" t="s">
        <v>2272</v>
      </c>
      <c r="AB2542" t="s">
        <v>2272</v>
      </c>
      <c r="AC2542" t="s">
        <v>162</v>
      </c>
      <c r="AD2542" t="s">
        <v>2272</v>
      </c>
      <c r="AH2542" t="s">
        <v>49</v>
      </c>
      <c r="AL2542" t="s">
        <v>49</v>
      </c>
      <c r="AM2542" t="s">
        <v>1457</v>
      </c>
      <c r="AN2542" t="s">
        <v>171</v>
      </c>
      <c r="AQ2542" s="5">
        <v>0</v>
      </c>
    </row>
    <row r="2543" spans="1:43" x14ac:dyDescent="0.2">
      <c r="A2543" t="s">
        <v>1452</v>
      </c>
      <c r="B2543" t="s">
        <v>1453</v>
      </c>
      <c r="C2543" s="1">
        <v>2015</v>
      </c>
      <c r="D2543" t="s">
        <v>811</v>
      </c>
      <c r="F2543" t="s">
        <v>588</v>
      </c>
      <c r="G2543" t="s">
        <v>86</v>
      </c>
      <c r="H2543" t="s">
        <v>350</v>
      </c>
      <c r="I2543">
        <v>2010</v>
      </c>
      <c r="J2543">
        <f t="shared" si="52"/>
        <v>0.25</v>
      </c>
      <c r="K2543" t="s">
        <v>101</v>
      </c>
      <c r="M2543">
        <f t="shared" si="53"/>
        <v>0.48999999999999994</v>
      </c>
      <c r="N2543" t="s">
        <v>123</v>
      </c>
      <c r="O2543" t="s">
        <v>123</v>
      </c>
      <c r="P2543" t="s">
        <v>518</v>
      </c>
      <c r="Q2543" s="1" t="s">
        <v>2281</v>
      </c>
      <c r="R2543" s="1" t="s">
        <v>2282</v>
      </c>
      <c r="S2543" s="1" t="s">
        <v>123</v>
      </c>
      <c r="T2543" t="s">
        <v>421</v>
      </c>
      <c r="U2543" t="s">
        <v>421</v>
      </c>
      <c r="X2543" t="s">
        <v>1448</v>
      </c>
      <c r="Y2543" t="s">
        <v>2272</v>
      </c>
      <c r="Z2543" t="s">
        <v>2272</v>
      </c>
      <c r="AA2543" t="s">
        <v>2272</v>
      </c>
      <c r="AB2543" t="s">
        <v>2272</v>
      </c>
      <c r="AC2543" t="s">
        <v>162</v>
      </c>
      <c r="AD2543" t="s">
        <v>2272</v>
      </c>
      <c r="AH2543" t="s">
        <v>49</v>
      </c>
      <c r="AL2543" t="s">
        <v>49</v>
      </c>
      <c r="AM2543" t="s">
        <v>1456</v>
      </c>
      <c r="AN2543" t="s">
        <v>166</v>
      </c>
      <c r="AP2543" t="s">
        <v>49</v>
      </c>
      <c r="AQ2543" s="5">
        <v>1</v>
      </c>
    </row>
    <row r="2544" spans="1:43" x14ac:dyDescent="0.2">
      <c r="A2544" t="s">
        <v>1452</v>
      </c>
      <c r="B2544" t="s">
        <v>1453</v>
      </c>
      <c r="C2544" s="1">
        <v>2015</v>
      </c>
      <c r="D2544" t="s">
        <v>811</v>
      </c>
      <c r="F2544" t="s">
        <v>588</v>
      </c>
      <c r="G2544" t="s">
        <v>86</v>
      </c>
      <c r="H2544" t="s">
        <v>350</v>
      </c>
      <c r="I2544">
        <v>2010</v>
      </c>
      <c r="J2544">
        <f t="shared" si="52"/>
        <v>0.25</v>
      </c>
      <c r="K2544" t="s">
        <v>101</v>
      </c>
      <c r="M2544">
        <f t="shared" si="53"/>
        <v>0.48999999999999994</v>
      </c>
      <c r="N2544" t="s">
        <v>126</v>
      </c>
      <c r="O2544" t="s">
        <v>126</v>
      </c>
      <c r="P2544" t="s">
        <v>2571</v>
      </c>
      <c r="Q2544" s="1" t="s">
        <v>2281</v>
      </c>
      <c r="R2544" s="1" t="s">
        <v>2282</v>
      </c>
      <c r="S2544" s="1" t="s">
        <v>126</v>
      </c>
      <c r="T2544" t="s">
        <v>421</v>
      </c>
      <c r="U2544" t="s">
        <v>421</v>
      </c>
      <c r="X2544" t="s">
        <v>1448</v>
      </c>
      <c r="Y2544" t="s">
        <v>2272</v>
      </c>
      <c r="Z2544" t="s">
        <v>2272</v>
      </c>
      <c r="AA2544" t="s">
        <v>2272</v>
      </c>
      <c r="AB2544" t="s">
        <v>2272</v>
      </c>
      <c r="AC2544" t="s">
        <v>162</v>
      </c>
      <c r="AD2544" t="s">
        <v>2272</v>
      </c>
      <c r="AH2544" t="s">
        <v>49</v>
      </c>
      <c r="AL2544" t="s">
        <v>49</v>
      </c>
      <c r="AM2544" t="s">
        <v>1456</v>
      </c>
      <c r="AN2544" t="s">
        <v>166</v>
      </c>
      <c r="AP2544" t="s">
        <v>49</v>
      </c>
      <c r="AQ2544" s="5">
        <v>1</v>
      </c>
    </row>
    <row r="2545" spans="1:43" x14ac:dyDescent="0.2">
      <c r="A2545" t="s">
        <v>1452</v>
      </c>
      <c r="B2545" t="s">
        <v>1453</v>
      </c>
      <c r="C2545" s="1">
        <v>2015</v>
      </c>
      <c r="D2545" t="s">
        <v>811</v>
      </c>
      <c r="F2545" t="s">
        <v>588</v>
      </c>
      <c r="G2545" t="s">
        <v>86</v>
      </c>
      <c r="H2545" t="s">
        <v>350</v>
      </c>
      <c r="I2545">
        <v>2010</v>
      </c>
      <c r="J2545">
        <f t="shared" si="52"/>
        <v>0.25</v>
      </c>
      <c r="K2545" t="s">
        <v>101</v>
      </c>
      <c r="M2545">
        <f t="shared" si="53"/>
        <v>0.48999999999999994</v>
      </c>
      <c r="N2545" t="s">
        <v>123</v>
      </c>
      <c r="O2545" t="s">
        <v>123</v>
      </c>
      <c r="P2545" t="s">
        <v>518</v>
      </c>
      <c r="Q2545" s="1" t="s">
        <v>2281</v>
      </c>
      <c r="R2545" s="1" t="s">
        <v>2282</v>
      </c>
      <c r="S2545" s="1" t="s">
        <v>123</v>
      </c>
      <c r="T2545" t="s">
        <v>396</v>
      </c>
      <c r="U2545" t="s">
        <v>126</v>
      </c>
      <c r="X2545" t="s">
        <v>1448</v>
      </c>
      <c r="Y2545" t="s">
        <v>2272</v>
      </c>
      <c r="Z2545" t="s">
        <v>2272</v>
      </c>
      <c r="AA2545" t="s">
        <v>2272</v>
      </c>
      <c r="AB2545" t="s">
        <v>2272</v>
      </c>
      <c r="AC2545" t="s">
        <v>162</v>
      </c>
      <c r="AD2545" t="s">
        <v>2272</v>
      </c>
      <c r="AH2545" t="s">
        <v>49</v>
      </c>
      <c r="AL2545" t="s">
        <v>49</v>
      </c>
      <c r="AM2545" t="s">
        <v>1456</v>
      </c>
      <c r="AN2545" t="s">
        <v>166</v>
      </c>
      <c r="AQ2545" s="5">
        <v>0</v>
      </c>
    </row>
    <row r="2546" spans="1:43" x14ac:dyDescent="0.2">
      <c r="A2546" t="s">
        <v>1452</v>
      </c>
      <c r="B2546" t="s">
        <v>1453</v>
      </c>
      <c r="C2546" s="1">
        <v>2015</v>
      </c>
      <c r="D2546" t="s">
        <v>811</v>
      </c>
      <c r="F2546" t="s">
        <v>588</v>
      </c>
      <c r="G2546" t="s">
        <v>86</v>
      </c>
      <c r="H2546" t="s">
        <v>350</v>
      </c>
      <c r="I2546">
        <v>2010</v>
      </c>
      <c r="J2546">
        <f t="shared" si="52"/>
        <v>0.25</v>
      </c>
      <c r="K2546" t="s">
        <v>101</v>
      </c>
      <c r="M2546">
        <f t="shared" si="53"/>
        <v>0.48999999999999994</v>
      </c>
      <c r="N2546" t="s">
        <v>126</v>
      </c>
      <c r="O2546" t="s">
        <v>126</v>
      </c>
      <c r="P2546" t="s">
        <v>2571</v>
      </c>
      <c r="Q2546" s="1" t="s">
        <v>2281</v>
      </c>
      <c r="R2546" s="1" t="s">
        <v>2282</v>
      </c>
      <c r="S2546" s="1" t="s">
        <v>126</v>
      </c>
      <c r="T2546" t="s">
        <v>396</v>
      </c>
      <c r="U2546" t="s">
        <v>123</v>
      </c>
      <c r="X2546" t="s">
        <v>1448</v>
      </c>
      <c r="Y2546" t="s">
        <v>2272</v>
      </c>
      <c r="Z2546" t="s">
        <v>2272</v>
      </c>
      <c r="AA2546" t="s">
        <v>2272</v>
      </c>
      <c r="AB2546" t="s">
        <v>2272</v>
      </c>
      <c r="AC2546" t="s">
        <v>162</v>
      </c>
      <c r="AD2546" t="s">
        <v>2272</v>
      </c>
      <c r="AH2546" t="s">
        <v>49</v>
      </c>
      <c r="AL2546" t="s">
        <v>49</v>
      </c>
      <c r="AM2546" t="s">
        <v>1456</v>
      </c>
      <c r="AN2546" t="s">
        <v>166</v>
      </c>
      <c r="AQ2546" s="5">
        <v>0</v>
      </c>
    </row>
    <row r="2547" spans="1:43" x14ac:dyDescent="0.2">
      <c r="A2547" t="s">
        <v>1452</v>
      </c>
      <c r="B2547" t="s">
        <v>1453</v>
      </c>
      <c r="C2547" s="1">
        <v>2015</v>
      </c>
      <c r="D2547" t="s">
        <v>811</v>
      </c>
      <c r="F2547" t="s">
        <v>588</v>
      </c>
      <c r="G2547" t="s">
        <v>86</v>
      </c>
      <c r="H2547" t="s">
        <v>350</v>
      </c>
      <c r="I2547">
        <v>2010</v>
      </c>
      <c r="J2547">
        <f t="shared" si="52"/>
        <v>0.25</v>
      </c>
      <c r="K2547" t="s">
        <v>101</v>
      </c>
      <c r="M2547">
        <f t="shared" si="53"/>
        <v>0.48999999999999994</v>
      </c>
      <c r="N2547" t="s">
        <v>123</v>
      </c>
      <c r="O2547" t="s">
        <v>123</v>
      </c>
      <c r="P2547" t="s">
        <v>518</v>
      </c>
      <c r="Q2547" s="1" t="s">
        <v>2281</v>
      </c>
      <c r="R2547" s="1" t="s">
        <v>2282</v>
      </c>
      <c r="S2547" s="1" t="s">
        <v>123</v>
      </c>
      <c r="T2547" t="s">
        <v>421</v>
      </c>
      <c r="U2547" t="s">
        <v>421</v>
      </c>
      <c r="X2547" t="s">
        <v>1448</v>
      </c>
      <c r="Y2547" t="s">
        <v>2272</v>
      </c>
      <c r="Z2547" t="s">
        <v>2272</v>
      </c>
      <c r="AA2547" t="s">
        <v>2272</v>
      </c>
      <c r="AB2547" t="s">
        <v>2272</v>
      </c>
      <c r="AC2547" t="s">
        <v>162</v>
      </c>
      <c r="AD2547" t="s">
        <v>2272</v>
      </c>
      <c r="AH2547" t="s">
        <v>49</v>
      </c>
      <c r="AL2547" t="s">
        <v>49</v>
      </c>
      <c r="AM2547" t="s">
        <v>1457</v>
      </c>
      <c r="AN2547" t="s">
        <v>166</v>
      </c>
      <c r="AP2547" t="s">
        <v>51</v>
      </c>
      <c r="AQ2547" s="5">
        <v>0</v>
      </c>
    </row>
    <row r="2548" spans="1:43" x14ac:dyDescent="0.2">
      <c r="A2548" t="s">
        <v>1452</v>
      </c>
      <c r="B2548" t="s">
        <v>1453</v>
      </c>
      <c r="C2548" s="1">
        <v>2015</v>
      </c>
      <c r="D2548" t="s">
        <v>811</v>
      </c>
      <c r="F2548" t="s">
        <v>588</v>
      </c>
      <c r="G2548" t="s">
        <v>86</v>
      </c>
      <c r="H2548" t="s">
        <v>350</v>
      </c>
      <c r="I2548">
        <v>2010</v>
      </c>
      <c r="J2548">
        <f t="shared" si="52"/>
        <v>0.25</v>
      </c>
      <c r="K2548" t="s">
        <v>101</v>
      </c>
      <c r="M2548">
        <f t="shared" si="53"/>
        <v>0.48999999999999994</v>
      </c>
      <c r="N2548" t="s">
        <v>126</v>
      </c>
      <c r="O2548" t="s">
        <v>126</v>
      </c>
      <c r="P2548" t="s">
        <v>2571</v>
      </c>
      <c r="Q2548" s="1" t="s">
        <v>2281</v>
      </c>
      <c r="R2548" s="1" t="s">
        <v>2282</v>
      </c>
      <c r="S2548" s="1" t="s">
        <v>126</v>
      </c>
      <c r="T2548" t="s">
        <v>421</v>
      </c>
      <c r="U2548" t="s">
        <v>421</v>
      </c>
      <c r="X2548" t="s">
        <v>1448</v>
      </c>
      <c r="Y2548" t="s">
        <v>2272</v>
      </c>
      <c r="Z2548" t="s">
        <v>2272</v>
      </c>
      <c r="AA2548" t="s">
        <v>2272</v>
      </c>
      <c r="AB2548" t="s">
        <v>2272</v>
      </c>
      <c r="AC2548" t="s">
        <v>162</v>
      </c>
      <c r="AD2548" t="s">
        <v>2272</v>
      </c>
      <c r="AH2548" t="s">
        <v>49</v>
      </c>
      <c r="AL2548" t="s">
        <v>49</v>
      </c>
      <c r="AM2548" t="s">
        <v>1457</v>
      </c>
      <c r="AN2548" t="s">
        <v>166</v>
      </c>
      <c r="AP2548" t="s">
        <v>51</v>
      </c>
      <c r="AQ2548" s="5">
        <v>0</v>
      </c>
    </row>
    <row r="2549" spans="1:43" x14ac:dyDescent="0.2">
      <c r="A2549" t="s">
        <v>1452</v>
      </c>
      <c r="B2549" t="s">
        <v>1453</v>
      </c>
      <c r="C2549" s="1">
        <v>2015</v>
      </c>
      <c r="D2549" t="s">
        <v>811</v>
      </c>
      <c r="F2549" t="s">
        <v>588</v>
      </c>
      <c r="G2549" t="s">
        <v>86</v>
      </c>
      <c r="H2549" t="s">
        <v>350</v>
      </c>
      <c r="I2549">
        <v>2010</v>
      </c>
      <c r="J2549">
        <f t="shared" si="52"/>
        <v>0.25</v>
      </c>
      <c r="K2549" t="s">
        <v>101</v>
      </c>
      <c r="M2549">
        <f t="shared" si="53"/>
        <v>0.48999999999999994</v>
      </c>
      <c r="N2549" t="s">
        <v>123</v>
      </c>
      <c r="O2549" t="s">
        <v>123</v>
      </c>
      <c r="P2549" t="s">
        <v>518</v>
      </c>
      <c r="Q2549" s="1" t="s">
        <v>2281</v>
      </c>
      <c r="R2549" s="1" t="s">
        <v>2282</v>
      </c>
      <c r="S2549" s="1" t="s">
        <v>123</v>
      </c>
      <c r="T2549" t="s">
        <v>396</v>
      </c>
      <c r="U2549" t="s">
        <v>126</v>
      </c>
      <c r="X2549" t="s">
        <v>1448</v>
      </c>
      <c r="Y2549" t="s">
        <v>2272</v>
      </c>
      <c r="Z2549" t="s">
        <v>2272</v>
      </c>
      <c r="AA2549" t="s">
        <v>2272</v>
      </c>
      <c r="AB2549" t="s">
        <v>2272</v>
      </c>
      <c r="AC2549" t="s">
        <v>162</v>
      </c>
      <c r="AD2549" t="s">
        <v>2272</v>
      </c>
      <c r="AH2549" t="s">
        <v>49</v>
      </c>
      <c r="AL2549" t="s">
        <v>49</v>
      </c>
      <c r="AM2549" t="s">
        <v>1457</v>
      </c>
      <c r="AN2549" t="s">
        <v>166</v>
      </c>
      <c r="AQ2549" s="5">
        <v>0</v>
      </c>
    </row>
    <row r="2550" spans="1:43" x14ac:dyDescent="0.2">
      <c r="A2550" t="s">
        <v>1452</v>
      </c>
      <c r="B2550" t="s">
        <v>1453</v>
      </c>
      <c r="C2550" s="1">
        <v>2015</v>
      </c>
      <c r="D2550" t="s">
        <v>811</v>
      </c>
      <c r="F2550" t="s">
        <v>588</v>
      </c>
      <c r="G2550" t="s">
        <v>86</v>
      </c>
      <c r="H2550" t="s">
        <v>350</v>
      </c>
      <c r="I2550">
        <v>2010</v>
      </c>
      <c r="J2550">
        <f t="shared" si="52"/>
        <v>0.25</v>
      </c>
      <c r="K2550" t="s">
        <v>101</v>
      </c>
      <c r="M2550">
        <f t="shared" si="53"/>
        <v>0.48999999999999994</v>
      </c>
      <c r="N2550" t="s">
        <v>126</v>
      </c>
      <c r="O2550" t="s">
        <v>126</v>
      </c>
      <c r="P2550" t="s">
        <v>2571</v>
      </c>
      <c r="Q2550" s="1" t="s">
        <v>2281</v>
      </c>
      <c r="R2550" s="1" t="s">
        <v>2282</v>
      </c>
      <c r="S2550" s="1" t="s">
        <v>126</v>
      </c>
      <c r="T2550" t="s">
        <v>396</v>
      </c>
      <c r="U2550" t="s">
        <v>123</v>
      </c>
      <c r="X2550" t="s">
        <v>1448</v>
      </c>
      <c r="Y2550" t="s">
        <v>2272</v>
      </c>
      <c r="Z2550" t="s">
        <v>2272</v>
      </c>
      <c r="AA2550" t="s">
        <v>2272</v>
      </c>
      <c r="AB2550" t="s">
        <v>2272</v>
      </c>
      <c r="AC2550" t="s">
        <v>162</v>
      </c>
      <c r="AD2550" t="s">
        <v>2272</v>
      </c>
      <c r="AH2550" t="s">
        <v>49</v>
      </c>
      <c r="AL2550" t="s">
        <v>49</v>
      </c>
      <c r="AM2550" t="s">
        <v>1457</v>
      </c>
      <c r="AN2550" t="s">
        <v>166</v>
      </c>
      <c r="AQ2550" s="5">
        <v>0</v>
      </c>
    </row>
    <row r="2551" spans="1:43" x14ac:dyDescent="0.2">
      <c r="A2551" t="s">
        <v>1458</v>
      </c>
      <c r="B2551" t="s">
        <v>1023</v>
      </c>
      <c r="C2551" s="1">
        <v>2015</v>
      </c>
      <c r="D2551" t="s">
        <v>811</v>
      </c>
      <c r="F2551" t="s">
        <v>81</v>
      </c>
      <c r="G2551" t="s">
        <v>91</v>
      </c>
      <c r="H2551" t="s">
        <v>350</v>
      </c>
      <c r="I2551" t="s">
        <v>831</v>
      </c>
      <c r="J2551">
        <v>2</v>
      </c>
      <c r="K2551" t="s">
        <v>109</v>
      </c>
      <c r="M2551">
        <v>80</v>
      </c>
      <c r="N2551" t="s">
        <v>120</v>
      </c>
      <c r="O2551" t="s">
        <v>1459</v>
      </c>
      <c r="P2551" t="s">
        <v>581</v>
      </c>
      <c r="Q2551" s="1" t="s">
        <v>2276</v>
      </c>
      <c r="R2551" s="1" t="s">
        <v>669</v>
      </c>
      <c r="S2551" s="1" t="s">
        <v>168</v>
      </c>
      <c r="X2551" t="s">
        <v>171</v>
      </c>
      <c r="Y2551" t="s">
        <v>2273</v>
      </c>
      <c r="Z2551" t="s">
        <v>249</v>
      </c>
      <c r="AA2551" t="s">
        <v>2359</v>
      </c>
      <c r="AB2551" t="s">
        <v>1979</v>
      </c>
      <c r="AC2551" t="s">
        <v>152</v>
      </c>
      <c r="AD2551" t="s">
        <v>137</v>
      </c>
      <c r="AF2551" t="s">
        <v>49</v>
      </c>
      <c r="AJ2551" t="s">
        <v>49</v>
      </c>
      <c r="AM2551" t="s">
        <v>257</v>
      </c>
      <c r="AN2551" t="s">
        <v>166</v>
      </c>
      <c r="AP2551" t="s">
        <v>157</v>
      </c>
    </row>
    <row r="2552" spans="1:43" x14ac:dyDescent="0.2">
      <c r="A2552" t="s">
        <v>1458</v>
      </c>
      <c r="B2552" t="s">
        <v>1023</v>
      </c>
      <c r="C2552" s="1">
        <v>2015</v>
      </c>
      <c r="D2552" t="s">
        <v>811</v>
      </c>
      <c r="F2552" t="s">
        <v>81</v>
      </c>
      <c r="G2552" t="s">
        <v>91</v>
      </c>
      <c r="H2552" t="s">
        <v>350</v>
      </c>
      <c r="I2552" t="s">
        <v>831</v>
      </c>
      <c r="J2552">
        <v>2</v>
      </c>
      <c r="K2552" t="s">
        <v>109</v>
      </c>
      <c r="M2552">
        <v>80</v>
      </c>
      <c r="N2552" t="s">
        <v>120</v>
      </c>
      <c r="O2552" t="s">
        <v>1459</v>
      </c>
      <c r="P2552" t="s">
        <v>581</v>
      </c>
      <c r="Q2552" s="1" t="s">
        <v>2276</v>
      </c>
      <c r="R2552" s="1" t="s">
        <v>669</v>
      </c>
      <c r="S2552" s="1" t="s">
        <v>168</v>
      </c>
      <c r="X2552" t="s">
        <v>171</v>
      </c>
      <c r="Y2552" t="s">
        <v>2273</v>
      </c>
      <c r="Z2552" t="s">
        <v>249</v>
      </c>
      <c r="AA2552" t="s">
        <v>2359</v>
      </c>
      <c r="AB2552" t="s">
        <v>1979</v>
      </c>
      <c r="AC2552" t="s">
        <v>152</v>
      </c>
      <c r="AD2552" t="s">
        <v>137</v>
      </c>
      <c r="AF2552" t="s">
        <v>49</v>
      </c>
      <c r="AL2552" t="s">
        <v>49</v>
      </c>
      <c r="AM2552" t="s">
        <v>1460</v>
      </c>
      <c r="AN2552" t="s">
        <v>109</v>
      </c>
      <c r="AO2552" t="s">
        <v>861</v>
      </c>
      <c r="AP2552" t="s">
        <v>51</v>
      </c>
    </row>
    <row r="2553" spans="1:43" x14ac:dyDescent="0.2">
      <c r="A2553" t="s">
        <v>1458</v>
      </c>
      <c r="B2553" t="s">
        <v>1023</v>
      </c>
      <c r="C2553" s="1">
        <v>2015</v>
      </c>
      <c r="D2553" t="s">
        <v>811</v>
      </c>
      <c r="F2553" t="s">
        <v>81</v>
      </c>
      <c r="G2553" t="s">
        <v>91</v>
      </c>
      <c r="H2553" t="s">
        <v>350</v>
      </c>
      <c r="I2553" t="s">
        <v>831</v>
      </c>
      <c r="J2553">
        <v>2</v>
      </c>
      <c r="K2553" t="s">
        <v>109</v>
      </c>
      <c r="M2553">
        <v>80</v>
      </c>
      <c r="N2553" t="s">
        <v>120</v>
      </c>
      <c r="O2553" t="s">
        <v>1459</v>
      </c>
      <c r="P2553" t="s">
        <v>581</v>
      </c>
      <c r="Q2553" s="1" t="s">
        <v>2276</v>
      </c>
      <c r="R2553" s="1" t="s">
        <v>669</v>
      </c>
      <c r="S2553" s="1" t="s">
        <v>168</v>
      </c>
      <c r="X2553" t="s">
        <v>171</v>
      </c>
      <c r="Y2553" t="s">
        <v>2273</v>
      </c>
      <c r="Z2553" t="s">
        <v>249</v>
      </c>
      <c r="AA2553" t="s">
        <v>2359</v>
      </c>
      <c r="AB2553" t="s">
        <v>1979</v>
      </c>
      <c r="AC2553" t="s">
        <v>152</v>
      </c>
      <c r="AD2553" t="s">
        <v>137</v>
      </c>
      <c r="AF2553" t="s">
        <v>49</v>
      </c>
      <c r="AL2553" t="s">
        <v>49</v>
      </c>
      <c r="AM2553" t="s">
        <v>1461</v>
      </c>
      <c r="AN2553" t="s">
        <v>109</v>
      </c>
      <c r="AO2553" t="s">
        <v>861</v>
      </c>
      <c r="AP2553" t="s">
        <v>51</v>
      </c>
    </row>
    <row r="2554" spans="1:43" x14ac:dyDescent="0.2">
      <c r="A2554" t="s">
        <v>1458</v>
      </c>
      <c r="B2554" t="s">
        <v>1023</v>
      </c>
      <c r="C2554" s="1">
        <v>2015</v>
      </c>
      <c r="D2554" t="s">
        <v>811</v>
      </c>
      <c r="F2554" t="s">
        <v>81</v>
      </c>
      <c r="G2554" t="s">
        <v>91</v>
      </c>
      <c r="H2554" t="s">
        <v>350</v>
      </c>
      <c r="I2554" t="s">
        <v>831</v>
      </c>
      <c r="J2554">
        <v>2</v>
      </c>
      <c r="K2554" t="s">
        <v>109</v>
      </c>
      <c r="M2554">
        <v>80</v>
      </c>
      <c r="N2554" t="s">
        <v>120</v>
      </c>
      <c r="O2554" t="s">
        <v>1459</v>
      </c>
      <c r="P2554" t="s">
        <v>581</v>
      </c>
      <c r="Q2554" s="1" t="s">
        <v>2276</v>
      </c>
      <c r="R2554" s="1" t="s">
        <v>669</v>
      </c>
      <c r="S2554" s="1" t="s">
        <v>168</v>
      </c>
      <c r="X2554" t="s">
        <v>171</v>
      </c>
      <c r="Y2554" t="s">
        <v>2273</v>
      </c>
      <c r="Z2554" t="s">
        <v>249</v>
      </c>
      <c r="AA2554" t="s">
        <v>2359</v>
      </c>
      <c r="AB2554" t="s">
        <v>1979</v>
      </c>
      <c r="AC2554" t="s">
        <v>152</v>
      </c>
      <c r="AD2554" t="s">
        <v>137</v>
      </c>
      <c r="AF2554" t="s">
        <v>49</v>
      </c>
      <c r="AL2554" t="s">
        <v>49</v>
      </c>
      <c r="AM2554" t="s">
        <v>1462</v>
      </c>
      <c r="AN2554" t="s">
        <v>109</v>
      </c>
      <c r="AO2554" t="s">
        <v>861</v>
      </c>
      <c r="AP2554" t="s">
        <v>51</v>
      </c>
    </row>
    <row r="2555" spans="1:43" x14ac:dyDescent="0.2">
      <c r="A2555" t="s">
        <v>1458</v>
      </c>
      <c r="B2555" t="s">
        <v>1023</v>
      </c>
      <c r="C2555" s="1">
        <v>2015</v>
      </c>
      <c r="D2555" t="s">
        <v>811</v>
      </c>
      <c r="F2555" t="s">
        <v>81</v>
      </c>
      <c r="G2555" t="s">
        <v>91</v>
      </c>
      <c r="H2555" t="s">
        <v>350</v>
      </c>
      <c r="I2555" t="s">
        <v>831</v>
      </c>
      <c r="J2555">
        <v>2</v>
      </c>
      <c r="K2555" t="s">
        <v>109</v>
      </c>
      <c r="M2555">
        <v>80</v>
      </c>
      <c r="N2555" t="s">
        <v>120</v>
      </c>
      <c r="O2555" t="s">
        <v>1459</v>
      </c>
      <c r="P2555" t="s">
        <v>581</v>
      </c>
      <c r="Q2555" s="1" t="s">
        <v>2276</v>
      </c>
      <c r="R2555" s="1" t="s">
        <v>669</v>
      </c>
      <c r="S2555" s="1" t="s">
        <v>168</v>
      </c>
      <c r="X2555" t="s">
        <v>171</v>
      </c>
      <c r="Y2555" t="s">
        <v>2273</v>
      </c>
      <c r="Z2555" t="s">
        <v>249</v>
      </c>
      <c r="AA2555" t="s">
        <v>2359</v>
      </c>
      <c r="AB2555" t="s">
        <v>1979</v>
      </c>
      <c r="AC2555" t="s">
        <v>152</v>
      </c>
      <c r="AD2555" t="s">
        <v>137</v>
      </c>
      <c r="AF2555" t="s">
        <v>49</v>
      </c>
      <c r="AL2555" t="s">
        <v>49</v>
      </c>
      <c r="AM2555" t="s">
        <v>1463</v>
      </c>
      <c r="AN2555" t="s">
        <v>109</v>
      </c>
      <c r="AO2555" t="s">
        <v>861</v>
      </c>
      <c r="AP2555" t="s">
        <v>157</v>
      </c>
    </row>
    <row r="2556" spans="1:43" x14ac:dyDescent="0.2">
      <c r="A2556" t="s">
        <v>1458</v>
      </c>
      <c r="B2556" t="s">
        <v>1023</v>
      </c>
      <c r="C2556" s="1">
        <v>2015</v>
      </c>
      <c r="D2556" t="s">
        <v>811</v>
      </c>
      <c r="F2556" t="s">
        <v>81</v>
      </c>
      <c r="G2556" t="s">
        <v>91</v>
      </c>
      <c r="H2556" t="s">
        <v>350</v>
      </c>
      <c r="I2556" t="s">
        <v>831</v>
      </c>
      <c r="J2556">
        <v>2</v>
      </c>
      <c r="K2556" t="s">
        <v>109</v>
      </c>
      <c r="M2556">
        <v>80</v>
      </c>
      <c r="N2556" t="s">
        <v>120</v>
      </c>
      <c r="O2556" t="s">
        <v>1459</v>
      </c>
      <c r="P2556" t="s">
        <v>581</v>
      </c>
      <c r="Q2556" s="1" t="s">
        <v>2276</v>
      </c>
      <c r="R2556" s="1" t="s">
        <v>669</v>
      </c>
      <c r="S2556" s="1" t="s">
        <v>168</v>
      </c>
      <c r="X2556" t="s">
        <v>171</v>
      </c>
      <c r="Y2556" t="s">
        <v>2273</v>
      </c>
      <c r="Z2556" t="s">
        <v>249</v>
      </c>
      <c r="AA2556" t="s">
        <v>2359</v>
      </c>
      <c r="AB2556" t="s">
        <v>1979</v>
      </c>
      <c r="AC2556" t="s">
        <v>152</v>
      </c>
      <c r="AD2556" t="s">
        <v>137</v>
      </c>
      <c r="AF2556" t="s">
        <v>49</v>
      </c>
      <c r="AL2556" t="s">
        <v>49</v>
      </c>
      <c r="AM2556" t="s">
        <v>1464</v>
      </c>
      <c r="AN2556" t="s">
        <v>109</v>
      </c>
      <c r="AO2556" t="s">
        <v>861</v>
      </c>
      <c r="AP2556" t="s">
        <v>51</v>
      </c>
    </row>
    <row r="2557" spans="1:43" x14ac:dyDescent="0.2">
      <c r="A2557" t="s">
        <v>1458</v>
      </c>
      <c r="B2557" t="s">
        <v>1023</v>
      </c>
      <c r="C2557" s="1">
        <v>2015</v>
      </c>
      <c r="D2557" t="s">
        <v>811</v>
      </c>
      <c r="F2557" t="s">
        <v>81</v>
      </c>
      <c r="G2557" t="s">
        <v>91</v>
      </c>
      <c r="H2557" t="s">
        <v>350</v>
      </c>
      <c r="I2557" t="s">
        <v>831</v>
      </c>
      <c r="J2557">
        <v>2</v>
      </c>
      <c r="K2557" t="s">
        <v>109</v>
      </c>
      <c r="M2557">
        <v>80</v>
      </c>
      <c r="N2557" t="s">
        <v>120</v>
      </c>
      <c r="O2557" t="s">
        <v>1459</v>
      </c>
      <c r="P2557" t="s">
        <v>581</v>
      </c>
      <c r="Q2557" s="1" t="s">
        <v>2276</v>
      </c>
      <c r="R2557" s="1" t="s">
        <v>669</v>
      </c>
      <c r="S2557" s="1" t="s">
        <v>168</v>
      </c>
      <c r="X2557" t="s">
        <v>171</v>
      </c>
      <c r="Y2557" t="s">
        <v>2273</v>
      </c>
      <c r="Z2557" t="s">
        <v>249</v>
      </c>
      <c r="AA2557" t="s">
        <v>2359</v>
      </c>
      <c r="AB2557" t="s">
        <v>1979</v>
      </c>
      <c r="AC2557" t="s">
        <v>152</v>
      </c>
      <c r="AD2557" t="s">
        <v>137</v>
      </c>
      <c r="AF2557" t="s">
        <v>49</v>
      </c>
      <c r="AL2557" t="s">
        <v>49</v>
      </c>
      <c r="AM2557" t="s">
        <v>1465</v>
      </c>
      <c r="AN2557" t="s">
        <v>109</v>
      </c>
      <c r="AO2557" t="s">
        <v>861</v>
      </c>
      <c r="AP2557" t="s">
        <v>173</v>
      </c>
    </row>
    <row r="2558" spans="1:43" x14ac:dyDescent="0.2">
      <c r="A2558" t="s">
        <v>1458</v>
      </c>
      <c r="B2558" t="s">
        <v>1023</v>
      </c>
      <c r="C2558" s="1">
        <v>2015</v>
      </c>
      <c r="D2558" t="s">
        <v>811</v>
      </c>
      <c r="F2558" t="s">
        <v>81</v>
      </c>
      <c r="G2558" t="s">
        <v>91</v>
      </c>
      <c r="H2558" t="s">
        <v>350</v>
      </c>
      <c r="I2558" t="s">
        <v>831</v>
      </c>
      <c r="J2558">
        <v>2</v>
      </c>
      <c r="K2558" t="s">
        <v>109</v>
      </c>
      <c r="M2558">
        <v>80</v>
      </c>
      <c r="N2558" t="s">
        <v>120</v>
      </c>
      <c r="O2558" t="s">
        <v>1459</v>
      </c>
      <c r="P2558" t="s">
        <v>581</v>
      </c>
      <c r="Q2558" s="1" t="s">
        <v>2276</v>
      </c>
      <c r="R2558" s="1" t="s">
        <v>669</v>
      </c>
      <c r="S2558" s="1" t="s">
        <v>168</v>
      </c>
      <c r="X2558" t="s">
        <v>171</v>
      </c>
      <c r="Y2558" t="s">
        <v>2273</v>
      </c>
      <c r="Z2558" t="s">
        <v>249</v>
      </c>
      <c r="AA2558" t="s">
        <v>2359</v>
      </c>
      <c r="AB2558" t="s">
        <v>1979</v>
      </c>
      <c r="AC2558" t="s">
        <v>152</v>
      </c>
      <c r="AD2558" t="s">
        <v>137</v>
      </c>
      <c r="AF2558" t="s">
        <v>49</v>
      </c>
      <c r="AL2558" t="s">
        <v>49</v>
      </c>
      <c r="AM2558" t="s">
        <v>1466</v>
      </c>
      <c r="AN2558" t="s">
        <v>109</v>
      </c>
      <c r="AO2558" t="s">
        <v>861</v>
      </c>
      <c r="AP2558" t="s">
        <v>51</v>
      </c>
    </row>
    <row r="2559" spans="1:43" x14ac:dyDescent="0.2">
      <c r="A2559" t="s">
        <v>1467</v>
      </c>
      <c r="B2559" t="s">
        <v>1468</v>
      </c>
      <c r="C2559" s="1">
        <v>2015</v>
      </c>
      <c r="D2559" t="s">
        <v>44</v>
      </c>
      <c r="F2559" t="s">
        <v>357</v>
      </c>
      <c r="G2559" t="s">
        <v>90</v>
      </c>
      <c r="H2559" t="s">
        <v>96</v>
      </c>
      <c r="I2559" t="s">
        <v>1469</v>
      </c>
      <c r="J2559">
        <v>1.3</v>
      </c>
      <c r="K2559" t="s">
        <v>109</v>
      </c>
      <c r="M2559">
        <f>0.1*0.1</f>
        <v>1.0000000000000002E-2</v>
      </c>
      <c r="N2559" t="s">
        <v>126</v>
      </c>
      <c r="O2559" t="s">
        <v>126</v>
      </c>
      <c r="P2559" t="s">
        <v>2571</v>
      </c>
      <c r="Q2559" s="1" t="s">
        <v>2281</v>
      </c>
      <c r="R2559" s="1" t="s">
        <v>2282</v>
      </c>
      <c r="S2559" s="1" t="s">
        <v>126</v>
      </c>
      <c r="T2559" t="s">
        <v>421</v>
      </c>
      <c r="U2559" t="s">
        <v>421</v>
      </c>
      <c r="V2559" t="s">
        <v>194</v>
      </c>
      <c r="W2559" t="s">
        <v>356</v>
      </c>
      <c r="X2559" t="s">
        <v>1448</v>
      </c>
      <c r="Y2559" t="s">
        <v>2272</v>
      </c>
      <c r="Z2559" t="s">
        <v>2272</v>
      </c>
      <c r="AA2559" t="s">
        <v>2272</v>
      </c>
      <c r="AB2559" t="s">
        <v>2272</v>
      </c>
      <c r="AC2559" t="s">
        <v>162</v>
      </c>
      <c r="AD2559" t="s">
        <v>2272</v>
      </c>
      <c r="AF2559" t="s">
        <v>49</v>
      </c>
      <c r="AI2559" t="s">
        <v>49</v>
      </c>
      <c r="AM2559" t="s">
        <v>202</v>
      </c>
      <c r="AN2559" t="s">
        <v>165</v>
      </c>
      <c r="AP2559" t="s">
        <v>49</v>
      </c>
    </row>
    <row r="2560" spans="1:43" x14ac:dyDescent="0.2">
      <c r="A2560" t="s">
        <v>1467</v>
      </c>
      <c r="B2560" t="s">
        <v>1468</v>
      </c>
      <c r="C2560" s="1">
        <v>2015</v>
      </c>
      <c r="D2560" t="s">
        <v>44</v>
      </c>
      <c r="F2560" t="s">
        <v>357</v>
      </c>
      <c r="G2560" t="s">
        <v>90</v>
      </c>
      <c r="H2560" t="s">
        <v>96</v>
      </c>
      <c r="I2560" t="s">
        <v>1469</v>
      </c>
      <c r="J2560">
        <v>1.3</v>
      </c>
      <c r="K2560" t="s">
        <v>109</v>
      </c>
      <c r="M2560">
        <f>0.1*0.1</f>
        <v>1.0000000000000002E-2</v>
      </c>
      <c r="N2560" t="s">
        <v>126</v>
      </c>
      <c r="O2560" t="s">
        <v>126</v>
      </c>
      <c r="P2560" t="s">
        <v>2571</v>
      </c>
      <c r="Q2560" s="1" t="s">
        <v>2281</v>
      </c>
      <c r="R2560" s="1" t="s">
        <v>2282</v>
      </c>
      <c r="S2560" s="1" t="s">
        <v>126</v>
      </c>
      <c r="T2560" t="s">
        <v>421</v>
      </c>
      <c r="U2560" t="s">
        <v>421</v>
      </c>
      <c r="V2560" t="s">
        <v>194</v>
      </c>
      <c r="W2560" t="s">
        <v>356</v>
      </c>
      <c r="X2560" t="s">
        <v>1448</v>
      </c>
      <c r="Y2560" t="s">
        <v>2272</v>
      </c>
      <c r="Z2560" t="s">
        <v>2272</v>
      </c>
      <c r="AA2560" t="s">
        <v>2272</v>
      </c>
      <c r="AB2560" t="s">
        <v>2272</v>
      </c>
      <c r="AC2560" t="s">
        <v>162</v>
      </c>
      <c r="AD2560" t="s">
        <v>2272</v>
      </c>
      <c r="AF2560" t="s">
        <v>49</v>
      </c>
      <c r="AI2560" t="s">
        <v>49</v>
      </c>
      <c r="AM2560" t="s">
        <v>202</v>
      </c>
      <c r="AN2560" t="s">
        <v>166</v>
      </c>
      <c r="AQ2560" s="5">
        <v>1</v>
      </c>
    </row>
    <row r="2561" spans="1:45" x14ac:dyDescent="0.2">
      <c r="A2561" t="s">
        <v>1467</v>
      </c>
      <c r="B2561" t="s">
        <v>1468</v>
      </c>
      <c r="C2561" s="1">
        <v>2015</v>
      </c>
      <c r="D2561" t="s">
        <v>44</v>
      </c>
      <c r="F2561" t="s">
        <v>357</v>
      </c>
      <c r="G2561" t="s">
        <v>90</v>
      </c>
      <c r="H2561" t="s">
        <v>96</v>
      </c>
      <c r="I2561" t="s">
        <v>1469</v>
      </c>
      <c r="J2561">
        <v>1.3</v>
      </c>
      <c r="K2561" t="s">
        <v>109</v>
      </c>
      <c r="M2561">
        <f>0.1*0.1</f>
        <v>1.0000000000000002E-2</v>
      </c>
      <c r="N2561" t="s">
        <v>126</v>
      </c>
      <c r="O2561" t="s">
        <v>126</v>
      </c>
      <c r="P2561" t="s">
        <v>2571</v>
      </c>
      <c r="Q2561" s="1" t="s">
        <v>2281</v>
      </c>
      <c r="R2561" s="1" t="s">
        <v>2282</v>
      </c>
      <c r="S2561" s="1" t="s">
        <v>126</v>
      </c>
      <c r="T2561" t="s">
        <v>421</v>
      </c>
      <c r="U2561" t="s">
        <v>421</v>
      </c>
      <c r="V2561" t="s">
        <v>194</v>
      </c>
      <c r="W2561" t="s">
        <v>356</v>
      </c>
      <c r="X2561" t="s">
        <v>1448</v>
      </c>
      <c r="Y2561" t="s">
        <v>2272</v>
      </c>
      <c r="Z2561" t="s">
        <v>2272</v>
      </c>
      <c r="AA2561" t="s">
        <v>2272</v>
      </c>
      <c r="AB2561" t="s">
        <v>2272</v>
      </c>
      <c r="AC2561" t="s">
        <v>162</v>
      </c>
      <c r="AD2561" t="s">
        <v>2272</v>
      </c>
      <c r="AF2561" t="s">
        <v>49</v>
      </c>
      <c r="AI2561" t="s">
        <v>49</v>
      </c>
      <c r="AM2561" t="s">
        <v>202</v>
      </c>
      <c r="AN2561" t="s">
        <v>154</v>
      </c>
      <c r="AQ2561" s="5">
        <v>1</v>
      </c>
    </row>
    <row r="2562" spans="1:45" x14ac:dyDescent="0.2">
      <c r="A2562" t="s">
        <v>1467</v>
      </c>
      <c r="B2562" t="s">
        <v>1468</v>
      </c>
      <c r="C2562" s="1">
        <v>2015</v>
      </c>
      <c r="D2562" t="s">
        <v>44</v>
      </c>
      <c r="F2562" t="s">
        <v>357</v>
      </c>
      <c r="G2562" t="s">
        <v>90</v>
      </c>
      <c r="H2562" t="s">
        <v>96</v>
      </c>
      <c r="I2562" t="s">
        <v>1469</v>
      </c>
      <c r="J2562">
        <v>1.3</v>
      </c>
      <c r="K2562" t="s">
        <v>109</v>
      </c>
      <c r="M2562">
        <v>0</v>
      </c>
      <c r="N2562" t="s">
        <v>126</v>
      </c>
      <c r="O2562" t="s">
        <v>126</v>
      </c>
      <c r="P2562" t="s">
        <v>2571</v>
      </c>
      <c r="Q2562" s="1" t="s">
        <v>2281</v>
      </c>
      <c r="R2562" s="1" t="s">
        <v>2282</v>
      </c>
      <c r="S2562" s="1" t="s">
        <v>126</v>
      </c>
      <c r="V2562" t="s">
        <v>194</v>
      </c>
      <c r="W2562" t="s">
        <v>356</v>
      </c>
      <c r="X2562" t="s">
        <v>1470</v>
      </c>
      <c r="Y2562" t="s">
        <v>2273</v>
      </c>
      <c r="Z2562" t="s">
        <v>249</v>
      </c>
      <c r="AA2562" t="s">
        <v>2359</v>
      </c>
      <c r="AB2562" t="s">
        <v>1419</v>
      </c>
      <c r="AC2562" t="s">
        <v>152</v>
      </c>
      <c r="AD2562" t="s">
        <v>137</v>
      </c>
      <c r="AF2562" t="s">
        <v>49</v>
      </c>
      <c r="AJ2562" t="s">
        <v>49</v>
      </c>
      <c r="AM2562" t="s">
        <v>257</v>
      </c>
      <c r="AN2562" t="s">
        <v>166</v>
      </c>
      <c r="AP2562" t="s">
        <v>51</v>
      </c>
    </row>
    <row r="2563" spans="1:45" x14ac:dyDescent="0.2">
      <c r="A2563" t="s">
        <v>1467</v>
      </c>
      <c r="B2563" t="s">
        <v>1468</v>
      </c>
      <c r="C2563" s="1">
        <v>2015</v>
      </c>
      <c r="D2563" t="s">
        <v>44</v>
      </c>
      <c r="F2563" t="s">
        <v>357</v>
      </c>
      <c r="G2563" t="s">
        <v>90</v>
      </c>
      <c r="H2563" t="s">
        <v>96</v>
      </c>
      <c r="I2563" t="s">
        <v>1469</v>
      </c>
      <c r="J2563">
        <v>1.3</v>
      </c>
      <c r="K2563" t="s">
        <v>109</v>
      </c>
      <c r="M2563">
        <v>0</v>
      </c>
      <c r="N2563" t="s">
        <v>126</v>
      </c>
      <c r="O2563" t="s">
        <v>126</v>
      </c>
      <c r="P2563" t="s">
        <v>2571</v>
      </c>
      <c r="Q2563" s="1" t="s">
        <v>2281</v>
      </c>
      <c r="R2563" s="1" t="s">
        <v>2282</v>
      </c>
      <c r="S2563" s="1" t="s">
        <v>126</v>
      </c>
      <c r="V2563" t="s">
        <v>194</v>
      </c>
      <c r="W2563" t="s">
        <v>356</v>
      </c>
      <c r="X2563" t="s">
        <v>1471</v>
      </c>
      <c r="Y2563" t="s">
        <v>2273</v>
      </c>
      <c r="Z2563" t="s">
        <v>249</v>
      </c>
      <c r="AA2563" t="s">
        <v>2359</v>
      </c>
      <c r="AB2563" t="s">
        <v>1419</v>
      </c>
      <c r="AC2563" t="s">
        <v>152</v>
      </c>
      <c r="AD2563" t="s">
        <v>137</v>
      </c>
      <c r="AF2563" t="s">
        <v>49</v>
      </c>
      <c r="AJ2563" t="s">
        <v>49</v>
      </c>
      <c r="AM2563" t="s">
        <v>257</v>
      </c>
      <c r="AN2563" t="s">
        <v>166</v>
      </c>
      <c r="AP2563" t="s">
        <v>51</v>
      </c>
    </row>
    <row r="2564" spans="1:45" x14ac:dyDescent="0.2">
      <c r="A2564" t="s">
        <v>1467</v>
      </c>
      <c r="B2564" t="s">
        <v>1468</v>
      </c>
      <c r="C2564" s="1">
        <v>2015</v>
      </c>
      <c r="D2564" t="s">
        <v>44</v>
      </c>
      <c r="F2564" t="s">
        <v>357</v>
      </c>
      <c r="G2564" t="s">
        <v>90</v>
      </c>
      <c r="H2564" t="s">
        <v>96</v>
      </c>
      <c r="I2564" t="s">
        <v>1469</v>
      </c>
      <c r="J2564">
        <v>1.3</v>
      </c>
      <c r="K2564" t="s">
        <v>109</v>
      </c>
      <c r="M2564">
        <v>0</v>
      </c>
      <c r="N2564" t="s">
        <v>126</v>
      </c>
      <c r="O2564" t="s">
        <v>126</v>
      </c>
      <c r="P2564" t="s">
        <v>2571</v>
      </c>
      <c r="Q2564" s="1" t="s">
        <v>2281</v>
      </c>
      <c r="R2564" s="1" t="s">
        <v>2282</v>
      </c>
      <c r="S2564" s="1" t="s">
        <v>126</v>
      </c>
      <c r="V2564" t="s">
        <v>194</v>
      </c>
      <c r="W2564" t="s">
        <v>356</v>
      </c>
      <c r="X2564" t="s">
        <v>1470</v>
      </c>
      <c r="Y2564" t="s">
        <v>2273</v>
      </c>
      <c r="Z2564" t="s">
        <v>249</v>
      </c>
      <c r="AA2564" t="s">
        <v>2359</v>
      </c>
      <c r="AB2564" t="s">
        <v>1419</v>
      </c>
      <c r="AC2564" t="s">
        <v>152</v>
      </c>
      <c r="AD2564" t="s">
        <v>137</v>
      </c>
      <c r="AF2564" t="s">
        <v>49</v>
      </c>
      <c r="AJ2564" t="s">
        <v>49</v>
      </c>
      <c r="AM2564" t="s">
        <v>197</v>
      </c>
      <c r="AN2564" t="s">
        <v>166</v>
      </c>
      <c r="AP2564" t="s">
        <v>51</v>
      </c>
    </row>
    <row r="2565" spans="1:45" x14ac:dyDescent="0.2">
      <c r="A2565" t="s">
        <v>1467</v>
      </c>
      <c r="B2565" t="s">
        <v>1468</v>
      </c>
      <c r="C2565" s="1">
        <v>2015</v>
      </c>
      <c r="D2565" t="s">
        <v>44</v>
      </c>
      <c r="F2565" t="s">
        <v>357</v>
      </c>
      <c r="G2565" t="s">
        <v>90</v>
      </c>
      <c r="H2565" t="s">
        <v>96</v>
      </c>
      <c r="I2565" t="s">
        <v>1469</v>
      </c>
      <c r="J2565">
        <v>1.3</v>
      </c>
      <c r="K2565" t="s">
        <v>109</v>
      </c>
      <c r="M2565">
        <v>0</v>
      </c>
      <c r="N2565" t="s">
        <v>126</v>
      </c>
      <c r="O2565" t="s">
        <v>126</v>
      </c>
      <c r="P2565" t="s">
        <v>2571</v>
      </c>
      <c r="Q2565" s="1" t="s">
        <v>2281</v>
      </c>
      <c r="R2565" s="1" t="s">
        <v>2282</v>
      </c>
      <c r="S2565" s="1" t="s">
        <v>126</v>
      </c>
      <c r="V2565" t="s">
        <v>194</v>
      </c>
      <c r="W2565" t="s">
        <v>356</v>
      </c>
      <c r="X2565" t="s">
        <v>1471</v>
      </c>
      <c r="Y2565" t="s">
        <v>2273</v>
      </c>
      <c r="Z2565" t="s">
        <v>249</v>
      </c>
      <c r="AA2565" t="s">
        <v>2359</v>
      </c>
      <c r="AB2565" t="s">
        <v>1419</v>
      </c>
      <c r="AC2565" t="s">
        <v>152</v>
      </c>
      <c r="AD2565" t="s">
        <v>137</v>
      </c>
      <c r="AF2565" t="s">
        <v>49</v>
      </c>
      <c r="AJ2565" t="s">
        <v>49</v>
      </c>
      <c r="AM2565" t="s">
        <v>197</v>
      </c>
      <c r="AN2565" t="s">
        <v>166</v>
      </c>
      <c r="AP2565" t="s">
        <v>51</v>
      </c>
    </row>
    <row r="2566" spans="1:45" x14ac:dyDescent="0.2">
      <c r="A2566" t="s">
        <v>1472</v>
      </c>
      <c r="B2566" t="s">
        <v>1468</v>
      </c>
      <c r="C2566" s="1">
        <v>2015</v>
      </c>
      <c r="D2566" t="s">
        <v>44</v>
      </c>
      <c r="F2566" t="s">
        <v>357</v>
      </c>
      <c r="G2566" t="s">
        <v>90</v>
      </c>
      <c r="H2566" t="s">
        <v>96</v>
      </c>
      <c r="L2566">
        <v>160</v>
      </c>
      <c r="P2566" t="s">
        <v>1473</v>
      </c>
      <c r="Q2566" s="1" t="s">
        <v>2272</v>
      </c>
      <c r="R2566" s="1" t="s">
        <v>2272</v>
      </c>
      <c r="S2566" s="1" t="s">
        <v>2272</v>
      </c>
      <c r="Y2566" t="s">
        <v>2272</v>
      </c>
      <c r="Z2566" t="s">
        <v>2272</v>
      </c>
      <c r="AA2566" t="s">
        <v>2272</v>
      </c>
      <c r="AB2566" t="s">
        <v>2272</v>
      </c>
      <c r="AD2566" t="s">
        <v>2272</v>
      </c>
      <c r="AR2566" t="s">
        <v>144</v>
      </c>
      <c r="AS2566" t="s">
        <v>2583</v>
      </c>
    </row>
    <row r="2567" spans="1:45" x14ac:dyDescent="0.2">
      <c r="A2567" t="s">
        <v>1474</v>
      </c>
      <c r="B2567" t="s">
        <v>1475</v>
      </c>
      <c r="C2567" s="1">
        <v>2015</v>
      </c>
      <c r="D2567" t="s">
        <v>811</v>
      </c>
      <c r="F2567" t="s">
        <v>81</v>
      </c>
      <c r="G2567" t="s">
        <v>86</v>
      </c>
      <c r="H2567" t="s">
        <v>96</v>
      </c>
      <c r="I2567" t="s">
        <v>1308</v>
      </c>
      <c r="J2567">
        <v>2</v>
      </c>
      <c r="K2567" t="s">
        <v>42</v>
      </c>
      <c r="L2567">
        <v>900</v>
      </c>
      <c r="M2567">
        <v>0.25</v>
      </c>
      <c r="N2567" t="s">
        <v>124</v>
      </c>
      <c r="O2567" t="s">
        <v>124</v>
      </c>
      <c r="P2567" t="s">
        <v>279</v>
      </c>
      <c r="Q2567" s="1" t="s">
        <v>2292</v>
      </c>
      <c r="R2567" s="1" t="s">
        <v>124</v>
      </c>
      <c r="S2567" s="1" t="s">
        <v>124</v>
      </c>
      <c r="X2567" t="s">
        <v>189</v>
      </c>
      <c r="Y2567" t="s">
        <v>2279</v>
      </c>
      <c r="Z2567" t="s">
        <v>2280</v>
      </c>
      <c r="AA2567" t="s">
        <v>2358</v>
      </c>
      <c r="AB2567" t="s">
        <v>189</v>
      </c>
      <c r="AC2567" t="s">
        <v>152</v>
      </c>
      <c r="AD2567" t="s">
        <v>2278</v>
      </c>
    </row>
    <row r="2568" spans="1:45" x14ac:dyDescent="0.2">
      <c r="A2568" t="s">
        <v>1474</v>
      </c>
      <c r="B2568" t="s">
        <v>1475</v>
      </c>
      <c r="C2568" s="1">
        <v>2015</v>
      </c>
      <c r="D2568" t="s">
        <v>811</v>
      </c>
      <c r="F2568" t="s">
        <v>81</v>
      </c>
      <c r="G2568" t="s">
        <v>86</v>
      </c>
      <c r="H2568" t="s">
        <v>96</v>
      </c>
      <c r="I2568" t="s">
        <v>1476</v>
      </c>
      <c r="J2568">
        <v>3</v>
      </c>
      <c r="K2568" t="s">
        <v>42</v>
      </c>
      <c r="L2568">
        <v>900</v>
      </c>
      <c r="M2568">
        <v>0.25</v>
      </c>
      <c r="N2568" t="s">
        <v>124</v>
      </c>
      <c r="O2568" t="s">
        <v>124</v>
      </c>
      <c r="P2568" t="s">
        <v>279</v>
      </c>
      <c r="Q2568" s="1" t="s">
        <v>2292</v>
      </c>
      <c r="R2568" s="1" t="s">
        <v>124</v>
      </c>
      <c r="S2568" s="1" t="s">
        <v>124</v>
      </c>
      <c r="T2568" t="s">
        <v>421</v>
      </c>
      <c r="U2568" t="s">
        <v>421</v>
      </c>
      <c r="X2568" t="s">
        <v>161</v>
      </c>
      <c r="Y2568" t="s">
        <v>2272</v>
      </c>
      <c r="Z2568" t="s">
        <v>2272</v>
      </c>
      <c r="AA2568" t="s">
        <v>2272</v>
      </c>
      <c r="AB2568" t="s">
        <v>2272</v>
      </c>
      <c r="AC2568" t="s">
        <v>162</v>
      </c>
      <c r="AD2568" t="s">
        <v>2272</v>
      </c>
      <c r="AF2568" t="s">
        <v>49</v>
      </c>
      <c r="AK2568" t="s">
        <v>49</v>
      </c>
      <c r="AM2568" t="s">
        <v>2512</v>
      </c>
      <c r="AN2568" t="s">
        <v>166</v>
      </c>
      <c r="AP2568" t="s">
        <v>49</v>
      </c>
    </row>
    <row r="2569" spans="1:45" x14ac:dyDescent="0.2">
      <c r="A2569" t="s">
        <v>1474</v>
      </c>
      <c r="B2569" t="s">
        <v>1475</v>
      </c>
      <c r="C2569" s="1">
        <v>2015</v>
      </c>
      <c r="D2569" t="s">
        <v>811</v>
      </c>
      <c r="F2569" t="s">
        <v>81</v>
      </c>
      <c r="G2569" t="s">
        <v>86</v>
      </c>
      <c r="H2569" t="s">
        <v>96</v>
      </c>
      <c r="I2569" t="s">
        <v>1476</v>
      </c>
      <c r="J2569">
        <v>3</v>
      </c>
      <c r="K2569" t="s">
        <v>42</v>
      </c>
      <c r="L2569">
        <v>900</v>
      </c>
      <c r="M2569">
        <v>0.25</v>
      </c>
      <c r="N2569" t="s">
        <v>124</v>
      </c>
      <c r="O2569" t="s">
        <v>124</v>
      </c>
      <c r="P2569" t="s">
        <v>279</v>
      </c>
      <c r="Q2569" s="1" t="s">
        <v>2292</v>
      </c>
      <c r="R2569" s="1" t="s">
        <v>124</v>
      </c>
      <c r="S2569" s="1" t="s">
        <v>124</v>
      </c>
      <c r="T2569" t="s">
        <v>421</v>
      </c>
      <c r="U2569" t="s">
        <v>421</v>
      </c>
      <c r="X2569" t="s">
        <v>161</v>
      </c>
      <c r="Y2569" t="s">
        <v>2272</v>
      </c>
      <c r="Z2569" t="s">
        <v>2272</v>
      </c>
      <c r="AA2569" t="s">
        <v>2272</v>
      </c>
      <c r="AB2569" t="s">
        <v>2272</v>
      </c>
      <c r="AC2569" t="s">
        <v>162</v>
      </c>
      <c r="AD2569" t="s">
        <v>2272</v>
      </c>
      <c r="AF2569" t="s">
        <v>49</v>
      </c>
      <c r="AL2569" t="s">
        <v>49</v>
      </c>
      <c r="AM2569" t="s">
        <v>2513</v>
      </c>
      <c r="AN2569" t="s">
        <v>166</v>
      </c>
    </row>
    <row r="2570" spans="1:45" x14ac:dyDescent="0.2">
      <c r="A2570" t="s">
        <v>1474</v>
      </c>
      <c r="B2570" t="s">
        <v>1475</v>
      </c>
      <c r="C2570" s="1">
        <v>2015</v>
      </c>
      <c r="D2570" t="s">
        <v>811</v>
      </c>
      <c r="F2570" t="s">
        <v>81</v>
      </c>
      <c r="G2570" t="s">
        <v>86</v>
      </c>
      <c r="H2570" t="s">
        <v>96</v>
      </c>
      <c r="I2570" t="s">
        <v>1476</v>
      </c>
      <c r="J2570">
        <v>3</v>
      </c>
      <c r="K2570" t="s">
        <v>42</v>
      </c>
      <c r="L2570">
        <v>900</v>
      </c>
      <c r="M2570">
        <v>0.25</v>
      </c>
      <c r="N2570" t="s">
        <v>124</v>
      </c>
      <c r="O2570" t="s">
        <v>124</v>
      </c>
      <c r="P2570" t="s">
        <v>279</v>
      </c>
      <c r="Q2570" s="1" t="s">
        <v>2292</v>
      </c>
      <c r="R2570" s="1" t="s">
        <v>124</v>
      </c>
      <c r="S2570" s="1" t="s">
        <v>124</v>
      </c>
      <c r="T2570" t="s">
        <v>421</v>
      </c>
      <c r="U2570" t="s">
        <v>421</v>
      </c>
      <c r="X2570" t="s">
        <v>161</v>
      </c>
      <c r="Y2570" t="s">
        <v>2272</v>
      </c>
      <c r="Z2570" t="s">
        <v>2272</v>
      </c>
      <c r="AA2570" t="s">
        <v>2272</v>
      </c>
      <c r="AB2570" t="s">
        <v>2272</v>
      </c>
      <c r="AC2570" t="s">
        <v>162</v>
      </c>
      <c r="AD2570" t="s">
        <v>2272</v>
      </c>
      <c r="AG2570" t="s">
        <v>49</v>
      </c>
      <c r="AI2570" t="s">
        <v>49</v>
      </c>
      <c r="AM2570" t="s">
        <v>442</v>
      </c>
      <c r="AN2570" t="s">
        <v>166</v>
      </c>
      <c r="AP2570" t="s">
        <v>157</v>
      </c>
    </row>
    <row r="2571" spans="1:45" x14ac:dyDescent="0.2">
      <c r="A2571" t="s">
        <v>1474</v>
      </c>
      <c r="B2571" t="s">
        <v>1475</v>
      </c>
      <c r="C2571" s="1">
        <v>2015</v>
      </c>
      <c r="D2571" t="s">
        <v>811</v>
      </c>
      <c r="F2571" t="s">
        <v>81</v>
      </c>
      <c r="G2571" t="s">
        <v>86</v>
      </c>
      <c r="H2571" t="s">
        <v>96</v>
      </c>
      <c r="I2571" t="s">
        <v>1476</v>
      </c>
      <c r="J2571">
        <v>3</v>
      </c>
      <c r="K2571" t="s">
        <v>42</v>
      </c>
      <c r="L2571">
        <v>900</v>
      </c>
      <c r="M2571">
        <v>0.25</v>
      </c>
      <c r="N2571" t="s">
        <v>124</v>
      </c>
      <c r="O2571" t="s">
        <v>124</v>
      </c>
      <c r="P2571" t="s">
        <v>279</v>
      </c>
      <c r="Q2571" s="1" t="s">
        <v>2292</v>
      </c>
      <c r="R2571" s="1" t="s">
        <v>124</v>
      </c>
      <c r="S2571" s="1" t="s">
        <v>124</v>
      </c>
      <c r="T2571" t="s">
        <v>421</v>
      </c>
      <c r="U2571" t="s">
        <v>421</v>
      </c>
      <c r="X2571" t="s">
        <v>161</v>
      </c>
      <c r="Y2571" t="s">
        <v>2272</v>
      </c>
      <c r="Z2571" t="s">
        <v>2272</v>
      </c>
      <c r="AA2571" t="s">
        <v>2272</v>
      </c>
      <c r="AB2571" t="s">
        <v>2272</v>
      </c>
      <c r="AC2571" t="s">
        <v>162</v>
      </c>
      <c r="AD2571" t="s">
        <v>2272</v>
      </c>
      <c r="AG2571" t="s">
        <v>49</v>
      </c>
      <c r="AI2571" t="s">
        <v>49</v>
      </c>
      <c r="AM2571" t="s">
        <v>442</v>
      </c>
      <c r="AN2571" t="s">
        <v>154</v>
      </c>
      <c r="AP2571" t="s">
        <v>157</v>
      </c>
    </row>
    <row r="2572" spans="1:45" x14ac:dyDescent="0.2">
      <c r="A2572" t="s">
        <v>1474</v>
      </c>
      <c r="B2572" t="s">
        <v>1475</v>
      </c>
      <c r="C2572" s="1">
        <v>2015</v>
      </c>
      <c r="D2572" t="s">
        <v>811</v>
      </c>
      <c r="F2572" t="s">
        <v>81</v>
      </c>
      <c r="G2572" t="s">
        <v>86</v>
      </c>
      <c r="H2572" t="s">
        <v>96</v>
      </c>
      <c r="I2572" t="s">
        <v>1476</v>
      </c>
      <c r="J2572">
        <v>3</v>
      </c>
      <c r="K2572" t="s">
        <v>42</v>
      </c>
      <c r="L2572">
        <v>900</v>
      </c>
      <c r="M2572">
        <v>0.25</v>
      </c>
      <c r="N2572" t="s">
        <v>124</v>
      </c>
      <c r="O2572" t="s">
        <v>124</v>
      </c>
      <c r="P2572" t="s">
        <v>279</v>
      </c>
      <c r="Q2572" s="1" t="s">
        <v>2292</v>
      </c>
      <c r="R2572" s="1" t="s">
        <v>124</v>
      </c>
      <c r="S2572" s="1" t="s">
        <v>124</v>
      </c>
      <c r="T2572" t="s">
        <v>421</v>
      </c>
      <c r="U2572" t="s">
        <v>421</v>
      </c>
      <c r="X2572" t="s">
        <v>161</v>
      </c>
      <c r="Y2572" t="s">
        <v>2272</v>
      </c>
      <c r="Z2572" t="s">
        <v>2272</v>
      </c>
      <c r="AA2572" t="s">
        <v>2272</v>
      </c>
      <c r="AB2572" t="s">
        <v>2272</v>
      </c>
      <c r="AC2572" t="s">
        <v>162</v>
      </c>
      <c r="AD2572" t="s">
        <v>2272</v>
      </c>
      <c r="AG2572" t="s">
        <v>49</v>
      </c>
      <c r="AI2572" t="s">
        <v>49</v>
      </c>
      <c r="AM2572" t="s">
        <v>442</v>
      </c>
      <c r="AN2572" t="s">
        <v>155</v>
      </c>
    </row>
    <row r="2573" spans="1:45" x14ac:dyDescent="0.2">
      <c r="A2573" t="s">
        <v>1474</v>
      </c>
      <c r="B2573" t="s">
        <v>1475</v>
      </c>
      <c r="C2573" s="1">
        <v>2015</v>
      </c>
      <c r="D2573" t="s">
        <v>811</v>
      </c>
      <c r="F2573" t="s">
        <v>81</v>
      </c>
      <c r="G2573" t="s">
        <v>86</v>
      </c>
      <c r="H2573" t="s">
        <v>96</v>
      </c>
      <c r="I2573" t="s">
        <v>1476</v>
      </c>
      <c r="J2573">
        <v>3</v>
      </c>
      <c r="K2573" t="s">
        <v>42</v>
      </c>
      <c r="L2573">
        <v>900</v>
      </c>
      <c r="M2573">
        <v>0.25</v>
      </c>
      <c r="N2573" t="s">
        <v>124</v>
      </c>
      <c r="O2573" t="s">
        <v>124</v>
      </c>
      <c r="P2573" t="s">
        <v>279</v>
      </c>
      <c r="Q2573" s="1" t="s">
        <v>2292</v>
      </c>
      <c r="R2573" s="1" t="s">
        <v>124</v>
      </c>
      <c r="S2573" s="1" t="s">
        <v>124</v>
      </c>
      <c r="T2573" t="s">
        <v>421</v>
      </c>
      <c r="U2573" t="s">
        <v>421</v>
      </c>
      <c r="X2573" t="s">
        <v>161</v>
      </c>
      <c r="Y2573" t="s">
        <v>2272</v>
      </c>
      <c r="Z2573" t="s">
        <v>2272</v>
      </c>
      <c r="AA2573" t="s">
        <v>2272</v>
      </c>
      <c r="AB2573" t="s">
        <v>2272</v>
      </c>
      <c r="AC2573" t="s">
        <v>162</v>
      </c>
      <c r="AD2573" t="s">
        <v>2272</v>
      </c>
      <c r="AG2573" t="s">
        <v>49</v>
      </c>
      <c r="AI2573" t="s">
        <v>49</v>
      </c>
      <c r="AM2573" t="s">
        <v>442</v>
      </c>
      <c r="AN2573" t="s">
        <v>165</v>
      </c>
      <c r="AP2573" t="s">
        <v>49</v>
      </c>
    </row>
    <row r="2574" spans="1:45" x14ac:dyDescent="0.2">
      <c r="A2574" t="s">
        <v>1477</v>
      </c>
      <c r="B2574" t="s">
        <v>1478</v>
      </c>
      <c r="C2574" s="1">
        <v>2015</v>
      </c>
      <c r="Q2574" s="1" t="s">
        <v>2272</v>
      </c>
      <c r="R2574" s="1" t="s">
        <v>2272</v>
      </c>
      <c r="S2574" s="1" t="s">
        <v>2272</v>
      </c>
      <c r="Y2574" t="s">
        <v>2272</v>
      </c>
      <c r="Z2574" t="s">
        <v>2272</v>
      </c>
      <c r="AA2574" t="s">
        <v>2272</v>
      </c>
      <c r="AB2574" t="s">
        <v>2272</v>
      </c>
      <c r="AD2574" t="s">
        <v>2272</v>
      </c>
      <c r="AR2574" t="s">
        <v>144</v>
      </c>
      <c r="AS2574" t="s">
        <v>2583</v>
      </c>
    </row>
    <row r="2575" spans="1:45" x14ac:dyDescent="0.2">
      <c r="A2575" t="s">
        <v>1479</v>
      </c>
      <c r="B2575" t="s">
        <v>1480</v>
      </c>
      <c r="C2575" s="1">
        <v>2015</v>
      </c>
      <c r="D2575" t="s">
        <v>44</v>
      </c>
      <c r="F2575" t="s">
        <v>367</v>
      </c>
      <c r="G2575" t="s">
        <v>90</v>
      </c>
      <c r="H2575" t="s">
        <v>350</v>
      </c>
      <c r="I2575" t="s">
        <v>1481</v>
      </c>
      <c r="J2575">
        <v>1</v>
      </c>
      <c r="K2575" t="s">
        <v>104</v>
      </c>
      <c r="Q2575" s="1" t="s">
        <v>2351</v>
      </c>
      <c r="R2575" s="1" t="s">
        <v>2351</v>
      </c>
      <c r="S2575" s="1" t="s">
        <v>2351</v>
      </c>
      <c r="Y2575" t="s">
        <v>2272</v>
      </c>
      <c r="Z2575" t="s">
        <v>2272</v>
      </c>
      <c r="AA2575" t="s">
        <v>2272</v>
      </c>
      <c r="AB2575" t="s">
        <v>2272</v>
      </c>
      <c r="AD2575" t="s">
        <v>2272</v>
      </c>
      <c r="AR2575" t="s">
        <v>144</v>
      </c>
      <c r="AS2575" t="s">
        <v>2588</v>
      </c>
    </row>
    <row r="2576" spans="1:45" x14ac:dyDescent="0.2">
      <c r="A2576" t="s">
        <v>1482</v>
      </c>
      <c r="B2576" t="s">
        <v>680</v>
      </c>
      <c r="C2576" s="1">
        <v>2015</v>
      </c>
      <c r="D2576" t="s">
        <v>44</v>
      </c>
      <c r="F2576" t="s">
        <v>83</v>
      </c>
      <c r="G2576" t="s">
        <v>85</v>
      </c>
      <c r="H2576" t="s">
        <v>350</v>
      </c>
      <c r="L2576">
        <v>80</v>
      </c>
      <c r="M2576">
        <v>5.0600000000000003E-3</v>
      </c>
      <c r="N2576" t="s">
        <v>120</v>
      </c>
      <c r="P2576" t="s">
        <v>911</v>
      </c>
      <c r="Q2576" s="1" t="s">
        <v>2276</v>
      </c>
      <c r="R2576" s="1" t="s">
        <v>669</v>
      </c>
      <c r="S2576" s="1" t="s">
        <v>168</v>
      </c>
      <c r="T2576" t="s">
        <v>396</v>
      </c>
      <c r="U2576" s="1" t="s">
        <v>2413</v>
      </c>
      <c r="V2576" t="s">
        <v>194</v>
      </c>
      <c r="W2576" t="s">
        <v>365</v>
      </c>
      <c r="X2576" t="s">
        <v>161</v>
      </c>
      <c r="Y2576" t="s">
        <v>2272</v>
      </c>
      <c r="Z2576" t="s">
        <v>2272</v>
      </c>
      <c r="AA2576" t="s">
        <v>2272</v>
      </c>
      <c r="AB2576" t="s">
        <v>2272</v>
      </c>
      <c r="AC2576" t="s">
        <v>162</v>
      </c>
      <c r="AD2576" t="s">
        <v>2272</v>
      </c>
      <c r="AF2576" t="s">
        <v>49</v>
      </c>
      <c r="AI2576" t="s">
        <v>49</v>
      </c>
      <c r="AM2576" t="s">
        <v>201</v>
      </c>
      <c r="AN2576" t="s">
        <v>166</v>
      </c>
      <c r="AQ2576" s="5">
        <v>1</v>
      </c>
    </row>
    <row r="2577" spans="1:43" x14ac:dyDescent="0.2">
      <c r="A2577" t="s">
        <v>1482</v>
      </c>
      <c r="B2577" t="s">
        <v>680</v>
      </c>
      <c r="C2577" s="1">
        <v>2015</v>
      </c>
      <c r="D2577" t="s">
        <v>44</v>
      </c>
      <c r="F2577" t="s">
        <v>83</v>
      </c>
      <c r="G2577" t="s">
        <v>85</v>
      </c>
      <c r="H2577" t="s">
        <v>350</v>
      </c>
      <c r="L2577">
        <v>80</v>
      </c>
      <c r="M2577">
        <v>5.0600000000000003E-3</v>
      </c>
      <c r="N2577" t="s">
        <v>121</v>
      </c>
      <c r="P2577" t="s">
        <v>365</v>
      </c>
      <c r="Q2577" s="1" t="s">
        <v>2276</v>
      </c>
      <c r="R2577" s="1" t="s">
        <v>755</v>
      </c>
      <c r="S2577" s="1" t="s">
        <v>2352</v>
      </c>
      <c r="T2577" t="s">
        <v>396</v>
      </c>
      <c r="U2577" t="s">
        <v>2407</v>
      </c>
      <c r="V2577" t="s">
        <v>194</v>
      </c>
      <c r="W2577" t="s">
        <v>365</v>
      </c>
      <c r="X2577" t="s">
        <v>161</v>
      </c>
      <c r="Y2577" t="s">
        <v>2272</v>
      </c>
      <c r="Z2577" t="s">
        <v>2272</v>
      </c>
      <c r="AA2577" t="s">
        <v>2272</v>
      </c>
      <c r="AB2577" t="s">
        <v>2272</v>
      </c>
      <c r="AC2577" t="s">
        <v>162</v>
      </c>
      <c r="AD2577" t="s">
        <v>2272</v>
      </c>
      <c r="AF2577" t="s">
        <v>49</v>
      </c>
      <c r="AI2577" t="s">
        <v>49</v>
      </c>
      <c r="AM2577" t="s">
        <v>201</v>
      </c>
      <c r="AN2577" t="s">
        <v>166</v>
      </c>
      <c r="AQ2577" s="5">
        <v>2</v>
      </c>
    </row>
    <row r="2578" spans="1:43" x14ac:dyDescent="0.2">
      <c r="A2578" t="s">
        <v>1482</v>
      </c>
      <c r="B2578" t="s">
        <v>680</v>
      </c>
      <c r="C2578" s="1">
        <v>2015</v>
      </c>
      <c r="D2578" t="s">
        <v>44</v>
      </c>
      <c r="F2578" t="s">
        <v>83</v>
      </c>
      <c r="G2578" t="s">
        <v>85</v>
      </c>
      <c r="H2578" t="s">
        <v>350</v>
      </c>
      <c r="K2578" t="s">
        <v>101</v>
      </c>
      <c r="L2578">
        <v>80</v>
      </c>
      <c r="M2578">
        <v>5.0600000000000003E-3</v>
      </c>
      <c r="N2578" t="s">
        <v>127</v>
      </c>
      <c r="O2578" t="s">
        <v>1483</v>
      </c>
      <c r="Q2578" s="1" t="s">
        <v>2276</v>
      </c>
      <c r="R2578" s="1" t="s">
        <v>751</v>
      </c>
      <c r="S2578" s="1" t="s">
        <v>2346</v>
      </c>
      <c r="T2578" t="s">
        <v>396</v>
      </c>
      <c r="U2578" s="1" t="s">
        <v>2414</v>
      </c>
      <c r="V2578" t="s">
        <v>194</v>
      </c>
      <c r="W2578" t="s">
        <v>365</v>
      </c>
      <c r="X2578" t="s">
        <v>161</v>
      </c>
      <c r="Y2578" t="s">
        <v>2272</v>
      </c>
      <c r="Z2578" t="s">
        <v>2272</v>
      </c>
      <c r="AA2578" t="s">
        <v>2272</v>
      </c>
      <c r="AB2578" t="s">
        <v>2272</v>
      </c>
      <c r="AC2578" t="s">
        <v>162</v>
      </c>
      <c r="AD2578" t="s">
        <v>2272</v>
      </c>
      <c r="AF2578" t="s">
        <v>49</v>
      </c>
      <c r="AI2578" t="s">
        <v>49</v>
      </c>
      <c r="AM2578" t="s">
        <v>201</v>
      </c>
      <c r="AN2578" t="s">
        <v>166</v>
      </c>
    </row>
    <row r="2579" spans="1:43" x14ac:dyDescent="0.2">
      <c r="A2579" t="s">
        <v>1482</v>
      </c>
      <c r="B2579" t="s">
        <v>680</v>
      </c>
      <c r="C2579" s="1">
        <v>2015</v>
      </c>
      <c r="D2579" t="s">
        <v>44</v>
      </c>
      <c r="F2579" t="s">
        <v>83</v>
      </c>
      <c r="G2579" t="s">
        <v>85</v>
      </c>
      <c r="H2579" t="s">
        <v>350</v>
      </c>
      <c r="L2579">
        <v>80</v>
      </c>
      <c r="M2579">
        <v>5.0600000000000003E-3</v>
      </c>
      <c r="N2579" t="s">
        <v>120</v>
      </c>
      <c r="P2579" t="s">
        <v>911</v>
      </c>
      <c r="Q2579" s="1" t="s">
        <v>2276</v>
      </c>
      <c r="R2579" s="1" t="s">
        <v>669</v>
      </c>
      <c r="S2579" s="1" t="s">
        <v>168</v>
      </c>
      <c r="T2579" t="s">
        <v>396</v>
      </c>
      <c r="U2579" s="1" t="s">
        <v>2413</v>
      </c>
      <c r="V2579" t="s">
        <v>194</v>
      </c>
      <c r="W2579" t="s">
        <v>365</v>
      </c>
      <c r="X2579" t="s">
        <v>161</v>
      </c>
      <c r="Y2579" t="s">
        <v>2272</v>
      </c>
      <c r="Z2579" t="s">
        <v>2272</v>
      </c>
      <c r="AA2579" t="s">
        <v>2272</v>
      </c>
      <c r="AB2579" t="s">
        <v>2272</v>
      </c>
      <c r="AC2579" t="s">
        <v>162</v>
      </c>
      <c r="AD2579" t="s">
        <v>2272</v>
      </c>
      <c r="AF2579" t="s">
        <v>49</v>
      </c>
      <c r="AI2579" t="s">
        <v>49</v>
      </c>
      <c r="AM2579" t="s">
        <v>201</v>
      </c>
      <c r="AN2579" t="s">
        <v>154</v>
      </c>
      <c r="AQ2579" s="5">
        <v>1</v>
      </c>
    </row>
    <row r="2580" spans="1:43" x14ac:dyDescent="0.2">
      <c r="A2580" t="s">
        <v>1482</v>
      </c>
      <c r="B2580" t="s">
        <v>680</v>
      </c>
      <c r="C2580" s="1">
        <v>2015</v>
      </c>
      <c r="D2580" t="s">
        <v>44</v>
      </c>
      <c r="F2580" t="s">
        <v>83</v>
      </c>
      <c r="G2580" t="s">
        <v>85</v>
      </c>
      <c r="H2580" t="s">
        <v>350</v>
      </c>
      <c r="L2580">
        <v>80</v>
      </c>
      <c r="M2580">
        <v>5.0600000000000003E-3</v>
      </c>
      <c r="N2580" t="s">
        <v>121</v>
      </c>
      <c r="P2580" t="s">
        <v>365</v>
      </c>
      <c r="Q2580" s="1" t="s">
        <v>2276</v>
      </c>
      <c r="R2580" s="1" t="s">
        <v>755</v>
      </c>
      <c r="S2580" s="1" t="s">
        <v>2352</v>
      </c>
      <c r="T2580" t="s">
        <v>396</v>
      </c>
      <c r="U2580" t="s">
        <v>2407</v>
      </c>
      <c r="V2580" t="s">
        <v>194</v>
      </c>
      <c r="W2580" t="s">
        <v>365</v>
      </c>
      <c r="X2580" t="s">
        <v>161</v>
      </c>
      <c r="Y2580" t="s">
        <v>2272</v>
      </c>
      <c r="Z2580" t="s">
        <v>2272</v>
      </c>
      <c r="AA2580" t="s">
        <v>2272</v>
      </c>
      <c r="AB2580" t="s">
        <v>2272</v>
      </c>
      <c r="AC2580" t="s">
        <v>162</v>
      </c>
      <c r="AD2580" t="s">
        <v>2272</v>
      </c>
      <c r="AF2580" t="s">
        <v>49</v>
      </c>
      <c r="AI2580" t="s">
        <v>49</v>
      </c>
      <c r="AM2580" t="s">
        <v>201</v>
      </c>
      <c r="AN2580" t="s">
        <v>154</v>
      </c>
      <c r="AQ2580" s="5">
        <v>2</v>
      </c>
    </row>
    <row r="2581" spans="1:43" x14ac:dyDescent="0.2">
      <c r="A2581" t="s">
        <v>1482</v>
      </c>
      <c r="B2581" t="s">
        <v>680</v>
      </c>
      <c r="C2581" s="1">
        <v>2015</v>
      </c>
      <c r="D2581" t="s">
        <v>44</v>
      </c>
      <c r="F2581" t="s">
        <v>83</v>
      </c>
      <c r="G2581" t="s">
        <v>85</v>
      </c>
      <c r="H2581" t="s">
        <v>350</v>
      </c>
      <c r="K2581" t="s">
        <v>101</v>
      </c>
      <c r="L2581">
        <v>80</v>
      </c>
      <c r="M2581">
        <v>5.0600000000000003E-3</v>
      </c>
      <c r="N2581" t="s">
        <v>127</v>
      </c>
      <c r="O2581" t="s">
        <v>1483</v>
      </c>
      <c r="Q2581" s="1" t="s">
        <v>2276</v>
      </c>
      <c r="R2581" s="1" t="s">
        <v>751</v>
      </c>
      <c r="S2581" s="1" t="s">
        <v>2346</v>
      </c>
      <c r="T2581" t="s">
        <v>396</v>
      </c>
      <c r="U2581" s="1" t="s">
        <v>2414</v>
      </c>
      <c r="V2581" t="s">
        <v>194</v>
      </c>
      <c r="W2581" t="s">
        <v>365</v>
      </c>
      <c r="X2581" t="s">
        <v>161</v>
      </c>
      <c r="Y2581" t="s">
        <v>2272</v>
      </c>
      <c r="Z2581" t="s">
        <v>2272</v>
      </c>
      <c r="AA2581" t="s">
        <v>2272</v>
      </c>
      <c r="AB2581" t="s">
        <v>2272</v>
      </c>
      <c r="AC2581" t="s">
        <v>162</v>
      </c>
      <c r="AD2581" t="s">
        <v>2272</v>
      </c>
      <c r="AF2581" t="s">
        <v>49</v>
      </c>
      <c r="AI2581" t="s">
        <v>49</v>
      </c>
      <c r="AM2581" t="s">
        <v>201</v>
      </c>
      <c r="AN2581" t="s">
        <v>154</v>
      </c>
    </row>
    <row r="2582" spans="1:43" x14ac:dyDescent="0.2">
      <c r="A2582" t="s">
        <v>1482</v>
      </c>
      <c r="B2582" t="s">
        <v>680</v>
      </c>
      <c r="C2582" s="1">
        <v>2015</v>
      </c>
      <c r="D2582" t="s">
        <v>44</v>
      </c>
      <c r="F2582" t="s">
        <v>83</v>
      </c>
      <c r="G2582" t="s">
        <v>85</v>
      </c>
      <c r="H2582" t="s">
        <v>350</v>
      </c>
      <c r="L2582">
        <v>80</v>
      </c>
      <c r="M2582">
        <v>5.0600000000000003E-3</v>
      </c>
      <c r="N2582" t="s">
        <v>120</v>
      </c>
      <c r="P2582" t="s">
        <v>911</v>
      </c>
      <c r="Q2582" s="1" t="s">
        <v>2276</v>
      </c>
      <c r="R2582" s="1" t="s">
        <v>669</v>
      </c>
      <c r="S2582" s="1" t="s">
        <v>168</v>
      </c>
      <c r="T2582" t="s">
        <v>396</v>
      </c>
      <c r="U2582" s="1" t="s">
        <v>2413</v>
      </c>
      <c r="V2582" t="s">
        <v>194</v>
      </c>
      <c r="W2582" t="s">
        <v>365</v>
      </c>
      <c r="X2582" t="s">
        <v>161</v>
      </c>
      <c r="Y2582" t="s">
        <v>2272</v>
      </c>
      <c r="Z2582" t="s">
        <v>2272</v>
      </c>
      <c r="AA2582" t="s">
        <v>2272</v>
      </c>
      <c r="AB2582" t="s">
        <v>2272</v>
      </c>
      <c r="AC2582" t="s">
        <v>162</v>
      </c>
      <c r="AD2582" t="s">
        <v>2272</v>
      </c>
      <c r="AF2582" t="s">
        <v>49</v>
      </c>
      <c r="AI2582" t="s">
        <v>49</v>
      </c>
      <c r="AM2582" t="s">
        <v>201</v>
      </c>
      <c r="AN2582" t="s">
        <v>165</v>
      </c>
      <c r="AP2582" t="s">
        <v>49</v>
      </c>
    </row>
    <row r="2583" spans="1:43" x14ac:dyDescent="0.2">
      <c r="A2583" t="s">
        <v>1482</v>
      </c>
      <c r="B2583" t="s">
        <v>680</v>
      </c>
      <c r="C2583" s="1">
        <v>2015</v>
      </c>
      <c r="D2583" t="s">
        <v>44</v>
      </c>
      <c r="F2583" t="s">
        <v>83</v>
      </c>
      <c r="G2583" t="s">
        <v>85</v>
      </c>
      <c r="H2583" t="s">
        <v>350</v>
      </c>
      <c r="L2583">
        <v>80</v>
      </c>
      <c r="M2583">
        <v>5.0600000000000003E-3</v>
      </c>
      <c r="N2583" t="s">
        <v>121</v>
      </c>
      <c r="P2583" t="s">
        <v>365</v>
      </c>
      <c r="Q2583" s="1" t="s">
        <v>2276</v>
      </c>
      <c r="R2583" s="1" t="s">
        <v>755</v>
      </c>
      <c r="S2583" s="1" t="s">
        <v>2352</v>
      </c>
      <c r="T2583" t="s">
        <v>396</v>
      </c>
      <c r="U2583" t="s">
        <v>2407</v>
      </c>
      <c r="V2583" t="s">
        <v>194</v>
      </c>
      <c r="W2583" t="s">
        <v>365</v>
      </c>
      <c r="X2583" t="s">
        <v>161</v>
      </c>
      <c r="Y2583" t="s">
        <v>2272</v>
      </c>
      <c r="Z2583" t="s">
        <v>2272</v>
      </c>
      <c r="AA2583" t="s">
        <v>2272</v>
      </c>
      <c r="AB2583" t="s">
        <v>2272</v>
      </c>
      <c r="AC2583" t="s">
        <v>162</v>
      </c>
      <c r="AD2583" t="s">
        <v>2272</v>
      </c>
      <c r="AF2583" t="s">
        <v>49</v>
      </c>
      <c r="AI2583" t="s">
        <v>49</v>
      </c>
      <c r="AM2583" t="s">
        <v>201</v>
      </c>
      <c r="AN2583" t="s">
        <v>165</v>
      </c>
      <c r="AP2583" t="s">
        <v>49</v>
      </c>
    </row>
    <row r="2584" spans="1:43" x14ac:dyDescent="0.2">
      <c r="A2584" t="s">
        <v>1482</v>
      </c>
      <c r="B2584" t="s">
        <v>680</v>
      </c>
      <c r="C2584" s="1">
        <v>2015</v>
      </c>
      <c r="D2584" t="s">
        <v>44</v>
      </c>
      <c r="F2584" t="s">
        <v>83</v>
      </c>
      <c r="G2584" t="s">
        <v>85</v>
      </c>
      <c r="H2584" t="s">
        <v>350</v>
      </c>
      <c r="K2584" t="s">
        <v>101</v>
      </c>
      <c r="L2584">
        <v>80</v>
      </c>
      <c r="M2584">
        <v>5.0600000000000003E-3</v>
      </c>
      <c r="N2584" t="s">
        <v>127</v>
      </c>
      <c r="O2584" t="s">
        <v>1483</v>
      </c>
      <c r="Q2584" s="1" t="s">
        <v>2276</v>
      </c>
      <c r="R2584" s="1" t="s">
        <v>751</v>
      </c>
      <c r="S2584" s="1" t="s">
        <v>2346</v>
      </c>
      <c r="T2584" t="s">
        <v>396</v>
      </c>
      <c r="U2584" s="1" t="s">
        <v>2414</v>
      </c>
      <c r="V2584" t="s">
        <v>194</v>
      </c>
      <c r="W2584" t="s">
        <v>365</v>
      </c>
      <c r="X2584" t="s">
        <v>161</v>
      </c>
      <c r="Y2584" t="s">
        <v>2272</v>
      </c>
      <c r="Z2584" t="s">
        <v>2272</v>
      </c>
      <c r="AA2584" t="s">
        <v>2272</v>
      </c>
      <c r="AB2584" t="s">
        <v>2272</v>
      </c>
      <c r="AC2584" t="s">
        <v>162</v>
      </c>
      <c r="AD2584" t="s">
        <v>2272</v>
      </c>
      <c r="AF2584" t="s">
        <v>49</v>
      </c>
      <c r="AI2584" t="s">
        <v>49</v>
      </c>
      <c r="AM2584" t="s">
        <v>201</v>
      </c>
      <c r="AN2584" t="s">
        <v>165</v>
      </c>
      <c r="AP2584" t="s">
        <v>49</v>
      </c>
    </row>
    <row r="2585" spans="1:43" x14ac:dyDescent="0.2">
      <c r="A2585" t="s">
        <v>1482</v>
      </c>
      <c r="B2585" t="s">
        <v>680</v>
      </c>
      <c r="C2585" s="1">
        <v>2015</v>
      </c>
      <c r="D2585" t="s">
        <v>44</v>
      </c>
      <c r="F2585" t="s">
        <v>83</v>
      </c>
      <c r="G2585" t="s">
        <v>85</v>
      </c>
      <c r="H2585" t="s">
        <v>350</v>
      </c>
      <c r="L2585">
        <v>80</v>
      </c>
      <c r="M2585">
        <v>5.0600000000000003E-3</v>
      </c>
      <c r="N2585" t="s">
        <v>120</v>
      </c>
      <c r="P2585" t="s">
        <v>911</v>
      </c>
      <c r="Q2585" s="1" t="s">
        <v>2276</v>
      </c>
      <c r="R2585" s="1" t="s">
        <v>669</v>
      </c>
      <c r="S2585" s="1" t="s">
        <v>168</v>
      </c>
      <c r="T2585" t="s">
        <v>396</v>
      </c>
      <c r="U2585" s="1" t="s">
        <v>2413</v>
      </c>
      <c r="V2585" t="s">
        <v>194</v>
      </c>
      <c r="W2585" t="s">
        <v>365</v>
      </c>
      <c r="X2585" t="s">
        <v>161</v>
      </c>
      <c r="Y2585" t="s">
        <v>2272</v>
      </c>
      <c r="Z2585" t="s">
        <v>2272</v>
      </c>
      <c r="AA2585" t="s">
        <v>2272</v>
      </c>
      <c r="AB2585" t="s">
        <v>2272</v>
      </c>
      <c r="AC2585" t="s">
        <v>162</v>
      </c>
      <c r="AD2585" t="s">
        <v>2272</v>
      </c>
      <c r="AF2585" t="s">
        <v>49</v>
      </c>
      <c r="AK2585" t="s">
        <v>49</v>
      </c>
      <c r="AM2585" t="s">
        <v>723</v>
      </c>
      <c r="AN2585" t="s">
        <v>166</v>
      </c>
      <c r="AQ2585" s="5">
        <v>1</v>
      </c>
    </row>
    <row r="2586" spans="1:43" x14ac:dyDescent="0.2">
      <c r="A2586" t="s">
        <v>1482</v>
      </c>
      <c r="B2586" t="s">
        <v>680</v>
      </c>
      <c r="C2586" s="1">
        <v>2015</v>
      </c>
      <c r="D2586" t="s">
        <v>44</v>
      </c>
      <c r="F2586" t="s">
        <v>83</v>
      </c>
      <c r="G2586" t="s">
        <v>85</v>
      </c>
      <c r="H2586" t="s">
        <v>350</v>
      </c>
      <c r="L2586">
        <v>80</v>
      </c>
      <c r="M2586">
        <v>5.0600000000000003E-3</v>
      </c>
      <c r="N2586" t="s">
        <v>121</v>
      </c>
      <c r="P2586" t="s">
        <v>365</v>
      </c>
      <c r="Q2586" s="1" t="s">
        <v>2276</v>
      </c>
      <c r="R2586" s="1" t="s">
        <v>755</v>
      </c>
      <c r="S2586" s="1" t="s">
        <v>2352</v>
      </c>
      <c r="T2586" t="s">
        <v>396</v>
      </c>
      <c r="U2586" t="s">
        <v>2407</v>
      </c>
      <c r="V2586" t="s">
        <v>194</v>
      </c>
      <c r="W2586" t="s">
        <v>365</v>
      </c>
      <c r="X2586" t="s">
        <v>161</v>
      </c>
      <c r="Y2586" t="s">
        <v>2272</v>
      </c>
      <c r="Z2586" t="s">
        <v>2272</v>
      </c>
      <c r="AA2586" t="s">
        <v>2272</v>
      </c>
      <c r="AB2586" t="s">
        <v>2272</v>
      </c>
      <c r="AC2586" t="s">
        <v>162</v>
      </c>
      <c r="AD2586" t="s">
        <v>2272</v>
      </c>
      <c r="AF2586" t="s">
        <v>49</v>
      </c>
      <c r="AK2586" t="s">
        <v>49</v>
      </c>
      <c r="AM2586" t="s">
        <v>723</v>
      </c>
      <c r="AN2586" t="s">
        <v>166</v>
      </c>
      <c r="AQ2586" s="5">
        <v>2</v>
      </c>
    </row>
    <row r="2587" spans="1:43" x14ac:dyDescent="0.2">
      <c r="A2587" t="s">
        <v>1482</v>
      </c>
      <c r="B2587" t="s">
        <v>680</v>
      </c>
      <c r="C2587" s="1">
        <v>2015</v>
      </c>
      <c r="D2587" t="s">
        <v>44</v>
      </c>
      <c r="F2587" t="s">
        <v>83</v>
      </c>
      <c r="G2587" t="s">
        <v>85</v>
      </c>
      <c r="H2587" t="s">
        <v>350</v>
      </c>
      <c r="K2587" t="s">
        <v>101</v>
      </c>
      <c r="L2587">
        <v>80</v>
      </c>
      <c r="M2587">
        <v>5.0600000000000003E-3</v>
      </c>
      <c r="N2587" t="s">
        <v>127</v>
      </c>
      <c r="O2587" t="s">
        <v>1483</v>
      </c>
      <c r="Q2587" s="1" t="s">
        <v>2276</v>
      </c>
      <c r="R2587" s="1" t="s">
        <v>751</v>
      </c>
      <c r="S2587" s="1" t="s">
        <v>2346</v>
      </c>
      <c r="T2587" t="s">
        <v>396</v>
      </c>
      <c r="U2587" s="1" t="s">
        <v>2414</v>
      </c>
      <c r="V2587" t="s">
        <v>194</v>
      </c>
      <c r="W2587" t="s">
        <v>365</v>
      </c>
      <c r="X2587" t="s">
        <v>161</v>
      </c>
      <c r="Y2587" t="s">
        <v>2272</v>
      </c>
      <c r="Z2587" t="s">
        <v>2272</v>
      </c>
      <c r="AA2587" t="s">
        <v>2272</v>
      </c>
      <c r="AB2587" t="s">
        <v>2272</v>
      </c>
      <c r="AC2587" t="s">
        <v>162</v>
      </c>
      <c r="AD2587" t="s">
        <v>2272</v>
      </c>
      <c r="AF2587" t="s">
        <v>49</v>
      </c>
      <c r="AK2587" t="s">
        <v>49</v>
      </c>
      <c r="AM2587" t="s">
        <v>723</v>
      </c>
      <c r="AN2587" t="s">
        <v>166</v>
      </c>
    </row>
    <row r="2588" spans="1:43" x14ac:dyDescent="0.2">
      <c r="A2588" t="s">
        <v>1482</v>
      </c>
      <c r="B2588" t="s">
        <v>680</v>
      </c>
      <c r="C2588" s="1">
        <v>2015</v>
      </c>
      <c r="D2588" t="s">
        <v>44</v>
      </c>
      <c r="F2588" t="s">
        <v>83</v>
      </c>
      <c r="G2588" t="s">
        <v>85</v>
      </c>
      <c r="H2588" t="s">
        <v>350</v>
      </c>
      <c r="L2588">
        <v>80</v>
      </c>
      <c r="M2588">
        <v>5.0600000000000003E-3</v>
      </c>
      <c r="N2588" t="s">
        <v>120</v>
      </c>
      <c r="P2588" t="s">
        <v>911</v>
      </c>
      <c r="Q2588" s="1" t="s">
        <v>2276</v>
      </c>
      <c r="R2588" s="1" t="s">
        <v>669</v>
      </c>
      <c r="S2588" s="1" t="s">
        <v>168</v>
      </c>
      <c r="T2588" t="s">
        <v>396</v>
      </c>
      <c r="U2588" s="1" t="s">
        <v>2413</v>
      </c>
      <c r="V2588" t="s">
        <v>194</v>
      </c>
      <c r="W2588" t="s">
        <v>365</v>
      </c>
      <c r="X2588" t="s">
        <v>161</v>
      </c>
      <c r="Y2588" t="s">
        <v>2272</v>
      </c>
      <c r="Z2588" t="s">
        <v>2272</v>
      </c>
      <c r="AA2588" t="s">
        <v>2272</v>
      </c>
      <c r="AB2588" t="s">
        <v>2272</v>
      </c>
      <c r="AC2588" t="s">
        <v>162</v>
      </c>
      <c r="AD2588" t="s">
        <v>2272</v>
      </c>
      <c r="AF2588" t="s">
        <v>49</v>
      </c>
      <c r="AK2588" t="s">
        <v>49</v>
      </c>
      <c r="AM2588" t="s">
        <v>1484</v>
      </c>
      <c r="AN2588" t="s">
        <v>166</v>
      </c>
      <c r="AQ2588" s="5">
        <v>1</v>
      </c>
    </row>
    <row r="2589" spans="1:43" x14ac:dyDescent="0.2">
      <c r="A2589" t="s">
        <v>1482</v>
      </c>
      <c r="B2589" t="s">
        <v>680</v>
      </c>
      <c r="C2589" s="1">
        <v>2015</v>
      </c>
      <c r="D2589" t="s">
        <v>44</v>
      </c>
      <c r="F2589" t="s">
        <v>83</v>
      </c>
      <c r="G2589" t="s">
        <v>85</v>
      </c>
      <c r="H2589" t="s">
        <v>350</v>
      </c>
      <c r="L2589">
        <v>80</v>
      </c>
      <c r="M2589">
        <v>5.0600000000000003E-3</v>
      </c>
      <c r="N2589" t="s">
        <v>121</v>
      </c>
      <c r="P2589" t="s">
        <v>365</v>
      </c>
      <c r="Q2589" s="1" t="s">
        <v>2276</v>
      </c>
      <c r="R2589" s="1" t="s">
        <v>755</v>
      </c>
      <c r="S2589" s="1" t="s">
        <v>2352</v>
      </c>
      <c r="T2589" t="s">
        <v>396</v>
      </c>
      <c r="U2589" t="s">
        <v>2407</v>
      </c>
      <c r="V2589" t="s">
        <v>194</v>
      </c>
      <c r="W2589" t="s">
        <v>365</v>
      </c>
      <c r="X2589" t="s">
        <v>161</v>
      </c>
      <c r="Y2589" t="s">
        <v>2272</v>
      </c>
      <c r="Z2589" t="s">
        <v>2272</v>
      </c>
      <c r="AA2589" t="s">
        <v>2272</v>
      </c>
      <c r="AB2589" t="s">
        <v>2272</v>
      </c>
      <c r="AC2589" t="s">
        <v>162</v>
      </c>
      <c r="AD2589" t="s">
        <v>2272</v>
      </c>
      <c r="AF2589" t="s">
        <v>49</v>
      </c>
      <c r="AK2589" t="s">
        <v>49</v>
      </c>
      <c r="AM2589" t="s">
        <v>1484</v>
      </c>
      <c r="AN2589" t="s">
        <v>166</v>
      </c>
      <c r="AQ2589" s="5">
        <v>2</v>
      </c>
    </row>
    <row r="2590" spans="1:43" x14ac:dyDescent="0.2">
      <c r="A2590" t="s">
        <v>1482</v>
      </c>
      <c r="B2590" t="s">
        <v>680</v>
      </c>
      <c r="C2590" s="1">
        <v>2015</v>
      </c>
      <c r="D2590" t="s">
        <v>44</v>
      </c>
      <c r="F2590" t="s">
        <v>83</v>
      </c>
      <c r="G2590" t="s">
        <v>85</v>
      </c>
      <c r="H2590" t="s">
        <v>350</v>
      </c>
      <c r="K2590" t="s">
        <v>101</v>
      </c>
      <c r="L2590">
        <v>80</v>
      </c>
      <c r="M2590">
        <v>5.0600000000000003E-3</v>
      </c>
      <c r="N2590" t="s">
        <v>127</v>
      </c>
      <c r="O2590" t="s">
        <v>1483</v>
      </c>
      <c r="Q2590" s="1" t="s">
        <v>2276</v>
      </c>
      <c r="R2590" s="1" t="s">
        <v>751</v>
      </c>
      <c r="S2590" s="1" t="s">
        <v>2346</v>
      </c>
      <c r="T2590" t="s">
        <v>396</v>
      </c>
      <c r="U2590" s="1" t="s">
        <v>2414</v>
      </c>
      <c r="V2590" t="s">
        <v>194</v>
      </c>
      <c r="W2590" t="s">
        <v>365</v>
      </c>
      <c r="X2590" t="s">
        <v>161</v>
      </c>
      <c r="Y2590" t="s">
        <v>2272</v>
      </c>
      <c r="Z2590" t="s">
        <v>2272</v>
      </c>
      <c r="AA2590" t="s">
        <v>2272</v>
      </c>
      <c r="AB2590" t="s">
        <v>2272</v>
      </c>
      <c r="AC2590" t="s">
        <v>162</v>
      </c>
      <c r="AD2590" t="s">
        <v>2272</v>
      </c>
      <c r="AF2590" t="s">
        <v>49</v>
      </c>
      <c r="AK2590" t="s">
        <v>49</v>
      </c>
      <c r="AM2590" t="s">
        <v>1484</v>
      </c>
      <c r="AN2590" t="s">
        <v>166</v>
      </c>
    </row>
    <row r="2591" spans="1:43" x14ac:dyDescent="0.2">
      <c r="A2591" t="s">
        <v>1482</v>
      </c>
      <c r="B2591" t="s">
        <v>680</v>
      </c>
      <c r="C2591" s="1">
        <v>2015</v>
      </c>
      <c r="D2591" t="s">
        <v>44</v>
      </c>
      <c r="F2591" t="s">
        <v>83</v>
      </c>
      <c r="G2591" t="s">
        <v>85</v>
      </c>
      <c r="H2591" t="s">
        <v>350</v>
      </c>
      <c r="L2591">
        <v>80</v>
      </c>
      <c r="M2591">
        <v>5.0600000000000003E-3</v>
      </c>
      <c r="N2591" t="s">
        <v>120</v>
      </c>
      <c r="P2591" t="s">
        <v>911</v>
      </c>
      <c r="Q2591" s="1" t="s">
        <v>2276</v>
      </c>
      <c r="R2591" s="1" t="s">
        <v>669</v>
      </c>
      <c r="S2591" s="1" t="s">
        <v>168</v>
      </c>
      <c r="T2591" t="s">
        <v>396</v>
      </c>
      <c r="U2591" s="1" t="s">
        <v>2413</v>
      </c>
      <c r="V2591" t="s">
        <v>194</v>
      </c>
      <c r="W2591" t="s">
        <v>365</v>
      </c>
      <c r="X2591" t="s">
        <v>161</v>
      </c>
      <c r="Y2591" t="s">
        <v>2272</v>
      </c>
      <c r="Z2591" t="s">
        <v>2272</v>
      </c>
      <c r="AA2591" t="s">
        <v>2272</v>
      </c>
      <c r="AB2591" t="s">
        <v>2272</v>
      </c>
      <c r="AC2591" t="s">
        <v>162</v>
      </c>
      <c r="AD2591" t="s">
        <v>2272</v>
      </c>
      <c r="AF2591" t="s">
        <v>49</v>
      </c>
      <c r="AK2591" t="s">
        <v>49</v>
      </c>
      <c r="AM2591" t="s">
        <v>306</v>
      </c>
      <c r="AN2591" t="s">
        <v>166</v>
      </c>
      <c r="AQ2591" s="5">
        <v>0</v>
      </c>
    </row>
    <row r="2592" spans="1:43" x14ac:dyDescent="0.2">
      <c r="A2592" t="s">
        <v>1482</v>
      </c>
      <c r="B2592" t="s">
        <v>680</v>
      </c>
      <c r="C2592" s="1">
        <v>2015</v>
      </c>
      <c r="D2592" t="s">
        <v>44</v>
      </c>
      <c r="F2592" t="s">
        <v>83</v>
      </c>
      <c r="G2592" t="s">
        <v>85</v>
      </c>
      <c r="H2592" t="s">
        <v>350</v>
      </c>
      <c r="L2592">
        <v>80</v>
      </c>
      <c r="M2592">
        <v>5.0600000000000003E-3</v>
      </c>
      <c r="N2592" t="s">
        <v>121</v>
      </c>
      <c r="P2592" t="s">
        <v>365</v>
      </c>
      <c r="Q2592" s="1" t="s">
        <v>2276</v>
      </c>
      <c r="R2592" s="1" t="s">
        <v>755</v>
      </c>
      <c r="S2592" s="1" t="s">
        <v>2352</v>
      </c>
      <c r="T2592" t="s">
        <v>396</v>
      </c>
      <c r="U2592" t="s">
        <v>2407</v>
      </c>
      <c r="V2592" t="s">
        <v>194</v>
      </c>
      <c r="W2592" t="s">
        <v>365</v>
      </c>
      <c r="X2592" t="s">
        <v>161</v>
      </c>
      <c r="Y2592" t="s">
        <v>2272</v>
      </c>
      <c r="Z2592" t="s">
        <v>2272</v>
      </c>
      <c r="AA2592" t="s">
        <v>2272</v>
      </c>
      <c r="AB2592" t="s">
        <v>2272</v>
      </c>
      <c r="AC2592" t="s">
        <v>162</v>
      </c>
      <c r="AD2592" t="s">
        <v>2272</v>
      </c>
      <c r="AF2592" t="s">
        <v>49</v>
      </c>
      <c r="AK2592" t="s">
        <v>49</v>
      </c>
      <c r="AM2592" t="s">
        <v>306</v>
      </c>
      <c r="AN2592" t="s">
        <v>166</v>
      </c>
      <c r="AQ2592" s="5">
        <v>0</v>
      </c>
    </row>
    <row r="2593" spans="1:43" x14ac:dyDescent="0.2">
      <c r="A2593" t="s">
        <v>1482</v>
      </c>
      <c r="B2593" t="s">
        <v>680</v>
      </c>
      <c r="C2593" s="1">
        <v>2015</v>
      </c>
      <c r="D2593" t="s">
        <v>44</v>
      </c>
      <c r="F2593" t="s">
        <v>83</v>
      </c>
      <c r="G2593" t="s">
        <v>85</v>
      </c>
      <c r="H2593" t="s">
        <v>350</v>
      </c>
      <c r="K2593" t="s">
        <v>101</v>
      </c>
      <c r="L2593">
        <v>80</v>
      </c>
      <c r="M2593">
        <v>5.0600000000000003E-3</v>
      </c>
      <c r="N2593" t="s">
        <v>127</v>
      </c>
      <c r="O2593" t="s">
        <v>1483</v>
      </c>
      <c r="Q2593" s="1" t="s">
        <v>2276</v>
      </c>
      <c r="R2593" s="1" t="s">
        <v>751</v>
      </c>
      <c r="S2593" s="1" t="s">
        <v>2346</v>
      </c>
      <c r="T2593" t="s">
        <v>396</v>
      </c>
      <c r="U2593" s="1" t="s">
        <v>2414</v>
      </c>
      <c r="V2593" t="s">
        <v>194</v>
      </c>
      <c r="W2593" t="s">
        <v>365</v>
      </c>
      <c r="X2593" t="s">
        <v>161</v>
      </c>
      <c r="Y2593" t="s">
        <v>2272</v>
      </c>
      <c r="Z2593" t="s">
        <v>2272</v>
      </c>
      <c r="AA2593" t="s">
        <v>2272</v>
      </c>
      <c r="AB2593" t="s">
        <v>2272</v>
      </c>
      <c r="AC2593" t="s">
        <v>162</v>
      </c>
      <c r="AD2593" t="s">
        <v>2272</v>
      </c>
      <c r="AF2593" t="s">
        <v>49</v>
      </c>
      <c r="AK2593" t="s">
        <v>49</v>
      </c>
      <c r="AM2593" t="s">
        <v>306</v>
      </c>
      <c r="AN2593" t="s">
        <v>166</v>
      </c>
      <c r="AQ2593" s="5">
        <v>0</v>
      </c>
    </row>
    <row r="2594" spans="1:43" x14ac:dyDescent="0.2">
      <c r="A2594" t="s">
        <v>1482</v>
      </c>
      <c r="B2594" t="s">
        <v>680</v>
      </c>
      <c r="C2594" s="1">
        <v>2015</v>
      </c>
      <c r="D2594" t="s">
        <v>44</v>
      </c>
      <c r="F2594" t="s">
        <v>83</v>
      </c>
      <c r="G2594" t="s">
        <v>85</v>
      </c>
      <c r="H2594" t="s">
        <v>350</v>
      </c>
      <c r="L2594">
        <v>80</v>
      </c>
      <c r="M2594">
        <v>5.0600000000000003E-3</v>
      </c>
      <c r="N2594" t="s">
        <v>120</v>
      </c>
      <c r="P2594" t="s">
        <v>911</v>
      </c>
      <c r="Q2594" s="1" t="s">
        <v>2276</v>
      </c>
      <c r="R2594" s="1" t="s">
        <v>669</v>
      </c>
      <c r="S2594" s="1" t="s">
        <v>168</v>
      </c>
      <c r="T2594" t="s">
        <v>396</v>
      </c>
      <c r="U2594" s="1" t="s">
        <v>2413</v>
      </c>
      <c r="V2594" t="s">
        <v>194</v>
      </c>
      <c r="W2594" t="s">
        <v>365</v>
      </c>
      <c r="X2594" t="s">
        <v>161</v>
      </c>
      <c r="Y2594" t="s">
        <v>2272</v>
      </c>
      <c r="Z2594" t="s">
        <v>2272</v>
      </c>
      <c r="AA2594" t="s">
        <v>2272</v>
      </c>
      <c r="AB2594" t="s">
        <v>2272</v>
      </c>
      <c r="AC2594" t="s">
        <v>162</v>
      </c>
      <c r="AD2594" t="s">
        <v>2272</v>
      </c>
      <c r="AF2594" t="s">
        <v>49</v>
      </c>
      <c r="AI2594" t="s">
        <v>49</v>
      </c>
      <c r="AM2594" t="s">
        <v>201</v>
      </c>
      <c r="AN2594" t="s">
        <v>165</v>
      </c>
      <c r="AP2594" t="s">
        <v>49</v>
      </c>
    </row>
    <row r="2595" spans="1:43" x14ac:dyDescent="0.2">
      <c r="A2595" t="s">
        <v>1482</v>
      </c>
      <c r="B2595" t="s">
        <v>680</v>
      </c>
      <c r="C2595" s="1">
        <v>2015</v>
      </c>
      <c r="D2595" t="s">
        <v>44</v>
      </c>
      <c r="F2595" t="s">
        <v>83</v>
      </c>
      <c r="G2595" t="s">
        <v>85</v>
      </c>
      <c r="H2595" t="s">
        <v>350</v>
      </c>
      <c r="L2595">
        <v>80</v>
      </c>
      <c r="M2595">
        <v>5.0600000000000003E-3</v>
      </c>
      <c r="N2595" t="s">
        <v>121</v>
      </c>
      <c r="P2595" t="s">
        <v>365</v>
      </c>
      <c r="Q2595" s="1" t="s">
        <v>2276</v>
      </c>
      <c r="R2595" s="1" t="s">
        <v>755</v>
      </c>
      <c r="S2595" s="1" t="s">
        <v>2352</v>
      </c>
      <c r="T2595" t="s">
        <v>396</v>
      </c>
      <c r="U2595" t="s">
        <v>2407</v>
      </c>
      <c r="V2595" t="s">
        <v>194</v>
      </c>
      <c r="W2595" t="s">
        <v>365</v>
      </c>
      <c r="X2595" t="s">
        <v>161</v>
      </c>
      <c r="Y2595" t="s">
        <v>2272</v>
      </c>
      <c r="Z2595" t="s">
        <v>2272</v>
      </c>
      <c r="AA2595" t="s">
        <v>2272</v>
      </c>
      <c r="AB2595" t="s">
        <v>2272</v>
      </c>
      <c r="AC2595" t="s">
        <v>162</v>
      </c>
      <c r="AD2595" t="s">
        <v>2272</v>
      </c>
      <c r="AF2595" t="s">
        <v>49</v>
      </c>
      <c r="AI2595" t="s">
        <v>49</v>
      </c>
      <c r="AM2595" t="s">
        <v>201</v>
      </c>
      <c r="AN2595" t="s">
        <v>165</v>
      </c>
      <c r="AP2595" t="s">
        <v>49</v>
      </c>
    </row>
    <row r="2596" spans="1:43" x14ac:dyDescent="0.2">
      <c r="A2596" t="s">
        <v>1482</v>
      </c>
      <c r="B2596" t="s">
        <v>680</v>
      </c>
      <c r="C2596" s="1">
        <v>2015</v>
      </c>
      <c r="D2596" t="s">
        <v>44</v>
      </c>
      <c r="F2596" t="s">
        <v>83</v>
      </c>
      <c r="G2596" t="s">
        <v>85</v>
      </c>
      <c r="H2596" t="s">
        <v>350</v>
      </c>
      <c r="K2596" t="s">
        <v>101</v>
      </c>
      <c r="L2596">
        <v>80</v>
      </c>
      <c r="M2596">
        <v>5.0600000000000003E-3</v>
      </c>
      <c r="N2596" t="s">
        <v>127</v>
      </c>
      <c r="O2596" t="s">
        <v>1483</v>
      </c>
      <c r="Q2596" s="1" t="s">
        <v>2276</v>
      </c>
      <c r="R2596" s="1" t="s">
        <v>751</v>
      </c>
      <c r="S2596" s="1" t="s">
        <v>2346</v>
      </c>
      <c r="T2596" t="s">
        <v>396</v>
      </c>
      <c r="U2596" s="1" t="s">
        <v>2414</v>
      </c>
      <c r="V2596" t="s">
        <v>194</v>
      </c>
      <c r="W2596" t="s">
        <v>365</v>
      </c>
      <c r="X2596" t="s">
        <v>161</v>
      </c>
      <c r="Y2596" t="s">
        <v>2272</v>
      </c>
      <c r="Z2596" t="s">
        <v>2272</v>
      </c>
      <c r="AA2596" t="s">
        <v>2272</v>
      </c>
      <c r="AB2596" t="s">
        <v>2272</v>
      </c>
      <c r="AC2596" t="s">
        <v>162</v>
      </c>
      <c r="AD2596" t="s">
        <v>2272</v>
      </c>
      <c r="AF2596" t="s">
        <v>49</v>
      </c>
      <c r="AI2596" t="s">
        <v>49</v>
      </c>
      <c r="AM2596" t="s">
        <v>201</v>
      </c>
      <c r="AN2596" t="s">
        <v>165</v>
      </c>
      <c r="AP2596" t="s">
        <v>49</v>
      </c>
    </row>
    <row r="2597" spans="1:43" x14ac:dyDescent="0.2">
      <c r="A2597" t="s">
        <v>1485</v>
      </c>
      <c r="B2597" t="s">
        <v>1486</v>
      </c>
      <c r="C2597" s="1">
        <v>2015</v>
      </c>
      <c r="D2597" t="s">
        <v>44</v>
      </c>
      <c r="F2597" t="s">
        <v>628</v>
      </c>
      <c r="G2597" t="s">
        <v>91</v>
      </c>
      <c r="H2597" t="s">
        <v>96</v>
      </c>
      <c r="I2597">
        <v>2011</v>
      </c>
      <c r="K2597" t="s">
        <v>101</v>
      </c>
      <c r="M2597">
        <v>0.25</v>
      </c>
      <c r="N2597" t="s">
        <v>121</v>
      </c>
      <c r="O2597" t="s">
        <v>121</v>
      </c>
      <c r="P2597" t="s">
        <v>278</v>
      </c>
      <c r="Q2597" s="1" t="s">
        <v>2292</v>
      </c>
      <c r="R2597" s="1" t="s">
        <v>264</v>
      </c>
      <c r="S2597" s="1" t="s">
        <v>264</v>
      </c>
      <c r="V2597" t="s">
        <v>194</v>
      </c>
      <c r="W2597" t="s">
        <v>278</v>
      </c>
      <c r="X2597" t="s">
        <v>189</v>
      </c>
      <c r="Y2597" t="s">
        <v>2279</v>
      </c>
      <c r="Z2597" t="s">
        <v>2280</v>
      </c>
      <c r="AA2597" t="s">
        <v>2358</v>
      </c>
      <c r="AB2597" t="s">
        <v>189</v>
      </c>
      <c r="AC2597" t="s">
        <v>152</v>
      </c>
      <c r="AD2597" t="s">
        <v>2278</v>
      </c>
      <c r="AF2597" t="s">
        <v>49</v>
      </c>
      <c r="AI2597" t="s">
        <v>49</v>
      </c>
      <c r="AM2597" t="s">
        <v>201</v>
      </c>
      <c r="AN2597" t="s">
        <v>166</v>
      </c>
    </row>
    <row r="2598" spans="1:43" x14ac:dyDescent="0.2">
      <c r="A2598" t="s">
        <v>1485</v>
      </c>
      <c r="B2598" t="s">
        <v>1486</v>
      </c>
      <c r="C2598" s="1">
        <v>2015</v>
      </c>
      <c r="D2598" t="s">
        <v>44</v>
      </c>
      <c r="F2598" t="s">
        <v>628</v>
      </c>
      <c r="G2598" t="s">
        <v>91</v>
      </c>
      <c r="H2598" t="s">
        <v>96</v>
      </c>
      <c r="I2598">
        <v>2011</v>
      </c>
      <c r="K2598" t="s">
        <v>101</v>
      </c>
      <c r="M2598">
        <v>0.25</v>
      </c>
      <c r="N2598" t="s">
        <v>121</v>
      </c>
      <c r="O2598" t="s">
        <v>121</v>
      </c>
      <c r="P2598" t="s">
        <v>278</v>
      </c>
      <c r="Q2598" s="1" t="s">
        <v>2292</v>
      </c>
      <c r="R2598" s="1" t="s">
        <v>264</v>
      </c>
      <c r="S2598" s="1" t="s">
        <v>264</v>
      </c>
      <c r="V2598" t="s">
        <v>194</v>
      </c>
      <c r="W2598" t="s">
        <v>278</v>
      </c>
      <c r="X2598" t="s">
        <v>1487</v>
      </c>
      <c r="Y2598" t="s">
        <v>2279</v>
      </c>
      <c r="Z2598" t="s">
        <v>2361</v>
      </c>
      <c r="AA2598" t="s">
        <v>2362</v>
      </c>
      <c r="AB2598" t="s">
        <v>2296</v>
      </c>
      <c r="AC2598" t="s">
        <v>152</v>
      </c>
      <c r="AD2598" t="s">
        <v>2278</v>
      </c>
      <c r="AF2598" t="s">
        <v>49</v>
      </c>
      <c r="AI2598" t="s">
        <v>49</v>
      </c>
      <c r="AM2598" t="s">
        <v>201</v>
      </c>
      <c r="AN2598" t="s">
        <v>166</v>
      </c>
    </row>
    <row r="2599" spans="1:43" x14ac:dyDescent="0.2">
      <c r="A2599" t="s">
        <v>1485</v>
      </c>
      <c r="B2599" t="s">
        <v>1486</v>
      </c>
      <c r="C2599" s="1">
        <v>2015</v>
      </c>
      <c r="D2599" t="s">
        <v>44</v>
      </c>
      <c r="F2599" t="s">
        <v>628</v>
      </c>
      <c r="G2599" t="s">
        <v>91</v>
      </c>
      <c r="H2599" t="s">
        <v>96</v>
      </c>
      <c r="I2599">
        <v>2011</v>
      </c>
      <c r="K2599" t="s">
        <v>101</v>
      </c>
      <c r="M2599">
        <v>0.25</v>
      </c>
      <c r="N2599" t="s">
        <v>121</v>
      </c>
      <c r="O2599" t="s">
        <v>121</v>
      </c>
      <c r="P2599" t="s">
        <v>278</v>
      </c>
      <c r="Q2599" s="1" t="s">
        <v>2292</v>
      </c>
      <c r="R2599" s="1" t="s">
        <v>264</v>
      </c>
      <c r="S2599" s="1" t="s">
        <v>264</v>
      </c>
      <c r="V2599" t="s">
        <v>194</v>
      </c>
      <c r="W2599" t="s">
        <v>278</v>
      </c>
      <c r="X2599" t="s">
        <v>172</v>
      </c>
      <c r="Y2599" t="s">
        <v>2273</v>
      </c>
      <c r="Z2599" t="s">
        <v>249</v>
      </c>
      <c r="AA2599" t="s">
        <v>2359</v>
      </c>
      <c r="AB2599" t="s">
        <v>1979</v>
      </c>
      <c r="AC2599" t="s">
        <v>152</v>
      </c>
      <c r="AD2599" t="s">
        <v>137</v>
      </c>
      <c r="AF2599" t="s">
        <v>49</v>
      </c>
      <c r="AI2599" t="s">
        <v>49</v>
      </c>
      <c r="AM2599" t="s">
        <v>201</v>
      </c>
      <c r="AN2599" t="s">
        <v>166</v>
      </c>
    </row>
    <row r="2600" spans="1:43" x14ac:dyDescent="0.2">
      <c r="A2600" t="s">
        <v>1485</v>
      </c>
      <c r="B2600" t="s">
        <v>1486</v>
      </c>
      <c r="C2600" s="1">
        <v>2015</v>
      </c>
      <c r="D2600" t="s">
        <v>44</v>
      </c>
      <c r="F2600" t="s">
        <v>628</v>
      </c>
      <c r="G2600" t="s">
        <v>91</v>
      </c>
      <c r="H2600" t="s">
        <v>96</v>
      </c>
      <c r="I2600">
        <v>2011</v>
      </c>
      <c r="K2600" t="s">
        <v>101</v>
      </c>
      <c r="M2600">
        <v>0.25</v>
      </c>
      <c r="N2600" t="s">
        <v>121</v>
      </c>
      <c r="O2600" t="s">
        <v>121</v>
      </c>
      <c r="P2600" t="s">
        <v>278</v>
      </c>
      <c r="Q2600" s="1" t="s">
        <v>2292</v>
      </c>
      <c r="R2600" s="1" t="s">
        <v>264</v>
      </c>
      <c r="S2600" s="1" t="s">
        <v>264</v>
      </c>
      <c r="V2600" t="s">
        <v>194</v>
      </c>
      <c r="W2600" t="s">
        <v>278</v>
      </c>
      <c r="X2600" t="s">
        <v>231</v>
      </c>
      <c r="Y2600" t="s">
        <v>2273</v>
      </c>
      <c r="Z2600" t="s">
        <v>249</v>
      </c>
      <c r="AA2600" t="s">
        <v>2359</v>
      </c>
      <c r="AB2600" t="s">
        <v>1419</v>
      </c>
      <c r="AC2600" t="s">
        <v>152</v>
      </c>
      <c r="AD2600" t="s">
        <v>2288</v>
      </c>
      <c r="AF2600" t="s">
        <v>49</v>
      </c>
      <c r="AI2600" t="s">
        <v>49</v>
      </c>
      <c r="AM2600" t="s">
        <v>201</v>
      </c>
      <c r="AN2600" t="s">
        <v>166</v>
      </c>
    </row>
    <row r="2601" spans="1:43" x14ac:dyDescent="0.2">
      <c r="A2601" t="s">
        <v>1485</v>
      </c>
      <c r="B2601" t="s">
        <v>1486</v>
      </c>
      <c r="C2601" s="1">
        <v>2015</v>
      </c>
      <c r="D2601" t="s">
        <v>44</v>
      </c>
      <c r="F2601" t="s">
        <v>628</v>
      </c>
      <c r="G2601" t="s">
        <v>91</v>
      </c>
      <c r="H2601" t="s">
        <v>96</v>
      </c>
      <c r="I2601">
        <v>2011</v>
      </c>
      <c r="K2601" t="s">
        <v>101</v>
      </c>
      <c r="M2601">
        <v>0.25</v>
      </c>
      <c r="N2601" t="s">
        <v>121</v>
      </c>
      <c r="O2601" t="s">
        <v>121</v>
      </c>
      <c r="P2601" t="s">
        <v>278</v>
      </c>
      <c r="Q2601" s="1" t="s">
        <v>2292</v>
      </c>
      <c r="R2601" s="1" t="s">
        <v>264</v>
      </c>
      <c r="S2601" s="1" t="s">
        <v>264</v>
      </c>
      <c r="V2601" t="s">
        <v>194</v>
      </c>
      <c r="W2601" t="s">
        <v>278</v>
      </c>
      <c r="X2601" t="s">
        <v>232</v>
      </c>
      <c r="Y2601" t="s">
        <v>2273</v>
      </c>
      <c r="Z2601" t="s">
        <v>249</v>
      </c>
      <c r="AA2601" t="s">
        <v>2359</v>
      </c>
      <c r="AB2601" t="s">
        <v>1419</v>
      </c>
      <c r="AC2601" t="s">
        <v>152</v>
      </c>
      <c r="AD2601" t="s">
        <v>2288</v>
      </c>
      <c r="AF2601" t="s">
        <v>49</v>
      </c>
      <c r="AI2601" t="s">
        <v>49</v>
      </c>
      <c r="AM2601" t="s">
        <v>201</v>
      </c>
      <c r="AN2601" t="s">
        <v>166</v>
      </c>
    </row>
    <row r="2602" spans="1:43" x14ac:dyDescent="0.2">
      <c r="A2602" t="s">
        <v>1485</v>
      </c>
      <c r="B2602" t="s">
        <v>1486</v>
      </c>
      <c r="C2602" s="1">
        <v>2015</v>
      </c>
      <c r="D2602" t="s">
        <v>44</v>
      </c>
      <c r="F2602" t="s">
        <v>628</v>
      </c>
      <c r="G2602" t="s">
        <v>91</v>
      </c>
      <c r="H2602" t="s">
        <v>96</v>
      </c>
      <c r="I2602">
        <v>2011</v>
      </c>
      <c r="K2602" t="s">
        <v>101</v>
      </c>
      <c r="M2602">
        <v>0.25</v>
      </c>
      <c r="N2602" t="s">
        <v>121</v>
      </c>
      <c r="O2602" t="s">
        <v>121</v>
      </c>
      <c r="P2602" t="s">
        <v>278</v>
      </c>
      <c r="Q2602" s="1" t="s">
        <v>2292</v>
      </c>
      <c r="R2602" s="1" t="s">
        <v>264</v>
      </c>
      <c r="S2602" s="1" t="s">
        <v>264</v>
      </c>
      <c r="V2602" t="s">
        <v>194</v>
      </c>
      <c r="W2602" t="s">
        <v>278</v>
      </c>
      <c r="X2602" t="s">
        <v>1488</v>
      </c>
      <c r="Y2602" t="s">
        <v>2273</v>
      </c>
      <c r="Z2602" t="s">
        <v>249</v>
      </c>
      <c r="AA2602" t="s">
        <v>2359</v>
      </c>
      <c r="AB2602" t="s">
        <v>1419</v>
      </c>
      <c r="AC2602" t="s">
        <v>152</v>
      </c>
      <c r="AD2602" t="s">
        <v>2288</v>
      </c>
      <c r="AF2602" t="s">
        <v>49</v>
      </c>
      <c r="AI2602" t="s">
        <v>49</v>
      </c>
      <c r="AM2602" t="s">
        <v>201</v>
      </c>
      <c r="AN2602" t="s">
        <v>166</v>
      </c>
    </row>
    <row r="2603" spans="1:43" x14ac:dyDescent="0.2">
      <c r="A2603" t="s">
        <v>1485</v>
      </c>
      <c r="B2603" t="s">
        <v>1486</v>
      </c>
      <c r="C2603" s="1">
        <v>2015</v>
      </c>
      <c r="D2603" t="s">
        <v>44</v>
      </c>
      <c r="F2603" t="s">
        <v>628</v>
      </c>
      <c r="G2603" t="s">
        <v>91</v>
      </c>
      <c r="H2603" t="s">
        <v>96</v>
      </c>
      <c r="I2603">
        <v>2011</v>
      </c>
      <c r="K2603" t="s">
        <v>101</v>
      </c>
      <c r="M2603">
        <v>0.25</v>
      </c>
      <c r="N2603" t="s">
        <v>121</v>
      </c>
      <c r="O2603" t="s">
        <v>121</v>
      </c>
      <c r="P2603" t="s">
        <v>278</v>
      </c>
      <c r="Q2603" s="1" t="s">
        <v>2292</v>
      </c>
      <c r="R2603" s="1" t="s">
        <v>264</v>
      </c>
      <c r="S2603" s="1" t="s">
        <v>264</v>
      </c>
      <c r="V2603" t="s">
        <v>194</v>
      </c>
      <c r="W2603" t="s">
        <v>278</v>
      </c>
      <c r="X2603" t="s">
        <v>1489</v>
      </c>
      <c r="Y2603" t="s">
        <v>2273</v>
      </c>
      <c r="Z2603" t="s">
        <v>249</v>
      </c>
      <c r="AA2603" t="s">
        <v>2359</v>
      </c>
      <c r="AB2603" t="s">
        <v>1419</v>
      </c>
      <c r="AC2603" t="s">
        <v>152</v>
      </c>
      <c r="AD2603" t="s">
        <v>2288</v>
      </c>
      <c r="AF2603" t="s">
        <v>49</v>
      </c>
      <c r="AI2603" t="s">
        <v>49</v>
      </c>
      <c r="AM2603" t="s">
        <v>201</v>
      </c>
      <c r="AN2603" t="s">
        <v>166</v>
      </c>
    </row>
    <row r="2604" spans="1:43" x14ac:dyDescent="0.2">
      <c r="A2604" t="s">
        <v>1485</v>
      </c>
      <c r="B2604" t="s">
        <v>1486</v>
      </c>
      <c r="C2604" s="1">
        <v>2015</v>
      </c>
      <c r="D2604" t="s">
        <v>44</v>
      </c>
      <c r="F2604" t="s">
        <v>628</v>
      </c>
      <c r="G2604" t="s">
        <v>91</v>
      </c>
      <c r="H2604" t="s">
        <v>96</v>
      </c>
      <c r="I2604">
        <v>2011</v>
      </c>
      <c r="K2604" t="s">
        <v>101</v>
      </c>
      <c r="M2604">
        <v>0.25</v>
      </c>
      <c r="N2604" t="s">
        <v>121</v>
      </c>
      <c r="O2604" t="s">
        <v>121</v>
      </c>
      <c r="P2604" t="s">
        <v>278</v>
      </c>
      <c r="Q2604" s="1" t="s">
        <v>2292</v>
      </c>
      <c r="R2604" s="1" t="s">
        <v>264</v>
      </c>
      <c r="S2604" s="1" t="s">
        <v>264</v>
      </c>
      <c r="V2604" t="s">
        <v>194</v>
      </c>
      <c r="W2604" t="s">
        <v>278</v>
      </c>
      <c r="X2604" t="s">
        <v>1490</v>
      </c>
      <c r="Y2604" t="s">
        <v>2273</v>
      </c>
      <c r="Z2604" t="s">
        <v>249</v>
      </c>
      <c r="AA2604" t="s">
        <v>2359</v>
      </c>
      <c r="AB2604" t="s">
        <v>2289</v>
      </c>
      <c r="AC2604" t="s">
        <v>315</v>
      </c>
      <c r="AD2604" t="s">
        <v>2288</v>
      </c>
      <c r="AF2604" t="s">
        <v>49</v>
      </c>
      <c r="AI2604" t="s">
        <v>49</v>
      </c>
      <c r="AM2604" t="s">
        <v>201</v>
      </c>
      <c r="AN2604" t="s">
        <v>166</v>
      </c>
    </row>
    <row r="2605" spans="1:43" x14ac:dyDescent="0.2">
      <c r="A2605" t="s">
        <v>1485</v>
      </c>
      <c r="B2605" t="s">
        <v>1486</v>
      </c>
      <c r="C2605" s="1">
        <v>2015</v>
      </c>
      <c r="D2605" t="s">
        <v>44</v>
      </c>
      <c r="F2605" t="s">
        <v>628</v>
      </c>
      <c r="G2605" t="s">
        <v>91</v>
      </c>
      <c r="H2605" t="s">
        <v>96</v>
      </c>
      <c r="I2605">
        <v>2011</v>
      </c>
      <c r="K2605" t="s">
        <v>101</v>
      </c>
      <c r="M2605">
        <v>0.25</v>
      </c>
      <c r="N2605" t="s">
        <v>121</v>
      </c>
      <c r="O2605" t="s">
        <v>121</v>
      </c>
      <c r="P2605" t="s">
        <v>278</v>
      </c>
      <c r="Q2605" s="1" t="s">
        <v>2292</v>
      </c>
      <c r="R2605" s="1" t="s">
        <v>264</v>
      </c>
      <c r="S2605" s="1" t="s">
        <v>264</v>
      </c>
      <c r="V2605" t="s">
        <v>194</v>
      </c>
      <c r="W2605" t="s">
        <v>278</v>
      </c>
      <c r="X2605" t="s">
        <v>1491</v>
      </c>
      <c r="Y2605" t="s">
        <v>2279</v>
      </c>
      <c r="Z2605" t="s">
        <v>2280</v>
      </c>
      <c r="AA2605" t="s">
        <v>2358</v>
      </c>
      <c r="AB2605" t="s">
        <v>2459</v>
      </c>
      <c r="AC2605" t="s">
        <v>315</v>
      </c>
      <c r="AD2605" t="s">
        <v>2278</v>
      </c>
      <c r="AF2605" t="s">
        <v>49</v>
      </c>
      <c r="AI2605" t="s">
        <v>49</v>
      </c>
      <c r="AM2605" t="s">
        <v>201</v>
      </c>
      <c r="AN2605" t="s">
        <v>166</v>
      </c>
      <c r="AP2605" t="s">
        <v>157</v>
      </c>
    </row>
    <row r="2606" spans="1:43" x14ac:dyDescent="0.2">
      <c r="A2606" t="s">
        <v>1485</v>
      </c>
      <c r="B2606" t="s">
        <v>1486</v>
      </c>
      <c r="C2606" s="1">
        <v>2015</v>
      </c>
      <c r="D2606" t="s">
        <v>44</v>
      </c>
      <c r="F2606" t="s">
        <v>628</v>
      </c>
      <c r="G2606" t="s">
        <v>91</v>
      </c>
      <c r="H2606" t="s">
        <v>96</v>
      </c>
      <c r="I2606">
        <v>2011</v>
      </c>
      <c r="K2606" t="s">
        <v>101</v>
      </c>
      <c r="M2606">
        <v>0.25</v>
      </c>
      <c r="N2606" t="s">
        <v>121</v>
      </c>
      <c r="O2606" t="s">
        <v>121</v>
      </c>
      <c r="P2606" t="s">
        <v>286</v>
      </c>
      <c r="Q2606" s="1" t="s">
        <v>2292</v>
      </c>
      <c r="R2606" s="1" t="s">
        <v>264</v>
      </c>
      <c r="S2606" s="1" t="s">
        <v>264</v>
      </c>
      <c r="V2606" t="s">
        <v>194</v>
      </c>
      <c r="W2606" t="s">
        <v>278</v>
      </c>
      <c r="X2606" t="s">
        <v>189</v>
      </c>
      <c r="Y2606" t="s">
        <v>2279</v>
      </c>
      <c r="Z2606" t="s">
        <v>2280</v>
      </c>
      <c r="AA2606" t="s">
        <v>2358</v>
      </c>
      <c r="AB2606" t="s">
        <v>189</v>
      </c>
      <c r="AC2606" t="s">
        <v>152</v>
      </c>
      <c r="AD2606" t="s">
        <v>2278</v>
      </c>
      <c r="AF2606" t="s">
        <v>49</v>
      </c>
      <c r="AI2606" t="s">
        <v>49</v>
      </c>
      <c r="AM2606" t="s">
        <v>201</v>
      </c>
      <c r="AN2606" t="s">
        <v>166</v>
      </c>
    </row>
    <row r="2607" spans="1:43" x14ac:dyDescent="0.2">
      <c r="A2607" t="s">
        <v>1485</v>
      </c>
      <c r="B2607" t="s">
        <v>1486</v>
      </c>
      <c r="C2607" s="1">
        <v>2015</v>
      </c>
      <c r="D2607" t="s">
        <v>44</v>
      </c>
      <c r="F2607" t="s">
        <v>628</v>
      </c>
      <c r="G2607" t="s">
        <v>91</v>
      </c>
      <c r="H2607" t="s">
        <v>96</v>
      </c>
      <c r="I2607">
        <v>2011</v>
      </c>
      <c r="K2607" t="s">
        <v>101</v>
      </c>
      <c r="M2607">
        <v>0.25</v>
      </c>
      <c r="N2607" t="s">
        <v>121</v>
      </c>
      <c r="O2607" t="s">
        <v>121</v>
      </c>
      <c r="P2607" t="s">
        <v>286</v>
      </c>
      <c r="Q2607" s="1" t="s">
        <v>2292</v>
      </c>
      <c r="R2607" s="1" t="s">
        <v>264</v>
      </c>
      <c r="S2607" s="1" t="s">
        <v>264</v>
      </c>
      <c r="V2607" t="s">
        <v>194</v>
      </c>
      <c r="W2607" t="s">
        <v>278</v>
      </c>
      <c r="X2607" t="s">
        <v>1487</v>
      </c>
      <c r="Y2607" t="s">
        <v>2279</v>
      </c>
      <c r="Z2607" t="s">
        <v>2361</v>
      </c>
      <c r="AA2607" t="s">
        <v>2362</v>
      </c>
      <c r="AB2607" t="s">
        <v>2296</v>
      </c>
      <c r="AC2607" t="s">
        <v>152</v>
      </c>
      <c r="AD2607" t="s">
        <v>2278</v>
      </c>
      <c r="AF2607" t="s">
        <v>49</v>
      </c>
      <c r="AI2607" t="s">
        <v>49</v>
      </c>
      <c r="AM2607" t="s">
        <v>201</v>
      </c>
      <c r="AN2607" t="s">
        <v>166</v>
      </c>
    </row>
    <row r="2608" spans="1:43" x14ac:dyDescent="0.2">
      <c r="A2608" t="s">
        <v>1485</v>
      </c>
      <c r="B2608" t="s">
        <v>1486</v>
      </c>
      <c r="C2608" s="1">
        <v>2015</v>
      </c>
      <c r="D2608" t="s">
        <v>44</v>
      </c>
      <c r="F2608" t="s">
        <v>628</v>
      </c>
      <c r="G2608" t="s">
        <v>91</v>
      </c>
      <c r="H2608" t="s">
        <v>96</v>
      </c>
      <c r="I2608">
        <v>2011</v>
      </c>
      <c r="K2608" t="s">
        <v>101</v>
      </c>
      <c r="M2608">
        <v>0.25</v>
      </c>
      <c r="N2608" t="s">
        <v>121</v>
      </c>
      <c r="O2608" t="s">
        <v>121</v>
      </c>
      <c r="P2608" t="s">
        <v>286</v>
      </c>
      <c r="Q2608" s="1" t="s">
        <v>2292</v>
      </c>
      <c r="R2608" s="1" t="s">
        <v>264</v>
      </c>
      <c r="S2608" s="1" t="s">
        <v>264</v>
      </c>
      <c r="V2608" t="s">
        <v>194</v>
      </c>
      <c r="W2608" t="s">
        <v>278</v>
      </c>
      <c r="X2608" t="s">
        <v>172</v>
      </c>
      <c r="Y2608" t="s">
        <v>2273</v>
      </c>
      <c r="Z2608" t="s">
        <v>249</v>
      </c>
      <c r="AA2608" t="s">
        <v>2359</v>
      </c>
      <c r="AB2608" t="s">
        <v>1979</v>
      </c>
      <c r="AC2608" t="s">
        <v>152</v>
      </c>
      <c r="AD2608" t="s">
        <v>137</v>
      </c>
      <c r="AF2608" t="s">
        <v>49</v>
      </c>
      <c r="AI2608" t="s">
        <v>49</v>
      </c>
      <c r="AM2608" t="s">
        <v>201</v>
      </c>
      <c r="AN2608" t="s">
        <v>166</v>
      </c>
    </row>
    <row r="2609" spans="1:43" x14ac:dyDescent="0.2">
      <c r="A2609" t="s">
        <v>1485</v>
      </c>
      <c r="B2609" t="s">
        <v>1486</v>
      </c>
      <c r="C2609" s="1">
        <v>2015</v>
      </c>
      <c r="D2609" t="s">
        <v>44</v>
      </c>
      <c r="F2609" t="s">
        <v>628</v>
      </c>
      <c r="G2609" t="s">
        <v>91</v>
      </c>
      <c r="H2609" t="s">
        <v>96</v>
      </c>
      <c r="I2609">
        <v>2011</v>
      </c>
      <c r="K2609" t="s">
        <v>101</v>
      </c>
      <c r="M2609">
        <v>0.25</v>
      </c>
      <c r="N2609" t="s">
        <v>121</v>
      </c>
      <c r="O2609" t="s">
        <v>121</v>
      </c>
      <c r="P2609" t="s">
        <v>286</v>
      </c>
      <c r="Q2609" s="1" t="s">
        <v>2292</v>
      </c>
      <c r="R2609" s="1" t="s">
        <v>264</v>
      </c>
      <c r="S2609" s="1" t="s">
        <v>264</v>
      </c>
      <c r="V2609" t="s">
        <v>194</v>
      </c>
      <c r="W2609" t="s">
        <v>278</v>
      </c>
      <c r="X2609" t="s">
        <v>231</v>
      </c>
      <c r="Y2609" t="s">
        <v>2273</v>
      </c>
      <c r="Z2609" t="s">
        <v>249</v>
      </c>
      <c r="AA2609" t="s">
        <v>2359</v>
      </c>
      <c r="AB2609" t="s">
        <v>1419</v>
      </c>
      <c r="AC2609" t="s">
        <v>152</v>
      </c>
      <c r="AD2609" t="s">
        <v>2288</v>
      </c>
      <c r="AF2609" t="s">
        <v>49</v>
      </c>
      <c r="AI2609" t="s">
        <v>49</v>
      </c>
      <c r="AM2609" t="s">
        <v>201</v>
      </c>
      <c r="AN2609" t="s">
        <v>166</v>
      </c>
    </row>
    <row r="2610" spans="1:43" x14ac:dyDescent="0.2">
      <c r="A2610" t="s">
        <v>1485</v>
      </c>
      <c r="B2610" t="s">
        <v>1486</v>
      </c>
      <c r="C2610" s="1">
        <v>2015</v>
      </c>
      <c r="D2610" t="s">
        <v>44</v>
      </c>
      <c r="F2610" t="s">
        <v>628</v>
      </c>
      <c r="G2610" t="s">
        <v>91</v>
      </c>
      <c r="H2610" t="s">
        <v>96</v>
      </c>
      <c r="I2610">
        <v>2011</v>
      </c>
      <c r="K2610" t="s">
        <v>101</v>
      </c>
      <c r="M2610">
        <v>0.25</v>
      </c>
      <c r="N2610" t="s">
        <v>121</v>
      </c>
      <c r="O2610" t="s">
        <v>121</v>
      </c>
      <c r="P2610" t="s">
        <v>286</v>
      </c>
      <c r="Q2610" s="1" t="s">
        <v>2292</v>
      </c>
      <c r="R2610" s="1" t="s">
        <v>264</v>
      </c>
      <c r="S2610" s="1" t="s">
        <v>264</v>
      </c>
      <c r="V2610" t="s">
        <v>194</v>
      </c>
      <c r="W2610" t="s">
        <v>278</v>
      </c>
      <c r="X2610" t="s">
        <v>232</v>
      </c>
      <c r="Y2610" t="s">
        <v>2273</v>
      </c>
      <c r="Z2610" t="s">
        <v>249</v>
      </c>
      <c r="AA2610" t="s">
        <v>2359</v>
      </c>
      <c r="AB2610" t="s">
        <v>1419</v>
      </c>
      <c r="AC2610" t="s">
        <v>152</v>
      </c>
      <c r="AD2610" t="s">
        <v>2288</v>
      </c>
      <c r="AF2610" t="s">
        <v>49</v>
      </c>
      <c r="AI2610" t="s">
        <v>49</v>
      </c>
      <c r="AM2610" t="s">
        <v>201</v>
      </c>
      <c r="AN2610" t="s">
        <v>166</v>
      </c>
    </row>
    <row r="2611" spans="1:43" x14ac:dyDescent="0.2">
      <c r="A2611" t="s">
        <v>1485</v>
      </c>
      <c r="B2611" t="s">
        <v>1486</v>
      </c>
      <c r="C2611" s="1">
        <v>2015</v>
      </c>
      <c r="D2611" t="s">
        <v>44</v>
      </c>
      <c r="F2611" t="s">
        <v>628</v>
      </c>
      <c r="G2611" t="s">
        <v>91</v>
      </c>
      <c r="H2611" t="s">
        <v>96</v>
      </c>
      <c r="I2611">
        <v>2011</v>
      </c>
      <c r="K2611" t="s">
        <v>101</v>
      </c>
      <c r="M2611">
        <v>0.25</v>
      </c>
      <c r="N2611" t="s">
        <v>121</v>
      </c>
      <c r="O2611" t="s">
        <v>121</v>
      </c>
      <c r="P2611" t="s">
        <v>286</v>
      </c>
      <c r="Q2611" s="1" t="s">
        <v>2292</v>
      </c>
      <c r="R2611" s="1" t="s">
        <v>264</v>
      </c>
      <c r="S2611" s="1" t="s">
        <v>264</v>
      </c>
      <c r="V2611" t="s">
        <v>194</v>
      </c>
      <c r="W2611" t="s">
        <v>278</v>
      </c>
      <c r="X2611" t="s">
        <v>1488</v>
      </c>
      <c r="Y2611" t="s">
        <v>2273</v>
      </c>
      <c r="Z2611" t="s">
        <v>249</v>
      </c>
      <c r="AA2611" t="s">
        <v>2359</v>
      </c>
      <c r="AB2611" t="s">
        <v>1419</v>
      </c>
      <c r="AC2611" t="s">
        <v>152</v>
      </c>
      <c r="AD2611" t="s">
        <v>2288</v>
      </c>
      <c r="AF2611" t="s">
        <v>49</v>
      </c>
      <c r="AI2611" t="s">
        <v>49</v>
      </c>
      <c r="AM2611" t="s">
        <v>201</v>
      </c>
      <c r="AN2611" t="s">
        <v>166</v>
      </c>
    </row>
    <row r="2612" spans="1:43" x14ac:dyDescent="0.2">
      <c r="A2612" t="s">
        <v>1485</v>
      </c>
      <c r="B2612" t="s">
        <v>1486</v>
      </c>
      <c r="C2612" s="1">
        <v>2015</v>
      </c>
      <c r="D2612" t="s">
        <v>44</v>
      </c>
      <c r="F2612" t="s">
        <v>628</v>
      </c>
      <c r="G2612" t="s">
        <v>91</v>
      </c>
      <c r="H2612" t="s">
        <v>96</v>
      </c>
      <c r="I2612">
        <v>2011</v>
      </c>
      <c r="K2612" t="s">
        <v>101</v>
      </c>
      <c r="M2612">
        <v>0.25</v>
      </c>
      <c r="N2612" t="s">
        <v>121</v>
      </c>
      <c r="O2612" t="s">
        <v>121</v>
      </c>
      <c r="P2612" t="s">
        <v>286</v>
      </c>
      <c r="Q2612" s="1" t="s">
        <v>2292</v>
      </c>
      <c r="R2612" s="1" t="s">
        <v>264</v>
      </c>
      <c r="S2612" s="1" t="s">
        <v>264</v>
      </c>
      <c r="V2612" t="s">
        <v>194</v>
      </c>
      <c r="W2612" t="s">
        <v>278</v>
      </c>
      <c r="X2612" t="s">
        <v>1489</v>
      </c>
      <c r="Y2612" t="s">
        <v>2273</v>
      </c>
      <c r="Z2612" t="s">
        <v>249</v>
      </c>
      <c r="AA2612" t="s">
        <v>2359</v>
      </c>
      <c r="AB2612" t="s">
        <v>1419</v>
      </c>
      <c r="AC2612" t="s">
        <v>152</v>
      </c>
      <c r="AD2612" t="s">
        <v>2288</v>
      </c>
      <c r="AF2612" t="s">
        <v>49</v>
      </c>
      <c r="AI2612" t="s">
        <v>49</v>
      </c>
      <c r="AM2612" t="s">
        <v>201</v>
      </c>
      <c r="AN2612" t="s">
        <v>166</v>
      </c>
    </row>
    <row r="2613" spans="1:43" x14ac:dyDescent="0.2">
      <c r="A2613" t="s">
        <v>1485</v>
      </c>
      <c r="B2613" t="s">
        <v>1486</v>
      </c>
      <c r="C2613" s="1">
        <v>2015</v>
      </c>
      <c r="D2613" t="s">
        <v>44</v>
      </c>
      <c r="F2613" t="s">
        <v>628</v>
      </c>
      <c r="G2613" t="s">
        <v>91</v>
      </c>
      <c r="H2613" t="s">
        <v>96</v>
      </c>
      <c r="I2613">
        <v>2011</v>
      </c>
      <c r="K2613" t="s">
        <v>101</v>
      </c>
      <c r="M2613">
        <v>0.25</v>
      </c>
      <c r="N2613" t="s">
        <v>121</v>
      </c>
      <c r="O2613" t="s">
        <v>121</v>
      </c>
      <c r="P2613" t="s">
        <v>286</v>
      </c>
      <c r="Q2613" s="1" t="s">
        <v>2292</v>
      </c>
      <c r="R2613" s="1" t="s">
        <v>264</v>
      </c>
      <c r="S2613" s="1" t="s">
        <v>264</v>
      </c>
      <c r="V2613" t="s">
        <v>194</v>
      </c>
      <c r="W2613" t="s">
        <v>278</v>
      </c>
      <c r="X2613" t="s">
        <v>1490</v>
      </c>
      <c r="Y2613" t="s">
        <v>2273</v>
      </c>
      <c r="Z2613" t="s">
        <v>249</v>
      </c>
      <c r="AA2613" t="s">
        <v>2359</v>
      </c>
      <c r="AB2613" t="s">
        <v>2289</v>
      </c>
      <c r="AC2613" t="s">
        <v>315</v>
      </c>
      <c r="AD2613" t="s">
        <v>2288</v>
      </c>
      <c r="AF2613" t="s">
        <v>49</v>
      </c>
      <c r="AI2613" t="s">
        <v>49</v>
      </c>
      <c r="AM2613" t="s">
        <v>201</v>
      </c>
      <c r="AN2613" t="s">
        <v>166</v>
      </c>
    </row>
    <row r="2614" spans="1:43" x14ac:dyDescent="0.2">
      <c r="A2614" t="s">
        <v>1485</v>
      </c>
      <c r="B2614" t="s">
        <v>1486</v>
      </c>
      <c r="C2614" s="1">
        <v>2015</v>
      </c>
      <c r="D2614" t="s">
        <v>44</v>
      </c>
      <c r="F2614" t="s">
        <v>628</v>
      </c>
      <c r="G2614" t="s">
        <v>91</v>
      </c>
      <c r="H2614" t="s">
        <v>96</v>
      </c>
      <c r="I2614">
        <v>2011</v>
      </c>
      <c r="K2614" t="s">
        <v>101</v>
      </c>
      <c r="M2614">
        <v>0.25</v>
      </c>
      <c r="N2614" t="s">
        <v>121</v>
      </c>
      <c r="O2614" t="s">
        <v>121</v>
      </c>
      <c r="P2614" t="s">
        <v>286</v>
      </c>
      <c r="Q2614" s="1" t="s">
        <v>2292</v>
      </c>
      <c r="R2614" s="1" t="s">
        <v>264</v>
      </c>
      <c r="S2614" s="1" t="s">
        <v>264</v>
      </c>
      <c r="V2614" t="s">
        <v>194</v>
      </c>
      <c r="W2614" t="s">
        <v>278</v>
      </c>
      <c r="X2614" t="s">
        <v>1491</v>
      </c>
      <c r="Y2614" t="s">
        <v>2279</v>
      </c>
      <c r="Z2614" t="s">
        <v>2280</v>
      </c>
      <c r="AA2614" t="s">
        <v>2358</v>
      </c>
      <c r="AB2614" t="s">
        <v>2459</v>
      </c>
      <c r="AC2614" t="s">
        <v>315</v>
      </c>
      <c r="AD2614" t="s">
        <v>2278</v>
      </c>
      <c r="AF2614" t="s">
        <v>49</v>
      </c>
      <c r="AI2614" t="s">
        <v>49</v>
      </c>
      <c r="AM2614" t="s">
        <v>201</v>
      </c>
      <c r="AN2614" t="s">
        <v>166</v>
      </c>
      <c r="AP2614" t="s">
        <v>51</v>
      </c>
    </row>
    <row r="2615" spans="1:43" x14ac:dyDescent="0.2">
      <c r="A2615" t="s">
        <v>1485</v>
      </c>
      <c r="B2615" t="s">
        <v>1486</v>
      </c>
      <c r="C2615" s="1">
        <v>2015</v>
      </c>
      <c r="D2615" t="s">
        <v>44</v>
      </c>
      <c r="F2615" t="s">
        <v>628</v>
      </c>
      <c r="G2615" t="s">
        <v>91</v>
      </c>
      <c r="H2615" t="s">
        <v>96</v>
      </c>
      <c r="I2615">
        <v>2011</v>
      </c>
      <c r="K2615" t="s">
        <v>101</v>
      </c>
      <c r="M2615">
        <v>0.25</v>
      </c>
      <c r="N2615" t="s">
        <v>121</v>
      </c>
      <c r="O2615" t="s">
        <v>121</v>
      </c>
      <c r="P2615" t="s">
        <v>278</v>
      </c>
      <c r="Q2615" s="1" t="s">
        <v>2292</v>
      </c>
      <c r="R2615" s="1" t="s">
        <v>264</v>
      </c>
      <c r="S2615" s="1" t="s">
        <v>264</v>
      </c>
      <c r="T2615" t="s">
        <v>396</v>
      </c>
      <c r="U2615" t="s">
        <v>264</v>
      </c>
      <c r="V2615" t="s">
        <v>194</v>
      </c>
      <c r="W2615" t="s">
        <v>278</v>
      </c>
      <c r="X2615" t="s">
        <v>161</v>
      </c>
      <c r="Y2615" t="s">
        <v>2272</v>
      </c>
      <c r="Z2615" t="s">
        <v>2272</v>
      </c>
      <c r="AA2615" t="s">
        <v>2272</v>
      </c>
      <c r="AB2615" t="s">
        <v>2272</v>
      </c>
      <c r="AC2615" t="s">
        <v>162</v>
      </c>
      <c r="AD2615" t="s">
        <v>2272</v>
      </c>
      <c r="AF2615" t="s">
        <v>49</v>
      </c>
      <c r="AI2615" t="s">
        <v>49</v>
      </c>
      <c r="AM2615" t="s">
        <v>201</v>
      </c>
      <c r="AN2615" t="s">
        <v>166</v>
      </c>
      <c r="AQ2615" s="5">
        <v>1</v>
      </c>
    </row>
    <row r="2616" spans="1:43" x14ac:dyDescent="0.2">
      <c r="A2616" t="s">
        <v>1485</v>
      </c>
      <c r="B2616" t="s">
        <v>1486</v>
      </c>
      <c r="C2616" s="1">
        <v>2015</v>
      </c>
      <c r="D2616" t="s">
        <v>44</v>
      </c>
      <c r="F2616" t="s">
        <v>628</v>
      </c>
      <c r="G2616" t="s">
        <v>91</v>
      </c>
      <c r="H2616" t="s">
        <v>96</v>
      </c>
      <c r="I2616">
        <v>2011</v>
      </c>
      <c r="K2616" t="s">
        <v>101</v>
      </c>
      <c r="M2616">
        <v>0.25</v>
      </c>
      <c r="N2616" t="s">
        <v>121</v>
      </c>
      <c r="O2616" t="s">
        <v>121</v>
      </c>
      <c r="P2616" t="s">
        <v>286</v>
      </c>
      <c r="Q2616" s="1" t="s">
        <v>2292</v>
      </c>
      <c r="R2616" s="1" t="s">
        <v>264</v>
      </c>
      <c r="S2616" s="1" t="s">
        <v>264</v>
      </c>
      <c r="T2616" t="s">
        <v>396</v>
      </c>
      <c r="U2616" t="s">
        <v>264</v>
      </c>
      <c r="V2616" t="s">
        <v>194</v>
      </c>
      <c r="W2616" t="s">
        <v>278</v>
      </c>
      <c r="X2616" t="s">
        <v>161</v>
      </c>
      <c r="Y2616" t="s">
        <v>2272</v>
      </c>
      <c r="Z2616" t="s">
        <v>2272</v>
      </c>
      <c r="AA2616" t="s">
        <v>2272</v>
      </c>
      <c r="AB2616" t="s">
        <v>2272</v>
      </c>
      <c r="AC2616" t="s">
        <v>162</v>
      </c>
      <c r="AD2616" t="s">
        <v>2272</v>
      </c>
      <c r="AF2616" t="s">
        <v>49</v>
      </c>
      <c r="AI2616" t="s">
        <v>49</v>
      </c>
      <c r="AM2616" t="s">
        <v>201</v>
      </c>
      <c r="AN2616" t="s">
        <v>166</v>
      </c>
      <c r="AQ2616" s="5">
        <v>2</v>
      </c>
    </row>
    <row r="2617" spans="1:43" x14ac:dyDescent="0.2">
      <c r="A2617" t="s">
        <v>1485</v>
      </c>
      <c r="B2617" t="s">
        <v>1486</v>
      </c>
      <c r="C2617" s="1">
        <v>2015</v>
      </c>
      <c r="D2617" t="s">
        <v>44</v>
      </c>
      <c r="F2617" t="s">
        <v>628</v>
      </c>
      <c r="G2617" t="s">
        <v>91</v>
      </c>
      <c r="H2617" t="s">
        <v>96</v>
      </c>
      <c r="I2617">
        <v>2011</v>
      </c>
      <c r="K2617" t="s">
        <v>101</v>
      </c>
      <c r="M2617">
        <v>0.25</v>
      </c>
      <c r="N2617" t="s">
        <v>121</v>
      </c>
      <c r="O2617" t="s">
        <v>121</v>
      </c>
      <c r="P2617" t="s">
        <v>278</v>
      </c>
      <c r="Q2617" s="1" t="s">
        <v>2292</v>
      </c>
      <c r="R2617" s="1" t="s">
        <v>264</v>
      </c>
      <c r="S2617" s="1" t="s">
        <v>264</v>
      </c>
      <c r="T2617" t="s">
        <v>396</v>
      </c>
      <c r="U2617" t="s">
        <v>264</v>
      </c>
      <c r="V2617" t="s">
        <v>194</v>
      </c>
      <c r="W2617" t="s">
        <v>278</v>
      </c>
      <c r="X2617" t="s">
        <v>161</v>
      </c>
      <c r="Y2617" t="s">
        <v>2272</v>
      </c>
      <c r="Z2617" t="s">
        <v>2272</v>
      </c>
      <c r="AA2617" t="s">
        <v>2272</v>
      </c>
      <c r="AB2617" t="s">
        <v>2272</v>
      </c>
      <c r="AC2617" t="s">
        <v>162</v>
      </c>
      <c r="AD2617" t="s">
        <v>2272</v>
      </c>
      <c r="AF2617" t="s">
        <v>49</v>
      </c>
      <c r="AI2617" t="s">
        <v>49</v>
      </c>
      <c r="AM2617" t="s">
        <v>201</v>
      </c>
      <c r="AN2617" t="s">
        <v>165</v>
      </c>
      <c r="AP2617" t="s">
        <v>49</v>
      </c>
    </row>
    <row r="2618" spans="1:43" x14ac:dyDescent="0.2">
      <c r="A2618" t="s">
        <v>1485</v>
      </c>
      <c r="B2618" t="s">
        <v>1486</v>
      </c>
      <c r="C2618" s="1">
        <v>2015</v>
      </c>
      <c r="D2618" t="s">
        <v>44</v>
      </c>
      <c r="F2618" t="s">
        <v>628</v>
      </c>
      <c r="G2618" t="s">
        <v>91</v>
      </c>
      <c r="H2618" t="s">
        <v>96</v>
      </c>
      <c r="I2618">
        <v>2011</v>
      </c>
      <c r="K2618" t="s">
        <v>101</v>
      </c>
      <c r="M2618">
        <v>0.25</v>
      </c>
      <c r="N2618" t="s">
        <v>121</v>
      </c>
      <c r="O2618" t="s">
        <v>121</v>
      </c>
      <c r="P2618" t="s">
        <v>286</v>
      </c>
      <c r="Q2618" s="1" t="s">
        <v>2292</v>
      </c>
      <c r="R2618" s="1" t="s">
        <v>264</v>
      </c>
      <c r="S2618" s="1" t="s">
        <v>264</v>
      </c>
      <c r="T2618" t="s">
        <v>396</v>
      </c>
      <c r="U2618" t="s">
        <v>264</v>
      </c>
      <c r="V2618" t="s">
        <v>194</v>
      </c>
      <c r="W2618" t="s">
        <v>278</v>
      </c>
      <c r="X2618" t="s">
        <v>161</v>
      </c>
      <c r="Y2618" t="s">
        <v>2272</v>
      </c>
      <c r="Z2618" t="s">
        <v>2272</v>
      </c>
      <c r="AA2618" t="s">
        <v>2272</v>
      </c>
      <c r="AB2618" t="s">
        <v>2272</v>
      </c>
      <c r="AC2618" t="s">
        <v>162</v>
      </c>
      <c r="AD2618" t="s">
        <v>2272</v>
      </c>
      <c r="AF2618" t="s">
        <v>49</v>
      </c>
      <c r="AI2618" t="s">
        <v>49</v>
      </c>
      <c r="AM2618" t="s">
        <v>201</v>
      </c>
      <c r="AN2618" t="s">
        <v>165</v>
      </c>
      <c r="AP2618" t="s">
        <v>49</v>
      </c>
    </row>
    <row r="2619" spans="1:43" x14ac:dyDescent="0.2">
      <c r="A2619" t="s">
        <v>1485</v>
      </c>
      <c r="B2619" t="s">
        <v>1486</v>
      </c>
      <c r="C2619" s="1">
        <v>2015</v>
      </c>
      <c r="D2619" t="s">
        <v>44</v>
      </c>
      <c r="F2619" t="s">
        <v>628</v>
      </c>
      <c r="G2619" t="s">
        <v>91</v>
      </c>
      <c r="H2619" t="s">
        <v>96</v>
      </c>
      <c r="I2619">
        <v>2011</v>
      </c>
      <c r="K2619" t="s">
        <v>101</v>
      </c>
      <c r="M2619">
        <v>0.25</v>
      </c>
      <c r="N2619" t="s">
        <v>121</v>
      </c>
      <c r="O2619" t="s">
        <v>121</v>
      </c>
      <c r="P2619" t="s">
        <v>278</v>
      </c>
      <c r="Q2619" s="1" t="s">
        <v>2292</v>
      </c>
      <c r="R2619" s="1" t="s">
        <v>264</v>
      </c>
      <c r="S2619" s="1" t="s">
        <v>264</v>
      </c>
      <c r="T2619" t="s">
        <v>396</v>
      </c>
      <c r="U2619" t="s">
        <v>264</v>
      </c>
      <c r="V2619" t="s">
        <v>194</v>
      </c>
      <c r="W2619" t="s">
        <v>278</v>
      </c>
      <c r="X2619" t="s">
        <v>161</v>
      </c>
      <c r="Y2619" t="s">
        <v>2272</v>
      </c>
      <c r="Z2619" t="s">
        <v>2272</v>
      </c>
      <c r="AA2619" t="s">
        <v>2272</v>
      </c>
      <c r="AB2619" t="s">
        <v>2272</v>
      </c>
      <c r="AC2619" t="s">
        <v>162</v>
      </c>
      <c r="AD2619" t="s">
        <v>2272</v>
      </c>
      <c r="AF2619" t="s">
        <v>49</v>
      </c>
      <c r="AI2619" t="s">
        <v>49</v>
      </c>
      <c r="AM2619" t="s">
        <v>201</v>
      </c>
      <c r="AN2619" t="s">
        <v>154</v>
      </c>
      <c r="AQ2619" s="5">
        <v>0</v>
      </c>
    </row>
    <row r="2620" spans="1:43" x14ac:dyDescent="0.2">
      <c r="A2620" t="s">
        <v>1485</v>
      </c>
      <c r="B2620" t="s">
        <v>1486</v>
      </c>
      <c r="C2620" s="1">
        <v>2015</v>
      </c>
      <c r="D2620" t="s">
        <v>44</v>
      </c>
      <c r="F2620" t="s">
        <v>628</v>
      </c>
      <c r="G2620" t="s">
        <v>91</v>
      </c>
      <c r="H2620" t="s">
        <v>96</v>
      </c>
      <c r="I2620">
        <v>2011</v>
      </c>
      <c r="K2620" t="s">
        <v>101</v>
      </c>
      <c r="M2620">
        <v>0.25</v>
      </c>
      <c r="N2620" t="s">
        <v>121</v>
      </c>
      <c r="O2620" t="s">
        <v>121</v>
      </c>
      <c r="P2620" t="s">
        <v>286</v>
      </c>
      <c r="Q2620" s="1" t="s">
        <v>2292</v>
      </c>
      <c r="R2620" s="1" t="s">
        <v>264</v>
      </c>
      <c r="S2620" s="1" t="s">
        <v>264</v>
      </c>
      <c r="T2620" t="s">
        <v>396</v>
      </c>
      <c r="U2620" t="s">
        <v>264</v>
      </c>
      <c r="V2620" t="s">
        <v>194</v>
      </c>
      <c r="W2620" t="s">
        <v>278</v>
      </c>
      <c r="X2620" t="s">
        <v>161</v>
      </c>
      <c r="Y2620" t="s">
        <v>2272</v>
      </c>
      <c r="Z2620" t="s">
        <v>2272</v>
      </c>
      <c r="AA2620" t="s">
        <v>2272</v>
      </c>
      <c r="AB2620" t="s">
        <v>2272</v>
      </c>
      <c r="AC2620" t="s">
        <v>162</v>
      </c>
      <c r="AD2620" t="s">
        <v>2272</v>
      </c>
      <c r="AF2620" t="s">
        <v>49</v>
      </c>
      <c r="AI2620" t="s">
        <v>49</v>
      </c>
      <c r="AM2620" t="s">
        <v>201</v>
      </c>
      <c r="AN2620" t="s">
        <v>154</v>
      </c>
      <c r="AQ2620" s="5">
        <v>0</v>
      </c>
    </row>
    <row r="2621" spans="1:43" x14ac:dyDescent="0.2">
      <c r="A2621" t="s">
        <v>1492</v>
      </c>
      <c r="B2621" t="s">
        <v>1493</v>
      </c>
      <c r="C2621" s="1">
        <v>2015</v>
      </c>
      <c r="D2621" t="s">
        <v>44</v>
      </c>
      <c r="F2621" t="s">
        <v>357</v>
      </c>
      <c r="G2621" t="s">
        <v>90</v>
      </c>
      <c r="H2621" t="s">
        <v>96</v>
      </c>
      <c r="I2621" t="s">
        <v>1495</v>
      </c>
      <c r="J2621">
        <v>1.8</v>
      </c>
      <c r="K2621" t="s">
        <v>109</v>
      </c>
      <c r="L2621">
        <v>9</v>
      </c>
      <c r="M2621">
        <v>2.9999999999999997E-4</v>
      </c>
      <c r="N2621" t="s">
        <v>466</v>
      </c>
      <c r="O2621" t="s">
        <v>466</v>
      </c>
      <c r="P2621" t="s">
        <v>1494</v>
      </c>
      <c r="Q2621" s="1" t="s">
        <v>2281</v>
      </c>
      <c r="R2621" s="1" t="s">
        <v>2301</v>
      </c>
      <c r="S2621" s="1" t="s">
        <v>2302</v>
      </c>
      <c r="T2621" t="s">
        <v>421</v>
      </c>
      <c r="U2621" t="s">
        <v>421</v>
      </c>
      <c r="V2621" t="s">
        <v>194</v>
      </c>
      <c r="W2621" t="s">
        <v>1494</v>
      </c>
      <c r="X2621" t="s">
        <v>161</v>
      </c>
      <c r="Y2621" t="s">
        <v>2272</v>
      </c>
      <c r="Z2621" t="s">
        <v>2272</v>
      </c>
      <c r="AA2621" t="s">
        <v>2272</v>
      </c>
      <c r="AB2621" t="s">
        <v>2272</v>
      </c>
      <c r="AC2621" t="s">
        <v>162</v>
      </c>
      <c r="AD2621" t="s">
        <v>2272</v>
      </c>
      <c r="AF2621" t="s">
        <v>49</v>
      </c>
      <c r="AI2621" t="s">
        <v>49</v>
      </c>
      <c r="AM2621" t="s">
        <v>202</v>
      </c>
      <c r="AN2621" t="s">
        <v>166</v>
      </c>
      <c r="AP2621" t="s">
        <v>173</v>
      </c>
    </row>
    <row r="2622" spans="1:43" x14ac:dyDescent="0.2">
      <c r="A2622" t="s">
        <v>1492</v>
      </c>
      <c r="B2622" t="s">
        <v>1493</v>
      </c>
      <c r="C2622" s="1">
        <v>2015</v>
      </c>
      <c r="D2622" t="s">
        <v>44</v>
      </c>
      <c r="F2622" t="s">
        <v>357</v>
      </c>
      <c r="G2622" t="s">
        <v>90</v>
      </c>
      <c r="H2622" t="s">
        <v>96</v>
      </c>
      <c r="I2622" t="s">
        <v>1495</v>
      </c>
      <c r="J2622">
        <v>1.8</v>
      </c>
      <c r="K2622" t="s">
        <v>109</v>
      </c>
      <c r="L2622">
        <v>9</v>
      </c>
      <c r="M2622">
        <v>2.9999999999999997E-4</v>
      </c>
      <c r="N2622" t="s">
        <v>466</v>
      </c>
      <c r="O2622" t="s">
        <v>466</v>
      </c>
      <c r="P2622" t="s">
        <v>1494</v>
      </c>
      <c r="Q2622" s="1" t="s">
        <v>2281</v>
      </c>
      <c r="R2622" s="1" t="s">
        <v>2301</v>
      </c>
      <c r="S2622" s="1" t="s">
        <v>2302</v>
      </c>
      <c r="T2622" t="s">
        <v>421</v>
      </c>
      <c r="U2622" t="s">
        <v>421</v>
      </c>
      <c r="V2622" t="s">
        <v>194</v>
      </c>
      <c r="W2622" t="s">
        <v>1494</v>
      </c>
      <c r="X2622" t="s">
        <v>161</v>
      </c>
      <c r="Y2622" t="s">
        <v>2272</v>
      </c>
      <c r="Z2622" t="s">
        <v>2272</v>
      </c>
      <c r="AA2622" t="s">
        <v>2272</v>
      </c>
      <c r="AB2622" t="s">
        <v>2272</v>
      </c>
      <c r="AC2622" t="s">
        <v>162</v>
      </c>
      <c r="AD2622" t="s">
        <v>2272</v>
      </c>
      <c r="AF2622" t="s">
        <v>49</v>
      </c>
      <c r="AI2622" t="s">
        <v>49</v>
      </c>
      <c r="AM2622" t="s">
        <v>202</v>
      </c>
      <c r="AN2622" t="s">
        <v>154</v>
      </c>
      <c r="AP2622" t="s">
        <v>49</v>
      </c>
    </row>
    <row r="2623" spans="1:43" x14ac:dyDescent="0.2">
      <c r="A2623" t="s">
        <v>1492</v>
      </c>
      <c r="B2623" t="s">
        <v>1493</v>
      </c>
      <c r="C2623" s="1">
        <v>2015</v>
      </c>
      <c r="D2623" t="s">
        <v>44</v>
      </c>
      <c r="F2623" t="s">
        <v>357</v>
      </c>
      <c r="G2623" t="s">
        <v>90</v>
      </c>
      <c r="H2623" t="s">
        <v>96</v>
      </c>
      <c r="I2623" t="s">
        <v>1495</v>
      </c>
      <c r="J2623">
        <v>1.8</v>
      </c>
      <c r="K2623" t="s">
        <v>109</v>
      </c>
      <c r="L2623">
        <v>9</v>
      </c>
      <c r="M2623">
        <v>2.9999999999999997E-4</v>
      </c>
      <c r="N2623" t="s">
        <v>466</v>
      </c>
      <c r="O2623" t="s">
        <v>466</v>
      </c>
      <c r="P2623" t="s">
        <v>1494</v>
      </c>
      <c r="Q2623" s="1" t="s">
        <v>2281</v>
      </c>
      <c r="R2623" s="1" t="s">
        <v>2301</v>
      </c>
      <c r="S2623" s="1" t="s">
        <v>2302</v>
      </c>
      <c r="T2623" t="s">
        <v>421</v>
      </c>
      <c r="U2623" t="s">
        <v>421</v>
      </c>
      <c r="V2623" t="s">
        <v>194</v>
      </c>
      <c r="W2623" t="s">
        <v>1494</v>
      </c>
      <c r="X2623" t="s">
        <v>161</v>
      </c>
      <c r="Y2623" t="s">
        <v>2272</v>
      </c>
      <c r="Z2623" t="s">
        <v>2272</v>
      </c>
      <c r="AA2623" t="s">
        <v>2272</v>
      </c>
      <c r="AB2623" t="s">
        <v>2272</v>
      </c>
      <c r="AC2623" t="s">
        <v>162</v>
      </c>
      <c r="AD2623" t="s">
        <v>2272</v>
      </c>
      <c r="AF2623" t="s">
        <v>49</v>
      </c>
      <c r="AL2623" t="s">
        <v>49</v>
      </c>
      <c r="AM2623" t="s">
        <v>1494</v>
      </c>
      <c r="AN2623" t="s">
        <v>166</v>
      </c>
      <c r="AP2623" t="s">
        <v>49</v>
      </c>
    </row>
    <row r="2624" spans="1:43" x14ac:dyDescent="0.2">
      <c r="A2624" t="s">
        <v>1492</v>
      </c>
      <c r="B2624" t="s">
        <v>1493</v>
      </c>
      <c r="C2624" s="1">
        <v>2015</v>
      </c>
      <c r="D2624" t="s">
        <v>44</v>
      </c>
      <c r="F2624" t="s">
        <v>357</v>
      </c>
      <c r="G2624" t="s">
        <v>90</v>
      </c>
      <c r="H2624" t="s">
        <v>96</v>
      </c>
      <c r="I2624" t="s">
        <v>1495</v>
      </c>
      <c r="J2624">
        <v>1.8</v>
      </c>
      <c r="K2624" t="s">
        <v>109</v>
      </c>
      <c r="L2624">
        <v>9</v>
      </c>
      <c r="M2624">
        <v>2.9999999999999997E-4</v>
      </c>
      <c r="N2624" t="s">
        <v>466</v>
      </c>
      <c r="O2624" t="s">
        <v>466</v>
      </c>
      <c r="P2624" t="s">
        <v>1494</v>
      </c>
      <c r="Q2624" s="1" t="s">
        <v>2281</v>
      </c>
      <c r="R2624" s="1" t="s">
        <v>2301</v>
      </c>
      <c r="S2624" s="1" t="s">
        <v>2302</v>
      </c>
      <c r="T2624" t="s">
        <v>421</v>
      </c>
      <c r="U2624" t="s">
        <v>421</v>
      </c>
      <c r="V2624" t="s">
        <v>194</v>
      </c>
      <c r="W2624" t="s">
        <v>1494</v>
      </c>
      <c r="X2624" t="s">
        <v>161</v>
      </c>
      <c r="Y2624" t="s">
        <v>2272</v>
      </c>
      <c r="Z2624" t="s">
        <v>2272</v>
      </c>
      <c r="AA2624" t="s">
        <v>2272</v>
      </c>
      <c r="AB2624" t="s">
        <v>2272</v>
      </c>
      <c r="AC2624" t="s">
        <v>162</v>
      </c>
      <c r="AD2624" t="s">
        <v>2272</v>
      </c>
      <c r="AF2624" t="s">
        <v>49</v>
      </c>
      <c r="AL2624" t="s">
        <v>49</v>
      </c>
      <c r="AM2624" t="s">
        <v>1496</v>
      </c>
      <c r="AN2624" t="s">
        <v>166</v>
      </c>
      <c r="AP2624" t="s">
        <v>173</v>
      </c>
    </row>
    <row r="2625" spans="1:45" x14ac:dyDescent="0.2">
      <c r="A2625" t="s">
        <v>1492</v>
      </c>
      <c r="B2625" t="s">
        <v>1493</v>
      </c>
      <c r="C2625" s="1">
        <v>2015</v>
      </c>
      <c r="D2625" t="s">
        <v>44</v>
      </c>
      <c r="F2625" t="s">
        <v>357</v>
      </c>
      <c r="G2625" t="s">
        <v>90</v>
      </c>
      <c r="H2625" t="s">
        <v>96</v>
      </c>
      <c r="I2625" t="s">
        <v>1495</v>
      </c>
      <c r="J2625">
        <v>1.8</v>
      </c>
      <c r="K2625" t="s">
        <v>109</v>
      </c>
      <c r="L2625">
        <v>9</v>
      </c>
      <c r="M2625">
        <v>2.9999999999999997E-4</v>
      </c>
      <c r="N2625" t="s">
        <v>466</v>
      </c>
      <c r="O2625" t="s">
        <v>466</v>
      </c>
      <c r="P2625" t="s">
        <v>1494</v>
      </c>
      <c r="Q2625" s="1" t="s">
        <v>2281</v>
      </c>
      <c r="R2625" s="1" t="s">
        <v>2301</v>
      </c>
      <c r="S2625" s="1" t="s">
        <v>2302</v>
      </c>
      <c r="T2625" t="s">
        <v>421</v>
      </c>
      <c r="U2625" t="s">
        <v>421</v>
      </c>
      <c r="V2625" t="s">
        <v>194</v>
      </c>
      <c r="W2625" t="s">
        <v>1494</v>
      </c>
      <c r="X2625" t="s">
        <v>161</v>
      </c>
      <c r="Y2625" t="s">
        <v>2272</v>
      </c>
      <c r="Z2625" t="s">
        <v>2272</v>
      </c>
      <c r="AA2625" t="s">
        <v>2272</v>
      </c>
      <c r="AB2625" t="s">
        <v>2272</v>
      </c>
      <c r="AC2625" t="s">
        <v>162</v>
      </c>
      <c r="AD2625" t="s">
        <v>2272</v>
      </c>
      <c r="AF2625" t="s">
        <v>49</v>
      </c>
      <c r="AL2625" t="s">
        <v>49</v>
      </c>
      <c r="AM2625" t="s">
        <v>1497</v>
      </c>
      <c r="AN2625" t="s">
        <v>166</v>
      </c>
      <c r="AQ2625" s="5">
        <v>0</v>
      </c>
    </row>
    <row r="2626" spans="1:45" x14ac:dyDescent="0.2">
      <c r="A2626" t="s">
        <v>1492</v>
      </c>
      <c r="B2626" t="s">
        <v>1493</v>
      </c>
      <c r="C2626" s="1">
        <v>2015</v>
      </c>
      <c r="D2626" t="s">
        <v>44</v>
      </c>
      <c r="F2626" t="s">
        <v>357</v>
      </c>
      <c r="G2626" t="s">
        <v>90</v>
      </c>
      <c r="H2626" t="s">
        <v>96</v>
      </c>
      <c r="I2626" t="s">
        <v>1495</v>
      </c>
      <c r="J2626">
        <v>1.8</v>
      </c>
      <c r="K2626" t="s">
        <v>109</v>
      </c>
      <c r="L2626">
        <v>9</v>
      </c>
      <c r="M2626">
        <v>2.9999999999999997E-4</v>
      </c>
      <c r="N2626" t="s">
        <v>466</v>
      </c>
      <c r="O2626" t="s">
        <v>466</v>
      </c>
      <c r="P2626" t="s">
        <v>1494</v>
      </c>
      <c r="Q2626" s="1" t="s">
        <v>2281</v>
      </c>
      <c r="R2626" s="1" t="s">
        <v>2301</v>
      </c>
      <c r="S2626" s="1" t="s">
        <v>2302</v>
      </c>
      <c r="T2626" t="s">
        <v>421</v>
      </c>
      <c r="U2626" t="s">
        <v>421</v>
      </c>
      <c r="V2626" t="s">
        <v>194</v>
      </c>
      <c r="W2626" t="s">
        <v>1494</v>
      </c>
      <c r="X2626" t="s">
        <v>161</v>
      </c>
      <c r="Y2626" t="s">
        <v>2272</v>
      </c>
      <c r="Z2626" t="s">
        <v>2272</v>
      </c>
      <c r="AA2626" t="s">
        <v>2272</v>
      </c>
      <c r="AB2626" t="s">
        <v>2272</v>
      </c>
      <c r="AC2626" t="s">
        <v>162</v>
      </c>
      <c r="AD2626" t="s">
        <v>2272</v>
      </c>
      <c r="AG2626" t="s">
        <v>49</v>
      </c>
      <c r="AL2626" t="s">
        <v>49</v>
      </c>
      <c r="AM2626" t="s">
        <v>1498</v>
      </c>
      <c r="AN2626" t="s">
        <v>166</v>
      </c>
      <c r="AQ2626" s="5">
        <v>0</v>
      </c>
    </row>
    <row r="2627" spans="1:45" x14ac:dyDescent="0.2">
      <c r="A2627" t="s">
        <v>1492</v>
      </c>
      <c r="B2627" t="s">
        <v>1493</v>
      </c>
      <c r="C2627" s="1">
        <v>2015</v>
      </c>
      <c r="D2627" t="s">
        <v>44</v>
      </c>
      <c r="F2627" t="s">
        <v>357</v>
      </c>
      <c r="G2627" t="s">
        <v>90</v>
      </c>
      <c r="H2627" t="s">
        <v>96</v>
      </c>
      <c r="I2627" t="s">
        <v>1495</v>
      </c>
      <c r="J2627">
        <v>1.8</v>
      </c>
      <c r="K2627" t="s">
        <v>109</v>
      </c>
      <c r="L2627">
        <v>9</v>
      </c>
      <c r="M2627">
        <v>2.9999999999999997E-4</v>
      </c>
      <c r="N2627" t="s">
        <v>466</v>
      </c>
      <c r="O2627" t="s">
        <v>466</v>
      </c>
      <c r="P2627" t="s">
        <v>1494</v>
      </c>
      <c r="Q2627" s="1" t="s">
        <v>2281</v>
      </c>
      <c r="R2627" s="1" t="s">
        <v>2301</v>
      </c>
      <c r="S2627" s="1" t="s">
        <v>2302</v>
      </c>
      <c r="T2627" t="s">
        <v>421</v>
      </c>
      <c r="U2627" t="s">
        <v>421</v>
      </c>
      <c r="V2627" t="s">
        <v>194</v>
      </c>
      <c r="W2627" t="s">
        <v>1494</v>
      </c>
      <c r="X2627" t="s">
        <v>161</v>
      </c>
      <c r="Y2627" t="s">
        <v>2272</v>
      </c>
      <c r="Z2627" t="s">
        <v>2272</v>
      </c>
      <c r="AA2627" t="s">
        <v>2272</v>
      </c>
      <c r="AB2627" t="s">
        <v>2272</v>
      </c>
      <c r="AC2627" t="s">
        <v>162</v>
      </c>
      <c r="AD2627" t="s">
        <v>2272</v>
      </c>
      <c r="AF2627" t="s">
        <v>49</v>
      </c>
      <c r="AL2627" t="s">
        <v>49</v>
      </c>
      <c r="AM2627" t="s">
        <v>1499</v>
      </c>
      <c r="AN2627" t="s">
        <v>166</v>
      </c>
      <c r="AP2627" t="s">
        <v>49</v>
      </c>
    </row>
    <row r="2628" spans="1:45" x14ac:dyDescent="0.2">
      <c r="A2628" t="s">
        <v>1492</v>
      </c>
      <c r="B2628" t="s">
        <v>1493</v>
      </c>
      <c r="C2628" s="1">
        <v>2015</v>
      </c>
      <c r="D2628" t="s">
        <v>44</v>
      </c>
      <c r="F2628" t="s">
        <v>357</v>
      </c>
      <c r="G2628" t="s">
        <v>90</v>
      </c>
      <c r="H2628" t="s">
        <v>96</v>
      </c>
      <c r="I2628" t="s">
        <v>1495</v>
      </c>
      <c r="J2628">
        <v>1.8</v>
      </c>
      <c r="K2628" t="s">
        <v>109</v>
      </c>
      <c r="L2628">
        <v>9</v>
      </c>
      <c r="M2628">
        <v>2.9999999999999997E-4</v>
      </c>
      <c r="N2628" t="s">
        <v>466</v>
      </c>
      <c r="O2628" t="s">
        <v>466</v>
      </c>
      <c r="P2628" t="s">
        <v>1494</v>
      </c>
      <c r="Q2628" s="1" t="s">
        <v>2281</v>
      </c>
      <c r="R2628" s="1" t="s">
        <v>2301</v>
      </c>
      <c r="S2628" s="1" t="s">
        <v>2302</v>
      </c>
      <c r="T2628" t="s">
        <v>421</v>
      </c>
      <c r="U2628" t="s">
        <v>421</v>
      </c>
      <c r="V2628" t="s">
        <v>194</v>
      </c>
      <c r="W2628" t="s">
        <v>1494</v>
      </c>
      <c r="X2628" t="s">
        <v>161</v>
      </c>
      <c r="Y2628" t="s">
        <v>2272</v>
      </c>
      <c r="Z2628" t="s">
        <v>2272</v>
      </c>
      <c r="AA2628" t="s">
        <v>2272</v>
      </c>
      <c r="AB2628" t="s">
        <v>2272</v>
      </c>
      <c r="AC2628" t="s">
        <v>162</v>
      </c>
      <c r="AD2628" t="s">
        <v>2272</v>
      </c>
      <c r="AF2628" t="s">
        <v>49</v>
      </c>
      <c r="AL2628" t="s">
        <v>49</v>
      </c>
      <c r="AM2628" t="s">
        <v>1500</v>
      </c>
      <c r="AN2628" t="s">
        <v>166</v>
      </c>
      <c r="AQ2628" s="5">
        <v>0</v>
      </c>
    </row>
    <row r="2629" spans="1:45" x14ac:dyDescent="0.2">
      <c r="A2629" t="s">
        <v>1492</v>
      </c>
      <c r="B2629" t="s">
        <v>1493</v>
      </c>
      <c r="C2629" s="1">
        <v>2015</v>
      </c>
      <c r="D2629" t="s">
        <v>44</v>
      </c>
      <c r="F2629" t="s">
        <v>357</v>
      </c>
      <c r="G2629" t="s">
        <v>90</v>
      </c>
      <c r="H2629" t="s">
        <v>96</v>
      </c>
      <c r="I2629" t="s">
        <v>1495</v>
      </c>
      <c r="J2629">
        <v>1.8</v>
      </c>
      <c r="K2629" t="s">
        <v>109</v>
      </c>
      <c r="L2629">
        <v>9</v>
      </c>
      <c r="M2629">
        <v>2.9999999999999997E-4</v>
      </c>
      <c r="N2629" t="s">
        <v>466</v>
      </c>
      <c r="O2629" t="s">
        <v>466</v>
      </c>
      <c r="P2629" t="s">
        <v>1494</v>
      </c>
      <c r="Q2629" s="1" t="s">
        <v>2281</v>
      </c>
      <c r="R2629" s="1" t="s">
        <v>2301</v>
      </c>
      <c r="S2629" s="1" t="s">
        <v>2302</v>
      </c>
      <c r="T2629" t="s">
        <v>421</v>
      </c>
      <c r="U2629" t="s">
        <v>421</v>
      </c>
      <c r="V2629" t="s">
        <v>194</v>
      </c>
      <c r="W2629" t="s">
        <v>1494</v>
      </c>
      <c r="X2629" t="s">
        <v>161</v>
      </c>
      <c r="Y2629" t="s">
        <v>2272</v>
      </c>
      <c r="Z2629" t="s">
        <v>2272</v>
      </c>
      <c r="AA2629" t="s">
        <v>2272</v>
      </c>
      <c r="AB2629" t="s">
        <v>2272</v>
      </c>
      <c r="AC2629" t="s">
        <v>162</v>
      </c>
      <c r="AD2629" t="s">
        <v>2272</v>
      </c>
      <c r="AF2629" t="s">
        <v>49</v>
      </c>
      <c r="AI2629" t="s">
        <v>49</v>
      </c>
      <c r="AM2629" t="s">
        <v>202</v>
      </c>
      <c r="AN2629" t="s">
        <v>165</v>
      </c>
      <c r="AP2629" t="s">
        <v>49</v>
      </c>
    </row>
    <row r="2630" spans="1:45" x14ac:dyDescent="0.2">
      <c r="A2630" t="s">
        <v>1501</v>
      </c>
      <c r="B2630" t="s">
        <v>1502</v>
      </c>
      <c r="C2630" s="1">
        <v>2015</v>
      </c>
      <c r="D2630" t="s">
        <v>44</v>
      </c>
      <c r="F2630" t="s">
        <v>1503</v>
      </c>
      <c r="G2630" t="s">
        <v>86</v>
      </c>
      <c r="H2630" t="s">
        <v>96</v>
      </c>
      <c r="I2630">
        <v>2009</v>
      </c>
      <c r="J2630">
        <v>0.17</v>
      </c>
      <c r="K2630" t="s">
        <v>109</v>
      </c>
      <c r="L2630">
        <v>0.35</v>
      </c>
      <c r="M2630">
        <v>3.4599999999999999E-2</v>
      </c>
      <c r="N2630" t="s">
        <v>121</v>
      </c>
      <c r="O2630" t="s">
        <v>121</v>
      </c>
      <c r="P2630" t="s">
        <v>1504</v>
      </c>
      <c r="Q2630" s="1" t="s">
        <v>2292</v>
      </c>
      <c r="R2630" s="1" t="s">
        <v>264</v>
      </c>
      <c r="S2630" s="1" t="s">
        <v>264</v>
      </c>
      <c r="T2630" t="s">
        <v>421</v>
      </c>
      <c r="U2630" t="s">
        <v>421</v>
      </c>
      <c r="X2630" t="s">
        <v>161</v>
      </c>
      <c r="Y2630" t="s">
        <v>2272</v>
      </c>
      <c r="Z2630" t="s">
        <v>2272</v>
      </c>
      <c r="AA2630" t="s">
        <v>2272</v>
      </c>
      <c r="AB2630" t="s">
        <v>2272</v>
      </c>
      <c r="AC2630" t="s">
        <v>162</v>
      </c>
      <c r="AD2630" t="s">
        <v>2272</v>
      </c>
      <c r="AF2630" t="s">
        <v>49</v>
      </c>
      <c r="AG2630" t="s">
        <v>49</v>
      </c>
      <c r="AI2630" t="s">
        <v>49</v>
      </c>
      <c r="AM2630" t="s">
        <v>202</v>
      </c>
      <c r="AN2630" t="s">
        <v>166</v>
      </c>
      <c r="AP2630" t="s">
        <v>49</v>
      </c>
    </row>
    <row r="2631" spans="1:45" x14ac:dyDescent="0.2">
      <c r="A2631" t="s">
        <v>1501</v>
      </c>
      <c r="B2631" t="s">
        <v>1502</v>
      </c>
      <c r="C2631" s="1">
        <v>2015</v>
      </c>
      <c r="D2631" t="s">
        <v>44</v>
      </c>
      <c r="F2631" t="s">
        <v>1503</v>
      </c>
      <c r="G2631" t="s">
        <v>86</v>
      </c>
      <c r="H2631" t="s">
        <v>96</v>
      </c>
      <c r="I2631">
        <v>2009</v>
      </c>
      <c r="J2631">
        <v>0.17</v>
      </c>
      <c r="K2631" t="s">
        <v>109</v>
      </c>
      <c r="L2631">
        <v>0.35</v>
      </c>
      <c r="M2631">
        <v>3.4599999999999999E-2</v>
      </c>
      <c r="N2631" t="s">
        <v>121</v>
      </c>
      <c r="O2631" t="s">
        <v>121</v>
      </c>
      <c r="P2631" t="s">
        <v>1504</v>
      </c>
      <c r="Q2631" s="1" t="s">
        <v>2292</v>
      </c>
      <c r="R2631" s="1" t="s">
        <v>264</v>
      </c>
      <c r="S2631" s="1" t="s">
        <v>264</v>
      </c>
      <c r="T2631" t="s">
        <v>421</v>
      </c>
      <c r="U2631" t="s">
        <v>421</v>
      </c>
      <c r="X2631" t="s">
        <v>161</v>
      </c>
      <c r="Y2631" t="s">
        <v>2272</v>
      </c>
      <c r="Z2631" t="s">
        <v>2272</v>
      </c>
      <c r="AA2631" t="s">
        <v>2272</v>
      </c>
      <c r="AB2631" t="s">
        <v>2272</v>
      </c>
      <c r="AC2631" t="s">
        <v>162</v>
      </c>
      <c r="AD2631" t="s">
        <v>2272</v>
      </c>
      <c r="AF2631" t="s">
        <v>49</v>
      </c>
      <c r="AG2631" t="s">
        <v>49</v>
      </c>
      <c r="AI2631" t="s">
        <v>49</v>
      </c>
      <c r="AM2631" t="s">
        <v>202</v>
      </c>
      <c r="AN2631" t="s">
        <v>154</v>
      </c>
      <c r="AP2631" t="s">
        <v>49</v>
      </c>
    </row>
    <row r="2632" spans="1:45" x14ac:dyDescent="0.2">
      <c r="A2632" t="s">
        <v>1501</v>
      </c>
      <c r="B2632" t="s">
        <v>1502</v>
      </c>
      <c r="C2632" s="1">
        <v>2015</v>
      </c>
      <c r="D2632" t="s">
        <v>44</v>
      </c>
      <c r="F2632" t="s">
        <v>1503</v>
      </c>
      <c r="G2632" t="s">
        <v>86</v>
      </c>
      <c r="H2632" t="s">
        <v>96</v>
      </c>
      <c r="I2632">
        <v>2009</v>
      </c>
      <c r="J2632">
        <v>0.17</v>
      </c>
      <c r="K2632" t="s">
        <v>109</v>
      </c>
      <c r="L2632">
        <v>0.35</v>
      </c>
      <c r="M2632">
        <v>3.4599999999999999E-2</v>
      </c>
      <c r="N2632" t="s">
        <v>121</v>
      </c>
      <c r="O2632" t="s">
        <v>121</v>
      </c>
      <c r="P2632" t="s">
        <v>1504</v>
      </c>
      <c r="Q2632" s="1" t="s">
        <v>2292</v>
      </c>
      <c r="R2632" s="1" t="s">
        <v>264</v>
      </c>
      <c r="S2632" s="1" t="s">
        <v>264</v>
      </c>
      <c r="T2632" t="s">
        <v>421</v>
      </c>
      <c r="U2632" t="s">
        <v>421</v>
      </c>
      <c r="X2632" t="s">
        <v>161</v>
      </c>
      <c r="Y2632" t="s">
        <v>2272</v>
      </c>
      <c r="Z2632" t="s">
        <v>2272</v>
      </c>
      <c r="AA2632" t="s">
        <v>2272</v>
      </c>
      <c r="AB2632" t="s">
        <v>2272</v>
      </c>
      <c r="AC2632" t="s">
        <v>162</v>
      </c>
      <c r="AD2632" t="s">
        <v>2272</v>
      </c>
      <c r="AF2632" t="s">
        <v>49</v>
      </c>
      <c r="AG2632" t="s">
        <v>49</v>
      </c>
      <c r="AI2632" t="s">
        <v>49</v>
      </c>
      <c r="AM2632" t="s">
        <v>202</v>
      </c>
      <c r="AN2632" t="s">
        <v>165</v>
      </c>
      <c r="AP2632" t="s">
        <v>49</v>
      </c>
    </row>
    <row r="2633" spans="1:45" x14ac:dyDescent="0.2">
      <c r="A2633" t="s">
        <v>1501</v>
      </c>
      <c r="B2633" t="s">
        <v>1502</v>
      </c>
      <c r="C2633" s="1">
        <v>2015</v>
      </c>
      <c r="D2633" t="s">
        <v>811</v>
      </c>
      <c r="F2633" t="s">
        <v>1503</v>
      </c>
      <c r="G2633" t="s">
        <v>86</v>
      </c>
      <c r="H2633" t="s">
        <v>96</v>
      </c>
      <c r="I2633">
        <v>2009</v>
      </c>
      <c r="J2633">
        <v>0.17</v>
      </c>
      <c r="K2633" t="s">
        <v>109</v>
      </c>
      <c r="L2633">
        <v>0.35</v>
      </c>
      <c r="M2633">
        <v>3.4599999999999999E-2</v>
      </c>
      <c r="N2633" t="s">
        <v>121</v>
      </c>
      <c r="O2633" t="s">
        <v>121</v>
      </c>
      <c r="P2633" t="s">
        <v>1504</v>
      </c>
      <c r="Q2633" s="1" t="s">
        <v>2292</v>
      </c>
      <c r="R2633" s="1" t="s">
        <v>264</v>
      </c>
      <c r="S2633" s="1" t="s">
        <v>264</v>
      </c>
      <c r="X2633" t="s">
        <v>1505</v>
      </c>
      <c r="Y2633" t="s">
        <v>2273</v>
      </c>
      <c r="Z2633" t="s">
        <v>249</v>
      </c>
      <c r="AA2633" t="s">
        <v>2359</v>
      </c>
      <c r="AB2633" t="s">
        <v>1979</v>
      </c>
      <c r="AC2633" t="s">
        <v>152</v>
      </c>
      <c r="AD2633" t="s">
        <v>2288</v>
      </c>
      <c r="AE2633" t="s">
        <v>1506</v>
      </c>
      <c r="AF2633" t="s">
        <v>49</v>
      </c>
      <c r="AG2633" t="s">
        <v>49</v>
      </c>
      <c r="AI2633" t="s">
        <v>49</v>
      </c>
      <c r="AM2633" t="s">
        <v>202</v>
      </c>
      <c r="AN2633" t="s">
        <v>154</v>
      </c>
      <c r="AP2633" t="s">
        <v>157</v>
      </c>
    </row>
    <row r="2634" spans="1:45" x14ac:dyDescent="0.2">
      <c r="A2634" t="s">
        <v>1501</v>
      </c>
      <c r="B2634" t="s">
        <v>1502</v>
      </c>
      <c r="C2634" s="1">
        <v>2015</v>
      </c>
      <c r="D2634" t="s">
        <v>811</v>
      </c>
      <c r="F2634" t="s">
        <v>1503</v>
      </c>
      <c r="G2634" t="s">
        <v>86</v>
      </c>
      <c r="H2634" t="s">
        <v>96</v>
      </c>
      <c r="I2634">
        <v>2009</v>
      </c>
      <c r="J2634">
        <v>0.17</v>
      </c>
      <c r="K2634" t="s">
        <v>109</v>
      </c>
      <c r="L2634">
        <v>0.35</v>
      </c>
      <c r="M2634">
        <v>3.4599999999999999E-2</v>
      </c>
      <c r="N2634" t="s">
        <v>121</v>
      </c>
      <c r="O2634" t="s">
        <v>121</v>
      </c>
      <c r="P2634" t="s">
        <v>1504</v>
      </c>
      <c r="Q2634" s="1" t="s">
        <v>2292</v>
      </c>
      <c r="R2634" s="1" t="s">
        <v>264</v>
      </c>
      <c r="S2634" s="1" t="s">
        <v>264</v>
      </c>
      <c r="T2634" t="s">
        <v>421</v>
      </c>
      <c r="U2634" t="s">
        <v>421</v>
      </c>
      <c r="X2634" t="s">
        <v>161</v>
      </c>
      <c r="Y2634" t="s">
        <v>2272</v>
      </c>
      <c r="Z2634" t="s">
        <v>2272</v>
      </c>
      <c r="AA2634" t="s">
        <v>2272</v>
      </c>
      <c r="AB2634" t="s">
        <v>2272</v>
      </c>
      <c r="AC2634" t="s">
        <v>162</v>
      </c>
      <c r="AD2634" t="s">
        <v>2272</v>
      </c>
      <c r="AF2634" t="s">
        <v>49</v>
      </c>
      <c r="AG2634" t="s">
        <v>49</v>
      </c>
      <c r="AI2634" t="s">
        <v>49</v>
      </c>
      <c r="AM2634" t="s">
        <v>202</v>
      </c>
      <c r="AN2634" t="s">
        <v>154</v>
      </c>
      <c r="AP2634" t="s">
        <v>49</v>
      </c>
    </row>
    <row r="2635" spans="1:45" x14ac:dyDescent="0.2">
      <c r="A2635" t="s">
        <v>1501</v>
      </c>
      <c r="B2635" t="s">
        <v>1502</v>
      </c>
      <c r="C2635" s="1">
        <v>2015</v>
      </c>
      <c r="D2635" t="s">
        <v>811</v>
      </c>
      <c r="F2635" t="s">
        <v>1503</v>
      </c>
      <c r="G2635" t="s">
        <v>86</v>
      </c>
      <c r="H2635" t="s">
        <v>96</v>
      </c>
      <c r="I2635">
        <v>2009</v>
      </c>
      <c r="J2635">
        <v>0.17</v>
      </c>
      <c r="K2635" t="s">
        <v>109</v>
      </c>
      <c r="L2635">
        <v>0.35</v>
      </c>
      <c r="M2635">
        <v>3.4599999999999999E-2</v>
      </c>
      <c r="N2635" t="s">
        <v>121</v>
      </c>
      <c r="O2635" t="s">
        <v>121</v>
      </c>
      <c r="P2635" t="s">
        <v>1504</v>
      </c>
      <c r="Q2635" s="1" t="s">
        <v>2292</v>
      </c>
      <c r="R2635" s="1" t="s">
        <v>264</v>
      </c>
      <c r="S2635" s="1" t="s">
        <v>264</v>
      </c>
      <c r="T2635" t="s">
        <v>421</v>
      </c>
      <c r="U2635" t="s">
        <v>421</v>
      </c>
      <c r="X2635" t="s">
        <v>161</v>
      </c>
      <c r="Y2635" t="s">
        <v>2272</v>
      </c>
      <c r="Z2635" t="s">
        <v>2272</v>
      </c>
      <c r="AA2635" t="s">
        <v>2272</v>
      </c>
      <c r="AB2635" t="s">
        <v>2272</v>
      </c>
      <c r="AC2635" t="s">
        <v>162</v>
      </c>
      <c r="AD2635" t="s">
        <v>2272</v>
      </c>
      <c r="AF2635" t="s">
        <v>49</v>
      </c>
      <c r="AG2635" t="s">
        <v>49</v>
      </c>
      <c r="AI2635" t="s">
        <v>49</v>
      </c>
      <c r="AM2635" t="s">
        <v>202</v>
      </c>
      <c r="AN2635" t="s">
        <v>166</v>
      </c>
      <c r="AQ2635" s="5">
        <v>0</v>
      </c>
    </row>
    <row r="2636" spans="1:45" x14ac:dyDescent="0.2">
      <c r="A2636" t="s">
        <v>1501</v>
      </c>
      <c r="B2636" t="s">
        <v>1502</v>
      </c>
      <c r="C2636" s="1">
        <v>2015</v>
      </c>
      <c r="D2636" t="s">
        <v>811</v>
      </c>
      <c r="F2636" t="s">
        <v>1503</v>
      </c>
      <c r="G2636" t="s">
        <v>86</v>
      </c>
      <c r="H2636" t="s">
        <v>96</v>
      </c>
      <c r="I2636">
        <v>2009</v>
      </c>
      <c r="J2636">
        <v>0.17</v>
      </c>
      <c r="K2636" t="s">
        <v>109</v>
      </c>
      <c r="L2636">
        <v>0.35</v>
      </c>
      <c r="M2636">
        <v>3.4599999999999999E-2</v>
      </c>
      <c r="N2636" t="s">
        <v>121</v>
      </c>
      <c r="O2636" t="s">
        <v>121</v>
      </c>
      <c r="P2636" t="s">
        <v>1504</v>
      </c>
      <c r="Q2636" s="1" t="s">
        <v>2292</v>
      </c>
      <c r="R2636" s="1" t="s">
        <v>264</v>
      </c>
      <c r="S2636" s="1" t="s">
        <v>264</v>
      </c>
      <c r="T2636" t="s">
        <v>421</v>
      </c>
      <c r="U2636" t="s">
        <v>421</v>
      </c>
      <c r="X2636" t="s">
        <v>161</v>
      </c>
      <c r="Y2636" t="s">
        <v>2272</v>
      </c>
      <c r="Z2636" t="s">
        <v>2272</v>
      </c>
      <c r="AA2636" t="s">
        <v>2272</v>
      </c>
      <c r="AB2636" t="s">
        <v>2272</v>
      </c>
      <c r="AC2636" t="s">
        <v>162</v>
      </c>
      <c r="AD2636" t="s">
        <v>2272</v>
      </c>
      <c r="AF2636" t="s">
        <v>49</v>
      </c>
      <c r="AG2636" t="s">
        <v>49</v>
      </c>
      <c r="AI2636" t="s">
        <v>49</v>
      </c>
      <c r="AM2636" t="s">
        <v>202</v>
      </c>
      <c r="AN2636" t="s">
        <v>165</v>
      </c>
      <c r="AP2636" t="s">
        <v>49</v>
      </c>
    </row>
    <row r="2637" spans="1:45" x14ac:dyDescent="0.2">
      <c r="A2637" t="s">
        <v>1501</v>
      </c>
      <c r="B2637" t="s">
        <v>1502</v>
      </c>
      <c r="C2637" s="1">
        <v>2015</v>
      </c>
      <c r="D2637" t="s">
        <v>811</v>
      </c>
      <c r="F2637" t="s">
        <v>1503</v>
      </c>
      <c r="G2637" t="s">
        <v>86</v>
      </c>
      <c r="H2637" t="s">
        <v>96</v>
      </c>
      <c r="I2637">
        <v>2009</v>
      </c>
      <c r="J2637">
        <v>0.17</v>
      </c>
      <c r="K2637" t="s">
        <v>109</v>
      </c>
      <c r="L2637">
        <v>0.35</v>
      </c>
      <c r="M2637">
        <v>3.4599999999999999E-2</v>
      </c>
      <c r="N2637" t="s">
        <v>121</v>
      </c>
      <c r="O2637" t="s">
        <v>121</v>
      </c>
      <c r="P2637" t="s">
        <v>1504</v>
      </c>
      <c r="Q2637" s="1" t="s">
        <v>2292</v>
      </c>
      <c r="R2637" s="1" t="s">
        <v>264</v>
      </c>
      <c r="S2637" s="1" t="s">
        <v>264</v>
      </c>
      <c r="X2637" t="s">
        <v>1505</v>
      </c>
      <c r="Y2637" t="s">
        <v>2273</v>
      </c>
      <c r="Z2637" t="s">
        <v>249</v>
      </c>
      <c r="AA2637" t="s">
        <v>2359</v>
      </c>
      <c r="AB2637" t="s">
        <v>1979</v>
      </c>
      <c r="AC2637" t="s">
        <v>152</v>
      </c>
      <c r="AD2637" t="s">
        <v>2288</v>
      </c>
      <c r="AE2637" t="s">
        <v>1506</v>
      </c>
      <c r="AF2637" t="s">
        <v>49</v>
      </c>
      <c r="AG2637" t="s">
        <v>49</v>
      </c>
      <c r="AI2637" t="s">
        <v>49</v>
      </c>
      <c r="AM2637" t="s">
        <v>202</v>
      </c>
      <c r="AN2637" t="s">
        <v>165</v>
      </c>
      <c r="AP2637" t="s">
        <v>49</v>
      </c>
    </row>
    <row r="2638" spans="1:45" x14ac:dyDescent="0.2">
      <c r="A2638" t="s">
        <v>1507</v>
      </c>
      <c r="B2638" t="s">
        <v>1508</v>
      </c>
      <c r="C2638" s="1">
        <v>2015</v>
      </c>
      <c r="D2638" t="s">
        <v>44</v>
      </c>
      <c r="F2638" t="s">
        <v>80</v>
      </c>
      <c r="G2638" t="s">
        <v>86</v>
      </c>
      <c r="H2638" t="s">
        <v>96</v>
      </c>
      <c r="I2638" t="s">
        <v>1308</v>
      </c>
      <c r="J2638">
        <v>0.83</v>
      </c>
      <c r="K2638" t="s">
        <v>109</v>
      </c>
      <c r="L2638">
        <v>100</v>
      </c>
      <c r="M2638">
        <f>0.5*0.5</f>
        <v>0.25</v>
      </c>
      <c r="N2638" t="s">
        <v>132</v>
      </c>
      <c r="O2638" t="s">
        <v>120</v>
      </c>
      <c r="P2638" t="s">
        <v>1509</v>
      </c>
      <c r="Q2638" s="1" t="s">
        <v>2276</v>
      </c>
      <c r="R2638" s="1" t="s">
        <v>669</v>
      </c>
      <c r="S2638" s="1" t="s">
        <v>168</v>
      </c>
      <c r="X2638" t="s">
        <v>211</v>
      </c>
      <c r="Y2638" t="s">
        <v>2279</v>
      </c>
      <c r="Z2638" t="s">
        <v>2280</v>
      </c>
      <c r="AA2638" t="s">
        <v>2358</v>
      </c>
      <c r="AB2638" t="s">
        <v>2290</v>
      </c>
      <c r="AC2638" t="s">
        <v>152</v>
      </c>
      <c r="AD2638" t="s">
        <v>2278</v>
      </c>
      <c r="AR2638" t="s">
        <v>144</v>
      </c>
    </row>
    <row r="2639" spans="1:45" x14ac:dyDescent="0.2">
      <c r="A2639" t="s">
        <v>1507</v>
      </c>
      <c r="B2639" t="s">
        <v>1508</v>
      </c>
      <c r="C2639" s="1">
        <v>2015</v>
      </c>
      <c r="D2639" t="s">
        <v>44</v>
      </c>
      <c r="F2639" t="s">
        <v>80</v>
      </c>
      <c r="G2639" t="s">
        <v>86</v>
      </c>
      <c r="H2639" t="s">
        <v>96</v>
      </c>
      <c r="I2639" t="s">
        <v>1308</v>
      </c>
      <c r="J2639">
        <v>0.83</v>
      </c>
      <c r="K2639" t="s">
        <v>109</v>
      </c>
      <c r="L2639">
        <v>100</v>
      </c>
      <c r="M2639">
        <f>0.3*0.3</f>
        <v>0.09</v>
      </c>
      <c r="Q2639" s="1" t="s">
        <v>2351</v>
      </c>
      <c r="R2639" s="1" t="s">
        <v>2351</v>
      </c>
      <c r="S2639" s="1" t="s">
        <v>2351</v>
      </c>
      <c r="Y2639" t="s">
        <v>2272</v>
      </c>
      <c r="Z2639" t="s">
        <v>2272</v>
      </c>
      <c r="AA2639" t="s">
        <v>2272</v>
      </c>
      <c r="AB2639" t="s">
        <v>2272</v>
      </c>
      <c r="AD2639" t="s">
        <v>2272</v>
      </c>
      <c r="AR2639" t="s">
        <v>144</v>
      </c>
    </row>
    <row r="2640" spans="1:45" x14ac:dyDescent="0.2">
      <c r="A2640" t="s">
        <v>1510</v>
      </c>
      <c r="B2640" t="s">
        <v>1511</v>
      </c>
      <c r="C2640" s="1">
        <v>2015</v>
      </c>
      <c r="Q2640" s="1" t="s">
        <v>2272</v>
      </c>
      <c r="R2640" s="1" t="s">
        <v>2272</v>
      </c>
      <c r="S2640" s="1" t="s">
        <v>2272</v>
      </c>
      <c r="Y2640" t="s">
        <v>2272</v>
      </c>
      <c r="Z2640" t="s">
        <v>2272</v>
      </c>
      <c r="AA2640" t="s">
        <v>2272</v>
      </c>
      <c r="AB2640" t="s">
        <v>2272</v>
      </c>
      <c r="AD2640" t="s">
        <v>2272</v>
      </c>
      <c r="AR2640" t="s">
        <v>144</v>
      </c>
      <c r="AS2640" t="s">
        <v>2583</v>
      </c>
    </row>
    <row r="2641" spans="1:43" x14ac:dyDescent="0.2">
      <c r="A2641" t="s">
        <v>1512</v>
      </c>
      <c r="B2641" t="s">
        <v>1513</v>
      </c>
      <c r="C2641">
        <v>2015</v>
      </c>
      <c r="D2641" t="s">
        <v>44</v>
      </c>
      <c r="F2641" t="s">
        <v>82</v>
      </c>
      <c r="G2641" s="1" t="s">
        <v>86</v>
      </c>
      <c r="H2641" t="s">
        <v>96</v>
      </c>
      <c r="I2641">
        <v>2012</v>
      </c>
      <c r="J2641">
        <v>0.7</v>
      </c>
      <c r="K2641" t="s">
        <v>109</v>
      </c>
      <c r="L2641">
        <v>320</v>
      </c>
      <c r="M2641">
        <v>0.25</v>
      </c>
      <c r="N2641" t="s">
        <v>466</v>
      </c>
      <c r="O2641" t="s">
        <v>466</v>
      </c>
      <c r="P2641" t="s">
        <v>1514</v>
      </c>
      <c r="Q2641" s="1" t="s">
        <v>2281</v>
      </c>
      <c r="R2641" s="1" t="s">
        <v>2301</v>
      </c>
      <c r="S2641" s="1" t="s">
        <v>2303</v>
      </c>
      <c r="X2641" t="s">
        <v>189</v>
      </c>
      <c r="Y2641" t="s">
        <v>2279</v>
      </c>
      <c r="Z2641" t="s">
        <v>2280</v>
      </c>
      <c r="AA2641" t="s">
        <v>2358</v>
      </c>
      <c r="AB2641" t="s">
        <v>189</v>
      </c>
      <c r="AC2641" t="s">
        <v>152</v>
      </c>
      <c r="AD2641" t="s">
        <v>2278</v>
      </c>
      <c r="AG2641" t="s">
        <v>49</v>
      </c>
      <c r="AI2641" t="s">
        <v>49</v>
      </c>
    </row>
    <row r="2642" spans="1:43" x14ac:dyDescent="0.2">
      <c r="A2642" t="s">
        <v>1512</v>
      </c>
      <c r="B2642" t="s">
        <v>1513</v>
      </c>
      <c r="C2642">
        <v>2015</v>
      </c>
      <c r="D2642" t="s">
        <v>44</v>
      </c>
      <c r="F2642" t="s">
        <v>82</v>
      </c>
      <c r="G2642" s="1" t="s">
        <v>86</v>
      </c>
      <c r="H2642" t="s">
        <v>96</v>
      </c>
      <c r="I2642">
        <v>2012</v>
      </c>
      <c r="J2642">
        <v>0.7</v>
      </c>
      <c r="K2642" t="s">
        <v>109</v>
      </c>
      <c r="L2642">
        <v>320</v>
      </c>
      <c r="M2642">
        <v>4.1000000000000003E-3</v>
      </c>
      <c r="N2642" t="s">
        <v>466</v>
      </c>
      <c r="O2642" t="s">
        <v>466</v>
      </c>
      <c r="P2642" t="s">
        <v>1514</v>
      </c>
      <c r="Q2642" s="1" t="s">
        <v>2281</v>
      </c>
      <c r="R2642" s="1" t="s">
        <v>2301</v>
      </c>
      <c r="S2642" s="1" t="s">
        <v>2303</v>
      </c>
      <c r="T2642" t="s">
        <v>421</v>
      </c>
      <c r="U2642" t="s">
        <v>421</v>
      </c>
      <c r="X2642" t="s">
        <v>161</v>
      </c>
      <c r="Y2642" t="s">
        <v>2272</v>
      </c>
      <c r="Z2642" t="s">
        <v>2272</v>
      </c>
      <c r="AA2642" t="s">
        <v>2272</v>
      </c>
      <c r="AB2642" t="s">
        <v>2272</v>
      </c>
      <c r="AC2642" t="s">
        <v>162</v>
      </c>
      <c r="AD2642" t="s">
        <v>2272</v>
      </c>
      <c r="AG2642" t="s">
        <v>49</v>
      </c>
      <c r="AI2642" t="s">
        <v>49</v>
      </c>
      <c r="AM2642" t="s">
        <v>1038</v>
      </c>
      <c r="AN2642" t="s">
        <v>166</v>
      </c>
      <c r="AQ2642" s="5">
        <v>1</v>
      </c>
    </row>
    <row r="2643" spans="1:43" x14ac:dyDescent="0.2">
      <c r="A2643" t="s">
        <v>1512</v>
      </c>
      <c r="B2643" t="s">
        <v>1513</v>
      </c>
      <c r="C2643">
        <v>2015</v>
      </c>
      <c r="D2643" t="s">
        <v>44</v>
      </c>
      <c r="F2643" t="s">
        <v>82</v>
      </c>
      <c r="G2643" s="1" t="s">
        <v>86</v>
      </c>
      <c r="H2643" t="s">
        <v>96</v>
      </c>
      <c r="I2643">
        <v>2012</v>
      </c>
      <c r="J2643">
        <v>0.7</v>
      </c>
      <c r="K2643" t="s">
        <v>109</v>
      </c>
      <c r="L2643">
        <v>320</v>
      </c>
      <c r="M2643">
        <v>4.1000000000000003E-3</v>
      </c>
      <c r="N2643" t="s">
        <v>466</v>
      </c>
      <c r="O2643" t="s">
        <v>466</v>
      </c>
      <c r="P2643" t="s">
        <v>1514</v>
      </c>
      <c r="Q2643" s="1" t="s">
        <v>2281</v>
      </c>
      <c r="R2643" s="1" t="s">
        <v>2301</v>
      </c>
      <c r="S2643" s="1" t="s">
        <v>2303</v>
      </c>
      <c r="T2643" t="s">
        <v>421</v>
      </c>
      <c r="U2643" t="s">
        <v>421</v>
      </c>
      <c r="X2643" t="s">
        <v>161</v>
      </c>
      <c r="Y2643" t="s">
        <v>2272</v>
      </c>
      <c r="Z2643" t="s">
        <v>2272</v>
      </c>
      <c r="AA2643" t="s">
        <v>2272</v>
      </c>
      <c r="AB2643" t="s">
        <v>2272</v>
      </c>
      <c r="AC2643" t="s">
        <v>162</v>
      </c>
      <c r="AD2643" t="s">
        <v>2272</v>
      </c>
      <c r="AG2643" t="s">
        <v>49</v>
      </c>
      <c r="AI2643" t="s">
        <v>49</v>
      </c>
      <c r="AM2643" t="s">
        <v>1038</v>
      </c>
      <c r="AN2643" t="s">
        <v>154</v>
      </c>
      <c r="AQ2643" s="5">
        <v>1</v>
      </c>
    </row>
    <row r="2644" spans="1:43" x14ac:dyDescent="0.2">
      <c r="A2644" t="s">
        <v>1512</v>
      </c>
      <c r="B2644" t="s">
        <v>1513</v>
      </c>
      <c r="C2644">
        <v>2015</v>
      </c>
      <c r="D2644" t="s">
        <v>44</v>
      </c>
      <c r="F2644" t="s">
        <v>82</v>
      </c>
      <c r="G2644" s="1" t="s">
        <v>86</v>
      </c>
      <c r="H2644" t="s">
        <v>96</v>
      </c>
      <c r="I2644">
        <v>2012</v>
      </c>
      <c r="J2644">
        <v>0.7</v>
      </c>
      <c r="K2644" t="s">
        <v>109</v>
      </c>
      <c r="L2644">
        <v>320</v>
      </c>
      <c r="M2644">
        <v>4.1000000000000003E-3</v>
      </c>
      <c r="N2644" t="s">
        <v>466</v>
      </c>
      <c r="O2644" t="s">
        <v>466</v>
      </c>
      <c r="P2644" t="s">
        <v>1514</v>
      </c>
      <c r="Q2644" s="1" t="s">
        <v>2281</v>
      </c>
      <c r="R2644" s="1" t="s">
        <v>2301</v>
      </c>
      <c r="S2644" s="1" t="s">
        <v>2303</v>
      </c>
      <c r="T2644" t="s">
        <v>421</v>
      </c>
      <c r="U2644" t="s">
        <v>421</v>
      </c>
      <c r="X2644" t="s">
        <v>161</v>
      </c>
      <c r="Y2644" t="s">
        <v>2272</v>
      </c>
      <c r="Z2644" t="s">
        <v>2272</v>
      </c>
      <c r="AA2644" t="s">
        <v>2272</v>
      </c>
      <c r="AB2644" t="s">
        <v>2272</v>
      </c>
      <c r="AC2644" t="s">
        <v>162</v>
      </c>
      <c r="AD2644" t="s">
        <v>2272</v>
      </c>
      <c r="AG2644" t="s">
        <v>49</v>
      </c>
      <c r="AI2644" t="s">
        <v>49</v>
      </c>
      <c r="AM2644" t="s">
        <v>1038</v>
      </c>
      <c r="AN2644" t="s">
        <v>165</v>
      </c>
      <c r="AP2644" t="s">
        <v>49</v>
      </c>
    </row>
    <row r="2645" spans="1:43" x14ac:dyDescent="0.2">
      <c r="A2645" t="s">
        <v>1512</v>
      </c>
      <c r="B2645" t="s">
        <v>1513</v>
      </c>
      <c r="C2645">
        <v>2015</v>
      </c>
      <c r="D2645" t="s">
        <v>44</v>
      </c>
      <c r="F2645" t="s">
        <v>82</v>
      </c>
      <c r="G2645" s="1" t="s">
        <v>86</v>
      </c>
      <c r="H2645" t="s">
        <v>96</v>
      </c>
      <c r="I2645">
        <v>2012</v>
      </c>
      <c r="J2645">
        <v>0.7</v>
      </c>
      <c r="K2645" t="s">
        <v>109</v>
      </c>
      <c r="L2645">
        <v>320</v>
      </c>
      <c r="M2645">
        <v>4.1000000000000003E-3</v>
      </c>
      <c r="N2645" t="s">
        <v>466</v>
      </c>
      <c r="O2645" t="s">
        <v>466</v>
      </c>
      <c r="P2645" t="s">
        <v>1514</v>
      </c>
      <c r="Q2645" s="1" t="s">
        <v>2281</v>
      </c>
      <c r="R2645" s="1" t="s">
        <v>2301</v>
      </c>
      <c r="S2645" s="1" t="s">
        <v>2303</v>
      </c>
      <c r="T2645" t="s">
        <v>421</v>
      </c>
      <c r="U2645" t="s">
        <v>421</v>
      </c>
      <c r="X2645" t="s">
        <v>161</v>
      </c>
      <c r="Y2645" t="s">
        <v>2272</v>
      </c>
      <c r="Z2645" t="s">
        <v>2272</v>
      </c>
      <c r="AA2645" t="s">
        <v>2272</v>
      </c>
      <c r="AB2645" t="s">
        <v>2272</v>
      </c>
      <c r="AC2645" t="s">
        <v>162</v>
      </c>
      <c r="AD2645" t="s">
        <v>2272</v>
      </c>
      <c r="AF2645" t="s">
        <v>49</v>
      </c>
      <c r="AH2645" s="4" t="s">
        <v>49</v>
      </c>
      <c r="AJ2645" t="s">
        <v>49</v>
      </c>
      <c r="AM2645" t="s">
        <v>885</v>
      </c>
      <c r="AN2645" t="s">
        <v>166</v>
      </c>
      <c r="AQ2645" s="5">
        <v>1</v>
      </c>
    </row>
    <row r="2646" spans="1:43" x14ac:dyDescent="0.2">
      <c r="A2646" t="s">
        <v>1512</v>
      </c>
      <c r="B2646" t="s">
        <v>1513</v>
      </c>
      <c r="C2646">
        <v>2015</v>
      </c>
      <c r="D2646" t="s">
        <v>44</v>
      </c>
      <c r="F2646" t="s">
        <v>82</v>
      </c>
      <c r="G2646" s="1" t="s">
        <v>86</v>
      </c>
      <c r="H2646" t="s">
        <v>96</v>
      </c>
      <c r="I2646">
        <v>2012</v>
      </c>
      <c r="J2646">
        <v>0.7</v>
      </c>
      <c r="K2646" t="s">
        <v>109</v>
      </c>
      <c r="L2646">
        <v>320</v>
      </c>
      <c r="M2646">
        <v>4.1000000000000003E-3</v>
      </c>
      <c r="N2646" t="s">
        <v>466</v>
      </c>
      <c r="O2646" t="s">
        <v>466</v>
      </c>
      <c r="P2646" t="s">
        <v>1514</v>
      </c>
      <c r="Q2646" s="1" t="s">
        <v>2281</v>
      </c>
      <c r="R2646" s="1" t="s">
        <v>2301</v>
      </c>
      <c r="S2646" s="1" t="s">
        <v>2303</v>
      </c>
      <c r="T2646" t="s">
        <v>421</v>
      </c>
      <c r="U2646" t="s">
        <v>421</v>
      </c>
      <c r="X2646" t="s">
        <v>161</v>
      </c>
      <c r="Y2646" t="s">
        <v>2272</v>
      </c>
      <c r="Z2646" t="s">
        <v>2272</v>
      </c>
      <c r="AA2646" t="s">
        <v>2272</v>
      </c>
      <c r="AB2646" t="s">
        <v>2272</v>
      </c>
      <c r="AC2646" t="s">
        <v>162</v>
      </c>
      <c r="AD2646" t="s">
        <v>2272</v>
      </c>
      <c r="AF2646" t="s">
        <v>49</v>
      </c>
      <c r="AH2646" s="4" t="s">
        <v>49</v>
      </c>
      <c r="AJ2646" t="s">
        <v>49</v>
      </c>
      <c r="AM2646" t="s">
        <v>885</v>
      </c>
      <c r="AN2646" t="s">
        <v>154</v>
      </c>
      <c r="AQ2646" s="5">
        <v>1</v>
      </c>
    </row>
    <row r="2647" spans="1:43" x14ac:dyDescent="0.2">
      <c r="A2647" t="s">
        <v>1512</v>
      </c>
      <c r="B2647" t="s">
        <v>1513</v>
      </c>
      <c r="C2647">
        <v>2015</v>
      </c>
      <c r="D2647" t="s">
        <v>44</v>
      </c>
      <c r="F2647" t="s">
        <v>82</v>
      </c>
      <c r="G2647" s="1" t="s">
        <v>86</v>
      </c>
      <c r="H2647" t="s">
        <v>96</v>
      </c>
      <c r="I2647">
        <v>2012</v>
      </c>
      <c r="J2647">
        <v>0.7</v>
      </c>
      <c r="K2647" t="s">
        <v>109</v>
      </c>
      <c r="L2647">
        <v>320</v>
      </c>
      <c r="M2647">
        <v>4.1000000000000003E-3</v>
      </c>
      <c r="N2647" t="s">
        <v>466</v>
      </c>
      <c r="O2647" t="s">
        <v>466</v>
      </c>
      <c r="P2647" t="s">
        <v>1514</v>
      </c>
      <c r="Q2647" s="1" t="s">
        <v>2281</v>
      </c>
      <c r="R2647" s="1" t="s">
        <v>2301</v>
      </c>
      <c r="S2647" s="1" t="s">
        <v>2303</v>
      </c>
      <c r="T2647" t="s">
        <v>421</v>
      </c>
      <c r="U2647" t="s">
        <v>421</v>
      </c>
      <c r="X2647" t="s">
        <v>161</v>
      </c>
      <c r="Y2647" t="s">
        <v>2272</v>
      </c>
      <c r="Z2647" t="s">
        <v>2272</v>
      </c>
      <c r="AA2647" t="s">
        <v>2272</v>
      </c>
      <c r="AB2647" t="s">
        <v>2272</v>
      </c>
      <c r="AC2647" t="s">
        <v>162</v>
      </c>
      <c r="AD2647" t="s">
        <v>2272</v>
      </c>
      <c r="AF2647" t="s">
        <v>49</v>
      </c>
      <c r="AH2647" s="4" t="s">
        <v>49</v>
      </c>
      <c r="AJ2647" t="s">
        <v>49</v>
      </c>
      <c r="AM2647" t="s">
        <v>885</v>
      </c>
      <c r="AN2647" t="s">
        <v>165</v>
      </c>
      <c r="AP2647" t="s">
        <v>49</v>
      </c>
    </row>
    <row r="2648" spans="1:43" x14ac:dyDescent="0.2">
      <c r="A2648" t="s">
        <v>1512</v>
      </c>
      <c r="B2648" t="s">
        <v>1513</v>
      </c>
      <c r="C2648">
        <v>2015</v>
      </c>
      <c r="D2648" t="s">
        <v>44</v>
      </c>
      <c r="F2648" t="s">
        <v>82</v>
      </c>
      <c r="G2648" s="1" t="s">
        <v>86</v>
      </c>
      <c r="H2648" t="s">
        <v>96</v>
      </c>
      <c r="I2648">
        <v>2012</v>
      </c>
      <c r="J2648">
        <v>0.7</v>
      </c>
      <c r="K2648" t="s">
        <v>109</v>
      </c>
      <c r="L2648">
        <v>320</v>
      </c>
      <c r="M2648">
        <v>4.1000000000000003E-3</v>
      </c>
      <c r="N2648" t="s">
        <v>466</v>
      </c>
      <c r="O2648" t="s">
        <v>466</v>
      </c>
      <c r="P2648" t="s">
        <v>1514</v>
      </c>
      <c r="Q2648" s="1" t="s">
        <v>2281</v>
      </c>
      <c r="R2648" s="1" t="s">
        <v>2301</v>
      </c>
      <c r="S2648" s="1" t="s">
        <v>2303</v>
      </c>
      <c r="T2648" t="s">
        <v>421</v>
      </c>
      <c r="U2648" t="s">
        <v>421</v>
      </c>
      <c r="X2648" t="s">
        <v>161</v>
      </c>
      <c r="Y2648" t="s">
        <v>2272</v>
      </c>
      <c r="Z2648" t="s">
        <v>2272</v>
      </c>
      <c r="AA2648" t="s">
        <v>2272</v>
      </c>
      <c r="AB2648" t="s">
        <v>2272</v>
      </c>
      <c r="AC2648" t="s">
        <v>162</v>
      </c>
      <c r="AD2648" t="s">
        <v>2272</v>
      </c>
      <c r="AF2648" t="s">
        <v>49</v>
      </c>
      <c r="AJ2648" t="s">
        <v>49</v>
      </c>
      <c r="AM2648" t="s">
        <v>1515</v>
      </c>
      <c r="AN2648" t="s">
        <v>166</v>
      </c>
      <c r="AQ2648" s="5">
        <v>1</v>
      </c>
    </row>
    <row r="2649" spans="1:43" x14ac:dyDescent="0.2">
      <c r="A2649" t="s">
        <v>1512</v>
      </c>
      <c r="B2649" t="s">
        <v>1513</v>
      </c>
      <c r="C2649">
        <v>2015</v>
      </c>
      <c r="D2649" t="s">
        <v>44</v>
      </c>
      <c r="F2649" t="s">
        <v>82</v>
      </c>
      <c r="G2649" s="1" t="s">
        <v>86</v>
      </c>
      <c r="H2649" t="s">
        <v>96</v>
      </c>
      <c r="I2649">
        <v>2012</v>
      </c>
      <c r="J2649">
        <v>0.7</v>
      </c>
      <c r="K2649" t="s">
        <v>109</v>
      </c>
      <c r="L2649">
        <v>320</v>
      </c>
      <c r="M2649">
        <v>4.1000000000000003E-3</v>
      </c>
      <c r="N2649" t="s">
        <v>466</v>
      </c>
      <c r="O2649" t="s">
        <v>466</v>
      </c>
      <c r="P2649" t="s">
        <v>1514</v>
      </c>
      <c r="Q2649" s="1" t="s">
        <v>2281</v>
      </c>
      <c r="R2649" s="1" t="s">
        <v>2301</v>
      </c>
      <c r="S2649" s="1" t="s">
        <v>2303</v>
      </c>
      <c r="T2649" t="s">
        <v>421</v>
      </c>
      <c r="U2649" t="s">
        <v>421</v>
      </c>
      <c r="X2649" t="s">
        <v>161</v>
      </c>
      <c r="Y2649" t="s">
        <v>2272</v>
      </c>
      <c r="Z2649" t="s">
        <v>2272</v>
      </c>
      <c r="AA2649" t="s">
        <v>2272</v>
      </c>
      <c r="AB2649" t="s">
        <v>2272</v>
      </c>
      <c r="AC2649" t="s">
        <v>162</v>
      </c>
      <c r="AD2649" t="s">
        <v>2272</v>
      </c>
      <c r="AF2649" t="s">
        <v>49</v>
      </c>
      <c r="AJ2649" t="s">
        <v>49</v>
      </c>
      <c r="AM2649" t="s">
        <v>1515</v>
      </c>
      <c r="AN2649" t="s">
        <v>154</v>
      </c>
      <c r="AQ2649" s="5">
        <v>0</v>
      </c>
    </row>
    <row r="2650" spans="1:43" x14ac:dyDescent="0.2">
      <c r="A2650" t="s">
        <v>1512</v>
      </c>
      <c r="B2650" t="s">
        <v>1513</v>
      </c>
      <c r="C2650">
        <v>2015</v>
      </c>
      <c r="D2650" t="s">
        <v>44</v>
      </c>
      <c r="F2650" t="s">
        <v>82</v>
      </c>
      <c r="G2650" s="1" t="s">
        <v>86</v>
      </c>
      <c r="H2650" t="s">
        <v>96</v>
      </c>
      <c r="I2650">
        <v>2012</v>
      </c>
      <c r="J2650">
        <v>0.7</v>
      </c>
      <c r="K2650" t="s">
        <v>109</v>
      </c>
      <c r="L2650">
        <v>320</v>
      </c>
      <c r="M2650">
        <v>4.1000000000000003E-3</v>
      </c>
      <c r="N2650" t="s">
        <v>466</v>
      </c>
      <c r="O2650" t="s">
        <v>466</v>
      </c>
      <c r="P2650" t="s">
        <v>1514</v>
      </c>
      <c r="Q2650" s="1" t="s">
        <v>2281</v>
      </c>
      <c r="R2650" s="1" t="s">
        <v>2301</v>
      </c>
      <c r="S2650" s="1" t="s">
        <v>2303</v>
      </c>
      <c r="T2650" t="s">
        <v>421</v>
      </c>
      <c r="U2650" t="s">
        <v>421</v>
      </c>
      <c r="X2650" t="s">
        <v>161</v>
      </c>
      <c r="Y2650" t="s">
        <v>2272</v>
      </c>
      <c r="Z2650" t="s">
        <v>2272</v>
      </c>
      <c r="AA2650" t="s">
        <v>2272</v>
      </c>
      <c r="AB2650" t="s">
        <v>2272</v>
      </c>
      <c r="AC2650" t="s">
        <v>162</v>
      </c>
      <c r="AD2650" t="s">
        <v>2272</v>
      </c>
      <c r="AF2650" t="s">
        <v>49</v>
      </c>
      <c r="AJ2650" t="s">
        <v>49</v>
      </c>
      <c r="AM2650" t="s">
        <v>1515</v>
      </c>
      <c r="AN2650" t="s">
        <v>165</v>
      </c>
      <c r="AP2650" t="s">
        <v>49</v>
      </c>
    </row>
    <row r="2651" spans="1:43" x14ac:dyDescent="0.2">
      <c r="A2651" t="s">
        <v>1516</v>
      </c>
      <c r="B2651" t="s">
        <v>1517</v>
      </c>
      <c r="C2651">
        <v>2015</v>
      </c>
      <c r="D2651" t="s">
        <v>44</v>
      </c>
      <c r="F2651" t="s">
        <v>1243</v>
      </c>
      <c r="G2651" s="1" t="s">
        <v>86</v>
      </c>
      <c r="H2651" t="s">
        <v>350</v>
      </c>
      <c r="I2651">
        <v>2013</v>
      </c>
      <c r="J2651">
        <v>1.4E-2</v>
      </c>
      <c r="K2651" t="s">
        <v>101</v>
      </c>
      <c r="L2651">
        <v>40</v>
      </c>
      <c r="M2651">
        <v>0.25</v>
      </c>
      <c r="N2651" t="s">
        <v>466</v>
      </c>
      <c r="O2651" t="s">
        <v>466</v>
      </c>
      <c r="P2651" t="s">
        <v>1514</v>
      </c>
      <c r="Q2651" s="1" t="s">
        <v>2281</v>
      </c>
      <c r="R2651" s="1" t="s">
        <v>2301</v>
      </c>
      <c r="S2651" s="1" t="s">
        <v>2303</v>
      </c>
      <c r="X2651" t="s">
        <v>189</v>
      </c>
      <c r="Y2651" t="s">
        <v>2279</v>
      </c>
      <c r="Z2651" t="s">
        <v>2280</v>
      </c>
      <c r="AA2651" t="s">
        <v>2358</v>
      </c>
      <c r="AB2651" t="s">
        <v>189</v>
      </c>
      <c r="AC2651" t="s">
        <v>152</v>
      </c>
      <c r="AD2651" t="s">
        <v>2278</v>
      </c>
    </row>
    <row r="2652" spans="1:43" x14ac:dyDescent="0.2">
      <c r="A2652" t="s">
        <v>1516</v>
      </c>
      <c r="B2652" t="s">
        <v>1517</v>
      </c>
      <c r="C2652">
        <v>2015</v>
      </c>
      <c r="D2652" t="s">
        <v>44</v>
      </c>
      <c r="F2652" t="s">
        <v>1243</v>
      </c>
      <c r="G2652" s="1" t="s">
        <v>86</v>
      </c>
      <c r="H2652" t="s">
        <v>350</v>
      </c>
      <c r="I2652">
        <v>2013</v>
      </c>
      <c r="J2652">
        <v>1.4E-2</v>
      </c>
      <c r="K2652" t="s">
        <v>101</v>
      </c>
      <c r="L2652">
        <v>40</v>
      </c>
      <c r="M2652">
        <v>0.05</v>
      </c>
      <c r="N2652" t="s">
        <v>466</v>
      </c>
      <c r="O2652" t="s">
        <v>466</v>
      </c>
      <c r="P2652" t="s">
        <v>1514</v>
      </c>
      <c r="Q2652" s="1" t="s">
        <v>2281</v>
      </c>
      <c r="R2652" s="1" t="s">
        <v>2301</v>
      </c>
      <c r="S2652" s="1" t="s">
        <v>2303</v>
      </c>
      <c r="T2652" t="s">
        <v>421</v>
      </c>
      <c r="U2652" t="s">
        <v>421</v>
      </c>
      <c r="X2652" t="s">
        <v>161</v>
      </c>
      <c r="Y2652" t="s">
        <v>2272</v>
      </c>
      <c r="Z2652" t="s">
        <v>2272</v>
      </c>
      <c r="AA2652" t="s">
        <v>2272</v>
      </c>
      <c r="AB2652" t="s">
        <v>2272</v>
      </c>
      <c r="AC2652" t="s">
        <v>162</v>
      </c>
      <c r="AD2652" t="s">
        <v>2272</v>
      </c>
      <c r="AF2652" t="s">
        <v>49</v>
      </c>
      <c r="AH2652" s="4" t="s">
        <v>49</v>
      </c>
      <c r="AI2652" t="s">
        <v>49</v>
      </c>
      <c r="AM2652" t="s">
        <v>202</v>
      </c>
      <c r="AN2652" t="s">
        <v>154</v>
      </c>
      <c r="AP2652" t="s">
        <v>157</v>
      </c>
      <c r="AQ2652" s="5">
        <v>1</v>
      </c>
    </row>
    <row r="2653" spans="1:43" x14ac:dyDescent="0.2">
      <c r="A2653" t="s">
        <v>1516</v>
      </c>
      <c r="B2653" t="s">
        <v>1517</v>
      </c>
      <c r="C2653">
        <v>2015</v>
      </c>
      <c r="D2653" t="s">
        <v>44</v>
      </c>
      <c r="F2653" t="s">
        <v>1243</v>
      </c>
      <c r="G2653" s="1" t="s">
        <v>86</v>
      </c>
      <c r="H2653" t="s">
        <v>350</v>
      </c>
      <c r="I2653">
        <v>2013</v>
      </c>
      <c r="J2653">
        <v>1.4E-2</v>
      </c>
      <c r="K2653" t="s">
        <v>101</v>
      </c>
      <c r="L2653">
        <v>40</v>
      </c>
      <c r="M2653">
        <v>0.05</v>
      </c>
      <c r="N2653" t="s">
        <v>466</v>
      </c>
      <c r="O2653" t="s">
        <v>466</v>
      </c>
      <c r="P2653" t="s">
        <v>1514</v>
      </c>
      <c r="Q2653" s="1" t="s">
        <v>2281</v>
      </c>
      <c r="R2653" s="1" t="s">
        <v>2301</v>
      </c>
      <c r="S2653" s="1" t="s">
        <v>2303</v>
      </c>
      <c r="T2653" t="s">
        <v>421</v>
      </c>
      <c r="U2653" t="s">
        <v>421</v>
      </c>
      <c r="X2653" t="s">
        <v>161</v>
      </c>
      <c r="Y2653" t="s">
        <v>2272</v>
      </c>
      <c r="Z2653" t="s">
        <v>2272</v>
      </c>
      <c r="AA2653" t="s">
        <v>2272</v>
      </c>
      <c r="AB2653" t="s">
        <v>2272</v>
      </c>
      <c r="AC2653" t="s">
        <v>162</v>
      </c>
      <c r="AD2653" t="s">
        <v>2272</v>
      </c>
      <c r="AF2653" t="s">
        <v>49</v>
      </c>
      <c r="AH2653" s="4" t="s">
        <v>49</v>
      </c>
      <c r="AI2653" t="s">
        <v>49</v>
      </c>
      <c r="AM2653" t="s">
        <v>202</v>
      </c>
      <c r="AN2653" t="s">
        <v>165</v>
      </c>
      <c r="AP2653" t="s">
        <v>49</v>
      </c>
    </row>
    <row r="2654" spans="1:43" x14ac:dyDescent="0.2">
      <c r="A2654" t="s">
        <v>1518</v>
      </c>
      <c r="B2654" t="s">
        <v>1519</v>
      </c>
      <c r="C2654">
        <v>2015</v>
      </c>
      <c r="D2654" t="s">
        <v>44</v>
      </c>
      <c r="F2654" t="s">
        <v>1520</v>
      </c>
      <c r="G2654" s="1" t="s">
        <v>88</v>
      </c>
      <c r="H2654" t="s">
        <v>350</v>
      </c>
      <c r="I2654">
        <v>2012</v>
      </c>
      <c r="J2654">
        <v>0.17</v>
      </c>
      <c r="K2654" t="s">
        <v>101</v>
      </c>
      <c r="L2654">
        <v>75</v>
      </c>
      <c r="M2654">
        <f>0.15*0.15</f>
        <v>2.2499999999999999E-2</v>
      </c>
      <c r="N2654" t="s">
        <v>121</v>
      </c>
      <c r="O2654" t="s">
        <v>121</v>
      </c>
      <c r="P2654" t="s">
        <v>1521</v>
      </c>
      <c r="Q2654" s="1" t="s">
        <v>2292</v>
      </c>
      <c r="R2654" s="1" t="s">
        <v>264</v>
      </c>
      <c r="S2654" s="1" t="s">
        <v>264</v>
      </c>
      <c r="X2654" t="s">
        <v>189</v>
      </c>
      <c r="Y2654" t="s">
        <v>2279</v>
      </c>
      <c r="Z2654" t="s">
        <v>2280</v>
      </c>
      <c r="AA2654" t="s">
        <v>2358</v>
      </c>
      <c r="AB2654" t="s">
        <v>189</v>
      </c>
      <c r="AC2654" t="s">
        <v>152</v>
      </c>
      <c r="AD2654" t="s">
        <v>2278</v>
      </c>
      <c r="AF2654" t="s">
        <v>49</v>
      </c>
      <c r="AL2654" t="s">
        <v>49</v>
      </c>
      <c r="AM2654" t="s">
        <v>1529</v>
      </c>
      <c r="AN2654" t="s">
        <v>166</v>
      </c>
      <c r="AP2654" t="s">
        <v>49</v>
      </c>
    </row>
    <row r="2655" spans="1:43" x14ac:dyDescent="0.2">
      <c r="A2655" t="s">
        <v>1518</v>
      </c>
      <c r="B2655" t="s">
        <v>1519</v>
      </c>
      <c r="C2655">
        <v>2015</v>
      </c>
      <c r="D2655" t="s">
        <v>44</v>
      </c>
      <c r="F2655" t="s">
        <v>1520</v>
      </c>
      <c r="G2655" s="1" t="s">
        <v>88</v>
      </c>
      <c r="H2655" t="s">
        <v>350</v>
      </c>
      <c r="I2655">
        <v>2012</v>
      </c>
      <c r="J2655">
        <v>0.17</v>
      </c>
      <c r="K2655" t="s">
        <v>101</v>
      </c>
      <c r="L2655">
        <v>75</v>
      </c>
      <c r="M2655">
        <v>1</v>
      </c>
      <c r="N2655" t="s">
        <v>121</v>
      </c>
      <c r="O2655" t="s">
        <v>121</v>
      </c>
      <c r="P2655" t="s">
        <v>1521</v>
      </c>
      <c r="Q2655" s="1" t="s">
        <v>2292</v>
      </c>
      <c r="R2655" s="1" t="s">
        <v>264</v>
      </c>
      <c r="S2655" s="1" t="s">
        <v>264</v>
      </c>
      <c r="X2655" t="s">
        <v>211</v>
      </c>
      <c r="Y2655" t="s">
        <v>2279</v>
      </c>
      <c r="Z2655" t="s">
        <v>2280</v>
      </c>
      <c r="AA2655" t="s">
        <v>2358</v>
      </c>
      <c r="AB2655" t="s">
        <v>2290</v>
      </c>
      <c r="AC2655" t="s">
        <v>152</v>
      </c>
      <c r="AD2655" t="s">
        <v>2278</v>
      </c>
    </row>
    <row r="2656" spans="1:43" x14ac:dyDescent="0.2">
      <c r="A2656" t="s">
        <v>1518</v>
      </c>
      <c r="B2656" t="s">
        <v>1519</v>
      </c>
      <c r="C2656">
        <v>2015</v>
      </c>
      <c r="D2656" t="s">
        <v>44</v>
      </c>
      <c r="F2656" t="s">
        <v>1520</v>
      </c>
      <c r="G2656" s="1" t="s">
        <v>88</v>
      </c>
      <c r="H2656" t="s">
        <v>350</v>
      </c>
      <c r="I2656">
        <v>2012</v>
      </c>
      <c r="J2656">
        <v>0.17</v>
      </c>
      <c r="K2656" t="s">
        <v>101</v>
      </c>
      <c r="L2656">
        <v>75</v>
      </c>
      <c r="M2656">
        <f t="shared" ref="M2656:M2663" si="54">0.15*0.15</f>
        <v>2.2499999999999999E-2</v>
      </c>
      <c r="N2656" t="s">
        <v>121</v>
      </c>
      <c r="O2656" t="s">
        <v>121</v>
      </c>
      <c r="P2656" t="s">
        <v>1521</v>
      </c>
      <c r="Q2656" s="1" t="s">
        <v>2292</v>
      </c>
      <c r="R2656" s="1" t="s">
        <v>264</v>
      </c>
      <c r="S2656" s="1" t="s">
        <v>264</v>
      </c>
      <c r="X2656" t="s">
        <v>1522</v>
      </c>
      <c r="Y2656" t="s">
        <v>2273</v>
      </c>
      <c r="Z2656" t="s">
        <v>249</v>
      </c>
      <c r="AA2656" t="s">
        <v>2274</v>
      </c>
      <c r="AB2656" t="s">
        <v>2300</v>
      </c>
      <c r="AC2656" t="s">
        <v>152</v>
      </c>
      <c r="AD2656" t="s">
        <v>137</v>
      </c>
    </row>
    <row r="2657" spans="1:45" x14ac:dyDescent="0.2">
      <c r="A2657" t="s">
        <v>1518</v>
      </c>
      <c r="B2657" t="s">
        <v>1519</v>
      </c>
      <c r="C2657">
        <v>2015</v>
      </c>
      <c r="D2657" t="s">
        <v>44</v>
      </c>
      <c r="F2657" t="s">
        <v>1520</v>
      </c>
      <c r="G2657" s="1" t="s">
        <v>88</v>
      </c>
      <c r="H2657" t="s">
        <v>350</v>
      </c>
      <c r="I2657">
        <v>2012</v>
      </c>
      <c r="J2657">
        <v>0.17</v>
      </c>
      <c r="K2657" t="s">
        <v>101</v>
      </c>
      <c r="L2657">
        <v>75</v>
      </c>
      <c r="M2657">
        <f t="shared" si="54"/>
        <v>2.2499999999999999E-2</v>
      </c>
      <c r="N2657" t="s">
        <v>121</v>
      </c>
      <c r="O2657" t="s">
        <v>121</v>
      </c>
      <c r="P2657" t="s">
        <v>1521</v>
      </c>
      <c r="Q2657" s="1" t="s">
        <v>2292</v>
      </c>
      <c r="R2657" s="1" t="s">
        <v>264</v>
      </c>
      <c r="S2657" s="1" t="s">
        <v>264</v>
      </c>
      <c r="X2657" t="s">
        <v>231</v>
      </c>
      <c r="Y2657" t="s">
        <v>2273</v>
      </c>
      <c r="Z2657" t="s">
        <v>249</v>
      </c>
      <c r="AA2657" t="s">
        <v>2359</v>
      </c>
      <c r="AB2657" t="s">
        <v>1419</v>
      </c>
      <c r="AC2657" t="s">
        <v>152</v>
      </c>
      <c r="AD2657" t="s">
        <v>2288</v>
      </c>
    </row>
    <row r="2658" spans="1:45" x14ac:dyDescent="0.2">
      <c r="A2658" t="s">
        <v>1518</v>
      </c>
      <c r="B2658" t="s">
        <v>1519</v>
      </c>
      <c r="C2658">
        <v>2015</v>
      </c>
      <c r="D2658" t="s">
        <v>44</v>
      </c>
      <c r="F2658" t="s">
        <v>1520</v>
      </c>
      <c r="G2658" s="1" t="s">
        <v>88</v>
      </c>
      <c r="H2658" t="s">
        <v>350</v>
      </c>
      <c r="I2658">
        <v>2012</v>
      </c>
      <c r="J2658">
        <v>0.17</v>
      </c>
      <c r="K2658" t="s">
        <v>101</v>
      </c>
      <c r="L2658">
        <v>75</v>
      </c>
      <c r="M2658">
        <f t="shared" si="54"/>
        <v>2.2499999999999999E-2</v>
      </c>
      <c r="N2658" t="s">
        <v>121</v>
      </c>
      <c r="O2658" t="s">
        <v>121</v>
      </c>
      <c r="P2658" t="s">
        <v>1521</v>
      </c>
      <c r="Q2658" s="1" t="s">
        <v>2292</v>
      </c>
      <c r="R2658" s="1" t="s">
        <v>264</v>
      </c>
      <c r="S2658" s="1" t="s">
        <v>264</v>
      </c>
      <c r="X2658" t="s">
        <v>232</v>
      </c>
      <c r="Y2658" t="s">
        <v>2273</v>
      </c>
      <c r="Z2658" t="s">
        <v>249</v>
      </c>
      <c r="AA2658" t="s">
        <v>2359</v>
      </c>
      <c r="AB2658" t="s">
        <v>1419</v>
      </c>
      <c r="AC2658" t="s">
        <v>152</v>
      </c>
      <c r="AD2658" t="s">
        <v>2288</v>
      </c>
    </row>
    <row r="2659" spans="1:45" x14ac:dyDescent="0.2">
      <c r="A2659" t="s">
        <v>1518</v>
      </c>
      <c r="B2659" t="s">
        <v>1519</v>
      </c>
      <c r="C2659">
        <v>2015</v>
      </c>
      <c r="D2659" t="s">
        <v>44</v>
      </c>
      <c r="F2659" t="s">
        <v>1520</v>
      </c>
      <c r="G2659" s="1" t="s">
        <v>88</v>
      </c>
      <c r="H2659" t="s">
        <v>350</v>
      </c>
      <c r="I2659">
        <v>2012</v>
      </c>
      <c r="J2659">
        <v>0.17</v>
      </c>
      <c r="K2659" t="s">
        <v>101</v>
      </c>
      <c r="L2659">
        <v>75</v>
      </c>
      <c r="M2659">
        <f t="shared" si="54"/>
        <v>2.2499999999999999E-2</v>
      </c>
      <c r="N2659" t="s">
        <v>121</v>
      </c>
      <c r="O2659" t="s">
        <v>121</v>
      </c>
      <c r="P2659" t="s">
        <v>1521</v>
      </c>
      <c r="Q2659" s="1" t="s">
        <v>2292</v>
      </c>
      <c r="R2659" s="1" t="s">
        <v>264</v>
      </c>
      <c r="S2659" s="1" t="s">
        <v>264</v>
      </c>
      <c r="X2659" t="s">
        <v>1523</v>
      </c>
      <c r="Y2659" t="s">
        <v>2273</v>
      </c>
      <c r="Z2659" t="s">
        <v>2356</v>
      </c>
      <c r="AA2659" t="s">
        <v>2357</v>
      </c>
      <c r="AB2659" t="s">
        <v>2306</v>
      </c>
      <c r="AC2659" t="s">
        <v>152</v>
      </c>
      <c r="AD2659" t="s">
        <v>137</v>
      </c>
    </row>
    <row r="2660" spans="1:45" x14ac:dyDescent="0.2">
      <c r="A2660" t="s">
        <v>1518</v>
      </c>
      <c r="B2660" t="s">
        <v>1519</v>
      </c>
      <c r="C2660">
        <v>2015</v>
      </c>
      <c r="D2660" t="s">
        <v>44</v>
      </c>
      <c r="F2660" t="s">
        <v>1520</v>
      </c>
      <c r="G2660" s="1" t="s">
        <v>88</v>
      </c>
      <c r="H2660" t="s">
        <v>350</v>
      </c>
      <c r="I2660">
        <v>2012</v>
      </c>
      <c r="J2660">
        <v>0.17</v>
      </c>
      <c r="K2660" t="s">
        <v>101</v>
      </c>
      <c r="L2660">
        <v>75</v>
      </c>
      <c r="M2660">
        <f t="shared" si="54"/>
        <v>2.2499999999999999E-2</v>
      </c>
      <c r="N2660" t="s">
        <v>121</v>
      </c>
      <c r="O2660" t="s">
        <v>121</v>
      </c>
      <c r="P2660" t="s">
        <v>1521</v>
      </c>
      <c r="Q2660" s="1" t="s">
        <v>2292</v>
      </c>
      <c r="R2660" s="1" t="s">
        <v>264</v>
      </c>
      <c r="S2660" s="1" t="s">
        <v>264</v>
      </c>
      <c r="X2660" t="s">
        <v>1524</v>
      </c>
      <c r="Y2660" t="s">
        <v>2273</v>
      </c>
      <c r="Z2660" t="s">
        <v>2356</v>
      </c>
      <c r="AA2660" t="s">
        <v>2357</v>
      </c>
      <c r="AB2660" t="s">
        <v>2306</v>
      </c>
      <c r="AC2660" t="s">
        <v>152</v>
      </c>
      <c r="AD2660" t="s">
        <v>137</v>
      </c>
    </row>
    <row r="2661" spans="1:45" x14ac:dyDescent="0.2">
      <c r="A2661" t="s">
        <v>1518</v>
      </c>
      <c r="B2661" t="s">
        <v>1519</v>
      </c>
      <c r="C2661">
        <v>2015</v>
      </c>
      <c r="D2661" t="s">
        <v>44</v>
      </c>
      <c r="F2661" t="s">
        <v>1520</v>
      </c>
      <c r="G2661" s="1" t="s">
        <v>88</v>
      </c>
      <c r="H2661" t="s">
        <v>350</v>
      </c>
      <c r="I2661">
        <v>2012</v>
      </c>
      <c r="J2661">
        <v>0.17</v>
      </c>
      <c r="K2661" t="s">
        <v>101</v>
      </c>
      <c r="L2661">
        <v>75</v>
      </c>
      <c r="M2661">
        <f t="shared" si="54"/>
        <v>2.2499999999999999E-2</v>
      </c>
      <c r="N2661" t="s">
        <v>121</v>
      </c>
      <c r="O2661" t="s">
        <v>121</v>
      </c>
      <c r="P2661" t="s">
        <v>1521</v>
      </c>
      <c r="Q2661" s="1" t="s">
        <v>2292</v>
      </c>
      <c r="R2661" s="1" t="s">
        <v>264</v>
      </c>
      <c r="S2661" s="1" t="s">
        <v>264</v>
      </c>
      <c r="X2661" t="s">
        <v>1525</v>
      </c>
      <c r="Y2661" t="s">
        <v>2273</v>
      </c>
      <c r="Z2661" t="s">
        <v>2356</v>
      </c>
      <c r="AA2661" t="s">
        <v>2357</v>
      </c>
      <c r="AB2661" t="s">
        <v>2306</v>
      </c>
      <c r="AC2661" t="s">
        <v>152</v>
      </c>
      <c r="AD2661" t="s">
        <v>137</v>
      </c>
    </row>
    <row r="2662" spans="1:45" x14ac:dyDescent="0.2">
      <c r="A2662" t="s">
        <v>1518</v>
      </c>
      <c r="B2662" t="s">
        <v>1519</v>
      </c>
      <c r="C2662">
        <v>2015</v>
      </c>
      <c r="D2662" t="s">
        <v>44</v>
      </c>
      <c r="F2662" t="s">
        <v>1520</v>
      </c>
      <c r="G2662" s="1" t="s">
        <v>88</v>
      </c>
      <c r="H2662" t="s">
        <v>350</v>
      </c>
      <c r="I2662">
        <v>2012</v>
      </c>
      <c r="J2662">
        <v>0.17</v>
      </c>
      <c r="K2662" t="s">
        <v>101</v>
      </c>
      <c r="L2662">
        <v>75</v>
      </c>
      <c r="M2662">
        <f t="shared" si="54"/>
        <v>2.2499999999999999E-2</v>
      </c>
      <c r="N2662" t="s">
        <v>121</v>
      </c>
      <c r="O2662" t="s">
        <v>121</v>
      </c>
      <c r="P2662" t="s">
        <v>1521</v>
      </c>
      <c r="Q2662" s="1" t="s">
        <v>2292</v>
      </c>
      <c r="R2662" s="1" t="s">
        <v>264</v>
      </c>
      <c r="S2662" s="1" t="s">
        <v>264</v>
      </c>
      <c r="X2662" t="s">
        <v>1526</v>
      </c>
      <c r="Y2662" t="s">
        <v>2273</v>
      </c>
      <c r="Z2662" t="s">
        <v>2356</v>
      </c>
      <c r="AA2662" t="s">
        <v>2357</v>
      </c>
      <c r="AB2662" t="s">
        <v>2306</v>
      </c>
      <c r="AC2662" t="s">
        <v>315</v>
      </c>
      <c r="AD2662" t="s">
        <v>137</v>
      </c>
    </row>
    <row r="2663" spans="1:45" x14ac:dyDescent="0.2">
      <c r="A2663" t="s">
        <v>1518</v>
      </c>
      <c r="B2663" t="s">
        <v>1519</v>
      </c>
      <c r="C2663">
        <v>2015</v>
      </c>
      <c r="D2663" t="s">
        <v>44</v>
      </c>
      <c r="F2663" t="s">
        <v>1520</v>
      </c>
      <c r="G2663" s="1" t="s">
        <v>88</v>
      </c>
      <c r="H2663" t="s">
        <v>350</v>
      </c>
      <c r="I2663">
        <v>2012</v>
      </c>
      <c r="J2663">
        <v>0.17</v>
      </c>
      <c r="K2663" t="s">
        <v>101</v>
      </c>
      <c r="L2663">
        <v>75</v>
      </c>
      <c r="M2663">
        <f t="shared" si="54"/>
        <v>2.2499999999999999E-2</v>
      </c>
      <c r="N2663" t="s">
        <v>121</v>
      </c>
      <c r="O2663" t="s">
        <v>121</v>
      </c>
      <c r="P2663" t="s">
        <v>1521</v>
      </c>
      <c r="Q2663" s="1" t="s">
        <v>2292</v>
      </c>
      <c r="R2663" s="1" t="s">
        <v>264</v>
      </c>
      <c r="S2663" s="1" t="s">
        <v>264</v>
      </c>
      <c r="X2663" t="s">
        <v>1527</v>
      </c>
      <c r="Y2663" t="s">
        <v>2273</v>
      </c>
      <c r="Z2663" t="s">
        <v>2356</v>
      </c>
      <c r="AA2663" t="s">
        <v>2357</v>
      </c>
      <c r="AB2663" t="s">
        <v>2306</v>
      </c>
      <c r="AC2663" t="s">
        <v>315</v>
      </c>
      <c r="AD2663" t="s">
        <v>137</v>
      </c>
    </row>
    <row r="2664" spans="1:45" x14ac:dyDescent="0.2">
      <c r="A2664" t="s">
        <v>1518</v>
      </c>
      <c r="B2664" t="s">
        <v>1519</v>
      </c>
      <c r="C2664">
        <v>2015</v>
      </c>
      <c r="D2664" t="s">
        <v>811</v>
      </c>
      <c r="F2664" t="s">
        <v>1520</v>
      </c>
      <c r="G2664" s="1" t="s">
        <v>88</v>
      </c>
      <c r="H2664" t="s">
        <v>350</v>
      </c>
      <c r="I2664">
        <v>2013</v>
      </c>
      <c r="J2664">
        <v>0.08</v>
      </c>
      <c r="K2664" t="s">
        <v>109</v>
      </c>
      <c r="L2664">
        <v>10</v>
      </c>
      <c r="M2664">
        <f>0.1*0.1</f>
        <v>1.0000000000000002E-2</v>
      </c>
      <c r="N2664" t="s">
        <v>121</v>
      </c>
      <c r="O2664" t="s">
        <v>121</v>
      </c>
      <c r="P2664" t="s">
        <v>1521</v>
      </c>
      <c r="Q2664" s="1" t="s">
        <v>2292</v>
      </c>
      <c r="R2664" s="1" t="s">
        <v>264</v>
      </c>
      <c r="S2664" s="1" t="s">
        <v>264</v>
      </c>
      <c r="X2664" t="s">
        <v>1528</v>
      </c>
      <c r="Y2664" t="s">
        <v>2273</v>
      </c>
      <c r="Z2664" t="s">
        <v>249</v>
      </c>
      <c r="AA2664" t="s">
        <v>2359</v>
      </c>
      <c r="AB2664" t="s">
        <v>2289</v>
      </c>
      <c r="AC2664" t="s">
        <v>152</v>
      </c>
      <c r="AD2664" t="s">
        <v>2288</v>
      </c>
    </row>
    <row r="2665" spans="1:45" x14ac:dyDescent="0.2">
      <c r="A2665" t="s">
        <v>1518</v>
      </c>
      <c r="B2665" t="s">
        <v>1519</v>
      </c>
      <c r="C2665">
        <v>2015</v>
      </c>
      <c r="D2665" t="s">
        <v>811</v>
      </c>
      <c r="F2665" t="s">
        <v>1520</v>
      </c>
      <c r="G2665" s="1" t="s">
        <v>88</v>
      </c>
      <c r="H2665" t="s">
        <v>350</v>
      </c>
      <c r="I2665">
        <v>2013</v>
      </c>
      <c r="J2665">
        <v>0.08</v>
      </c>
      <c r="K2665" t="s">
        <v>109</v>
      </c>
      <c r="L2665">
        <v>10</v>
      </c>
      <c r="M2665">
        <f>0.1*0.1</f>
        <v>1.0000000000000002E-2</v>
      </c>
      <c r="N2665" t="s">
        <v>121</v>
      </c>
      <c r="O2665" t="s">
        <v>121</v>
      </c>
      <c r="P2665" t="s">
        <v>1521</v>
      </c>
      <c r="Q2665" s="1" t="s">
        <v>2292</v>
      </c>
      <c r="R2665" s="1" t="s">
        <v>264</v>
      </c>
      <c r="S2665" s="1" t="s">
        <v>264</v>
      </c>
      <c r="X2665" t="s">
        <v>1523</v>
      </c>
      <c r="Y2665" t="s">
        <v>2273</v>
      </c>
      <c r="Z2665" t="s">
        <v>2356</v>
      </c>
      <c r="AA2665" t="s">
        <v>2357</v>
      </c>
      <c r="AB2665" t="s">
        <v>2306</v>
      </c>
      <c r="AC2665" t="s">
        <v>152</v>
      </c>
      <c r="AD2665" t="s">
        <v>137</v>
      </c>
    </row>
    <row r="2666" spans="1:45" x14ac:dyDescent="0.2">
      <c r="A2666" t="s">
        <v>1518</v>
      </c>
      <c r="B2666" t="s">
        <v>1519</v>
      </c>
      <c r="C2666">
        <v>2015</v>
      </c>
      <c r="D2666" t="s">
        <v>811</v>
      </c>
      <c r="F2666" t="s">
        <v>1520</v>
      </c>
      <c r="G2666" s="1" t="s">
        <v>88</v>
      </c>
      <c r="H2666" t="s">
        <v>350</v>
      </c>
      <c r="I2666">
        <v>2013</v>
      </c>
      <c r="J2666">
        <v>0.08</v>
      </c>
      <c r="K2666" t="s">
        <v>109</v>
      </c>
      <c r="L2666">
        <v>10</v>
      </c>
      <c r="M2666">
        <f>0.1*0.1</f>
        <v>1.0000000000000002E-2</v>
      </c>
      <c r="N2666" t="s">
        <v>121</v>
      </c>
      <c r="O2666" t="s">
        <v>121</v>
      </c>
      <c r="P2666" t="s">
        <v>1521</v>
      </c>
      <c r="Q2666" s="1" t="s">
        <v>2292</v>
      </c>
      <c r="R2666" s="1" t="s">
        <v>264</v>
      </c>
      <c r="S2666" s="1" t="s">
        <v>264</v>
      </c>
      <c r="X2666" t="s">
        <v>449</v>
      </c>
      <c r="Y2666" t="s">
        <v>2273</v>
      </c>
      <c r="Z2666" t="s">
        <v>2356</v>
      </c>
      <c r="AA2666" t="s">
        <v>2357</v>
      </c>
      <c r="AB2666" t="s">
        <v>449</v>
      </c>
      <c r="AC2666" t="s">
        <v>152</v>
      </c>
      <c r="AD2666" t="s">
        <v>137</v>
      </c>
    </row>
    <row r="2667" spans="1:45" x14ac:dyDescent="0.2">
      <c r="A2667" t="s">
        <v>1530</v>
      </c>
      <c r="B2667" t="s">
        <v>1531</v>
      </c>
      <c r="C2667">
        <v>2015</v>
      </c>
      <c r="Q2667" s="1" t="s">
        <v>2272</v>
      </c>
      <c r="R2667" s="1" t="s">
        <v>2272</v>
      </c>
      <c r="S2667" s="1" t="s">
        <v>2272</v>
      </c>
      <c r="Y2667" t="s">
        <v>2272</v>
      </c>
      <c r="Z2667" t="s">
        <v>2272</v>
      </c>
      <c r="AA2667" t="s">
        <v>2272</v>
      </c>
      <c r="AB2667" t="s">
        <v>2272</v>
      </c>
      <c r="AD2667" t="s">
        <v>2272</v>
      </c>
      <c r="AR2667" t="s">
        <v>144</v>
      </c>
      <c r="AS2667" t="s">
        <v>2585</v>
      </c>
    </row>
    <row r="2668" spans="1:45" x14ac:dyDescent="0.2">
      <c r="A2668" t="s">
        <v>1532</v>
      </c>
      <c r="B2668" t="s">
        <v>1533</v>
      </c>
      <c r="C2668">
        <v>2015</v>
      </c>
      <c r="D2668" t="s">
        <v>44</v>
      </c>
      <c r="F2668" t="s">
        <v>357</v>
      </c>
      <c r="G2668" s="1" t="s">
        <v>90</v>
      </c>
      <c r="H2668" t="s">
        <v>96</v>
      </c>
      <c r="I2668">
        <v>2007</v>
      </c>
      <c r="J2668">
        <f>3/12</f>
        <v>0.25</v>
      </c>
      <c r="K2668" t="s">
        <v>101</v>
      </c>
      <c r="M2668">
        <f t="shared" ref="M2668:M2673" si="55">0.4*0.4</f>
        <v>0.16000000000000003</v>
      </c>
      <c r="N2668" t="s">
        <v>124</v>
      </c>
      <c r="O2668" t="s">
        <v>1534</v>
      </c>
      <c r="P2668" t="s">
        <v>279</v>
      </c>
      <c r="Q2668" s="1" t="s">
        <v>2292</v>
      </c>
      <c r="R2668" s="1" t="s">
        <v>124</v>
      </c>
      <c r="S2668" s="1" t="s">
        <v>124</v>
      </c>
      <c r="X2668" t="s">
        <v>189</v>
      </c>
      <c r="Y2668" t="s">
        <v>2279</v>
      </c>
      <c r="Z2668" t="s">
        <v>2280</v>
      </c>
      <c r="AA2668" t="s">
        <v>2358</v>
      </c>
      <c r="AB2668" t="s">
        <v>189</v>
      </c>
      <c r="AC2668" t="s">
        <v>152</v>
      </c>
      <c r="AD2668" t="s">
        <v>2278</v>
      </c>
    </row>
    <row r="2669" spans="1:45" x14ac:dyDescent="0.2">
      <c r="A2669" t="s">
        <v>1532</v>
      </c>
      <c r="B2669" t="s">
        <v>1533</v>
      </c>
      <c r="C2669">
        <v>2015</v>
      </c>
      <c r="D2669" t="s">
        <v>44</v>
      </c>
      <c r="F2669" t="s">
        <v>357</v>
      </c>
      <c r="G2669" s="1" t="s">
        <v>90</v>
      </c>
      <c r="H2669" t="s">
        <v>96</v>
      </c>
      <c r="I2669">
        <v>2007</v>
      </c>
      <c r="J2669">
        <f>3/12</f>
        <v>0.25</v>
      </c>
      <c r="K2669" t="s">
        <v>101</v>
      </c>
      <c r="M2669">
        <f t="shared" si="55"/>
        <v>0.16000000000000003</v>
      </c>
      <c r="N2669" t="s">
        <v>124</v>
      </c>
      <c r="O2669" t="s">
        <v>1534</v>
      </c>
      <c r="P2669" t="s">
        <v>279</v>
      </c>
      <c r="Q2669" s="1" t="s">
        <v>2292</v>
      </c>
      <c r="R2669" s="1" t="s">
        <v>124</v>
      </c>
      <c r="S2669" s="1" t="s">
        <v>124</v>
      </c>
      <c r="X2669" t="s">
        <v>338</v>
      </c>
      <c r="Y2669" t="s">
        <v>2273</v>
      </c>
      <c r="Z2669" t="s">
        <v>249</v>
      </c>
      <c r="AA2669" t="s">
        <v>2359</v>
      </c>
      <c r="AB2669" t="s">
        <v>1419</v>
      </c>
      <c r="AC2669" t="s">
        <v>152</v>
      </c>
      <c r="AD2669" t="s">
        <v>2288</v>
      </c>
    </row>
    <row r="2670" spans="1:45" x14ac:dyDescent="0.2">
      <c r="A2670" t="s">
        <v>1532</v>
      </c>
      <c r="B2670" t="s">
        <v>1533</v>
      </c>
      <c r="C2670">
        <v>2015</v>
      </c>
      <c r="D2670" t="s">
        <v>44</v>
      </c>
      <c r="F2670" t="s">
        <v>357</v>
      </c>
      <c r="G2670" s="1" t="s">
        <v>90</v>
      </c>
      <c r="H2670" t="s">
        <v>96</v>
      </c>
      <c r="I2670" t="s">
        <v>1535</v>
      </c>
      <c r="J2670">
        <f>9/12</f>
        <v>0.75</v>
      </c>
      <c r="K2670" t="s">
        <v>109</v>
      </c>
      <c r="M2670">
        <f t="shared" si="55"/>
        <v>0.16000000000000003</v>
      </c>
      <c r="N2670" t="s">
        <v>124</v>
      </c>
      <c r="O2670" t="s">
        <v>1534</v>
      </c>
      <c r="P2670" t="s">
        <v>279</v>
      </c>
      <c r="Q2670" s="1" t="s">
        <v>2292</v>
      </c>
      <c r="R2670" s="1" t="s">
        <v>124</v>
      </c>
      <c r="S2670" s="1" t="s">
        <v>124</v>
      </c>
      <c r="T2670" t="s">
        <v>421</v>
      </c>
      <c r="U2670" t="s">
        <v>421</v>
      </c>
      <c r="X2670" t="s">
        <v>161</v>
      </c>
      <c r="Y2670" t="s">
        <v>2272</v>
      </c>
      <c r="Z2670" t="s">
        <v>2272</v>
      </c>
      <c r="AA2670" t="s">
        <v>2272</v>
      </c>
      <c r="AB2670" t="s">
        <v>2272</v>
      </c>
      <c r="AC2670" t="s">
        <v>162</v>
      </c>
      <c r="AD2670" t="s">
        <v>2272</v>
      </c>
      <c r="AG2670" t="s">
        <v>49</v>
      </c>
      <c r="AL2670" t="s">
        <v>49</v>
      </c>
      <c r="AM2670" t="s">
        <v>1536</v>
      </c>
      <c r="AN2670" t="s">
        <v>109</v>
      </c>
      <c r="AO2670" t="s">
        <v>1537</v>
      </c>
      <c r="AP2670" t="s">
        <v>51</v>
      </c>
      <c r="AQ2670" s="5">
        <v>0</v>
      </c>
    </row>
    <row r="2671" spans="1:45" x14ac:dyDescent="0.2">
      <c r="A2671" t="s">
        <v>1532</v>
      </c>
      <c r="B2671" t="s">
        <v>1533</v>
      </c>
      <c r="C2671">
        <v>2015</v>
      </c>
      <c r="D2671" t="s">
        <v>44</v>
      </c>
      <c r="F2671" t="s">
        <v>357</v>
      </c>
      <c r="G2671" s="1" t="s">
        <v>90</v>
      </c>
      <c r="H2671" t="s">
        <v>96</v>
      </c>
      <c r="I2671" t="s">
        <v>1535</v>
      </c>
      <c r="J2671">
        <f>9/12</f>
        <v>0.75</v>
      </c>
      <c r="K2671" t="s">
        <v>109</v>
      </c>
      <c r="M2671">
        <f t="shared" si="55"/>
        <v>0.16000000000000003</v>
      </c>
      <c r="N2671" t="s">
        <v>124</v>
      </c>
      <c r="O2671" t="s">
        <v>1534</v>
      </c>
      <c r="P2671" t="s">
        <v>279</v>
      </c>
      <c r="Q2671" s="1" t="s">
        <v>2292</v>
      </c>
      <c r="R2671" s="1" t="s">
        <v>124</v>
      </c>
      <c r="S2671" s="1" t="s">
        <v>124</v>
      </c>
      <c r="T2671" t="s">
        <v>421</v>
      </c>
      <c r="U2671" t="s">
        <v>421</v>
      </c>
      <c r="X2671" t="s">
        <v>161</v>
      </c>
      <c r="Y2671" t="s">
        <v>2272</v>
      </c>
      <c r="Z2671" t="s">
        <v>2272</v>
      </c>
      <c r="AA2671" t="s">
        <v>2272</v>
      </c>
      <c r="AB2671" t="s">
        <v>2272</v>
      </c>
      <c r="AC2671" t="s">
        <v>162</v>
      </c>
      <c r="AD2671" t="s">
        <v>2272</v>
      </c>
      <c r="AG2671" t="s">
        <v>49</v>
      </c>
      <c r="AL2671" t="s">
        <v>49</v>
      </c>
      <c r="AM2671" t="s">
        <v>1536</v>
      </c>
      <c r="AN2671" t="s">
        <v>109</v>
      </c>
      <c r="AO2671" t="s">
        <v>1538</v>
      </c>
      <c r="AP2671" t="s">
        <v>51</v>
      </c>
      <c r="AQ2671" s="5">
        <v>0</v>
      </c>
    </row>
    <row r="2672" spans="1:45" x14ac:dyDescent="0.2">
      <c r="A2672" t="s">
        <v>1532</v>
      </c>
      <c r="B2672" t="s">
        <v>1533</v>
      </c>
      <c r="C2672">
        <v>2015</v>
      </c>
      <c r="D2672" t="s">
        <v>44</v>
      </c>
      <c r="F2672" t="s">
        <v>357</v>
      </c>
      <c r="G2672" s="1" t="s">
        <v>90</v>
      </c>
      <c r="H2672" t="s">
        <v>96</v>
      </c>
      <c r="I2672" t="s">
        <v>1535</v>
      </c>
      <c r="J2672">
        <f>9/12</f>
        <v>0.75</v>
      </c>
      <c r="K2672" t="s">
        <v>109</v>
      </c>
      <c r="M2672">
        <f t="shared" si="55"/>
        <v>0.16000000000000003</v>
      </c>
      <c r="N2672" t="s">
        <v>124</v>
      </c>
      <c r="O2672" t="s">
        <v>1534</v>
      </c>
      <c r="P2672" t="s">
        <v>279</v>
      </c>
      <c r="Q2672" s="1" t="s">
        <v>2292</v>
      </c>
      <c r="R2672" s="1" t="s">
        <v>124</v>
      </c>
      <c r="S2672" s="1" t="s">
        <v>124</v>
      </c>
      <c r="T2672" t="s">
        <v>421</v>
      </c>
      <c r="U2672" t="s">
        <v>421</v>
      </c>
      <c r="X2672" t="s">
        <v>161</v>
      </c>
      <c r="Y2672" t="s">
        <v>2272</v>
      </c>
      <c r="Z2672" t="s">
        <v>2272</v>
      </c>
      <c r="AA2672" t="s">
        <v>2272</v>
      </c>
      <c r="AB2672" t="s">
        <v>2272</v>
      </c>
      <c r="AC2672" t="s">
        <v>162</v>
      </c>
      <c r="AD2672" t="s">
        <v>2272</v>
      </c>
      <c r="AG2672" t="s">
        <v>49</v>
      </c>
      <c r="AL2672" t="s">
        <v>49</v>
      </c>
      <c r="AM2672" t="s">
        <v>1536</v>
      </c>
      <c r="AN2672" t="s">
        <v>109</v>
      </c>
      <c r="AO2672" t="s">
        <v>1539</v>
      </c>
      <c r="AP2672" t="s">
        <v>49</v>
      </c>
    </row>
    <row r="2673" spans="1:43" x14ac:dyDescent="0.2">
      <c r="A2673" t="s">
        <v>1532</v>
      </c>
      <c r="B2673" t="s">
        <v>1533</v>
      </c>
      <c r="C2673">
        <v>2015</v>
      </c>
      <c r="D2673" t="s">
        <v>44</v>
      </c>
      <c r="F2673" t="s">
        <v>357</v>
      </c>
      <c r="G2673" s="1" t="s">
        <v>90</v>
      </c>
      <c r="H2673" t="s">
        <v>96</v>
      </c>
      <c r="I2673" t="s">
        <v>1535</v>
      </c>
      <c r="J2673">
        <f>9/12</f>
        <v>0.75</v>
      </c>
      <c r="K2673" t="s">
        <v>109</v>
      </c>
      <c r="M2673">
        <f t="shared" si="55"/>
        <v>0.16000000000000003</v>
      </c>
      <c r="N2673" t="s">
        <v>124</v>
      </c>
      <c r="O2673" t="s">
        <v>1534</v>
      </c>
      <c r="P2673" t="s">
        <v>279</v>
      </c>
      <c r="Q2673" s="1" t="s">
        <v>2292</v>
      </c>
      <c r="R2673" s="1" t="s">
        <v>124</v>
      </c>
      <c r="S2673" s="1" t="s">
        <v>124</v>
      </c>
      <c r="T2673" t="s">
        <v>421</v>
      </c>
      <c r="U2673" t="s">
        <v>421</v>
      </c>
      <c r="X2673" t="s">
        <v>161</v>
      </c>
      <c r="Y2673" t="s">
        <v>2272</v>
      </c>
      <c r="Z2673" t="s">
        <v>2272</v>
      </c>
      <c r="AA2673" t="s">
        <v>2272</v>
      </c>
      <c r="AB2673" t="s">
        <v>2272</v>
      </c>
      <c r="AC2673" t="s">
        <v>162</v>
      </c>
      <c r="AD2673" t="s">
        <v>2272</v>
      </c>
      <c r="AG2673" t="s">
        <v>49</v>
      </c>
      <c r="AL2673" t="s">
        <v>49</v>
      </c>
      <c r="AM2673" t="s">
        <v>1536</v>
      </c>
      <c r="AN2673" t="s">
        <v>109</v>
      </c>
      <c r="AO2673" t="s">
        <v>226</v>
      </c>
      <c r="AP2673" t="s">
        <v>157</v>
      </c>
      <c r="AQ2673" s="5">
        <v>1</v>
      </c>
    </row>
    <row r="2674" spans="1:43" x14ac:dyDescent="0.2">
      <c r="A2674" t="s">
        <v>1532</v>
      </c>
      <c r="B2674" t="s">
        <v>1533</v>
      </c>
      <c r="C2674">
        <v>2015</v>
      </c>
      <c r="D2674" t="s">
        <v>811</v>
      </c>
      <c r="F2674" t="s">
        <v>357</v>
      </c>
      <c r="G2674" s="1" t="s">
        <v>90</v>
      </c>
      <c r="H2674" t="s">
        <v>96</v>
      </c>
      <c r="I2674" t="s">
        <v>1495</v>
      </c>
      <c r="J2674">
        <f>14/12</f>
        <v>1.1666666666666667</v>
      </c>
      <c r="K2674" t="s">
        <v>109</v>
      </c>
      <c r="N2674" t="s">
        <v>124</v>
      </c>
      <c r="O2674" t="s">
        <v>1534</v>
      </c>
      <c r="P2674" t="s">
        <v>279</v>
      </c>
      <c r="Q2674" s="1" t="s">
        <v>2292</v>
      </c>
      <c r="R2674" s="1" t="s">
        <v>124</v>
      </c>
      <c r="S2674" s="1" t="s">
        <v>124</v>
      </c>
      <c r="T2674" t="s">
        <v>421</v>
      </c>
      <c r="U2674" t="s">
        <v>421</v>
      </c>
      <c r="X2674" t="s">
        <v>161</v>
      </c>
      <c r="Y2674" t="s">
        <v>2272</v>
      </c>
      <c r="Z2674" t="s">
        <v>2272</v>
      </c>
      <c r="AA2674" t="s">
        <v>2272</v>
      </c>
      <c r="AB2674" t="s">
        <v>2272</v>
      </c>
      <c r="AC2674" t="s">
        <v>162</v>
      </c>
      <c r="AD2674" t="s">
        <v>2272</v>
      </c>
      <c r="AG2674" t="s">
        <v>49</v>
      </c>
      <c r="AL2674" t="s">
        <v>49</v>
      </c>
      <c r="AM2674" t="s">
        <v>1536</v>
      </c>
      <c r="AN2674" t="s">
        <v>109</v>
      </c>
      <c r="AO2674" t="s">
        <v>449</v>
      </c>
      <c r="AP2674" t="s">
        <v>173</v>
      </c>
    </row>
    <row r="2675" spans="1:43" x14ac:dyDescent="0.2">
      <c r="A2675" t="s">
        <v>1532</v>
      </c>
      <c r="B2675" t="s">
        <v>1533</v>
      </c>
      <c r="C2675">
        <v>2015</v>
      </c>
      <c r="D2675" t="s">
        <v>811</v>
      </c>
      <c r="F2675" t="s">
        <v>357</v>
      </c>
      <c r="G2675" s="1" t="s">
        <v>90</v>
      </c>
      <c r="H2675" t="s">
        <v>96</v>
      </c>
      <c r="I2675" t="s">
        <v>1495</v>
      </c>
      <c r="J2675">
        <f>14/12</f>
        <v>1.1666666666666667</v>
      </c>
      <c r="K2675" t="s">
        <v>109</v>
      </c>
      <c r="N2675" t="s">
        <v>124</v>
      </c>
      <c r="O2675" t="s">
        <v>1534</v>
      </c>
      <c r="P2675" t="s">
        <v>279</v>
      </c>
      <c r="Q2675" s="1" t="s">
        <v>2292</v>
      </c>
      <c r="R2675" s="1" t="s">
        <v>124</v>
      </c>
      <c r="S2675" s="1" t="s">
        <v>124</v>
      </c>
      <c r="T2675" t="s">
        <v>421</v>
      </c>
      <c r="U2675" t="s">
        <v>421</v>
      </c>
      <c r="X2675" t="s">
        <v>161</v>
      </c>
      <c r="Y2675" t="s">
        <v>2272</v>
      </c>
      <c r="Z2675" t="s">
        <v>2272</v>
      </c>
      <c r="AA2675" t="s">
        <v>2272</v>
      </c>
      <c r="AB2675" t="s">
        <v>2272</v>
      </c>
      <c r="AC2675" t="s">
        <v>162</v>
      </c>
      <c r="AD2675" t="s">
        <v>2272</v>
      </c>
      <c r="AG2675" t="s">
        <v>49</v>
      </c>
      <c r="AL2675" t="s">
        <v>49</v>
      </c>
      <c r="AM2675" t="s">
        <v>1536</v>
      </c>
      <c r="AN2675" t="s">
        <v>109</v>
      </c>
      <c r="AO2675" t="s">
        <v>226</v>
      </c>
      <c r="AP2675" t="s">
        <v>51</v>
      </c>
    </row>
    <row r="2676" spans="1:43" x14ac:dyDescent="0.2">
      <c r="A2676" t="s">
        <v>1540</v>
      </c>
      <c r="B2676" t="s">
        <v>943</v>
      </c>
      <c r="C2676">
        <v>2014</v>
      </c>
      <c r="D2676" t="s">
        <v>44</v>
      </c>
      <c r="F2676" t="s">
        <v>81</v>
      </c>
      <c r="G2676" s="1" t="s">
        <v>86</v>
      </c>
      <c r="H2676" t="s">
        <v>96</v>
      </c>
      <c r="I2676">
        <v>2012</v>
      </c>
      <c r="K2676" t="s">
        <v>101</v>
      </c>
      <c r="M2676">
        <f>0.5*0.5</f>
        <v>0.25</v>
      </c>
      <c r="N2676" t="s">
        <v>128</v>
      </c>
      <c r="O2676" t="s">
        <v>1541</v>
      </c>
      <c r="P2676" t="s">
        <v>224</v>
      </c>
      <c r="Q2676" s="1" t="s">
        <v>2276</v>
      </c>
      <c r="R2676" s="1" t="s">
        <v>751</v>
      </c>
      <c r="S2676" s="1" t="s">
        <v>2346</v>
      </c>
      <c r="T2676" t="s">
        <v>421</v>
      </c>
      <c r="U2676" t="s">
        <v>421</v>
      </c>
      <c r="V2676" t="s">
        <v>194</v>
      </c>
      <c r="W2676" t="s">
        <v>224</v>
      </c>
      <c r="X2676" t="s">
        <v>161</v>
      </c>
      <c r="Y2676" t="s">
        <v>2272</v>
      </c>
      <c r="Z2676" t="s">
        <v>2272</v>
      </c>
      <c r="AA2676" t="s">
        <v>2272</v>
      </c>
      <c r="AB2676" t="s">
        <v>2272</v>
      </c>
      <c r="AC2676" t="s">
        <v>162</v>
      </c>
      <c r="AD2676" t="s">
        <v>2272</v>
      </c>
      <c r="AF2676" t="s">
        <v>49</v>
      </c>
      <c r="AL2676" t="s">
        <v>49</v>
      </c>
      <c r="AM2676" t="s">
        <v>1335</v>
      </c>
      <c r="AN2676" t="s">
        <v>166</v>
      </c>
      <c r="AQ2676" s="5">
        <v>1</v>
      </c>
    </row>
    <row r="2677" spans="1:43" x14ac:dyDescent="0.2">
      <c r="A2677" t="s">
        <v>1540</v>
      </c>
      <c r="B2677" t="s">
        <v>943</v>
      </c>
      <c r="C2677">
        <v>2014</v>
      </c>
      <c r="D2677" t="s">
        <v>44</v>
      </c>
      <c r="F2677" t="s">
        <v>81</v>
      </c>
      <c r="G2677" s="1" t="s">
        <v>86</v>
      </c>
      <c r="H2677" t="s">
        <v>96</v>
      </c>
      <c r="I2677">
        <v>2012</v>
      </c>
      <c r="K2677" t="s">
        <v>101</v>
      </c>
      <c r="M2677">
        <f>0.5*0.5</f>
        <v>0.25</v>
      </c>
      <c r="N2677" t="s">
        <v>128</v>
      </c>
      <c r="O2677" t="s">
        <v>1541</v>
      </c>
      <c r="P2677" t="s">
        <v>224</v>
      </c>
      <c r="Q2677" s="1" t="s">
        <v>2276</v>
      </c>
      <c r="R2677" s="1" t="s">
        <v>751</v>
      </c>
      <c r="S2677" s="1" t="s">
        <v>2346</v>
      </c>
      <c r="T2677" t="s">
        <v>396</v>
      </c>
      <c r="U2677" t="s">
        <v>124</v>
      </c>
      <c r="V2677" t="s">
        <v>194</v>
      </c>
      <c r="W2677" t="s">
        <v>224</v>
      </c>
      <c r="X2677" t="s">
        <v>161</v>
      </c>
      <c r="Y2677" t="s">
        <v>2272</v>
      </c>
      <c r="Z2677" t="s">
        <v>2272</v>
      </c>
      <c r="AA2677" t="s">
        <v>2272</v>
      </c>
      <c r="AB2677" t="s">
        <v>2272</v>
      </c>
      <c r="AC2677" t="s">
        <v>162</v>
      </c>
      <c r="AD2677" t="s">
        <v>2272</v>
      </c>
      <c r="AF2677" t="s">
        <v>49</v>
      </c>
      <c r="AL2677" t="s">
        <v>49</v>
      </c>
      <c r="AM2677" t="s">
        <v>1335</v>
      </c>
      <c r="AN2677" t="s">
        <v>166</v>
      </c>
      <c r="AQ2677" s="5">
        <v>1</v>
      </c>
    </row>
    <row r="2678" spans="1:43" x14ac:dyDescent="0.2">
      <c r="A2678" t="s">
        <v>1540</v>
      </c>
      <c r="B2678" t="s">
        <v>943</v>
      </c>
      <c r="C2678">
        <v>2014</v>
      </c>
      <c r="D2678" t="s">
        <v>44</v>
      </c>
      <c r="F2678" t="s">
        <v>81</v>
      </c>
      <c r="G2678" s="1" t="s">
        <v>86</v>
      </c>
      <c r="H2678" t="s">
        <v>96</v>
      </c>
      <c r="I2678">
        <v>2012</v>
      </c>
      <c r="K2678" t="s">
        <v>101</v>
      </c>
      <c r="M2678">
        <f>0.5*0.5</f>
        <v>0.25</v>
      </c>
      <c r="N2678" t="s">
        <v>124</v>
      </c>
      <c r="O2678" t="s">
        <v>124</v>
      </c>
      <c r="P2678" t="s">
        <v>279</v>
      </c>
      <c r="Q2678" s="1" t="s">
        <v>2292</v>
      </c>
      <c r="R2678" s="1" t="s">
        <v>124</v>
      </c>
      <c r="S2678" s="1" t="s">
        <v>124</v>
      </c>
      <c r="T2678" t="s">
        <v>396</v>
      </c>
      <c r="U2678" s="1" t="s">
        <v>2346</v>
      </c>
      <c r="V2678" t="s">
        <v>194</v>
      </c>
      <c r="W2678" t="s">
        <v>224</v>
      </c>
      <c r="X2678" t="s">
        <v>161</v>
      </c>
      <c r="Y2678" t="s">
        <v>2272</v>
      </c>
      <c r="Z2678" t="s">
        <v>2272</v>
      </c>
      <c r="AA2678" t="s">
        <v>2272</v>
      </c>
      <c r="AB2678" t="s">
        <v>2272</v>
      </c>
      <c r="AC2678" t="s">
        <v>162</v>
      </c>
      <c r="AD2678" t="s">
        <v>2272</v>
      </c>
      <c r="AF2678" t="s">
        <v>49</v>
      </c>
      <c r="AL2678" t="s">
        <v>49</v>
      </c>
      <c r="AM2678" t="s">
        <v>1335</v>
      </c>
      <c r="AN2678" t="s">
        <v>166</v>
      </c>
      <c r="AQ2678" s="5">
        <v>2</v>
      </c>
    </row>
    <row r="2679" spans="1:43" x14ac:dyDescent="0.2">
      <c r="A2679" t="s">
        <v>1540</v>
      </c>
      <c r="B2679" t="s">
        <v>943</v>
      </c>
      <c r="C2679">
        <v>2014</v>
      </c>
      <c r="D2679" t="s">
        <v>44</v>
      </c>
      <c r="F2679" t="s">
        <v>81</v>
      </c>
      <c r="G2679" s="1" t="s">
        <v>86</v>
      </c>
      <c r="H2679" t="s">
        <v>96</v>
      </c>
      <c r="I2679">
        <v>2012</v>
      </c>
      <c r="K2679" t="s">
        <v>101</v>
      </c>
      <c r="M2679">
        <f>0.5*0.5</f>
        <v>0.25</v>
      </c>
      <c r="N2679" t="s">
        <v>128</v>
      </c>
      <c r="O2679" t="s">
        <v>1541</v>
      </c>
      <c r="P2679" t="s">
        <v>224</v>
      </c>
      <c r="Q2679" s="1" t="s">
        <v>2276</v>
      </c>
      <c r="R2679" s="1" t="s">
        <v>751</v>
      </c>
      <c r="S2679" s="1" t="s">
        <v>2346</v>
      </c>
      <c r="T2679" t="s">
        <v>421</v>
      </c>
      <c r="U2679" t="s">
        <v>421</v>
      </c>
      <c r="V2679" t="s">
        <v>194</v>
      </c>
      <c r="W2679" t="s">
        <v>224</v>
      </c>
      <c r="X2679" t="s">
        <v>171</v>
      </c>
      <c r="Y2679" t="s">
        <v>2273</v>
      </c>
      <c r="Z2679" t="s">
        <v>249</v>
      </c>
      <c r="AA2679" t="s">
        <v>2359</v>
      </c>
      <c r="AB2679" t="s">
        <v>1979</v>
      </c>
      <c r="AC2679" t="s">
        <v>152</v>
      </c>
      <c r="AD2679" t="s">
        <v>137</v>
      </c>
      <c r="AF2679" t="s">
        <v>49</v>
      </c>
      <c r="AL2679" t="s">
        <v>49</v>
      </c>
      <c r="AM2679" t="s">
        <v>1335</v>
      </c>
    </row>
    <row r="2680" spans="1:43" x14ac:dyDescent="0.2">
      <c r="A2680" t="s">
        <v>1540</v>
      </c>
      <c r="B2680" t="s">
        <v>943</v>
      </c>
      <c r="C2680">
        <v>2014</v>
      </c>
      <c r="D2680" t="s">
        <v>811</v>
      </c>
      <c r="F2680" t="s">
        <v>81</v>
      </c>
      <c r="G2680" s="1" t="s">
        <v>86</v>
      </c>
      <c r="H2680" t="s">
        <v>96</v>
      </c>
      <c r="I2680">
        <v>2012</v>
      </c>
      <c r="J2680">
        <v>2.9999999999999997E-4</v>
      </c>
      <c r="K2680" t="s">
        <v>101</v>
      </c>
      <c r="N2680" t="s">
        <v>128</v>
      </c>
      <c r="O2680" t="s">
        <v>1541</v>
      </c>
      <c r="P2680" t="s">
        <v>224</v>
      </c>
      <c r="Q2680" s="1" t="s">
        <v>2276</v>
      </c>
      <c r="R2680" s="1" t="s">
        <v>751</v>
      </c>
      <c r="S2680" s="1" t="s">
        <v>2346</v>
      </c>
      <c r="T2680" t="s">
        <v>421</v>
      </c>
      <c r="U2680" t="s">
        <v>421</v>
      </c>
      <c r="V2680" t="s">
        <v>194</v>
      </c>
      <c r="W2680" t="s">
        <v>224</v>
      </c>
      <c r="X2680" t="s">
        <v>161</v>
      </c>
      <c r="Y2680" t="s">
        <v>2272</v>
      </c>
      <c r="Z2680" t="s">
        <v>2272</v>
      </c>
      <c r="AA2680" t="s">
        <v>2272</v>
      </c>
      <c r="AB2680" t="s">
        <v>2272</v>
      </c>
      <c r="AC2680" t="s">
        <v>162</v>
      </c>
      <c r="AD2680" t="s">
        <v>2272</v>
      </c>
      <c r="AF2680" t="s">
        <v>49</v>
      </c>
      <c r="AL2680" t="s">
        <v>49</v>
      </c>
      <c r="AM2680" t="s">
        <v>1335</v>
      </c>
      <c r="AN2680" t="s">
        <v>109</v>
      </c>
      <c r="AO2680" t="s">
        <v>790</v>
      </c>
      <c r="AQ2680" s="5">
        <v>1</v>
      </c>
    </row>
    <row r="2681" spans="1:43" x14ac:dyDescent="0.2">
      <c r="A2681" t="s">
        <v>1540</v>
      </c>
      <c r="B2681" t="s">
        <v>943</v>
      </c>
      <c r="C2681">
        <v>2014</v>
      </c>
      <c r="D2681" t="s">
        <v>45</v>
      </c>
      <c r="F2681" t="s">
        <v>81</v>
      </c>
      <c r="G2681" s="1" t="s">
        <v>86</v>
      </c>
      <c r="H2681" t="s">
        <v>96</v>
      </c>
      <c r="I2681">
        <v>2012</v>
      </c>
      <c r="J2681">
        <v>8.0000000000000002E-3</v>
      </c>
      <c r="K2681" t="s">
        <v>101</v>
      </c>
      <c r="N2681" t="s">
        <v>128</v>
      </c>
      <c r="O2681" t="s">
        <v>1541</v>
      </c>
      <c r="P2681" t="s">
        <v>224</v>
      </c>
      <c r="Q2681" s="1" t="s">
        <v>2276</v>
      </c>
      <c r="R2681" s="1" t="s">
        <v>751</v>
      </c>
      <c r="S2681" s="1" t="s">
        <v>2346</v>
      </c>
      <c r="T2681" t="s">
        <v>421</v>
      </c>
      <c r="U2681" t="s">
        <v>421</v>
      </c>
      <c r="V2681" t="s">
        <v>194</v>
      </c>
      <c r="W2681" t="s">
        <v>224</v>
      </c>
      <c r="X2681" t="s">
        <v>161</v>
      </c>
      <c r="Y2681" t="s">
        <v>2272</v>
      </c>
      <c r="Z2681" t="s">
        <v>2272</v>
      </c>
      <c r="AA2681" t="s">
        <v>2272</v>
      </c>
      <c r="AB2681" t="s">
        <v>2272</v>
      </c>
      <c r="AC2681" t="s">
        <v>162</v>
      </c>
      <c r="AD2681" t="s">
        <v>2272</v>
      </c>
      <c r="AF2681" t="s">
        <v>49</v>
      </c>
      <c r="AL2681" t="s">
        <v>49</v>
      </c>
      <c r="AM2681" t="s">
        <v>1335</v>
      </c>
      <c r="AN2681" t="s">
        <v>109</v>
      </c>
      <c r="AO2681" t="s">
        <v>790</v>
      </c>
      <c r="AQ2681" s="5">
        <v>1</v>
      </c>
    </row>
    <row r="2682" spans="1:43" x14ac:dyDescent="0.2">
      <c r="A2682" t="s">
        <v>1542</v>
      </c>
      <c r="B2682" t="s">
        <v>1543</v>
      </c>
      <c r="C2682">
        <v>2014</v>
      </c>
      <c r="D2682" t="s">
        <v>44</v>
      </c>
      <c r="E2682" t="s">
        <v>49</v>
      </c>
      <c r="F2682" t="s">
        <v>495</v>
      </c>
      <c r="G2682" s="1" t="s">
        <v>86</v>
      </c>
      <c r="H2682" t="s">
        <v>350</v>
      </c>
      <c r="I2682" t="s">
        <v>831</v>
      </c>
      <c r="J2682">
        <v>1</v>
      </c>
      <c r="K2682" t="s">
        <v>102</v>
      </c>
      <c r="L2682">
        <v>8</v>
      </c>
      <c r="M2682">
        <v>1.77E-2</v>
      </c>
      <c r="N2682" t="s">
        <v>121</v>
      </c>
      <c r="O2682" t="s">
        <v>264</v>
      </c>
      <c r="P2682" t="s">
        <v>286</v>
      </c>
      <c r="Q2682" s="1" t="s">
        <v>2292</v>
      </c>
      <c r="R2682" s="1" t="s">
        <v>264</v>
      </c>
      <c r="S2682" s="1" t="s">
        <v>264</v>
      </c>
      <c r="X2682" t="s">
        <v>189</v>
      </c>
      <c r="Y2682" t="s">
        <v>2279</v>
      </c>
      <c r="Z2682" t="s">
        <v>2280</v>
      </c>
      <c r="AA2682" t="s">
        <v>2358</v>
      </c>
      <c r="AB2682" t="s">
        <v>189</v>
      </c>
      <c r="AC2682" t="s">
        <v>152</v>
      </c>
      <c r="AD2682" t="s">
        <v>2278</v>
      </c>
      <c r="AG2682" t="s">
        <v>49</v>
      </c>
      <c r="AI2682" t="s">
        <v>49</v>
      </c>
      <c r="AM2682" t="s">
        <v>1038</v>
      </c>
      <c r="AN2682" t="s">
        <v>166</v>
      </c>
      <c r="AP2682" t="s">
        <v>51</v>
      </c>
    </row>
    <row r="2683" spans="1:43" x14ac:dyDescent="0.2">
      <c r="A2683" t="s">
        <v>1542</v>
      </c>
      <c r="B2683" t="s">
        <v>1543</v>
      </c>
      <c r="C2683">
        <v>2014</v>
      </c>
      <c r="D2683" t="s">
        <v>44</v>
      </c>
      <c r="E2683" t="s">
        <v>49</v>
      </c>
      <c r="F2683" t="s">
        <v>495</v>
      </c>
      <c r="G2683" s="1" t="s">
        <v>86</v>
      </c>
      <c r="H2683" t="s">
        <v>350</v>
      </c>
      <c r="I2683" t="s">
        <v>831</v>
      </c>
      <c r="J2683">
        <v>1</v>
      </c>
      <c r="K2683" t="s">
        <v>102</v>
      </c>
      <c r="L2683">
        <v>8</v>
      </c>
      <c r="M2683">
        <v>1.77E-2</v>
      </c>
      <c r="N2683" t="s">
        <v>121</v>
      </c>
      <c r="O2683" t="s">
        <v>264</v>
      </c>
      <c r="P2683" t="s">
        <v>286</v>
      </c>
      <c r="Q2683" s="1" t="s">
        <v>2292</v>
      </c>
      <c r="R2683" s="1" t="s">
        <v>264</v>
      </c>
      <c r="S2683" s="1" t="s">
        <v>264</v>
      </c>
      <c r="X2683" t="s">
        <v>293</v>
      </c>
      <c r="Y2683" t="s">
        <v>2273</v>
      </c>
      <c r="Z2683" t="s">
        <v>249</v>
      </c>
      <c r="AA2683" t="s">
        <v>2359</v>
      </c>
      <c r="AB2683" t="s">
        <v>1419</v>
      </c>
      <c r="AC2683" t="s">
        <v>152</v>
      </c>
      <c r="AD2683" t="s">
        <v>137</v>
      </c>
    </row>
    <row r="2684" spans="1:43" x14ac:dyDescent="0.2">
      <c r="A2684" t="s">
        <v>1542</v>
      </c>
      <c r="B2684" t="s">
        <v>1543</v>
      </c>
      <c r="C2684">
        <v>2014</v>
      </c>
      <c r="D2684" t="s">
        <v>44</v>
      </c>
      <c r="E2684" t="s">
        <v>49</v>
      </c>
      <c r="F2684" t="s">
        <v>495</v>
      </c>
      <c r="G2684" s="1" t="s">
        <v>86</v>
      </c>
      <c r="H2684" t="s">
        <v>350</v>
      </c>
      <c r="I2684" t="s">
        <v>831</v>
      </c>
      <c r="J2684">
        <v>1</v>
      </c>
      <c r="K2684" t="s">
        <v>102</v>
      </c>
      <c r="L2684">
        <v>8</v>
      </c>
      <c r="M2684">
        <v>1.77E-2</v>
      </c>
      <c r="N2684" t="s">
        <v>121</v>
      </c>
      <c r="O2684" t="s">
        <v>264</v>
      </c>
      <c r="P2684" t="s">
        <v>286</v>
      </c>
      <c r="Q2684" s="1" t="s">
        <v>2292</v>
      </c>
      <c r="R2684" s="1" t="s">
        <v>264</v>
      </c>
      <c r="S2684" s="1" t="s">
        <v>264</v>
      </c>
      <c r="X2684" t="s">
        <v>842</v>
      </c>
      <c r="Y2684" t="s">
        <v>2273</v>
      </c>
      <c r="Z2684" t="s">
        <v>249</v>
      </c>
      <c r="AA2684" t="s">
        <v>2359</v>
      </c>
      <c r="AB2684" t="s">
        <v>1979</v>
      </c>
      <c r="AC2684" t="s">
        <v>152</v>
      </c>
      <c r="AD2684" t="s">
        <v>2288</v>
      </c>
      <c r="AG2684" t="s">
        <v>49</v>
      </c>
      <c r="AI2684" t="s">
        <v>49</v>
      </c>
      <c r="AM2684" t="s">
        <v>1038</v>
      </c>
      <c r="AN2684" t="s">
        <v>166</v>
      </c>
      <c r="AP2684" t="s">
        <v>51</v>
      </c>
    </row>
    <row r="2685" spans="1:43" x14ac:dyDescent="0.2">
      <c r="A2685" t="s">
        <v>1542</v>
      </c>
      <c r="B2685" t="s">
        <v>1543</v>
      </c>
      <c r="C2685">
        <v>2014</v>
      </c>
      <c r="D2685" t="s">
        <v>44</v>
      </c>
      <c r="E2685" t="s">
        <v>49</v>
      </c>
      <c r="F2685" t="s">
        <v>495</v>
      </c>
      <c r="G2685" s="1" t="s">
        <v>86</v>
      </c>
      <c r="H2685" t="s">
        <v>350</v>
      </c>
      <c r="I2685" t="s">
        <v>831</v>
      </c>
      <c r="J2685">
        <v>1</v>
      </c>
      <c r="K2685" t="s">
        <v>102</v>
      </c>
      <c r="L2685">
        <v>8</v>
      </c>
      <c r="M2685">
        <v>1.77E-2</v>
      </c>
      <c r="N2685" t="s">
        <v>121</v>
      </c>
      <c r="O2685" t="s">
        <v>264</v>
      </c>
      <c r="P2685" t="s">
        <v>286</v>
      </c>
      <c r="Q2685" s="1" t="s">
        <v>2292</v>
      </c>
      <c r="R2685" s="1" t="s">
        <v>264</v>
      </c>
      <c r="S2685" s="1" t="s">
        <v>264</v>
      </c>
      <c r="X2685" t="s">
        <v>841</v>
      </c>
      <c r="Y2685" t="s">
        <v>2273</v>
      </c>
      <c r="Z2685" t="s">
        <v>249</v>
      </c>
      <c r="AA2685" t="s">
        <v>2359</v>
      </c>
      <c r="AB2685" t="s">
        <v>1979</v>
      </c>
      <c r="AC2685" t="s">
        <v>152</v>
      </c>
      <c r="AD2685" t="s">
        <v>2288</v>
      </c>
    </row>
    <row r="2686" spans="1:43" x14ac:dyDescent="0.2">
      <c r="A2686" t="s">
        <v>1542</v>
      </c>
      <c r="B2686" t="s">
        <v>1543</v>
      </c>
      <c r="C2686">
        <v>2014</v>
      </c>
      <c r="D2686" t="s">
        <v>44</v>
      </c>
      <c r="E2686" t="s">
        <v>49</v>
      </c>
      <c r="F2686" t="s">
        <v>495</v>
      </c>
      <c r="G2686" s="1" t="s">
        <v>86</v>
      </c>
      <c r="H2686" t="s">
        <v>350</v>
      </c>
      <c r="I2686" t="s">
        <v>831</v>
      </c>
      <c r="J2686">
        <v>1</v>
      </c>
      <c r="K2686" t="s">
        <v>102</v>
      </c>
      <c r="L2686">
        <v>8</v>
      </c>
      <c r="M2686">
        <v>1.77E-2</v>
      </c>
      <c r="N2686" t="s">
        <v>121</v>
      </c>
      <c r="O2686" t="s">
        <v>264</v>
      </c>
      <c r="P2686" t="s">
        <v>286</v>
      </c>
      <c r="Q2686" s="1" t="s">
        <v>2292</v>
      </c>
      <c r="R2686" s="1" t="s">
        <v>264</v>
      </c>
      <c r="S2686" s="1" t="s">
        <v>264</v>
      </c>
      <c r="T2686" t="s">
        <v>421</v>
      </c>
      <c r="U2686" t="s">
        <v>421</v>
      </c>
      <c r="X2686" t="s">
        <v>161</v>
      </c>
      <c r="Y2686" t="s">
        <v>2272</v>
      </c>
      <c r="Z2686" t="s">
        <v>2272</v>
      </c>
      <c r="AA2686" t="s">
        <v>2272</v>
      </c>
      <c r="AB2686" t="s">
        <v>2272</v>
      </c>
      <c r="AC2686" t="s">
        <v>162</v>
      </c>
      <c r="AD2686" t="s">
        <v>2272</v>
      </c>
      <c r="AG2686" t="s">
        <v>49</v>
      </c>
      <c r="AI2686" t="s">
        <v>49</v>
      </c>
      <c r="AM2686" t="s">
        <v>1038</v>
      </c>
      <c r="AN2686" t="s">
        <v>166</v>
      </c>
      <c r="AQ2686" s="5">
        <v>1</v>
      </c>
    </row>
    <row r="2687" spans="1:43" x14ac:dyDescent="0.2">
      <c r="A2687" t="s">
        <v>1542</v>
      </c>
      <c r="B2687" t="s">
        <v>1543</v>
      </c>
      <c r="C2687">
        <v>2014</v>
      </c>
      <c r="D2687" t="s">
        <v>44</v>
      </c>
      <c r="E2687" t="s">
        <v>49</v>
      </c>
      <c r="F2687" t="s">
        <v>495</v>
      </c>
      <c r="G2687" s="1" t="s">
        <v>86</v>
      </c>
      <c r="H2687" t="s">
        <v>350</v>
      </c>
      <c r="I2687" t="s">
        <v>831</v>
      </c>
      <c r="J2687">
        <v>1</v>
      </c>
      <c r="K2687" t="s">
        <v>102</v>
      </c>
      <c r="L2687">
        <v>8</v>
      </c>
      <c r="M2687">
        <v>1.77E-2</v>
      </c>
      <c r="N2687" t="s">
        <v>121</v>
      </c>
      <c r="O2687" t="s">
        <v>264</v>
      </c>
      <c r="P2687" t="s">
        <v>286</v>
      </c>
      <c r="Q2687" s="1" t="s">
        <v>2292</v>
      </c>
      <c r="R2687" s="1" t="s">
        <v>264</v>
      </c>
      <c r="S2687" s="1" t="s">
        <v>264</v>
      </c>
      <c r="T2687" t="s">
        <v>421</v>
      </c>
      <c r="U2687" t="s">
        <v>421</v>
      </c>
      <c r="X2687" t="s">
        <v>161</v>
      </c>
      <c r="Y2687" t="s">
        <v>2272</v>
      </c>
      <c r="Z2687" t="s">
        <v>2272</v>
      </c>
      <c r="AA2687" t="s">
        <v>2272</v>
      </c>
      <c r="AB2687" t="s">
        <v>2272</v>
      </c>
      <c r="AC2687" t="s">
        <v>162</v>
      </c>
      <c r="AD2687" t="s">
        <v>2272</v>
      </c>
      <c r="AG2687" t="s">
        <v>49</v>
      </c>
      <c r="AI2687" t="s">
        <v>49</v>
      </c>
      <c r="AM2687" t="s">
        <v>1038</v>
      </c>
      <c r="AN2687" t="s">
        <v>171</v>
      </c>
      <c r="AQ2687" s="5">
        <v>1</v>
      </c>
    </row>
    <row r="2688" spans="1:43" x14ac:dyDescent="0.2">
      <c r="A2688" t="s">
        <v>1542</v>
      </c>
      <c r="B2688" t="s">
        <v>1543</v>
      </c>
      <c r="C2688">
        <v>2014</v>
      </c>
      <c r="D2688" t="s">
        <v>44</v>
      </c>
      <c r="E2688" t="s">
        <v>49</v>
      </c>
      <c r="F2688" t="s">
        <v>495</v>
      </c>
      <c r="G2688" s="1" t="s">
        <v>86</v>
      </c>
      <c r="H2688" t="s">
        <v>350</v>
      </c>
      <c r="I2688" t="s">
        <v>831</v>
      </c>
      <c r="J2688">
        <v>1</v>
      </c>
      <c r="K2688" t="s">
        <v>102</v>
      </c>
      <c r="L2688">
        <v>8</v>
      </c>
      <c r="M2688">
        <v>1.77E-2</v>
      </c>
      <c r="N2688" t="s">
        <v>121</v>
      </c>
      <c r="O2688" t="s">
        <v>264</v>
      </c>
      <c r="P2688" t="s">
        <v>286</v>
      </c>
      <c r="Q2688" s="1" t="s">
        <v>2292</v>
      </c>
      <c r="R2688" s="1" t="s">
        <v>264</v>
      </c>
      <c r="S2688" s="1" t="s">
        <v>264</v>
      </c>
      <c r="T2688" t="s">
        <v>421</v>
      </c>
      <c r="U2688" t="s">
        <v>421</v>
      </c>
      <c r="X2688" t="s">
        <v>161</v>
      </c>
      <c r="Y2688" t="s">
        <v>2272</v>
      </c>
      <c r="Z2688" t="s">
        <v>2272</v>
      </c>
      <c r="AA2688" t="s">
        <v>2272</v>
      </c>
      <c r="AB2688" t="s">
        <v>2272</v>
      </c>
      <c r="AC2688" t="s">
        <v>162</v>
      </c>
      <c r="AD2688" t="s">
        <v>2272</v>
      </c>
      <c r="AG2688" t="s">
        <v>49</v>
      </c>
      <c r="AI2688" t="s">
        <v>49</v>
      </c>
      <c r="AM2688" t="s">
        <v>1038</v>
      </c>
      <c r="AN2688" t="s">
        <v>154</v>
      </c>
      <c r="AQ2688" s="5">
        <v>1</v>
      </c>
    </row>
    <row r="2689" spans="1:43" x14ac:dyDescent="0.2">
      <c r="A2689" t="s">
        <v>1542</v>
      </c>
      <c r="B2689" t="s">
        <v>1543</v>
      </c>
      <c r="C2689">
        <v>2014</v>
      </c>
      <c r="D2689" t="s">
        <v>44</v>
      </c>
      <c r="E2689" t="s">
        <v>49</v>
      </c>
      <c r="F2689" t="s">
        <v>495</v>
      </c>
      <c r="G2689" s="1" t="s">
        <v>86</v>
      </c>
      <c r="H2689" t="s">
        <v>350</v>
      </c>
      <c r="I2689" t="s">
        <v>831</v>
      </c>
      <c r="J2689">
        <v>1</v>
      </c>
      <c r="K2689" t="s">
        <v>102</v>
      </c>
      <c r="L2689">
        <v>8</v>
      </c>
      <c r="M2689">
        <v>1.77E-2</v>
      </c>
      <c r="N2689" t="s">
        <v>121</v>
      </c>
      <c r="O2689" t="s">
        <v>264</v>
      </c>
      <c r="P2689" t="s">
        <v>286</v>
      </c>
      <c r="Q2689" s="1" t="s">
        <v>2292</v>
      </c>
      <c r="R2689" s="1" t="s">
        <v>264</v>
      </c>
      <c r="S2689" s="1" t="s">
        <v>264</v>
      </c>
      <c r="T2689" t="s">
        <v>421</v>
      </c>
      <c r="U2689" t="s">
        <v>421</v>
      </c>
      <c r="X2689" t="s">
        <v>161</v>
      </c>
      <c r="Y2689" t="s">
        <v>2272</v>
      </c>
      <c r="Z2689" t="s">
        <v>2272</v>
      </c>
      <c r="AA2689" t="s">
        <v>2272</v>
      </c>
      <c r="AB2689" t="s">
        <v>2272</v>
      </c>
      <c r="AC2689" t="s">
        <v>162</v>
      </c>
      <c r="AD2689" t="s">
        <v>2272</v>
      </c>
      <c r="AG2689" t="s">
        <v>49</v>
      </c>
      <c r="AI2689" t="s">
        <v>49</v>
      </c>
      <c r="AM2689" t="s">
        <v>1038</v>
      </c>
      <c r="AN2689" t="s">
        <v>165</v>
      </c>
      <c r="AP2689" t="s">
        <v>49</v>
      </c>
    </row>
    <row r="2690" spans="1:43" x14ac:dyDescent="0.2">
      <c r="A2690" t="s">
        <v>1542</v>
      </c>
      <c r="B2690" t="s">
        <v>1543</v>
      </c>
      <c r="C2690">
        <v>2014</v>
      </c>
      <c r="D2690" t="s">
        <v>44</v>
      </c>
      <c r="E2690" t="s">
        <v>49</v>
      </c>
      <c r="F2690" t="s">
        <v>495</v>
      </c>
      <c r="G2690" s="1" t="s">
        <v>86</v>
      </c>
      <c r="H2690" t="s">
        <v>350</v>
      </c>
      <c r="I2690" t="s">
        <v>831</v>
      </c>
      <c r="J2690">
        <v>1</v>
      </c>
      <c r="K2690" t="s">
        <v>102</v>
      </c>
      <c r="L2690">
        <v>8</v>
      </c>
      <c r="M2690">
        <v>1.77E-2</v>
      </c>
      <c r="N2690" t="s">
        <v>121</v>
      </c>
      <c r="O2690" t="s">
        <v>264</v>
      </c>
      <c r="P2690" t="s">
        <v>286</v>
      </c>
      <c r="Q2690" s="1" t="s">
        <v>2292</v>
      </c>
      <c r="R2690" s="1" t="s">
        <v>264</v>
      </c>
      <c r="S2690" s="1" t="s">
        <v>264</v>
      </c>
      <c r="X2690" t="s">
        <v>189</v>
      </c>
      <c r="Y2690" t="s">
        <v>2279</v>
      </c>
      <c r="Z2690" t="s">
        <v>2280</v>
      </c>
      <c r="AA2690" t="s">
        <v>2358</v>
      </c>
      <c r="AB2690" t="s">
        <v>189</v>
      </c>
      <c r="AC2690" t="s">
        <v>152</v>
      </c>
      <c r="AD2690" t="s">
        <v>2278</v>
      </c>
      <c r="AG2690" t="s">
        <v>49</v>
      </c>
      <c r="AI2690" t="s">
        <v>49</v>
      </c>
      <c r="AM2690" t="s">
        <v>1038</v>
      </c>
      <c r="AN2690" t="s">
        <v>171</v>
      </c>
      <c r="AP2690" t="s">
        <v>51</v>
      </c>
    </row>
    <row r="2691" spans="1:43" x14ac:dyDescent="0.2">
      <c r="A2691" t="s">
        <v>1542</v>
      </c>
      <c r="B2691" t="s">
        <v>1543</v>
      </c>
      <c r="C2691">
        <v>2014</v>
      </c>
      <c r="D2691" t="s">
        <v>44</v>
      </c>
      <c r="E2691" t="s">
        <v>49</v>
      </c>
      <c r="F2691" t="s">
        <v>495</v>
      </c>
      <c r="G2691" s="1" t="s">
        <v>86</v>
      </c>
      <c r="H2691" t="s">
        <v>350</v>
      </c>
      <c r="I2691" t="s">
        <v>831</v>
      </c>
      <c r="J2691">
        <v>1</v>
      </c>
      <c r="K2691" t="s">
        <v>102</v>
      </c>
      <c r="L2691">
        <v>8</v>
      </c>
      <c r="M2691">
        <v>1.77E-2</v>
      </c>
      <c r="N2691" t="s">
        <v>121</v>
      </c>
      <c r="O2691" t="s">
        <v>264</v>
      </c>
      <c r="P2691" t="s">
        <v>286</v>
      </c>
      <c r="Q2691" s="1" t="s">
        <v>2292</v>
      </c>
      <c r="R2691" s="1" t="s">
        <v>264</v>
      </c>
      <c r="S2691" s="1" t="s">
        <v>264</v>
      </c>
      <c r="X2691" t="s">
        <v>842</v>
      </c>
      <c r="Y2691" t="s">
        <v>2273</v>
      </c>
      <c r="Z2691" t="s">
        <v>249</v>
      </c>
      <c r="AA2691" t="s">
        <v>2359</v>
      </c>
      <c r="AB2691" t="s">
        <v>1979</v>
      </c>
      <c r="AC2691" t="s">
        <v>152</v>
      </c>
      <c r="AD2691" t="s">
        <v>2288</v>
      </c>
      <c r="AG2691" t="s">
        <v>49</v>
      </c>
      <c r="AI2691" t="s">
        <v>49</v>
      </c>
      <c r="AM2691" t="s">
        <v>1038</v>
      </c>
      <c r="AN2691" t="s">
        <v>171</v>
      </c>
      <c r="AP2691" t="s">
        <v>49</v>
      </c>
    </row>
    <row r="2692" spans="1:43" x14ac:dyDescent="0.2">
      <c r="A2692" t="s">
        <v>1542</v>
      </c>
      <c r="B2692" t="s">
        <v>1543</v>
      </c>
      <c r="C2692">
        <v>2014</v>
      </c>
      <c r="D2692" t="s">
        <v>44</v>
      </c>
      <c r="E2692" t="s">
        <v>49</v>
      </c>
      <c r="F2692" t="s">
        <v>495</v>
      </c>
      <c r="G2692" s="1" t="s">
        <v>86</v>
      </c>
      <c r="H2692" t="s">
        <v>350</v>
      </c>
      <c r="I2692" t="s">
        <v>831</v>
      </c>
      <c r="J2692">
        <v>1</v>
      </c>
      <c r="K2692" t="s">
        <v>102</v>
      </c>
      <c r="L2692">
        <v>8</v>
      </c>
      <c r="M2692">
        <v>1.77E-2</v>
      </c>
      <c r="N2692" t="s">
        <v>121</v>
      </c>
      <c r="O2692" t="s">
        <v>264</v>
      </c>
      <c r="P2692" t="s">
        <v>286</v>
      </c>
      <c r="Q2692" s="1" t="s">
        <v>2292</v>
      </c>
      <c r="R2692" s="1" t="s">
        <v>264</v>
      </c>
      <c r="S2692" s="1" t="s">
        <v>264</v>
      </c>
      <c r="X2692" t="s">
        <v>189</v>
      </c>
      <c r="Y2692" t="s">
        <v>2279</v>
      </c>
      <c r="Z2692" t="s">
        <v>2280</v>
      </c>
      <c r="AA2692" t="s">
        <v>2358</v>
      </c>
      <c r="AB2692" t="s">
        <v>189</v>
      </c>
      <c r="AC2692" t="s">
        <v>152</v>
      </c>
      <c r="AD2692" t="s">
        <v>2278</v>
      </c>
      <c r="AG2692" t="s">
        <v>49</v>
      </c>
      <c r="AI2692" t="s">
        <v>49</v>
      </c>
      <c r="AM2692" t="s">
        <v>1038</v>
      </c>
      <c r="AN2692" t="s">
        <v>154</v>
      </c>
      <c r="AP2692" t="s">
        <v>51</v>
      </c>
    </row>
    <row r="2693" spans="1:43" x14ac:dyDescent="0.2">
      <c r="A2693" t="s">
        <v>1542</v>
      </c>
      <c r="B2693" t="s">
        <v>1543</v>
      </c>
      <c r="C2693">
        <v>2014</v>
      </c>
      <c r="D2693" t="s">
        <v>44</v>
      </c>
      <c r="E2693" t="s">
        <v>49</v>
      </c>
      <c r="F2693" t="s">
        <v>495</v>
      </c>
      <c r="G2693" s="1" t="s">
        <v>86</v>
      </c>
      <c r="H2693" t="s">
        <v>350</v>
      </c>
      <c r="I2693" t="s">
        <v>831</v>
      </c>
      <c r="J2693">
        <v>1</v>
      </c>
      <c r="K2693" t="s">
        <v>102</v>
      </c>
      <c r="L2693">
        <v>8</v>
      </c>
      <c r="M2693">
        <v>1.77E-2</v>
      </c>
      <c r="N2693" t="s">
        <v>121</v>
      </c>
      <c r="O2693" t="s">
        <v>264</v>
      </c>
      <c r="P2693" t="s">
        <v>286</v>
      </c>
      <c r="Q2693" s="1" t="s">
        <v>2292</v>
      </c>
      <c r="R2693" s="1" t="s">
        <v>264</v>
      </c>
      <c r="S2693" s="1" t="s">
        <v>264</v>
      </c>
      <c r="X2693" t="s">
        <v>842</v>
      </c>
      <c r="Y2693" t="s">
        <v>2273</v>
      </c>
      <c r="Z2693" t="s">
        <v>249</v>
      </c>
      <c r="AA2693" t="s">
        <v>2359</v>
      </c>
      <c r="AB2693" t="s">
        <v>1979</v>
      </c>
      <c r="AC2693" t="s">
        <v>152</v>
      </c>
      <c r="AD2693" t="s">
        <v>2288</v>
      </c>
      <c r="AG2693" t="s">
        <v>49</v>
      </c>
      <c r="AI2693" t="s">
        <v>49</v>
      </c>
      <c r="AM2693" t="s">
        <v>1038</v>
      </c>
      <c r="AN2693" t="s">
        <v>154</v>
      </c>
      <c r="AP2693" t="s">
        <v>49</v>
      </c>
    </row>
    <row r="2694" spans="1:43" x14ac:dyDescent="0.2">
      <c r="A2694" t="s">
        <v>1542</v>
      </c>
      <c r="B2694" t="s">
        <v>1543</v>
      </c>
      <c r="C2694">
        <v>2014</v>
      </c>
      <c r="D2694" t="s">
        <v>44</v>
      </c>
      <c r="E2694" t="s">
        <v>49</v>
      </c>
      <c r="F2694" t="s">
        <v>495</v>
      </c>
      <c r="G2694" s="1" t="s">
        <v>86</v>
      </c>
      <c r="H2694" t="s">
        <v>350</v>
      </c>
      <c r="I2694" t="s">
        <v>831</v>
      </c>
      <c r="J2694">
        <v>1</v>
      </c>
      <c r="K2694" t="s">
        <v>102</v>
      </c>
      <c r="L2694">
        <v>8</v>
      </c>
      <c r="M2694">
        <v>1.77E-2</v>
      </c>
      <c r="N2694" t="s">
        <v>121</v>
      </c>
      <c r="O2694" t="s">
        <v>264</v>
      </c>
      <c r="P2694" t="s">
        <v>286</v>
      </c>
      <c r="Q2694" s="1" t="s">
        <v>2292</v>
      </c>
      <c r="R2694" s="1" t="s">
        <v>264</v>
      </c>
      <c r="S2694" s="1" t="s">
        <v>264</v>
      </c>
      <c r="X2694" t="s">
        <v>189</v>
      </c>
      <c r="Y2694" t="s">
        <v>2279</v>
      </c>
      <c r="Z2694" t="s">
        <v>2280</v>
      </c>
      <c r="AA2694" t="s">
        <v>2358</v>
      </c>
      <c r="AB2694" t="s">
        <v>189</v>
      </c>
      <c r="AC2694" t="s">
        <v>152</v>
      </c>
      <c r="AD2694" t="s">
        <v>2278</v>
      </c>
      <c r="AG2694" t="s">
        <v>49</v>
      </c>
      <c r="AI2694" t="s">
        <v>49</v>
      </c>
      <c r="AM2694" t="s">
        <v>1038</v>
      </c>
      <c r="AN2694" t="s">
        <v>165</v>
      </c>
      <c r="AP2694" t="s">
        <v>49</v>
      </c>
    </row>
    <row r="2695" spans="1:43" x14ac:dyDescent="0.2">
      <c r="A2695" t="s">
        <v>1542</v>
      </c>
      <c r="B2695" t="s">
        <v>1543</v>
      </c>
      <c r="C2695">
        <v>2014</v>
      </c>
      <c r="D2695" t="s">
        <v>44</v>
      </c>
      <c r="E2695" t="s">
        <v>49</v>
      </c>
      <c r="F2695" t="s">
        <v>495</v>
      </c>
      <c r="G2695" s="1" t="s">
        <v>86</v>
      </c>
      <c r="H2695" t="s">
        <v>350</v>
      </c>
      <c r="I2695" t="s">
        <v>831</v>
      </c>
      <c r="J2695">
        <v>1</v>
      </c>
      <c r="K2695" t="s">
        <v>102</v>
      </c>
      <c r="L2695">
        <v>8</v>
      </c>
      <c r="M2695">
        <v>1.77E-2</v>
      </c>
      <c r="N2695" t="s">
        <v>121</v>
      </c>
      <c r="O2695" t="s">
        <v>264</v>
      </c>
      <c r="P2695" t="s">
        <v>286</v>
      </c>
      <c r="Q2695" s="1" t="s">
        <v>2292</v>
      </c>
      <c r="R2695" s="1" t="s">
        <v>264</v>
      </c>
      <c r="S2695" s="1" t="s">
        <v>264</v>
      </c>
      <c r="X2695" t="s">
        <v>842</v>
      </c>
      <c r="Y2695" t="s">
        <v>2273</v>
      </c>
      <c r="Z2695" t="s">
        <v>249</v>
      </c>
      <c r="AA2695" t="s">
        <v>2359</v>
      </c>
      <c r="AB2695" t="s">
        <v>1979</v>
      </c>
      <c r="AC2695" t="s">
        <v>152</v>
      </c>
      <c r="AD2695" t="s">
        <v>2288</v>
      </c>
      <c r="AG2695" t="s">
        <v>49</v>
      </c>
      <c r="AI2695" t="s">
        <v>49</v>
      </c>
      <c r="AM2695" t="s">
        <v>1038</v>
      </c>
      <c r="AN2695" t="s">
        <v>165</v>
      </c>
      <c r="AP2695" t="s">
        <v>49</v>
      </c>
    </row>
    <row r="2696" spans="1:43" x14ac:dyDescent="0.2">
      <c r="A2696" t="s">
        <v>1544</v>
      </c>
      <c r="B2696" t="s">
        <v>1545</v>
      </c>
      <c r="C2696">
        <v>2014</v>
      </c>
      <c r="D2696" t="s">
        <v>44</v>
      </c>
      <c r="F2696" t="s">
        <v>1546</v>
      </c>
      <c r="G2696" s="1" t="s">
        <v>516</v>
      </c>
      <c r="H2696" t="s">
        <v>350</v>
      </c>
      <c r="I2696">
        <v>2006</v>
      </c>
      <c r="K2696" t="s">
        <v>101</v>
      </c>
      <c r="L2696">
        <v>220</v>
      </c>
      <c r="N2696" t="s">
        <v>125</v>
      </c>
      <c r="O2696" t="s">
        <v>1548</v>
      </c>
      <c r="P2696" t="s">
        <v>1547</v>
      </c>
      <c r="Q2696" s="1" t="s">
        <v>2276</v>
      </c>
      <c r="R2696" s="1" t="s">
        <v>751</v>
      </c>
      <c r="S2696" s="1" t="s">
        <v>2345</v>
      </c>
      <c r="T2696" t="s">
        <v>421</v>
      </c>
      <c r="U2696" t="s">
        <v>421</v>
      </c>
      <c r="X2696" t="s">
        <v>161</v>
      </c>
      <c r="Y2696" t="s">
        <v>2272</v>
      </c>
      <c r="Z2696" t="s">
        <v>2272</v>
      </c>
      <c r="AA2696" t="s">
        <v>2272</v>
      </c>
      <c r="AB2696" t="s">
        <v>2272</v>
      </c>
      <c r="AC2696" t="s">
        <v>162</v>
      </c>
      <c r="AD2696" t="s">
        <v>2272</v>
      </c>
      <c r="AF2696" t="s">
        <v>49</v>
      </c>
      <c r="AI2696" t="s">
        <v>49</v>
      </c>
      <c r="AM2696" t="s">
        <v>202</v>
      </c>
      <c r="AN2696" t="s">
        <v>154</v>
      </c>
      <c r="AQ2696" s="5">
        <v>1</v>
      </c>
    </row>
    <row r="2697" spans="1:43" x14ac:dyDescent="0.2">
      <c r="A2697" t="s">
        <v>1544</v>
      </c>
      <c r="B2697" t="s">
        <v>1545</v>
      </c>
      <c r="C2697">
        <v>2014</v>
      </c>
      <c r="D2697" t="s">
        <v>44</v>
      </c>
      <c r="F2697" t="s">
        <v>1546</v>
      </c>
      <c r="G2697" s="1" t="s">
        <v>516</v>
      </c>
      <c r="H2697" t="s">
        <v>350</v>
      </c>
      <c r="I2697">
        <v>2006</v>
      </c>
      <c r="K2697" t="s">
        <v>101</v>
      </c>
      <c r="L2697">
        <v>220</v>
      </c>
      <c r="N2697" t="s">
        <v>125</v>
      </c>
      <c r="O2697" t="s">
        <v>1548</v>
      </c>
      <c r="P2697" t="s">
        <v>1547</v>
      </c>
      <c r="Q2697" s="1" t="s">
        <v>2276</v>
      </c>
      <c r="R2697" s="1" t="s">
        <v>751</v>
      </c>
      <c r="S2697" s="1" t="s">
        <v>2345</v>
      </c>
      <c r="X2697" t="s">
        <v>177</v>
      </c>
      <c r="Y2697" t="s">
        <v>2273</v>
      </c>
      <c r="Z2697" t="s">
        <v>249</v>
      </c>
      <c r="AA2697" t="s">
        <v>2359</v>
      </c>
      <c r="AB2697" t="s">
        <v>1419</v>
      </c>
      <c r="AC2697" t="s">
        <v>152</v>
      </c>
      <c r="AD2697" t="s">
        <v>137</v>
      </c>
    </row>
    <row r="2698" spans="1:43" x14ac:dyDescent="0.2">
      <c r="A2698" t="s">
        <v>1544</v>
      </c>
      <c r="B2698" t="s">
        <v>1545</v>
      </c>
      <c r="C2698">
        <v>2014</v>
      </c>
      <c r="D2698" t="s">
        <v>44</v>
      </c>
      <c r="F2698" t="s">
        <v>1546</v>
      </c>
      <c r="G2698" s="1" t="s">
        <v>516</v>
      </c>
      <c r="H2698" t="s">
        <v>350</v>
      </c>
      <c r="I2698">
        <v>2006</v>
      </c>
      <c r="K2698" t="s">
        <v>101</v>
      </c>
      <c r="L2698">
        <v>220</v>
      </c>
      <c r="N2698" t="s">
        <v>125</v>
      </c>
      <c r="O2698" t="s">
        <v>1548</v>
      </c>
      <c r="P2698" t="s">
        <v>1547</v>
      </c>
      <c r="Q2698" s="1" t="s">
        <v>2276</v>
      </c>
      <c r="R2698" s="1" t="s">
        <v>751</v>
      </c>
      <c r="S2698" s="1" t="s">
        <v>2345</v>
      </c>
      <c r="X2698" t="s">
        <v>615</v>
      </c>
      <c r="Y2698" t="s">
        <v>2273</v>
      </c>
      <c r="Z2698" t="s">
        <v>249</v>
      </c>
      <c r="AA2698" t="s">
        <v>2359</v>
      </c>
      <c r="AB2698" t="s">
        <v>2285</v>
      </c>
      <c r="AC2698" t="s">
        <v>315</v>
      </c>
      <c r="AD2698" t="s">
        <v>137</v>
      </c>
    </row>
    <row r="2699" spans="1:43" x14ac:dyDescent="0.2">
      <c r="A2699" t="s">
        <v>1544</v>
      </c>
      <c r="B2699" t="s">
        <v>1545</v>
      </c>
      <c r="C2699">
        <v>2014</v>
      </c>
      <c r="D2699" t="s">
        <v>44</v>
      </c>
      <c r="F2699" t="s">
        <v>1546</v>
      </c>
      <c r="G2699" s="1" t="s">
        <v>516</v>
      </c>
      <c r="H2699" t="s">
        <v>350</v>
      </c>
      <c r="I2699">
        <v>2006</v>
      </c>
      <c r="K2699" t="s">
        <v>101</v>
      </c>
      <c r="L2699">
        <v>220</v>
      </c>
      <c r="N2699" t="s">
        <v>125</v>
      </c>
      <c r="O2699" t="s">
        <v>1548</v>
      </c>
      <c r="P2699" t="s">
        <v>1547</v>
      </c>
      <c r="Q2699" s="1" t="s">
        <v>2276</v>
      </c>
      <c r="R2699" s="1" t="s">
        <v>751</v>
      </c>
      <c r="S2699" s="1" t="s">
        <v>2345</v>
      </c>
      <c r="X2699" t="s">
        <v>502</v>
      </c>
      <c r="Y2699" t="s">
        <v>2273</v>
      </c>
      <c r="Z2699" t="s">
        <v>249</v>
      </c>
      <c r="AA2699" t="s">
        <v>2359</v>
      </c>
      <c r="AB2699" t="s">
        <v>2289</v>
      </c>
      <c r="AC2699" t="s">
        <v>315</v>
      </c>
      <c r="AD2699" t="s">
        <v>137</v>
      </c>
    </row>
    <row r="2700" spans="1:43" x14ac:dyDescent="0.2">
      <c r="A2700" t="s">
        <v>1544</v>
      </c>
      <c r="B2700" t="s">
        <v>1545</v>
      </c>
      <c r="C2700">
        <v>2014</v>
      </c>
      <c r="D2700" t="s">
        <v>44</v>
      </c>
      <c r="F2700" t="s">
        <v>1546</v>
      </c>
      <c r="G2700" s="1" t="s">
        <v>516</v>
      </c>
      <c r="H2700" t="s">
        <v>350</v>
      </c>
      <c r="I2700">
        <v>2006</v>
      </c>
      <c r="K2700" t="s">
        <v>101</v>
      </c>
      <c r="L2700">
        <v>220</v>
      </c>
      <c r="N2700" t="s">
        <v>125</v>
      </c>
      <c r="O2700" t="s">
        <v>1548</v>
      </c>
      <c r="P2700" t="s">
        <v>1547</v>
      </c>
      <c r="Q2700" s="1" t="s">
        <v>2276</v>
      </c>
      <c r="R2700" s="1" t="s">
        <v>751</v>
      </c>
      <c r="S2700" s="1" t="s">
        <v>2345</v>
      </c>
      <c r="X2700" t="s">
        <v>249</v>
      </c>
      <c r="Y2700" t="s">
        <v>2273</v>
      </c>
      <c r="Z2700" t="s">
        <v>249</v>
      </c>
      <c r="AA2700" t="s">
        <v>2274</v>
      </c>
      <c r="AB2700" t="s">
        <v>2283</v>
      </c>
      <c r="AC2700" t="s">
        <v>315</v>
      </c>
      <c r="AD2700" t="s">
        <v>137</v>
      </c>
      <c r="AF2700" t="s">
        <v>49</v>
      </c>
      <c r="AI2700" t="s">
        <v>49</v>
      </c>
      <c r="AM2700" t="s">
        <v>202</v>
      </c>
      <c r="AN2700" t="s">
        <v>154</v>
      </c>
    </row>
    <row r="2701" spans="1:43" x14ac:dyDescent="0.2">
      <c r="A2701" t="s">
        <v>1549</v>
      </c>
      <c r="B2701" t="s">
        <v>1550</v>
      </c>
      <c r="C2701">
        <v>2014</v>
      </c>
      <c r="D2701" t="s">
        <v>44</v>
      </c>
      <c r="F2701" t="s">
        <v>1551</v>
      </c>
      <c r="G2701" s="1" t="s">
        <v>86</v>
      </c>
      <c r="H2701" t="s">
        <v>350</v>
      </c>
      <c r="I2701">
        <v>2007</v>
      </c>
      <c r="J2701">
        <f t="shared" ref="J2701:J2712" si="56">3/12</f>
        <v>0.25</v>
      </c>
      <c r="K2701" t="s">
        <v>101</v>
      </c>
      <c r="L2701">
        <v>490</v>
      </c>
      <c r="M2701">
        <v>0</v>
      </c>
      <c r="N2701" t="s">
        <v>132</v>
      </c>
      <c r="O2701" t="s">
        <v>1553</v>
      </c>
      <c r="P2701" t="s">
        <v>1552</v>
      </c>
      <c r="Q2701" s="1" t="s">
        <v>2276</v>
      </c>
      <c r="R2701" s="1" t="s">
        <v>669</v>
      </c>
      <c r="S2701" s="1" t="s">
        <v>168</v>
      </c>
      <c r="X2701" t="s">
        <v>502</v>
      </c>
      <c r="Y2701" t="s">
        <v>2273</v>
      </c>
      <c r="Z2701" t="s">
        <v>249</v>
      </c>
      <c r="AA2701" t="s">
        <v>2359</v>
      </c>
      <c r="AB2701" t="s">
        <v>2289</v>
      </c>
      <c r="AC2701" t="s">
        <v>152</v>
      </c>
      <c r="AD2701" t="s">
        <v>137</v>
      </c>
    </row>
    <row r="2702" spans="1:43" x14ac:dyDescent="0.2">
      <c r="A2702" t="s">
        <v>1549</v>
      </c>
      <c r="B2702" t="s">
        <v>1550</v>
      </c>
      <c r="C2702">
        <v>2014</v>
      </c>
      <c r="D2702" t="s">
        <v>44</v>
      </c>
      <c r="F2702" t="s">
        <v>1551</v>
      </c>
      <c r="G2702" s="1" t="s">
        <v>86</v>
      </c>
      <c r="H2702" t="s">
        <v>350</v>
      </c>
      <c r="I2702">
        <v>2007</v>
      </c>
      <c r="J2702">
        <f t="shared" si="56"/>
        <v>0.25</v>
      </c>
      <c r="K2702" t="s">
        <v>101</v>
      </c>
      <c r="L2702">
        <v>490</v>
      </c>
      <c r="M2702">
        <v>0</v>
      </c>
      <c r="N2702" t="s">
        <v>132</v>
      </c>
      <c r="O2702" t="s">
        <v>1553</v>
      </c>
      <c r="P2702" t="s">
        <v>1552</v>
      </c>
      <c r="Q2702" s="1" t="s">
        <v>2276</v>
      </c>
      <c r="R2702" s="1" t="s">
        <v>669</v>
      </c>
      <c r="S2702" s="1" t="s">
        <v>168</v>
      </c>
      <c r="X2702" t="s">
        <v>819</v>
      </c>
      <c r="Y2702" t="s">
        <v>2273</v>
      </c>
      <c r="Z2702" t="s">
        <v>249</v>
      </c>
      <c r="AA2702" t="s">
        <v>2359</v>
      </c>
      <c r="AB2702" t="s">
        <v>1419</v>
      </c>
      <c r="AC2702" t="s">
        <v>152</v>
      </c>
      <c r="AD2702" t="s">
        <v>137</v>
      </c>
    </row>
    <row r="2703" spans="1:43" x14ac:dyDescent="0.2">
      <c r="A2703" t="s">
        <v>1549</v>
      </c>
      <c r="B2703" t="s">
        <v>1550</v>
      </c>
      <c r="C2703">
        <v>2014</v>
      </c>
      <c r="D2703" t="s">
        <v>44</v>
      </c>
      <c r="F2703" t="s">
        <v>1551</v>
      </c>
      <c r="G2703" s="1" t="s">
        <v>86</v>
      </c>
      <c r="H2703" t="s">
        <v>350</v>
      </c>
      <c r="I2703">
        <v>2007</v>
      </c>
      <c r="J2703">
        <f t="shared" si="56"/>
        <v>0.25</v>
      </c>
      <c r="K2703" t="s">
        <v>101</v>
      </c>
      <c r="L2703">
        <v>490</v>
      </c>
      <c r="M2703">
        <v>0</v>
      </c>
      <c r="N2703" t="s">
        <v>132</v>
      </c>
      <c r="O2703" t="s">
        <v>1553</v>
      </c>
      <c r="P2703" t="s">
        <v>1552</v>
      </c>
      <c r="Q2703" s="1" t="s">
        <v>2276</v>
      </c>
      <c r="R2703" s="1" t="s">
        <v>669</v>
      </c>
      <c r="S2703" s="1" t="s">
        <v>168</v>
      </c>
      <c r="X2703" t="s">
        <v>1554</v>
      </c>
      <c r="Y2703" t="s">
        <v>2273</v>
      </c>
      <c r="Z2703" t="s">
        <v>249</v>
      </c>
      <c r="AA2703" t="s">
        <v>2274</v>
      </c>
      <c r="AB2703" t="s">
        <v>2283</v>
      </c>
      <c r="AC2703" t="s">
        <v>315</v>
      </c>
      <c r="AD2703" t="s">
        <v>137</v>
      </c>
      <c r="AE2703" t="s">
        <v>415</v>
      </c>
    </row>
    <row r="2704" spans="1:43" x14ac:dyDescent="0.2">
      <c r="A2704" t="s">
        <v>1549</v>
      </c>
      <c r="B2704" t="s">
        <v>1550</v>
      </c>
      <c r="C2704">
        <v>2014</v>
      </c>
      <c r="D2704" t="s">
        <v>44</v>
      </c>
      <c r="F2704" t="s">
        <v>1551</v>
      </c>
      <c r="G2704" s="1" t="s">
        <v>86</v>
      </c>
      <c r="H2704" t="s">
        <v>350</v>
      </c>
      <c r="I2704">
        <v>2007</v>
      </c>
      <c r="J2704">
        <f t="shared" si="56"/>
        <v>0.25</v>
      </c>
      <c r="K2704" t="s">
        <v>101</v>
      </c>
      <c r="L2704">
        <v>490</v>
      </c>
      <c r="M2704">
        <v>0</v>
      </c>
      <c r="N2704" t="s">
        <v>132</v>
      </c>
      <c r="O2704" t="s">
        <v>1553</v>
      </c>
      <c r="P2704" t="s">
        <v>1552</v>
      </c>
      <c r="Q2704" s="1" t="s">
        <v>2276</v>
      </c>
      <c r="R2704" s="1" t="s">
        <v>669</v>
      </c>
      <c r="S2704" s="1" t="s">
        <v>168</v>
      </c>
      <c r="X2704" t="s">
        <v>642</v>
      </c>
      <c r="Y2704" t="s">
        <v>2273</v>
      </c>
      <c r="Z2704" t="s">
        <v>249</v>
      </c>
      <c r="AA2704" t="s">
        <v>2359</v>
      </c>
      <c r="AB2704" t="s">
        <v>1979</v>
      </c>
      <c r="AC2704" t="s">
        <v>152</v>
      </c>
      <c r="AD2704" t="s">
        <v>137</v>
      </c>
      <c r="AE2704" t="s">
        <v>415</v>
      </c>
    </row>
    <row r="2705" spans="1:45" x14ac:dyDescent="0.2">
      <c r="A2705" t="s">
        <v>1549</v>
      </c>
      <c r="B2705" t="s">
        <v>1550</v>
      </c>
      <c r="C2705">
        <v>2014</v>
      </c>
      <c r="D2705" t="s">
        <v>44</v>
      </c>
      <c r="F2705" t="s">
        <v>1551</v>
      </c>
      <c r="G2705" s="1" t="s">
        <v>86</v>
      </c>
      <c r="H2705" t="s">
        <v>350</v>
      </c>
      <c r="I2705">
        <v>2007</v>
      </c>
      <c r="J2705">
        <f t="shared" si="56"/>
        <v>0.25</v>
      </c>
      <c r="K2705" t="s">
        <v>101</v>
      </c>
      <c r="L2705">
        <v>490</v>
      </c>
      <c r="M2705">
        <v>0</v>
      </c>
      <c r="N2705" t="s">
        <v>132</v>
      </c>
      <c r="O2705" t="s">
        <v>1553</v>
      </c>
      <c r="P2705" t="s">
        <v>169</v>
      </c>
      <c r="Q2705" s="1" t="s">
        <v>2276</v>
      </c>
      <c r="R2705" s="1" t="s">
        <v>669</v>
      </c>
      <c r="S2705" s="1" t="s">
        <v>168</v>
      </c>
      <c r="T2705" t="s">
        <v>396</v>
      </c>
      <c r="U2705" t="s">
        <v>168</v>
      </c>
      <c r="X2705" t="s">
        <v>161</v>
      </c>
      <c r="Y2705" t="s">
        <v>2272</v>
      </c>
      <c r="Z2705" t="s">
        <v>2272</v>
      </c>
      <c r="AA2705" t="s">
        <v>2272</v>
      </c>
      <c r="AB2705" t="s">
        <v>2272</v>
      </c>
      <c r="AC2705" t="s">
        <v>162</v>
      </c>
      <c r="AD2705" t="s">
        <v>2272</v>
      </c>
      <c r="AF2705" t="s">
        <v>49</v>
      </c>
      <c r="AI2705" t="s">
        <v>49</v>
      </c>
      <c r="AM2705" t="s">
        <v>202</v>
      </c>
      <c r="AN2705" t="s">
        <v>166</v>
      </c>
      <c r="AQ2705" s="5">
        <v>1</v>
      </c>
    </row>
    <row r="2706" spans="1:45" x14ac:dyDescent="0.2">
      <c r="A2706" t="s">
        <v>1549</v>
      </c>
      <c r="B2706" t="s">
        <v>1550</v>
      </c>
      <c r="C2706">
        <v>2014</v>
      </c>
      <c r="D2706" t="s">
        <v>44</v>
      </c>
      <c r="F2706" t="s">
        <v>1551</v>
      </c>
      <c r="G2706" s="1" t="s">
        <v>86</v>
      </c>
      <c r="H2706" t="s">
        <v>350</v>
      </c>
      <c r="I2706">
        <v>2007</v>
      </c>
      <c r="J2706">
        <f t="shared" si="56"/>
        <v>0.25</v>
      </c>
      <c r="K2706" t="s">
        <v>101</v>
      </c>
      <c r="L2706">
        <v>490</v>
      </c>
      <c r="M2706">
        <v>0</v>
      </c>
      <c r="N2706" t="s">
        <v>132</v>
      </c>
      <c r="O2706" t="s">
        <v>1553</v>
      </c>
      <c r="P2706" t="s">
        <v>1555</v>
      </c>
      <c r="Q2706" s="1" t="s">
        <v>2276</v>
      </c>
      <c r="R2706" s="1" t="s">
        <v>669</v>
      </c>
      <c r="S2706" s="1" t="s">
        <v>168</v>
      </c>
      <c r="T2706" t="s">
        <v>396</v>
      </c>
      <c r="U2706" t="s">
        <v>168</v>
      </c>
      <c r="X2706" t="s">
        <v>161</v>
      </c>
      <c r="Y2706" t="s">
        <v>2272</v>
      </c>
      <c r="Z2706" t="s">
        <v>2272</v>
      </c>
      <c r="AA2706" t="s">
        <v>2272</v>
      </c>
      <c r="AB2706" t="s">
        <v>2272</v>
      </c>
      <c r="AC2706" t="s">
        <v>162</v>
      </c>
      <c r="AD2706" t="s">
        <v>2272</v>
      </c>
      <c r="AF2706" t="s">
        <v>49</v>
      </c>
      <c r="AI2706" t="s">
        <v>49</v>
      </c>
      <c r="AM2706" t="s">
        <v>202</v>
      </c>
      <c r="AN2706" t="s">
        <v>166</v>
      </c>
      <c r="AQ2706" s="5">
        <v>2</v>
      </c>
    </row>
    <row r="2707" spans="1:45" x14ac:dyDescent="0.2">
      <c r="A2707" t="s">
        <v>1549</v>
      </c>
      <c r="B2707" t="s">
        <v>1550</v>
      </c>
      <c r="C2707">
        <v>2014</v>
      </c>
      <c r="D2707" t="s">
        <v>44</v>
      </c>
      <c r="F2707" t="s">
        <v>1551</v>
      </c>
      <c r="G2707" s="1" t="s">
        <v>86</v>
      </c>
      <c r="H2707" t="s">
        <v>350</v>
      </c>
      <c r="I2707">
        <v>2007</v>
      </c>
      <c r="J2707">
        <f t="shared" si="56"/>
        <v>0.25</v>
      </c>
      <c r="K2707" t="s">
        <v>101</v>
      </c>
      <c r="L2707">
        <v>490</v>
      </c>
      <c r="M2707">
        <v>0</v>
      </c>
      <c r="N2707" t="s">
        <v>132</v>
      </c>
      <c r="O2707" t="s">
        <v>1553</v>
      </c>
      <c r="P2707" t="s">
        <v>169</v>
      </c>
      <c r="Q2707" s="1" t="s">
        <v>2276</v>
      </c>
      <c r="R2707" s="1" t="s">
        <v>669</v>
      </c>
      <c r="S2707" s="1" t="s">
        <v>168</v>
      </c>
      <c r="T2707" t="s">
        <v>396</v>
      </c>
      <c r="U2707" t="s">
        <v>168</v>
      </c>
      <c r="X2707" t="s">
        <v>161</v>
      </c>
      <c r="Y2707" t="s">
        <v>2272</v>
      </c>
      <c r="Z2707" t="s">
        <v>2272</v>
      </c>
      <c r="AA2707" t="s">
        <v>2272</v>
      </c>
      <c r="AB2707" t="s">
        <v>2272</v>
      </c>
      <c r="AC2707" t="s">
        <v>162</v>
      </c>
      <c r="AD2707" t="s">
        <v>2272</v>
      </c>
      <c r="AF2707" t="s">
        <v>49</v>
      </c>
      <c r="AI2707" t="s">
        <v>49</v>
      </c>
      <c r="AM2707" t="s">
        <v>202</v>
      </c>
      <c r="AN2707" t="s">
        <v>171</v>
      </c>
      <c r="AQ2707" s="5">
        <v>2</v>
      </c>
    </row>
    <row r="2708" spans="1:45" x14ac:dyDescent="0.2">
      <c r="A2708" t="s">
        <v>1549</v>
      </c>
      <c r="B2708" t="s">
        <v>1550</v>
      </c>
      <c r="C2708">
        <v>2014</v>
      </c>
      <c r="D2708" t="s">
        <v>44</v>
      </c>
      <c r="F2708" t="s">
        <v>1551</v>
      </c>
      <c r="G2708" s="1" t="s">
        <v>86</v>
      </c>
      <c r="H2708" t="s">
        <v>350</v>
      </c>
      <c r="I2708">
        <v>2007</v>
      </c>
      <c r="J2708">
        <f t="shared" si="56"/>
        <v>0.25</v>
      </c>
      <c r="K2708" t="s">
        <v>101</v>
      </c>
      <c r="L2708">
        <v>490</v>
      </c>
      <c r="M2708">
        <v>0</v>
      </c>
      <c r="N2708" t="s">
        <v>132</v>
      </c>
      <c r="O2708" t="s">
        <v>1553</v>
      </c>
      <c r="P2708" t="s">
        <v>1555</v>
      </c>
      <c r="Q2708" s="1" t="s">
        <v>2276</v>
      </c>
      <c r="R2708" s="1" t="s">
        <v>669</v>
      </c>
      <c r="S2708" s="1" t="s">
        <v>168</v>
      </c>
      <c r="T2708" t="s">
        <v>396</v>
      </c>
      <c r="U2708" t="s">
        <v>168</v>
      </c>
      <c r="X2708" t="s">
        <v>161</v>
      </c>
      <c r="Y2708" t="s">
        <v>2272</v>
      </c>
      <c r="Z2708" t="s">
        <v>2272</v>
      </c>
      <c r="AA2708" t="s">
        <v>2272</v>
      </c>
      <c r="AB2708" t="s">
        <v>2272</v>
      </c>
      <c r="AC2708" t="s">
        <v>162</v>
      </c>
      <c r="AD2708" t="s">
        <v>2272</v>
      </c>
      <c r="AF2708" t="s">
        <v>49</v>
      </c>
      <c r="AI2708" t="s">
        <v>49</v>
      </c>
      <c r="AM2708" t="s">
        <v>202</v>
      </c>
      <c r="AN2708" t="s">
        <v>171</v>
      </c>
      <c r="AQ2708" s="5">
        <v>1</v>
      </c>
    </row>
    <row r="2709" spans="1:45" x14ac:dyDescent="0.2">
      <c r="A2709" t="s">
        <v>1549</v>
      </c>
      <c r="B2709" t="s">
        <v>1550</v>
      </c>
      <c r="C2709">
        <v>2014</v>
      </c>
      <c r="D2709" t="s">
        <v>44</v>
      </c>
      <c r="F2709" t="s">
        <v>1551</v>
      </c>
      <c r="G2709" s="1" t="s">
        <v>86</v>
      </c>
      <c r="H2709" t="s">
        <v>350</v>
      </c>
      <c r="I2709">
        <v>2007</v>
      </c>
      <c r="J2709">
        <f t="shared" si="56"/>
        <v>0.25</v>
      </c>
      <c r="K2709" t="s">
        <v>101</v>
      </c>
      <c r="L2709">
        <v>490</v>
      </c>
      <c r="M2709">
        <v>0</v>
      </c>
      <c r="N2709" t="s">
        <v>132</v>
      </c>
      <c r="O2709" t="s">
        <v>1553</v>
      </c>
      <c r="P2709" t="s">
        <v>169</v>
      </c>
      <c r="Q2709" s="1" t="s">
        <v>2276</v>
      </c>
      <c r="R2709" s="1" t="s">
        <v>669</v>
      </c>
      <c r="S2709" s="1" t="s">
        <v>168</v>
      </c>
      <c r="T2709" t="s">
        <v>396</v>
      </c>
      <c r="U2709" t="s">
        <v>168</v>
      </c>
      <c r="X2709" t="s">
        <v>161</v>
      </c>
      <c r="Y2709" t="s">
        <v>2272</v>
      </c>
      <c r="Z2709" t="s">
        <v>2272</v>
      </c>
      <c r="AA2709" t="s">
        <v>2272</v>
      </c>
      <c r="AB2709" t="s">
        <v>2272</v>
      </c>
      <c r="AC2709" t="s">
        <v>162</v>
      </c>
      <c r="AD2709" t="s">
        <v>2272</v>
      </c>
      <c r="AF2709" t="s">
        <v>49</v>
      </c>
      <c r="AI2709" t="s">
        <v>49</v>
      </c>
      <c r="AM2709" t="s">
        <v>202</v>
      </c>
      <c r="AN2709" t="s">
        <v>154</v>
      </c>
      <c r="AQ2709" s="5">
        <v>0</v>
      </c>
    </row>
    <row r="2710" spans="1:45" x14ac:dyDescent="0.2">
      <c r="A2710" t="s">
        <v>1549</v>
      </c>
      <c r="B2710" t="s">
        <v>1550</v>
      </c>
      <c r="C2710">
        <v>2014</v>
      </c>
      <c r="D2710" t="s">
        <v>44</v>
      </c>
      <c r="F2710" t="s">
        <v>1551</v>
      </c>
      <c r="G2710" s="1" t="s">
        <v>86</v>
      </c>
      <c r="H2710" t="s">
        <v>350</v>
      </c>
      <c r="I2710">
        <v>2007</v>
      </c>
      <c r="J2710">
        <f t="shared" si="56"/>
        <v>0.25</v>
      </c>
      <c r="K2710" t="s">
        <v>101</v>
      </c>
      <c r="L2710">
        <v>490</v>
      </c>
      <c r="M2710">
        <v>0</v>
      </c>
      <c r="N2710" t="s">
        <v>132</v>
      </c>
      <c r="O2710" t="s">
        <v>1553</v>
      </c>
      <c r="P2710" t="s">
        <v>1555</v>
      </c>
      <c r="Q2710" s="1" t="s">
        <v>2276</v>
      </c>
      <c r="R2710" s="1" t="s">
        <v>669</v>
      </c>
      <c r="S2710" s="1" t="s">
        <v>168</v>
      </c>
      <c r="T2710" t="s">
        <v>396</v>
      </c>
      <c r="U2710" t="s">
        <v>168</v>
      </c>
      <c r="X2710" t="s">
        <v>161</v>
      </c>
      <c r="Y2710" t="s">
        <v>2272</v>
      </c>
      <c r="Z2710" t="s">
        <v>2272</v>
      </c>
      <c r="AA2710" t="s">
        <v>2272</v>
      </c>
      <c r="AB2710" t="s">
        <v>2272</v>
      </c>
      <c r="AC2710" t="s">
        <v>162</v>
      </c>
      <c r="AD2710" t="s">
        <v>2272</v>
      </c>
      <c r="AF2710" t="s">
        <v>49</v>
      </c>
      <c r="AI2710" t="s">
        <v>49</v>
      </c>
      <c r="AM2710" t="s">
        <v>202</v>
      </c>
      <c r="AN2710" t="s">
        <v>154</v>
      </c>
      <c r="AQ2710" s="5">
        <v>0</v>
      </c>
    </row>
    <row r="2711" spans="1:45" x14ac:dyDescent="0.2">
      <c r="A2711" t="s">
        <v>1549</v>
      </c>
      <c r="B2711" t="s">
        <v>1550</v>
      </c>
      <c r="C2711">
        <v>2014</v>
      </c>
      <c r="D2711" t="s">
        <v>44</v>
      </c>
      <c r="F2711" t="s">
        <v>1551</v>
      </c>
      <c r="G2711" s="1" t="s">
        <v>86</v>
      </c>
      <c r="H2711" t="s">
        <v>350</v>
      </c>
      <c r="I2711">
        <v>2007</v>
      </c>
      <c r="J2711">
        <f t="shared" si="56"/>
        <v>0.25</v>
      </c>
      <c r="K2711" t="s">
        <v>101</v>
      </c>
      <c r="L2711">
        <v>490</v>
      </c>
      <c r="M2711">
        <v>0</v>
      </c>
      <c r="N2711" t="s">
        <v>132</v>
      </c>
      <c r="O2711" t="s">
        <v>1553</v>
      </c>
      <c r="P2711" t="s">
        <v>169</v>
      </c>
      <c r="Q2711" s="1" t="s">
        <v>2276</v>
      </c>
      <c r="R2711" s="1" t="s">
        <v>669</v>
      </c>
      <c r="S2711" s="1" t="s">
        <v>168</v>
      </c>
      <c r="T2711" t="s">
        <v>396</v>
      </c>
      <c r="U2711" t="s">
        <v>168</v>
      </c>
      <c r="X2711" t="s">
        <v>161</v>
      </c>
      <c r="Y2711" t="s">
        <v>2272</v>
      </c>
      <c r="Z2711" t="s">
        <v>2272</v>
      </c>
      <c r="AA2711" t="s">
        <v>2272</v>
      </c>
      <c r="AB2711" t="s">
        <v>2272</v>
      </c>
      <c r="AC2711" t="s">
        <v>162</v>
      </c>
      <c r="AD2711" t="s">
        <v>2272</v>
      </c>
      <c r="AF2711" t="s">
        <v>49</v>
      </c>
      <c r="AI2711" t="s">
        <v>49</v>
      </c>
      <c r="AM2711" t="s">
        <v>202</v>
      </c>
      <c r="AN2711" t="s">
        <v>165</v>
      </c>
      <c r="AP2711" t="s">
        <v>49</v>
      </c>
    </row>
    <row r="2712" spans="1:45" x14ac:dyDescent="0.2">
      <c r="A2712" t="s">
        <v>1549</v>
      </c>
      <c r="B2712" t="s">
        <v>1550</v>
      </c>
      <c r="C2712">
        <v>2014</v>
      </c>
      <c r="D2712" t="s">
        <v>44</v>
      </c>
      <c r="F2712" t="s">
        <v>1551</v>
      </c>
      <c r="G2712" s="1" t="s">
        <v>86</v>
      </c>
      <c r="H2712" t="s">
        <v>350</v>
      </c>
      <c r="I2712">
        <v>2007</v>
      </c>
      <c r="J2712">
        <f t="shared" si="56"/>
        <v>0.25</v>
      </c>
      <c r="K2712" t="s">
        <v>101</v>
      </c>
      <c r="L2712">
        <v>490</v>
      </c>
      <c r="M2712">
        <v>0</v>
      </c>
      <c r="N2712" t="s">
        <v>132</v>
      </c>
      <c r="O2712" t="s">
        <v>1553</v>
      </c>
      <c r="P2712" t="s">
        <v>1555</v>
      </c>
      <c r="Q2712" s="1" t="s">
        <v>2276</v>
      </c>
      <c r="R2712" s="1" t="s">
        <v>669</v>
      </c>
      <c r="S2712" s="1" t="s">
        <v>168</v>
      </c>
      <c r="T2712" t="s">
        <v>396</v>
      </c>
      <c r="U2712" t="s">
        <v>168</v>
      </c>
      <c r="X2712" t="s">
        <v>161</v>
      </c>
      <c r="Y2712" t="s">
        <v>2272</v>
      </c>
      <c r="Z2712" t="s">
        <v>2272</v>
      </c>
      <c r="AA2712" t="s">
        <v>2272</v>
      </c>
      <c r="AB2712" t="s">
        <v>2272</v>
      </c>
      <c r="AC2712" t="s">
        <v>162</v>
      </c>
      <c r="AD2712" t="s">
        <v>2272</v>
      </c>
      <c r="AF2712" t="s">
        <v>49</v>
      </c>
      <c r="AI2712" t="s">
        <v>49</v>
      </c>
      <c r="AM2712" t="s">
        <v>202</v>
      </c>
      <c r="AN2712" t="s">
        <v>165</v>
      </c>
      <c r="AP2712" t="s">
        <v>49</v>
      </c>
    </row>
    <row r="2713" spans="1:45" x14ac:dyDescent="0.2">
      <c r="A2713" t="s">
        <v>1556</v>
      </c>
      <c r="B2713" t="s">
        <v>1557</v>
      </c>
      <c r="C2713">
        <v>2014</v>
      </c>
      <c r="Q2713" s="1" t="s">
        <v>2272</v>
      </c>
      <c r="R2713" s="1" t="s">
        <v>2272</v>
      </c>
      <c r="S2713" s="1" t="s">
        <v>2272</v>
      </c>
      <c r="Y2713" t="s">
        <v>2272</v>
      </c>
      <c r="Z2713" t="s">
        <v>2272</v>
      </c>
      <c r="AA2713" t="s">
        <v>2272</v>
      </c>
      <c r="AB2713" t="s">
        <v>2272</v>
      </c>
      <c r="AD2713" t="s">
        <v>2272</v>
      </c>
      <c r="AR2713" t="s">
        <v>144</v>
      </c>
      <c r="AS2713" t="s">
        <v>2583</v>
      </c>
    </row>
    <row r="2714" spans="1:45" x14ac:dyDescent="0.2">
      <c r="A2714" t="s">
        <v>1558</v>
      </c>
      <c r="B2714" t="s">
        <v>1559</v>
      </c>
      <c r="C2714">
        <v>2014</v>
      </c>
      <c r="D2714" t="s">
        <v>44</v>
      </c>
      <c r="F2714" t="s">
        <v>82</v>
      </c>
      <c r="G2714" s="1" t="s">
        <v>86</v>
      </c>
      <c r="H2714" t="s">
        <v>350</v>
      </c>
      <c r="I2714">
        <v>2003</v>
      </c>
      <c r="K2714" t="s">
        <v>101</v>
      </c>
      <c r="L2714">
        <v>15</v>
      </c>
      <c r="N2714" t="s">
        <v>127</v>
      </c>
      <c r="O2714" t="s">
        <v>1270</v>
      </c>
      <c r="P2714" t="s">
        <v>1249</v>
      </c>
      <c r="Q2714" s="1" t="s">
        <v>2281</v>
      </c>
      <c r="R2714" s="1" t="s">
        <v>2291</v>
      </c>
      <c r="S2714" s="1" t="s">
        <v>2291</v>
      </c>
      <c r="X2714" t="s">
        <v>161</v>
      </c>
      <c r="Y2714" t="s">
        <v>2272</v>
      </c>
      <c r="Z2714" t="s">
        <v>2272</v>
      </c>
      <c r="AA2714" t="s">
        <v>2272</v>
      </c>
      <c r="AB2714" t="s">
        <v>2272</v>
      </c>
      <c r="AC2714" t="s">
        <v>162</v>
      </c>
      <c r="AD2714" t="s">
        <v>2272</v>
      </c>
    </row>
    <row r="2715" spans="1:45" x14ac:dyDescent="0.2">
      <c r="A2715" t="s">
        <v>1558</v>
      </c>
      <c r="B2715" t="s">
        <v>1559</v>
      </c>
      <c r="C2715">
        <v>2014</v>
      </c>
      <c r="D2715" t="s">
        <v>44</v>
      </c>
      <c r="F2715" t="s">
        <v>82</v>
      </c>
      <c r="G2715" s="1" t="s">
        <v>86</v>
      </c>
      <c r="H2715" t="s">
        <v>350</v>
      </c>
      <c r="I2715">
        <v>2009</v>
      </c>
      <c r="J2715">
        <v>0.08</v>
      </c>
      <c r="K2715" t="s">
        <v>101</v>
      </c>
      <c r="L2715">
        <v>10</v>
      </c>
      <c r="M2715">
        <v>0.1</v>
      </c>
      <c r="N2715" t="s">
        <v>127</v>
      </c>
      <c r="O2715" t="s">
        <v>1270</v>
      </c>
      <c r="P2715" t="s">
        <v>1249</v>
      </c>
      <c r="Q2715" s="1" t="s">
        <v>2281</v>
      </c>
      <c r="R2715" s="1" t="s">
        <v>2291</v>
      </c>
      <c r="S2715" s="1" t="s">
        <v>2291</v>
      </c>
      <c r="T2715" t="s">
        <v>1560</v>
      </c>
      <c r="U2715" t="s">
        <v>1560</v>
      </c>
      <c r="X2715" t="s">
        <v>161</v>
      </c>
      <c r="Y2715" t="s">
        <v>2272</v>
      </c>
      <c r="Z2715" t="s">
        <v>2272</v>
      </c>
      <c r="AA2715" t="s">
        <v>2272</v>
      </c>
      <c r="AB2715" t="s">
        <v>2272</v>
      </c>
      <c r="AC2715" t="s">
        <v>162</v>
      </c>
      <c r="AD2715" t="s">
        <v>2272</v>
      </c>
      <c r="AG2715" t="s">
        <v>49</v>
      </c>
      <c r="AI2715" t="s">
        <v>49</v>
      </c>
      <c r="AM2715" t="s">
        <v>202</v>
      </c>
      <c r="AN2715" t="s">
        <v>165</v>
      </c>
      <c r="AP2715" t="s">
        <v>49</v>
      </c>
    </row>
    <row r="2716" spans="1:45" x14ac:dyDescent="0.2">
      <c r="A2716" t="s">
        <v>1558</v>
      </c>
      <c r="B2716" t="s">
        <v>1559</v>
      </c>
      <c r="C2716">
        <v>2014</v>
      </c>
      <c r="D2716" t="s">
        <v>44</v>
      </c>
      <c r="F2716" t="s">
        <v>82</v>
      </c>
      <c r="G2716" s="1" t="s">
        <v>86</v>
      </c>
      <c r="H2716" t="s">
        <v>350</v>
      </c>
      <c r="I2716">
        <v>2009</v>
      </c>
      <c r="J2716">
        <v>0.08</v>
      </c>
      <c r="K2716" t="s">
        <v>101</v>
      </c>
      <c r="L2716">
        <v>10</v>
      </c>
      <c r="M2716">
        <v>0.1</v>
      </c>
      <c r="N2716" t="s">
        <v>127</v>
      </c>
      <c r="O2716" t="s">
        <v>1270</v>
      </c>
      <c r="P2716" t="s">
        <v>1249</v>
      </c>
      <c r="Q2716" s="1" t="s">
        <v>2281</v>
      </c>
      <c r="R2716" s="1" t="s">
        <v>2291</v>
      </c>
      <c r="S2716" s="1" t="s">
        <v>2291</v>
      </c>
      <c r="T2716" t="s">
        <v>1560</v>
      </c>
      <c r="U2716" t="s">
        <v>1560</v>
      </c>
      <c r="X2716" t="s">
        <v>161</v>
      </c>
      <c r="Y2716" t="s">
        <v>2272</v>
      </c>
      <c r="Z2716" t="s">
        <v>2272</v>
      </c>
      <c r="AA2716" t="s">
        <v>2272</v>
      </c>
      <c r="AB2716" t="s">
        <v>2272</v>
      </c>
      <c r="AC2716" t="s">
        <v>162</v>
      </c>
      <c r="AD2716" t="s">
        <v>2272</v>
      </c>
      <c r="AG2716" t="s">
        <v>49</v>
      </c>
      <c r="AI2716" t="s">
        <v>49</v>
      </c>
      <c r="AM2716" t="s">
        <v>202</v>
      </c>
      <c r="AN2716" t="s">
        <v>154</v>
      </c>
      <c r="AQ2716" s="5">
        <v>1</v>
      </c>
    </row>
    <row r="2717" spans="1:45" x14ac:dyDescent="0.2">
      <c r="A2717" t="s">
        <v>1558</v>
      </c>
      <c r="B2717" t="s">
        <v>1559</v>
      </c>
      <c r="C2717">
        <v>2014</v>
      </c>
      <c r="D2717" t="s">
        <v>44</v>
      </c>
      <c r="F2717" t="s">
        <v>82</v>
      </c>
      <c r="G2717" s="1" t="s">
        <v>86</v>
      </c>
      <c r="H2717" t="s">
        <v>350</v>
      </c>
      <c r="I2717">
        <v>2009</v>
      </c>
      <c r="J2717">
        <v>0.08</v>
      </c>
      <c r="K2717" t="s">
        <v>101</v>
      </c>
      <c r="L2717">
        <v>10</v>
      </c>
      <c r="M2717">
        <v>0.1</v>
      </c>
      <c r="N2717" t="s">
        <v>127</v>
      </c>
      <c r="O2717" t="s">
        <v>1270</v>
      </c>
      <c r="P2717" t="s">
        <v>1249</v>
      </c>
      <c r="Q2717" s="1" t="s">
        <v>2281</v>
      </c>
      <c r="R2717" s="1" t="s">
        <v>2291</v>
      </c>
      <c r="S2717" s="1" t="s">
        <v>2291</v>
      </c>
      <c r="T2717" t="s">
        <v>1560</v>
      </c>
      <c r="U2717" t="s">
        <v>1560</v>
      </c>
      <c r="X2717" t="s">
        <v>161</v>
      </c>
      <c r="Y2717" t="s">
        <v>2272</v>
      </c>
      <c r="Z2717" t="s">
        <v>2272</v>
      </c>
      <c r="AA2717" t="s">
        <v>2272</v>
      </c>
      <c r="AB2717" t="s">
        <v>2272</v>
      </c>
      <c r="AC2717" t="s">
        <v>162</v>
      </c>
      <c r="AD2717" t="s">
        <v>2272</v>
      </c>
      <c r="AG2717" t="s">
        <v>49</v>
      </c>
      <c r="AI2717" t="s">
        <v>49</v>
      </c>
      <c r="AM2717" t="s">
        <v>202</v>
      </c>
      <c r="AN2717" t="s">
        <v>166</v>
      </c>
      <c r="AQ2717" s="5">
        <v>1</v>
      </c>
    </row>
    <row r="2718" spans="1:45" x14ac:dyDescent="0.2">
      <c r="A2718" t="s">
        <v>1558</v>
      </c>
      <c r="B2718" t="s">
        <v>1559</v>
      </c>
      <c r="C2718">
        <v>2014</v>
      </c>
      <c r="D2718" t="s">
        <v>44</v>
      </c>
      <c r="F2718" t="s">
        <v>82</v>
      </c>
      <c r="G2718" s="1" t="s">
        <v>86</v>
      </c>
      <c r="H2718" t="s">
        <v>350</v>
      </c>
      <c r="I2718">
        <v>2009</v>
      </c>
      <c r="J2718">
        <v>0.08</v>
      </c>
      <c r="K2718" t="s">
        <v>101</v>
      </c>
      <c r="L2718">
        <v>10</v>
      </c>
      <c r="M2718">
        <v>0.1</v>
      </c>
      <c r="N2718" t="s">
        <v>127</v>
      </c>
      <c r="O2718" t="s">
        <v>1270</v>
      </c>
      <c r="P2718" t="s">
        <v>1249</v>
      </c>
      <c r="Q2718" s="1" t="s">
        <v>2281</v>
      </c>
      <c r="R2718" s="1" t="s">
        <v>2291</v>
      </c>
      <c r="S2718" s="1" t="s">
        <v>2291</v>
      </c>
      <c r="T2718" t="s">
        <v>1560</v>
      </c>
      <c r="U2718" t="s">
        <v>1560</v>
      </c>
      <c r="X2718" t="s">
        <v>161</v>
      </c>
      <c r="Y2718" t="s">
        <v>2272</v>
      </c>
      <c r="Z2718" t="s">
        <v>2272</v>
      </c>
      <c r="AA2718" t="s">
        <v>2272</v>
      </c>
      <c r="AB2718" t="s">
        <v>2272</v>
      </c>
      <c r="AC2718" t="s">
        <v>162</v>
      </c>
      <c r="AD2718" t="s">
        <v>2272</v>
      </c>
      <c r="AG2718" t="s">
        <v>49</v>
      </c>
      <c r="AI2718" t="s">
        <v>49</v>
      </c>
      <c r="AM2718" t="s">
        <v>202</v>
      </c>
      <c r="AN2718" t="s">
        <v>191</v>
      </c>
      <c r="AP2718" t="s">
        <v>49</v>
      </c>
    </row>
    <row r="2719" spans="1:45" x14ac:dyDescent="0.2">
      <c r="A2719" t="s">
        <v>1561</v>
      </c>
      <c r="B2719" t="s">
        <v>1562</v>
      </c>
      <c r="C2719">
        <v>2014</v>
      </c>
      <c r="Q2719" s="1" t="s">
        <v>2272</v>
      </c>
      <c r="R2719" s="1" t="s">
        <v>2272</v>
      </c>
      <c r="S2719" s="1" t="s">
        <v>2272</v>
      </c>
      <c r="Y2719" t="s">
        <v>2272</v>
      </c>
      <c r="Z2719" t="s">
        <v>2272</v>
      </c>
      <c r="AA2719" t="s">
        <v>2272</v>
      </c>
      <c r="AB2719" t="s">
        <v>2272</v>
      </c>
      <c r="AD2719" t="s">
        <v>2272</v>
      </c>
      <c r="AR2719" t="s">
        <v>144</v>
      </c>
      <c r="AS2719" t="s">
        <v>2583</v>
      </c>
    </row>
    <row r="2720" spans="1:45" x14ac:dyDescent="0.2">
      <c r="A2720" t="s">
        <v>1563</v>
      </c>
      <c r="B2720" t="s">
        <v>1564</v>
      </c>
      <c r="C2720">
        <v>2014</v>
      </c>
      <c r="D2720" t="s">
        <v>44</v>
      </c>
      <c r="F2720" t="s">
        <v>57</v>
      </c>
      <c r="G2720" s="1" t="s">
        <v>89</v>
      </c>
      <c r="M2720">
        <v>4.4000000000000003E-3</v>
      </c>
      <c r="Q2720" s="1" t="s">
        <v>2272</v>
      </c>
      <c r="R2720" s="1" t="s">
        <v>2272</v>
      </c>
      <c r="S2720" s="1" t="s">
        <v>2272</v>
      </c>
      <c r="Y2720" t="s">
        <v>2272</v>
      </c>
      <c r="Z2720" t="s">
        <v>2272</v>
      </c>
      <c r="AA2720" t="s">
        <v>2272</v>
      </c>
      <c r="AB2720" t="s">
        <v>2272</v>
      </c>
      <c r="AD2720" t="s">
        <v>2272</v>
      </c>
      <c r="AR2720" t="s">
        <v>144</v>
      </c>
      <c r="AS2720" t="s">
        <v>2586</v>
      </c>
    </row>
    <row r="2721" spans="1:43" x14ac:dyDescent="0.2">
      <c r="A2721" t="s">
        <v>1565</v>
      </c>
      <c r="B2721" t="s">
        <v>1339</v>
      </c>
      <c r="C2721">
        <v>2014</v>
      </c>
      <c r="D2721" t="s">
        <v>44</v>
      </c>
      <c r="F2721" t="s">
        <v>83</v>
      </c>
      <c r="G2721" s="1" t="s">
        <v>85</v>
      </c>
      <c r="H2721" t="s">
        <v>350</v>
      </c>
      <c r="I2721">
        <v>2011</v>
      </c>
      <c r="K2721" t="s">
        <v>101</v>
      </c>
      <c r="L2721">
        <v>10</v>
      </c>
      <c r="N2721" t="s">
        <v>132</v>
      </c>
      <c r="O2721" t="s">
        <v>132</v>
      </c>
      <c r="P2721" t="s">
        <v>1341</v>
      </c>
      <c r="Q2721" s="1" t="s">
        <v>2276</v>
      </c>
      <c r="R2721" s="1" t="s">
        <v>669</v>
      </c>
      <c r="S2721" s="1" t="s">
        <v>168</v>
      </c>
      <c r="T2721" t="s">
        <v>396</v>
      </c>
      <c r="U2721" s="1" t="s">
        <v>2374</v>
      </c>
      <c r="X2721" t="s">
        <v>161</v>
      </c>
      <c r="Y2721" t="s">
        <v>2272</v>
      </c>
      <c r="Z2721" t="s">
        <v>2272</v>
      </c>
      <c r="AA2721" t="s">
        <v>2272</v>
      </c>
      <c r="AB2721" t="s">
        <v>2272</v>
      </c>
      <c r="AC2721" t="s">
        <v>162</v>
      </c>
      <c r="AD2721" t="s">
        <v>2272</v>
      </c>
      <c r="AF2721" t="s">
        <v>49</v>
      </c>
      <c r="AL2721" t="s">
        <v>49</v>
      </c>
      <c r="AM2721" t="s">
        <v>219</v>
      </c>
      <c r="AN2721" t="s">
        <v>166</v>
      </c>
      <c r="AQ2721" s="5">
        <v>1</v>
      </c>
    </row>
    <row r="2722" spans="1:43" x14ac:dyDescent="0.2">
      <c r="A2722" t="s">
        <v>1565</v>
      </c>
      <c r="B2722" t="s">
        <v>1339</v>
      </c>
      <c r="C2722">
        <v>2014</v>
      </c>
      <c r="D2722" t="s">
        <v>44</v>
      </c>
      <c r="F2722" t="s">
        <v>83</v>
      </c>
      <c r="G2722" s="1" t="s">
        <v>85</v>
      </c>
      <c r="H2722" t="s">
        <v>350</v>
      </c>
      <c r="I2722">
        <v>2011</v>
      </c>
      <c r="K2722" t="s">
        <v>101</v>
      </c>
      <c r="L2722">
        <v>10</v>
      </c>
      <c r="N2722" t="s">
        <v>120</v>
      </c>
      <c r="O2722" t="s">
        <v>216</v>
      </c>
      <c r="P2722" t="s">
        <v>244</v>
      </c>
      <c r="Q2722" s="1" t="s">
        <v>2276</v>
      </c>
      <c r="R2722" s="1" t="s">
        <v>669</v>
      </c>
      <c r="S2722" s="1" t="s">
        <v>168</v>
      </c>
      <c r="T2722" t="s">
        <v>396</v>
      </c>
      <c r="U2722" s="1" t="s">
        <v>2374</v>
      </c>
      <c r="X2722" t="s">
        <v>161</v>
      </c>
      <c r="Y2722" t="s">
        <v>2272</v>
      </c>
      <c r="Z2722" t="s">
        <v>2272</v>
      </c>
      <c r="AA2722" t="s">
        <v>2272</v>
      </c>
      <c r="AB2722" t="s">
        <v>2272</v>
      </c>
      <c r="AC2722" t="s">
        <v>162</v>
      </c>
      <c r="AD2722" t="s">
        <v>2272</v>
      </c>
      <c r="AF2722" t="s">
        <v>49</v>
      </c>
      <c r="AL2722" t="s">
        <v>49</v>
      </c>
      <c r="AM2722" t="s">
        <v>219</v>
      </c>
      <c r="AN2722" t="s">
        <v>166</v>
      </c>
      <c r="AQ2722" s="5">
        <v>2</v>
      </c>
    </row>
    <row r="2723" spans="1:43" x14ac:dyDescent="0.2">
      <c r="A2723" t="s">
        <v>1565</v>
      </c>
      <c r="B2723" t="s">
        <v>1339</v>
      </c>
      <c r="C2723">
        <v>2014</v>
      </c>
      <c r="D2723" t="s">
        <v>44</v>
      </c>
      <c r="F2723" t="s">
        <v>83</v>
      </c>
      <c r="G2723" s="1" t="s">
        <v>85</v>
      </c>
      <c r="H2723" t="s">
        <v>350</v>
      </c>
      <c r="I2723">
        <v>2011</v>
      </c>
      <c r="K2723" t="s">
        <v>101</v>
      </c>
      <c r="L2723">
        <v>10</v>
      </c>
      <c r="N2723" t="s">
        <v>129</v>
      </c>
      <c r="O2723" t="s">
        <v>1566</v>
      </c>
      <c r="Q2723" s="1" t="s">
        <v>2276</v>
      </c>
      <c r="R2723" s="1" t="s">
        <v>2350</v>
      </c>
      <c r="S2723" s="1" t="s">
        <v>2350</v>
      </c>
      <c r="T2723" t="s">
        <v>396</v>
      </c>
      <c r="U2723" s="1" t="s">
        <v>2364</v>
      </c>
      <c r="X2723" t="s">
        <v>161</v>
      </c>
      <c r="Y2723" t="s">
        <v>2272</v>
      </c>
      <c r="Z2723" t="s">
        <v>2272</v>
      </c>
      <c r="AA2723" t="s">
        <v>2272</v>
      </c>
      <c r="AB2723" t="s">
        <v>2272</v>
      </c>
      <c r="AC2723" t="s">
        <v>162</v>
      </c>
      <c r="AD2723" t="s">
        <v>2272</v>
      </c>
      <c r="AF2723" t="s">
        <v>49</v>
      </c>
      <c r="AL2723" t="s">
        <v>49</v>
      </c>
      <c r="AM2723" t="s">
        <v>219</v>
      </c>
      <c r="AN2723" t="s">
        <v>166</v>
      </c>
      <c r="AQ2723" s="5">
        <v>2</v>
      </c>
    </row>
    <row r="2724" spans="1:43" x14ac:dyDescent="0.2">
      <c r="A2724" t="s">
        <v>1565</v>
      </c>
      <c r="B2724" t="s">
        <v>1339</v>
      </c>
      <c r="C2724">
        <v>2014</v>
      </c>
      <c r="D2724" t="s">
        <v>44</v>
      </c>
      <c r="F2724" t="s">
        <v>83</v>
      </c>
      <c r="G2724" s="1" t="s">
        <v>85</v>
      </c>
      <c r="H2724" t="s">
        <v>350</v>
      </c>
      <c r="I2724">
        <v>2011</v>
      </c>
      <c r="K2724" t="s">
        <v>101</v>
      </c>
      <c r="L2724">
        <v>10</v>
      </c>
      <c r="N2724" t="s">
        <v>132</v>
      </c>
      <c r="O2724" t="s">
        <v>132</v>
      </c>
      <c r="P2724" t="s">
        <v>1341</v>
      </c>
      <c r="Q2724" s="1" t="s">
        <v>2276</v>
      </c>
      <c r="R2724" s="1" t="s">
        <v>669</v>
      </c>
      <c r="S2724" s="1" t="s">
        <v>168</v>
      </c>
      <c r="T2724" t="s">
        <v>421</v>
      </c>
      <c r="U2724" t="s">
        <v>421</v>
      </c>
      <c r="X2724" t="s">
        <v>161</v>
      </c>
      <c r="Y2724" t="s">
        <v>2272</v>
      </c>
      <c r="Z2724" t="s">
        <v>2272</v>
      </c>
      <c r="AA2724" t="s">
        <v>2272</v>
      </c>
      <c r="AB2724" t="s">
        <v>2272</v>
      </c>
      <c r="AC2724" t="s">
        <v>162</v>
      </c>
      <c r="AD2724" t="s">
        <v>2272</v>
      </c>
      <c r="AF2724" t="s">
        <v>49</v>
      </c>
      <c r="AL2724" t="s">
        <v>49</v>
      </c>
      <c r="AM2724" t="s">
        <v>219</v>
      </c>
      <c r="AN2724" t="s">
        <v>166</v>
      </c>
      <c r="AQ2724" s="5">
        <v>1</v>
      </c>
    </row>
    <row r="2725" spans="1:43" x14ac:dyDescent="0.2">
      <c r="A2725" t="s">
        <v>1565</v>
      </c>
      <c r="B2725" t="s">
        <v>1339</v>
      </c>
      <c r="C2725">
        <v>2014</v>
      </c>
      <c r="D2725" t="s">
        <v>44</v>
      </c>
      <c r="F2725" t="s">
        <v>83</v>
      </c>
      <c r="G2725" s="1" t="s">
        <v>85</v>
      </c>
      <c r="H2725" t="s">
        <v>350</v>
      </c>
      <c r="I2725">
        <v>2011</v>
      </c>
      <c r="K2725" t="s">
        <v>101</v>
      </c>
      <c r="L2725">
        <v>10</v>
      </c>
      <c r="N2725" t="s">
        <v>120</v>
      </c>
      <c r="O2725" t="s">
        <v>216</v>
      </c>
      <c r="P2725" t="s">
        <v>244</v>
      </c>
      <c r="Q2725" s="1" t="s">
        <v>2276</v>
      </c>
      <c r="R2725" s="1" t="s">
        <v>669</v>
      </c>
      <c r="S2725" s="1" t="s">
        <v>168</v>
      </c>
      <c r="T2725" t="s">
        <v>421</v>
      </c>
      <c r="U2725" t="s">
        <v>421</v>
      </c>
      <c r="X2725" t="s">
        <v>161</v>
      </c>
      <c r="Y2725" t="s">
        <v>2272</v>
      </c>
      <c r="Z2725" t="s">
        <v>2272</v>
      </c>
      <c r="AA2725" t="s">
        <v>2272</v>
      </c>
      <c r="AB2725" t="s">
        <v>2272</v>
      </c>
      <c r="AC2725" t="s">
        <v>162</v>
      </c>
      <c r="AD2725" t="s">
        <v>2272</v>
      </c>
      <c r="AF2725" t="s">
        <v>49</v>
      </c>
      <c r="AL2725" t="s">
        <v>49</v>
      </c>
      <c r="AM2725" t="s">
        <v>219</v>
      </c>
      <c r="AN2725" t="s">
        <v>166</v>
      </c>
      <c r="AQ2725" s="5">
        <v>1</v>
      </c>
    </row>
    <row r="2726" spans="1:43" x14ac:dyDescent="0.2">
      <c r="A2726" t="s">
        <v>1565</v>
      </c>
      <c r="B2726" t="s">
        <v>1339</v>
      </c>
      <c r="C2726">
        <v>2014</v>
      </c>
      <c r="D2726" t="s">
        <v>44</v>
      </c>
      <c r="F2726" t="s">
        <v>83</v>
      </c>
      <c r="G2726" s="1" t="s">
        <v>85</v>
      </c>
      <c r="H2726" t="s">
        <v>350</v>
      </c>
      <c r="I2726">
        <v>2011</v>
      </c>
      <c r="K2726" t="s">
        <v>101</v>
      </c>
      <c r="L2726">
        <v>10</v>
      </c>
      <c r="N2726" t="s">
        <v>129</v>
      </c>
      <c r="O2726" t="s">
        <v>1566</v>
      </c>
      <c r="Q2726" s="1" t="s">
        <v>2276</v>
      </c>
      <c r="R2726" s="1" t="s">
        <v>2350</v>
      </c>
      <c r="S2726" s="1" t="s">
        <v>2350</v>
      </c>
      <c r="T2726" t="s">
        <v>421</v>
      </c>
      <c r="U2726" t="s">
        <v>421</v>
      </c>
      <c r="X2726" t="s">
        <v>161</v>
      </c>
      <c r="Y2726" t="s">
        <v>2272</v>
      </c>
      <c r="Z2726" t="s">
        <v>2272</v>
      </c>
      <c r="AA2726" t="s">
        <v>2272</v>
      </c>
      <c r="AB2726" t="s">
        <v>2272</v>
      </c>
      <c r="AC2726" t="s">
        <v>162</v>
      </c>
      <c r="AD2726" t="s">
        <v>2272</v>
      </c>
      <c r="AF2726" t="s">
        <v>49</v>
      </c>
      <c r="AL2726" t="s">
        <v>49</v>
      </c>
      <c r="AM2726" t="s">
        <v>219</v>
      </c>
      <c r="AN2726" t="s">
        <v>166</v>
      </c>
      <c r="AQ2726" s="5">
        <v>1</v>
      </c>
    </row>
    <row r="2727" spans="1:43" x14ac:dyDescent="0.2">
      <c r="A2727" t="s">
        <v>1565</v>
      </c>
      <c r="B2727" t="s">
        <v>1339</v>
      </c>
      <c r="C2727">
        <v>2014</v>
      </c>
      <c r="D2727" t="s">
        <v>44</v>
      </c>
      <c r="F2727" t="s">
        <v>83</v>
      </c>
      <c r="G2727" s="1" t="s">
        <v>85</v>
      </c>
      <c r="H2727" t="s">
        <v>350</v>
      </c>
      <c r="I2727">
        <v>2012</v>
      </c>
      <c r="K2727" t="s">
        <v>101</v>
      </c>
      <c r="N2727" t="s">
        <v>132</v>
      </c>
      <c r="O2727" t="s">
        <v>132</v>
      </c>
      <c r="P2727" t="s">
        <v>1341</v>
      </c>
      <c r="Q2727" s="1" t="s">
        <v>2276</v>
      </c>
      <c r="R2727" s="1" t="s">
        <v>669</v>
      </c>
      <c r="S2727" s="1" t="s">
        <v>168</v>
      </c>
      <c r="T2727" t="s">
        <v>396</v>
      </c>
      <c r="U2727" t="s">
        <v>168</v>
      </c>
      <c r="X2727" t="s">
        <v>161</v>
      </c>
      <c r="Y2727" t="s">
        <v>2272</v>
      </c>
      <c r="Z2727" t="s">
        <v>2272</v>
      </c>
      <c r="AA2727" t="s">
        <v>2272</v>
      </c>
      <c r="AB2727" t="s">
        <v>2272</v>
      </c>
      <c r="AC2727" t="s">
        <v>162</v>
      </c>
      <c r="AD2727" t="s">
        <v>2272</v>
      </c>
      <c r="AF2727" t="s">
        <v>49</v>
      </c>
      <c r="AL2727" t="s">
        <v>49</v>
      </c>
      <c r="AM2727" t="s">
        <v>219</v>
      </c>
      <c r="AN2727" t="s">
        <v>166</v>
      </c>
      <c r="AQ2727" s="5">
        <v>1</v>
      </c>
    </row>
    <row r="2728" spans="1:43" x14ac:dyDescent="0.2">
      <c r="A2728" t="s">
        <v>1565</v>
      </c>
      <c r="B2728" t="s">
        <v>1339</v>
      </c>
      <c r="C2728">
        <v>2014</v>
      </c>
      <c r="D2728" t="s">
        <v>44</v>
      </c>
      <c r="F2728" t="s">
        <v>83</v>
      </c>
      <c r="G2728" s="1" t="s">
        <v>85</v>
      </c>
      <c r="H2728" t="s">
        <v>350</v>
      </c>
      <c r="I2728">
        <v>2012</v>
      </c>
      <c r="K2728" t="s">
        <v>101</v>
      </c>
      <c r="N2728" t="s">
        <v>120</v>
      </c>
      <c r="O2728" t="s">
        <v>216</v>
      </c>
      <c r="P2728" t="s">
        <v>244</v>
      </c>
      <c r="Q2728" s="1" t="s">
        <v>2276</v>
      </c>
      <c r="R2728" s="1" t="s">
        <v>669</v>
      </c>
      <c r="S2728" s="1" t="s">
        <v>168</v>
      </c>
      <c r="T2728" t="s">
        <v>396</v>
      </c>
      <c r="U2728" t="s">
        <v>168</v>
      </c>
      <c r="X2728" t="s">
        <v>161</v>
      </c>
      <c r="Y2728" t="s">
        <v>2272</v>
      </c>
      <c r="Z2728" t="s">
        <v>2272</v>
      </c>
      <c r="AA2728" t="s">
        <v>2272</v>
      </c>
      <c r="AB2728" t="s">
        <v>2272</v>
      </c>
      <c r="AC2728" t="s">
        <v>162</v>
      </c>
      <c r="AD2728" t="s">
        <v>2272</v>
      </c>
      <c r="AF2728" t="s">
        <v>49</v>
      </c>
      <c r="AL2728" t="s">
        <v>49</v>
      </c>
      <c r="AM2728" t="s">
        <v>219</v>
      </c>
      <c r="AN2728" t="s">
        <v>166</v>
      </c>
      <c r="AQ2728" s="5">
        <v>2</v>
      </c>
    </row>
    <row r="2729" spans="1:43" x14ac:dyDescent="0.2">
      <c r="A2729" t="s">
        <v>1565</v>
      </c>
      <c r="B2729" t="s">
        <v>1339</v>
      </c>
      <c r="C2729">
        <v>2014</v>
      </c>
      <c r="D2729" t="s">
        <v>44</v>
      </c>
      <c r="F2729" t="s">
        <v>83</v>
      </c>
      <c r="G2729" s="1" t="s">
        <v>85</v>
      </c>
      <c r="H2729" t="s">
        <v>350</v>
      </c>
      <c r="I2729">
        <v>2012</v>
      </c>
      <c r="K2729" t="s">
        <v>101</v>
      </c>
      <c r="N2729" t="s">
        <v>132</v>
      </c>
      <c r="O2729" t="s">
        <v>132</v>
      </c>
      <c r="P2729" t="s">
        <v>1341</v>
      </c>
      <c r="Q2729" s="1" t="s">
        <v>2276</v>
      </c>
      <c r="R2729" s="1" t="s">
        <v>669</v>
      </c>
      <c r="S2729" s="1" t="s">
        <v>168</v>
      </c>
      <c r="T2729" t="s">
        <v>396</v>
      </c>
      <c r="U2729" t="s">
        <v>168</v>
      </c>
      <c r="X2729" t="s">
        <v>161</v>
      </c>
      <c r="Y2729" t="s">
        <v>2272</v>
      </c>
      <c r="Z2729" t="s">
        <v>2272</v>
      </c>
      <c r="AA2729" t="s">
        <v>2272</v>
      </c>
      <c r="AB2729" t="s">
        <v>2272</v>
      </c>
      <c r="AC2729" t="s">
        <v>162</v>
      </c>
      <c r="AD2729" t="s">
        <v>2272</v>
      </c>
      <c r="AF2729" t="s">
        <v>49</v>
      </c>
      <c r="AK2729" t="s">
        <v>49</v>
      </c>
      <c r="AM2729" t="s">
        <v>1209</v>
      </c>
      <c r="AN2729" t="s">
        <v>166</v>
      </c>
      <c r="AQ2729" s="5">
        <v>1</v>
      </c>
    </row>
    <row r="2730" spans="1:43" x14ac:dyDescent="0.2">
      <c r="A2730" t="s">
        <v>1565</v>
      </c>
      <c r="B2730" t="s">
        <v>1339</v>
      </c>
      <c r="C2730">
        <v>2014</v>
      </c>
      <c r="D2730" t="s">
        <v>44</v>
      </c>
      <c r="F2730" t="s">
        <v>83</v>
      </c>
      <c r="G2730" s="1" t="s">
        <v>85</v>
      </c>
      <c r="H2730" t="s">
        <v>350</v>
      </c>
      <c r="I2730">
        <v>2012</v>
      </c>
      <c r="K2730" t="s">
        <v>101</v>
      </c>
      <c r="N2730" t="s">
        <v>120</v>
      </c>
      <c r="O2730" t="s">
        <v>216</v>
      </c>
      <c r="P2730" t="s">
        <v>244</v>
      </c>
      <c r="Q2730" s="1" t="s">
        <v>2276</v>
      </c>
      <c r="R2730" s="1" t="s">
        <v>669</v>
      </c>
      <c r="S2730" s="1" t="s">
        <v>168</v>
      </c>
      <c r="T2730" t="s">
        <v>396</v>
      </c>
      <c r="U2730" t="s">
        <v>168</v>
      </c>
      <c r="X2730" t="s">
        <v>161</v>
      </c>
      <c r="Y2730" t="s">
        <v>2272</v>
      </c>
      <c r="Z2730" t="s">
        <v>2272</v>
      </c>
      <c r="AA2730" t="s">
        <v>2272</v>
      </c>
      <c r="AB2730" t="s">
        <v>2272</v>
      </c>
      <c r="AC2730" t="s">
        <v>162</v>
      </c>
      <c r="AD2730" t="s">
        <v>2272</v>
      </c>
      <c r="AF2730" t="s">
        <v>49</v>
      </c>
      <c r="AK2730" t="s">
        <v>49</v>
      </c>
      <c r="AM2730" t="s">
        <v>1209</v>
      </c>
      <c r="AN2730" t="s">
        <v>166</v>
      </c>
      <c r="AQ2730" s="5">
        <v>2</v>
      </c>
    </row>
    <row r="2731" spans="1:43" x14ac:dyDescent="0.2">
      <c r="A2731" t="s">
        <v>1565</v>
      </c>
      <c r="B2731" t="s">
        <v>1339</v>
      </c>
      <c r="C2731">
        <v>2014</v>
      </c>
      <c r="D2731" t="s">
        <v>44</v>
      </c>
      <c r="F2731" t="s">
        <v>83</v>
      </c>
      <c r="G2731" s="1" t="s">
        <v>85</v>
      </c>
      <c r="H2731" t="s">
        <v>350</v>
      </c>
      <c r="I2731">
        <v>2012</v>
      </c>
      <c r="K2731" t="s">
        <v>101</v>
      </c>
      <c r="N2731" t="s">
        <v>132</v>
      </c>
      <c r="O2731" t="s">
        <v>132</v>
      </c>
      <c r="P2731" t="s">
        <v>1341</v>
      </c>
      <c r="Q2731" s="1" t="s">
        <v>2276</v>
      </c>
      <c r="R2731" s="1" t="s">
        <v>669</v>
      </c>
      <c r="S2731" s="1" t="s">
        <v>168</v>
      </c>
      <c r="T2731" t="s">
        <v>396</v>
      </c>
      <c r="U2731" t="s">
        <v>168</v>
      </c>
      <c r="X2731" t="s">
        <v>161</v>
      </c>
      <c r="Y2731" t="s">
        <v>2272</v>
      </c>
      <c r="Z2731" t="s">
        <v>2272</v>
      </c>
      <c r="AA2731" t="s">
        <v>2272</v>
      </c>
      <c r="AB2731" t="s">
        <v>2272</v>
      </c>
      <c r="AC2731" t="s">
        <v>162</v>
      </c>
      <c r="AD2731" t="s">
        <v>2272</v>
      </c>
      <c r="AH2731" t="s">
        <v>49</v>
      </c>
      <c r="AI2731" t="s">
        <v>49</v>
      </c>
      <c r="AM2731" t="s">
        <v>233</v>
      </c>
      <c r="AN2731" t="s">
        <v>166</v>
      </c>
      <c r="AQ2731" s="5">
        <v>0</v>
      </c>
    </row>
    <row r="2732" spans="1:43" x14ac:dyDescent="0.2">
      <c r="A2732" t="s">
        <v>1565</v>
      </c>
      <c r="B2732" t="s">
        <v>1339</v>
      </c>
      <c r="C2732">
        <v>2014</v>
      </c>
      <c r="D2732" t="s">
        <v>44</v>
      </c>
      <c r="F2732" t="s">
        <v>83</v>
      </c>
      <c r="G2732" s="1" t="s">
        <v>85</v>
      </c>
      <c r="H2732" t="s">
        <v>350</v>
      </c>
      <c r="I2732">
        <v>2012</v>
      </c>
      <c r="K2732" t="s">
        <v>101</v>
      </c>
      <c r="N2732" t="s">
        <v>120</v>
      </c>
      <c r="O2732" t="s">
        <v>216</v>
      </c>
      <c r="P2732" t="s">
        <v>244</v>
      </c>
      <c r="Q2732" s="1" t="s">
        <v>2276</v>
      </c>
      <c r="R2732" s="1" t="s">
        <v>669</v>
      </c>
      <c r="S2732" s="1" t="s">
        <v>168</v>
      </c>
      <c r="T2732" t="s">
        <v>396</v>
      </c>
      <c r="U2732" t="s">
        <v>168</v>
      </c>
      <c r="X2732" t="s">
        <v>161</v>
      </c>
      <c r="Y2732" t="s">
        <v>2272</v>
      </c>
      <c r="Z2732" t="s">
        <v>2272</v>
      </c>
      <c r="AA2732" t="s">
        <v>2272</v>
      </c>
      <c r="AB2732" t="s">
        <v>2272</v>
      </c>
      <c r="AC2732" t="s">
        <v>162</v>
      </c>
      <c r="AD2732" t="s">
        <v>2272</v>
      </c>
      <c r="AH2732" t="s">
        <v>49</v>
      </c>
      <c r="AI2732" t="s">
        <v>49</v>
      </c>
      <c r="AM2732" t="s">
        <v>233</v>
      </c>
      <c r="AN2732" t="s">
        <v>166</v>
      </c>
      <c r="AQ2732" s="5">
        <v>0</v>
      </c>
    </row>
    <row r="2733" spans="1:43" x14ac:dyDescent="0.2">
      <c r="A2733" t="s">
        <v>1565</v>
      </c>
      <c r="B2733" t="s">
        <v>1339</v>
      </c>
      <c r="C2733">
        <v>2014</v>
      </c>
      <c r="D2733" t="s">
        <v>44</v>
      </c>
      <c r="F2733" t="s">
        <v>83</v>
      </c>
      <c r="G2733" s="1" t="s">
        <v>85</v>
      </c>
      <c r="H2733" t="s">
        <v>350</v>
      </c>
      <c r="I2733">
        <v>2012</v>
      </c>
      <c r="K2733" t="s">
        <v>101</v>
      </c>
      <c r="N2733" t="s">
        <v>132</v>
      </c>
      <c r="O2733" t="s">
        <v>132</v>
      </c>
      <c r="P2733" t="s">
        <v>1341</v>
      </c>
      <c r="Q2733" s="1" t="s">
        <v>2276</v>
      </c>
      <c r="R2733" s="1" t="s">
        <v>669</v>
      </c>
      <c r="S2733" s="1" t="s">
        <v>168</v>
      </c>
      <c r="T2733" t="s">
        <v>396</v>
      </c>
      <c r="U2733" t="s">
        <v>168</v>
      </c>
      <c r="X2733" t="s">
        <v>161</v>
      </c>
      <c r="Y2733" t="s">
        <v>2272</v>
      </c>
      <c r="Z2733" t="s">
        <v>2272</v>
      </c>
      <c r="AA2733" t="s">
        <v>2272</v>
      </c>
      <c r="AB2733" t="s">
        <v>2272</v>
      </c>
      <c r="AC2733" t="s">
        <v>162</v>
      </c>
      <c r="AD2733" t="s">
        <v>2272</v>
      </c>
      <c r="AH2733" t="s">
        <v>49</v>
      </c>
      <c r="AI2733" t="s">
        <v>49</v>
      </c>
      <c r="AM2733" t="s">
        <v>233</v>
      </c>
      <c r="AN2733" t="s">
        <v>171</v>
      </c>
      <c r="AQ2733" s="5">
        <v>0</v>
      </c>
    </row>
    <row r="2734" spans="1:43" x14ac:dyDescent="0.2">
      <c r="A2734" t="s">
        <v>1565</v>
      </c>
      <c r="B2734" t="s">
        <v>1339</v>
      </c>
      <c r="C2734">
        <v>2014</v>
      </c>
      <c r="D2734" t="s">
        <v>44</v>
      </c>
      <c r="F2734" t="s">
        <v>83</v>
      </c>
      <c r="G2734" s="1" t="s">
        <v>85</v>
      </c>
      <c r="H2734" t="s">
        <v>350</v>
      </c>
      <c r="I2734">
        <v>2012</v>
      </c>
      <c r="K2734" t="s">
        <v>101</v>
      </c>
      <c r="N2734" t="s">
        <v>120</v>
      </c>
      <c r="O2734" t="s">
        <v>216</v>
      </c>
      <c r="P2734" t="s">
        <v>244</v>
      </c>
      <c r="Q2734" s="1" t="s">
        <v>2276</v>
      </c>
      <c r="R2734" s="1" t="s">
        <v>669</v>
      </c>
      <c r="S2734" s="1" t="s">
        <v>168</v>
      </c>
      <c r="T2734" t="s">
        <v>396</v>
      </c>
      <c r="U2734" t="s">
        <v>168</v>
      </c>
      <c r="X2734" t="s">
        <v>161</v>
      </c>
      <c r="Y2734" t="s">
        <v>2272</v>
      </c>
      <c r="Z2734" t="s">
        <v>2272</v>
      </c>
      <c r="AA2734" t="s">
        <v>2272</v>
      </c>
      <c r="AB2734" t="s">
        <v>2272</v>
      </c>
      <c r="AC2734" t="s">
        <v>162</v>
      </c>
      <c r="AD2734" t="s">
        <v>2272</v>
      </c>
      <c r="AH2734" t="s">
        <v>49</v>
      </c>
      <c r="AI2734" t="s">
        <v>49</v>
      </c>
      <c r="AM2734" t="s">
        <v>233</v>
      </c>
      <c r="AN2734" t="s">
        <v>171</v>
      </c>
      <c r="AQ2734" s="5">
        <v>0</v>
      </c>
    </row>
    <row r="2735" spans="1:43" x14ac:dyDescent="0.2">
      <c r="A2735" t="s">
        <v>1565</v>
      </c>
      <c r="B2735" t="s">
        <v>1339</v>
      </c>
      <c r="C2735">
        <v>2014</v>
      </c>
      <c r="D2735" t="s">
        <v>44</v>
      </c>
      <c r="F2735" t="s">
        <v>83</v>
      </c>
      <c r="G2735" s="1" t="s">
        <v>85</v>
      </c>
      <c r="H2735" t="s">
        <v>350</v>
      </c>
      <c r="I2735">
        <v>2012</v>
      </c>
      <c r="K2735" t="s">
        <v>101</v>
      </c>
      <c r="N2735" t="s">
        <v>132</v>
      </c>
      <c r="O2735" t="s">
        <v>132</v>
      </c>
      <c r="P2735" t="s">
        <v>1341</v>
      </c>
      <c r="Q2735" s="1" t="s">
        <v>2276</v>
      </c>
      <c r="R2735" s="1" t="s">
        <v>669</v>
      </c>
      <c r="S2735" s="1" t="s">
        <v>168</v>
      </c>
      <c r="T2735" t="s">
        <v>396</v>
      </c>
      <c r="U2735" t="s">
        <v>168</v>
      </c>
      <c r="X2735" t="s">
        <v>161</v>
      </c>
      <c r="Y2735" t="s">
        <v>2272</v>
      </c>
      <c r="Z2735" t="s">
        <v>2272</v>
      </c>
      <c r="AA2735" t="s">
        <v>2272</v>
      </c>
      <c r="AB2735" t="s">
        <v>2272</v>
      </c>
      <c r="AC2735" t="s">
        <v>162</v>
      </c>
      <c r="AD2735" t="s">
        <v>2272</v>
      </c>
      <c r="AH2735" t="s">
        <v>49</v>
      </c>
      <c r="AI2735" t="s">
        <v>49</v>
      </c>
      <c r="AM2735" t="s">
        <v>233</v>
      </c>
      <c r="AN2735" t="s">
        <v>154</v>
      </c>
      <c r="AQ2735" s="5">
        <v>0</v>
      </c>
    </row>
    <row r="2736" spans="1:43" x14ac:dyDescent="0.2">
      <c r="A2736" t="s">
        <v>1565</v>
      </c>
      <c r="B2736" t="s">
        <v>1339</v>
      </c>
      <c r="C2736">
        <v>2014</v>
      </c>
      <c r="D2736" t="s">
        <v>44</v>
      </c>
      <c r="F2736" t="s">
        <v>83</v>
      </c>
      <c r="G2736" s="1" t="s">
        <v>85</v>
      </c>
      <c r="H2736" t="s">
        <v>350</v>
      </c>
      <c r="I2736">
        <v>2012</v>
      </c>
      <c r="K2736" t="s">
        <v>101</v>
      </c>
      <c r="N2736" t="s">
        <v>120</v>
      </c>
      <c r="O2736" t="s">
        <v>216</v>
      </c>
      <c r="P2736" t="s">
        <v>244</v>
      </c>
      <c r="Q2736" s="1" t="s">
        <v>2276</v>
      </c>
      <c r="R2736" s="1" t="s">
        <v>669</v>
      </c>
      <c r="S2736" s="1" t="s">
        <v>168</v>
      </c>
      <c r="T2736" t="s">
        <v>396</v>
      </c>
      <c r="U2736" t="s">
        <v>168</v>
      </c>
      <c r="X2736" t="s">
        <v>161</v>
      </c>
      <c r="Y2736" t="s">
        <v>2272</v>
      </c>
      <c r="Z2736" t="s">
        <v>2272</v>
      </c>
      <c r="AA2736" t="s">
        <v>2272</v>
      </c>
      <c r="AB2736" t="s">
        <v>2272</v>
      </c>
      <c r="AC2736" t="s">
        <v>162</v>
      </c>
      <c r="AD2736" t="s">
        <v>2272</v>
      </c>
      <c r="AH2736" t="s">
        <v>49</v>
      </c>
      <c r="AI2736" t="s">
        <v>49</v>
      </c>
      <c r="AM2736" t="s">
        <v>233</v>
      </c>
      <c r="AN2736" t="s">
        <v>154</v>
      </c>
      <c r="AQ2736" s="5">
        <v>0</v>
      </c>
    </row>
    <row r="2737" spans="1:43" x14ac:dyDescent="0.2">
      <c r="A2737" t="s">
        <v>1565</v>
      </c>
      <c r="B2737" t="s">
        <v>1339</v>
      </c>
      <c r="C2737">
        <v>2014</v>
      </c>
      <c r="D2737" t="s">
        <v>44</v>
      </c>
      <c r="F2737" t="s">
        <v>83</v>
      </c>
      <c r="G2737" s="1" t="s">
        <v>85</v>
      </c>
      <c r="H2737" t="s">
        <v>350</v>
      </c>
      <c r="I2737">
        <v>2012</v>
      </c>
      <c r="K2737" t="s">
        <v>101</v>
      </c>
      <c r="N2737" t="s">
        <v>132</v>
      </c>
      <c r="O2737" t="s">
        <v>132</v>
      </c>
      <c r="P2737" t="s">
        <v>1341</v>
      </c>
      <c r="Q2737" s="1" t="s">
        <v>2276</v>
      </c>
      <c r="R2737" s="1" t="s">
        <v>669</v>
      </c>
      <c r="S2737" s="1" t="s">
        <v>168</v>
      </c>
      <c r="T2737" t="s">
        <v>396</v>
      </c>
      <c r="U2737" t="s">
        <v>168</v>
      </c>
      <c r="X2737" t="s">
        <v>161</v>
      </c>
      <c r="Y2737" t="s">
        <v>2272</v>
      </c>
      <c r="Z2737" t="s">
        <v>2272</v>
      </c>
      <c r="AA2737" t="s">
        <v>2272</v>
      </c>
      <c r="AB2737" t="s">
        <v>2272</v>
      </c>
      <c r="AC2737" t="s">
        <v>162</v>
      </c>
      <c r="AD2737" t="s">
        <v>2272</v>
      </c>
      <c r="AH2737" t="s">
        <v>49</v>
      </c>
      <c r="AI2737" t="s">
        <v>49</v>
      </c>
      <c r="AM2737" t="s">
        <v>233</v>
      </c>
      <c r="AN2737" t="s">
        <v>165</v>
      </c>
      <c r="AQ2737" s="5">
        <v>0</v>
      </c>
    </row>
    <row r="2738" spans="1:43" x14ac:dyDescent="0.2">
      <c r="A2738" t="s">
        <v>1565</v>
      </c>
      <c r="B2738" t="s">
        <v>1339</v>
      </c>
      <c r="C2738">
        <v>2014</v>
      </c>
      <c r="D2738" t="s">
        <v>44</v>
      </c>
      <c r="F2738" t="s">
        <v>83</v>
      </c>
      <c r="G2738" s="1" t="s">
        <v>85</v>
      </c>
      <c r="H2738" t="s">
        <v>350</v>
      </c>
      <c r="I2738">
        <v>2012</v>
      </c>
      <c r="K2738" t="s">
        <v>101</v>
      </c>
      <c r="N2738" t="s">
        <v>120</v>
      </c>
      <c r="O2738" t="s">
        <v>216</v>
      </c>
      <c r="P2738" t="s">
        <v>244</v>
      </c>
      <c r="Q2738" s="1" t="s">
        <v>2276</v>
      </c>
      <c r="R2738" s="1" t="s">
        <v>669</v>
      </c>
      <c r="S2738" s="1" t="s">
        <v>168</v>
      </c>
      <c r="T2738" t="s">
        <v>396</v>
      </c>
      <c r="U2738" t="s">
        <v>168</v>
      </c>
      <c r="X2738" t="s">
        <v>161</v>
      </c>
      <c r="Y2738" t="s">
        <v>2272</v>
      </c>
      <c r="Z2738" t="s">
        <v>2272</v>
      </c>
      <c r="AA2738" t="s">
        <v>2272</v>
      </c>
      <c r="AB2738" t="s">
        <v>2272</v>
      </c>
      <c r="AC2738" t="s">
        <v>162</v>
      </c>
      <c r="AD2738" t="s">
        <v>2272</v>
      </c>
      <c r="AH2738" t="s">
        <v>49</v>
      </c>
      <c r="AI2738" t="s">
        <v>49</v>
      </c>
      <c r="AM2738" t="s">
        <v>233</v>
      </c>
      <c r="AN2738" t="s">
        <v>165</v>
      </c>
      <c r="AQ2738" s="5">
        <v>0</v>
      </c>
    </row>
    <row r="2739" spans="1:43" x14ac:dyDescent="0.2">
      <c r="A2739" t="s">
        <v>1567</v>
      </c>
      <c r="B2739" t="s">
        <v>1568</v>
      </c>
      <c r="C2739">
        <v>2014</v>
      </c>
      <c r="D2739" t="s">
        <v>811</v>
      </c>
      <c r="F2739" t="s">
        <v>628</v>
      </c>
      <c r="G2739" s="1" t="s">
        <v>86</v>
      </c>
      <c r="H2739" t="s">
        <v>96</v>
      </c>
      <c r="I2739">
        <v>2011</v>
      </c>
      <c r="J2739">
        <f t="shared" ref="J2739:J2770" si="57">4/12</f>
        <v>0.33333333333333331</v>
      </c>
      <c r="K2739" t="s">
        <v>101</v>
      </c>
      <c r="N2739" t="s">
        <v>127</v>
      </c>
      <c r="O2739" t="s">
        <v>2514</v>
      </c>
      <c r="Q2739" s="1" t="s">
        <v>2351</v>
      </c>
      <c r="R2739" s="1" t="s">
        <v>2351</v>
      </c>
      <c r="S2739" s="1" t="s">
        <v>2351</v>
      </c>
      <c r="X2739" t="s">
        <v>211</v>
      </c>
      <c r="Y2739" t="s">
        <v>2279</v>
      </c>
      <c r="Z2739" t="s">
        <v>2280</v>
      </c>
      <c r="AA2739" t="s">
        <v>2358</v>
      </c>
      <c r="AB2739" t="s">
        <v>2290</v>
      </c>
      <c r="AC2739" t="s">
        <v>152</v>
      </c>
      <c r="AD2739" t="s">
        <v>2278</v>
      </c>
      <c r="AF2739" t="s">
        <v>49</v>
      </c>
      <c r="AI2739" t="s">
        <v>49</v>
      </c>
      <c r="AM2739" t="s">
        <v>1960</v>
      </c>
      <c r="AN2739" t="s">
        <v>166</v>
      </c>
    </row>
    <row r="2740" spans="1:43" x14ac:dyDescent="0.2">
      <c r="A2740" t="s">
        <v>1567</v>
      </c>
      <c r="B2740" t="s">
        <v>1568</v>
      </c>
      <c r="C2740">
        <v>2014</v>
      </c>
      <c r="D2740" t="s">
        <v>811</v>
      </c>
      <c r="F2740" t="s">
        <v>628</v>
      </c>
      <c r="G2740" s="1" t="s">
        <v>86</v>
      </c>
      <c r="H2740" t="s">
        <v>96</v>
      </c>
      <c r="I2740">
        <v>2011</v>
      </c>
      <c r="J2740">
        <f t="shared" si="57"/>
        <v>0.33333333333333331</v>
      </c>
      <c r="K2740" t="s">
        <v>101</v>
      </c>
      <c r="N2740" t="s">
        <v>127</v>
      </c>
      <c r="O2740" t="s">
        <v>2514</v>
      </c>
      <c r="Q2740" s="1" t="s">
        <v>2351</v>
      </c>
      <c r="R2740" s="1" t="s">
        <v>2351</v>
      </c>
      <c r="S2740" s="1" t="s">
        <v>2351</v>
      </c>
      <c r="X2740" t="s">
        <v>2516</v>
      </c>
      <c r="Y2740" t="s">
        <v>2279</v>
      </c>
      <c r="Z2740" t="s">
        <v>528</v>
      </c>
      <c r="AA2740" t="s">
        <v>2470</v>
      </c>
      <c r="AB2740" t="s">
        <v>2581</v>
      </c>
      <c r="AC2740" t="s">
        <v>152</v>
      </c>
      <c r="AD2740" t="s">
        <v>2278</v>
      </c>
      <c r="AF2740" t="s">
        <v>49</v>
      </c>
      <c r="AI2740" t="s">
        <v>49</v>
      </c>
      <c r="AM2740" t="s">
        <v>1960</v>
      </c>
      <c r="AN2740" t="s">
        <v>166</v>
      </c>
    </row>
    <row r="2741" spans="1:43" x14ac:dyDescent="0.2">
      <c r="A2741" t="s">
        <v>1567</v>
      </c>
      <c r="B2741" t="s">
        <v>1568</v>
      </c>
      <c r="C2741">
        <v>2014</v>
      </c>
      <c r="D2741" t="s">
        <v>811</v>
      </c>
      <c r="F2741" t="s">
        <v>628</v>
      </c>
      <c r="G2741" s="1" t="s">
        <v>86</v>
      </c>
      <c r="H2741" t="s">
        <v>96</v>
      </c>
      <c r="I2741">
        <v>2011</v>
      </c>
      <c r="J2741">
        <f t="shared" si="57"/>
        <v>0.33333333333333331</v>
      </c>
      <c r="K2741" t="s">
        <v>101</v>
      </c>
      <c r="N2741" t="s">
        <v>127</v>
      </c>
      <c r="O2741" t="s">
        <v>2514</v>
      </c>
      <c r="Q2741" s="1" t="s">
        <v>2351</v>
      </c>
      <c r="R2741" s="1" t="s">
        <v>2351</v>
      </c>
      <c r="S2741" s="1" t="s">
        <v>2351</v>
      </c>
      <c r="T2741" t="s">
        <v>396</v>
      </c>
      <c r="U2741" s="1" t="s">
        <v>2519</v>
      </c>
      <c r="X2741" t="s">
        <v>161</v>
      </c>
      <c r="Y2741" t="s">
        <v>2272</v>
      </c>
      <c r="Z2741" t="s">
        <v>2272</v>
      </c>
      <c r="AA2741" t="s">
        <v>2272</v>
      </c>
      <c r="AB2741" t="s">
        <v>2272</v>
      </c>
      <c r="AC2741" t="s">
        <v>162</v>
      </c>
      <c r="AD2741" t="s">
        <v>2272</v>
      </c>
      <c r="AF2741" t="s">
        <v>49</v>
      </c>
      <c r="AI2741" t="s">
        <v>49</v>
      </c>
      <c r="AM2741" t="s">
        <v>1960</v>
      </c>
      <c r="AN2741" t="s">
        <v>166</v>
      </c>
    </row>
    <row r="2742" spans="1:43" x14ac:dyDescent="0.2">
      <c r="A2742" t="s">
        <v>1567</v>
      </c>
      <c r="B2742" t="s">
        <v>1568</v>
      </c>
      <c r="C2742">
        <v>2014</v>
      </c>
      <c r="D2742" t="s">
        <v>811</v>
      </c>
      <c r="F2742" t="s">
        <v>628</v>
      </c>
      <c r="G2742" s="1" t="s">
        <v>86</v>
      </c>
      <c r="H2742" t="s">
        <v>96</v>
      </c>
      <c r="I2742">
        <v>2011</v>
      </c>
      <c r="J2742">
        <f t="shared" si="57"/>
        <v>0.33333333333333331</v>
      </c>
      <c r="K2742" t="s">
        <v>101</v>
      </c>
      <c r="N2742" t="s">
        <v>132</v>
      </c>
      <c r="O2742" t="s">
        <v>132</v>
      </c>
      <c r="P2742" t="s">
        <v>2515</v>
      </c>
      <c r="Q2742" s="1" t="s">
        <v>2276</v>
      </c>
      <c r="R2742" s="1" t="s">
        <v>669</v>
      </c>
      <c r="S2742" s="1" t="s">
        <v>168</v>
      </c>
      <c r="T2742" t="s">
        <v>396</v>
      </c>
      <c r="U2742" s="1" t="s">
        <v>2517</v>
      </c>
      <c r="X2742" t="s">
        <v>161</v>
      </c>
      <c r="Y2742" t="s">
        <v>2272</v>
      </c>
      <c r="Z2742" t="s">
        <v>2272</v>
      </c>
      <c r="AA2742" t="s">
        <v>2272</v>
      </c>
      <c r="AB2742" t="s">
        <v>2272</v>
      </c>
      <c r="AC2742" t="s">
        <v>162</v>
      </c>
      <c r="AD2742" t="s">
        <v>2272</v>
      </c>
      <c r="AF2742" t="s">
        <v>49</v>
      </c>
      <c r="AI2742" t="s">
        <v>49</v>
      </c>
      <c r="AM2742" t="s">
        <v>1960</v>
      </c>
      <c r="AN2742" t="s">
        <v>166</v>
      </c>
    </row>
    <row r="2743" spans="1:43" x14ac:dyDescent="0.2">
      <c r="A2743" t="s">
        <v>1567</v>
      </c>
      <c r="B2743" t="s">
        <v>1568</v>
      </c>
      <c r="C2743">
        <v>2014</v>
      </c>
      <c r="D2743" t="s">
        <v>811</v>
      </c>
      <c r="F2743" t="s">
        <v>628</v>
      </c>
      <c r="G2743" s="1" t="s">
        <v>86</v>
      </c>
      <c r="H2743" t="s">
        <v>96</v>
      </c>
      <c r="I2743">
        <v>2011</v>
      </c>
      <c r="J2743">
        <f t="shared" si="57"/>
        <v>0.33333333333333331</v>
      </c>
      <c r="K2743" t="s">
        <v>101</v>
      </c>
      <c r="N2743" t="s">
        <v>132</v>
      </c>
      <c r="O2743" t="s">
        <v>132</v>
      </c>
      <c r="P2743" t="s">
        <v>169</v>
      </c>
      <c r="Q2743" s="1" t="s">
        <v>2276</v>
      </c>
      <c r="R2743" s="1" t="s">
        <v>669</v>
      </c>
      <c r="S2743" s="1" t="s">
        <v>168</v>
      </c>
      <c r="T2743" t="s">
        <v>396</v>
      </c>
      <c r="U2743" s="1" t="s">
        <v>2517</v>
      </c>
      <c r="X2743" t="s">
        <v>161</v>
      </c>
      <c r="Y2743" t="s">
        <v>2272</v>
      </c>
      <c r="Z2743" t="s">
        <v>2272</v>
      </c>
      <c r="AA2743" t="s">
        <v>2272</v>
      </c>
      <c r="AB2743" t="s">
        <v>2272</v>
      </c>
      <c r="AC2743" t="s">
        <v>162</v>
      </c>
      <c r="AD2743" t="s">
        <v>2272</v>
      </c>
      <c r="AF2743" t="s">
        <v>49</v>
      </c>
      <c r="AI2743" t="s">
        <v>49</v>
      </c>
      <c r="AM2743" t="s">
        <v>1960</v>
      </c>
      <c r="AN2743" t="s">
        <v>166</v>
      </c>
    </row>
    <row r="2744" spans="1:43" x14ac:dyDescent="0.2">
      <c r="A2744" t="s">
        <v>1567</v>
      </c>
      <c r="B2744" t="s">
        <v>1568</v>
      </c>
      <c r="C2744">
        <v>2014</v>
      </c>
      <c r="D2744" t="s">
        <v>811</v>
      </c>
      <c r="F2744" t="s">
        <v>628</v>
      </c>
      <c r="G2744" s="1" t="s">
        <v>86</v>
      </c>
      <c r="H2744" t="s">
        <v>96</v>
      </c>
      <c r="I2744">
        <v>2011</v>
      </c>
      <c r="J2744">
        <f t="shared" si="57"/>
        <v>0.33333333333333331</v>
      </c>
      <c r="K2744" t="s">
        <v>101</v>
      </c>
      <c r="N2744" t="s">
        <v>123</v>
      </c>
      <c r="O2744" t="s">
        <v>123</v>
      </c>
      <c r="P2744" t="s">
        <v>406</v>
      </c>
      <c r="Q2744" s="1" t="s">
        <v>2281</v>
      </c>
      <c r="R2744" s="1" t="s">
        <v>2282</v>
      </c>
      <c r="S2744" s="1" t="s">
        <v>123</v>
      </c>
      <c r="T2744" t="s">
        <v>396</v>
      </c>
      <c r="U2744" s="1" t="s">
        <v>2518</v>
      </c>
      <c r="X2744" t="s">
        <v>161</v>
      </c>
      <c r="Y2744" t="s">
        <v>2272</v>
      </c>
      <c r="Z2744" t="s">
        <v>2272</v>
      </c>
      <c r="AA2744" t="s">
        <v>2272</v>
      </c>
      <c r="AB2744" t="s">
        <v>2272</v>
      </c>
      <c r="AC2744" t="s">
        <v>162</v>
      </c>
      <c r="AD2744" t="s">
        <v>2272</v>
      </c>
      <c r="AF2744" t="s">
        <v>49</v>
      </c>
      <c r="AI2744" t="s">
        <v>49</v>
      </c>
      <c r="AM2744" t="s">
        <v>1960</v>
      </c>
      <c r="AN2744" t="s">
        <v>166</v>
      </c>
    </row>
    <row r="2745" spans="1:43" ht="15" customHeight="1" x14ac:dyDescent="0.2">
      <c r="A2745" t="s">
        <v>1567</v>
      </c>
      <c r="B2745" t="s">
        <v>1568</v>
      </c>
      <c r="C2745">
        <v>2014</v>
      </c>
      <c r="D2745" t="s">
        <v>811</v>
      </c>
      <c r="F2745" t="s">
        <v>628</v>
      </c>
      <c r="G2745" s="1" t="s">
        <v>86</v>
      </c>
      <c r="H2745" t="s">
        <v>96</v>
      </c>
      <c r="I2745">
        <v>2011</v>
      </c>
      <c r="J2745">
        <f t="shared" si="57"/>
        <v>0.33333333333333331</v>
      </c>
      <c r="K2745" t="s">
        <v>101</v>
      </c>
      <c r="N2745" t="s">
        <v>127</v>
      </c>
      <c r="O2745" t="s">
        <v>2514</v>
      </c>
      <c r="Q2745" s="1" t="s">
        <v>2351</v>
      </c>
      <c r="R2745" s="1" t="s">
        <v>2351</v>
      </c>
      <c r="S2745" s="1" t="s">
        <v>2351</v>
      </c>
      <c r="X2745" t="s">
        <v>211</v>
      </c>
      <c r="Y2745" t="s">
        <v>2279</v>
      </c>
      <c r="Z2745" t="s">
        <v>2280</v>
      </c>
      <c r="AA2745" t="s">
        <v>2358</v>
      </c>
      <c r="AB2745" t="s">
        <v>2290</v>
      </c>
      <c r="AC2745" t="s">
        <v>152</v>
      </c>
      <c r="AD2745" t="s">
        <v>2278</v>
      </c>
      <c r="AF2745" t="s">
        <v>49</v>
      </c>
      <c r="AI2745" t="s">
        <v>49</v>
      </c>
      <c r="AM2745" t="s">
        <v>1960</v>
      </c>
      <c r="AN2745" t="s">
        <v>154</v>
      </c>
    </row>
    <row r="2746" spans="1:43" x14ac:dyDescent="0.2">
      <c r="A2746" t="s">
        <v>1567</v>
      </c>
      <c r="B2746" t="s">
        <v>1568</v>
      </c>
      <c r="C2746">
        <v>2014</v>
      </c>
      <c r="D2746" t="s">
        <v>811</v>
      </c>
      <c r="F2746" t="s">
        <v>628</v>
      </c>
      <c r="G2746" s="1" t="s">
        <v>86</v>
      </c>
      <c r="H2746" t="s">
        <v>96</v>
      </c>
      <c r="I2746">
        <v>2011</v>
      </c>
      <c r="J2746">
        <f t="shared" si="57"/>
        <v>0.33333333333333331</v>
      </c>
      <c r="K2746" t="s">
        <v>101</v>
      </c>
      <c r="N2746" t="s">
        <v>127</v>
      </c>
      <c r="O2746" t="s">
        <v>2514</v>
      </c>
      <c r="Q2746" s="1" t="s">
        <v>2351</v>
      </c>
      <c r="R2746" s="1" t="s">
        <v>2351</v>
      </c>
      <c r="S2746" s="1" t="s">
        <v>2351</v>
      </c>
      <c r="X2746" t="s">
        <v>2516</v>
      </c>
      <c r="Y2746" t="s">
        <v>2279</v>
      </c>
      <c r="Z2746" t="s">
        <v>528</v>
      </c>
      <c r="AA2746" t="s">
        <v>2470</v>
      </c>
      <c r="AB2746" t="s">
        <v>2581</v>
      </c>
      <c r="AC2746" t="s">
        <v>152</v>
      </c>
      <c r="AD2746" t="s">
        <v>2278</v>
      </c>
      <c r="AF2746" t="s">
        <v>49</v>
      </c>
      <c r="AI2746" t="s">
        <v>49</v>
      </c>
      <c r="AM2746" t="s">
        <v>1960</v>
      </c>
      <c r="AN2746" t="s">
        <v>154</v>
      </c>
    </row>
    <row r="2747" spans="1:43" x14ac:dyDescent="0.2">
      <c r="A2747" t="s">
        <v>1567</v>
      </c>
      <c r="B2747" t="s">
        <v>1568</v>
      </c>
      <c r="C2747">
        <v>2014</v>
      </c>
      <c r="D2747" t="s">
        <v>811</v>
      </c>
      <c r="F2747" t="s">
        <v>628</v>
      </c>
      <c r="G2747" s="1" t="s">
        <v>86</v>
      </c>
      <c r="H2747" t="s">
        <v>96</v>
      </c>
      <c r="I2747">
        <v>2011</v>
      </c>
      <c r="J2747">
        <f t="shared" si="57"/>
        <v>0.33333333333333331</v>
      </c>
      <c r="K2747" t="s">
        <v>101</v>
      </c>
      <c r="N2747" t="s">
        <v>127</v>
      </c>
      <c r="O2747" t="s">
        <v>2514</v>
      </c>
      <c r="Q2747" s="1" t="s">
        <v>2351</v>
      </c>
      <c r="R2747" s="1" t="s">
        <v>2351</v>
      </c>
      <c r="S2747" s="1" t="s">
        <v>2351</v>
      </c>
      <c r="T2747" t="s">
        <v>396</v>
      </c>
      <c r="U2747" s="1" t="s">
        <v>2519</v>
      </c>
      <c r="X2747" t="s">
        <v>161</v>
      </c>
      <c r="Y2747" t="s">
        <v>2272</v>
      </c>
      <c r="Z2747" t="s">
        <v>2272</v>
      </c>
      <c r="AA2747" t="s">
        <v>2272</v>
      </c>
      <c r="AB2747" t="s">
        <v>2272</v>
      </c>
      <c r="AC2747" t="s">
        <v>162</v>
      </c>
      <c r="AD2747" t="s">
        <v>2272</v>
      </c>
      <c r="AF2747" t="s">
        <v>49</v>
      </c>
      <c r="AI2747" t="s">
        <v>49</v>
      </c>
      <c r="AM2747" t="s">
        <v>1960</v>
      </c>
      <c r="AN2747" t="s">
        <v>154</v>
      </c>
    </row>
    <row r="2748" spans="1:43" x14ac:dyDescent="0.2">
      <c r="A2748" t="s">
        <v>1567</v>
      </c>
      <c r="B2748" t="s">
        <v>1568</v>
      </c>
      <c r="C2748">
        <v>2014</v>
      </c>
      <c r="D2748" t="s">
        <v>811</v>
      </c>
      <c r="F2748" t="s">
        <v>628</v>
      </c>
      <c r="G2748" s="1" t="s">
        <v>86</v>
      </c>
      <c r="H2748" t="s">
        <v>96</v>
      </c>
      <c r="I2748">
        <v>2011</v>
      </c>
      <c r="J2748">
        <f t="shared" si="57"/>
        <v>0.33333333333333331</v>
      </c>
      <c r="K2748" t="s">
        <v>101</v>
      </c>
      <c r="N2748" t="s">
        <v>132</v>
      </c>
      <c r="O2748" t="s">
        <v>132</v>
      </c>
      <c r="P2748" t="s">
        <v>2515</v>
      </c>
      <c r="Q2748" s="1" t="s">
        <v>2276</v>
      </c>
      <c r="R2748" s="1" t="s">
        <v>669</v>
      </c>
      <c r="S2748" s="1" t="s">
        <v>168</v>
      </c>
      <c r="T2748" t="s">
        <v>396</v>
      </c>
      <c r="U2748" s="1" t="s">
        <v>2517</v>
      </c>
      <c r="X2748" t="s">
        <v>161</v>
      </c>
      <c r="Y2748" t="s">
        <v>2272</v>
      </c>
      <c r="Z2748" t="s">
        <v>2272</v>
      </c>
      <c r="AA2748" t="s">
        <v>2272</v>
      </c>
      <c r="AB2748" t="s">
        <v>2272</v>
      </c>
      <c r="AC2748" t="s">
        <v>162</v>
      </c>
      <c r="AD2748" t="s">
        <v>2272</v>
      </c>
      <c r="AF2748" t="s">
        <v>49</v>
      </c>
      <c r="AI2748" t="s">
        <v>49</v>
      </c>
      <c r="AM2748" t="s">
        <v>1960</v>
      </c>
      <c r="AN2748" t="s">
        <v>154</v>
      </c>
    </row>
    <row r="2749" spans="1:43" x14ac:dyDescent="0.2">
      <c r="A2749" t="s">
        <v>1567</v>
      </c>
      <c r="B2749" t="s">
        <v>1568</v>
      </c>
      <c r="C2749">
        <v>2014</v>
      </c>
      <c r="D2749" t="s">
        <v>811</v>
      </c>
      <c r="F2749" t="s">
        <v>628</v>
      </c>
      <c r="G2749" s="1" t="s">
        <v>86</v>
      </c>
      <c r="H2749" t="s">
        <v>96</v>
      </c>
      <c r="I2749">
        <v>2011</v>
      </c>
      <c r="J2749">
        <f t="shared" si="57"/>
        <v>0.33333333333333331</v>
      </c>
      <c r="K2749" t="s">
        <v>101</v>
      </c>
      <c r="N2749" t="s">
        <v>132</v>
      </c>
      <c r="O2749" t="s">
        <v>132</v>
      </c>
      <c r="P2749" t="s">
        <v>169</v>
      </c>
      <c r="Q2749" s="1" t="s">
        <v>2276</v>
      </c>
      <c r="R2749" s="1" t="s">
        <v>669</v>
      </c>
      <c r="S2749" s="1" t="s">
        <v>168</v>
      </c>
      <c r="T2749" t="s">
        <v>396</v>
      </c>
      <c r="U2749" s="1" t="s">
        <v>2517</v>
      </c>
      <c r="X2749" t="s">
        <v>161</v>
      </c>
      <c r="Y2749" t="s">
        <v>2272</v>
      </c>
      <c r="Z2749" t="s">
        <v>2272</v>
      </c>
      <c r="AA2749" t="s">
        <v>2272</v>
      </c>
      <c r="AB2749" t="s">
        <v>2272</v>
      </c>
      <c r="AC2749" t="s">
        <v>162</v>
      </c>
      <c r="AD2749" t="s">
        <v>2272</v>
      </c>
      <c r="AF2749" t="s">
        <v>49</v>
      </c>
      <c r="AI2749" t="s">
        <v>49</v>
      </c>
      <c r="AM2749" t="s">
        <v>1960</v>
      </c>
      <c r="AN2749" t="s">
        <v>154</v>
      </c>
    </row>
    <row r="2750" spans="1:43" x14ac:dyDescent="0.2">
      <c r="A2750" t="s">
        <v>1567</v>
      </c>
      <c r="B2750" t="s">
        <v>1568</v>
      </c>
      <c r="C2750">
        <v>2014</v>
      </c>
      <c r="D2750" t="s">
        <v>811</v>
      </c>
      <c r="F2750" t="s">
        <v>628</v>
      </c>
      <c r="G2750" s="1" t="s">
        <v>86</v>
      </c>
      <c r="H2750" t="s">
        <v>96</v>
      </c>
      <c r="I2750">
        <v>2011</v>
      </c>
      <c r="J2750">
        <f t="shared" si="57"/>
        <v>0.33333333333333331</v>
      </c>
      <c r="K2750" t="s">
        <v>101</v>
      </c>
      <c r="N2750" t="s">
        <v>123</v>
      </c>
      <c r="O2750" t="s">
        <v>123</v>
      </c>
      <c r="P2750" t="s">
        <v>406</v>
      </c>
      <c r="Q2750" s="1" t="s">
        <v>2281</v>
      </c>
      <c r="R2750" s="1" t="s">
        <v>2282</v>
      </c>
      <c r="S2750" s="1" t="s">
        <v>123</v>
      </c>
      <c r="T2750" t="s">
        <v>396</v>
      </c>
      <c r="U2750" s="1" t="s">
        <v>2518</v>
      </c>
      <c r="X2750" t="s">
        <v>161</v>
      </c>
      <c r="Y2750" t="s">
        <v>2272</v>
      </c>
      <c r="Z2750" t="s">
        <v>2272</v>
      </c>
      <c r="AA2750" t="s">
        <v>2272</v>
      </c>
      <c r="AB2750" t="s">
        <v>2272</v>
      </c>
      <c r="AC2750" t="s">
        <v>162</v>
      </c>
      <c r="AD2750" t="s">
        <v>2272</v>
      </c>
      <c r="AF2750" t="s">
        <v>49</v>
      </c>
      <c r="AI2750" t="s">
        <v>49</v>
      </c>
      <c r="AM2750" t="s">
        <v>1960</v>
      </c>
      <c r="AN2750" t="s">
        <v>154</v>
      </c>
    </row>
    <row r="2751" spans="1:43" ht="15" customHeight="1" x14ac:dyDescent="0.2">
      <c r="A2751" t="s">
        <v>1567</v>
      </c>
      <c r="B2751" t="s">
        <v>1568</v>
      </c>
      <c r="C2751">
        <v>2014</v>
      </c>
      <c r="D2751" t="s">
        <v>811</v>
      </c>
      <c r="F2751" t="s">
        <v>628</v>
      </c>
      <c r="G2751" s="1" t="s">
        <v>86</v>
      </c>
      <c r="H2751" t="s">
        <v>96</v>
      </c>
      <c r="I2751">
        <v>2011</v>
      </c>
      <c r="J2751">
        <f t="shared" si="57"/>
        <v>0.33333333333333331</v>
      </c>
      <c r="K2751" t="s">
        <v>101</v>
      </c>
      <c r="N2751" t="s">
        <v>127</v>
      </c>
      <c r="O2751" t="s">
        <v>2514</v>
      </c>
      <c r="Q2751" s="1" t="s">
        <v>2351</v>
      </c>
      <c r="R2751" s="1" t="s">
        <v>2351</v>
      </c>
      <c r="S2751" s="1" t="s">
        <v>2351</v>
      </c>
      <c r="X2751" t="s">
        <v>211</v>
      </c>
      <c r="Y2751" t="s">
        <v>2279</v>
      </c>
      <c r="Z2751" t="s">
        <v>2280</v>
      </c>
      <c r="AA2751" t="s">
        <v>2358</v>
      </c>
      <c r="AB2751" t="s">
        <v>2290</v>
      </c>
      <c r="AC2751" t="s">
        <v>152</v>
      </c>
      <c r="AD2751" t="s">
        <v>2278</v>
      </c>
      <c r="AF2751" t="s">
        <v>49</v>
      </c>
      <c r="AI2751" t="s">
        <v>49</v>
      </c>
      <c r="AM2751" t="s">
        <v>1960</v>
      </c>
      <c r="AN2751" t="s">
        <v>165</v>
      </c>
    </row>
    <row r="2752" spans="1:43" x14ac:dyDescent="0.2">
      <c r="A2752" t="s">
        <v>1567</v>
      </c>
      <c r="B2752" t="s">
        <v>1568</v>
      </c>
      <c r="C2752">
        <v>2014</v>
      </c>
      <c r="D2752" t="s">
        <v>811</v>
      </c>
      <c r="F2752" t="s">
        <v>628</v>
      </c>
      <c r="G2752" s="1" t="s">
        <v>86</v>
      </c>
      <c r="H2752" t="s">
        <v>96</v>
      </c>
      <c r="I2752">
        <v>2011</v>
      </c>
      <c r="J2752">
        <f t="shared" si="57"/>
        <v>0.33333333333333331</v>
      </c>
      <c r="K2752" t="s">
        <v>101</v>
      </c>
      <c r="N2752" t="s">
        <v>127</v>
      </c>
      <c r="O2752" t="s">
        <v>2514</v>
      </c>
      <c r="Q2752" s="1" t="s">
        <v>2351</v>
      </c>
      <c r="R2752" s="1" t="s">
        <v>2351</v>
      </c>
      <c r="S2752" s="1" t="s">
        <v>2351</v>
      </c>
      <c r="X2752" t="s">
        <v>2516</v>
      </c>
      <c r="Y2752" t="s">
        <v>2279</v>
      </c>
      <c r="Z2752" t="s">
        <v>528</v>
      </c>
      <c r="AA2752" t="s">
        <v>2470</v>
      </c>
      <c r="AB2752" t="s">
        <v>2581</v>
      </c>
      <c r="AC2752" t="s">
        <v>152</v>
      </c>
      <c r="AD2752" t="s">
        <v>2278</v>
      </c>
      <c r="AF2752" t="s">
        <v>49</v>
      </c>
      <c r="AI2752" t="s">
        <v>49</v>
      </c>
      <c r="AM2752" t="s">
        <v>1960</v>
      </c>
      <c r="AN2752" t="s">
        <v>165</v>
      </c>
    </row>
    <row r="2753" spans="1:40" x14ac:dyDescent="0.2">
      <c r="A2753" t="s">
        <v>1567</v>
      </c>
      <c r="B2753" t="s">
        <v>1568</v>
      </c>
      <c r="C2753">
        <v>2014</v>
      </c>
      <c r="D2753" t="s">
        <v>811</v>
      </c>
      <c r="F2753" t="s">
        <v>628</v>
      </c>
      <c r="G2753" s="1" t="s">
        <v>86</v>
      </c>
      <c r="H2753" t="s">
        <v>96</v>
      </c>
      <c r="I2753">
        <v>2011</v>
      </c>
      <c r="J2753">
        <f t="shared" si="57"/>
        <v>0.33333333333333331</v>
      </c>
      <c r="K2753" t="s">
        <v>101</v>
      </c>
      <c r="N2753" t="s">
        <v>127</v>
      </c>
      <c r="O2753" t="s">
        <v>2514</v>
      </c>
      <c r="Q2753" s="1" t="s">
        <v>2351</v>
      </c>
      <c r="R2753" s="1" t="s">
        <v>2351</v>
      </c>
      <c r="S2753" s="1" t="s">
        <v>2351</v>
      </c>
      <c r="T2753" t="s">
        <v>396</v>
      </c>
      <c r="U2753" s="1" t="s">
        <v>2519</v>
      </c>
      <c r="X2753" t="s">
        <v>161</v>
      </c>
      <c r="Y2753" t="s">
        <v>2272</v>
      </c>
      <c r="Z2753" t="s">
        <v>2272</v>
      </c>
      <c r="AA2753" t="s">
        <v>2272</v>
      </c>
      <c r="AB2753" t="s">
        <v>2272</v>
      </c>
      <c r="AC2753" t="s">
        <v>162</v>
      </c>
      <c r="AD2753" t="s">
        <v>2272</v>
      </c>
      <c r="AF2753" t="s">
        <v>49</v>
      </c>
      <c r="AI2753" t="s">
        <v>49</v>
      </c>
      <c r="AM2753" t="s">
        <v>1960</v>
      </c>
      <c r="AN2753" t="s">
        <v>165</v>
      </c>
    </row>
    <row r="2754" spans="1:40" x14ac:dyDescent="0.2">
      <c r="A2754" t="s">
        <v>1567</v>
      </c>
      <c r="B2754" t="s">
        <v>1568</v>
      </c>
      <c r="C2754">
        <v>2014</v>
      </c>
      <c r="D2754" t="s">
        <v>811</v>
      </c>
      <c r="F2754" t="s">
        <v>628</v>
      </c>
      <c r="G2754" s="1" t="s">
        <v>86</v>
      </c>
      <c r="H2754" t="s">
        <v>96</v>
      </c>
      <c r="I2754">
        <v>2011</v>
      </c>
      <c r="J2754">
        <f t="shared" si="57"/>
        <v>0.33333333333333331</v>
      </c>
      <c r="K2754" t="s">
        <v>101</v>
      </c>
      <c r="N2754" t="s">
        <v>132</v>
      </c>
      <c r="O2754" t="s">
        <v>132</v>
      </c>
      <c r="P2754" t="s">
        <v>2515</v>
      </c>
      <c r="Q2754" s="1" t="s">
        <v>2276</v>
      </c>
      <c r="R2754" s="1" t="s">
        <v>669</v>
      </c>
      <c r="S2754" s="1" t="s">
        <v>168</v>
      </c>
      <c r="T2754" t="s">
        <v>396</v>
      </c>
      <c r="U2754" s="1" t="s">
        <v>2517</v>
      </c>
      <c r="X2754" t="s">
        <v>161</v>
      </c>
      <c r="Y2754" t="s">
        <v>2272</v>
      </c>
      <c r="Z2754" t="s">
        <v>2272</v>
      </c>
      <c r="AA2754" t="s">
        <v>2272</v>
      </c>
      <c r="AB2754" t="s">
        <v>2272</v>
      </c>
      <c r="AC2754" t="s">
        <v>162</v>
      </c>
      <c r="AD2754" t="s">
        <v>2272</v>
      </c>
      <c r="AF2754" t="s">
        <v>49</v>
      </c>
      <c r="AI2754" t="s">
        <v>49</v>
      </c>
      <c r="AM2754" t="s">
        <v>1960</v>
      </c>
      <c r="AN2754" t="s">
        <v>165</v>
      </c>
    </row>
    <row r="2755" spans="1:40" x14ac:dyDescent="0.2">
      <c r="A2755" t="s">
        <v>1567</v>
      </c>
      <c r="B2755" t="s">
        <v>1568</v>
      </c>
      <c r="C2755">
        <v>2014</v>
      </c>
      <c r="D2755" t="s">
        <v>811</v>
      </c>
      <c r="F2755" t="s">
        <v>628</v>
      </c>
      <c r="G2755" s="1" t="s">
        <v>86</v>
      </c>
      <c r="H2755" t="s">
        <v>96</v>
      </c>
      <c r="I2755">
        <v>2011</v>
      </c>
      <c r="J2755">
        <f t="shared" si="57"/>
        <v>0.33333333333333331</v>
      </c>
      <c r="K2755" t="s">
        <v>101</v>
      </c>
      <c r="N2755" t="s">
        <v>132</v>
      </c>
      <c r="O2755" t="s">
        <v>132</v>
      </c>
      <c r="P2755" t="s">
        <v>169</v>
      </c>
      <c r="Q2755" s="1" t="s">
        <v>2276</v>
      </c>
      <c r="R2755" s="1" t="s">
        <v>669</v>
      </c>
      <c r="S2755" s="1" t="s">
        <v>168</v>
      </c>
      <c r="T2755" t="s">
        <v>396</v>
      </c>
      <c r="U2755" s="1" t="s">
        <v>2517</v>
      </c>
      <c r="X2755" t="s">
        <v>161</v>
      </c>
      <c r="Y2755" t="s">
        <v>2272</v>
      </c>
      <c r="Z2755" t="s">
        <v>2272</v>
      </c>
      <c r="AA2755" t="s">
        <v>2272</v>
      </c>
      <c r="AB2755" t="s">
        <v>2272</v>
      </c>
      <c r="AC2755" t="s">
        <v>162</v>
      </c>
      <c r="AD2755" t="s">
        <v>2272</v>
      </c>
      <c r="AF2755" t="s">
        <v>49</v>
      </c>
      <c r="AI2755" t="s">
        <v>49</v>
      </c>
      <c r="AM2755" t="s">
        <v>1960</v>
      </c>
      <c r="AN2755" t="s">
        <v>165</v>
      </c>
    </row>
    <row r="2756" spans="1:40" x14ac:dyDescent="0.2">
      <c r="A2756" t="s">
        <v>1567</v>
      </c>
      <c r="B2756" t="s">
        <v>1568</v>
      </c>
      <c r="C2756">
        <v>2014</v>
      </c>
      <c r="D2756" t="s">
        <v>811</v>
      </c>
      <c r="F2756" t="s">
        <v>628</v>
      </c>
      <c r="G2756" s="1" t="s">
        <v>86</v>
      </c>
      <c r="H2756" t="s">
        <v>96</v>
      </c>
      <c r="I2756">
        <v>2011</v>
      </c>
      <c r="J2756">
        <f t="shared" si="57"/>
        <v>0.33333333333333331</v>
      </c>
      <c r="K2756" t="s">
        <v>101</v>
      </c>
      <c r="N2756" t="s">
        <v>123</v>
      </c>
      <c r="O2756" t="s">
        <v>123</v>
      </c>
      <c r="P2756" t="s">
        <v>406</v>
      </c>
      <c r="Q2756" s="1" t="s">
        <v>2281</v>
      </c>
      <c r="R2756" s="1" t="s">
        <v>2282</v>
      </c>
      <c r="S2756" s="1" t="s">
        <v>123</v>
      </c>
      <c r="T2756" t="s">
        <v>396</v>
      </c>
      <c r="U2756" s="1" t="s">
        <v>2518</v>
      </c>
      <c r="X2756" t="s">
        <v>161</v>
      </c>
      <c r="Y2756" t="s">
        <v>2272</v>
      </c>
      <c r="Z2756" t="s">
        <v>2272</v>
      </c>
      <c r="AA2756" t="s">
        <v>2272</v>
      </c>
      <c r="AB2756" t="s">
        <v>2272</v>
      </c>
      <c r="AC2756" t="s">
        <v>162</v>
      </c>
      <c r="AD2756" t="s">
        <v>2272</v>
      </c>
      <c r="AF2756" t="s">
        <v>49</v>
      </c>
      <c r="AI2756" t="s">
        <v>49</v>
      </c>
      <c r="AM2756" t="s">
        <v>1960</v>
      </c>
      <c r="AN2756" t="s">
        <v>165</v>
      </c>
    </row>
    <row r="2757" spans="1:40" ht="15" customHeight="1" x14ac:dyDescent="0.2">
      <c r="A2757" t="s">
        <v>1567</v>
      </c>
      <c r="B2757" t="s">
        <v>1568</v>
      </c>
      <c r="C2757">
        <v>2014</v>
      </c>
      <c r="D2757" t="s">
        <v>811</v>
      </c>
      <c r="F2757" t="s">
        <v>628</v>
      </c>
      <c r="G2757" s="1" t="s">
        <v>86</v>
      </c>
      <c r="H2757" t="s">
        <v>96</v>
      </c>
      <c r="I2757">
        <v>2011</v>
      </c>
      <c r="J2757">
        <f t="shared" si="57"/>
        <v>0.33333333333333331</v>
      </c>
      <c r="K2757" t="s">
        <v>101</v>
      </c>
      <c r="N2757" t="s">
        <v>127</v>
      </c>
      <c r="O2757" t="s">
        <v>2514</v>
      </c>
      <c r="Q2757" s="1" t="s">
        <v>2351</v>
      </c>
      <c r="R2757" s="1" t="s">
        <v>2351</v>
      </c>
      <c r="S2757" s="1" t="s">
        <v>2351</v>
      </c>
      <c r="X2757" t="s">
        <v>211</v>
      </c>
      <c r="Y2757" t="s">
        <v>2279</v>
      </c>
      <c r="Z2757" t="s">
        <v>2280</v>
      </c>
      <c r="AA2757" t="s">
        <v>2358</v>
      </c>
      <c r="AB2757" t="s">
        <v>2290</v>
      </c>
      <c r="AC2757" t="s">
        <v>152</v>
      </c>
      <c r="AD2757" t="s">
        <v>2278</v>
      </c>
      <c r="AF2757" t="s">
        <v>49</v>
      </c>
      <c r="AI2757" t="s">
        <v>49</v>
      </c>
      <c r="AM2757" t="s">
        <v>1960</v>
      </c>
      <c r="AN2757" t="s">
        <v>171</v>
      </c>
    </row>
    <row r="2758" spans="1:40" x14ac:dyDescent="0.2">
      <c r="A2758" t="s">
        <v>1567</v>
      </c>
      <c r="B2758" t="s">
        <v>1568</v>
      </c>
      <c r="C2758">
        <v>2014</v>
      </c>
      <c r="D2758" t="s">
        <v>811</v>
      </c>
      <c r="F2758" t="s">
        <v>628</v>
      </c>
      <c r="G2758" s="1" t="s">
        <v>86</v>
      </c>
      <c r="H2758" t="s">
        <v>96</v>
      </c>
      <c r="I2758">
        <v>2011</v>
      </c>
      <c r="J2758">
        <f t="shared" si="57"/>
        <v>0.33333333333333331</v>
      </c>
      <c r="K2758" t="s">
        <v>101</v>
      </c>
      <c r="N2758" t="s">
        <v>127</v>
      </c>
      <c r="O2758" t="s">
        <v>2514</v>
      </c>
      <c r="Q2758" s="1" t="s">
        <v>2351</v>
      </c>
      <c r="R2758" s="1" t="s">
        <v>2351</v>
      </c>
      <c r="S2758" s="1" t="s">
        <v>2351</v>
      </c>
      <c r="X2758" t="s">
        <v>2516</v>
      </c>
      <c r="Y2758" t="s">
        <v>2279</v>
      </c>
      <c r="Z2758" t="s">
        <v>528</v>
      </c>
      <c r="AA2758" t="s">
        <v>2470</v>
      </c>
      <c r="AB2758" t="s">
        <v>2581</v>
      </c>
      <c r="AC2758" t="s">
        <v>152</v>
      </c>
      <c r="AD2758" t="s">
        <v>2278</v>
      </c>
      <c r="AF2758" t="s">
        <v>49</v>
      </c>
      <c r="AI2758" t="s">
        <v>49</v>
      </c>
      <c r="AM2758" t="s">
        <v>1960</v>
      </c>
      <c r="AN2758" t="s">
        <v>171</v>
      </c>
    </row>
    <row r="2759" spans="1:40" x14ac:dyDescent="0.2">
      <c r="A2759" t="s">
        <v>1567</v>
      </c>
      <c r="B2759" t="s">
        <v>1568</v>
      </c>
      <c r="C2759">
        <v>2014</v>
      </c>
      <c r="D2759" t="s">
        <v>811</v>
      </c>
      <c r="F2759" t="s">
        <v>628</v>
      </c>
      <c r="G2759" s="1" t="s">
        <v>86</v>
      </c>
      <c r="H2759" t="s">
        <v>96</v>
      </c>
      <c r="I2759">
        <v>2011</v>
      </c>
      <c r="J2759">
        <f t="shared" si="57"/>
        <v>0.33333333333333331</v>
      </c>
      <c r="K2759" t="s">
        <v>101</v>
      </c>
      <c r="N2759" t="s">
        <v>127</v>
      </c>
      <c r="O2759" t="s">
        <v>2514</v>
      </c>
      <c r="Q2759" s="1" t="s">
        <v>2351</v>
      </c>
      <c r="R2759" s="1" t="s">
        <v>2351</v>
      </c>
      <c r="S2759" s="1" t="s">
        <v>2351</v>
      </c>
      <c r="T2759" t="s">
        <v>396</v>
      </c>
      <c r="U2759" s="1" t="s">
        <v>2519</v>
      </c>
      <c r="X2759" t="s">
        <v>161</v>
      </c>
      <c r="Y2759" t="s">
        <v>2272</v>
      </c>
      <c r="Z2759" t="s">
        <v>2272</v>
      </c>
      <c r="AA2759" t="s">
        <v>2272</v>
      </c>
      <c r="AB2759" t="s">
        <v>2272</v>
      </c>
      <c r="AC2759" t="s">
        <v>162</v>
      </c>
      <c r="AD2759" t="s">
        <v>2272</v>
      </c>
      <c r="AF2759" t="s">
        <v>49</v>
      </c>
      <c r="AI2759" t="s">
        <v>49</v>
      </c>
      <c r="AM2759" t="s">
        <v>1960</v>
      </c>
      <c r="AN2759" t="s">
        <v>171</v>
      </c>
    </row>
    <row r="2760" spans="1:40" x14ac:dyDescent="0.2">
      <c r="A2760" t="s">
        <v>1567</v>
      </c>
      <c r="B2760" t="s">
        <v>1568</v>
      </c>
      <c r="C2760">
        <v>2014</v>
      </c>
      <c r="D2760" t="s">
        <v>811</v>
      </c>
      <c r="F2760" t="s">
        <v>628</v>
      </c>
      <c r="G2760" s="1" t="s">
        <v>86</v>
      </c>
      <c r="H2760" t="s">
        <v>96</v>
      </c>
      <c r="I2760">
        <v>2011</v>
      </c>
      <c r="J2760">
        <f t="shared" si="57"/>
        <v>0.33333333333333331</v>
      </c>
      <c r="K2760" t="s">
        <v>101</v>
      </c>
      <c r="N2760" t="s">
        <v>132</v>
      </c>
      <c r="O2760" t="s">
        <v>132</v>
      </c>
      <c r="P2760" t="s">
        <v>2515</v>
      </c>
      <c r="Q2760" s="1" t="s">
        <v>2276</v>
      </c>
      <c r="R2760" s="1" t="s">
        <v>669</v>
      </c>
      <c r="S2760" s="1" t="s">
        <v>168</v>
      </c>
      <c r="T2760" t="s">
        <v>396</v>
      </c>
      <c r="U2760" s="1" t="s">
        <v>2517</v>
      </c>
      <c r="X2760" t="s">
        <v>161</v>
      </c>
      <c r="Y2760" t="s">
        <v>2272</v>
      </c>
      <c r="Z2760" t="s">
        <v>2272</v>
      </c>
      <c r="AA2760" t="s">
        <v>2272</v>
      </c>
      <c r="AB2760" t="s">
        <v>2272</v>
      </c>
      <c r="AC2760" t="s">
        <v>162</v>
      </c>
      <c r="AD2760" t="s">
        <v>2272</v>
      </c>
      <c r="AF2760" t="s">
        <v>49</v>
      </c>
      <c r="AI2760" t="s">
        <v>49</v>
      </c>
      <c r="AM2760" t="s">
        <v>1960</v>
      </c>
      <c r="AN2760" t="s">
        <v>171</v>
      </c>
    </row>
    <row r="2761" spans="1:40" x14ac:dyDescent="0.2">
      <c r="A2761" t="s">
        <v>1567</v>
      </c>
      <c r="B2761" t="s">
        <v>1568</v>
      </c>
      <c r="C2761">
        <v>2014</v>
      </c>
      <c r="D2761" t="s">
        <v>811</v>
      </c>
      <c r="F2761" t="s">
        <v>628</v>
      </c>
      <c r="G2761" s="1" t="s">
        <v>86</v>
      </c>
      <c r="H2761" t="s">
        <v>96</v>
      </c>
      <c r="I2761">
        <v>2011</v>
      </c>
      <c r="J2761">
        <f t="shared" si="57"/>
        <v>0.33333333333333331</v>
      </c>
      <c r="K2761" t="s">
        <v>101</v>
      </c>
      <c r="N2761" t="s">
        <v>132</v>
      </c>
      <c r="O2761" t="s">
        <v>132</v>
      </c>
      <c r="P2761" t="s">
        <v>169</v>
      </c>
      <c r="Q2761" s="1" t="s">
        <v>2276</v>
      </c>
      <c r="R2761" s="1" t="s">
        <v>669</v>
      </c>
      <c r="S2761" s="1" t="s">
        <v>168</v>
      </c>
      <c r="T2761" t="s">
        <v>396</v>
      </c>
      <c r="U2761" s="1" t="s">
        <v>2517</v>
      </c>
      <c r="X2761" t="s">
        <v>161</v>
      </c>
      <c r="Y2761" t="s">
        <v>2272</v>
      </c>
      <c r="Z2761" t="s">
        <v>2272</v>
      </c>
      <c r="AA2761" t="s">
        <v>2272</v>
      </c>
      <c r="AB2761" t="s">
        <v>2272</v>
      </c>
      <c r="AC2761" t="s">
        <v>162</v>
      </c>
      <c r="AD2761" t="s">
        <v>2272</v>
      </c>
      <c r="AF2761" t="s">
        <v>49</v>
      </c>
      <c r="AI2761" t="s">
        <v>49</v>
      </c>
      <c r="AM2761" t="s">
        <v>1960</v>
      </c>
      <c r="AN2761" t="s">
        <v>171</v>
      </c>
    </row>
    <row r="2762" spans="1:40" x14ac:dyDescent="0.2">
      <c r="A2762" t="s">
        <v>1567</v>
      </c>
      <c r="B2762" t="s">
        <v>1568</v>
      </c>
      <c r="C2762">
        <v>2014</v>
      </c>
      <c r="D2762" t="s">
        <v>811</v>
      </c>
      <c r="F2762" t="s">
        <v>628</v>
      </c>
      <c r="G2762" s="1" t="s">
        <v>86</v>
      </c>
      <c r="H2762" t="s">
        <v>96</v>
      </c>
      <c r="I2762">
        <v>2011</v>
      </c>
      <c r="J2762">
        <f t="shared" si="57"/>
        <v>0.33333333333333331</v>
      </c>
      <c r="K2762" t="s">
        <v>101</v>
      </c>
      <c r="N2762" t="s">
        <v>123</v>
      </c>
      <c r="O2762" t="s">
        <v>123</v>
      </c>
      <c r="P2762" t="s">
        <v>406</v>
      </c>
      <c r="Q2762" s="1" t="s">
        <v>2281</v>
      </c>
      <c r="R2762" s="1" t="s">
        <v>2282</v>
      </c>
      <c r="S2762" s="1" t="s">
        <v>123</v>
      </c>
      <c r="T2762" t="s">
        <v>396</v>
      </c>
      <c r="U2762" s="1" t="s">
        <v>2518</v>
      </c>
      <c r="X2762" t="s">
        <v>161</v>
      </c>
      <c r="Y2762" t="s">
        <v>2272</v>
      </c>
      <c r="Z2762" t="s">
        <v>2272</v>
      </c>
      <c r="AA2762" t="s">
        <v>2272</v>
      </c>
      <c r="AB2762" t="s">
        <v>2272</v>
      </c>
      <c r="AC2762" t="s">
        <v>162</v>
      </c>
      <c r="AD2762" t="s">
        <v>2272</v>
      </c>
      <c r="AF2762" t="s">
        <v>49</v>
      </c>
      <c r="AI2762" t="s">
        <v>49</v>
      </c>
      <c r="AM2762" t="s">
        <v>1960</v>
      </c>
      <c r="AN2762" t="s">
        <v>171</v>
      </c>
    </row>
    <row r="2763" spans="1:40" ht="15" customHeight="1" x14ac:dyDescent="0.2">
      <c r="A2763" t="s">
        <v>1567</v>
      </c>
      <c r="B2763" t="s">
        <v>1568</v>
      </c>
      <c r="C2763">
        <v>2014</v>
      </c>
      <c r="D2763" t="s">
        <v>811</v>
      </c>
      <c r="F2763" t="s">
        <v>628</v>
      </c>
      <c r="G2763" s="1" t="s">
        <v>86</v>
      </c>
      <c r="H2763" t="s">
        <v>96</v>
      </c>
      <c r="I2763">
        <v>2011</v>
      </c>
      <c r="J2763">
        <f t="shared" si="57"/>
        <v>0.33333333333333331</v>
      </c>
      <c r="K2763" t="s">
        <v>101</v>
      </c>
      <c r="N2763" t="s">
        <v>127</v>
      </c>
      <c r="O2763" t="s">
        <v>2514</v>
      </c>
      <c r="Q2763" s="1" t="s">
        <v>2351</v>
      </c>
      <c r="R2763" s="1" t="s">
        <v>2351</v>
      </c>
      <c r="S2763" s="1" t="s">
        <v>2351</v>
      </c>
      <c r="X2763" t="s">
        <v>211</v>
      </c>
      <c r="Y2763" t="s">
        <v>2279</v>
      </c>
      <c r="Z2763" t="s">
        <v>2280</v>
      </c>
      <c r="AA2763" t="s">
        <v>2358</v>
      </c>
      <c r="AB2763" t="s">
        <v>2290</v>
      </c>
      <c r="AC2763" t="s">
        <v>152</v>
      </c>
      <c r="AD2763" t="s">
        <v>2278</v>
      </c>
      <c r="AF2763" t="s">
        <v>49</v>
      </c>
      <c r="AI2763" t="s">
        <v>49</v>
      </c>
      <c r="AM2763" t="s">
        <v>1960</v>
      </c>
      <c r="AN2763" t="s">
        <v>155</v>
      </c>
    </row>
    <row r="2764" spans="1:40" x14ac:dyDescent="0.2">
      <c r="A2764" t="s">
        <v>1567</v>
      </c>
      <c r="B2764" t="s">
        <v>1568</v>
      </c>
      <c r="C2764">
        <v>2014</v>
      </c>
      <c r="D2764" t="s">
        <v>811</v>
      </c>
      <c r="F2764" t="s">
        <v>628</v>
      </c>
      <c r="G2764" s="1" t="s">
        <v>86</v>
      </c>
      <c r="H2764" t="s">
        <v>96</v>
      </c>
      <c r="I2764">
        <v>2011</v>
      </c>
      <c r="J2764">
        <f t="shared" si="57"/>
        <v>0.33333333333333331</v>
      </c>
      <c r="K2764" t="s">
        <v>101</v>
      </c>
      <c r="N2764" t="s">
        <v>127</v>
      </c>
      <c r="O2764" t="s">
        <v>2514</v>
      </c>
      <c r="Q2764" s="1" t="s">
        <v>2351</v>
      </c>
      <c r="R2764" s="1" t="s">
        <v>2351</v>
      </c>
      <c r="S2764" s="1" t="s">
        <v>2351</v>
      </c>
      <c r="X2764" t="s">
        <v>2516</v>
      </c>
      <c r="Y2764" t="s">
        <v>2279</v>
      </c>
      <c r="Z2764" t="s">
        <v>528</v>
      </c>
      <c r="AA2764" t="s">
        <v>2470</v>
      </c>
      <c r="AB2764" t="s">
        <v>2581</v>
      </c>
      <c r="AC2764" t="s">
        <v>152</v>
      </c>
      <c r="AD2764" t="s">
        <v>2278</v>
      </c>
      <c r="AF2764" t="s">
        <v>49</v>
      </c>
      <c r="AI2764" t="s">
        <v>49</v>
      </c>
      <c r="AM2764" t="s">
        <v>1960</v>
      </c>
      <c r="AN2764" t="s">
        <v>155</v>
      </c>
    </row>
    <row r="2765" spans="1:40" x14ac:dyDescent="0.2">
      <c r="A2765" t="s">
        <v>1567</v>
      </c>
      <c r="B2765" t="s">
        <v>1568</v>
      </c>
      <c r="C2765">
        <v>2014</v>
      </c>
      <c r="D2765" t="s">
        <v>811</v>
      </c>
      <c r="F2765" t="s">
        <v>628</v>
      </c>
      <c r="G2765" s="1" t="s">
        <v>86</v>
      </c>
      <c r="H2765" t="s">
        <v>96</v>
      </c>
      <c r="I2765">
        <v>2011</v>
      </c>
      <c r="J2765">
        <f t="shared" si="57"/>
        <v>0.33333333333333331</v>
      </c>
      <c r="K2765" t="s">
        <v>101</v>
      </c>
      <c r="N2765" t="s">
        <v>127</v>
      </c>
      <c r="O2765" t="s">
        <v>2514</v>
      </c>
      <c r="Q2765" s="1" t="s">
        <v>2351</v>
      </c>
      <c r="R2765" s="1" t="s">
        <v>2351</v>
      </c>
      <c r="S2765" s="1" t="s">
        <v>2351</v>
      </c>
      <c r="T2765" t="s">
        <v>396</v>
      </c>
      <c r="U2765" s="1" t="s">
        <v>2519</v>
      </c>
      <c r="X2765" t="s">
        <v>161</v>
      </c>
      <c r="Y2765" t="s">
        <v>2272</v>
      </c>
      <c r="Z2765" t="s">
        <v>2272</v>
      </c>
      <c r="AA2765" t="s">
        <v>2272</v>
      </c>
      <c r="AB2765" t="s">
        <v>2272</v>
      </c>
      <c r="AC2765" t="s">
        <v>162</v>
      </c>
      <c r="AD2765" t="s">
        <v>2272</v>
      </c>
      <c r="AF2765" t="s">
        <v>49</v>
      </c>
      <c r="AI2765" t="s">
        <v>49</v>
      </c>
      <c r="AM2765" t="s">
        <v>1960</v>
      </c>
      <c r="AN2765" t="s">
        <v>155</v>
      </c>
    </row>
    <row r="2766" spans="1:40" x14ac:dyDescent="0.2">
      <c r="A2766" t="s">
        <v>1567</v>
      </c>
      <c r="B2766" t="s">
        <v>1568</v>
      </c>
      <c r="C2766">
        <v>2014</v>
      </c>
      <c r="D2766" t="s">
        <v>811</v>
      </c>
      <c r="F2766" t="s">
        <v>628</v>
      </c>
      <c r="G2766" s="1" t="s">
        <v>86</v>
      </c>
      <c r="H2766" t="s">
        <v>96</v>
      </c>
      <c r="I2766">
        <v>2011</v>
      </c>
      <c r="J2766">
        <f t="shared" si="57"/>
        <v>0.33333333333333331</v>
      </c>
      <c r="K2766" t="s">
        <v>101</v>
      </c>
      <c r="N2766" t="s">
        <v>132</v>
      </c>
      <c r="O2766" t="s">
        <v>132</v>
      </c>
      <c r="P2766" t="s">
        <v>2515</v>
      </c>
      <c r="Q2766" s="1" t="s">
        <v>2276</v>
      </c>
      <c r="R2766" s="1" t="s">
        <v>669</v>
      </c>
      <c r="S2766" s="1" t="s">
        <v>168</v>
      </c>
      <c r="T2766" t="s">
        <v>396</v>
      </c>
      <c r="U2766" s="1" t="s">
        <v>2517</v>
      </c>
      <c r="X2766" t="s">
        <v>161</v>
      </c>
      <c r="Y2766" t="s">
        <v>2272</v>
      </c>
      <c r="Z2766" t="s">
        <v>2272</v>
      </c>
      <c r="AA2766" t="s">
        <v>2272</v>
      </c>
      <c r="AB2766" t="s">
        <v>2272</v>
      </c>
      <c r="AC2766" t="s">
        <v>162</v>
      </c>
      <c r="AD2766" t="s">
        <v>2272</v>
      </c>
      <c r="AF2766" t="s">
        <v>49</v>
      </c>
      <c r="AI2766" t="s">
        <v>49</v>
      </c>
      <c r="AM2766" t="s">
        <v>1960</v>
      </c>
      <c r="AN2766" t="s">
        <v>155</v>
      </c>
    </row>
    <row r="2767" spans="1:40" x14ac:dyDescent="0.2">
      <c r="A2767" t="s">
        <v>1567</v>
      </c>
      <c r="B2767" t="s">
        <v>1568</v>
      </c>
      <c r="C2767">
        <v>2014</v>
      </c>
      <c r="D2767" t="s">
        <v>811</v>
      </c>
      <c r="F2767" t="s">
        <v>628</v>
      </c>
      <c r="G2767" s="1" t="s">
        <v>86</v>
      </c>
      <c r="H2767" t="s">
        <v>96</v>
      </c>
      <c r="I2767">
        <v>2011</v>
      </c>
      <c r="J2767">
        <f t="shared" si="57"/>
        <v>0.33333333333333331</v>
      </c>
      <c r="K2767" t="s">
        <v>101</v>
      </c>
      <c r="N2767" t="s">
        <v>132</v>
      </c>
      <c r="O2767" t="s">
        <v>132</v>
      </c>
      <c r="P2767" t="s">
        <v>169</v>
      </c>
      <c r="Q2767" s="1" t="s">
        <v>2276</v>
      </c>
      <c r="R2767" s="1" t="s">
        <v>669</v>
      </c>
      <c r="S2767" s="1" t="s">
        <v>168</v>
      </c>
      <c r="T2767" t="s">
        <v>396</v>
      </c>
      <c r="U2767" s="1" t="s">
        <v>2517</v>
      </c>
      <c r="X2767" t="s">
        <v>161</v>
      </c>
      <c r="Y2767" t="s">
        <v>2272</v>
      </c>
      <c r="Z2767" t="s">
        <v>2272</v>
      </c>
      <c r="AA2767" t="s">
        <v>2272</v>
      </c>
      <c r="AB2767" t="s">
        <v>2272</v>
      </c>
      <c r="AC2767" t="s">
        <v>162</v>
      </c>
      <c r="AD2767" t="s">
        <v>2272</v>
      </c>
      <c r="AF2767" t="s">
        <v>49</v>
      </c>
      <c r="AI2767" t="s">
        <v>49</v>
      </c>
      <c r="AM2767" t="s">
        <v>1960</v>
      </c>
      <c r="AN2767" t="s">
        <v>155</v>
      </c>
    </row>
    <row r="2768" spans="1:40" x14ac:dyDescent="0.2">
      <c r="A2768" t="s">
        <v>1567</v>
      </c>
      <c r="B2768" t="s">
        <v>1568</v>
      </c>
      <c r="C2768">
        <v>2014</v>
      </c>
      <c r="D2768" t="s">
        <v>811</v>
      </c>
      <c r="F2768" t="s">
        <v>628</v>
      </c>
      <c r="G2768" s="1" t="s">
        <v>86</v>
      </c>
      <c r="H2768" t="s">
        <v>96</v>
      </c>
      <c r="I2768">
        <v>2011</v>
      </c>
      <c r="J2768">
        <f t="shared" si="57"/>
        <v>0.33333333333333331</v>
      </c>
      <c r="K2768" t="s">
        <v>101</v>
      </c>
      <c r="N2768" t="s">
        <v>123</v>
      </c>
      <c r="O2768" t="s">
        <v>123</v>
      </c>
      <c r="P2768" t="s">
        <v>406</v>
      </c>
      <c r="Q2768" s="1" t="s">
        <v>2281</v>
      </c>
      <c r="R2768" s="1" t="s">
        <v>2282</v>
      </c>
      <c r="S2768" s="1" t="s">
        <v>123</v>
      </c>
      <c r="T2768" t="s">
        <v>396</v>
      </c>
      <c r="U2768" s="1" t="s">
        <v>2518</v>
      </c>
      <c r="X2768" t="s">
        <v>161</v>
      </c>
      <c r="Y2768" t="s">
        <v>2272</v>
      </c>
      <c r="Z2768" t="s">
        <v>2272</v>
      </c>
      <c r="AA2768" t="s">
        <v>2272</v>
      </c>
      <c r="AB2768" t="s">
        <v>2272</v>
      </c>
      <c r="AC2768" t="s">
        <v>162</v>
      </c>
      <c r="AD2768" t="s">
        <v>2272</v>
      </c>
      <c r="AF2768" t="s">
        <v>49</v>
      </c>
      <c r="AI2768" t="s">
        <v>49</v>
      </c>
      <c r="AM2768" t="s">
        <v>1960</v>
      </c>
      <c r="AN2768" t="s">
        <v>155</v>
      </c>
    </row>
    <row r="2769" spans="1:40" ht="15" customHeight="1" x14ac:dyDescent="0.2">
      <c r="A2769" t="s">
        <v>1567</v>
      </c>
      <c r="B2769" t="s">
        <v>1568</v>
      </c>
      <c r="C2769">
        <v>2014</v>
      </c>
      <c r="D2769" t="s">
        <v>811</v>
      </c>
      <c r="F2769" t="s">
        <v>628</v>
      </c>
      <c r="G2769" s="1" t="s">
        <v>86</v>
      </c>
      <c r="H2769" t="s">
        <v>96</v>
      </c>
      <c r="I2769">
        <v>2011</v>
      </c>
      <c r="J2769">
        <f t="shared" si="57"/>
        <v>0.33333333333333331</v>
      </c>
      <c r="K2769" t="s">
        <v>101</v>
      </c>
      <c r="N2769" t="s">
        <v>127</v>
      </c>
      <c r="O2769" t="s">
        <v>2514</v>
      </c>
      <c r="Q2769" s="1" t="s">
        <v>2351</v>
      </c>
      <c r="R2769" s="1" t="s">
        <v>2351</v>
      </c>
      <c r="S2769" s="1" t="s">
        <v>2351</v>
      </c>
      <c r="X2769" t="s">
        <v>211</v>
      </c>
      <c r="Y2769" t="s">
        <v>2279</v>
      </c>
      <c r="Z2769" t="s">
        <v>2280</v>
      </c>
      <c r="AA2769" t="s">
        <v>2358</v>
      </c>
      <c r="AB2769" t="s">
        <v>2290</v>
      </c>
      <c r="AC2769" t="s">
        <v>152</v>
      </c>
      <c r="AD2769" t="s">
        <v>2278</v>
      </c>
      <c r="AF2769" t="s">
        <v>49</v>
      </c>
      <c r="AI2769" t="s">
        <v>49</v>
      </c>
      <c r="AM2769" t="s">
        <v>1960</v>
      </c>
      <c r="AN2769" t="s">
        <v>191</v>
      </c>
    </row>
    <row r="2770" spans="1:40" x14ac:dyDescent="0.2">
      <c r="A2770" t="s">
        <v>1567</v>
      </c>
      <c r="B2770" t="s">
        <v>1568</v>
      </c>
      <c r="C2770">
        <v>2014</v>
      </c>
      <c r="D2770" t="s">
        <v>811</v>
      </c>
      <c r="F2770" t="s">
        <v>628</v>
      </c>
      <c r="G2770" s="1" t="s">
        <v>86</v>
      </c>
      <c r="H2770" t="s">
        <v>96</v>
      </c>
      <c r="I2770">
        <v>2011</v>
      </c>
      <c r="J2770">
        <f t="shared" si="57"/>
        <v>0.33333333333333331</v>
      </c>
      <c r="K2770" t="s">
        <v>101</v>
      </c>
      <c r="N2770" t="s">
        <v>127</v>
      </c>
      <c r="O2770" t="s">
        <v>2514</v>
      </c>
      <c r="Q2770" s="1" t="s">
        <v>2351</v>
      </c>
      <c r="R2770" s="1" t="s">
        <v>2351</v>
      </c>
      <c r="S2770" s="1" t="s">
        <v>2351</v>
      </c>
      <c r="X2770" t="s">
        <v>2516</v>
      </c>
      <c r="Y2770" t="s">
        <v>2279</v>
      </c>
      <c r="Z2770" t="s">
        <v>528</v>
      </c>
      <c r="AA2770" t="s">
        <v>2470</v>
      </c>
      <c r="AB2770" t="s">
        <v>2581</v>
      </c>
      <c r="AC2770" t="s">
        <v>152</v>
      </c>
      <c r="AD2770" t="s">
        <v>2278</v>
      </c>
      <c r="AF2770" t="s">
        <v>49</v>
      </c>
      <c r="AI2770" t="s">
        <v>49</v>
      </c>
      <c r="AM2770" t="s">
        <v>1960</v>
      </c>
      <c r="AN2770" t="s">
        <v>191</v>
      </c>
    </row>
    <row r="2771" spans="1:40" x14ac:dyDescent="0.2">
      <c r="A2771" t="s">
        <v>1567</v>
      </c>
      <c r="B2771" t="s">
        <v>1568</v>
      </c>
      <c r="C2771">
        <v>2014</v>
      </c>
      <c r="D2771" t="s">
        <v>811</v>
      </c>
      <c r="F2771" t="s">
        <v>628</v>
      </c>
      <c r="G2771" s="1" t="s">
        <v>86</v>
      </c>
      <c r="H2771" t="s">
        <v>96</v>
      </c>
      <c r="I2771">
        <v>2011</v>
      </c>
      <c r="J2771">
        <f t="shared" ref="J2771:J2802" si="58">4/12</f>
        <v>0.33333333333333331</v>
      </c>
      <c r="K2771" t="s">
        <v>101</v>
      </c>
      <c r="N2771" t="s">
        <v>127</v>
      </c>
      <c r="O2771" t="s">
        <v>2514</v>
      </c>
      <c r="Q2771" s="1" t="s">
        <v>2351</v>
      </c>
      <c r="R2771" s="1" t="s">
        <v>2351</v>
      </c>
      <c r="S2771" s="1" t="s">
        <v>2351</v>
      </c>
      <c r="T2771" t="s">
        <v>396</v>
      </c>
      <c r="U2771" s="1" t="s">
        <v>2519</v>
      </c>
      <c r="X2771" t="s">
        <v>161</v>
      </c>
      <c r="Y2771" t="s">
        <v>2272</v>
      </c>
      <c r="Z2771" t="s">
        <v>2272</v>
      </c>
      <c r="AA2771" t="s">
        <v>2272</v>
      </c>
      <c r="AB2771" t="s">
        <v>2272</v>
      </c>
      <c r="AC2771" t="s">
        <v>162</v>
      </c>
      <c r="AD2771" t="s">
        <v>2272</v>
      </c>
      <c r="AF2771" t="s">
        <v>49</v>
      </c>
      <c r="AI2771" t="s">
        <v>49</v>
      </c>
      <c r="AM2771" t="s">
        <v>1960</v>
      </c>
      <c r="AN2771" t="s">
        <v>191</v>
      </c>
    </row>
    <row r="2772" spans="1:40" x14ac:dyDescent="0.2">
      <c r="A2772" t="s">
        <v>1567</v>
      </c>
      <c r="B2772" t="s">
        <v>1568</v>
      </c>
      <c r="C2772">
        <v>2014</v>
      </c>
      <c r="D2772" t="s">
        <v>811</v>
      </c>
      <c r="F2772" t="s">
        <v>628</v>
      </c>
      <c r="G2772" s="1" t="s">
        <v>86</v>
      </c>
      <c r="H2772" t="s">
        <v>96</v>
      </c>
      <c r="I2772">
        <v>2011</v>
      </c>
      <c r="J2772">
        <f t="shared" si="58"/>
        <v>0.33333333333333331</v>
      </c>
      <c r="K2772" t="s">
        <v>101</v>
      </c>
      <c r="N2772" t="s">
        <v>132</v>
      </c>
      <c r="O2772" t="s">
        <v>132</v>
      </c>
      <c r="P2772" t="s">
        <v>2515</v>
      </c>
      <c r="Q2772" s="1" t="s">
        <v>2276</v>
      </c>
      <c r="R2772" s="1" t="s">
        <v>669</v>
      </c>
      <c r="S2772" s="1" t="s">
        <v>168</v>
      </c>
      <c r="T2772" t="s">
        <v>396</v>
      </c>
      <c r="U2772" s="1" t="s">
        <v>2517</v>
      </c>
      <c r="X2772" t="s">
        <v>161</v>
      </c>
      <c r="Y2772" t="s">
        <v>2272</v>
      </c>
      <c r="Z2772" t="s">
        <v>2272</v>
      </c>
      <c r="AA2772" t="s">
        <v>2272</v>
      </c>
      <c r="AB2772" t="s">
        <v>2272</v>
      </c>
      <c r="AC2772" t="s">
        <v>162</v>
      </c>
      <c r="AD2772" t="s">
        <v>2272</v>
      </c>
      <c r="AF2772" t="s">
        <v>49</v>
      </c>
      <c r="AI2772" t="s">
        <v>49</v>
      </c>
      <c r="AM2772" t="s">
        <v>1960</v>
      </c>
      <c r="AN2772" t="s">
        <v>191</v>
      </c>
    </row>
    <row r="2773" spans="1:40" x14ac:dyDescent="0.2">
      <c r="A2773" t="s">
        <v>1567</v>
      </c>
      <c r="B2773" t="s">
        <v>1568</v>
      </c>
      <c r="C2773">
        <v>2014</v>
      </c>
      <c r="D2773" t="s">
        <v>811</v>
      </c>
      <c r="F2773" t="s">
        <v>628</v>
      </c>
      <c r="G2773" s="1" t="s">
        <v>86</v>
      </c>
      <c r="H2773" t="s">
        <v>96</v>
      </c>
      <c r="I2773">
        <v>2011</v>
      </c>
      <c r="J2773">
        <f t="shared" si="58"/>
        <v>0.33333333333333331</v>
      </c>
      <c r="K2773" t="s">
        <v>101</v>
      </c>
      <c r="N2773" t="s">
        <v>132</v>
      </c>
      <c r="O2773" t="s">
        <v>132</v>
      </c>
      <c r="P2773" t="s">
        <v>169</v>
      </c>
      <c r="Q2773" s="1" t="s">
        <v>2276</v>
      </c>
      <c r="R2773" s="1" t="s">
        <v>669</v>
      </c>
      <c r="S2773" s="1" t="s">
        <v>168</v>
      </c>
      <c r="T2773" t="s">
        <v>396</v>
      </c>
      <c r="U2773" s="1" t="s">
        <v>2517</v>
      </c>
      <c r="X2773" t="s">
        <v>161</v>
      </c>
      <c r="Y2773" t="s">
        <v>2272</v>
      </c>
      <c r="Z2773" t="s">
        <v>2272</v>
      </c>
      <c r="AA2773" t="s">
        <v>2272</v>
      </c>
      <c r="AB2773" t="s">
        <v>2272</v>
      </c>
      <c r="AC2773" t="s">
        <v>162</v>
      </c>
      <c r="AD2773" t="s">
        <v>2272</v>
      </c>
      <c r="AF2773" t="s">
        <v>49</v>
      </c>
      <c r="AI2773" t="s">
        <v>49</v>
      </c>
      <c r="AM2773" t="s">
        <v>1960</v>
      </c>
      <c r="AN2773" t="s">
        <v>191</v>
      </c>
    </row>
    <row r="2774" spans="1:40" x14ac:dyDescent="0.2">
      <c r="A2774" t="s">
        <v>1567</v>
      </c>
      <c r="B2774" t="s">
        <v>1568</v>
      </c>
      <c r="C2774">
        <v>2014</v>
      </c>
      <c r="D2774" t="s">
        <v>811</v>
      </c>
      <c r="F2774" t="s">
        <v>628</v>
      </c>
      <c r="G2774" s="1" t="s">
        <v>86</v>
      </c>
      <c r="H2774" t="s">
        <v>96</v>
      </c>
      <c r="I2774">
        <v>2011</v>
      </c>
      <c r="J2774">
        <f t="shared" si="58"/>
        <v>0.33333333333333331</v>
      </c>
      <c r="K2774" t="s">
        <v>101</v>
      </c>
      <c r="N2774" t="s">
        <v>123</v>
      </c>
      <c r="O2774" t="s">
        <v>123</v>
      </c>
      <c r="P2774" t="s">
        <v>406</v>
      </c>
      <c r="Q2774" s="1" t="s">
        <v>2281</v>
      </c>
      <c r="R2774" s="1" t="s">
        <v>2282</v>
      </c>
      <c r="S2774" s="1" t="s">
        <v>123</v>
      </c>
      <c r="T2774" t="s">
        <v>396</v>
      </c>
      <c r="U2774" s="1" t="s">
        <v>2518</v>
      </c>
      <c r="X2774" t="s">
        <v>161</v>
      </c>
      <c r="Y2774" t="s">
        <v>2272</v>
      </c>
      <c r="Z2774" t="s">
        <v>2272</v>
      </c>
      <c r="AA2774" t="s">
        <v>2272</v>
      </c>
      <c r="AB2774" t="s">
        <v>2272</v>
      </c>
      <c r="AC2774" t="s">
        <v>162</v>
      </c>
      <c r="AD2774" t="s">
        <v>2272</v>
      </c>
      <c r="AF2774" t="s">
        <v>49</v>
      </c>
      <c r="AI2774" t="s">
        <v>49</v>
      </c>
      <c r="AM2774" t="s">
        <v>1960</v>
      </c>
      <c r="AN2774" t="s">
        <v>191</v>
      </c>
    </row>
    <row r="2775" spans="1:40" x14ac:dyDescent="0.2">
      <c r="A2775" t="s">
        <v>1567</v>
      </c>
      <c r="B2775" t="s">
        <v>1568</v>
      </c>
      <c r="C2775">
        <v>2014</v>
      </c>
      <c r="D2775" t="s">
        <v>811</v>
      </c>
      <c r="F2775" t="s">
        <v>628</v>
      </c>
      <c r="G2775" s="1" t="s">
        <v>86</v>
      </c>
      <c r="H2775" t="s">
        <v>96</v>
      </c>
      <c r="I2775">
        <v>2011</v>
      </c>
      <c r="J2775">
        <f t="shared" si="58"/>
        <v>0.33333333333333331</v>
      </c>
      <c r="K2775" t="s">
        <v>101</v>
      </c>
      <c r="N2775" t="s">
        <v>127</v>
      </c>
      <c r="O2775" t="s">
        <v>2514</v>
      </c>
      <c r="Q2775" s="1" t="s">
        <v>2351</v>
      </c>
      <c r="R2775" s="1" t="s">
        <v>2351</v>
      </c>
      <c r="S2775" s="1" t="s">
        <v>2351</v>
      </c>
      <c r="X2775" t="s">
        <v>211</v>
      </c>
      <c r="Y2775" t="s">
        <v>2279</v>
      </c>
      <c r="Z2775" t="s">
        <v>2280</v>
      </c>
      <c r="AA2775" t="s">
        <v>2358</v>
      </c>
      <c r="AB2775" t="s">
        <v>2290</v>
      </c>
      <c r="AC2775" t="s">
        <v>152</v>
      </c>
      <c r="AD2775" t="s">
        <v>2278</v>
      </c>
      <c r="AF2775" t="s">
        <v>49</v>
      </c>
      <c r="AI2775" t="s">
        <v>49</v>
      </c>
      <c r="AM2775" t="s">
        <v>1960</v>
      </c>
      <c r="AN2775" t="s">
        <v>166</v>
      </c>
    </row>
    <row r="2776" spans="1:40" x14ac:dyDescent="0.2">
      <c r="A2776" t="s">
        <v>1567</v>
      </c>
      <c r="B2776" t="s">
        <v>1568</v>
      </c>
      <c r="C2776">
        <v>2014</v>
      </c>
      <c r="D2776" t="s">
        <v>811</v>
      </c>
      <c r="F2776" t="s">
        <v>628</v>
      </c>
      <c r="G2776" s="1" t="s">
        <v>86</v>
      </c>
      <c r="H2776" t="s">
        <v>96</v>
      </c>
      <c r="I2776">
        <v>2011</v>
      </c>
      <c r="J2776">
        <f t="shared" si="58"/>
        <v>0.33333333333333331</v>
      </c>
      <c r="K2776" t="s">
        <v>101</v>
      </c>
      <c r="N2776" t="s">
        <v>127</v>
      </c>
      <c r="O2776" t="s">
        <v>2514</v>
      </c>
      <c r="Q2776" s="1" t="s">
        <v>2351</v>
      </c>
      <c r="R2776" s="1" t="s">
        <v>2351</v>
      </c>
      <c r="S2776" s="1" t="s">
        <v>2351</v>
      </c>
      <c r="X2776" t="s">
        <v>2516</v>
      </c>
      <c r="Y2776" t="s">
        <v>2279</v>
      </c>
      <c r="Z2776" t="s">
        <v>528</v>
      </c>
      <c r="AA2776" t="s">
        <v>2470</v>
      </c>
      <c r="AB2776" t="s">
        <v>2581</v>
      </c>
      <c r="AC2776" t="s">
        <v>152</v>
      </c>
      <c r="AD2776" t="s">
        <v>2278</v>
      </c>
      <c r="AF2776" t="s">
        <v>49</v>
      </c>
      <c r="AI2776" t="s">
        <v>49</v>
      </c>
      <c r="AM2776" t="s">
        <v>1960</v>
      </c>
      <c r="AN2776" t="s">
        <v>166</v>
      </c>
    </row>
    <row r="2777" spans="1:40" x14ac:dyDescent="0.2">
      <c r="A2777" t="s">
        <v>1567</v>
      </c>
      <c r="B2777" t="s">
        <v>1568</v>
      </c>
      <c r="C2777">
        <v>2014</v>
      </c>
      <c r="D2777" t="s">
        <v>811</v>
      </c>
      <c r="F2777" t="s">
        <v>628</v>
      </c>
      <c r="G2777" s="1" t="s">
        <v>86</v>
      </c>
      <c r="H2777" t="s">
        <v>96</v>
      </c>
      <c r="I2777">
        <v>2011</v>
      </c>
      <c r="J2777">
        <f t="shared" si="58"/>
        <v>0.33333333333333331</v>
      </c>
      <c r="K2777" t="s">
        <v>101</v>
      </c>
      <c r="N2777" t="s">
        <v>127</v>
      </c>
      <c r="O2777" t="s">
        <v>2514</v>
      </c>
      <c r="Q2777" s="1" t="s">
        <v>2351</v>
      </c>
      <c r="R2777" s="1" t="s">
        <v>2351</v>
      </c>
      <c r="S2777" s="1" t="s">
        <v>2351</v>
      </c>
      <c r="T2777" t="s">
        <v>421</v>
      </c>
      <c r="U2777" t="s">
        <v>421</v>
      </c>
      <c r="X2777" t="s">
        <v>161</v>
      </c>
      <c r="Y2777" t="s">
        <v>2272</v>
      </c>
      <c r="Z2777" t="s">
        <v>2272</v>
      </c>
      <c r="AA2777" t="s">
        <v>2272</v>
      </c>
      <c r="AB2777" t="s">
        <v>2272</v>
      </c>
      <c r="AC2777" t="s">
        <v>162</v>
      </c>
      <c r="AD2777" t="s">
        <v>2272</v>
      </c>
      <c r="AF2777" t="s">
        <v>49</v>
      </c>
      <c r="AI2777" t="s">
        <v>49</v>
      </c>
      <c r="AM2777" t="s">
        <v>1960</v>
      </c>
      <c r="AN2777" t="s">
        <v>166</v>
      </c>
    </row>
    <row r="2778" spans="1:40" x14ac:dyDescent="0.2">
      <c r="A2778" t="s">
        <v>1567</v>
      </c>
      <c r="B2778" t="s">
        <v>1568</v>
      </c>
      <c r="C2778">
        <v>2014</v>
      </c>
      <c r="D2778" t="s">
        <v>811</v>
      </c>
      <c r="F2778" t="s">
        <v>628</v>
      </c>
      <c r="G2778" s="1" t="s">
        <v>86</v>
      </c>
      <c r="H2778" t="s">
        <v>96</v>
      </c>
      <c r="I2778">
        <v>2011</v>
      </c>
      <c r="J2778">
        <f t="shared" si="58"/>
        <v>0.33333333333333331</v>
      </c>
      <c r="K2778" t="s">
        <v>101</v>
      </c>
      <c r="N2778" t="s">
        <v>132</v>
      </c>
      <c r="O2778" t="s">
        <v>132</v>
      </c>
      <c r="P2778" t="s">
        <v>2515</v>
      </c>
      <c r="Q2778" s="1" t="s">
        <v>2276</v>
      </c>
      <c r="R2778" s="1" t="s">
        <v>669</v>
      </c>
      <c r="S2778" s="1" t="s">
        <v>168</v>
      </c>
      <c r="T2778" t="s">
        <v>421</v>
      </c>
      <c r="U2778" t="s">
        <v>421</v>
      </c>
      <c r="X2778" t="s">
        <v>161</v>
      </c>
      <c r="Y2778" t="s">
        <v>2272</v>
      </c>
      <c r="Z2778" t="s">
        <v>2272</v>
      </c>
      <c r="AA2778" t="s">
        <v>2272</v>
      </c>
      <c r="AB2778" t="s">
        <v>2272</v>
      </c>
      <c r="AC2778" t="s">
        <v>162</v>
      </c>
      <c r="AD2778" t="s">
        <v>2272</v>
      </c>
      <c r="AF2778" t="s">
        <v>49</v>
      </c>
      <c r="AI2778" t="s">
        <v>49</v>
      </c>
      <c r="AM2778" t="s">
        <v>1960</v>
      </c>
      <c r="AN2778" t="s">
        <v>166</v>
      </c>
    </row>
    <row r="2779" spans="1:40" x14ac:dyDescent="0.2">
      <c r="A2779" t="s">
        <v>1567</v>
      </c>
      <c r="B2779" t="s">
        <v>1568</v>
      </c>
      <c r="C2779">
        <v>2014</v>
      </c>
      <c r="D2779" t="s">
        <v>811</v>
      </c>
      <c r="F2779" t="s">
        <v>628</v>
      </c>
      <c r="G2779" s="1" t="s">
        <v>86</v>
      </c>
      <c r="H2779" t="s">
        <v>96</v>
      </c>
      <c r="I2779">
        <v>2011</v>
      </c>
      <c r="J2779">
        <f t="shared" si="58"/>
        <v>0.33333333333333331</v>
      </c>
      <c r="K2779" t="s">
        <v>101</v>
      </c>
      <c r="N2779" t="s">
        <v>132</v>
      </c>
      <c r="O2779" t="s">
        <v>132</v>
      </c>
      <c r="P2779" t="s">
        <v>169</v>
      </c>
      <c r="Q2779" s="1" t="s">
        <v>2276</v>
      </c>
      <c r="R2779" s="1" t="s">
        <v>669</v>
      </c>
      <c r="S2779" s="1" t="s">
        <v>168</v>
      </c>
      <c r="T2779" t="s">
        <v>421</v>
      </c>
      <c r="U2779" t="s">
        <v>421</v>
      </c>
      <c r="X2779" t="s">
        <v>161</v>
      </c>
      <c r="Y2779" t="s">
        <v>2272</v>
      </c>
      <c r="Z2779" t="s">
        <v>2272</v>
      </c>
      <c r="AA2779" t="s">
        <v>2272</v>
      </c>
      <c r="AB2779" t="s">
        <v>2272</v>
      </c>
      <c r="AC2779" t="s">
        <v>162</v>
      </c>
      <c r="AD2779" t="s">
        <v>2272</v>
      </c>
      <c r="AF2779" t="s">
        <v>49</v>
      </c>
      <c r="AI2779" t="s">
        <v>49</v>
      </c>
      <c r="AM2779" t="s">
        <v>1960</v>
      </c>
      <c r="AN2779" t="s">
        <v>166</v>
      </c>
    </row>
    <row r="2780" spans="1:40" x14ac:dyDescent="0.2">
      <c r="A2780" t="s">
        <v>1567</v>
      </c>
      <c r="B2780" t="s">
        <v>1568</v>
      </c>
      <c r="C2780">
        <v>2014</v>
      </c>
      <c r="D2780" t="s">
        <v>811</v>
      </c>
      <c r="F2780" t="s">
        <v>628</v>
      </c>
      <c r="G2780" s="1" t="s">
        <v>86</v>
      </c>
      <c r="H2780" t="s">
        <v>96</v>
      </c>
      <c r="I2780">
        <v>2011</v>
      </c>
      <c r="J2780">
        <f t="shared" si="58"/>
        <v>0.33333333333333331</v>
      </c>
      <c r="K2780" t="s">
        <v>101</v>
      </c>
      <c r="N2780" t="s">
        <v>123</v>
      </c>
      <c r="O2780" t="s">
        <v>123</v>
      </c>
      <c r="P2780" t="s">
        <v>406</v>
      </c>
      <c r="Q2780" s="1" t="s">
        <v>2281</v>
      </c>
      <c r="R2780" s="1" t="s">
        <v>2282</v>
      </c>
      <c r="S2780" s="1" t="s">
        <v>123</v>
      </c>
      <c r="T2780" t="s">
        <v>421</v>
      </c>
      <c r="U2780" t="s">
        <v>421</v>
      </c>
      <c r="X2780" t="s">
        <v>161</v>
      </c>
      <c r="Y2780" t="s">
        <v>2272</v>
      </c>
      <c r="Z2780" t="s">
        <v>2272</v>
      </c>
      <c r="AA2780" t="s">
        <v>2272</v>
      </c>
      <c r="AB2780" t="s">
        <v>2272</v>
      </c>
      <c r="AC2780" t="s">
        <v>162</v>
      </c>
      <c r="AD2780" t="s">
        <v>2272</v>
      </c>
      <c r="AF2780" t="s">
        <v>49</v>
      </c>
      <c r="AI2780" t="s">
        <v>49</v>
      </c>
      <c r="AM2780" t="s">
        <v>1960</v>
      </c>
      <c r="AN2780" t="s">
        <v>166</v>
      </c>
    </row>
    <row r="2781" spans="1:40" ht="15" customHeight="1" x14ac:dyDescent="0.2">
      <c r="A2781" t="s">
        <v>1567</v>
      </c>
      <c r="B2781" t="s">
        <v>1568</v>
      </c>
      <c r="C2781">
        <v>2014</v>
      </c>
      <c r="D2781" t="s">
        <v>811</v>
      </c>
      <c r="F2781" t="s">
        <v>628</v>
      </c>
      <c r="G2781" s="1" t="s">
        <v>86</v>
      </c>
      <c r="H2781" t="s">
        <v>96</v>
      </c>
      <c r="I2781">
        <v>2011</v>
      </c>
      <c r="J2781">
        <f t="shared" si="58"/>
        <v>0.33333333333333331</v>
      </c>
      <c r="K2781" t="s">
        <v>101</v>
      </c>
      <c r="N2781" t="s">
        <v>127</v>
      </c>
      <c r="O2781" t="s">
        <v>2514</v>
      </c>
      <c r="Q2781" s="1" t="s">
        <v>2351</v>
      </c>
      <c r="R2781" s="1" t="s">
        <v>2351</v>
      </c>
      <c r="S2781" s="1" t="s">
        <v>2351</v>
      </c>
      <c r="X2781" t="s">
        <v>211</v>
      </c>
      <c r="Y2781" t="s">
        <v>2279</v>
      </c>
      <c r="Z2781" t="s">
        <v>2280</v>
      </c>
      <c r="AA2781" t="s">
        <v>2358</v>
      </c>
      <c r="AB2781" t="s">
        <v>2290</v>
      </c>
      <c r="AC2781" t="s">
        <v>152</v>
      </c>
      <c r="AD2781" t="s">
        <v>2278</v>
      </c>
      <c r="AF2781" t="s">
        <v>49</v>
      </c>
      <c r="AI2781" t="s">
        <v>49</v>
      </c>
      <c r="AM2781" t="s">
        <v>1960</v>
      </c>
      <c r="AN2781" t="s">
        <v>154</v>
      </c>
    </row>
    <row r="2782" spans="1:40" x14ac:dyDescent="0.2">
      <c r="A2782" t="s">
        <v>1567</v>
      </c>
      <c r="B2782" t="s">
        <v>1568</v>
      </c>
      <c r="C2782">
        <v>2014</v>
      </c>
      <c r="D2782" t="s">
        <v>811</v>
      </c>
      <c r="F2782" t="s">
        <v>628</v>
      </c>
      <c r="G2782" s="1" t="s">
        <v>86</v>
      </c>
      <c r="H2782" t="s">
        <v>96</v>
      </c>
      <c r="I2782">
        <v>2011</v>
      </c>
      <c r="J2782">
        <f t="shared" si="58"/>
        <v>0.33333333333333331</v>
      </c>
      <c r="K2782" t="s">
        <v>101</v>
      </c>
      <c r="N2782" t="s">
        <v>127</v>
      </c>
      <c r="O2782" t="s">
        <v>2514</v>
      </c>
      <c r="Q2782" s="1" t="s">
        <v>2351</v>
      </c>
      <c r="R2782" s="1" t="s">
        <v>2351</v>
      </c>
      <c r="S2782" s="1" t="s">
        <v>2351</v>
      </c>
      <c r="X2782" t="s">
        <v>2516</v>
      </c>
      <c r="Y2782" t="s">
        <v>2279</v>
      </c>
      <c r="Z2782" t="s">
        <v>528</v>
      </c>
      <c r="AA2782" t="s">
        <v>2470</v>
      </c>
      <c r="AB2782" t="s">
        <v>2581</v>
      </c>
      <c r="AC2782" t="s">
        <v>152</v>
      </c>
      <c r="AD2782" t="s">
        <v>2278</v>
      </c>
      <c r="AF2782" t="s">
        <v>49</v>
      </c>
      <c r="AI2782" t="s">
        <v>49</v>
      </c>
      <c r="AM2782" t="s">
        <v>1960</v>
      </c>
      <c r="AN2782" t="s">
        <v>154</v>
      </c>
    </row>
    <row r="2783" spans="1:40" x14ac:dyDescent="0.2">
      <c r="A2783" t="s">
        <v>1567</v>
      </c>
      <c r="B2783" t="s">
        <v>1568</v>
      </c>
      <c r="C2783">
        <v>2014</v>
      </c>
      <c r="D2783" t="s">
        <v>811</v>
      </c>
      <c r="F2783" t="s">
        <v>628</v>
      </c>
      <c r="G2783" s="1" t="s">
        <v>86</v>
      </c>
      <c r="H2783" t="s">
        <v>96</v>
      </c>
      <c r="I2783">
        <v>2011</v>
      </c>
      <c r="J2783">
        <f t="shared" si="58"/>
        <v>0.33333333333333331</v>
      </c>
      <c r="K2783" t="s">
        <v>101</v>
      </c>
      <c r="N2783" t="s">
        <v>127</v>
      </c>
      <c r="O2783" t="s">
        <v>2514</v>
      </c>
      <c r="Q2783" s="1" t="s">
        <v>2351</v>
      </c>
      <c r="R2783" s="1" t="s">
        <v>2351</v>
      </c>
      <c r="S2783" s="1" t="s">
        <v>2351</v>
      </c>
      <c r="T2783" t="s">
        <v>421</v>
      </c>
      <c r="U2783" t="s">
        <v>421</v>
      </c>
      <c r="X2783" t="s">
        <v>161</v>
      </c>
      <c r="Y2783" t="s">
        <v>2272</v>
      </c>
      <c r="Z2783" t="s">
        <v>2272</v>
      </c>
      <c r="AA2783" t="s">
        <v>2272</v>
      </c>
      <c r="AB2783" t="s">
        <v>2272</v>
      </c>
      <c r="AC2783" t="s">
        <v>162</v>
      </c>
      <c r="AD2783" t="s">
        <v>2272</v>
      </c>
      <c r="AF2783" t="s">
        <v>49</v>
      </c>
      <c r="AI2783" t="s">
        <v>49</v>
      </c>
      <c r="AM2783" t="s">
        <v>1960</v>
      </c>
      <c r="AN2783" t="s">
        <v>154</v>
      </c>
    </row>
    <row r="2784" spans="1:40" x14ac:dyDescent="0.2">
      <c r="A2784" t="s">
        <v>1567</v>
      </c>
      <c r="B2784" t="s">
        <v>1568</v>
      </c>
      <c r="C2784">
        <v>2014</v>
      </c>
      <c r="D2784" t="s">
        <v>811</v>
      </c>
      <c r="F2784" t="s">
        <v>628</v>
      </c>
      <c r="G2784" s="1" t="s">
        <v>86</v>
      </c>
      <c r="H2784" t="s">
        <v>96</v>
      </c>
      <c r="I2784">
        <v>2011</v>
      </c>
      <c r="J2784">
        <f t="shared" si="58"/>
        <v>0.33333333333333331</v>
      </c>
      <c r="K2784" t="s">
        <v>101</v>
      </c>
      <c r="N2784" t="s">
        <v>132</v>
      </c>
      <c r="O2784" t="s">
        <v>132</v>
      </c>
      <c r="P2784" t="s">
        <v>2515</v>
      </c>
      <c r="Q2784" s="1" t="s">
        <v>2276</v>
      </c>
      <c r="R2784" s="1" t="s">
        <v>669</v>
      </c>
      <c r="S2784" s="1" t="s">
        <v>168</v>
      </c>
      <c r="T2784" t="s">
        <v>421</v>
      </c>
      <c r="U2784" t="s">
        <v>421</v>
      </c>
      <c r="X2784" t="s">
        <v>161</v>
      </c>
      <c r="Y2784" t="s">
        <v>2272</v>
      </c>
      <c r="Z2784" t="s">
        <v>2272</v>
      </c>
      <c r="AA2784" t="s">
        <v>2272</v>
      </c>
      <c r="AB2784" t="s">
        <v>2272</v>
      </c>
      <c r="AC2784" t="s">
        <v>162</v>
      </c>
      <c r="AD2784" t="s">
        <v>2272</v>
      </c>
      <c r="AF2784" t="s">
        <v>49</v>
      </c>
      <c r="AI2784" t="s">
        <v>49</v>
      </c>
      <c r="AM2784" t="s">
        <v>1960</v>
      </c>
      <c r="AN2784" t="s">
        <v>154</v>
      </c>
    </row>
    <row r="2785" spans="1:40" x14ac:dyDescent="0.2">
      <c r="A2785" t="s">
        <v>1567</v>
      </c>
      <c r="B2785" t="s">
        <v>1568</v>
      </c>
      <c r="C2785">
        <v>2014</v>
      </c>
      <c r="D2785" t="s">
        <v>811</v>
      </c>
      <c r="F2785" t="s">
        <v>628</v>
      </c>
      <c r="G2785" s="1" t="s">
        <v>86</v>
      </c>
      <c r="H2785" t="s">
        <v>96</v>
      </c>
      <c r="I2785">
        <v>2011</v>
      </c>
      <c r="J2785">
        <f t="shared" si="58"/>
        <v>0.33333333333333331</v>
      </c>
      <c r="K2785" t="s">
        <v>101</v>
      </c>
      <c r="N2785" t="s">
        <v>132</v>
      </c>
      <c r="O2785" t="s">
        <v>132</v>
      </c>
      <c r="P2785" t="s">
        <v>169</v>
      </c>
      <c r="Q2785" s="1" t="s">
        <v>2276</v>
      </c>
      <c r="R2785" s="1" t="s">
        <v>669</v>
      </c>
      <c r="S2785" s="1" t="s">
        <v>168</v>
      </c>
      <c r="T2785" t="s">
        <v>421</v>
      </c>
      <c r="U2785" t="s">
        <v>421</v>
      </c>
      <c r="X2785" t="s">
        <v>161</v>
      </c>
      <c r="Y2785" t="s">
        <v>2272</v>
      </c>
      <c r="Z2785" t="s">
        <v>2272</v>
      </c>
      <c r="AA2785" t="s">
        <v>2272</v>
      </c>
      <c r="AB2785" t="s">
        <v>2272</v>
      </c>
      <c r="AC2785" t="s">
        <v>162</v>
      </c>
      <c r="AD2785" t="s">
        <v>2272</v>
      </c>
      <c r="AF2785" t="s">
        <v>49</v>
      </c>
      <c r="AI2785" t="s">
        <v>49</v>
      </c>
      <c r="AM2785" t="s">
        <v>1960</v>
      </c>
      <c r="AN2785" t="s">
        <v>154</v>
      </c>
    </row>
    <row r="2786" spans="1:40" x14ac:dyDescent="0.2">
      <c r="A2786" t="s">
        <v>1567</v>
      </c>
      <c r="B2786" t="s">
        <v>1568</v>
      </c>
      <c r="C2786">
        <v>2014</v>
      </c>
      <c r="D2786" t="s">
        <v>811</v>
      </c>
      <c r="F2786" t="s">
        <v>628</v>
      </c>
      <c r="G2786" s="1" t="s">
        <v>86</v>
      </c>
      <c r="H2786" t="s">
        <v>96</v>
      </c>
      <c r="I2786">
        <v>2011</v>
      </c>
      <c r="J2786">
        <f t="shared" si="58"/>
        <v>0.33333333333333331</v>
      </c>
      <c r="K2786" t="s">
        <v>101</v>
      </c>
      <c r="N2786" t="s">
        <v>123</v>
      </c>
      <c r="O2786" t="s">
        <v>123</v>
      </c>
      <c r="P2786" t="s">
        <v>406</v>
      </c>
      <c r="Q2786" s="1" t="s">
        <v>2281</v>
      </c>
      <c r="R2786" s="1" t="s">
        <v>2282</v>
      </c>
      <c r="S2786" s="1" t="s">
        <v>123</v>
      </c>
      <c r="T2786" t="s">
        <v>421</v>
      </c>
      <c r="U2786" t="s">
        <v>421</v>
      </c>
      <c r="X2786" t="s">
        <v>161</v>
      </c>
      <c r="Y2786" t="s">
        <v>2272</v>
      </c>
      <c r="Z2786" t="s">
        <v>2272</v>
      </c>
      <c r="AA2786" t="s">
        <v>2272</v>
      </c>
      <c r="AB2786" t="s">
        <v>2272</v>
      </c>
      <c r="AC2786" t="s">
        <v>162</v>
      </c>
      <c r="AD2786" t="s">
        <v>2272</v>
      </c>
      <c r="AF2786" t="s">
        <v>49</v>
      </c>
      <c r="AI2786" t="s">
        <v>49</v>
      </c>
      <c r="AM2786" t="s">
        <v>1960</v>
      </c>
      <c r="AN2786" t="s">
        <v>154</v>
      </c>
    </row>
    <row r="2787" spans="1:40" ht="15" customHeight="1" x14ac:dyDescent="0.2">
      <c r="A2787" t="s">
        <v>1567</v>
      </c>
      <c r="B2787" t="s">
        <v>1568</v>
      </c>
      <c r="C2787">
        <v>2014</v>
      </c>
      <c r="D2787" t="s">
        <v>811</v>
      </c>
      <c r="F2787" t="s">
        <v>628</v>
      </c>
      <c r="G2787" s="1" t="s">
        <v>86</v>
      </c>
      <c r="H2787" t="s">
        <v>96</v>
      </c>
      <c r="I2787">
        <v>2011</v>
      </c>
      <c r="J2787">
        <f t="shared" si="58"/>
        <v>0.33333333333333331</v>
      </c>
      <c r="K2787" t="s">
        <v>101</v>
      </c>
      <c r="N2787" t="s">
        <v>127</v>
      </c>
      <c r="O2787" t="s">
        <v>2514</v>
      </c>
      <c r="Q2787" s="1" t="s">
        <v>2351</v>
      </c>
      <c r="R2787" s="1" t="s">
        <v>2351</v>
      </c>
      <c r="S2787" s="1" t="s">
        <v>2351</v>
      </c>
      <c r="X2787" t="s">
        <v>211</v>
      </c>
      <c r="Y2787" t="s">
        <v>2279</v>
      </c>
      <c r="Z2787" t="s">
        <v>2280</v>
      </c>
      <c r="AA2787" t="s">
        <v>2358</v>
      </c>
      <c r="AB2787" t="s">
        <v>2290</v>
      </c>
      <c r="AC2787" t="s">
        <v>152</v>
      </c>
      <c r="AD2787" t="s">
        <v>2278</v>
      </c>
      <c r="AF2787" t="s">
        <v>49</v>
      </c>
      <c r="AI2787" t="s">
        <v>49</v>
      </c>
      <c r="AM2787" t="s">
        <v>1960</v>
      </c>
      <c r="AN2787" t="s">
        <v>165</v>
      </c>
    </row>
    <row r="2788" spans="1:40" x14ac:dyDescent="0.2">
      <c r="A2788" t="s">
        <v>1567</v>
      </c>
      <c r="B2788" t="s">
        <v>1568</v>
      </c>
      <c r="C2788">
        <v>2014</v>
      </c>
      <c r="D2788" t="s">
        <v>811</v>
      </c>
      <c r="F2788" t="s">
        <v>628</v>
      </c>
      <c r="G2788" s="1" t="s">
        <v>86</v>
      </c>
      <c r="H2788" t="s">
        <v>96</v>
      </c>
      <c r="I2788">
        <v>2011</v>
      </c>
      <c r="J2788">
        <f t="shared" si="58"/>
        <v>0.33333333333333331</v>
      </c>
      <c r="K2788" t="s">
        <v>101</v>
      </c>
      <c r="N2788" t="s">
        <v>127</v>
      </c>
      <c r="O2788" t="s">
        <v>2514</v>
      </c>
      <c r="Q2788" s="1" t="s">
        <v>2351</v>
      </c>
      <c r="R2788" s="1" t="s">
        <v>2351</v>
      </c>
      <c r="S2788" s="1" t="s">
        <v>2351</v>
      </c>
      <c r="X2788" t="s">
        <v>2516</v>
      </c>
      <c r="Y2788" t="s">
        <v>2279</v>
      </c>
      <c r="Z2788" t="s">
        <v>528</v>
      </c>
      <c r="AA2788" t="s">
        <v>2470</v>
      </c>
      <c r="AB2788" t="s">
        <v>2581</v>
      </c>
      <c r="AC2788" t="s">
        <v>152</v>
      </c>
      <c r="AD2788" t="s">
        <v>2278</v>
      </c>
      <c r="AF2788" t="s">
        <v>49</v>
      </c>
      <c r="AI2788" t="s">
        <v>49</v>
      </c>
      <c r="AM2788" t="s">
        <v>1960</v>
      </c>
      <c r="AN2788" t="s">
        <v>165</v>
      </c>
    </row>
    <row r="2789" spans="1:40" x14ac:dyDescent="0.2">
      <c r="A2789" t="s">
        <v>1567</v>
      </c>
      <c r="B2789" t="s">
        <v>1568</v>
      </c>
      <c r="C2789">
        <v>2014</v>
      </c>
      <c r="D2789" t="s">
        <v>811</v>
      </c>
      <c r="F2789" t="s">
        <v>628</v>
      </c>
      <c r="G2789" s="1" t="s">
        <v>86</v>
      </c>
      <c r="H2789" t="s">
        <v>96</v>
      </c>
      <c r="I2789">
        <v>2011</v>
      </c>
      <c r="J2789">
        <f t="shared" si="58"/>
        <v>0.33333333333333331</v>
      </c>
      <c r="K2789" t="s">
        <v>101</v>
      </c>
      <c r="N2789" t="s">
        <v>127</v>
      </c>
      <c r="O2789" t="s">
        <v>2514</v>
      </c>
      <c r="Q2789" s="1" t="s">
        <v>2351</v>
      </c>
      <c r="R2789" s="1" t="s">
        <v>2351</v>
      </c>
      <c r="S2789" s="1" t="s">
        <v>2351</v>
      </c>
      <c r="T2789" t="s">
        <v>421</v>
      </c>
      <c r="U2789" t="s">
        <v>421</v>
      </c>
      <c r="X2789" t="s">
        <v>161</v>
      </c>
      <c r="Y2789" t="s">
        <v>2272</v>
      </c>
      <c r="Z2789" t="s">
        <v>2272</v>
      </c>
      <c r="AA2789" t="s">
        <v>2272</v>
      </c>
      <c r="AB2789" t="s">
        <v>2272</v>
      </c>
      <c r="AC2789" t="s">
        <v>162</v>
      </c>
      <c r="AD2789" t="s">
        <v>2272</v>
      </c>
      <c r="AF2789" t="s">
        <v>49</v>
      </c>
      <c r="AI2789" t="s">
        <v>49</v>
      </c>
      <c r="AM2789" t="s">
        <v>1960</v>
      </c>
      <c r="AN2789" t="s">
        <v>165</v>
      </c>
    </row>
    <row r="2790" spans="1:40" x14ac:dyDescent="0.2">
      <c r="A2790" t="s">
        <v>1567</v>
      </c>
      <c r="B2790" t="s">
        <v>1568</v>
      </c>
      <c r="C2790">
        <v>2014</v>
      </c>
      <c r="D2790" t="s">
        <v>811</v>
      </c>
      <c r="F2790" t="s">
        <v>628</v>
      </c>
      <c r="G2790" s="1" t="s">
        <v>86</v>
      </c>
      <c r="H2790" t="s">
        <v>96</v>
      </c>
      <c r="I2790">
        <v>2011</v>
      </c>
      <c r="J2790">
        <f t="shared" si="58"/>
        <v>0.33333333333333331</v>
      </c>
      <c r="K2790" t="s">
        <v>101</v>
      </c>
      <c r="N2790" t="s">
        <v>132</v>
      </c>
      <c r="O2790" t="s">
        <v>132</v>
      </c>
      <c r="P2790" t="s">
        <v>2515</v>
      </c>
      <c r="Q2790" s="1" t="s">
        <v>2276</v>
      </c>
      <c r="R2790" s="1" t="s">
        <v>669</v>
      </c>
      <c r="S2790" s="1" t="s">
        <v>168</v>
      </c>
      <c r="T2790" t="s">
        <v>421</v>
      </c>
      <c r="U2790" t="s">
        <v>421</v>
      </c>
      <c r="X2790" t="s">
        <v>161</v>
      </c>
      <c r="Y2790" t="s">
        <v>2272</v>
      </c>
      <c r="Z2790" t="s">
        <v>2272</v>
      </c>
      <c r="AA2790" t="s">
        <v>2272</v>
      </c>
      <c r="AB2790" t="s">
        <v>2272</v>
      </c>
      <c r="AC2790" t="s">
        <v>162</v>
      </c>
      <c r="AD2790" t="s">
        <v>2272</v>
      </c>
      <c r="AF2790" t="s">
        <v>49</v>
      </c>
      <c r="AI2790" t="s">
        <v>49</v>
      </c>
      <c r="AM2790" t="s">
        <v>1960</v>
      </c>
      <c r="AN2790" t="s">
        <v>165</v>
      </c>
    </row>
    <row r="2791" spans="1:40" x14ac:dyDescent="0.2">
      <c r="A2791" t="s">
        <v>1567</v>
      </c>
      <c r="B2791" t="s">
        <v>1568</v>
      </c>
      <c r="C2791">
        <v>2014</v>
      </c>
      <c r="D2791" t="s">
        <v>811</v>
      </c>
      <c r="F2791" t="s">
        <v>628</v>
      </c>
      <c r="G2791" s="1" t="s">
        <v>86</v>
      </c>
      <c r="H2791" t="s">
        <v>96</v>
      </c>
      <c r="I2791">
        <v>2011</v>
      </c>
      <c r="J2791">
        <f t="shared" si="58"/>
        <v>0.33333333333333331</v>
      </c>
      <c r="K2791" t="s">
        <v>101</v>
      </c>
      <c r="N2791" t="s">
        <v>132</v>
      </c>
      <c r="O2791" t="s">
        <v>132</v>
      </c>
      <c r="P2791" t="s">
        <v>169</v>
      </c>
      <c r="Q2791" s="1" t="s">
        <v>2276</v>
      </c>
      <c r="R2791" s="1" t="s">
        <v>669</v>
      </c>
      <c r="S2791" s="1" t="s">
        <v>168</v>
      </c>
      <c r="T2791" t="s">
        <v>421</v>
      </c>
      <c r="U2791" t="s">
        <v>421</v>
      </c>
      <c r="X2791" t="s">
        <v>161</v>
      </c>
      <c r="Y2791" t="s">
        <v>2272</v>
      </c>
      <c r="Z2791" t="s">
        <v>2272</v>
      </c>
      <c r="AA2791" t="s">
        <v>2272</v>
      </c>
      <c r="AB2791" t="s">
        <v>2272</v>
      </c>
      <c r="AC2791" t="s">
        <v>162</v>
      </c>
      <c r="AD2791" t="s">
        <v>2272</v>
      </c>
      <c r="AF2791" t="s">
        <v>49</v>
      </c>
      <c r="AI2791" t="s">
        <v>49</v>
      </c>
      <c r="AM2791" t="s">
        <v>1960</v>
      </c>
      <c r="AN2791" t="s">
        <v>165</v>
      </c>
    </row>
    <row r="2792" spans="1:40" x14ac:dyDescent="0.2">
      <c r="A2792" t="s">
        <v>1567</v>
      </c>
      <c r="B2792" t="s">
        <v>1568</v>
      </c>
      <c r="C2792">
        <v>2014</v>
      </c>
      <c r="D2792" t="s">
        <v>811</v>
      </c>
      <c r="F2792" t="s">
        <v>628</v>
      </c>
      <c r="G2792" s="1" t="s">
        <v>86</v>
      </c>
      <c r="H2792" t="s">
        <v>96</v>
      </c>
      <c r="I2792">
        <v>2011</v>
      </c>
      <c r="J2792">
        <f t="shared" si="58"/>
        <v>0.33333333333333331</v>
      </c>
      <c r="K2792" t="s">
        <v>101</v>
      </c>
      <c r="N2792" t="s">
        <v>123</v>
      </c>
      <c r="O2792" t="s">
        <v>123</v>
      </c>
      <c r="P2792" t="s">
        <v>406</v>
      </c>
      <c r="Q2792" s="1" t="s">
        <v>2281</v>
      </c>
      <c r="R2792" s="1" t="s">
        <v>2282</v>
      </c>
      <c r="S2792" s="1" t="s">
        <v>123</v>
      </c>
      <c r="T2792" t="s">
        <v>421</v>
      </c>
      <c r="U2792" t="s">
        <v>421</v>
      </c>
      <c r="X2792" t="s">
        <v>161</v>
      </c>
      <c r="Y2792" t="s">
        <v>2272</v>
      </c>
      <c r="Z2792" t="s">
        <v>2272</v>
      </c>
      <c r="AA2792" t="s">
        <v>2272</v>
      </c>
      <c r="AB2792" t="s">
        <v>2272</v>
      </c>
      <c r="AC2792" t="s">
        <v>162</v>
      </c>
      <c r="AD2792" t="s">
        <v>2272</v>
      </c>
      <c r="AF2792" t="s">
        <v>49</v>
      </c>
      <c r="AI2792" t="s">
        <v>49</v>
      </c>
      <c r="AM2792" t="s">
        <v>1960</v>
      </c>
      <c r="AN2792" t="s">
        <v>165</v>
      </c>
    </row>
    <row r="2793" spans="1:40" ht="15" customHeight="1" x14ac:dyDescent="0.2">
      <c r="A2793" t="s">
        <v>1567</v>
      </c>
      <c r="B2793" t="s">
        <v>1568</v>
      </c>
      <c r="C2793">
        <v>2014</v>
      </c>
      <c r="D2793" t="s">
        <v>811</v>
      </c>
      <c r="F2793" t="s">
        <v>628</v>
      </c>
      <c r="G2793" s="1" t="s">
        <v>86</v>
      </c>
      <c r="H2793" t="s">
        <v>96</v>
      </c>
      <c r="I2793">
        <v>2011</v>
      </c>
      <c r="J2793">
        <f t="shared" si="58"/>
        <v>0.33333333333333331</v>
      </c>
      <c r="K2793" t="s">
        <v>101</v>
      </c>
      <c r="N2793" t="s">
        <v>127</v>
      </c>
      <c r="O2793" t="s">
        <v>2514</v>
      </c>
      <c r="Q2793" s="1" t="s">
        <v>2351</v>
      </c>
      <c r="R2793" s="1" t="s">
        <v>2351</v>
      </c>
      <c r="S2793" s="1" t="s">
        <v>2351</v>
      </c>
      <c r="X2793" t="s">
        <v>211</v>
      </c>
      <c r="Y2793" t="s">
        <v>2279</v>
      </c>
      <c r="Z2793" t="s">
        <v>2280</v>
      </c>
      <c r="AA2793" t="s">
        <v>2358</v>
      </c>
      <c r="AB2793" t="s">
        <v>2290</v>
      </c>
      <c r="AC2793" t="s">
        <v>152</v>
      </c>
      <c r="AD2793" t="s">
        <v>2278</v>
      </c>
      <c r="AF2793" t="s">
        <v>49</v>
      </c>
      <c r="AI2793" t="s">
        <v>49</v>
      </c>
      <c r="AM2793" t="s">
        <v>1960</v>
      </c>
      <c r="AN2793" t="s">
        <v>171</v>
      </c>
    </row>
    <row r="2794" spans="1:40" x14ac:dyDescent="0.2">
      <c r="A2794" t="s">
        <v>1567</v>
      </c>
      <c r="B2794" t="s">
        <v>1568</v>
      </c>
      <c r="C2794">
        <v>2014</v>
      </c>
      <c r="D2794" t="s">
        <v>811</v>
      </c>
      <c r="F2794" t="s">
        <v>628</v>
      </c>
      <c r="G2794" s="1" t="s">
        <v>86</v>
      </c>
      <c r="H2794" t="s">
        <v>96</v>
      </c>
      <c r="I2794">
        <v>2011</v>
      </c>
      <c r="J2794">
        <f t="shared" si="58"/>
        <v>0.33333333333333331</v>
      </c>
      <c r="K2794" t="s">
        <v>101</v>
      </c>
      <c r="N2794" t="s">
        <v>127</v>
      </c>
      <c r="O2794" t="s">
        <v>2514</v>
      </c>
      <c r="Q2794" s="1" t="s">
        <v>2351</v>
      </c>
      <c r="R2794" s="1" t="s">
        <v>2351</v>
      </c>
      <c r="S2794" s="1" t="s">
        <v>2351</v>
      </c>
      <c r="X2794" t="s">
        <v>2516</v>
      </c>
      <c r="Y2794" t="s">
        <v>2279</v>
      </c>
      <c r="Z2794" t="s">
        <v>528</v>
      </c>
      <c r="AA2794" t="s">
        <v>2470</v>
      </c>
      <c r="AB2794" t="s">
        <v>2581</v>
      </c>
      <c r="AC2794" t="s">
        <v>152</v>
      </c>
      <c r="AD2794" t="s">
        <v>2278</v>
      </c>
      <c r="AF2794" t="s">
        <v>49</v>
      </c>
      <c r="AI2794" t="s">
        <v>49</v>
      </c>
      <c r="AM2794" t="s">
        <v>1960</v>
      </c>
      <c r="AN2794" t="s">
        <v>171</v>
      </c>
    </row>
    <row r="2795" spans="1:40" x14ac:dyDescent="0.2">
      <c r="A2795" t="s">
        <v>1567</v>
      </c>
      <c r="B2795" t="s">
        <v>1568</v>
      </c>
      <c r="C2795">
        <v>2014</v>
      </c>
      <c r="D2795" t="s">
        <v>811</v>
      </c>
      <c r="F2795" t="s">
        <v>628</v>
      </c>
      <c r="G2795" s="1" t="s">
        <v>86</v>
      </c>
      <c r="H2795" t="s">
        <v>96</v>
      </c>
      <c r="I2795">
        <v>2011</v>
      </c>
      <c r="J2795">
        <f t="shared" si="58"/>
        <v>0.33333333333333331</v>
      </c>
      <c r="K2795" t="s">
        <v>101</v>
      </c>
      <c r="N2795" t="s">
        <v>127</v>
      </c>
      <c r="O2795" t="s">
        <v>2514</v>
      </c>
      <c r="Q2795" s="1" t="s">
        <v>2351</v>
      </c>
      <c r="R2795" s="1" t="s">
        <v>2351</v>
      </c>
      <c r="S2795" s="1" t="s">
        <v>2351</v>
      </c>
      <c r="T2795" t="s">
        <v>421</v>
      </c>
      <c r="U2795" t="s">
        <v>421</v>
      </c>
      <c r="X2795" t="s">
        <v>161</v>
      </c>
      <c r="Y2795" t="s">
        <v>2272</v>
      </c>
      <c r="Z2795" t="s">
        <v>2272</v>
      </c>
      <c r="AA2795" t="s">
        <v>2272</v>
      </c>
      <c r="AB2795" t="s">
        <v>2272</v>
      </c>
      <c r="AC2795" t="s">
        <v>162</v>
      </c>
      <c r="AD2795" t="s">
        <v>2278</v>
      </c>
      <c r="AF2795" t="s">
        <v>49</v>
      </c>
      <c r="AI2795" t="s">
        <v>49</v>
      </c>
      <c r="AM2795" t="s">
        <v>1960</v>
      </c>
      <c r="AN2795" t="s">
        <v>171</v>
      </c>
    </row>
    <row r="2796" spans="1:40" x14ac:dyDescent="0.2">
      <c r="A2796" t="s">
        <v>1567</v>
      </c>
      <c r="B2796" t="s">
        <v>1568</v>
      </c>
      <c r="C2796">
        <v>2014</v>
      </c>
      <c r="D2796" t="s">
        <v>811</v>
      </c>
      <c r="F2796" t="s">
        <v>628</v>
      </c>
      <c r="G2796" s="1" t="s">
        <v>86</v>
      </c>
      <c r="H2796" t="s">
        <v>96</v>
      </c>
      <c r="I2796">
        <v>2011</v>
      </c>
      <c r="J2796">
        <f t="shared" si="58"/>
        <v>0.33333333333333331</v>
      </c>
      <c r="K2796" t="s">
        <v>101</v>
      </c>
      <c r="N2796" t="s">
        <v>132</v>
      </c>
      <c r="O2796" t="s">
        <v>132</v>
      </c>
      <c r="P2796" t="s">
        <v>2515</v>
      </c>
      <c r="Q2796" s="1" t="s">
        <v>2276</v>
      </c>
      <c r="R2796" s="1" t="s">
        <v>669</v>
      </c>
      <c r="S2796" s="1" t="s">
        <v>168</v>
      </c>
      <c r="T2796" t="s">
        <v>421</v>
      </c>
      <c r="U2796" t="s">
        <v>421</v>
      </c>
      <c r="X2796" t="s">
        <v>161</v>
      </c>
      <c r="Y2796" t="s">
        <v>2272</v>
      </c>
      <c r="Z2796" t="s">
        <v>2272</v>
      </c>
      <c r="AA2796" t="s">
        <v>2272</v>
      </c>
      <c r="AB2796" t="s">
        <v>2272</v>
      </c>
      <c r="AC2796" t="s">
        <v>162</v>
      </c>
      <c r="AD2796" t="s">
        <v>2272</v>
      </c>
      <c r="AF2796" t="s">
        <v>49</v>
      </c>
      <c r="AI2796" t="s">
        <v>49</v>
      </c>
      <c r="AM2796" t="s">
        <v>1960</v>
      </c>
      <c r="AN2796" t="s">
        <v>171</v>
      </c>
    </row>
    <row r="2797" spans="1:40" x14ac:dyDescent="0.2">
      <c r="A2797" t="s">
        <v>1567</v>
      </c>
      <c r="B2797" t="s">
        <v>1568</v>
      </c>
      <c r="C2797">
        <v>2014</v>
      </c>
      <c r="D2797" t="s">
        <v>811</v>
      </c>
      <c r="F2797" t="s">
        <v>628</v>
      </c>
      <c r="G2797" s="1" t="s">
        <v>86</v>
      </c>
      <c r="H2797" t="s">
        <v>96</v>
      </c>
      <c r="I2797">
        <v>2011</v>
      </c>
      <c r="J2797">
        <f t="shared" si="58"/>
        <v>0.33333333333333331</v>
      </c>
      <c r="K2797" t="s">
        <v>101</v>
      </c>
      <c r="N2797" t="s">
        <v>132</v>
      </c>
      <c r="O2797" t="s">
        <v>132</v>
      </c>
      <c r="P2797" t="s">
        <v>169</v>
      </c>
      <c r="Q2797" s="1" t="s">
        <v>2276</v>
      </c>
      <c r="R2797" s="1" t="s">
        <v>669</v>
      </c>
      <c r="S2797" s="1" t="s">
        <v>168</v>
      </c>
      <c r="T2797" t="s">
        <v>421</v>
      </c>
      <c r="U2797" t="s">
        <v>421</v>
      </c>
      <c r="X2797" t="s">
        <v>161</v>
      </c>
      <c r="Y2797" t="s">
        <v>2272</v>
      </c>
      <c r="Z2797" t="s">
        <v>2272</v>
      </c>
      <c r="AA2797" t="s">
        <v>2272</v>
      </c>
      <c r="AB2797" t="s">
        <v>2272</v>
      </c>
      <c r="AC2797" t="s">
        <v>162</v>
      </c>
      <c r="AD2797" t="s">
        <v>2272</v>
      </c>
      <c r="AF2797" t="s">
        <v>49</v>
      </c>
      <c r="AI2797" t="s">
        <v>49</v>
      </c>
      <c r="AM2797" t="s">
        <v>1960</v>
      </c>
      <c r="AN2797" t="s">
        <v>171</v>
      </c>
    </row>
    <row r="2798" spans="1:40" x14ac:dyDescent="0.2">
      <c r="A2798" t="s">
        <v>1567</v>
      </c>
      <c r="B2798" t="s">
        <v>1568</v>
      </c>
      <c r="C2798">
        <v>2014</v>
      </c>
      <c r="D2798" t="s">
        <v>811</v>
      </c>
      <c r="F2798" t="s">
        <v>628</v>
      </c>
      <c r="G2798" s="1" t="s">
        <v>86</v>
      </c>
      <c r="H2798" t="s">
        <v>96</v>
      </c>
      <c r="I2798">
        <v>2011</v>
      </c>
      <c r="J2798">
        <f t="shared" si="58"/>
        <v>0.33333333333333331</v>
      </c>
      <c r="K2798" t="s">
        <v>101</v>
      </c>
      <c r="N2798" t="s">
        <v>123</v>
      </c>
      <c r="O2798" t="s">
        <v>123</v>
      </c>
      <c r="P2798" t="s">
        <v>406</v>
      </c>
      <c r="Q2798" s="1" t="s">
        <v>2281</v>
      </c>
      <c r="R2798" s="1" t="s">
        <v>2282</v>
      </c>
      <c r="S2798" s="1" t="s">
        <v>123</v>
      </c>
      <c r="T2798" t="s">
        <v>421</v>
      </c>
      <c r="U2798" t="s">
        <v>421</v>
      </c>
      <c r="X2798" t="s">
        <v>161</v>
      </c>
      <c r="Y2798" t="s">
        <v>2272</v>
      </c>
      <c r="Z2798" t="s">
        <v>2272</v>
      </c>
      <c r="AA2798" t="s">
        <v>2272</v>
      </c>
      <c r="AB2798" t="s">
        <v>2272</v>
      </c>
      <c r="AC2798" t="s">
        <v>162</v>
      </c>
      <c r="AD2798" t="s">
        <v>2272</v>
      </c>
      <c r="AF2798" t="s">
        <v>49</v>
      </c>
      <c r="AI2798" t="s">
        <v>49</v>
      </c>
      <c r="AM2798" t="s">
        <v>1960</v>
      </c>
      <c r="AN2798" t="s">
        <v>171</v>
      </c>
    </row>
    <row r="2799" spans="1:40" ht="15" customHeight="1" x14ac:dyDescent="0.2">
      <c r="A2799" t="s">
        <v>1567</v>
      </c>
      <c r="B2799" t="s">
        <v>1568</v>
      </c>
      <c r="C2799">
        <v>2014</v>
      </c>
      <c r="D2799" t="s">
        <v>811</v>
      </c>
      <c r="F2799" t="s">
        <v>628</v>
      </c>
      <c r="G2799" s="1" t="s">
        <v>86</v>
      </c>
      <c r="H2799" t="s">
        <v>96</v>
      </c>
      <c r="I2799">
        <v>2011</v>
      </c>
      <c r="J2799">
        <f t="shared" si="58"/>
        <v>0.33333333333333331</v>
      </c>
      <c r="K2799" t="s">
        <v>101</v>
      </c>
      <c r="N2799" t="s">
        <v>127</v>
      </c>
      <c r="O2799" t="s">
        <v>2514</v>
      </c>
      <c r="Q2799" s="1" t="s">
        <v>2351</v>
      </c>
      <c r="R2799" s="1" t="s">
        <v>2351</v>
      </c>
      <c r="S2799" s="1" t="s">
        <v>2351</v>
      </c>
      <c r="X2799" t="s">
        <v>211</v>
      </c>
      <c r="Y2799" t="s">
        <v>2279</v>
      </c>
      <c r="Z2799" t="s">
        <v>2280</v>
      </c>
      <c r="AA2799" t="s">
        <v>2358</v>
      </c>
      <c r="AB2799" t="s">
        <v>2290</v>
      </c>
      <c r="AC2799" t="s">
        <v>152</v>
      </c>
      <c r="AD2799" t="s">
        <v>2278</v>
      </c>
      <c r="AF2799" t="s">
        <v>49</v>
      </c>
      <c r="AI2799" t="s">
        <v>49</v>
      </c>
      <c r="AM2799" t="s">
        <v>1960</v>
      </c>
      <c r="AN2799" t="s">
        <v>155</v>
      </c>
    </row>
    <row r="2800" spans="1:40" x14ac:dyDescent="0.2">
      <c r="A2800" t="s">
        <v>1567</v>
      </c>
      <c r="B2800" t="s">
        <v>1568</v>
      </c>
      <c r="C2800">
        <v>2014</v>
      </c>
      <c r="D2800" t="s">
        <v>811</v>
      </c>
      <c r="F2800" t="s">
        <v>628</v>
      </c>
      <c r="G2800" s="1" t="s">
        <v>86</v>
      </c>
      <c r="H2800" t="s">
        <v>96</v>
      </c>
      <c r="I2800">
        <v>2011</v>
      </c>
      <c r="J2800">
        <f t="shared" si="58"/>
        <v>0.33333333333333331</v>
      </c>
      <c r="K2800" t="s">
        <v>101</v>
      </c>
      <c r="N2800" t="s">
        <v>127</v>
      </c>
      <c r="O2800" t="s">
        <v>2514</v>
      </c>
      <c r="Q2800" s="1" t="s">
        <v>2351</v>
      </c>
      <c r="R2800" s="1" t="s">
        <v>2351</v>
      </c>
      <c r="S2800" s="1" t="s">
        <v>2351</v>
      </c>
      <c r="X2800" t="s">
        <v>2516</v>
      </c>
      <c r="Y2800" t="s">
        <v>2279</v>
      </c>
      <c r="Z2800" t="s">
        <v>528</v>
      </c>
      <c r="AA2800" t="s">
        <v>2470</v>
      </c>
      <c r="AB2800" t="s">
        <v>2581</v>
      </c>
      <c r="AC2800" t="s">
        <v>152</v>
      </c>
      <c r="AD2800" t="s">
        <v>2278</v>
      </c>
      <c r="AF2800" t="s">
        <v>49</v>
      </c>
      <c r="AI2800" t="s">
        <v>49</v>
      </c>
      <c r="AM2800" t="s">
        <v>1960</v>
      </c>
      <c r="AN2800" t="s">
        <v>155</v>
      </c>
    </row>
    <row r="2801" spans="1:42" x14ac:dyDescent="0.2">
      <c r="A2801" t="s">
        <v>1567</v>
      </c>
      <c r="B2801" t="s">
        <v>1568</v>
      </c>
      <c r="C2801">
        <v>2014</v>
      </c>
      <c r="D2801" t="s">
        <v>811</v>
      </c>
      <c r="F2801" t="s">
        <v>628</v>
      </c>
      <c r="G2801" s="1" t="s">
        <v>86</v>
      </c>
      <c r="H2801" t="s">
        <v>96</v>
      </c>
      <c r="I2801">
        <v>2011</v>
      </c>
      <c r="J2801">
        <f t="shared" si="58"/>
        <v>0.33333333333333331</v>
      </c>
      <c r="K2801" t="s">
        <v>101</v>
      </c>
      <c r="N2801" t="s">
        <v>127</v>
      </c>
      <c r="O2801" t="s">
        <v>2514</v>
      </c>
      <c r="Q2801" s="1" t="s">
        <v>2351</v>
      </c>
      <c r="R2801" s="1" t="s">
        <v>2351</v>
      </c>
      <c r="S2801" s="1" t="s">
        <v>2351</v>
      </c>
      <c r="T2801" t="s">
        <v>421</v>
      </c>
      <c r="U2801" t="s">
        <v>421</v>
      </c>
      <c r="X2801" t="s">
        <v>161</v>
      </c>
      <c r="Y2801" t="s">
        <v>2272</v>
      </c>
      <c r="Z2801" t="s">
        <v>2272</v>
      </c>
      <c r="AA2801" t="s">
        <v>2272</v>
      </c>
      <c r="AB2801" t="s">
        <v>2272</v>
      </c>
      <c r="AC2801" t="s">
        <v>162</v>
      </c>
      <c r="AD2801" t="s">
        <v>2272</v>
      </c>
      <c r="AF2801" t="s">
        <v>49</v>
      </c>
      <c r="AI2801" t="s">
        <v>49</v>
      </c>
      <c r="AM2801" t="s">
        <v>1960</v>
      </c>
      <c r="AN2801" t="s">
        <v>155</v>
      </c>
    </row>
    <row r="2802" spans="1:42" x14ac:dyDescent="0.2">
      <c r="A2802" t="s">
        <v>1567</v>
      </c>
      <c r="B2802" t="s">
        <v>1568</v>
      </c>
      <c r="C2802">
        <v>2014</v>
      </c>
      <c r="D2802" t="s">
        <v>811</v>
      </c>
      <c r="F2802" t="s">
        <v>628</v>
      </c>
      <c r="G2802" s="1" t="s">
        <v>86</v>
      </c>
      <c r="H2802" t="s">
        <v>96</v>
      </c>
      <c r="I2802">
        <v>2011</v>
      </c>
      <c r="J2802">
        <f t="shared" si="58"/>
        <v>0.33333333333333331</v>
      </c>
      <c r="K2802" t="s">
        <v>101</v>
      </c>
      <c r="N2802" t="s">
        <v>132</v>
      </c>
      <c r="O2802" t="s">
        <v>132</v>
      </c>
      <c r="P2802" t="s">
        <v>2515</v>
      </c>
      <c r="Q2802" s="1" t="s">
        <v>2276</v>
      </c>
      <c r="R2802" s="1" t="s">
        <v>669</v>
      </c>
      <c r="S2802" s="1" t="s">
        <v>168</v>
      </c>
      <c r="T2802" t="s">
        <v>421</v>
      </c>
      <c r="U2802" t="s">
        <v>421</v>
      </c>
      <c r="X2802" t="s">
        <v>161</v>
      </c>
      <c r="Y2802" t="s">
        <v>2272</v>
      </c>
      <c r="Z2802" t="s">
        <v>2272</v>
      </c>
      <c r="AA2802" t="s">
        <v>2272</v>
      </c>
      <c r="AB2802" t="s">
        <v>2272</v>
      </c>
      <c r="AC2802" t="s">
        <v>162</v>
      </c>
      <c r="AD2802" t="s">
        <v>2272</v>
      </c>
      <c r="AF2802" t="s">
        <v>49</v>
      </c>
      <c r="AI2802" t="s">
        <v>49</v>
      </c>
      <c r="AM2802" t="s">
        <v>1960</v>
      </c>
      <c r="AN2802" t="s">
        <v>155</v>
      </c>
    </row>
    <row r="2803" spans="1:42" x14ac:dyDescent="0.2">
      <c r="A2803" t="s">
        <v>1567</v>
      </c>
      <c r="B2803" t="s">
        <v>1568</v>
      </c>
      <c r="C2803">
        <v>2014</v>
      </c>
      <c r="D2803" t="s">
        <v>811</v>
      </c>
      <c r="F2803" t="s">
        <v>628</v>
      </c>
      <c r="G2803" s="1" t="s">
        <v>86</v>
      </c>
      <c r="H2803" t="s">
        <v>96</v>
      </c>
      <c r="I2803">
        <v>2011</v>
      </c>
      <c r="J2803">
        <f t="shared" ref="J2803:J2810" si="59">4/12</f>
        <v>0.33333333333333331</v>
      </c>
      <c r="K2803" t="s">
        <v>101</v>
      </c>
      <c r="N2803" t="s">
        <v>132</v>
      </c>
      <c r="O2803" t="s">
        <v>132</v>
      </c>
      <c r="P2803" t="s">
        <v>169</v>
      </c>
      <c r="Q2803" s="1" t="s">
        <v>2276</v>
      </c>
      <c r="R2803" s="1" t="s">
        <v>669</v>
      </c>
      <c r="S2803" s="1" t="s">
        <v>168</v>
      </c>
      <c r="T2803" t="s">
        <v>421</v>
      </c>
      <c r="U2803" t="s">
        <v>421</v>
      </c>
      <c r="X2803" t="s">
        <v>161</v>
      </c>
      <c r="Y2803" t="s">
        <v>2272</v>
      </c>
      <c r="Z2803" t="s">
        <v>2272</v>
      </c>
      <c r="AA2803" t="s">
        <v>2272</v>
      </c>
      <c r="AB2803" t="s">
        <v>2272</v>
      </c>
      <c r="AC2803" t="s">
        <v>162</v>
      </c>
      <c r="AD2803" t="s">
        <v>2272</v>
      </c>
      <c r="AF2803" t="s">
        <v>49</v>
      </c>
      <c r="AI2803" t="s">
        <v>49</v>
      </c>
      <c r="AM2803" t="s">
        <v>1960</v>
      </c>
      <c r="AN2803" t="s">
        <v>155</v>
      </c>
    </row>
    <row r="2804" spans="1:42" x14ac:dyDescent="0.2">
      <c r="A2804" t="s">
        <v>1567</v>
      </c>
      <c r="B2804" t="s">
        <v>1568</v>
      </c>
      <c r="C2804">
        <v>2014</v>
      </c>
      <c r="D2804" t="s">
        <v>811</v>
      </c>
      <c r="F2804" t="s">
        <v>628</v>
      </c>
      <c r="G2804" s="1" t="s">
        <v>86</v>
      </c>
      <c r="H2804" t="s">
        <v>96</v>
      </c>
      <c r="I2804">
        <v>2011</v>
      </c>
      <c r="J2804">
        <f t="shared" si="59"/>
        <v>0.33333333333333331</v>
      </c>
      <c r="K2804" t="s">
        <v>101</v>
      </c>
      <c r="N2804" t="s">
        <v>123</v>
      </c>
      <c r="O2804" t="s">
        <v>123</v>
      </c>
      <c r="P2804" t="s">
        <v>406</v>
      </c>
      <c r="Q2804" s="1" t="s">
        <v>2281</v>
      </c>
      <c r="R2804" s="1" t="s">
        <v>2282</v>
      </c>
      <c r="S2804" s="1" t="s">
        <v>123</v>
      </c>
      <c r="T2804" t="s">
        <v>421</v>
      </c>
      <c r="U2804" t="s">
        <v>421</v>
      </c>
      <c r="X2804" t="s">
        <v>161</v>
      </c>
      <c r="Y2804" t="s">
        <v>2272</v>
      </c>
      <c r="Z2804" t="s">
        <v>2272</v>
      </c>
      <c r="AA2804" t="s">
        <v>2272</v>
      </c>
      <c r="AB2804" t="s">
        <v>2272</v>
      </c>
      <c r="AC2804" t="s">
        <v>162</v>
      </c>
      <c r="AD2804" t="s">
        <v>2272</v>
      </c>
      <c r="AF2804" t="s">
        <v>49</v>
      </c>
      <c r="AI2804" t="s">
        <v>49</v>
      </c>
      <c r="AM2804" t="s">
        <v>1960</v>
      </c>
      <c r="AN2804" t="s">
        <v>155</v>
      </c>
    </row>
    <row r="2805" spans="1:42" ht="15" customHeight="1" x14ac:dyDescent="0.2">
      <c r="A2805" t="s">
        <v>1567</v>
      </c>
      <c r="B2805" t="s">
        <v>1568</v>
      </c>
      <c r="C2805">
        <v>2014</v>
      </c>
      <c r="D2805" t="s">
        <v>811</v>
      </c>
      <c r="F2805" t="s">
        <v>628</v>
      </c>
      <c r="G2805" s="1" t="s">
        <v>86</v>
      </c>
      <c r="H2805" t="s">
        <v>96</v>
      </c>
      <c r="I2805">
        <v>2011</v>
      </c>
      <c r="J2805">
        <f t="shared" si="59"/>
        <v>0.33333333333333331</v>
      </c>
      <c r="K2805" t="s">
        <v>101</v>
      </c>
      <c r="N2805" t="s">
        <v>127</v>
      </c>
      <c r="O2805" t="s">
        <v>2514</v>
      </c>
      <c r="Q2805" s="1" t="s">
        <v>2351</v>
      </c>
      <c r="R2805" s="1" t="s">
        <v>2351</v>
      </c>
      <c r="S2805" s="1" t="s">
        <v>2351</v>
      </c>
      <c r="X2805" t="s">
        <v>211</v>
      </c>
      <c r="Y2805" t="s">
        <v>2279</v>
      </c>
      <c r="Z2805" t="s">
        <v>2280</v>
      </c>
      <c r="AA2805" t="s">
        <v>2358</v>
      </c>
      <c r="AB2805" t="s">
        <v>2290</v>
      </c>
      <c r="AC2805" t="s">
        <v>152</v>
      </c>
      <c r="AD2805" t="s">
        <v>2278</v>
      </c>
      <c r="AF2805" t="s">
        <v>49</v>
      </c>
      <c r="AI2805" t="s">
        <v>49</v>
      </c>
      <c r="AM2805" t="s">
        <v>1960</v>
      </c>
      <c r="AN2805" t="s">
        <v>191</v>
      </c>
    </row>
    <row r="2806" spans="1:42" x14ac:dyDescent="0.2">
      <c r="A2806" t="s">
        <v>1567</v>
      </c>
      <c r="B2806" t="s">
        <v>1568</v>
      </c>
      <c r="C2806">
        <v>2014</v>
      </c>
      <c r="D2806" t="s">
        <v>811</v>
      </c>
      <c r="F2806" t="s">
        <v>628</v>
      </c>
      <c r="G2806" s="1" t="s">
        <v>86</v>
      </c>
      <c r="H2806" t="s">
        <v>96</v>
      </c>
      <c r="I2806">
        <v>2011</v>
      </c>
      <c r="J2806">
        <f t="shared" si="59"/>
        <v>0.33333333333333331</v>
      </c>
      <c r="K2806" t="s">
        <v>101</v>
      </c>
      <c r="N2806" t="s">
        <v>127</v>
      </c>
      <c r="O2806" t="s">
        <v>2514</v>
      </c>
      <c r="Q2806" s="1" t="s">
        <v>2351</v>
      </c>
      <c r="R2806" s="1" t="s">
        <v>2351</v>
      </c>
      <c r="S2806" s="1" t="s">
        <v>2351</v>
      </c>
      <c r="X2806" t="s">
        <v>2516</v>
      </c>
      <c r="Y2806" t="s">
        <v>2279</v>
      </c>
      <c r="Z2806" t="s">
        <v>528</v>
      </c>
      <c r="AA2806" t="s">
        <v>2470</v>
      </c>
      <c r="AB2806" t="s">
        <v>2581</v>
      </c>
      <c r="AC2806" t="s">
        <v>152</v>
      </c>
      <c r="AD2806" t="s">
        <v>2278</v>
      </c>
      <c r="AF2806" t="s">
        <v>49</v>
      </c>
      <c r="AI2806" t="s">
        <v>49</v>
      </c>
      <c r="AM2806" t="s">
        <v>1960</v>
      </c>
      <c r="AN2806" t="s">
        <v>191</v>
      </c>
    </row>
    <row r="2807" spans="1:42" x14ac:dyDescent="0.2">
      <c r="A2807" t="s">
        <v>1567</v>
      </c>
      <c r="B2807" t="s">
        <v>1568</v>
      </c>
      <c r="C2807">
        <v>2014</v>
      </c>
      <c r="D2807" t="s">
        <v>811</v>
      </c>
      <c r="F2807" t="s">
        <v>628</v>
      </c>
      <c r="G2807" s="1" t="s">
        <v>86</v>
      </c>
      <c r="H2807" t="s">
        <v>96</v>
      </c>
      <c r="I2807">
        <v>2011</v>
      </c>
      <c r="J2807">
        <f t="shared" si="59"/>
        <v>0.33333333333333331</v>
      </c>
      <c r="K2807" t="s">
        <v>101</v>
      </c>
      <c r="N2807" t="s">
        <v>127</v>
      </c>
      <c r="O2807" t="s">
        <v>2514</v>
      </c>
      <c r="Q2807" s="1" t="s">
        <v>2351</v>
      </c>
      <c r="R2807" s="1" t="s">
        <v>2351</v>
      </c>
      <c r="S2807" s="1" t="s">
        <v>2351</v>
      </c>
      <c r="T2807" t="s">
        <v>421</v>
      </c>
      <c r="U2807" t="s">
        <v>421</v>
      </c>
      <c r="X2807" t="s">
        <v>161</v>
      </c>
      <c r="Y2807" t="s">
        <v>2272</v>
      </c>
      <c r="Z2807" t="s">
        <v>2272</v>
      </c>
      <c r="AA2807" t="s">
        <v>2272</v>
      </c>
      <c r="AB2807" t="s">
        <v>2272</v>
      </c>
      <c r="AC2807" t="s">
        <v>162</v>
      </c>
      <c r="AD2807" t="s">
        <v>2272</v>
      </c>
      <c r="AF2807" t="s">
        <v>49</v>
      </c>
      <c r="AI2807" t="s">
        <v>49</v>
      </c>
      <c r="AM2807" t="s">
        <v>1960</v>
      </c>
      <c r="AN2807" t="s">
        <v>191</v>
      </c>
    </row>
    <row r="2808" spans="1:42" x14ac:dyDescent="0.2">
      <c r="A2808" t="s">
        <v>1567</v>
      </c>
      <c r="B2808" t="s">
        <v>1568</v>
      </c>
      <c r="C2808">
        <v>2014</v>
      </c>
      <c r="D2808" t="s">
        <v>811</v>
      </c>
      <c r="F2808" t="s">
        <v>628</v>
      </c>
      <c r="G2808" s="1" t="s">
        <v>86</v>
      </c>
      <c r="H2808" t="s">
        <v>96</v>
      </c>
      <c r="I2808">
        <v>2011</v>
      </c>
      <c r="J2808">
        <f t="shared" si="59"/>
        <v>0.33333333333333331</v>
      </c>
      <c r="K2808" t="s">
        <v>101</v>
      </c>
      <c r="N2808" t="s">
        <v>132</v>
      </c>
      <c r="O2808" t="s">
        <v>132</v>
      </c>
      <c r="P2808" t="s">
        <v>2515</v>
      </c>
      <c r="Q2808" s="1" t="s">
        <v>2276</v>
      </c>
      <c r="R2808" s="1" t="s">
        <v>669</v>
      </c>
      <c r="S2808" s="1" t="s">
        <v>168</v>
      </c>
      <c r="T2808" t="s">
        <v>421</v>
      </c>
      <c r="U2808" t="s">
        <v>421</v>
      </c>
      <c r="X2808" t="s">
        <v>161</v>
      </c>
      <c r="Y2808" t="s">
        <v>2272</v>
      </c>
      <c r="Z2808" t="s">
        <v>2272</v>
      </c>
      <c r="AA2808" t="s">
        <v>2272</v>
      </c>
      <c r="AB2808" t="s">
        <v>2272</v>
      </c>
      <c r="AC2808" t="s">
        <v>162</v>
      </c>
      <c r="AD2808" t="s">
        <v>2272</v>
      </c>
      <c r="AF2808" t="s">
        <v>49</v>
      </c>
      <c r="AI2808" t="s">
        <v>49</v>
      </c>
      <c r="AM2808" t="s">
        <v>1960</v>
      </c>
      <c r="AN2808" t="s">
        <v>191</v>
      </c>
    </row>
    <row r="2809" spans="1:42" x14ac:dyDescent="0.2">
      <c r="A2809" t="s">
        <v>1567</v>
      </c>
      <c r="B2809" t="s">
        <v>1568</v>
      </c>
      <c r="C2809">
        <v>2014</v>
      </c>
      <c r="D2809" t="s">
        <v>811</v>
      </c>
      <c r="F2809" t="s">
        <v>628</v>
      </c>
      <c r="G2809" s="1" t="s">
        <v>86</v>
      </c>
      <c r="H2809" t="s">
        <v>96</v>
      </c>
      <c r="I2809">
        <v>2011</v>
      </c>
      <c r="J2809">
        <f t="shared" si="59"/>
        <v>0.33333333333333331</v>
      </c>
      <c r="K2809" t="s">
        <v>101</v>
      </c>
      <c r="N2809" t="s">
        <v>132</v>
      </c>
      <c r="O2809" t="s">
        <v>132</v>
      </c>
      <c r="P2809" t="s">
        <v>169</v>
      </c>
      <c r="Q2809" s="1" t="s">
        <v>2276</v>
      </c>
      <c r="R2809" s="1" t="s">
        <v>669</v>
      </c>
      <c r="S2809" s="1" t="s">
        <v>168</v>
      </c>
      <c r="T2809" t="s">
        <v>421</v>
      </c>
      <c r="U2809" t="s">
        <v>421</v>
      </c>
      <c r="X2809" t="s">
        <v>161</v>
      </c>
      <c r="Y2809" t="s">
        <v>2272</v>
      </c>
      <c r="Z2809" t="s">
        <v>2272</v>
      </c>
      <c r="AA2809" t="s">
        <v>2272</v>
      </c>
      <c r="AB2809" t="s">
        <v>2272</v>
      </c>
      <c r="AC2809" t="s">
        <v>162</v>
      </c>
      <c r="AD2809" t="s">
        <v>2272</v>
      </c>
      <c r="AF2809" t="s">
        <v>49</v>
      </c>
      <c r="AI2809" t="s">
        <v>49</v>
      </c>
      <c r="AM2809" t="s">
        <v>1960</v>
      </c>
      <c r="AN2809" t="s">
        <v>191</v>
      </c>
    </row>
    <row r="2810" spans="1:42" x14ac:dyDescent="0.2">
      <c r="A2810" t="s">
        <v>1567</v>
      </c>
      <c r="B2810" t="s">
        <v>1568</v>
      </c>
      <c r="C2810">
        <v>2014</v>
      </c>
      <c r="D2810" t="s">
        <v>811</v>
      </c>
      <c r="F2810" t="s">
        <v>628</v>
      </c>
      <c r="G2810" s="1" t="s">
        <v>86</v>
      </c>
      <c r="H2810" t="s">
        <v>96</v>
      </c>
      <c r="I2810">
        <v>2011</v>
      </c>
      <c r="J2810">
        <f t="shared" si="59"/>
        <v>0.33333333333333331</v>
      </c>
      <c r="K2810" t="s">
        <v>101</v>
      </c>
      <c r="N2810" t="s">
        <v>123</v>
      </c>
      <c r="O2810" t="s">
        <v>123</v>
      </c>
      <c r="P2810" t="s">
        <v>406</v>
      </c>
      <c r="Q2810" s="1" t="s">
        <v>2281</v>
      </c>
      <c r="R2810" s="1" t="s">
        <v>2282</v>
      </c>
      <c r="S2810" s="1" t="s">
        <v>123</v>
      </c>
      <c r="T2810" t="s">
        <v>421</v>
      </c>
      <c r="U2810" t="s">
        <v>421</v>
      </c>
      <c r="X2810" t="s">
        <v>161</v>
      </c>
      <c r="Y2810" t="s">
        <v>2272</v>
      </c>
      <c r="Z2810" t="s">
        <v>2272</v>
      </c>
      <c r="AA2810" t="s">
        <v>2272</v>
      </c>
      <c r="AB2810" t="s">
        <v>2272</v>
      </c>
      <c r="AC2810" t="s">
        <v>162</v>
      </c>
      <c r="AD2810" t="s">
        <v>2272</v>
      </c>
      <c r="AF2810" t="s">
        <v>49</v>
      </c>
      <c r="AI2810" t="s">
        <v>49</v>
      </c>
      <c r="AM2810" t="s">
        <v>1960</v>
      </c>
      <c r="AN2810" t="s">
        <v>191</v>
      </c>
    </row>
    <row r="2811" spans="1:42" x14ac:dyDescent="0.2">
      <c r="A2811" t="s">
        <v>1569</v>
      </c>
      <c r="B2811" t="s">
        <v>690</v>
      </c>
      <c r="C2811">
        <v>2014</v>
      </c>
      <c r="D2811" t="s">
        <v>44</v>
      </c>
      <c r="F2811" t="s">
        <v>83</v>
      </c>
      <c r="G2811" s="1" t="s">
        <v>85</v>
      </c>
      <c r="H2811" t="s">
        <v>96</v>
      </c>
      <c r="K2811" t="s">
        <v>101</v>
      </c>
      <c r="M2811">
        <v>0.25</v>
      </c>
      <c r="N2811" t="s">
        <v>121</v>
      </c>
      <c r="O2811" t="s">
        <v>121</v>
      </c>
      <c r="P2811" t="s">
        <v>748</v>
      </c>
      <c r="Q2811" s="1" t="s">
        <v>2292</v>
      </c>
      <c r="R2811" s="1" t="s">
        <v>264</v>
      </c>
      <c r="S2811" s="1" t="s">
        <v>264</v>
      </c>
      <c r="X2811" t="s">
        <v>211</v>
      </c>
      <c r="Y2811" t="s">
        <v>2279</v>
      </c>
      <c r="Z2811" t="s">
        <v>2280</v>
      </c>
      <c r="AA2811" t="s">
        <v>2358</v>
      </c>
      <c r="AB2811" t="s">
        <v>2290</v>
      </c>
      <c r="AC2811" t="s">
        <v>152</v>
      </c>
      <c r="AD2811" t="s">
        <v>2278</v>
      </c>
      <c r="AG2811" t="s">
        <v>49</v>
      </c>
      <c r="AK2811" t="s">
        <v>49</v>
      </c>
      <c r="AM2811" t="s">
        <v>1570</v>
      </c>
      <c r="AN2811" t="s">
        <v>166</v>
      </c>
      <c r="AP2811" t="s">
        <v>49</v>
      </c>
    </row>
    <row r="2812" spans="1:42" x14ac:dyDescent="0.2">
      <c r="A2812" t="s">
        <v>1569</v>
      </c>
      <c r="B2812" t="s">
        <v>690</v>
      </c>
      <c r="C2812">
        <v>2014</v>
      </c>
      <c r="D2812" t="s">
        <v>44</v>
      </c>
      <c r="F2812" t="s">
        <v>83</v>
      </c>
      <c r="G2812" s="1" t="s">
        <v>85</v>
      </c>
      <c r="H2812" t="s">
        <v>96</v>
      </c>
      <c r="K2812" t="s">
        <v>101</v>
      </c>
      <c r="M2812">
        <v>0.25</v>
      </c>
      <c r="N2812" t="s">
        <v>121</v>
      </c>
      <c r="O2812" t="s">
        <v>121</v>
      </c>
      <c r="P2812" t="s">
        <v>748</v>
      </c>
      <c r="Q2812" s="1" t="s">
        <v>2292</v>
      </c>
      <c r="R2812" s="1" t="s">
        <v>264</v>
      </c>
      <c r="S2812" s="1" t="s">
        <v>264</v>
      </c>
      <c r="X2812" t="s">
        <v>211</v>
      </c>
      <c r="Y2812" t="s">
        <v>2279</v>
      </c>
      <c r="Z2812" t="s">
        <v>2280</v>
      </c>
      <c r="AA2812" t="s">
        <v>2358</v>
      </c>
      <c r="AB2812" t="s">
        <v>2290</v>
      </c>
      <c r="AC2812" t="s">
        <v>152</v>
      </c>
      <c r="AD2812" t="s">
        <v>2278</v>
      </c>
      <c r="AG2812" t="s">
        <v>49</v>
      </c>
      <c r="AK2812" t="s">
        <v>49</v>
      </c>
      <c r="AM2812" t="s">
        <v>1570</v>
      </c>
      <c r="AN2812" t="s">
        <v>109</v>
      </c>
      <c r="AO2812" t="s">
        <v>1571</v>
      </c>
      <c r="AP2812" t="s">
        <v>157</v>
      </c>
    </row>
    <row r="2813" spans="1:42" x14ac:dyDescent="0.2">
      <c r="A2813" t="s">
        <v>1569</v>
      </c>
      <c r="B2813" t="s">
        <v>690</v>
      </c>
      <c r="C2813">
        <v>2014</v>
      </c>
      <c r="D2813" t="s">
        <v>44</v>
      </c>
      <c r="F2813" t="s">
        <v>83</v>
      </c>
      <c r="G2813" s="1" t="s">
        <v>85</v>
      </c>
      <c r="H2813" t="s">
        <v>96</v>
      </c>
      <c r="K2813" t="s">
        <v>101</v>
      </c>
      <c r="M2813">
        <v>0.25</v>
      </c>
      <c r="N2813" t="s">
        <v>121</v>
      </c>
      <c r="O2813" t="s">
        <v>121</v>
      </c>
      <c r="P2813" t="s">
        <v>748</v>
      </c>
      <c r="Q2813" s="1" t="s">
        <v>2292</v>
      </c>
      <c r="R2813" s="1" t="s">
        <v>264</v>
      </c>
      <c r="S2813" s="1" t="s">
        <v>264</v>
      </c>
      <c r="X2813" t="s">
        <v>211</v>
      </c>
      <c r="Y2813" t="s">
        <v>2279</v>
      </c>
      <c r="Z2813" t="s">
        <v>2280</v>
      </c>
      <c r="AA2813" t="s">
        <v>2358</v>
      </c>
      <c r="AB2813" t="s">
        <v>2290</v>
      </c>
      <c r="AC2813" t="s">
        <v>152</v>
      </c>
      <c r="AD2813" t="s">
        <v>2278</v>
      </c>
      <c r="AG2813" t="s">
        <v>49</v>
      </c>
      <c r="AK2813" t="s">
        <v>49</v>
      </c>
      <c r="AM2813" t="s">
        <v>1570</v>
      </c>
      <c r="AN2813" t="s">
        <v>109</v>
      </c>
      <c r="AO2813" t="s">
        <v>1572</v>
      </c>
      <c r="AP2813" t="s">
        <v>49</v>
      </c>
    </row>
    <row r="2814" spans="1:42" x14ac:dyDescent="0.2">
      <c r="A2814" t="s">
        <v>1569</v>
      </c>
      <c r="B2814" t="s">
        <v>690</v>
      </c>
      <c r="C2814">
        <v>2014</v>
      </c>
      <c r="D2814" t="s">
        <v>811</v>
      </c>
      <c r="F2814" t="s">
        <v>83</v>
      </c>
      <c r="G2814" s="1" t="s">
        <v>85</v>
      </c>
      <c r="H2814" t="s">
        <v>96</v>
      </c>
      <c r="I2814" t="s">
        <v>1093</v>
      </c>
      <c r="J2814">
        <v>0.25</v>
      </c>
      <c r="K2814" t="s">
        <v>109</v>
      </c>
      <c r="M2814">
        <v>1</v>
      </c>
      <c r="N2814" t="s">
        <v>121</v>
      </c>
      <c r="O2814" t="s">
        <v>121</v>
      </c>
      <c r="P2814" t="s">
        <v>748</v>
      </c>
      <c r="Q2814" s="1" t="s">
        <v>2292</v>
      </c>
      <c r="R2814" s="1" t="s">
        <v>264</v>
      </c>
      <c r="S2814" s="1" t="s">
        <v>264</v>
      </c>
      <c r="X2814" t="s">
        <v>211</v>
      </c>
      <c r="Y2814" t="s">
        <v>2279</v>
      </c>
      <c r="Z2814" t="s">
        <v>2280</v>
      </c>
      <c r="AA2814" t="s">
        <v>2358</v>
      </c>
      <c r="AB2814" t="s">
        <v>2290</v>
      </c>
      <c r="AC2814" t="s">
        <v>152</v>
      </c>
      <c r="AD2814" t="s">
        <v>2278</v>
      </c>
      <c r="AG2814" t="s">
        <v>49</v>
      </c>
      <c r="AK2814" t="s">
        <v>49</v>
      </c>
      <c r="AM2814" t="s">
        <v>1570</v>
      </c>
      <c r="AN2814" t="s">
        <v>109</v>
      </c>
      <c r="AO2814" t="s">
        <v>1573</v>
      </c>
      <c r="AP2814" t="s">
        <v>51</v>
      </c>
    </row>
    <row r="2815" spans="1:42" x14ac:dyDescent="0.2">
      <c r="A2815" t="s">
        <v>1569</v>
      </c>
      <c r="B2815" t="s">
        <v>690</v>
      </c>
      <c r="C2815">
        <v>2014</v>
      </c>
      <c r="D2815" t="s">
        <v>811</v>
      </c>
      <c r="F2815" t="s">
        <v>83</v>
      </c>
      <c r="G2815" s="1" t="s">
        <v>85</v>
      </c>
      <c r="H2815" t="s">
        <v>96</v>
      </c>
      <c r="I2815" t="s">
        <v>1093</v>
      </c>
      <c r="J2815">
        <v>0.25</v>
      </c>
      <c r="K2815" t="s">
        <v>109</v>
      </c>
      <c r="M2815">
        <v>1</v>
      </c>
      <c r="N2815" t="s">
        <v>121</v>
      </c>
      <c r="O2815" t="s">
        <v>121</v>
      </c>
      <c r="P2815" t="s">
        <v>748</v>
      </c>
      <c r="Q2815" s="1" t="s">
        <v>2292</v>
      </c>
      <c r="R2815" s="1" t="s">
        <v>264</v>
      </c>
      <c r="S2815" s="1" t="s">
        <v>264</v>
      </c>
      <c r="X2815" t="s">
        <v>211</v>
      </c>
      <c r="Y2815" t="s">
        <v>2279</v>
      </c>
      <c r="Z2815" t="s">
        <v>2280</v>
      </c>
      <c r="AA2815" t="s">
        <v>2358</v>
      </c>
      <c r="AB2815" t="s">
        <v>2290</v>
      </c>
      <c r="AC2815" t="s">
        <v>152</v>
      </c>
      <c r="AD2815" t="s">
        <v>2278</v>
      </c>
      <c r="AG2815" t="s">
        <v>49</v>
      </c>
      <c r="AK2815" t="s">
        <v>49</v>
      </c>
      <c r="AM2815" t="s">
        <v>1570</v>
      </c>
      <c r="AN2815" t="s">
        <v>109</v>
      </c>
      <c r="AO2815" t="s">
        <v>1574</v>
      </c>
      <c r="AP2815" t="s">
        <v>51</v>
      </c>
    </row>
    <row r="2816" spans="1:42" x14ac:dyDescent="0.2">
      <c r="A2816" t="s">
        <v>1569</v>
      </c>
      <c r="B2816" t="s">
        <v>690</v>
      </c>
      <c r="C2816">
        <v>2014</v>
      </c>
      <c r="D2816" t="s">
        <v>811</v>
      </c>
      <c r="F2816" t="s">
        <v>83</v>
      </c>
      <c r="G2816" s="1" t="s">
        <v>85</v>
      </c>
      <c r="H2816" t="s">
        <v>96</v>
      </c>
      <c r="I2816" t="s">
        <v>1093</v>
      </c>
      <c r="J2816">
        <v>0.25</v>
      </c>
      <c r="K2816" t="s">
        <v>109</v>
      </c>
      <c r="M2816">
        <v>1</v>
      </c>
      <c r="N2816" t="s">
        <v>121</v>
      </c>
      <c r="O2816" t="s">
        <v>121</v>
      </c>
      <c r="P2816" t="s">
        <v>748</v>
      </c>
      <c r="Q2816" s="1" t="s">
        <v>2292</v>
      </c>
      <c r="R2816" s="1" t="s">
        <v>264</v>
      </c>
      <c r="S2816" s="1" t="s">
        <v>264</v>
      </c>
      <c r="X2816" t="s">
        <v>211</v>
      </c>
      <c r="Y2816" t="s">
        <v>2279</v>
      </c>
      <c r="Z2816" t="s">
        <v>2280</v>
      </c>
      <c r="AA2816" t="s">
        <v>2358</v>
      </c>
      <c r="AB2816" t="s">
        <v>2290</v>
      </c>
      <c r="AC2816" t="s">
        <v>152</v>
      </c>
      <c r="AD2816" t="s">
        <v>2278</v>
      </c>
      <c r="AG2816" t="s">
        <v>49</v>
      </c>
      <c r="AK2816" t="s">
        <v>49</v>
      </c>
      <c r="AM2816" t="s">
        <v>1570</v>
      </c>
      <c r="AN2816" t="s">
        <v>109</v>
      </c>
      <c r="AO2816" t="s">
        <v>1575</v>
      </c>
      <c r="AP2816" t="s">
        <v>51</v>
      </c>
    </row>
    <row r="2817" spans="1:45" x14ac:dyDescent="0.2">
      <c r="A2817" t="s">
        <v>1569</v>
      </c>
      <c r="B2817" t="s">
        <v>690</v>
      </c>
      <c r="C2817">
        <v>2014</v>
      </c>
      <c r="D2817" t="s">
        <v>811</v>
      </c>
      <c r="F2817" t="s">
        <v>83</v>
      </c>
      <c r="G2817" s="1" t="s">
        <v>85</v>
      </c>
      <c r="H2817" t="s">
        <v>96</v>
      </c>
      <c r="I2817" t="s">
        <v>1093</v>
      </c>
      <c r="J2817">
        <v>0.33</v>
      </c>
      <c r="K2817" t="s">
        <v>104</v>
      </c>
      <c r="M2817">
        <v>0.25</v>
      </c>
      <c r="N2817" t="s">
        <v>121</v>
      </c>
      <c r="O2817" t="s">
        <v>121</v>
      </c>
      <c r="P2817" t="s">
        <v>748</v>
      </c>
      <c r="Q2817" s="1" t="s">
        <v>2292</v>
      </c>
      <c r="R2817" s="1" t="s">
        <v>264</v>
      </c>
      <c r="S2817" s="1" t="s">
        <v>264</v>
      </c>
      <c r="X2817" t="s">
        <v>211</v>
      </c>
      <c r="Y2817" t="s">
        <v>2279</v>
      </c>
      <c r="Z2817" t="s">
        <v>2280</v>
      </c>
      <c r="AA2817" t="s">
        <v>2358</v>
      </c>
      <c r="AB2817" t="s">
        <v>2290</v>
      </c>
      <c r="AC2817" t="s">
        <v>152</v>
      </c>
      <c r="AD2817" t="s">
        <v>2278</v>
      </c>
      <c r="AF2817" t="s">
        <v>49</v>
      </c>
      <c r="AK2817" t="s">
        <v>49</v>
      </c>
      <c r="AM2817" t="s">
        <v>1576</v>
      </c>
      <c r="AN2817" t="s">
        <v>166</v>
      </c>
    </row>
    <row r="2818" spans="1:45" x14ac:dyDescent="0.2">
      <c r="A2818" t="s">
        <v>1577</v>
      </c>
      <c r="B2818" t="s">
        <v>1578</v>
      </c>
      <c r="C2818">
        <v>2014</v>
      </c>
      <c r="D2818" t="s">
        <v>811</v>
      </c>
      <c r="F2818" t="s">
        <v>1579</v>
      </c>
      <c r="G2818" s="1" t="s">
        <v>86</v>
      </c>
      <c r="H2818" t="s">
        <v>96</v>
      </c>
      <c r="I2818">
        <v>2009</v>
      </c>
      <c r="J2818">
        <f t="shared" ref="J2818:J2823" si="60">15/12</f>
        <v>1.25</v>
      </c>
      <c r="K2818" t="s">
        <v>42</v>
      </c>
      <c r="L2818">
        <v>25</v>
      </c>
      <c r="N2818" t="s">
        <v>126</v>
      </c>
      <c r="O2818" t="s">
        <v>126</v>
      </c>
      <c r="P2818" t="s">
        <v>2571</v>
      </c>
      <c r="Q2818" s="1" t="s">
        <v>2281</v>
      </c>
      <c r="R2818" s="1" t="s">
        <v>2282</v>
      </c>
      <c r="S2818" s="1" t="s">
        <v>126</v>
      </c>
      <c r="X2818" t="s">
        <v>211</v>
      </c>
      <c r="Y2818" t="s">
        <v>2279</v>
      </c>
      <c r="Z2818" t="s">
        <v>2280</v>
      </c>
      <c r="AA2818" t="s">
        <v>2358</v>
      </c>
      <c r="AB2818" t="s">
        <v>2290</v>
      </c>
      <c r="AC2818" t="s">
        <v>152</v>
      </c>
      <c r="AD2818" t="s">
        <v>2278</v>
      </c>
      <c r="AF2818" t="s">
        <v>49</v>
      </c>
      <c r="AI2818" t="s">
        <v>49</v>
      </c>
      <c r="AM2818" t="s">
        <v>1960</v>
      </c>
      <c r="AN2818" t="s">
        <v>166</v>
      </c>
    </row>
    <row r="2819" spans="1:45" x14ac:dyDescent="0.2">
      <c r="A2819" t="s">
        <v>1577</v>
      </c>
      <c r="B2819" t="s">
        <v>1578</v>
      </c>
      <c r="C2819">
        <v>2014</v>
      </c>
      <c r="D2819" t="s">
        <v>811</v>
      </c>
      <c r="F2819" t="s">
        <v>1579</v>
      </c>
      <c r="G2819" s="1" t="s">
        <v>86</v>
      </c>
      <c r="H2819" t="s">
        <v>96</v>
      </c>
      <c r="I2819">
        <v>2009</v>
      </c>
      <c r="J2819">
        <f t="shared" si="60"/>
        <v>1.25</v>
      </c>
      <c r="K2819" t="s">
        <v>42</v>
      </c>
      <c r="L2819">
        <v>25</v>
      </c>
      <c r="N2819" t="s">
        <v>126</v>
      </c>
      <c r="O2819" t="s">
        <v>126</v>
      </c>
      <c r="P2819" t="s">
        <v>2571</v>
      </c>
      <c r="Q2819" s="1" t="s">
        <v>2281</v>
      </c>
      <c r="R2819" s="1" t="s">
        <v>2282</v>
      </c>
      <c r="S2819" s="1" t="s">
        <v>126</v>
      </c>
      <c r="T2819" t="s">
        <v>421</v>
      </c>
      <c r="U2819" t="s">
        <v>421</v>
      </c>
      <c r="X2819" t="s">
        <v>161</v>
      </c>
      <c r="Y2819" t="s">
        <v>2272</v>
      </c>
      <c r="Z2819" t="s">
        <v>2272</v>
      </c>
      <c r="AA2819" t="s">
        <v>2272</v>
      </c>
      <c r="AB2819" t="s">
        <v>2272</v>
      </c>
      <c r="AC2819" t="s">
        <v>162</v>
      </c>
      <c r="AD2819" t="s">
        <v>2272</v>
      </c>
      <c r="AF2819" t="s">
        <v>49</v>
      </c>
      <c r="AI2819" t="s">
        <v>49</v>
      </c>
      <c r="AM2819" t="s">
        <v>1960</v>
      </c>
      <c r="AN2819" t="s">
        <v>166</v>
      </c>
    </row>
    <row r="2820" spans="1:45" x14ac:dyDescent="0.2">
      <c r="A2820" t="s">
        <v>1577</v>
      </c>
      <c r="B2820" t="s">
        <v>1578</v>
      </c>
      <c r="C2820">
        <v>2014</v>
      </c>
      <c r="D2820" t="s">
        <v>811</v>
      </c>
      <c r="F2820" t="s">
        <v>1579</v>
      </c>
      <c r="G2820" s="1" t="s">
        <v>86</v>
      </c>
      <c r="H2820" t="s">
        <v>96</v>
      </c>
      <c r="I2820">
        <v>2009</v>
      </c>
      <c r="J2820">
        <f t="shared" si="60"/>
        <v>1.25</v>
      </c>
      <c r="K2820" t="s">
        <v>42</v>
      </c>
      <c r="L2820">
        <v>25</v>
      </c>
      <c r="N2820" t="s">
        <v>126</v>
      </c>
      <c r="O2820" t="s">
        <v>126</v>
      </c>
      <c r="P2820" t="s">
        <v>2571</v>
      </c>
      <c r="Q2820" s="1" t="s">
        <v>2281</v>
      </c>
      <c r="R2820" s="1" t="s">
        <v>2282</v>
      </c>
      <c r="S2820" s="1" t="s">
        <v>126</v>
      </c>
      <c r="X2820" t="s">
        <v>211</v>
      </c>
      <c r="Y2820" t="s">
        <v>2279</v>
      </c>
      <c r="Z2820" t="s">
        <v>2280</v>
      </c>
      <c r="AA2820" t="s">
        <v>2358</v>
      </c>
      <c r="AB2820" t="s">
        <v>2290</v>
      </c>
      <c r="AC2820" t="s">
        <v>152</v>
      </c>
      <c r="AD2820" t="s">
        <v>2278</v>
      </c>
      <c r="AF2820" t="s">
        <v>49</v>
      </c>
      <c r="AI2820" t="s">
        <v>49</v>
      </c>
      <c r="AM2820" t="s">
        <v>1960</v>
      </c>
      <c r="AN2820" t="s">
        <v>154</v>
      </c>
    </row>
    <row r="2821" spans="1:45" x14ac:dyDescent="0.2">
      <c r="A2821" t="s">
        <v>1577</v>
      </c>
      <c r="B2821" t="s">
        <v>1578</v>
      </c>
      <c r="C2821">
        <v>2014</v>
      </c>
      <c r="D2821" t="s">
        <v>811</v>
      </c>
      <c r="F2821" t="s">
        <v>1579</v>
      </c>
      <c r="G2821" s="1" t="s">
        <v>86</v>
      </c>
      <c r="H2821" t="s">
        <v>96</v>
      </c>
      <c r="I2821">
        <v>2009</v>
      </c>
      <c r="J2821">
        <f t="shared" si="60"/>
        <v>1.25</v>
      </c>
      <c r="K2821" t="s">
        <v>42</v>
      </c>
      <c r="L2821">
        <v>25</v>
      </c>
      <c r="N2821" t="s">
        <v>126</v>
      </c>
      <c r="O2821" t="s">
        <v>126</v>
      </c>
      <c r="P2821" t="s">
        <v>2571</v>
      </c>
      <c r="Q2821" s="1" t="s">
        <v>2281</v>
      </c>
      <c r="R2821" s="1" t="s">
        <v>2282</v>
      </c>
      <c r="S2821" s="1" t="s">
        <v>126</v>
      </c>
      <c r="T2821" t="s">
        <v>421</v>
      </c>
      <c r="U2821" t="s">
        <v>421</v>
      </c>
      <c r="X2821" t="s">
        <v>161</v>
      </c>
      <c r="Y2821" t="s">
        <v>2272</v>
      </c>
      <c r="Z2821" t="s">
        <v>2272</v>
      </c>
      <c r="AA2821" t="s">
        <v>2272</v>
      </c>
      <c r="AB2821" t="s">
        <v>2272</v>
      </c>
      <c r="AC2821" t="s">
        <v>162</v>
      </c>
      <c r="AD2821" t="s">
        <v>2272</v>
      </c>
      <c r="AF2821" t="s">
        <v>49</v>
      </c>
      <c r="AI2821" t="s">
        <v>49</v>
      </c>
      <c r="AM2821" t="s">
        <v>1960</v>
      </c>
      <c r="AN2821" t="s">
        <v>154</v>
      </c>
    </row>
    <row r="2822" spans="1:45" x14ac:dyDescent="0.2">
      <c r="A2822" t="s">
        <v>1577</v>
      </c>
      <c r="B2822" t="s">
        <v>1578</v>
      </c>
      <c r="C2822">
        <v>2014</v>
      </c>
      <c r="D2822" t="s">
        <v>811</v>
      </c>
      <c r="F2822" t="s">
        <v>1579</v>
      </c>
      <c r="G2822" s="1" t="s">
        <v>86</v>
      </c>
      <c r="H2822" t="s">
        <v>96</v>
      </c>
      <c r="I2822">
        <v>2009</v>
      </c>
      <c r="J2822">
        <f t="shared" si="60"/>
        <v>1.25</v>
      </c>
      <c r="K2822" t="s">
        <v>42</v>
      </c>
      <c r="L2822">
        <v>25</v>
      </c>
      <c r="N2822" t="s">
        <v>126</v>
      </c>
      <c r="O2822" t="s">
        <v>126</v>
      </c>
      <c r="P2822" t="s">
        <v>2571</v>
      </c>
      <c r="Q2822" s="1" t="s">
        <v>2281</v>
      </c>
      <c r="R2822" s="1" t="s">
        <v>2282</v>
      </c>
      <c r="S2822" s="1" t="s">
        <v>126</v>
      </c>
      <c r="X2822" t="s">
        <v>211</v>
      </c>
      <c r="Y2822" t="s">
        <v>2279</v>
      </c>
      <c r="Z2822" t="s">
        <v>2280</v>
      </c>
      <c r="AA2822" t="s">
        <v>2358</v>
      </c>
      <c r="AB2822" t="s">
        <v>2290</v>
      </c>
      <c r="AC2822" t="s">
        <v>152</v>
      </c>
      <c r="AD2822" t="s">
        <v>2278</v>
      </c>
      <c r="AF2822" t="s">
        <v>49</v>
      </c>
      <c r="AI2822" t="s">
        <v>49</v>
      </c>
      <c r="AM2822" t="s">
        <v>1960</v>
      </c>
      <c r="AN2822" t="s">
        <v>165</v>
      </c>
    </row>
    <row r="2823" spans="1:45" x14ac:dyDescent="0.2">
      <c r="A2823" t="s">
        <v>1577</v>
      </c>
      <c r="B2823" t="s">
        <v>1578</v>
      </c>
      <c r="C2823">
        <v>2014</v>
      </c>
      <c r="D2823" t="s">
        <v>811</v>
      </c>
      <c r="F2823" t="s">
        <v>1579</v>
      </c>
      <c r="G2823" s="1" t="s">
        <v>86</v>
      </c>
      <c r="H2823" t="s">
        <v>96</v>
      </c>
      <c r="I2823">
        <v>2009</v>
      </c>
      <c r="J2823">
        <f t="shared" si="60"/>
        <v>1.25</v>
      </c>
      <c r="K2823" t="s">
        <v>42</v>
      </c>
      <c r="L2823">
        <v>25</v>
      </c>
      <c r="N2823" t="s">
        <v>126</v>
      </c>
      <c r="O2823" t="s">
        <v>126</v>
      </c>
      <c r="P2823" t="s">
        <v>2571</v>
      </c>
      <c r="Q2823" s="1" t="s">
        <v>2281</v>
      </c>
      <c r="R2823" s="1" t="s">
        <v>2282</v>
      </c>
      <c r="S2823" s="1" t="s">
        <v>126</v>
      </c>
      <c r="T2823" t="s">
        <v>421</v>
      </c>
      <c r="U2823" t="s">
        <v>421</v>
      </c>
      <c r="X2823" t="s">
        <v>161</v>
      </c>
      <c r="Y2823" t="s">
        <v>2272</v>
      </c>
      <c r="Z2823" t="s">
        <v>2272</v>
      </c>
      <c r="AA2823" t="s">
        <v>2272</v>
      </c>
      <c r="AB2823" t="s">
        <v>2272</v>
      </c>
      <c r="AC2823" t="s">
        <v>162</v>
      </c>
      <c r="AD2823" t="s">
        <v>2272</v>
      </c>
      <c r="AF2823" t="s">
        <v>49</v>
      </c>
      <c r="AI2823" t="s">
        <v>49</v>
      </c>
      <c r="AM2823" t="s">
        <v>1960</v>
      </c>
      <c r="AN2823" t="s">
        <v>165</v>
      </c>
    </row>
    <row r="2824" spans="1:45" x14ac:dyDescent="0.2">
      <c r="A2824" t="s">
        <v>1580</v>
      </c>
      <c r="B2824" t="s">
        <v>1581</v>
      </c>
      <c r="C2824">
        <v>2014</v>
      </c>
      <c r="Q2824" s="1" t="s">
        <v>2272</v>
      </c>
      <c r="R2824" s="1" t="s">
        <v>2272</v>
      </c>
      <c r="S2824" s="1" t="s">
        <v>2272</v>
      </c>
      <c r="Y2824" t="s">
        <v>2272</v>
      </c>
      <c r="Z2824" t="s">
        <v>2272</v>
      </c>
      <c r="AA2824" t="s">
        <v>2272</v>
      </c>
      <c r="AB2824" t="s">
        <v>2272</v>
      </c>
      <c r="AD2824" t="s">
        <v>2272</v>
      </c>
      <c r="AR2824" t="s">
        <v>144</v>
      </c>
      <c r="AS2824" t="s">
        <v>2583</v>
      </c>
    </row>
    <row r="2825" spans="1:45" x14ac:dyDescent="0.2">
      <c r="A2825" t="s">
        <v>1582</v>
      </c>
      <c r="B2825" t="s">
        <v>1583</v>
      </c>
      <c r="C2825">
        <v>2014</v>
      </c>
      <c r="D2825" t="s">
        <v>44</v>
      </c>
      <c r="F2825" t="s">
        <v>1584</v>
      </c>
      <c r="G2825" s="1" t="s">
        <v>91</v>
      </c>
      <c r="H2825" t="s">
        <v>350</v>
      </c>
      <c r="I2825">
        <v>2009</v>
      </c>
      <c r="K2825" t="s">
        <v>101</v>
      </c>
      <c r="L2825">
        <v>20</v>
      </c>
      <c r="M2825">
        <v>0.25</v>
      </c>
      <c r="N2825" t="s">
        <v>120</v>
      </c>
      <c r="O2825" t="s">
        <v>120</v>
      </c>
      <c r="P2825" t="s">
        <v>1179</v>
      </c>
      <c r="Q2825" s="1" t="s">
        <v>2276</v>
      </c>
      <c r="R2825" s="1" t="s">
        <v>669</v>
      </c>
      <c r="S2825" s="1" t="s">
        <v>168</v>
      </c>
      <c r="X2825" t="s">
        <v>1585</v>
      </c>
      <c r="Y2825" t="s">
        <v>2279</v>
      </c>
      <c r="Z2825" t="s">
        <v>2280</v>
      </c>
      <c r="AA2825" t="s">
        <v>2358</v>
      </c>
      <c r="AB2825" t="s">
        <v>2459</v>
      </c>
      <c r="AC2825" t="s">
        <v>152</v>
      </c>
      <c r="AD2825" t="s">
        <v>2278</v>
      </c>
      <c r="AH2825" s="4" t="s">
        <v>49</v>
      </c>
      <c r="AI2825" t="s">
        <v>49</v>
      </c>
      <c r="AM2825" t="s">
        <v>233</v>
      </c>
      <c r="AN2825" t="s">
        <v>165</v>
      </c>
      <c r="AP2825" t="s">
        <v>51</v>
      </c>
    </row>
    <row r="2826" spans="1:45" x14ac:dyDescent="0.2">
      <c r="A2826" t="s">
        <v>1582</v>
      </c>
      <c r="B2826" t="s">
        <v>1583</v>
      </c>
      <c r="C2826">
        <v>2014</v>
      </c>
      <c r="D2826" t="s">
        <v>44</v>
      </c>
      <c r="F2826" t="s">
        <v>1584</v>
      </c>
      <c r="G2826" s="1" t="s">
        <v>91</v>
      </c>
      <c r="H2826" t="s">
        <v>350</v>
      </c>
      <c r="I2826">
        <v>2009</v>
      </c>
      <c r="K2826" t="s">
        <v>101</v>
      </c>
      <c r="L2826">
        <v>20</v>
      </c>
      <c r="M2826">
        <v>0.25</v>
      </c>
      <c r="N2826" t="s">
        <v>120</v>
      </c>
      <c r="O2826" t="s">
        <v>120</v>
      </c>
      <c r="P2826" t="s">
        <v>1179</v>
      </c>
      <c r="Q2826" s="1" t="s">
        <v>2276</v>
      </c>
      <c r="R2826" s="1" t="s">
        <v>669</v>
      </c>
      <c r="S2826" s="1" t="s">
        <v>168</v>
      </c>
      <c r="X2826" t="s">
        <v>189</v>
      </c>
      <c r="Y2826" t="s">
        <v>2279</v>
      </c>
      <c r="Z2826" t="s">
        <v>2280</v>
      </c>
      <c r="AA2826" t="s">
        <v>2358</v>
      </c>
      <c r="AB2826" t="s">
        <v>189</v>
      </c>
      <c r="AC2826" t="s">
        <v>152</v>
      </c>
      <c r="AD2826" t="s">
        <v>2278</v>
      </c>
      <c r="AH2826" s="4" t="s">
        <v>49</v>
      </c>
      <c r="AI2826" t="s">
        <v>49</v>
      </c>
      <c r="AM2826" t="s">
        <v>233</v>
      </c>
      <c r="AN2826" t="s">
        <v>165</v>
      </c>
      <c r="AP2826" t="s">
        <v>51</v>
      </c>
    </row>
    <row r="2827" spans="1:45" x14ac:dyDescent="0.2">
      <c r="A2827" t="s">
        <v>1582</v>
      </c>
      <c r="B2827" t="s">
        <v>1583</v>
      </c>
      <c r="C2827">
        <v>2014</v>
      </c>
      <c r="D2827" t="s">
        <v>44</v>
      </c>
      <c r="F2827" t="s">
        <v>1584</v>
      </c>
      <c r="G2827" s="1" t="s">
        <v>91</v>
      </c>
      <c r="H2827" t="s">
        <v>350</v>
      </c>
      <c r="I2827">
        <v>2009</v>
      </c>
      <c r="K2827" t="s">
        <v>101</v>
      </c>
      <c r="L2827">
        <v>20</v>
      </c>
      <c r="M2827">
        <v>0.25</v>
      </c>
      <c r="N2827" t="s">
        <v>120</v>
      </c>
      <c r="O2827" t="s">
        <v>120</v>
      </c>
      <c r="P2827" t="s">
        <v>1179</v>
      </c>
      <c r="Q2827" s="1" t="s">
        <v>2276</v>
      </c>
      <c r="R2827" s="1" t="s">
        <v>669</v>
      </c>
      <c r="S2827" s="1" t="s">
        <v>168</v>
      </c>
      <c r="X2827" t="s">
        <v>1586</v>
      </c>
      <c r="Y2827" t="s">
        <v>2279</v>
      </c>
      <c r="Z2827" t="s">
        <v>2280</v>
      </c>
      <c r="AA2827" t="s">
        <v>2272</v>
      </c>
      <c r="AB2827" t="s">
        <v>2272</v>
      </c>
      <c r="AC2827" t="s">
        <v>162</v>
      </c>
      <c r="AD2827" t="s">
        <v>2278</v>
      </c>
      <c r="AH2827" s="4" t="s">
        <v>49</v>
      </c>
      <c r="AI2827" t="s">
        <v>49</v>
      </c>
      <c r="AM2827" t="s">
        <v>233</v>
      </c>
      <c r="AN2827" t="s">
        <v>165</v>
      </c>
      <c r="AP2827" t="s">
        <v>49</v>
      </c>
    </row>
    <row r="2828" spans="1:45" x14ac:dyDescent="0.2">
      <c r="A2828" t="s">
        <v>1587</v>
      </c>
      <c r="B2828" t="s">
        <v>1588</v>
      </c>
      <c r="C2828">
        <v>2014</v>
      </c>
      <c r="D2828" t="s">
        <v>44</v>
      </c>
      <c r="F2828" t="s">
        <v>1589</v>
      </c>
      <c r="G2828" s="1" t="s">
        <v>86</v>
      </c>
      <c r="H2828" t="s">
        <v>350</v>
      </c>
      <c r="I2828" t="s">
        <v>1590</v>
      </c>
      <c r="J2828">
        <v>2.33</v>
      </c>
      <c r="K2828" t="s">
        <v>104</v>
      </c>
      <c r="M2828">
        <f>0.2*0.2</f>
        <v>4.0000000000000008E-2</v>
      </c>
      <c r="N2828" t="s">
        <v>121</v>
      </c>
      <c r="O2828" t="s">
        <v>121</v>
      </c>
      <c r="P2828" t="s">
        <v>302</v>
      </c>
      <c r="Q2828" s="1" t="s">
        <v>2292</v>
      </c>
      <c r="R2828" s="1" t="s">
        <v>264</v>
      </c>
      <c r="S2828" s="1" t="s">
        <v>264</v>
      </c>
      <c r="T2828" t="s">
        <v>396</v>
      </c>
      <c r="U2828" s="1" t="s">
        <v>2415</v>
      </c>
      <c r="V2828" t="s">
        <v>194</v>
      </c>
      <c r="W2828" t="s">
        <v>1593</v>
      </c>
      <c r="X2828" t="s">
        <v>161</v>
      </c>
      <c r="Y2828" t="s">
        <v>2272</v>
      </c>
      <c r="Z2828" t="s">
        <v>2272</v>
      </c>
      <c r="AA2828" t="s">
        <v>2272</v>
      </c>
      <c r="AB2828" t="s">
        <v>2272</v>
      </c>
      <c r="AC2828" t="s">
        <v>162</v>
      </c>
      <c r="AD2828" t="s">
        <v>2272</v>
      </c>
      <c r="AF2828" t="s">
        <v>49</v>
      </c>
      <c r="AG2828" t="s">
        <v>49</v>
      </c>
      <c r="AH2828" s="4" t="s">
        <v>49</v>
      </c>
      <c r="AI2828" t="s">
        <v>49</v>
      </c>
      <c r="AM2828" t="s">
        <v>1594</v>
      </c>
      <c r="AN2828" t="s">
        <v>165</v>
      </c>
      <c r="AP2828" t="s">
        <v>49</v>
      </c>
    </row>
    <row r="2829" spans="1:45" x14ac:dyDescent="0.2">
      <c r="A2829" t="s">
        <v>1587</v>
      </c>
      <c r="B2829" t="s">
        <v>1588</v>
      </c>
      <c r="C2829">
        <v>2014</v>
      </c>
      <c r="D2829" t="s">
        <v>44</v>
      </c>
      <c r="F2829" t="s">
        <v>1589</v>
      </c>
      <c r="G2829" s="1" t="s">
        <v>86</v>
      </c>
      <c r="H2829" t="s">
        <v>350</v>
      </c>
      <c r="I2829" t="s">
        <v>1590</v>
      </c>
      <c r="J2829">
        <v>2.33</v>
      </c>
      <c r="K2829" t="s">
        <v>104</v>
      </c>
      <c r="M2829">
        <f>0.2*0.2</f>
        <v>4.0000000000000008E-2</v>
      </c>
      <c r="N2829" t="s">
        <v>121</v>
      </c>
      <c r="O2829" t="s">
        <v>121</v>
      </c>
      <c r="P2829" t="s">
        <v>1591</v>
      </c>
      <c r="Q2829" s="1" t="s">
        <v>2276</v>
      </c>
      <c r="R2829" s="1" t="s">
        <v>755</v>
      </c>
      <c r="S2829" s="1" t="s">
        <v>2352</v>
      </c>
      <c r="T2829" t="s">
        <v>396</v>
      </c>
      <c r="U2829" s="1" t="s">
        <v>2416</v>
      </c>
      <c r="V2829" t="s">
        <v>194</v>
      </c>
      <c r="W2829" t="s">
        <v>1593</v>
      </c>
      <c r="X2829" t="s">
        <v>161</v>
      </c>
      <c r="Y2829" t="s">
        <v>2272</v>
      </c>
      <c r="Z2829" t="s">
        <v>2272</v>
      </c>
      <c r="AA2829" t="s">
        <v>2272</v>
      </c>
      <c r="AB2829" t="s">
        <v>2272</v>
      </c>
      <c r="AC2829" t="s">
        <v>162</v>
      </c>
      <c r="AD2829" t="s">
        <v>2272</v>
      </c>
      <c r="AF2829" t="s">
        <v>49</v>
      </c>
      <c r="AG2829" t="s">
        <v>49</v>
      </c>
      <c r="AH2829" s="4" t="s">
        <v>49</v>
      </c>
      <c r="AI2829" t="s">
        <v>49</v>
      </c>
      <c r="AM2829" t="s">
        <v>1594</v>
      </c>
      <c r="AN2829" t="s">
        <v>165</v>
      </c>
      <c r="AP2829" t="s">
        <v>49</v>
      </c>
    </row>
    <row r="2830" spans="1:45" x14ac:dyDescent="0.2">
      <c r="A2830" t="s">
        <v>1587</v>
      </c>
      <c r="B2830" t="s">
        <v>1588</v>
      </c>
      <c r="C2830">
        <v>2014</v>
      </c>
      <c r="D2830" t="s">
        <v>44</v>
      </c>
      <c r="F2830" t="s">
        <v>1589</v>
      </c>
      <c r="G2830" s="1" t="s">
        <v>86</v>
      </c>
      <c r="H2830" t="s">
        <v>350</v>
      </c>
      <c r="I2830" t="s">
        <v>1590</v>
      </c>
      <c r="J2830">
        <v>2.33</v>
      </c>
      <c r="K2830" t="s">
        <v>104</v>
      </c>
      <c r="M2830">
        <f>0.2*0.2</f>
        <v>4.0000000000000008E-2</v>
      </c>
      <c r="N2830" t="s">
        <v>121</v>
      </c>
      <c r="O2830" t="s">
        <v>121</v>
      </c>
      <c r="P2830" t="s">
        <v>1373</v>
      </c>
      <c r="Q2830" s="1" t="s">
        <v>2276</v>
      </c>
      <c r="R2830" s="1" t="s">
        <v>755</v>
      </c>
      <c r="S2830" s="1" t="s">
        <v>2352</v>
      </c>
      <c r="T2830" t="s">
        <v>396</v>
      </c>
      <c r="U2830" s="1" t="s">
        <v>2416</v>
      </c>
      <c r="V2830" t="s">
        <v>194</v>
      </c>
      <c r="W2830" t="s">
        <v>1593</v>
      </c>
      <c r="X2830" t="s">
        <v>161</v>
      </c>
      <c r="Y2830" t="s">
        <v>2272</v>
      </c>
      <c r="Z2830" t="s">
        <v>2272</v>
      </c>
      <c r="AA2830" t="s">
        <v>2272</v>
      </c>
      <c r="AB2830" t="s">
        <v>2272</v>
      </c>
      <c r="AC2830" t="s">
        <v>162</v>
      </c>
      <c r="AD2830" t="s">
        <v>2272</v>
      </c>
      <c r="AF2830" t="s">
        <v>49</v>
      </c>
      <c r="AG2830" t="s">
        <v>49</v>
      </c>
      <c r="AH2830" s="4" t="s">
        <v>49</v>
      </c>
      <c r="AI2830" t="s">
        <v>49</v>
      </c>
      <c r="AM2830" t="s">
        <v>1594</v>
      </c>
      <c r="AN2830" t="s">
        <v>165</v>
      </c>
      <c r="AP2830" t="s">
        <v>49</v>
      </c>
    </row>
    <row r="2831" spans="1:45" x14ac:dyDescent="0.2">
      <c r="A2831" t="s">
        <v>1587</v>
      </c>
      <c r="B2831" t="s">
        <v>1588</v>
      </c>
      <c r="C2831">
        <v>2014</v>
      </c>
      <c r="D2831" t="s">
        <v>44</v>
      </c>
      <c r="F2831" t="s">
        <v>1589</v>
      </c>
      <c r="G2831" s="1" t="s">
        <v>86</v>
      </c>
      <c r="H2831" t="s">
        <v>350</v>
      </c>
      <c r="I2831" t="s">
        <v>1590</v>
      </c>
      <c r="J2831">
        <v>2.33</v>
      </c>
      <c r="K2831" t="s">
        <v>104</v>
      </c>
      <c r="M2831">
        <f>0.2*0.2</f>
        <v>4.0000000000000008E-2</v>
      </c>
      <c r="N2831" t="s">
        <v>121</v>
      </c>
      <c r="O2831" t="s">
        <v>121</v>
      </c>
      <c r="P2831" t="s">
        <v>1592</v>
      </c>
      <c r="Q2831" s="1" t="s">
        <v>2276</v>
      </c>
      <c r="R2831" s="1" t="s">
        <v>755</v>
      </c>
      <c r="S2831" s="1" t="s">
        <v>2352</v>
      </c>
      <c r="T2831" t="s">
        <v>396</v>
      </c>
      <c r="U2831" s="1" t="s">
        <v>2416</v>
      </c>
      <c r="V2831" t="s">
        <v>194</v>
      </c>
      <c r="W2831" t="s">
        <v>1593</v>
      </c>
      <c r="X2831" t="s">
        <v>161</v>
      </c>
      <c r="Y2831" t="s">
        <v>2272</v>
      </c>
      <c r="Z2831" t="s">
        <v>2272</v>
      </c>
      <c r="AA2831" t="s">
        <v>2272</v>
      </c>
      <c r="AB2831" t="s">
        <v>2272</v>
      </c>
      <c r="AC2831" t="s">
        <v>162</v>
      </c>
      <c r="AD2831" t="s">
        <v>2272</v>
      </c>
      <c r="AF2831" t="s">
        <v>49</v>
      </c>
      <c r="AG2831" t="s">
        <v>49</v>
      </c>
      <c r="AH2831" s="4" t="s">
        <v>49</v>
      </c>
      <c r="AI2831" t="s">
        <v>49</v>
      </c>
      <c r="AM2831" t="s">
        <v>1594</v>
      </c>
      <c r="AN2831" t="s">
        <v>165</v>
      </c>
      <c r="AP2831" t="s">
        <v>49</v>
      </c>
    </row>
    <row r="2832" spans="1:45" x14ac:dyDescent="0.2">
      <c r="A2832" t="s">
        <v>1595</v>
      </c>
      <c r="B2832" t="s">
        <v>355</v>
      </c>
      <c r="C2832">
        <v>2014</v>
      </c>
      <c r="D2832" t="s">
        <v>44</v>
      </c>
      <c r="F2832" t="s">
        <v>1596</v>
      </c>
      <c r="G2832" s="1" t="s">
        <v>90</v>
      </c>
      <c r="H2832" t="s">
        <v>96</v>
      </c>
      <c r="Q2832" s="1" t="s">
        <v>2272</v>
      </c>
      <c r="R2832" s="1" t="s">
        <v>2272</v>
      </c>
      <c r="S2832" s="1" t="s">
        <v>2272</v>
      </c>
      <c r="Y2832" t="s">
        <v>2272</v>
      </c>
      <c r="Z2832" t="s">
        <v>2272</v>
      </c>
      <c r="AA2832" t="s">
        <v>2272</v>
      </c>
      <c r="AB2832" t="s">
        <v>2272</v>
      </c>
      <c r="AD2832" t="s">
        <v>2272</v>
      </c>
      <c r="AR2832" t="s">
        <v>144</v>
      </c>
      <c r="AS2832" t="s">
        <v>2584</v>
      </c>
    </row>
    <row r="2833" spans="1:45" x14ac:dyDescent="0.2">
      <c r="A2833" t="s">
        <v>1597</v>
      </c>
      <c r="B2833" t="s">
        <v>745</v>
      </c>
      <c r="C2833">
        <v>2014</v>
      </c>
      <c r="D2833" t="s">
        <v>44</v>
      </c>
      <c r="F2833" t="s">
        <v>57</v>
      </c>
      <c r="G2833" s="1" t="s">
        <v>89</v>
      </c>
      <c r="H2833" t="s">
        <v>96</v>
      </c>
      <c r="I2833">
        <v>2014</v>
      </c>
      <c r="J2833">
        <v>0.23</v>
      </c>
      <c r="K2833" t="s">
        <v>101</v>
      </c>
      <c r="L2833">
        <v>1.5</v>
      </c>
      <c r="M2833">
        <v>5.4999999999999997E-3</v>
      </c>
      <c r="N2833" t="s">
        <v>121</v>
      </c>
      <c r="O2833" t="s">
        <v>121</v>
      </c>
      <c r="P2833" t="s">
        <v>352</v>
      </c>
      <c r="Q2833" s="1" t="s">
        <v>2292</v>
      </c>
      <c r="R2833" s="1" t="s">
        <v>264</v>
      </c>
      <c r="S2833" s="1" t="s">
        <v>264</v>
      </c>
      <c r="T2833" t="s">
        <v>421</v>
      </c>
      <c r="U2833" t="s">
        <v>421</v>
      </c>
      <c r="X2833" t="s">
        <v>161</v>
      </c>
      <c r="Y2833" t="s">
        <v>2272</v>
      </c>
      <c r="Z2833" t="s">
        <v>2272</v>
      </c>
      <c r="AA2833" t="s">
        <v>2272</v>
      </c>
      <c r="AB2833" t="s">
        <v>2272</v>
      </c>
      <c r="AC2833" t="s">
        <v>162</v>
      </c>
      <c r="AD2833" t="s">
        <v>2272</v>
      </c>
      <c r="AF2833" t="s">
        <v>49</v>
      </c>
      <c r="AG2833" t="s">
        <v>49</v>
      </c>
      <c r="AI2833" t="s">
        <v>49</v>
      </c>
      <c r="AM2833" t="s">
        <v>202</v>
      </c>
      <c r="AN2833" t="s">
        <v>165</v>
      </c>
      <c r="AP2833" t="s">
        <v>49</v>
      </c>
    </row>
    <row r="2834" spans="1:45" x14ac:dyDescent="0.2">
      <c r="A2834" t="s">
        <v>1597</v>
      </c>
      <c r="B2834" t="s">
        <v>745</v>
      </c>
      <c r="C2834">
        <v>2014</v>
      </c>
      <c r="D2834" t="s">
        <v>44</v>
      </c>
      <c r="F2834" t="s">
        <v>57</v>
      </c>
      <c r="G2834" s="1" t="s">
        <v>89</v>
      </c>
      <c r="H2834" t="s">
        <v>96</v>
      </c>
      <c r="I2834">
        <v>2014</v>
      </c>
      <c r="J2834">
        <v>0.23</v>
      </c>
      <c r="K2834" t="s">
        <v>101</v>
      </c>
      <c r="L2834">
        <v>1.5</v>
      </c>
      <c r="M2834">
        <v>5.4999999999999997E-3</v>
      </c>
      <c r="N2834" t="s">
        <v>121</v>
      </c>
      <c r="O2834" t="s">
        <v>121</v>
      </c>
      <c r="P2834" t="s">
        <v>352</v>
      </c>
      <c r="Q2834" s="1" t="s">
        <v>2292</v>
      </c>
      <c r="R2834" s="1" t="s">
        <v>264</v>
      </c>
      <c r="S2834" s="1" t="s">
        <v>264</v>
      </c>
      <c r="T2834" t="s">
        <v>421</v>
      </c>
      <c r="U2834" t="s">
        <v>421</v>
      </c>
      <c r="X2834" t="s">
        <v>161</v>
      </c>
      <c r="Y2834" t="s">
        <v>2272</v>
      </c>
      <c r="Z2834" t="s">
        <v>2272</v>
      </c>
      <c r="AA2834" t="s">
        <v>2272</v>
      </c>
      <c r="AB2834" t="s">
        <v>2272</v>
      </c>
      <c r="AC2834" t="s">
        <v>162</v>
      </c>
      <c r="AD2834" t="s">
        <v>2272</v>
      </c>
      <c r="AF2834" t="s">
        <v>49</v>
      </c>
      <c r="AG2834" t="s">
        <v>49</v>
      </c>
      <c r="AI2834" t="s">
        <v>49</v>
      </c>
      <c r="AM2834" t="s">
        <v>202</v>
      </c>
      <c r="AN2834" t="s">
        <v>166</v>
      </c>
      <c r="AQ2834" s="5">
        <v>2</v>
      </c>
    </row>
    <row r="2835" spans="1:45" x14ac:dyDescent="0.2">
      <c r="A2835" t="s">
        <v>1597</v>
      </c>
      <c r="B2835" t="s">
        <v>745</v>
      </c>
      <c r="C2835">
        <v>2014</v>
      </c>
      <c r="D2835" t="s">
        <v>44</v>
      </c>
      <c r="F2835" t="s">
        <v>57</v>
      </c>
      <c r="G2835" s="1" t="s">
        <v>89</v>
      </c>
      <c r="H2835" t="s">
        <v>96</v>
      </c>
      <c r="I2835">
        <v>2014</v>
      </c>
      <c r="J2835">
        <v>0.23</v>
      </c>
      <c r="K2835" t="s">
        <v>101</v>
      </c>
      <c r="L2835">
        <v>1.5</v>
      </c>
      <c r="M2835">
        <v>5.4999999999999997E-3</v>
      </c>
      <c r="N2835" t="s">
        <v>121</v>
      </c>
      <c r="O2835" t="s">
        <v>121</v>
      </c>
      <c r="P2835" t="s">
        <v>352</v>
      </c>
      <c r="Q2835" s="1" t="s">
        <v>2292</v>
      </c>
      <c r="R2835" s="1" t="s">
        <v>264</v>
      </c>
      <c r="S2835" s="1" t="s">
        <v>264</v>
      </c>
      <c r="T2835" t="s">
        <v>421</v>
      </c>
      <c r="U2835" t="s">
        <v>421</v>
      </c>
      <c r="X2835" t="s">
        <v>161</v>
      </c>
      <c r="Y2835" t="s">
        <v>2272</v>
      </c>
      <c r="Z2835" t="s">
        <v>2272</v>
      </c>
      <c r="AA2835" t="s">
        <v>2272</v>
      </c>
      <c r="AB2835" t="s">
        <v>2272</v>
      </c>
      <c r="AC2835" t="s">
        <v>162</v>
      </c>
      <c r="AD2835" t="s">
        <v>2272</v>
      </c>
      <c r="AF2835" t="s">
        <v>49</v>
      </c>
      <c r="AG2835" t="s">
        <v>49</v>
      </c>
      <c r="AI2835" t="s">
        <v>49</v>
      </c>
      <c r="AM2835" t="s">
        <v>202</v>
      </c>
      <c r="AN2835" t="s">
        <v>154</v>
      </c>
      <c r="AQ2835" s="5">
        <v>1</v>
      </c>
    </row>
    <row r="2836" spans="1:45" x14ac:dyDescent="0.2">
      <c r="A2836" t="s">
        <v>1598</v>
      </c>
      <c r="B2836" t="s">
        <v>1599</v>
      </c>
      <c r="C2836">
        <v>2014</v>
      </c>
      <c r="D2836" t="s">
        <v>44</v>
      </c>
      <c r="F2836" t="s">
        <v>628</v>
      </c>
      <c r="G2836" s="1" t="s">
        <v>86</v>
      </c>
      <c r="H2836" t="s">
        <v>96</v>
      </c>
      <c r="I2836">
        <v>2012</v>
      </c>
      <c r="J2836">
        <v>0.17</v>
      </c>
      <c r="K2836" t="s">
        <v>101</v>
      </c>
      <c r="L2836">
        <v>310</v>
      </c>
      <c r="M2836">
        <f>0.1*0.1</f>
        <v>1.0000000000000002E-2</v>
      </c>
      <c r="N2836" t="s">
        <v>123</v>
      </c>
      <c r="O2836" t="s">
        <v>123</v>
      </c>
      <c r="P2836" t="s">
        <v>1600</v>
      </c>
      <c r="Q2836" s="1" t="s">
        <v>2281</v>
      </c>
      <c r="R2836" s="1" t="s">
        <v>2282</v>
      </c>
      <c r="S2836" s="1" t="s">
        <v>123</v>
      </c>
      <c r="X2836" t="s">
        <v>161</v>
      </c>
      <c r="Y2836" t="s">
        <v>2272</v>
      </c>
      <c r="Z2836" t="s">
        <v>2272</v>
      </c>
      <c r="AA2836" t="s">
        <v>2272</v>
      </c>
      <c r="AB2836" t="s">
        <v>2272</v>
      </c>
      <c r="AC2836" t="s">
        <v>162</v>
      </c>
      <c r="AD2836" t="s">
        <v>2272</v>
      </c>
      <c r="AF2836" t="s">
        <v>49</v>
      </c>
      <c r="AI2836" t="s">
        <v>49</v>
      </c>
      <c r="AM2836" t="s">
        <v>201</v>
      </c>
      <c r="AN2836" t="s">
        <v>154</v>
      </c>
    </row>
    <row r="2837" spans="1:45" x14ac:dyDescent="0.2">
      <c r="A2837" t="s">
        <v>1598</v>
      </c>
      <c r="B2837" t="s">
        <v>1599</v>
      </c>
      <c r="C2837">
        <v>2014</v>
      </c>
      <c r="D2837" t="s">
        <v>44</v>
      </c>
      <c r="F2837" t="s">
        <v>628</v>
      </c>
      <c r="G2837" s="1" t="s">
        <v>86</v>
      </c>
      <c r="H2837" t="s">
        <v>96</v>
      </c>
      <c r="I2837">
        <v>2012</v>
      </c>
      <c r="J2837">
        <v>0.17</v>
      </c>
      <c r="K2837" t="s">
        <v>101</v>
      </c>
      <c r="L2837">
        <v>310</v>
      </c>
      <c r="M2837">
        <f>0.1*0.1</f>
        <v>1.0000000000000002E-2</v>
      </c>
      <c r="N2837" t="s">
        <v>123</v>
      </c>
      <c r="O2837" t="s">
        <v>123</v>
      </c>
      <c r="P2837" t="s">
        <v>1600</v>
      </c>
      <c r="Q2837" s="1" t="s">
        <v>2281</v>
      </c>
      <c r="R2837" s="1" t="s">
        <v>2282</v>
      </c>
      <c r="S2837" s="1" t="s">
        <v>123</v>
      </c>
      <c r="X2837" t="s">
        <v>161</v>
      </c>
      <c r="Y2837" t="s">
        <v>2272</v>
      </c>
      <c r="Z2837" t="s">
        <v>2272</v>
      </c>
      <c r="AA2837" t="s">
        <v>2272</v>
      </c>
      <c r="AB2837" t="s">
        <v>2272</v>
      </c>
      <c r="AC2837" t="s">
        <v>162</v>
      </c>
      <c r="AD2837" t="s">
        <v>2272</v>
      </c>
      <c r="AF2837" t="s">
        <v>49</v>
      </c>
      <c r="AI2837" t="s">
        <v>49</v>
      </c>
      <c r="AM2837" t="s">
        <v>201</v>
      </c>
      <c r="AN2837" t="s">
        <v>166</v>
      </c>
    </row>
    <row r="2838" spans="1:45" x14ac:dyDescent="0.2">
      <c r="A2838" t="s">
        <v>1598</v>
      </c>
      <c r="B2838" t="s">
        <v>1599</v>
      </c>
      <c r="C2838">
        <v>2014</v>
      </c>
      <c r="D2838" t="s">
        <v>44</v>
      </c>
      <c r="F2838" t="s">
        <v>628</v>
      </c>
      <c r="G2838" s="1" t="s">
        <v>86</v>
      </c>
      <c r="H2838" t="s">
        <v>96</v>
      </c>
      <c r="I2838">
        <v>2012</v>
      </c>
      <c r="J2838">
        <v>0.17</v>
      </c>
      <c r="K2838" t="s">
        <v>101</v>
      </c>
      <c r="L2838">
        <v>310</v>
      </c>
      <c r="M2838">
        <f>0.1*0.1</f>
        <v>1.0000000000000002E-2</v>
      </c>
      <c r="N2838" t="s">
        <v>123</v>
      </c>
      <c r="O2838" t="s">
        <v>123</v>
      </c>
      <c r="P2838" t="s">
        <v>1600</v>
      </c>
      <c r="Q2838" s="1" t="s">
        <v>2281</v>
      </c>
      <c r="R2838" s="1" t="s">
        <v>2282</v>
      </c>
      <c r="S2838" s="1" t="s">
        <v>123</v>
      </c>
      <c r="X2838" t="s">
        <v>161</v>
      </c>
      <c r="Y2838" t="s">
        <v>2272</v>
      </c>
      <c r="Z2838" t="s">
        <v>2272</v>
      </c>
      <c r="AA2838" t="s">
        <v>2272</v>
      </c>
      <c r="AB2838" t="s">
        <v>2272</v>
      </c>
      <c r="AC2838" t="s">
        <v>162</v>
      </c>
      <c r="AD2838" t="s">
        <v>2272</v>
      </c>
      <c r="AF2838" t="s">
        <v>49</v>
      </c>
      <c r="AI2838" t="s">
        <v>49</v>
      </c>
      <c r="AM2838" t="s">
        <v>201</v>
      </c>
      <c r="AN2838" t="s">
        <v>165</v>
      </c>
    </row>
    <row r="2839" spans="1:45" x14ac:dyDescent="0.2">
      <c r="A2839" t="s">
        <v>1601</v>
      </c>
      <c r="B2839" t="s">
        <v>1602</v>
      </c>
      <c r="C2839">
        <v>2014</v>
      </c>
      <c r="Q2839" s="1" t="s">
        <v>2272</v>
      </c>
      <c r="R2839" s="1" t="s">
        <v>2272</v>
      </c>
      <c r="S2839" s="1" t="s">
        <v>2272</v>
      </c>
      <c r="Y2839" t="s">
        <v>2272</v>
      </c>
      <c r="Z2839" t="s">
        <v>2272</v>
      </c>
      <c r="AA2839" t="s">
        <v>2272</v>
      </c>
      <c r="AB2839" t="s">
        <v>2272</v>
      </c>
      <c r="AD2839" t="s">
        <v>2272</v>
      </c>
      <c r="AR2839" t="s">
        <v>144</v>
      </c>
      <c r="AS2839" t="s">
        <v>2583</v>
      </c>
    </row>
    <row r="2840" spans="1:45" x14ac:dyDescent="0.2">
      <c r="A2840" t="s">
        <v>1603</v>
      </c>
      <c r="B2840" t="s">
        <v>1604</v>
      </c>
      <c r="C2840">
        <v>2013</v>
      </c>
      <c r="Q2840" s="1" t="s">
        <v>2272</v>
      </c>
      <c r="R2840" s="1" t="s">
        <v>2272</v>
      </c>
      <c r="S2840" s="1" t="s">
        <v>2272</v>
      </c>
      <c r="Y2840" t="s">
        <v>2272</v>
      </c>
      <c r="Z2840" t="s">
        <v>2272</v>
      </c>
      <c r="AA2840" t="s">
        <v>2272</v>
      </c>
      <c r="AB2840" t="s">
        <v>2272</v>
      </c>
      <c r="AD2840" t="s">
        <v>2272</v>
      </c>
      <c r="AR2840" t="s">
        <v>144</v>
      </c>
      <c r="AS2840" t="s">
        <v>2583</v>
      </c>
    </row>
    <row r="2841" spans="1:45" x14ac:dyDescent="0.2">
      <c r="A2841" t="s">
        <v>1605</v>
      </c>
      <c r="B2841" t="s">
        <v>1606</v>
      </c>
      <c r="C2841">
        <v>2013</v>
      </c>
      <c r="D2841" t="s">
        <v>811</v>
      </c>
      <c r="F2841" t="s">
        <v>628</v>
      </c>
      <c r="G2841" s="1" t="s">
        <v>86</v>
      </c>
      <c r="H2841" t="s">
        <v>96</v>
      </c>
      <c r="I2841" t="s">
        <v>1495</v>
      </c>
      <c r="J2841">
        <v>1</v>
      </c>
      <c r="K2841" t="s">
        <v>42</v>
      </c>
      <c r="L2841">
        <v>4</v>
      </c>
      <c r="M2841">
        <f>0.2*0.2</f>
        <v>4.0000000000000008E-2</v>
      </c>
      <c r="N2841" t="s">
        <v>132</v>
      </c>
      <c r="O2841" t="s">
        <v>1607</v>
      </c>
      <c r="P2841" t="s">
        <v>1608</v>
      </c>
      <c r="Q2841" s="1" t="s">
        <v>2276</v>
      </c>
      <c r="R2841" s="1" t="s">
        <v>669</v>
      </c>
      <c r="S2841" s="1" t="s">
        <v>168</v>
      </c>
      <c r="X2841" t="s">
        <v>211</v>
      </c>
      <c r="Y2841" t="s">
        <v>2279</v>
      </c>
      <c r="Z2841" t="s">
        <v>2280</v>
      </c>
      <c r="AA2841" t="s">
        <v>2358</v>
      </c>
      <c r="AB2841" t="s">
        <v>2290</v>
      </c>
      <c r="AC2841" t="s">
        <v>152</v>
      </c>
      <c r="AD2841" t="s">
        <v>2278</v>
      </c>
    </row>
    <row r="2842" spans="1:45" x14ac:dyDescent="0.2">
      <c r="A2842" t="s">
        <v>1605</v>
      </c>
      <c r="B2842" t="s">
        <v>1606</v>
      </c>
      <c r="C2842">
        <v>2013</v>
      </c>
      <c r="D2842" t="s">
        <v>811</v>
      </c>
      <c r="F2842" t="s">
        <v>628</v>
      </c>
      <c r="G2842" s="1" t="s">
        <v>86</v>
      </c>
      <c r="H2842" t="s">
        <v>96</v>
      </c>
      <c r="I2842" t="s">
        <v>1495</v>
      </c>
      <c r="J2842">
        <v>1</v>
      </c>
      <c r="K2842" t="s">
        <v>42</v>
      </c>
      <c r="L2842">
        <v>4</v>
      </c>
      <c r="M2842">
        <f>0.2*0.2</f>
        <v>4.0000000000000008E-2</v>
      </c>
      <c r="N2842" t="s">
        <v>132</v>
      </c>
      <c r="O2842" t="s">
        <v>1607</v>
      </c>
      <c r="P2842" t="s">
        <v>1608</v>
      </c>
      <c r="Q2842" s="1" t="s">
        <v>2276</v>
      </c>
      <c r="R2842" s="1" t="s">
        <v>669</v>
      </c>
      <c r="S2842" s="1" t="s">
        <v>168</v>
      </c>
      <c r="T2842" t="s">
        <v>421</v>
      </c>
      <c r="U2842" t="s">
        <v>421</v>
      </c>
      <c r="X2842" t="s">
        <v>161</v>
      </c>
      <c r="Y2842" t="s">
        <v>2272</v>
      </c>
      <c r="Z2842" t="s">
        <v>2272</v>
      </c>
      <c r="AA2842" t="s">
        <v>2272</v>
      </c>
      <c r="AB2842" t="s">
        <v>2272</v>
      </c>
      <c r="AC2842" t="s">
        <v>162</v>
      </c>
      <c r="AD2842" t="s">
        <v>2272</v>
      </c>
      <c r="AF2842" t="s">
        <v>49</v>
      </c>
      <c r="AI2842" t="s">
        <v>49</v>
      </c>
      <c r="AM2842" t="s">
        <v>192</v>
      </c>
      <c r="AN2842" t="s">
        <v>154</v>
      </c>
      <c r="AQ2842" s="5">
        <v>1</v>
      </c>
    </row>
    <row r="2843" spans="1:45" x14ac:dyDescent="0.2">
      <c r="A2843" t="s">
        <v>1605</v>
      </c>
      <c r="B2843" t="s">
        <v>1606</v>
      </c>
      <c r="C2843">
        <v>2013</v>
      </c>
      <c r="D2843" t="s">
        <v>811</v>
      </c>
      <c r="F2843" t="s">
        <v>628</v>
      </c>
      <c r="G2843" s="1" t="s">
        <v>86</v>
      </c>
      <c r="H2843" t="s">
        <v>96</v>
      </c>
      <c r="I2843" t="s">
        <v>1495</v>
      </c>
      <c r="J2843">
        <v>1</v>
      </c>
      <c r="K2843" t="s">
        <v>42</v>
      </c>
      <c r="L2843">
        <v>4</v>
      </c>
      <c r="M2843">
        <f>0.2*0.2</f>
        <v>4.0000000000000008E-2</v>
      </c>
      <c r="N2843" t="s">
        <v>132</v>
      </c>
      <c r="O2843" t="s">
        <v>1607</v>
      </c>
      <c r="P2843" t="s">
        <v>1608</v>
      </c>
      <c r="Q2843" s="1" t="s">
        <v>2276</v>
      </c>
      <c r="R2843" s="1" t="s">
        <v>669</v>
      </c>
      <c r="S2843" s="1" t="s">
        <v>168</v>
      </c>
      <c r="T2843" t="s">
        <v>421</v>
      </c>
      <c r="U2843" t="s">
        <v>421</v>
      </c>
      <c r="X2843" t="s">
        <v>161</v>
      </c>
      <c r="Y2843" t="s">
        <v>2272</v>
      </c>
      <c r="Z2843" t="s">
        <v>2272</v>
      </c>
      <c r="AA2843" t="s">
        <v>2272</v>
      </c>
      <c r="AB2843" t="s">
        <v>2272</v>
      </c>
      <c r="AC2843" t="s">
        <v>162</v>
      </c>
      <c r="AD2843" t="s">
        <v>2272</v>
      </c>
      <c r="AF2843" t="s">
        <v>49</v>
      </c>
      <c r="AI2843" t="s">
        <v>49</v>
      </c>
      <c r="AM2843" t="s">
        <v>192</v>
      </c>
      <c r="AN2843" t="s">
        <v>165</v>
      </c>
      <c r="AP2843" t="s">
        <v>49</v>
      </c>
    </row>
    <row r="2844" spans="1:45" x14ac:dyDescent="0.2">
      <c r="A2844" t="s">
        <v>1605</v>
      </c>
      <c r="B2844" t="s">
        <v>1606</v>
      </c>
      <c r="C2844">
        <v>2013</v>
      </c>
      <c r="D2844" t="s">
        <v>44</v>
      </c>
      <c r="F2844" t="s">
        <v>628</v>
      </c>
      <c r="G2844" s="1" t="s">
        <v>86</v>
      </c>
      <c r="H2844" t="s">
        <v>96</v>
      </c>
      <c r="I2844">
        <v>2008</v>
      </c>
      <c r="K2844" t="s">
        <v>101</v>
      </c>
      <c r="L2844">
        <v>4</v>
      </c>
      <c r="M2844">
        <f>0.2*0.2</f>
        <v>4.0000000000000008E-2</v>
      </c>
      <c r="N2844" t="s">
        <v>132</v>
      </c>
      <c r="O2844" t="s">
        <v>1607</v>
      </c>
      <c r="P2844" t="s">
        <v>1608</v>
      </c>
      <c r="Q2844" s="1" t="s">
        <v>2276</v>
      </c>
      <c r="R2844" s="1" t="s">
        <v>669</v>
      </c>
      <c r="S2844" s="1" t="s">
        <v>168</v>
      </c>
      <c r="X2844" t="s">
        <v>211</v>
      </c>
      <c r="Y2844" t="s">
        <v>2279</v>
      </c>
      <c r="Z2844" t="s">
        <v>2280</v>
      </c>
      <c r="AA2844" t="s">
        <v>2358</v>
      </c>
      <c r="AB2844" t="s">
        <v>2290</v>
      </c>
      <c r="AC2844" t="s">
        <v>152</v>
      </c>
      <c r="AD2844" t="s">
        <v>2278</v>
      </c>
      <c r="AF2844" t="s">
        <v>49</v>
      </c>
      <c r="AI2844" t="s">
        <v>49</v>
      </c>
      <c r="AM2844" t="s">
        <v>192</v>
      </c>
      <c r="AN2844" t="s">
        <v>154</v>
      </c>
      <c r="AP2844" t="s">
        <v>157</v>
      </c>
    </row>
    <row r="2845" spans="1:45" x14ac:dyDescent="0.2">
      <c r="A2845" t="s">
        <v>1609</v>
      </c>
      <c r="B2845" t="s">
        <v>1610</v>
      </c>
      <c r="C2845">
        <v>2013</v>
      </c>
      <c r="D2845" t="s">
        <v>44</v>
      </c>
      <c r="F2845" t="s">
        <v>83</v>
      </c>
      <c r="G2845" s="1" t="s">
        <v>85</v>
      </c>
      <c r="H2845" t="s">
        <v>350</v>
      </c>
      <c r="I2845">
        <v>2011</v>
      </c>
      <c r="J2845">
        <f t="shared" ref="J2845:J2851" si="61">3/12</f>
        <v>0.25</v>
      </c>
      <c r="K2845" t="s">
        <v>101</v>
      </c>
      <c r="L2845">
        <v>9</v>
      </c>
      <c r="M2845">
        <v>0</v>
      </c>
      <c r="N2845" t="s">
        <v>1293</v>
      </c>
      <c r="O2845" t="s">
        <v>1612</v>
      </c>
      <c r="P2845" t="s">
        <v>1611</v>
      </c>
      <c r="Q2845" s="1" t="s">
        <v>2281</v>
      </c>
      <c r="R2845" s="1" t="s">
        <v>2282</v>
      </c>
      <c r="S2845" s="1" t="s">
        <v>2304</v>
      </c>
      <c r="T2845" t="s">
        <v>396</v>
      </c>
      <c r="U2845" t="s">
        <v>2341</v>
      </c>
      <c r="V2845" t="s">
        <v>194</v>
      </c>
      <c r="W2845" t="s">
        <v>1611</v>
      </c>
      <c r="X2845" t="s">
        <v>161</v>
      </c>
      <c r="Y2845" t="s">
        <v>2272</v>
      </c>
      <c r="Z2845" t="s">
        <v>2272</v>
      </c>
      <c r="AA2845" t="s">
        <v>2272</v>
      </c>
      <c r="AB2845" t="s">
        <v>2272</v>
      </c>
      <c r="AC2845" t="s">
        <v>162</v>
      </c>
      <c r="AD2845" t="s">
        <v>2272</v>
      </c>
      <c r="AF2845" t="s">
        <v>49</v>
      </c>
      <c r="AJ2845" t="s">
        <v>49</v>
      </c>
      <c r="AM2845" t="s">
        <v>257</v>
      </c>
      <c r="AN2845" t="s">
        <v>166</v>
      </c>
      <c r="AQ2845" s="5">
        <v>1</v>
      </c>
    </row>
    <row r="2846" spans="1:45" x14ac:dyDescent="0.2">
      <c r="A2846" t="s">
        <v>1609</v>
      </c>
      <c r="B2846" t="s">
        <v>1610</v>
      </c>
      <c r="C2846">
        <v>2013</v>
      </c>
      <c r="D2846" t="s">
        <v>44</v>
      </c>
      <c r="F2846" t="s">
        <v>83</v>
      </c>
      <c r="G2846" s="1" t="s">
        <v>85</v>
      </c>
      <c r="H2846" t="s">
        <v>350</v>
      </c>
      <c r="I2846">
        <v>2011</v>
      </c>
      <c r="J2846">
        <f t="shared" si="61"/>
        <v>0.25</v>
      </c>
      <c r="K2846" t="s">
        <v>101</v>
      </c>
      <c r="L2846">
        <v>9</v>
      </c>
      <c r="M2846">
        <v>0</v>
      </c>
      <c r="N2846" t="s">
        <v>1293</v>
      </c>
      <c r="O2846" t="s">
        <v>1612</v>
      </c>
      <c r="P2846" t="s">
        <v>1613</v>
      </c>
      <c r="Q2846" s="1" t="s">
        <v>2281</v>
      </c>
      <c r="R2846" s="1" t="s">
        <v>2282</v>
      </c>
      <c r="S2846" s="1" t="s">
        <v>2304</v>
      </c>
      <c r="T2846" t="s">
        <v>396</v>
      </c>
      <c r="U2846" t="s">
        <v>2341</v>
      </c>
      <c r="V2846" t="s">
        <v>194</v>
      </c>
      <c r="W2846" t="s">
        <v>1611</v>
      </c>
      <c r="X2846" t="s">
        <v>161</v>
      </c>
      <c r="Y2846" t="s">
        <v>2272</v>
      </c>
      <c r="Z2846" t="s">
        <v>2272</v>
      </c>
      <c r="AA2846" t="s">
        <v>2272</v>
      </c>
      <c r="AB2846" t="s">
        <v>2272</v>
      </c>
      <c r="AC2846" t="s">
        <v>162</v>
      </c>
      <c r="AD2846" t="s">
        <v>2272</v>
      </c>
      <c r="AF2846" t="s">
        <v>49</v>
      </c>
      <c r="AJ2846" t="s">
        <v>49</v>
      </c>
      <c r="AM2846" t="s">
        <v>257</v>
      </c>
      <c r="AN2846" t="s">
        <v>166</v>
      </c>
      <c r="AQ2846" s="5">
        <v>1</v>
      </c>
    </row>
    <row r="2847" spans="1:45" x14ac:dyDescent="0.2">
      <c r="A2847" t="s">
        <v>1609</v>
      </c>
      <c r="B2847" t="s">
        <v>1610</v>
      </c>
      <c r="C2847">
        <v>2013</v>
      </c>
      <c r="D2847" t="s">
        <v>44</v>
      </c>
      <c r="F2847" t="s">
        <v>83</v>
      </c>
      <c r="G2847" s="1" t="s">
        <v>85</v>
      </c>
      <c r="H2847" t="s">
        <v>350</v>
      </c>
      <c r="I2847">
        <v>2011</v>
      </c>
      <c r="J2847">
        <f t="shared" si="61"/>
        <v>0.25</v>
      </c>
      <c r="K2847" t="s">
        <v>101</v>
      </c>
      <c r="L2847">
        <v>9</v>
      </c>
      <c r="M2847">
        <v>0</v>
      </c>
      <c r="N2847" t="s">
        <v>1293</v>
      </c>
      <c r="O2847" t="s">
        <v>1612</v>
      </c>
      <c r="P2847" t="s">
        <v>1614</v>
      </c>
      <c r="Q2847" s="1" t="s">
        <v>2281</v>
      </c>
      <c r="R2847" s="1" t="s">
        <v>2282</v>
      </c>
      <c r="S2847" s="1" t="s">
        <v>2304</v>
      </c>
      <c r="T2847" t="s">
        <v>396</v>
      </c>
      <c r="U2847" t="s">
        <v>2341</v>
      </c>
      <c r="V2847" t="s">
        <v>194</v>
      </c>
      <c r="W2847" t="s">
        <v>1611</v>
      </c>
      <c r="X2847" t="s">
        <v>161</v>
      </c>
      <c r="Y2847" t="s">
        <v>2272</v>
      </c>
      <c r="Z2847" t="s">
        <v>2272</v>
      </c>
      <c r="AA2847" t="s">
        <v>2272</v>
      </c>
      <c r="AB2847" t="s">
        <v>2272</v>
      </c>
      <c r="AC2847" t="s">
        <v>162</v>
      </c>
      <c r="AD2847" t="s">
        <v>2272</v>
      </c>
      <c r="AF2847" t="s">
        <v>49</v>
      </c>
      <c r="AJ2847" t="s">
        <v>49</v>
      </c>
      <c r="AM2847" t="s">
        <v>257</v>
      </c>
      <c r="AN2847" t="s">
        <v>166</v>
      </c>
      <c r="AQ2847" s="5">
        <v>2</v>
      </c>
    </row>
    <row r="2848" spans="1:45" x14ac:dyDescent="0.2">
      <c r="A2848" t="s">
        <v>1609</v>
      </c>
      <c r="B2848" t="s">
        <v>1610</v>
      </c>
      <c r="C2848">
        <v>2013</v>
      </c>
      <c r="D2848" t="s">
        <v>44</v>
      </c>
      <c r="F2848" t="s">
        <v>83</v>
      </c>
      <c r="G2848" s="1" t="s">
        <v>85</v>
      </c>
      <c r="H2848" t="s">
        <v>350</v>
      </c>
      <c r="I2848">
        <v>2011</v>
      </c>
      <c r="J2848">
        <f t="shared" si="61"/>
        <v>0.25</v>
      </c>
      <c r="K2848" t="s">
        <v>101</v>
      </c>
      <c r="L2848">
        <v>9</v>
      </c>
      <c r="M2848">
        <v>0</v>
      </c>
      <c r="N2848" t="s">
        <v>1293</v>
      </c>
      <c r="O2848" t="s">
        <v>1612</v>
      </c>
      <c r="P2848" t="s">
        <v>1611</v>
      </c>
      <c r="Q2848" s="1" t="s">
        <v>2281</v>
      </c>
      <c r="R2848" s="1" t="s">
        <v>2282</v>
      </c>
      <c r="S2848" s="1" t="s">
        <v>2304</v>
      </c>
      <c r="T2848" t="s">
        <v>396</v>
      </c>
      <c r="U2848" t="s">
        <v>2341</v>
      </c>
      <c r="V2848" t="s">
        <v>194</v>
      </c>
      <c r="W2848" t="s">
        <v>1611</v>
      </c>
      <c r="X2848" t="s">
        <v>161</v>
      </c>
      <c r="Y2848" t="s">
        <v>2272</v>
      </c>
      <c r="Z2848" t="s">
        <v>2272</v>
      </c>
      <c r="AA2848" t="s">
        <v>2272</v>
      </c>
      <c r="AB2848" t="s">
        <v>2272</v>
      </c>
      <c r="AC2848" t="s">
        <v>162</v>
      </c>
      <c r="AD2848" t="s">
        <v>2272</v>
      </c>
      <c r="AF2848" t="s">
        <v>49</v>
      </c>
      <c r="AJ2848" t="s">
        <v>49</v>
      </c>
      <c r="AM2848" t="s">
        <v>257</v>
      </c>
      <c r="AN2848" t="s">
        <v>154</v>
      </c>
      <c r="AQ2848" s="5">
        <v>1</v>
      </c>
    </row>
    <row r="2849" spans="1:45" x14ac:dyDescent="0.2">
      <c r="A2849" t="s">
        <v>1609</v>
      </c>
      <c r="B2849" t="s">
        <v>1610</v>
      </c>
      <c r="C2849">
        <v>2013</v>
      </c>
      <c r="D2849" t="s">
        <v>44</v>
      </c>
      <c r="F2849" t="s">
        <v>83</v>
      </c>
      <c r="G2849" s="1" t="s">
        <v>85</v>
      </c>
      <c r="H2849" t="s">
        <v>350</v>
      </c>
      <c r="I2849">
        <v>2011</v>
      </c>
      <c r="J2849">
        <f t="shared" si="61"/>
        <v>0.25</v>
      </c>
      <c r="K2849" t="s">
        <v>101</v>
      </c>
      <c r="L2849">
        <v>9</v>
      </c>
      <c r="M2849">
        <v>0</v>
      </c>
      <c r="N2849" t="s">
        <v>1293</v>
      </c>
      <c r="O2849" t="s">
        <v>1612</v>
      </c>
      <c r="P2849" t="s">
        <v>1613</v>
      </c>
      <c r="Q2849" s="1" t="s">
        <v>2281</v>
      </c>
      <c r="R2849" s="1" t="s">
        <v>2282</v>
      </c>
      <c r="S2849" s="1" t="s">
        <v>2304</v>
      </c>
      <c r="T2849" t="s">
        <v>396</v>
      </c>
      <c r="U2849" t="s">
        <v>2341</v>
      </c>
      <c r="V2849" t="s">
        <v>194</v>
      </c>
      <c r="W2849" t="s">
        <v>1611</v>
      </c>
      <c r="X2849" t="s">
        <v>161</v>
      </c>
      <c r="Y2849" t="s">
        <v>2272</v>
      </c>
      <c r="Z2849" t="s">
        <v>2272</v>
      </c>
      <c r="AA2849" t="s">
        <v>2272</v>
      </c>
      <c r="AB2849" t="s">
        <v>2272</v>
      </c>
      <c r="AC2849" t="s">
        <v>162</v>
      </c>
      <c r="AD2849" t="s">
        <v>2272</v>
      </c>
      <c r="AF2849" t="s">
        <v>49</v>
      </c>
      <c r="AJ2849" t="s">
        <v>49</v>
      </c>
      <c r="AM2849" t="s">
        <v>257</v>
      </c>
      <c r="AN2849" t="s">
        <v>154</v>
      </c>
      <c r="AQ2849" s="5">
        <v>2</v>
      </c>
    </row>
    <row r="2850" spans="1:45" x14ac:dyDescent="0.2">
      <c r="A2850" t="s">
        <v>1609</v>
      </c>
      <c r="B2850" t="s">
        <v>1610</v>
      </c>
      <c r="C2850">
        <v>2013</v>
      </c>
      <c r="D2850" t="s">
        <v>44</v>
      </c>
      <c r="F2850" t="s">
        <v>83</v>
      </c>
      <c r="G2850" s="1" t="s">
        <v>85</v>
      </c>
      <c r="H2850" t="s">
        <v>350</v>
      </c>
      <c r="I2850">
        <v>2011</v>
      </c>
      <c r="J2850">
        <f t="shared" si="61"/>
        <v>0.25</v>
      </c>
      <c r="K2850" t="s">
        <v>101</v>
      </c>
      <c r="L2850">
        <v>9</v>
      </c>
      <c r="M2850">
        <v>0</v>
      </c>
      <c r="N2850" t="s">
        <v>1293</v>
      </c>
      <c r="O2850" t="s">
        <v>1612</v>
      </c>
      <c r="P2850" t="s">
        <v>1614</v>
      </c>
      <c r="Q2850" s="1" t="s">
        <v>2281</v>
      </c>
      <c r="R2850" s="1" t="s">
        <v>2282</v>
      </c>
      <c r="S2850" s="1" t="s">
        <v>2304</v>
      </c>
      <c r="T2850" t="s">
        <v>396</v>
      </c>
      <c r="U2850" t="s">
        <v>2341</v>
      </c>
      <c r="V2850" t="s">
        <v>194</v>
      </c>
      <c r="W2850" t="s">
        <v>1611</v>
      </c>
      <c r="X2850" t="s">
        <v>161</v>
      </c>
      <c r="Y2850" t="s">
        <v>2272</v>
      </c>
      <c r="Z2850" t="s">
        <v>2272</v>
      </c>
      <c r="AA2850" t="s">
        <v>2272</v>
      </c>
      <c r="AB2850" t="s">
        <v>2272</v>
      </c>
      <c r="AC2850" t="s">
        <v>162</v>
      </c>
      <c r="AD2850" t="s">
        <v>2272</v>
      </c>
      <c r="AF2850" t="s">
        <v>49</v>
      </c>
      <c r="AJ2850" t="s">
        <v>49</v>
      </c>
      <c r="AM2850" t="s">
        <v>257</v>
      </c>
      <c r="AN2850" t="s">
        <v>154</v>
      </c>
      <c r="AQ2850" s="5">
        <v>3</v>
      </c>
    </row>
    <row r="2851" spans="1:45" x14ac:dyDescent="0.2">
      <c r="A2851" t="s">
        <v>1609</v>
      </c>
      <c r="B2851" t="s">
        <v>1610</v>
      </c>
      <c r="C2851">
        <v>2013</v>
      </c>
      <c r="D2851" t="s">
        <v>44</v>
      </c>
      <c r="F2851" t="s">
        <v>83</v>
      </c>
      <c r="G2851" s="1" t="s">
        <v>85</v>
      </c>
      <c r="H2851" t="s">
        <v>350</v>
      </c>
      <c r="I2851">
        <v>2011</v>
      </c>
      <c r="J2851">
        <f t="shared" si="61"/>
        <v>0.25</v>
      </c>
      <c r="K2851" t="s">
        <v>101</v>
      </c>
      <c r="L2851">
        <v>9</v>
      </c>
      <c r="M2851">
        <v>0</v>
      </c>
      <c r="N2851" t="s">
        <v>1293</v>
      </c>
      <c r="O2851" t="s">
        <v>1612</v>
      </c>
      <c r="P2851" t="s">
        <v>1611</v>
      </c>
      <c r="Q2851" s="1" t="s">
        <v>2281</v>
      </c>
      <c r="R2851" s="1" t="s">
        <v>2282</v>
      </c>
      <c r="S2851" s="1" t="s">
        <v>2304</v>
      </c>
      <c r="V2851" t="s">
        <v>194</v>
      </c>
      <c r="W2851" t="s">
        <v>1611</v>
      </c>
      <c r="X2851" t="s">
        <v>1615</v>
      </c>
      <c r="Y2851" t="s">
        <v>2273</v>
      </c>
      <c r="Z2851" t="s">
        <v>249</v>
      </c>
      <c r="AA2851" t="s">
        <v>2359</v>
      </c>
      <c r="AB2851" t="s">
        <v>1419</v>
      </c>
      <c r="AC2851" t="s">
        <v>162</v>
      </c>
      <c r="AD2851" t="s">
        <v>137</v>
      </c>
      <c r="AF2851" t="s">
        <v>49</v>
      </c>
      <c r="AJ2851" t="s">
        <v>49</v>
      </c>
      <c r="AM2851" t="s">
        <v>257</v>
      </c>
      <c r="AN2851" t="s">
        <v>154</v>
      </c>
      <c r="AP2851" t="s">
        <v>157</v>
      </c>
    </row>
    <row r="2852" spans="1:45" x14ac:dyDescent="0.2">
      <c r="A2852" t="s">
        <v>1616</v>
      </c>
      <c r="B2852" t="s">
        <v>954</v>
      </c>
      <c r="C2852">
        <v>2013</v>
      </c>
      <c r="Q2852" s="1" t="s">
        <v>2272</v>
      </c>
      <c r="R2852" s="1" t="s">
        <v>2272</v>
      </c>
      <c r="S2852" s="1" t="s">
        <v>2272</v>
      </c>
      <c r="Y2852" t="s">
        <v>2272</v>
      </c>
      <c r="Z2852" t="s">
        <v>2272</v>
      </c>
      <c r="AA2852" t="s">
        <v>2272</v>
      </c>
      <c r="AB2852" t="s">
        <v>2272</v>
      </c>
      <c r="AD2852" t="s">
        <v>2272</v>
      </c>
      <c r="AR2852" t="s">
        <v>144</v>
      </c>
      <c r="AS2852" t="s">
        <v>2587</v>
      </c>
    </row>
    <row r="2853" spans="1:45" x14ac:dyDescent="0.2">
      <c r="A2853" t="s">
        <v>1617</v>
      </c>
      <c r="B2853" t="s">
        <v>1618</v>
      </c>
      <c r="C2853">
        <v>2013</v>
      </c>
      <c r="D2853" t="s">
        <v>44</v>
      </c>
      <c r="F2853" t="s">
        <v>83</v>
      </c>
      <c r="G2853" s="1" t="s">
        <v>85</v>
      </c>
      <c r="H2853" t="s">
        <v>96</v>
      </c>
      <c r="I2853" t="s">
        <v>1619</v>
      </c>
      <c r="K2853" t="s">
        <v>101</v>
      </c>
      <c r="L2853">
        <v>80</v>
      </c>
      <c r="M2853">
        <v>0.25</v>
      </c>
      <c r="N2853" t="s">
        <v>120</v>
      </c>
      <c r="O2853" t="s">
        <v>120</v>
      </c>
      <c r="P2853" t="s">
        <v>667</v>
      </c>
      <c r="Q2853" s="1" t="s">
        <v>2276</v>
      </c>
      <c r="R2853" s="1" t="s">
        <v>669</v>
      </c>
      <c r="S2853" s="1" t="s">
        <v>168</v>
      </c>
      <c r="T2853" t="s">
        <v>396</v>
      </c>
      <c r="X2853" t="s">
        <v>161</v>
      </c>
      <c r="Y2853" t="s">
        <v>2272</v>
      </c>
      <c r="Z2853" t="s">
        <v>2272</v>
      </c>
      <c r="AA2853" t="s">
        <v>2272</v>
      </c>
      <c r="AB2853" t="s">
        <v>2272</v>
      </c>
      <c r="AC2853" t="s">
        <v>162</v>
      </c>
      <c r="AD2853" t="s">
        <v>2272</v>
      </c>
      <c r="AF2853" t="s">
        <v>49</v>
      </c>
      <c r="AL2853" t="s">
        <v>49</v>
      </c>
      <c r="AM2853" t="s">
        <v>1622</v>
      </c>
      <c r="AN2853" t="s">
        <v>166</v>
      </c>
    </row>
    <row r="2854" spans="1:45" x14ac:dyDescent="0.2">
      <c r="A2854" t="s">
        <v>1617</v>
      </c>
      <c r="B2854" t="s">
        <v>1618</v>
      </c>
      <c r="C2854">
        <v>2013</v>
      </c>
      <c r="D2854" t="s">
        <v>44</v>
      </c>
      <c r="F2854" t="s">
        <v>83</v>
      </c>
      <c r="G2854" s="1" t="s">
        <v>85</v>
      </c>
      <c r="H2854" t="s">
        <v>96</v>
      </c>
      <c r="I2854" t="s">
        <v>1619</v>
      </c>
      <c r="K2854" t="s">
        <v>101</v>
      </c>
      <c r="L2854">
        <v>80</v>
      </c>
      <c r="M2854">
        <v>0.25</v>
      </c>
      <c r="N2854" t="s">
        <v>127</v>
      </c>
      <c r="O2854" t="s">
        <v>1620</v>
      </c>
      <c r="Q2854" s="1" t="s">
        <v>2281</v>
      </c>
      <c r="R2854" s="1" t="s">
        <v>2291</v>
      </c>
      <c r="S2854" s="1" t="s">
        <v>2291</v>
      </c>
      <c r="T2854" t="s">
        <v>396</v>
      </c>
      <c r="X2854" t="s">
        <v>161</v>
      </c>
      <c r="Y2854" t="s">
        <v>2272</v>
      </c>
      <c r="Z2854" t="s">
        <v>2272</v>
      </c>
      <c r="AA2854" t="s">
        <v>2272</v>
      </c>
      <c r="AB2854" t="s">
        <v>2272</v>
      </c>
      <c r="AC2854" t="s">
        <v>162</v>
      </c>
      <c r="AD2854" t="s">
        <v>2272</v>
      </c>
      <c r="AF2854" t="s">
        <v>49</v>
      </c>
      <c r="AL2854" t="s">
        <v>49</v>
      </c>
      <c r="AM2854" t="s">
        <v>1622</v>
      </c>
      <c r="AN2854" t="s">
        <v>166</v>
      </c>
    </row>
    <row r="2855" spans="1:45" x14ac:dyDescent="0.2">
      <c r="A2855" t="s">
        <v>1617</v>
      </c>
      <c r="B2855" t="s">
        <v>1618</v>
      </c>
      <c r="C2855">
        <v>2013</v>
      </c>
      <c r="D2855" t="s">
        <v>44</v>
      </c>
      <c r="F2855" t="s">
        <v>83</v>
      </c>
      <c r="G2855" s="1" t="s">
        <v>85</v>
      </c>
      <c r="H2855" t="s">
        <v>96</v>
      </c>
      <c r="I2855" t="s">
        <v>1619</v>
      </c>
      <c r="K2855" t="s">
        <v>101</v>
      </c>
      <c r="L2855">
        <v>80</v>
      </c>
      <c r="M2855">
        <v>0.25</v>
      </c>
      <c r="N2855" t="s">
        <v>129</v>
      </c>
      <c r="O2855" t="s">
        <v>1621</v>
      </c>
      <c r="P2855" t="s">
        <v>1234</v>
      </c>
      <c r="Q2855" s="1" t="s">
        <v>2276</v>
      </c>
      <c r="R2855" s="1" t="s">
        <v>751</v>
      </c>
      <c r="S2855" s="1" t="s">
        <v>2345</v>
      </c>
      <c r="T2855" t="s">
        <v>396</v>
      </c>
      <c r="X2855" t="s">
        <v>161</v>
      </c>
      <c r="Y2855" t="s">
        <v>2272</v>
      </c>
      <c r="Z2855" t="s">
        <v>2272</v>
      </c>
      <c r="AA2855" t="s">
        <v>2272</v>
      </c>
      <c r="AB2855" t="s">
        <v>2272</v>
      </c>
      <c r="AC2855" t="s">
        <v>162</v>
      </c>
      <c r="AD2855" t="s">
        <v>2272</v>
      </c>
      <c r="AF2855" t="s">
        <v>49</v>
      </c>
      <c r="AL2855" t="s">
        <v>49</v>
      </c>
      <c r="AM2855" t="s">
        <v>1622</v>
      </c>
      <c r="AN2855" t="s">
        <v>166</v>
      </c>
    </row>
    <row r="2856" spans="1:45" x14ac:dyDescent="0.2">
      <c r="A2856" t="s">
        <v>1617</v>
      </c>
      <c r="B2856" t="s">
        <v>1618</v>
      </c>
      <c r="C2856">
        <v>2013</v>
      </c>
      <c r="D2856" t="s">
        <v>44</v>
      </c>
      <c r="F2856" t="s">
        <v>83</v>
      </c>
      <c r="G2856" s="1" t="s">
        <v>85</v>
      </c>
      <c r="H2856" t="s">
        <v>96</v>
      </c>
      <c r="I2856" t="s">
        <v>1619</v>
      </c>
      <c r="K2856" t="s">
        <v>101</v>
      </c>
      <c r="L2856">
        <v>80</v>
      </c>
      <c r="M2856">
        <v>0.25</v>
      </c>
      <c r="N2856" t="s">
        <v>120</v>
      </c>
      <c r="O2856" t="s">
        <v>120</v>
      </c>
      <c r="P2856" t="s">
        <v>667</v>
      </c>
      <c r="Q2856" s="1" t="s">
        <v>2276</v>
      </c>
      <c r="R2856" s="1" t="s">
        <v>669</v>
      </c>
      <c r="S2856" s="1" t="s">
        <v>168</v>
      </c>
      <c r="T2856" t="s">
        <v>421</v>
      </c>
      <c r="X2856" t="s">
        <v>161</v>
      </c>
      <c r="Y2856" t="s">
        <v>2272</v>
      </c>
      <c r="Z2856" t="s">
        <v>2272</v>
      </c>
      <c r="AA2856" t="s">
        <v>2272</v>
      </c>
      <c r="AB2856" t="s">
        <v>2272</v>
      </c>
      <c r="AC2856" t="s">
        <v>162</v>
      </c>
      <c r="AD2856" t="s">
        <v>2272</v>
      </c>
      <c r="AF2856" t="s">
        <v>49</v>
      </c>
      <c r="AL2856" t="s">
        <v>49</v>
      </c>
      <c r="AM2856" t="s">
        <v>1622</v>
      </c>
      <c r="AN2856" t="s">
        <v>166</v>
      </c>
    </row>
    <row r="2857" spans="1:45" x14ac:dyDescent="0.2">
      <c r="A2857" t="s">
        <v>1617</v>
      </c>
      <c r="B2857" t="s">
        <v>1618</v>
      </c>
      <c r="C2857">
        <v>2013</v>
      </c>
      <c r="D2857" t="s">
        <v>44</v>
      </c>
      <c r="F2857" t="s">
        <v>83</v>
      </c>
      <c r="G2857" s="1" t="s">
        <v>85</v>
      </c>
      <c r="H2857" t="s">
        <v>96</v>
      </c>
      <c r="I2857" t="s">
        <v>1619</v>
      </c>
      <c r="K2857" t="s">
        <v>101</v>
      </c>
      <c r="L2857">
        <v>80</v>
      </c>
      <c r="M2857">
        <v>0.25</v>
      </c>
      <c r="N2857" t="s">
        <v>127</v>
      </c>
      <c r="O2857" t="s">
        <v>1620</v>
      </c>
      <c r="Q2857" s="1" t="s">
        <v>2281</v>
      </c>
      <c r="R2857" s="1" t="s">
        <v>2291</v>
      </c>
      <c r="S2857" s="1" t="s">
        <v>2291</v>
      </c>
      <c r="T2857" t="s">
        <v>421</v>
      </c>
      <c r="X2857" t="s">
        <v>161</v>
      </c>
      <c r="Y2857" t="s">
        <v>2272</v>
      </c>
      <c r="Z2857" t="s">
        <v>2272</v>
      </c>
      <c r="AA2857" t="s">
        <v>2272</v>
      </c>
      <c r="AB2857" t="s">
        <v>2272</v>
      </c>
      <c r="AC2857" t="s">
        <v>162</v>
      </c>
      <c r="AD2857" t="s">
        <v>2272</v>
      </c>
      <c r="AF2857" t="s">
        <v>49</v>
      </c>
      <c r="AL2857" t="s">
        <v>49</v>
      </c>
      <c r="AM2857" t="s">
        <v>1622</v>
      </c>
      <c r="AN2857" t="s">
        <v>166</v>
      </c>
    </row>
    <row r="2858" spans="1:45" x14ac:dyDescent="0.2">
      <c r="A2858" t="s">
        <v>1617</v>
      </c>
      <c r="B2858" t="s">
        <v>1618</v>
      </c>
      <c r="C2858">
        <v>2013</v>
      </c>
      <c r="D2858" t="s">
        <v>44</v>
      </c>
      <c r="F2858" t="s">
        <v>83</v>
      </c>
      <c r="G2858" s="1" t="s">
        <v>85</v>
      </c>
      <c r="H2858" t="s">
        <v>96</v>
      </c>
      <c r="I2858" t="s">
        <v>1619</v>
      </c>
      <c r="K2858" t="s">
        <v>101</v>
      </c>
      <c r="L2858">
        <v>80</v>
      </c>
      <c r="M2858">
        <v>0.25</v>
      </c>
      <c r="N2858" t="s">
        <v>129</v>
      </c>
      <c r="O2858" t="s">
        <v>1621</v>
      </c>
      <c r="P2858" t="s">
        <v>1234</v>
      </c>
      <c r="Q2858" s="1" t="s">
        <v>2276</v>
      </c>
      <c r="R2858" s="1" t="s">
        <v>751</v>
      </c>
      <c r="S2858" s="1" t="s">
        <v>2345</v>
      </c>
      <c r="T2858" t="s">
        <v>421</v>
      </c>
      <c r="X2858" t="s">
        <v>161</v>
      </c>
      <c r="Y2858" t="s">
        <v>2272</v>
      </c>
      <c r="Z2858" t="s">
        <v>2272</v>
      </c>
      <c r="AA2858" t="s">
        <v>2272</v>
      </c>
      <c r="AB2858" t="s">
        <v>2272</v>
      </c>
      <c r="AC2858" t="s">
        <v>162</v>
      </c>
      <c r="AD2858" t="s">
        <v>2272</v>
      </c>
      <c r="AF2858" t="s">
        <v>49</v>
      </c>
      <c r="AL2858" t="s">
        <v>49</v>
      </c>
      <c r="AM2858" t="s">
        <v>1622</v>
      </c>
      <c r="AN2858" t="s">
        <v>166</v>
      </c>
    </row>
    <row r="2859" spans="1:45" x14ac:dyDescent="0.2">
      <c r="A2859" t="s">
        <v>1617</v>
      </c>
      <c r="B2859" t="s">
        <v>1618</v>
      </c>
      <c r="C2859">
        <v>2013</v>
      </c>
      <c r="D2859" t="s">
        <v>44</v>
      </c>
      <c r="F2859" t="s">
        <v>83</v>
      </c>
      <c r="G2859" s="1" t="s">
        <v>85</v>
      </c>
      <c r="H2859" t="s">
        <v>96</v>
      </c>
      <c r="I2859" t="s">
        <v>1619</v>
      </c>
      <c r="K2859" t="s">
        <v>101</v>
      </c>
      <c r="L2859">
        <v>80</v>
      </c>
      <c r="M2859">
        <v>0.25</v>
      </c>
      <c r="N2859" t="s">
        <v>120</v>
      </c>
      <c r="O2859" t="s">
        <v>120</v>
      </c>
      <c r="P2859" t="s">
        <v>667</v>
      </c>
      <c r="Q2859" s="1" t="s">
        <v>2276</v>
      </c>
      <c r="R2859" s="1" t="s">
        <v>669</v>
      </c>
      <c r="S2859" s="1" t="s">
        <v>168</v>
      </c>
      <c r="T2859" t="s">
        <v>396</v>
      </c>
      <c r="X2859" t="s">
        <v>161</v>
      </c>
      <c r="Y2859" t="s">
        <v>2272</v>
      </c>
      <c r="Z2859" t="s">
        <v>2272</v>
      </c>
      <c r="AA2859" t="s">
        <v>2272</v>
      </c>
      <c r="AB2859" t="s">
        <v>2272</v>
      </c>
      <c r="AC2859" t="s">
        <v>162</v>
      </c>
      <c r="AD2859" t="s">
        <v>2272</v>
      </c>
      <c r="AF2859" t="s">
        <v>49</v>
      </c>
      <c r="AL2859" t="s">
        <v>49</v>
      </c>
      <c r="AM2859" t="s">
        <v>1622</v>
      </c>
      <c r="AN2859" t="s">
        <v>109</v>
      </c>
      <c r="AO2859" t="s">
        <v>150</v>
      </c>
    </row>
    <row r="2860" spans="1:45" x14ac:dyDescent="0.2">
      <c r="A2860" t="s">
        <v>1617</v>
      </c>
      <c r="B2860" t="s">
        <v>1618</v>
      </c>
      <c r="C2860">
        <v>2013</v>
      </c>
      <c r="D2860" t="s">
        <v>44</v>
      </c>
      <c r="F2860" t="s">
        <v>83</v>
      </c>
      <c r="G2860" s="1" t="s">
        <v>85</v>
      </c>
      <c r="H2860" t="s">
        <v>96</v>
      </c>
      <c r="I2860" t="s">
        <v>1619</v>
      </c>
      <c r="K2860" t="s">
        <v>101</v>
      </c>
      <c r="L2860">
        <v>80</v>
      </c>
      <c r="M2860">
        <v>0.25</v>
      </c>
      <c r="N2860" t="s">
        <v>127</v>
      </c>
      <c r="O2860" t="s">
        <v>1620</v>
      </c>
      <c r="Q2860" s="1" t="s">
        <v>2281</v>
      </c>
      <c r="R2860" s="1" t="s">
        <v>2291</v>
      </c>
      <c r="S2860" s="1" t="s">
        <v>2291</v>
      </c>
      <c r="T2860" t="s">
        <v>396</v>
      </c>
      <c r="X2860" t="s">
        <v>161</v>
      </c>
      <c r="Y2860" t="s">
        <v>2272</v>
      </c>
      <c r="Z2860" t="s">
        <v>2272</v>
      </c>
      <c r="AA2860" t="s">
        <v>2272</v>
      </c>
      <c r="AB2860" t="s">
        <v>2272</v>
      </c>
      <c r="AC2860" t="s">
        <v>162</v>
      </c>
      <c r="AD2860" t="s">
        <v>2272</v>
      </c>
      <c r="AF2860" t="s">
        <v>49</v>
      </c>
      <c r="AL2860" t="s">
        <v>49</v>
      </c>
      <c r="AM2860" t="s">
        <v>1622</v>
      </c>
      <c r="AN2860" t="s">
        <v>109</v>
      </c>
      <c r="AO2860" t="s">
        <v>150</v>
      </c>
    </row>
    <row r="2861" spans="1:45" x14ac:dyDescent="0.2">
      <c r="A2861" t="s">
        <v>1617</v>
      </c>
      <c r="B2861" t="s">
        <v>1618</v>
      </c>
      <c r="C2861">
        <v>2013</v>
      </c>
      <c r="D2861" t="s">
        <v>44</v>
      </c>
      <c r="F2861" t="s">
        <v>83</v>
      </c>
      <c r="G2861" s="1" t="s">
        <v>85</v>
      </c>
      <c r="H2861" t="s">
        <v>96</v>
      </c>
      <c r="I2861" t="s">
        <v>1619</v>
      </c>
      <c r="K2861" t="s">
        <v>101</v>
      </c>
      <c r="L2861">
        <v>80</v>
      </c>
      <c r="M2861">
        <v>0.25</v>
      </c>
      <c r="N2861" t="s">
        <v>129</v>
      </c>
      <c r="O2861" t="s">
        <v>1621</v>
      </c>
      <c r="P2861" t="s">
        <v>1234</v>
      </c>
      <c r="Q2861" s="1" t="s">
        <v>2276</v>
      </c>
      <c r="R2861" s="1" t="s">
        <v>751</v>
      </c>
      <c r="S2861" s="1" t="s">
        <v>2345</v>
      </c>
      <c r="T2861" t="s">
        <v>396</v>
      </c>
      <c r="X2861" t="s">
        <v>161</v>
      </c>
      <c r="Y2861" t="s">
        <v>2272</v>
      </c>
      <c r="Z2861" t="s">
        <v>2272</v>
      </c>
      <c r="AA2861" t="s">
        <v>2272</v>
      </c>
      <c r="AB2861" t="s">
        <v>2272</v>
      </c>
      <c r="AC2861" t="s">
        <v>162</v>
      </c>
      <c r="AD2861" t="s">
        <v>2272</v>
      </c>
      <c r="AF2861" t="s">
        <v>49</v>
      </c>
      <c r="AL2861" t="s">
        <v>49</v>
      </c>
      <c r="AM2861" t="s">
        <v>1622</v>
      </c>
      <c r="AN2861" t="s">
        <v>109</v>
      </c>
      <c r="AO2861" t="s">
        <v>150</v>
      </c>
    </row>
    <row r="2862" spans="1:45" x14ac:dyDescent="0.2">
      <c r="A2862" t="s">
        <v>1617</v>
      </c>
      <c r="B2862" t="s">
        <v>1618</v>
      </c>
      <c r="C2862">
        <v>2013</v>
      </c>
      <c r="D2862" t="s">
        <v>44</v>
      </c>
      <c r="F2862" t="s">
        <v>83</v>
      </c>
      <c r="G2862" s="1" t="s">
        <v>85</v>
      </c>
      <c r="H2862" t="s">
        <v>96</v>
      </c>
      <c r="I2862" t="s">
        <v>1619</v>
      </c>
      <c r="K2862" t="s">
        <v>101</v>
      </c>
      <c r="L2862">
        <v>80</v>
      </c>
      <c r="M2862">
        <v>0.25</v>
      </c>
      <c r="N2862" t="s">
        <v>120</v>
      </c>
      <c r="O2862" t="s">
        <v>120</v>
      </c>
      <c r="P2862" t="s">
        <v>667</v>
      </c>
      <c r="Q2862" s="1" t="s">
        <v>2276</v>
      </c>
      <c r="R2862" s="1" t="s">
        <v>669</v>
      </c>
      <c r="S2862" s="1" t="s">
        <v>168</v>
      </c>
      <c r="T2862" t="s">
        <v>421</v>
      </c>
      <c r="X2862" t="s">
        <v>161</v>
      </c>
      <c r="Y2862" t="s">
        <v>2272</v>
      </c>
      <c r="Z2862" t="s">
        <v>2272</v>
      </c>
      <c r="AA2862" t="s">
        <v>2272</v>
      </c>
      <c r="AB2862" t="s">
        <v>2272</v>
      </c>
      <c r="AC2862" t="s">
        <v>162</v>
      </c>
      <c r="AD2862" t="s">
        <v>2272</v>
      </c>
      <c r="AF2862" t="s">
        <v>49</v>
      </c>
      <c r="AL2862" t="s">
        <v>49</v>
      </c>
      <c r="AM2862" t="s">
        <v>1622</v>
      </c>
      <c r="AN2862" t="s">
        <v>109</v>
      </c>
      <c r="AO2862" t="s">
        <v>150</v>
      </c>
    </row>
    <row r="2863" spans="1:45" x14ac:dyDescent="0.2">
      <c r="A2863" t="s">
        <v>1617</v>
      </c>
      <c r="B2863" t="s">
        <v>1618</v>
      </c>
      <c r="C2863">
        <v>2013</v>
      </c>
      <c r="D2863" t="s">
        <v>44</v>
      </c>
      <c r="F2863" t="s">
        <v>83</v>
      </c>
      <c r="G2863" s="1" t="s">
        <v>85</v>
      </c>
      <c r="H2863" t="s">
        <v>96</v>
      </c>
      <c r="I2863" t="s">
        <v>1619</v>
      </c>
      <c r="K2863" t="s">
        <v>101</v>
      </c>
      <c r="L2863">
        <v>80</v>
      </c>
      <c r="M2863">
        <v>0.25</v>
      </c>
      <c r="N2863" t="s">
        <v>127</v>
      </c>
      <c r="O2863" t="s">
        <v>1620</v>
      </c>
      <c r="Q2863" s="1" t="s">
        <v>2281</v>
      </c>
      <c r="R2863" s="1" t="s">
        <v>2291</v>
      </c>
      <c r="S2863" s="1" t="s">
        <v>2291</v>
      </c>
      <c r="T2863" t="s">
        <v>421</v>
      </c>
      <c r="X2863" t="s">
        <v>161</v>
      </c>
      <c r="Y2863" t="s">
        <v>2272</v>
      </c>
      <c r="Z2863" t="s">
        <v>2272</v>
      </c>
      <c r="AA2863" t="s">
        <v>2272</v>
      </c>
      <c r="AB2863" t="s">
        <v>2272</v>
      </c>
      <c r="AC2863" t="s">
        <v>162</v>
      </c>
      <c r="AD2863" t="s">
        <v>2272</v>
      </c>
      <c r="AF2863" t="s">
        <v>49</v>
      </c>
      <c r="AL2863" t="s">
        <v>49</v>
      </c>
      <c r="AM2863" t="s">
        <v>1622</v>
      </c>
      <c r="AN2863" t="s">
        <v>109</v>
      </c>
      <c r="AO2863" t="s">
        <v>150</v>
      </c>
    </row>
    <row r="2864" spans="1:45" x14ac:dyDescent="0.2">
      <c r="A2864" t="s">
        <v>1617</v>
      </c>
      <c r="B2864" t="s">
        <v>1618</v>
      </c>
      <c r="C2864">
        <v>2013</v>
      </c>
      <c r="D2864" t="s">
        <v>44</v>
      </c>
      <c r="F2864" t="s">
        <v>83</v>
      </c>
      <c r="G2864" s="1" t="s">
        <v>85</v>
      </c>
      <c r="H2864" t="s">
        <v>96</v>
      </c>
      <c r="I2864" t="s">
        <v>1619</v>
      </c>
      <c r="K2864" t="s">
        <v>101</v>
      </c>
      <c r="L2864">
        <v>80</v>
      </c>
      <c r="M2864">
        <v>0.25</v>
      </c>
      <c r="N2864" t="s">
        <v>129</v>
      </c>
      <c r="O2864" t="s">
        <v>1621</v>
      </c>
      <c r="P2864" t="s">
        <v>1234</v>
      </c>
      <c r="Q2864" s="1" t="s">
        <v>2276</v>
      </c>
      <c r="R2864" s="1" t="s">
        <v>751</v>
      </c>
      <c r="S2864" s="1" t="s">
        <v>2345</v>
      </c>
      <c r="T2864" t="s">
        <v>421</v>
      </c>
      <c r="X2864" t="s">
        <v>161</v>
      </c>
      <c r="Y2864" t="s">
        <v>2272</v>
      </c>
      <c r="Z2864" t="s">
        <v>2272</v>
      </c>
      <c r="AA2864" t="s">
        <v>2272</v>
      </c>
      <c r="AB2864" t="s">
        <v>2272</v>
      </c>
      <c r="AC2864" t="s">
        <v>162</v>
      </c>
      <c r="AD2864" t="s">
        <v>2272</v>
      </c>
      <c r="AF2864" t="s">
        <v>49</v>
      </c>
      <c r="AL2864" t="s">
        <v>49</v>
      </c>
      <c r="AM2864" t="s">
        <v>1622</v>
      </c>
      <c r="AN2864" t="s">
        <v>109</v>
      </c>
      <c r="AO2864" t="s">
        <v>150</v>
      </c>
    </row>
    <row r="2865" spans="1:45" x14ac:dyDescent="0.2">
      <c r="A2865" t="s">
        <v>1617</v>
      </c>
      <c r="B2865" t="s">
        <v>1618</v>
      </c>
      <c r="C2865">
        <v>2013</v>
      </c>
      <c r="D2865" t="s">
        <v>44</v>
      </c>
      <c r="F2865" t="s">
        <v>83</v>
      </c>
      <c r="G2865" s="1" t="s">
        <v>85</v>
      </c>
      <c r="H2865" t="s">
        <v>350</v>
      </c>
      <c r="I2865" t="s">
        <v>1623</v>
      </c>
      <c r="J2865">
        <v>1</v>
      </c>
      <c r="K2865" t="s">
        <v>42</v>
      </c>
      <c r="M2865">
        <v>0.25</v>
      </c>
      <c r="N2865" t="s">
        <v>120</v>
      </c>
      <c r="O2865" t="s">
        <v>120</v>
      </c>
      <c r="P2865" t="s">
        <v>667</v>
      </c>
      <c r="Q2865" s="1" t="s">
        <v>2276</v>
      </c>
      <c r="R2865" s="1" t="s">
        <v>669</v>
      </c>
      <c r="S2865" s="1" t="s">
        <v>168</v>
      </c>
      <c r="T2865" t="s">
        <v>396</v>
      </c>
      <c r="U2865" s="1" t="s">
        <v>2345</v>
      </c>
      <c r="X2865" t="s">
        <v>161</v>
      </c>
      <c r="Y2865" t="s">
        <v>2272</v>
      </c>
      <c r="Z2865" t="s">
        <v>2272</v>
      </c>
      <c r="AA2865" t="s">
        <v>2272</v>
      </c>
      <c r="AB2865" t="s">
        <v>2272</v>
      </c>
      <c r="AC2865" t="s">
        <v>162</v>
      </c>
      <c r="AD2865" t="s">
        <v>2272</v>
      </c>
      <c r="AF2865" t="s">
        <v>49</v>
      </c>
      <c r="AL2865" t="s">
        <v>49</v>
      </c>
      <c r="AM2865" t="s">
        <v>1624</v>
      </c>
      <c r="AN2865" t="s">
        <v>166</v>
      </c>
      <c r="AQ2865" s="5">
        <v>1</v>
      </c>
    </row>
    <row r="2866" spans="1:45" x14ac:dyDescent="0.2">
      <c r="A2866" t="s">
        <v>1617</v>
      </c>
      <c r="B2866" t="s">
        <v>1618</v>
      </c>
      <c r="C2866">
        <v>2013</v>
      </c>
      <c r="D2866" t="s">
        <v>44</v>
      </c>
      <c r="F2866" t="s">
        <v>83</v>
      </c>
      <c r="G2866" s="1" t="s">
        <v>85</v>
      </c>
      <c r="H2866" t="s">
        <v>350</v>
      </c>
      <c r="I2866" t="s">
        <v>1623</v>
      </c>
      <c r="J2866">
        <v>1</v>
      </c>
      <c r="K2866" t="s">
        <v>42</v>
      </c>
      <c r="M2866">
        <v>0.25</v>
      </c>
      <c r="N2866" t="s">
        <v>129</v>
      </c>
      <c r="O2866" t="s">
        <v>1621</v>
      </c>
      <c r="P2866" t="s">
        <v>1234</v>
      </c>
      <c r="Q2866" s="1" t="s">
        <v>2276</v>
      </c>
      <c r="R2866" s="1" t="s">
        <v>751</v>
      </c>
      <c r="S2866" s="1" t="s">
        <v>2345</v>
      </c>
      <c r="T2866" t="s">
        <v>396</v>
      </c>
      <c r="U2866" t="s">
        <v>168</v>
      </c>
      <c r="X2866" t="s">
        <v>161</v>
      </c>
      <c r="Y2866" t="s">
        <v>2272</v>
      </c>
      <c r="Z2866" t="s">
        <v>2272</v>
      </c>
      <c r="AA2866" t="s">
        <v>2272</v>
      </c>
      <c r="AB2866" t="s">
        <v>2272</v>
      </c>
      <c r="AC2866" t="s">
        <v>162</v>
      </c>
      <c r="AD2866" t="s">
        <v>2272</v>
      </c>
      <c r="AF2866" t="s">
        <v>49</v>
      </c>
      <c r="AL2866" t="s">
        <v>49</v>
      </c>
      <c r="AM2866" t="s">
        <v>1624</v>
      </c>
      <c r="AN2866" t="s">
        <v>166</v>
      </c>
      <c r="AQ2866" s="5">
        <v>2</v>
      </c>
    </row>
    <row r="2867" spans="1:45" x14ac:dyDescent="0.2">
      <c r="A2867" t="s">
        <v>1617</v>
      </c>
      <c r="B2867" t="s">
        <v>1618</v>
      </c>
      <c r="C2867">
        <v>2013</v>
      </c>
      <c r="D2867" t="s">
        <v>44</v>
      </c>
      <c r="F2867" t="s">
        <v>83</v>
      </c>
      <c r="G2867" s="1" t="s">
        <v>85</v>
      </c>
      <c r="H2867" t="s">
        <v>350</v>
      </c>
      <c r="I2867" t="s">
        <v>1623</v>
      </c>
      <c r="J2867">
        <v>1</v>
      </c>
      <c r="K2867" t="s">
        <v>42</v>
      </c>
      <c r="M2867">
        <v>0.25</v>
      </c>
      <c r="N2867" t="s">
        <v>120</v>
      </c>
      <c r="O2867" t="s">
        <v>120</v>
      </c>
      <c r="P2867" t="s">
        <v>667</v>
      </c>
      <c r="Q2867" s="1" t="s">
        <v>2276</v>
      </c>
      <c r="R2867" s="1" t="s">
        <v>669</v>
      </c>
      <c r="S2867" s="1" t="s">
        <v>168</v>
      </c>
      <c r="T2867" t="s">
        <v>421</v>
      </c>
      <c r="U2867" t="s">
        <v>421</v>
      </c>
      <c r="X2867" t="s">
        <v>161</v>
      </c>
      <c r="Y2867" t="s">
        <v>2272</v>
      </c>
      <c r="Z2867" t="s">
        <v>2272</v>
      </c>
      <c r="AA2867" t="s">
        <v>2272</v>
      </c>
      <c r="AB2867" t="s">
        <v>2272</v>
      </c>
      <c r="AC2867" t="s">
        <v>162</v>
      </c>
      <c r="AD2867" t="s">
        <v>2272</v>
      </c>
      <c r="AF2867" t="s">
        <v>49</v>
      </c>
      <c r="AL2867" t="s">
        <v>49</v>
      </c>
      <c r="AM2867" t="s">
        <v>1624</v>
      </c>
      <c r="AN2867" t="s">
        <v>166</v>
      </c>
      <c r="AQ2867" s="5">
        <v>1</v>
      </c>
    </row>
    <row r="2868" spans="1:45" x14ac:dyDescent="0.2">
      <c r="A2868" t="s">
        <v>1617</v>
      </c>
      <c r="B2868" t="s">
        <v>1618</v>
      </c>
      <c r="C2868">
        <v>2013</v>
      </c>
      <c r="D2868" t="s">
        <v>44</v>
      </c>
      <c r="F2868" t="s">
        <v>83</v>
      </c>
      <c r="G2868" s="1" t="s">
        <v>85</v>
      </c>
      <c r="H2868" t="s">
        <v>350</v>
      </c>
      <c r="I2868" t="s">
        <v>1623</v>
      </c>
      <c r="J2868">
        <v>1</v>
      </c>
      <c r="K2868" t="s">
        <v>42</v>
      </c>
      <c r="M2868">
        <v>0.25</v>
      </c>
      <c r="N2868" t="s">
        <v>129</v>
      </c>
      <c r="O2868" t="s">
        <v>1621</v>
      </c>
      <c r="P2868" t="s">
        <v>1234</v>
      </c>
      <c r="Q2868" s="1" t="s">
        <v>2276</v>
      </c>
      <c r="R2868" s="1" t="s">
        <v>751</v>
      </c>
      <c r="S2868" s="1" t="s">
        <v>2345</v>
      </c>
      <c r="T2868" t="s">
        <v>421</v>
      </c>
      <c r="U2868" t="s">
        <v>421</v>
      </c>
      <c r="X2868" t="s">
        <v>161</v>
      </c>
      <c r="Y2868" t="s">
        <v>2272</v>
      </c>
      <c r="Z2868" t="s">
        <v>2272</v>
      </c>
      <c r="AA2868" t="s">
        <v>2272</v>
      </c>
      <c r="AB2868" t="s">
        <v>2272</v>
      </c>
      <c r="AC2868" t="s">
        <v>162</v>
      </c>
      <c r="AD2868" t="s">
        <v>2272</v>
      </c>
      <c r="AF2868" t="s">
        <v>49</v>
      </c>
      <c r="AL2868" t="s">
        <v>49</v>
      </c>
      <c r="AM2868" t="s">
        <v>1624</v>
      </c>
      <c r="AN2868" t="s">
        <v>166</v>
      </c>
      <c r="AQ2868" s="5">
        <v>1</v>
      </c>
    </row>
    <row r="2869" spans="1:45" x14ac:dyDescent="0.2">
      <c r="A2869" t="s">
        <v>1617</v>
      </c>
      <c r="B2869" t="s">
        <v>1618</v>
      </c>
      <c r="C2869">
        <v>2013</v>
      </c>
      <c r="D2869" t="s">
        <v>44</v>
      </c>
      <c r="F2869" t="s">
        <v>83</v>
      </c>
      <c r="G2869" s="1" t="s">
        <v>85</v>
      </c>
      <c r="H2869" t="s">
        <v>350</v>
      </c>
      <c r="I2869" t="s">
        <v>1623</v>
      </c>
      <c r="J2869">
        <v>1</v>
      </c>
      <c r="K2869" t="s">
        <v>42</v>
      </c>
      <c r="M2869">
        <v>0.25</v>
      </c>
      <c r="N2869" t="s">
        <v>120</v>
      </c>
      <c r="O2869" t="s">
        <v>120</v>
      </c>
      <c r="P2869" t="s">
        <v>667</v>
      </c>
      <c r="Q2869" s="1" t="s">
        <v>2276</v>
      </c>
      <c r="R2869" s="1" t="s">
        <v>669</v>
      </c>
      <c r="S2869" s="1" t="s">
        <v>168</v>
      </c>
      <c r="X2869" t="s">
        <v>161</v>
      </c>
      <c r="Y2869" t="s">
        <v>2272</v>
      </c>
      <c r="Z2869" t="s">
        <v>2272</v>
      </c>
      <c r="AA2869" t="s">
        <v>2272</v>
      </c>
      <c r="AB2869" t="s">
        <v>2272</v>
      </c>
      <c r="AC2869" t="s">
        <v>162</v>
      </c>
      <c r="AD2869" t="s">
        <v>2272</v>
      </c>
      <c r="AF2869" t="s">
        <v>49</v>
      </c>
      <c r="AL2869" t="s">
        <v>49</v>
      </c>
      <c r="AM2869" t="s">
        <v>1624</v>
      </c>
      <c r="AN2869" t="s">
        <v>109</v>
      </c>
      <c r="AO2869" t="s">
        <v>1625</v>
      </c>
    </row>
    <row r="2870" spans="1:45" x14ac:dyDescent="0.2">
      <c r="A2870" t="s">
        <v>1617</v>
      </c>
      <c r="B2870" t="s">
        <v>1618</v>
      </c>
      <c r="C2870">
        <v>2013</v>
      </c>
      <c r="D2870" t="s">
        <v>44</v>
      </c>
      <c r="F2870" t="s">
        <v>83</v>
      </c>
      <c r="G2870" s="1" t="s">
        <v>85</v>
      </c>
      <c r="H2870" t="s">
        <v>350</v>
      </c>
      <c r="I2870" t="s">
        <v>1623</v>
      </c>
      <c r="J2870">
        <v>1</v>
      </c>
      <c r="K2870" t="s">
        <v>42</v>
      </c>
      <c r="M2870">
        <v>0.25</v>
      </c>
      <c r="N2870" t="s">
        <v>129</v>
      </c>
      <c r="O2870" t="s">
        <v>1621</v>
      </c>
      <c r="P2870" t="s">
        <v>1234</v>
      </c>
      <c r="Q2870" s="1" t="s">
        <v>2276</v>
      </c>
      <c r="R2870" s="1" t="s">
        <v>751</v>
      </c>
      <c r="S2870" s="1" t="s">
        <v>2345</v>
      </c>
      <c r="X2870" t="s">
        <v>161</v>
      </c>
      <c r="Y2870" t="s">
        <v>2272</v>
      </c>
      <c r="Z2870" t="s">
        <v>2272</v>
      </c>
      <c r="AA2870" t="s">
        <v>2272</v>
      </c>
      <c r="AB2870" t="s">
        <v>2272</v>
      </c>
      <c r="AC2870" t="s">
        <v>162</v>
      </c>
      <c r="AD2870" t="s">
        <v>2272</v>
      </c>
      <c r="AF2870" t="s">
        <v>49</v>
      </c>
      <c r="AL2870" t="s">
        <v>49</v>
      </c>
      <c r="AM2870" t="s">
        <v>1624</v>
      </c>
      <c r="AN2870" t="s">
        <v>109</v>
      </c>
      <c r="AO2870" t="s">
        <v>1625</v>
      </c>
    </row>
    <row r="2871" spans="1:45" x14ac:dyDescent="0.2">
      <c r="A2871" t="s">
        <v>1626</v>
      </c>
      <c r="B2871" t="s">
        <v>1627</v>
      </c>
      <c r="C2871">
        <v>2013</v>
      </c>
      <c r="Q2871" s="1" t="s">
        <v>2272</v>
      </c>
      <c r="R2871" s="1" t="s">
        <v>2272</v>
      </c>
      <c r="S2871" s="1" t="s">
        <v>2272</v>
      </c>
      <c r="Y2871" t="s">
        <v>2272</v>
      </c>
      <c r="Z2871" t="s">
        <v>2272</v>
      </c>
      <c r="AA2871" t="s">
        <v>2272</v>
      </c>
      <c r="AB2871" t="s">
        <v>2272</v>
      </c>
      <c r="AD2871" t="s">
        <v>2272</v>
      </c>
      <c r="AR2871" t="s">
        <v>144</v>
      </c>
      <c r="AS2871" t="s">
        <v>2583</v>
      </c>
    </row>
    <row r="2872" spans="1:45" x14ac:dyDescent="0.2">
      <c r="A2872" t="s">
        <v>1628</v>
      </c>
      <c r="B2872" t="s">
        <v>1629</v>
      </c>
      <c r="C2872">
        <v>2013</v>
      </c>
      <c r="D2872" t="s">
        <v>44</v>
      </c>
      <c r="F2872" t="s">
        <v>1243</v>
      </c>
      <c r="G2872" s="1" t="s">
        <v>86</v>
      </c>
      <c r="H2872" t="s">
        <v>350</v>
      </c>
      <c r="K2872" t="s">
        <v>101</v>
      </c>
      <c r="N2872" t="s">
        <v>127</v>
      </c>
      <c r="O2872" t="s">
        <v>1270</v>
      </c>
      <c r="P2872" t="s">
        <v>1514</v>
      </c>
      <c r="Q2872" s="1" t="s">
        <v>2281</v>
      </c>
      <c r="R2872" s="1" t="s">
        <v>2301</v>
      </c>
      <c r="S2872" s="1" t="s">
        <v>2303</v>
      </c>
      <c r="X2872" t="s">
        <v>189</v>
      </c>
      <c r="Y2872" t="s">
        <v>2279</v>
      </c>
      <c r="Z2872" t="s">
        <v>2280</v>
      </c>
      <c r="AA2872" t="s">
        <v>2358</v>
      </c>
      <c r="AB2872" t="s">
        <v>189</v>
      </c>
      <c r="AC2872" t="s">
        <v>152</v>
      </c>
      <c r="AD2872" t="s">
        <v>2278</v>
      </c>
    </row>
    <row r="2873" spans="1:45" x14ac:dyDescent="0.2">
      <c r="A2873" t="s">
        <v>1628</v>
      </c>
      <c r="B2873" t="s">
        <v>1629</v>
      </c>
      <c r="C2873">
        <v>2013</v>
      </c>
      <c r="D2873" t="s">
        <v>44</v>
      </c>
      <c r="F2873" t="s">
        <v>1243</v>
      </c>
      <c r="G2873" s="1" t="s">
        <v>86</v>
      </c>
      <c r="H2873" t="s">
        <v>350</v>
      </c>
      <c r="K2873" t="s">
        <v>101</v>
      </c>
      <c r="N2873" t="s">
        <v>127</v>
      </c>
      <c r="O2873" t="s">
        <v>1270</v>
      </c>
      <c r="P2873" t="s">
        <v>1514</v>
      </c>
      <c r="Q2873" s="1" t="s">
        <v>2281</v>
      </c>
      <c r="R2873" s="1" t="s">
        <v>2301</v>
      </c>
      <c r="S2873" s="1" t="s">
        <v>2303</v>
      </c>
      <c r="T2873" t="s">
        <v>421</v>
      </c>
      <c r="U2873" t="s">
        <v>421</v>
      </c>
      <c r="X2873" t="s">
        <v>161</v>
      </c>
      <c r="Y2873" t="s">
        <v>2272</v>
      </c>
      <c r="Z2873" t="s">
        <v>2272</v>
      </c>
      <c r="AA2873" t="s">
        <v>2272</v>
      </c>
      <c r="AB2873" t="s">
        <v>2272</v>
      </c>
      <c r="AC2873" t="s">
        <v>162</v>
      </c>
      <c r="AD2873" t="s">
        <v>2272</v>
      </c>
      <c r="AH2873" s="4" t="s">
        <v>49</v>
      </c>
      <c r="AL2873" t="s">
        <v>49</v>
      </c>
      <c r="AM2873" t="s">
        <v>1630</v>
      </c>
      <c r="AN2873" t="s">
        <v>166</v>
      </c>
      <c r="AQ2873" s="5">
        <v>1</v>
      </c>
    </row>
    <row r="2874" spans="1:45" x14ac:dyDescent="0.2">
      <c r="A2874" t="s">
        <v>1628</v>
      </c>
      <c r="B2874" t="s">
        <v>1629</v>
      </c>
      <c r="C2874">
        <v>2013</v>
      </c>
      <c r="D2874" t="s">
        <v>44</v>
      </c>
      <c r="F2874" t="s">
        <v>1243</v>
      </c>
      <c r="G2874" s="1" t="s">
        <v>86</v>
      </c>
      <c r="H2874" t="s">
        <v>350</v>
      </c>
      <c r="K2874" t="s">
        <v>101</v>
      </c>
      <c r="N2874" t="s">
        <v>127</v>
      </c>
      <c r="O2874" t="s">
        <v>1270</v>
      </c>
      <c r="P2874" t="s">
        <v>1514</v>
      </c>
      <c r="Q2874" s="1" t="s">
        <v>2281</v>
      </c>
      <c r="R2874" s="1" t="s">
        <v>2301</v>
      </c>
      <c r="S2874" s="1" t="s">
        <v>2303</v>
      </c>
      <c r="T2874" t="s">
        <v>421</v>
      </c>
      <c r="U2874" t="s">
        <v>421</v>
      </c>
      <c r="X2874" t="s">
        <v>161</v>
      </c>
      <c r="Y2874" t="s">
        <v>2272</v>
      </c>
      <c r="Z2874" t="s">
        <v>2272</v>
      </c>
      <c r="AA2874" t="s">
        <v>2272</v>
      </c>
      <c r="AB2874" t="s">
        <v>2272</v>
      </c>
      <c r="AC2874" t="s">
        <v>162</v>
      </c>
      <c r="AD2874" t="s">
        <v>2272</v>
      </c>
      <c r="AH2874" s="4" t="s">
        <v>49</v>
      </c>
      <c r="AL2874" t="s">
        <v>49</v>
      </c>
      <c r="AM2874" t="s">
        <v>1630</v>
      </c>
      <c r="AN2874" t="s">
        <v>109</v>
      </c>
      <c r="AO2874" t="s">
        <v>1631</v>
      </c>
      <c r="AQ2874" s="5">
        <v>1</v>
      </c>
    </row>
    <row r="2875" spans="1:45" x14ac:dyDescent="0.2">
      <c r="A2875" t="s">
        <v>1628</v>
      </c>
      <c r="B2875" t="s">
        <v>1629</v>
      </c>
      <c r="C2875">
        <v>2013</v>
      </c>
      <c r="D2875" t="s">
        <v>44</v>
      </c>
      <c r="F2875" t="s">
        <v>1243</v>
      </c>
      <c r="G2875" s="1" t="s">
        <v>86</v>
      </c>
      <c r="H2875" t="s">
        <v>350</v>
      </c>
      <c r="K2875" t="s">
        <v>101</v>
      </c>
      <c r="N2875" t="s">
        <v>127</v>
      </c>
      <c r="O2875" t="s">
        <v>1270</v>
      </c>
      <c r="P2875" t="s">
        <v>1514</v>
      </c>
      <c r="Q2875" s="1" t="s">
        <v>2281</v>
      </c>
      <c r="R2875" s="1" t="s">
        <v>2301</v>
      </c>
      <c r="S2875" s="1" t="s">
        <v>2303</v>
      </c>
      <c r="T2875" t="s">
        <v>421</v>
      </c>
      <c r="U2875" t="s">
        <v>421</v>
      </c>
      <c r="X2875" t="s">
        <v>161</v>
      </c>
      <c r="Y2875" t="s">
        <v>2272</v>
      </c>
      <c r="Z2875" t="s">
        <v>2272</v>
      </c>
      <c r="AA2875" t="s">
        <v>2272</v>
      </c>
      <c r="AB2875" t="s">
        <v>2272</v>
      </c>
      <c r="AC2875" t="s">
        <v>162</v>
      </c>
      <c r="AD2875" t="s">
        <v>2272</v>
      </c>
      <c r="AH2875" s="4" t="s">
        <v>49</v>
      </c>
      <c r="AL2875" t="s">
        <v>49</v>
      </c>
      <c r="AM2875" t="s">
        <v>1630</v>
      </c>
      <c r="AN2875" t="s">
        <v>109</v>
      </c>
      <c r="AO2875" t="s">
        <v>1632</v>
      </c>
      <c r="AQ2875" s="5">
        <v>1</v>
      </c>
    </row>
    <row r="2876" spans="1:45" x14ac:dyDescent="0.2">
      <c r="A2876" t="s">
        <v>1628</v>
      </c>
      <c r="B2876" t="s">
        <v>1629</v>
      </c>
      <c r="C2876">
        <v>2013</v>
      </c>
      <c r="D2876" t="s">
        <v>44</v>
      </c>
      <c r="F2876" t="s">
        <v>1243</v>
      </c>
      <c r="G2876" s="1" t="s">
        <v>86</v>
      </c>
      <c r="H2876" t="s">
        <v>350</v>
      </c>
      <c r="K2876" t="s">
        <v>101</v>
      </c>
      <c r="N2876" t="s">
        <v>127</v>
      </c>
      <c r="O2876" t="s">
        <v>1270</v>
      </c>
      <c r="P2876" t="s">
        <v>1514</v>
      </c>
      <c r="Q2876" s="1" t="s">
        <v>2281</v>
      </c>
      <c r="R2876" s="1" t="s">
        <v>2301</v>
      </c>
      <c r="S2876" s="1" t="s">
        <v>2303</v>
      </c>
      <c r="T2876" t="s">
        <v>421</v>
      </c>
      <c r="U2876" t="s">
        <v>421</v>
      </c>
      <c r="X2876" t="s">
        <v>161</v>
      </c>
      <c r="Y2876" t="s">
        <v>2272</v>
      </c>
      <c r="Z2876" t="s">
        <v>2272</v>
      </c>
      <c r="AA2876" t="s">
        <v>2272</v>
      </c>
      <c r="AB2876" t="s">
        <v>2272</v>
      </c>
      <c r="AC2876" t="s">
        <v>162</v>
      </c>
      <c r="AD2876" t="s">
        <v>2272</v>
      </c>
      <c r="AH2876" s="4" t="s">
        <v>49</v>
      </c>
      <c r="AL2876" t="s">
        <v>49</v>
      </c>
      <c r="AM2876" t="s">
        <v>1630</v>
      </c>
      <c r="AN2876" t="s">
        <v>109</v>
      </c>
      <c r="AO2876" t="s">
        <v>1633</v>
      </c>
      <c r="AP2876" t="s">
        <v>49</v>
      </c>
    </row>
    <row r="2877" spans="1:45" x14ac:dyDescent="0.2">
      <c r="A2877" t="s">
        <v>1634</v>
      </c>
      <c r="B2877" t="s">
        <v>1635</v>
      </c>
      <c r="C2877">
        <v>2013</v>
      </c>
      <c r="G2877" s="1"/>
      <c r="Q2877" s="1" t="s">
        <v>2272</v>
      </c>
      <c r="R2877" s="1" t="s">
        <v>2272</v>
      </c>
      <c r="S2877" s="1" t="s">
        <v>2272</v>
      </c>
      <c r="Y2877" t="s">
        <v>2272</v>
      </c>
      <c r="Z2877" t="s">
        <v>2272</v>
      </c>
      <c r="AA2877" t="s">
        <v>2272</v>
      </c>
      <c r="AB2877" t="s">
        <v>2272</v>
      </c>
      <c r="AD2877" t="s">
        <v>2272</v>
      </c>
      <c r="AR2877" t="s">
        <v>144</v>
      </c>
      <c r="AS2877" t="s">
        <v>2583</v>
      </c>
    </row>
    <row r="2878" spans="1:45" x14ac:dyDescent="0.2">
      <c r="A2878" t="s">
        <v>1636</v>
      </c>
      <c r="B2878" t="s">
        <v>1637</v>
      </c>
      <c r="C2878">
        <v>2013</v>
      </c>
      <c r="D2878" t="s">
        <v>44</v>
      </c>
      <c r="F2878" t="s">
        <v>893</v>
      </c>
      <c r="G2878" s="1" t="s">
        <v>516</v>
      </c>
      <c r="H2878" t="s">
        <v>96</v>
      </c>
      <c r="I2878" t="s">
        <v>1638</v>
      </c>
      <c r="J2878">
        <v>14</v>
      </c>
      <c r="K2878" t="s">
        <v>42</v>
      </c>
      <c r="L2878">
        <v>3</v>
      </c>
      <c r="M2878">
        <v>5.4999999999999997E-3</v>
      </c>
      <c r="N2878" t="s">
        <v>123</v>
      </c>
      <c r="O2878" t="s">
        <v>123</v>
      </c>
      <c r="P2878" t="s">
        <v>518</v>
      </c>
      <c r="Q2878" s="1" t="s">
        <v>2281</v>
      </c>
      <c r="R2878" s="1" t="s">
        <v>2282</v>
      </c>
      <c r="S2878" s="1" t="s">
        <v>123</v>
      </c>
      <c r="X2878" t="s">
        <v>228</v>
      </c>
      <c r="Y2878" t="s">
        <v>2273</v>
      </c>
      <c r="Z2878" t="s">
        <v>249</v>
      </c>
      <c r="AA2878" t="s">
        <v>2359</v>
      </c>
      <c r="AB2878" t="s">
        <v>1419</v>
      </c>
      <c r="AC2878" t="s">
        <v>162</v>
      </c>
      <c r="AD2878" t="s">
        <v>137</v>
      </c>
      <c r="AE2878" t="s">
        <v>1639</v>
      </c>
      <c r="AF2878" t="s">
        <v>49</v>
      </c>
      <c r="AG2878" t="s">
        <v>49</v>
      </c>
      <c r="AI2878" t="s">
        <v>49</v>
      </c>
      <c r="AM2878" t="s">
        <v>202</v>
      </c>
      <c r="AN2878" t="s">
        <v>165</v>
      </c>
      <c r="AP2878" t="s">
        <v>49</v>
      </c>
    </row>
    <row r="2879" spans="1:45" x14ac:dyDescent="0.2">
      <c r="A2879" t="s">
        <v>1636</v>
      </c>
      <c r="B2879" t="s">
        <v>1637</v>
      </c>
      <c r="C2879">
        <v>2013</v>
      </c>
      <c r="D2879" t="s">
        <v>44</v>
      </c>
      <c r="F2879" t="s">
        <v>893</v>
      </c>
      <c r="G2879" s="1" t="s">
        <v>516</v>
      </c>
      <c r="H2879" t="s">
        <v>96</v>
      </c>
      <c r="I2879" t="s">
        <v>1638</v>
      </c>
      <c r="J2879">
        <v>14</v>
      </c>
      <c r="K2879" t="s">
        <v>42</v>
      </c>
      <c r="L2879">
        <v>3</v>
      </c>
      <c r="M2879">
        <v>5.4999999999999997E-3</v>
      </c>
      <c r="N2879" t="s">
        <v>123</v>
      </c>
      <c r="O2879" t="s">
        <v>123</v>
      </c>
      <c r="P2879" t="s">
        <v>518</v>
      </c>
      <c r="Q2879" s="1" t="s">
        <v>2281</v>
      </c>
      <c r="R2879" s="1" t="s">
        <v>2282</v>
      </c>
      <c r="S2879" s="1" t="s">
        <v>123</v>
      </c>
      <c r="X2879" t="s">
        <v>189</v>
      </c>
      <c r="Y2879" t="s">
        <v>2279</v>
      </c>
      <c r="Z2879" t="s">
        <v>2280</v>
      </c>
      <c r="AA2879" t="s">
        <v>2358</v>
      </c>
      <c r="AB2879" t="s">
        <v>189</v>
      </c>
      <c r="AC2879" t="s">
        <v>152</v>
      </c>
      <c r="AD2879" t="s">
        <v>2278</v>
      </c>
    </row>
    <row r="2880" spans="1:45" x14ac:dyDescent="0.2">
      <c r="A2880" t="s">
        <v>1640</v>
      </c>
      <c r="B2880" t="s">
        <v>690</v>
      </c>
      <c r="C2880">
        <v>2013</v>
      </c>
      <c r="D2880" t="s">
        <v>44</v>
      </c>
      <c r="F2880" t="s">
        <v>83</v>
      </c>
      <c r="G2880" s="1" t="s">
        <v>85</v>
      </c>
      <c r="H2880" t="s">
        <v>350</v>
      </c>
      <c r="I2880">
        <v>2008</v>
      </c>
      <c r="K2880" t="s">
        <v>101</v>
      </c>
      <c r="M2880">
        <f t="shared" ref="M2880:M2890" si="62">0.5*0.5</f>
        <v>0.25</v>
      </c>
      <c r="N2880" t="s">
        <v>121</v>
      </c>
      <c r="O2880" t="s">
        <v>121</v>
      </c>
      <c r="P2880" t="s">
        <v>1373</v>
      </c>
      <c r="Q2880" s="1" t="s">
        <v>2276</v>
      </c>
      <c r="R2880" s="1" t="s">
        <v>755</v>
      </c>
      <c r="S2880" s="1" t="s">
        <v>2352</v>
      </c>
      <c r="X2880" t="s">
        <v>171</v>
      </c>
      <c r="Y2880" t="s">
        <v>2279</v>
      </c>
      <c r="Z2880" t="s">
        <v>2280</v>
      </c>
      <c r="AA2880" t="s">
        <v>2358</v>
      </c>
      <c r="AB2880" t="s">
        <v>2580</v>
      </c>
      <c r="AC2880" t="s">
        <v>152</v>
      </c>
      <c r="AD2880" t="s">
        <v>2278</v>
      </c>
      <c r="AF2880" t="s">
        <v>49</v>
      </c>
      <c r="AI2880" t="s">
        <v>49</v>
      </c>
      <c r="AM2880" t="s">
        <v>201</v>
      </c>
      <c r="AN2880" t="s">
        <v>154</v>
      </c>
      <c r="AP2880" t="s">
        <v>157</v>
      </c>
      <c r="AR2880">
        <v>1</v>
      </c>
    </row>
    <row r="2881" spans="1:45" x14ac:dyDescent="0.2">
      <c r="A2881" t="s">
        <v>1640</v>
      </c>
      <c r="B2881" t="s">
        <v>690</v>
      </c>
      <c r="C2881">
        <v>2013</v>
      </c>
      <c r="D2881" t="s">
        <v>44</v>
      </c>
      <c r="F2881" t="s">
        <v>83</v>
      </c>
      <c r="G2881" s="1" t="s">
        <v>85</v>
      </c>
      <c r="H2881" t="s">
        <v>350</v>
      </c>
      <c r="I2881">
        <v>2008</v>
      </c>
      <c r="K2881" t="s">
        <v>101</v>
      </c>
      <c r="M2881">
        <f t="shared" si="62"/>
        <v>0.25</v>
      </c>
      <c r="N2881" t="s">
        <v>121</v>
      </c>
      <c r="O2881" t="s">
        <v>121</v>
      </c>
      <c r="P2881" t="s">
        <v>1373</v>
      </c>
      <c r="Q2881" s="1" t="s">
        <v>2276</v>
      </c>
      <c r="R2881" s="1" t="s">
        <v>755</v>
      </c>
      <c r="S2881" s="1" t="s">
        <v>2352</v>
      </c>
      <c r="X2881" t="s">
        <v>171</v>
      </c>
      <c r="Y2881" t="s">
        <v>2279</v>
      </c>
      <c r="Z2881" t="s">
        <v>2280</v>
      </c>
      <c r="AA2881" t="s">
        <v>2358</v>
      </c>
      <c r="AB2881" t="s">
        <v>2580</v>
      </c>
      <c r="AC2881" t="s">
        <v>152</v>
      </c>
      <c r="AD2881" t="s">
        <v>2278</v>
      </c>
      <c r="AF2881" t="s">
        <v>49</v>
      </c>
      <c r="AI2881" t="s">
        <v>49</v>
      </c>
      <c r="AM2881" t="s">
        <v>201</v>
      </c>
      <c r="AN2881" t="s">
        <v>166</v>
      </c>
      <c r="AP2881" t="s">
        <v>157</v>
      </c>
      <c r="AR2881">
        <v>1</v>
      </c>
    </row>
    <row r="2882" spans="1:45" x14ac:dyDescent="0.2">
      <c r="A2882" t="s">
        <v>1640</v>
      </c>
      <c r="B2882" t="s">
        <v>690</v>
      </c>
      <c r="C2882">
        <v>2013</v>
      </c>
      <c r="D2882" t="s">
        <v>44</v>
      </c>
      <c r="F2882" t="s">
        <v>83</v>
      </c>
      <c r="G2882" s="1" t="s">
        <v>85</v>
      </c>
      <c r="H2882" t="s">
        <v>350</v>
      </c>
      <c r="I2882">
        <v>2008</v>
      </c>
      <c r="K2882" t="s">
        <v>101</v>
      </c>
      <c r="M2882">
        <f t="shared" si="62"/>
        <v>0.25</v>
      </c>
      <c r="N2882" t="s">
        <v>121</v>
      </c>
      <c r="O2882" t="s">
        <v>121</v>
      </c>
      <c r="P2882" t="s">
        <v>1373</v>
      </c>
      <c r="Q2882" s="1" t="s">
        <v>2276</v>
      </c>
      <c r="R2882" s="1" t="s">
        <v>755</v>
      </c>
      <c r="S2882" s="1" t="s">
        <v>2352</v>
      </c>
      <c r="X2882" t="s">
        <v>171</v>
      </c>
      <c r="Y2882" t="s">
        <v>2279</v>
      </c>
      <c r="Z2882" t="s">
        <v>2280</v>
      </c>
      <c r="AA2882" t="s">
        <v>2358</v>
      </c>
      <c r="AB2882" t="s">
        <v>2580</v>
      </c>
      <c r="AC2882" t="s">
        <v>152</v>
      </c>
      <c r="AD2882" t="s">
        <v>2278</v>
      </c>
      <c r="AG2882" t="s">
        <v>49</v>
      </c>
      <c r="AI2882" t="s">
        <v>49</v>
      </c>
      <c r="AM2882" t="s">
        <v>442</v>
      </c>
      <c r="AN2882" t="s">
        <v>154</v>
      </c>
      <c r="AP2882" t="s">
        <v>51</v>
      </c>
      <c r="AR2882">
        <v>1</v>
      </c>
    </row>
    <row r="2883" spans="1:45" x14ac:dyDescent="0.2">
      <c r="A2883" t="s">
        <v>1640</v>
      </c>
      <c r="B2883" t="s">
        <v>690</v>
      </c>
      <c r="C2883">
        <v>2013</v>
      </c>
      <c r="D2883" t="s">
        <v>44</v>
      </c>
      <c r="F2883" t="s">
        <v>83</v>
      </c>
      <c r="G2883" s="1" t="s">
        <v>85</v>
      </c>
      <c r="H2883" t="s">
        <v>350</v>
      </c>
      <c r="I2883">
        <v>2008</v>
      </c>
      <c r="K2883" t="s">
        <v>101</v>
      </c>
      <c r="M2883">
        <f t="shared" si="62"/>
        <v>0.25</v>
      </c>
      <c r="N2883" t="s">
        <v>121</v>
      </c>
      <c r="O2883" t="s">
        <v>121</v>
      </c>
      <c r="P2883" t="s">
        <v>1373</v>
      </c>
      <c r="Q2883" s="1" t="s">
        <v>2276</v>
      </c>
      <c r="R2883" s="1" t="s">
        <v>755</v>
      </c>
      <c r="S2883" s="1" t="s">
        <v>2352</v>
      </c>
      <c r="X2883" t="s">
        <v>171</v>
      </c>
      <c r="Y2883" t="s">
        <v>2279</v>
      </c>
      <c r="Z2883" t="s">
        <v>2280</v>
      </c>
      <c r="AA2883" t="s">
        <v>2358</v>
      </c>
      <c r="AB2883" t="s">
        <v>2580</v>
      </c>
      <c r="AC2883" t="s">
        <v>152</v>
      </c>
      <c r="AD2883" t="s">
        <v>2278</v>
      </c>
      <c r="AG2883" t="s">
        <v>49</v>
      </c>
      <c r="AI2883" t="s">
        <v>49</v>
      </c>
      <c r="AM2883" t="s">
        <v>442</v>
      </c>
      <c r="AN2883" t="s">
        <v>166</v>
      </c>
      <c r="AP2883" t="s">
        <v>173</v>
      </c>
      <c r="AR2883">
        <v>1</v>
      </c>
    </row>
    <row r="2884" spans="1:45" x14ac:dyDescent="0.2">
      <c r="A2884" t="s">
        <v>1640</v>
      </c>
      <c r="B2884" t="s">
        <v>690</v>
      </c>
      <c r="C2884">
        <v>2013</v>
      </c>
      <c r="D2884" t="s">
        <v>811</v>
      </c>
      <c r="F2884" t="s">
        <v>83</v>
      </c>
      <c r="G2884" s="1" t="s">
        <v>85</v>
      </c>
      <c r="H2884" t="s">
        <v>350</v>
      </c>
      <c r="I2884">
        <v>2008</v>
      </c>
      <c r="J2884">
        <v>0.42</v>
      </c>
      <c r="K2884" t="s">
        <v>109</v>
      </c>
      <c r="M2884">
        <f t="shared" si="62"/>
        <v>0.25</v>
      </c>
      <c r="N2884" t="s">
        <v>121</v>
      </c>
      <c r="O2884" t="s">
        <v>121</v>
      </c>
      <c r="P2884" t="s">
        <v>1373</v>
      </c>
      <c r="Q2884" s="1" t="s">
        <v>2276</v>
      </c>
      <c r="R2884" s="1" t="s">
        <v>755</v>
      </c>
      <c r="S2884" s="1" t="s">
        <v>2352</v>
      </c>
      <c r="X2884" t="s">
        <v>171</v>
      </c>
      <c r="Y2884" t="s">
        <v>2279</v>
      </c>
      <c r="Z2884" t="s">
        <v>2280</v>
      </c>
      <c r="AA2884" t="s">
        <v>2358</v>
      </c>
      <c r="AB2884" t="s">
        <v>2580</v>
      </c>
      <c r="AC2884" t="s">
        <v>152</v>
      </c>
      <c r="AD2884" t="s">
        <v>2278</v>
      </c>
      <c r="AG2884" t="s">
        <v>49</v>
      </c>
      <c r="AL2884" t="s">
        <v>49</v>
      </c>
      <c r="AM2884" t="s">
        <v>1643</v>
      </c>
      <c r="AN2884" t="s">
        <v>109</v>
      </c>
      <c r="AO2884" t="s">
        <v>790</v>
      </c>
      <c r="AP2884" t="s">
        <v>173</v>
      </c>
    </row>
    <row r="2885" spans="1:45" x14ac:dyDescent="0.2">
      <c r="A2885" t="s">
        <v>1640</v>
      </c>
      <c r="B2885" t="s">
        <v>690</v>
      </c>
      <c r="C2885">
        <v>2013</v>
      </c>
      <c r="D2885" t="s">
        <v>811</v>
      </c>
      <c r="F2885" t="s">
        <v>83</v>
      </c>
      <c r="G2885" s="1" t="s">
        <v>85</v>
      </c>
      <c r="H2885" t="s">
        <v>350</v>
      </c>
      <c r="I2885">
        <v>2008</v>
      </c>
      <c r="J2885">
        <v>0.42</v>
      </c>
      <c r="K2885" t="s">
        <v>109</v>
      </c>
      <c r="M2885">
        <f t="shared" si="62"/>
        <v>0.25</v>
      </c>
      <c r="N2885" t="s">
        <v>121</v>
      </c>
      <c r="O2885" t="s">
        <v>121</v>
      </c>
      <c r="P2885" t="s">
        <v>1373</v>
      </c>
      <c r="Q2885" s="1" t="s">
        <v>2276</v>
      </c>
      <c r="R2885" s="1" t="s">
        <v>755</v>
      </c>
      <c r="S2885" s="1" t="s">
        <v>2352</v>
      </c>
      <c r="X2885" t="s">
        <v>171</v>
      </c>
      <c r="Y2885" t="s">
        <v>2279</v>
      </c>
      <c r="Z2885" t="s">
        <v>2280</v>
      </c>
      <c r="AA2885" t="s">
        <v>2358</v>
      </c>
      <c r="AB2885" t="s">
        <v>2580</v>
      </c>
      <c r="AC2885" t="s">
        <v>152</v>
      </c>
      <c r="AD2885" t="s">
        <v>2278</v>
      </c>
      <c r="AF2885" t="s">
        <v>49</v>
      </c>
      <c r="AL2885" t="s">
        <v>49</v>
      </c>
      <c r="AM2885" t="s">
        <v>1642</v>
      </c>
      <c r="AN2885" t="s">
        <v>109</v>
      </c>
      <c r="AO2885" t="s">
        <v>790</v>
      </c>
      <c r="AP2885" t="s">
        <v>51</v>
      </c>
    </row>
    <row r="2886" spans="1:45" x14ac:dyDescent="0.2">
      <c r="A2886" t="s">
        <v>1640</v>
      </c>
      <c r="B2886" t="s">
        <v>690</v>
      </c>
      <c r="C2886">
        <v>2013</v>
      </c>
      <c r="D2886" t="s">
        <v>811</v>
      </c>
      <c r="F2886" t="s">
        <v>83</v>
      </c>
      <c r="G2886" s="1" t="s">
        <v>85</v>
      </c>
      <c r="H2886" t="s">
        <v>350</v>
      </c>
      <c r="I2886">
        <v>2008</v>
      </c>
      <c r="J2886">
        <v>0.42</v>
      </c>
      <c r="K2886" t="s">
        <v>109</v>
      </c>
      <c r="M2886">
        <f t="shared" si="62"/>
        <v>0.25</v>
      </c>
      <c r="N2886" t="s">
        <v>121</v>
      </c>
      <c r="O2886" t="s">
        <v>121</v>
      </c>
      <c r="P2886" t="s">
        <v>1373</v>
      </c>
      <c r="Q2886" s="1" t="s">
        <v>2276</v>
      </c>
      <c r="R2886" s="1" t="s">
        <v>755</v>
      </c>
      <c r="S2886" s="1" t="s">
        <v>2352</v>
      </c>
      <c r="X2886" t="s">
        <v>171</v>
      </c>
      <c r="Y2886" t="s">
        <v>2279</v>
      </c>
      <c r="Z2886" t="s">
        <v>2280</v>
      </c>
      <c r="AA2886" t="s">
        <v>2358</v>
      </c>
      <c r="AB2886" t="s">
        <v>2580</v>
      </c>
      <c r="AC2886" t="s">
        <v>152</v>
      </c>
      <c r="AD2886" t="s">
        <v>2278</v>
      </c>
      <c r="AF2886" t="s">
        <v>49</v>
      </c>
      <c r="AG2886" t="s">
        <v>49</v>
      </c>
      <c r="AL2886" t="s">
        <v>49</v>
      </c>
      <c r="AM2886" t="s">
        <v>1641</v>
      </c>
      <c r="AN2886" t="s">
        <v>109</v>
      </c>
      <c r="AO2886" t="s">
        <v>1644</v>
      </c>
      <c r="AP2886" t="s">
        <v>173</v>
      </c>
    </row>
    <row r="2887" spans="1:45" x14ac:dyDescent="0.2">
      <c r="A2887" t="s">
        <v>1640</v>
      </c>
      <c r="B2887" t="s">
        <v>690</v>
      </c>
      <c r="C2887">
        <v>2013</v>
      </c>
      <c r="D2887" t="s">
        <v>811</v>
      </c>
      <c r="F2887" t="s">
        <v>83</v>
      </c>
      <c r="G2887" s="1" t="s">
        <v>85</v>
      </c>
      <c r="H2887" t="s">
        <v>350</v>
      </c>
      <c r="I2887">
        <v>2008</v>
      </c>
      <c r="J2887">
        <v>0.42</v>
      </c>
      <c r="K2887" t="s">
        <v>109</v>
      </c>
      <c r="M2887">
        <f t="shared" si="62"/>
        <v>0.25</v>
      </c>
      <c r="N2887" t="s">
        <v>121</v>
      </c>
      <c r="O2887" t="s">
        <v>121</v>
      </c>
      <c r="P2887" t="s">
        <v>1373</v>
      </c>
      <c r="Q2887" s="1" t="s">
        <v>2276</v>
      </c>
      <c r="R2887" s="1" t="s">
        <v>755</v>
      </c>
      <c r="S2887" s="1" t="s">
        <v>2352</v>
      </c>
      <c r="X2887" t="s">
        <v>171</v>
      </c>
      <c r="Y2887" t="s">
        <v>2279</v>
      </c>
      <c r="Z2887" t="s">
        <v>2280</v>
      </c>
      <c r="AA2887" t="s">
        <v>2358</v>
      </c>
      <c r="AB2887" t="s">
        <v>2580</v>
      </c>
      <c r="AC2887" t="s">
        <v>152</v>
      </c>
      <c r="AD2887" t="s">
        <v>2278</v>
      </c>
      <c r="AF2887" t="s">
        <v>49</v>
      </c>
      <c r="AG2887" t="s">
        <v>49</v>
      </c>
      <c r="AL2887" t="s">
        <v>49</v>
      </c>
      <c r="AM2887" t="s">
        <v>1641</v>
      </c>
      <c r="AN2887" t="s">
        <v>109</v>
      </c>
      <c r="AO2887" t="s">
        <v>228</v>
      </c>
      <c r="AP2887" t="s">
        <v>51</v>
      </c>
    </row>
    <row r="2888" spans="1:45" x14ac:dyDescent="0.2">
      <c r="A2888" t="s">
        <v>1640</v>
      </c>
      <c r="B2888" t="s">
        <v>690</v>
      </c>
      <c r="C2888">
        <v>2013</v>
      </c>
      <c r="D2888" t="s">
        <v>811</v>
      </c>
      <c r="F2888" t="s">
        <v>83</v>
      </c>
      <c r="G2888" s="1" t="s">
        <v>85</v>
      </c>
      <c r="H2888" t="s">
        <v>350</v>
      </c>
      <c r="I2888">
        <v>2008</v>
      </c>
      <c r="J2888">
        <v>0.42</v>
      </c>
      <c r="K2888" t="s">
        <v>109</v>
      </c>
      <c r="M2888">
        <f t="shared" si="62"/>
        <v>0.25</v>
      </c>
      <c r="N2888" t="s">
        <v>121</v>
      </c>
      <c r="O2888" t="s">
        <v>121</v>
      </c>
      <c r="P2888" t="s">
        <v>1373</v>
      </c>
      <c r="Q2888" s="1" t="s">
        <v>2276</v>
      </c>
      <c r="R2888" s="1" t="s">
        <v>755</v>
      </c>
      <c r="S2888" s="1" t="s">
        <v>2352</v>
      </c>
      <c r="X2888" t="s">
        <v>171</v>
      </c>
      <c r="Y2888" t="s">
        <v>2279</v>
      </c>
      <c r="Z2888" t="s">
        <v>2280</v>
      </c>
      <c r="AA2888" t="s">
        <v>2358</v>
      </c>
      <c r="AB2888" t="s">
        <v>2580</v>
      </c>
      <c r="AC2888" t="s">
        <v>152</v>
      </c>
      <c r="AD2888" t="s">
        <v>2278</v>
      </c>
      <c r="AF2888" t="s">
        <v>49</v>
      </c>
      <c r="AG2888" t="s">
        <v>49</v>
      </c>
      <c r="AL2888" t="s">
        <v>49</v>
      </c>
      <c r="AM2888" t="s">
        <v>1641</v>
      </c>
      <c r="AN2888" t="s">
        <v>109</v>
      </c>
      <c r="AO2888" t="s">
        <v>452</v>
      </c>
      <c r="AP2888" t="s">
        <v>51</v>
      </c>
    </row>
    <row r="2889" spans="1:45" x14ac:dyDescent="0.2">
      <c r="A2889" t="s">
        <v>1640</v>
      </c>
      <c r="B2889" t="s">
        <v>690</v>
      </c>
      <c r="C2889">
        <v>2013</v>
      </c>
      <c r="D2889" t="s">
        <v>811</v>
      </c>
      <c r="F2889" t="s">
        <v>83</v>
      </c>
      <c r="G2889" s="1" t="s">
        <v>85</v>
      </c>
      <c r="H2889" t="s">
        <v>350</v>
      </c>
      <c r="I2889">
        <v>2008</v>
      </c>
      <c r="J2889">
        <v>0.42</v>
      </c>
      <c r="K2889" t="s">
        <v>109</v>
      </c>
      <c r="M2889">
        <f t="shared" si="62"/>
        <v>0.25</v>
      </c>
      <c r="N2889" t="s">
        <v>121</v>
      </c>
      <c r="O2889" t="s">
        <v>121</v>
      </c>
      <c r="P2889" t="s">
        <v>1373</v>
      </c>
      <c r="Q2889" s="1" t="s">
        <v>2276</v>
      </c>
      <c r="R2889" s="1" t="s">
        <v>755</v>
      </c>
      <c r="S2889" s="1" t="s">
        <v>2352</v>
      </c>
      <c r="X2889" t="s">
        <v>171</v>
      </c>
      <c r="Y2889" t="s">
        <v>2279</v>
      </c>
      <c r="Z2889" t="s">
        <v>2280</v>
      </c>
      <c r="AA2889" t="s">
        <v>2358</v>
      </c>
      <c r="AB2889" t="s">
        <v>2580</v>
      </c>
      <c r="AC2889" t="s">
        <v>152</v>
      </c>
      <c r="AD2889" t="s">
        <v>2278</v>
      </c>
      <c r="AG2889" t="s">
        <v>49</v>
      </c>
      <c r="AI2889" t="s">
        <v>49</v>
      </c>
      <c r="AM2889" t="s">
        <v>442</v>
      </c>
      <c r="AN2889" t="s">
        <v>154</v>
      </c>
      <c r="AP2889" t="s">
        <v>51</v>
      </c>
    </row>
    <row r="2890" spans="1:45" x14ac:dyDescent="0.2">
      <c r="A2890" t="s">
        <v>1640</v>
      </c>
      <c r="B2890" t="s">
        <v>690</v>
      </c>
      <c r="C2890">
        <v>2013</v>
      </c>
      <c r="D2890" t="s">
        <v>811</v>
      </c>
      <c r="F2890" t="s">
        <v>83</v>
      </c>
      <c r="G2890" s="1" t="s">
        <v>85</v>
      </c>
      <c r="H2890" t="s">
        <v>350</v>
      </c>
      <c r="I2890">
        <v>2008</v>
      </c>
      <c r="J2890">
        <v>0.42</v>
      </c>
      <c r="K2890" t="s">
        <v>109</v>
      </c>
      <c r="M2890">
        <f t="shared" si="62"/>
        <v>0.25</v>
      </c>
      <c r="N2890" t="s">
        <v>121</v>
      </c>
      <c r="O2890" t="s">
        <v>121</v>
      </c>
      <c r="P2890" t="s">
        <v>1373</v>
      </c>
      <c r="Q2890" s="1" t="s">
        <v>2276</v>
      </c>
      <c r="R2890" s="1" t="s">
        <v>755</v>
      </c>
      <c r="S2890" s="1" t="s">
        <v>2352</v>
      </c>
      <c r="T2890" t="s">
        <v>421</v>
      </c>
      <c r="U2890" t="s">
        <v>421</v>
      </c>
      <c r="X2890" t="s">
        <v>161</v>
      </c>
      <c r="Y2890" t="s">
        <v>2272</v>
      </c>
      <c r="Z2890" t="s">
        <v>2272</v>
      </c>
      <c r="AA2890" t="s">
        <v>2272</v>
      </c>
      <c r="AB2890" t="s">
        <v>2272</v>
      </c>
      <c r="AC2890" t="s">
        <v>162</v>
      </c>
      <c r="AD2890" t="s">
        <v>2272</v>
      </c>
      <c r="AG2890" t="s">
        <v>49</v>
      </c>
      <c r="AI2890" t="s">
        <v>49</v>
      </c>
      <c r="AM2890" t="s">
        <v>442</v>
      </c>
      <c r="AN2890" t="s">
        <v>165</v>
      </c>
      <c r="AP2890" t="s">
        <v>49</v>
      </c>
    </row>
    <row r="2891" spans="1:45" x14ac:dyDescent="0.2">
      <c r="A2891" t="s">
        <v>1645</v>
      </c>
      <c r="B2891" t="s">
        <v>1578</v>
      </c>
      <c r="C2891">
        <v>2013</v>
      </c>
      <c r="Q2891" s="1" t="s">
        <v>2272</v>
      </c>
      <c r="R2891" s="1" t="s">
        <v>2272</v>
      </c>
      <c r="S2891" s="1" t="s">
        <v>2272</v>
      </c>
      <c r="Y2891" t="s">
        <v>2272</v>
      </c>
      <c r="Z2891" t="s">
        <v>2272</v>
      </c>
      <c r="AA2891" t="s">
        <v>2272</v>
      </c>
      <c r="AB2891" t="s">
        <v>2272</v>
      </c>
      <c r="AD2891" t="s">
        <v>2272</v>
      </c>
      <c r="AR2891" t="s">
        <v>144</v>
      </c>
      <c r="AS2891" t="s">
        <v>2583</v>
      </c>
    </row>
    <row r="2892" spans="1:45" x14ac:dyDescent="0.2">
      <c r="A2892" t="s">
        <v>1646</v>
      </c>
      <c r="B2892" t="s">
        <v>1647</v>
      </c>
      <c r="C2892">
        <v>2013</v>
      </c>
      <c r="D2892" t="s">
        <v>44</v>
      </c>
      <c r="F2892" t="s">
        <v>80</v>
      </c>
      <c r="G2892" s="1" t="s">
        <v>86</v>
      </c>
      <c r="H2892" t="s">
        <v>96</v>
      </c>
      <c r="J2892">
        <v>0.42</v>
      </c>
      <c r="K2892" t="s">
        <v>109</v>
      </c>
      <c r="L2892">
        <v>9.1</v>
      </c>
      <c r="M2892">
        <f t="shared" ref="M2892:M2904" si="63">0.1*0.1</f>
        <v>1.0000000000000002E-2</v>
      </c>
      <c r="N2892" t="s">
        <v>123</v>
      </c>
      <c r="O2892" t="s">
        <v>662</v>
      </c>
      <c r="P2892" t="s">
        <v>1649</v>
      </c>
      <c r="Q2892" s="1" t="s">
        <v>2281</v>
      </c>
      <c r="R2892" s="1" t="s">
        <v>2282</v>
      </c>
      <c r="S2892" s="1" t="s">
        <v>123</v>
      </c>
      <c r="V2892" t="s">
        <v>194</v>
      </c>
      <c r="W2892" t="s">
        <v>1648</v>
      </c>
      <c r="X2892" t="s">
        <v>1650</v>
      </c>
      <c r="Y2892" t="s">
        <v>2279</v>
      </c>
      <c r="Z2892" t="s">
        <v>2280</v>
      </c>
      <c r="AA2892" t="s">
        <v>2286</v>
      </c>
      <c r="AB2892" t="s">
        <v>2305</v>
      </c>
      <c r="AC2892" t="s">
        <v>315</v>
      </c>
      <c r="AD2892" t="s">
        <v>2278</v>
      </c>
    </row>
    <row r="2893" spans="1:45" x14ac:dyDescent="0.2">
      <c r="A2893" t="s">
        <v>1646</v>
      </c>
      <c r="B2893" t="s">
        <v>1647</v>
      </c>
      <c r="C2893">
        <v>2013</v>
      </c>
      <c r="D2893" t="s">
        <v>44</v>
      </c>
      <c r="F2893" t="s">
        <v>80</v>
      </c>
      <c r="G2893" s="1" t="s">
        <v>86</v>
      </c>
      <c r="H2893" t="s">
        <v>96</v>
      </c>
      <c r="J2893">
        <v>0.42</v>
      </c>
      <c r="K2893" t="s">
        <v>109</v>
      </c>
      <c r="L2893">
        <v>9.1</v>
      </c>
      <c r="M2893">
        <f t="shared" si="63"/>
        <v>1.0000000000000002E-2</v>
      </c>
      <c r="N2893" t="s">
        <v>123</v>
      </c>
      <c r="O2893" t="s">
        <v>662</v>
      </c>
      <c r="P2893" t="s">
        <v>1649</v>
      </c>
      <c r="Q2893" s="1" t="s">
        <v>2281</v>
      </c>
      <c r="R2893" s="1" t="s">
        <v>2282</v>
      </c>
      <c r="S2893" s="1" t="s">
        <v>123</v>
      </c>
      <c r="V2893" t="s">
        <v>194</v>
      </c>
      <c r="W2893" t="s">
        <v>1648</v>
      </c>
      <c r="X2893" t="s">
        <v>171</v>
      </c>
      <c r="Y2893" t="s">
        <v>2279</v>
      </c>
      <c r="Z2893" t="s">
        <v>2280</v>
      </c>
      <c r="AA2893" t="s">
        <v>2358</v>
      </c>
      <c r="AB2893" t="s">
        <v>2580</v>
      </c>
      <c r="AC2893" t="s">
        <v>152</v>
      </c>
      <c r="AD2893" t="s">
        <v>2278</v>
      </c>
    </row>
    <row r="2894" spans="1:45" x14ac:dyDescent="0.2">
      <c r="A2894" t="s">
        <v>1646</v>
      </c>
      <c r="B2894" t="s">
        <v>1647</v>
      </c>
      <c r="C2894">
        <v>2013</v>
      </c>
      <c r="D2894" t="s">
        <v>44</v>
      </c>
      <c r="F2894" t="s">
        <v>80</v>
      </c>
      <c r="G2894" s="1" t="s">
        <v>86</v>
      </c>
      <c r="H2894" t="s">
        <v>96</v>
      </c>
      <c r="J2894">
        <v>0.42</v>
      </c>
      <c r="K2894" t="s">
        <v>109</v>
      </c>
      <c r="L2894">
        <v>9.1</v>
      </c>
      <c r="M2894">
        <f t="shared" si="63"/>
        <v>1.0000000000000002E-2</v>
      </c>
      <c r="N2894" t="s">
        <v>123</v>
      </c>
      <c r="O2894" t="s">
        <v>662</v>
      </c>
      <c r="P2894" t="s">
        <v>1649</v>
      </c>
      <c r="Q2894" s="1" t="s">
        <v>2281</v>
      </c>
      <c r="R2894" s="1" t="s">
        <v>2282</v>
      </c>
      <c r="S2894" s="1" t="s">
        <v>123</v>
      </c>
      <c r="V2894" t="s">
        <v>194</v>
      </c>
      <c r="W2894" t="s">
        <v>1648</v>
      </c>
      <c r="X2894" t="s">
        <v>166</v>
      </c>
      <c r="Y2894" t="s">
        <v>2279</v>
      </c>
      <c r="Z2894" t="s">
        <v>2280</v>
      </c>
      <c r="AA2894" t="s">
        <v>2358</v>
      </c>
      <c r="AB2894" t="s">
        <v>189</v>
      </c>
      <c r="AC2894" t="s">
        <v>152</v>
      </c>
      <c r="AD2894" t="s">
        <v>2278</v>
      </c>
    </row>
    <row r="2895" spans="1:45" x14ac:dyDescent="0.2">
      <c r="A2895" t="s">
        <v>1646</v>
      </c>
      <c r="B2895" t="s">
        <v>1647</v>
      </c>
      <c r="C2895">
        <v>2013</v>
      </c>
      <c r="D2895" t="s">
        <v>44</v>
      </c>
      <c r="F2895" t="s">
        <v>80</v>
      </c>
      <c r="G2895" s="1" t="s">
        <v>86</v>
      </c>
      <c r="H2895" t="s">
        <v>96</v>
      </c>
      <c r="J2895">
        <v>0.42</v>
      </c>
      <c r="K2895" t="s">
        <v>109</v>
      </c>
      <c r="L2895">
        <v>9.1</v>
      </c>
      <c r="M2895">
        <f t="shared" si="63"/>
        <v>1.0000000000000002E-2</v>
      </c>
      <c r="N2895" t="s">
        <v>123</v>
      </c>
      <c r="O2895" t="s">
        <v>662</v>
      </c>
      <c r="P2895" t="s">
        <v>1649</v>
      </c>
      <c r="Q2895" s="1" t="s">
        <v>2281</v>
      </c>
      <c r="R2895" s="1" t="s">
        <v>2282</v>
      </c>
      <c r="S2895" s="1" t="s">
        <v>123</v>
      </c>
      <c r="V2895" t="s">
        <v>194</v>
      </c>
      <c r="W2895" t="s">
        <v>1648</v>
      </c>
      <c r="X2895" t="s">
        <v>1196</v>
      </c>
      <c r="Y2895" t="s">
        <v>2279</v>
      </c>
      <c r="Z2895" t="s">
        <v>2280</v>
      </c>
      <c r="AA2895" t="s">
        <v>2286</v>
      </c>
      <c r="AB2895" t="s">
        <v>2305</v>
      </c>
      <c r="AC2895" t="s">
        <v>152</v>
      </c>
      <c r="AD2895" t="s">
        <v>2278</v>
      </c>
    </row>
    <row r="2896" spans="1:45" x14ac:dyDescent="0.2">
      <c r="A2896" t="s">
        <v>1646</v>
      </c>
      <c r="B2896" t="s">
        <v>1647</v>
      </c>
      <c r="C2896">
        <v>2013</v>
      </c>
      <c r="D2896" t="s">
        <v>44</v>
      </c>
      <c r="F2896" t="s">
        <v>80</v>
      </c>
      <c r="G2896" s="1" t="s">
        <v>86</v>
      </c>
      <c r="H2896" t="s">
        <v>96</v>
      </c>
      <c r="J2896">
        <v>0.42</v>
      </c>
      <c r="K2896" t="s">
        <v>109</v>
      </c>
      <c r="L2896">
        <v>9.1</v>
      </c>
      <c r="M2896">
        <f t="shared" si="63"/>
        <v>1.0000000000000002E-2</v>
      </c>
      <c r="N2896" t="s">
        <v>123</v>
      </c>
      <c r="O2896" t="s">
        <v>662</v>
      </c>
      <c r="P2896" t="s">
        <v>1648</v>
      </c>
      <c r="Q2896" s="1" t="s">
        <v>2281</v>
      </c>
      <c r="R2896" s="1" t="s">
        <v>2282</v>
      </c>
      <c r="S2896" s="1" t="s">
        <v>123</v>
      </c>
      <c r="T2896" t="s">
        <v>396</v>
      </c>
      <c r="U2896" s="1" t="s">
        <v>123</v>
      </c>
      <c r="V2896" t="s">
        <v>194</v>
      </c>
      <c r="W2896" t="s">
        <v>1648</v>
      </c>
      <c r="X2896" t="s">
        <v>161</v>
      </c>
      <c r="Y2896" t="s">
        <v>2272</v>
      </c>
      <c r="Z2896" t="s">
        <v>2272</v>
      </c>
      <c r="AA2896" t="s">
        <v>2272</v>
      </c>
      <c r="AB2896" t="s">
        <v>2272</v>
      </c>
      <c r="AC2896" t="s">
        <v>162</v>
      </c>
      <c r="AD2896" t="s">
        <v>2272</v>
      </c>
      <c r="AF2896" t="s">
        <v>49</v>
      </c>
      <c r="AI2896" t="s">
        <v>49</v>
      </c>
      <c r="AM2896" t="s">
        <v>202</v>
      </c>
      <c r="AN2896" t="s">
        <v>166</v>
      </c>
      <c r="AQ2896" s="5">
        <v>2</v>
      </c>
    </row>
    <row r="2897" spans="1:43" x14ac:dyDescent="0.2">
      <c r="A2897" t="s">
        <v>1646</v>
      </c>
      <c r="B2897" t="s">
        <v>1647</v>
      </c>
      <c r="C2897">
        <v>2013</v>
      </c>
      <c r="D2897" t="s">
        <v>44</v>
      </c>
      <c r="F2897" t="s">
        <v>80</v>
      </c>
      <c r="G2897" s="1" t="s">
        <v>86</v>
      </c>
      <c r="H2897" t="s">
        <v>96</v>
      </c>
      <c r="J2897">
        <v>0.42</v>
      </c>
      <c r="K2897" t="s">
        <v>109</v>
      </c>
      <c r="L2897">
        <v>9.1</v>
      </c>
      <c r="M2897">
        <f t="shared" si="63"/>
        <v>1.0000000000000002E-2</v>
      </c>
      <c r="N2897" t="s">
        <v>123</v>
      </c>
      <c r="O2897" t="s">
        <v>662</v>
      </c>
      <c r="P2897" t="s">
        <v>182</v>
      </c>
      <c r="Q2897" s="1" t="s">
        <v>2281</v>
      </c>
      <c r="R2897" s="1" t="s">
        <v>2282</v>
      </c>
      <c r="S2897" s="1" t="s">
        <v>123</v>
      </c>
      <c r="T2897" t="s">
        <v>396</v>
      </c>
      <c r="U2897" s="1" t="s">
        <v>123</v>
      </c>
      <c r="V2897" t="s">
        <v>194</v>
      </c>
      <c r="W2897" t="s">
        <v>1648</v>
      </c>
      <c r="X2897" t="s">
        <v>161</v>
      </c>
      <c r="Y2897" t="s">
        <v>2272</v>
      </c>
      <c r="Z2897" t="s">
        <v>2272</v>
      </c>
      <c r="AA2897" t="s">
        <v>2272</v>
      </c>
      <c r="AB2897" t="s">
        <v>2272</v>
      </c>
      <c r="AC2897" t="s">
        <v>162</v>
      </c>
      <c r="AD2897" t="s">
        <v>2272</v>
      </c>
      <c r="AF2897" t="s">
        <v>49</v>
      </c>
      <c r="AI2897" t="s">
        <v>49</v>
      </c>
      <c r="AM2897" t="s">
        <v>202</v>
      </c>
      <c r="AN2897" t="s">
        <v>166</v>
      </c>
      <c r="AQ2897" s="5">
        <v>1</v>
      </c>
    </row>
    <row r="2898" spans="1:43" x14ac:dyDescent="0.2">
      <c r="A2898" t="s">
        <v>1646</v>
      </c>
      <c r="B2898" t="s">
        <v>1647</v>
      </c>
      <c r="C2898">
        <v>2013</v>
      </c>
      <c r="D2898" t="s">
        <v>44</v>
      </c>
      <c r="F2898" t="s">
        <v>80</v>
      </c>
      <c r="G2898" s="1" t="s">
        <v>86</v>
      </c>
      <c r="H2898" t="s">
        <v>96</v>
      </c>
      <c r="J2898">
        <v>0.42</v>
      </c>
      <c r="K2898" t="s">
        <v>109</v>
      </c>
      <c r="L2898">
        <v>9.1</v>
      </c>
      <c r="M2898">
        <f t="shared" si="63"/>
        <v>1.0000000000000002E-2</v>
      </c>
      <c r="N2898" t="s">
        <v>123</v>
      </c>
      <c r="O2898" t="s">
        <v>662</v>
      </c>
      <c r="P2898" t="s">
        <v>1649</v>
      </c>
      <c r="Q2898" s="1" t="s">
        <v>2281</v>
      </c>
      <c r="R2898" s="1" t="s">
        <v>2282</v>
      </c>
      <c r="S2898" s="1" t="s">
        <v>123</v>
      </c>
      <c r="T2898" t="s">
        <v>396</v>
      </c>
      <c r="U2898" s="1" t="s">
        <v>123</v>
      </c>
      <c r="V2898" t="s">
        <v>194</v>
      </c>
      <c r="W2898" t="s">
        <v>1648</v>
      </c>
      <c r="X2898" t="s">
        <v>161</v>
      </c>
      <c r="Y2898" t="s">
        <v>2272</v>
      </c>
      <c r="Z2898" t="s">
        <v>2272</v>
      </c>
      <c r="AA2898" t="s">
        <v>2272</v>
      </c>
      <c r="AB2898" t="s">
        <v>2272</v>
      </c>
      <c r="AC2898" t="s">
        <v>162</v>
      </c>
      <c r="AD2898" t="s">
        <v>2272</v>
      </c>
      <c r="AF2898" t="s">
        <v>49</v>
      </c>
      <c r="AI2898" t="s">
        <v>49</v>
      </c>
      <c r="AM2898" t="s">
        <v>202</v>
      </c>
      <c r="AN2898" t="s">
        <v>166</v>
      </c>
      <c r="AQ2898" s="5">
        <v>1</v>
      </c>
    </row>
    <row r="2899" spans="1:43" x14ac:dyDescent="0.2">
      <c r="A2899" t="s">
        <v>1646</v>
      </c>
      <c r="B2899" t="s">
        <v>1647</v>
      </c>
      <c r="C2899">
        <v>2013</v>
      </c>
      <c r="D2899" t="s">
        <v>44</v>
      </c>
      <c r="F2899" t="s">
        <v>80</v>
      </c>
      <c r="G2899" s="1" t="s">
        <v>86</v>
      </c>
      <c r="H2899" t="s">
        <v>96</v>
      </c>
      <c r="J2899">
        <v>0.42</v>
      </c>
      <c r="K2899" t="s">
        <v>109</v>
      </c>
      <c r="L2899">
        <v>9.1</v>
      </c>
      <c r="M2899">
        <f t="shared" si="63"/>
        <v>1.0000000000000002E-2</v>
      </c>
      <c r="N2899" t="s">
        <v>123</v>
      </c>
      <c r="O2899" t="s">
        <v>662</v>
      </c>
      <c r="P2899" t="s">
        <v>1648</v>
      </c>
      <c r="Q2899" s="1" t="s">
        <v>2281</v>
      </c>
      <c r="R2899" s="1" t="s">
        <v>2282</v>
      </c>
      <c r="S2899" s="1" t="s">
        <v>123</v>
      </c>
      <c r="T2899" t="s">
        <v>396</v>
      </c>
      <c r="U2899" s="1" t="s">
        <v>123</v>
      </c>
      <c r="V2899" t="s">
        <v>194</v>
      </c>
      <c r="W2899" t="s">
        <v>1648</v>
      </c>
      <c r="X2899" t="s">
        <v>161</v>
      </c>
      <c r="Y2899" t="s">
        <v>2272</v>
      </c>
      <c r="Z2899" t="s">
        <v>2272</v>
      </c>
      <c r="AA2899" t="s">
        <v>2272</v>
      </c>
      <c r="AB2899" t="s">
        <v>2272</v>
      </c>
      <c r="AC2899" t="s">
        <v>162</v>
      </c>
      <c r="AD2899" t="s">
        <v>2272</v>
      </c>
      <c r="AF2899" t="s">
        <v>49</v>
      </c>
      <c r="AI2899" t="s">
        <v>49</v>
      </c>
      <c r="AM2899" t="s">
        <v>202</v>
      </c>
      <c r="AN2899" t="s">
        <v>154</v>
      </c>
      <c r="AQ2899" s="5">
        <v>0</v>
      </c>
    </row>
    <row r="2900" spans="1:43" x14ac:dyDescent="0.2">
      <c r="A2900" t="s">
        <v>1646</v>
      </c>
      <c r="B2900" t="s">
        <v>1647</v>
      </c>
      <c r="C2900">
        <v>2013</v>
      </c>
      <c r="D2900" t="s">
        <v>44</v>
      </c>
      <c r="F2900" t="s">
        <v>80</v>
      </c>
      <c r="G2900" s="1" t="s">
        <v>86</v>
      </c>
      <c r="H2900" t="s">
        <v>96</v>
      </c>
      <c r="J2900">
        <v>0.42</v>
      </c>
      <c r="K2900" t="s">
        <v>109</v>
      </c>
      <c r="L2900">
        <v>9.1</v>
      </c>
      <c r="M2900">
        <f t="shared" si="63"/>
        <v>1.0000000000000002E-2</v>
      </c>
      <c r="N2900" t="s">
        <v>123</v>
      </c>
      <c r="O2900" t="s">
        <v>662</v>
      </c>
      <c r="P2900" t="s">
        <v>182</v>
      </c>
      <c r="Q2900" s="1" t="s">
        <v>2281</v>
      </c>
      <c r="R2900" s="1" t="s">
        <v>2282</v>
      </c>
      <c r="S2900" s="1" t="s">
        <v>123</v>
      </c>
      <c r="T2900" t="s">
        <v>396</v>
      </c>
      <c r="U2900" s="1" t="s">
        <v>123</v>
      </c>
      <c r="V2900" t="s">
        <v>194</v>
      </c>
      <c r="W2900" t="s">
        <v>1648</v>
      </c>
      <c r="X2900" t="s">
        <v>161</v>
      </c>
      <c r="Y2900" t="s">
        <v>2272</v>
      </c>
      <c r="Z2900" t="s">
        <v>2272</v>
      </c>
      <c r="AA2900" t="s">
        <v>2272</v>
      </c>
      <c r="AB2900" t="s">
        <v>2272</v>
      </c>
      <c r="AC2900" t="s">
        <v>162</v>
      </c>
      <c r="AD2900" t="s">
        <v>2272</v>
      </c>
      <c r="AF2900" t="s">
        <v>49</v>
      </c>
      <c r="AI2900" t="s">
        <v>49</v>
      </c>
      <c r="AM2900" t="s">
        <v>202</v>
      </c>
      <c r="AN2900" t="s">
        <v>154</v>
      </c>
      <c r="AQ2900" s="5">
        <v>0</v>
      </c>
    </row>
    <row r="2901" spans="1:43" x14ac:dyDescent="0.2">
      <c r="A2901" t="s">
        <v>1646</v>
      </c>
      <c r="B2901" t="s">
        <v>1647</v>
      </c>
      <c r="C2901">
        <v>2013</v>
      </c>
      <c r="D2901" t="s">
        <v>44</v>
      </c>
      <c r="F2901" t="s">
        <v>80</v>
      </c>
      <c r="G2901" s="1" t="s">
        <v>86</v>
      </c>
      <c r="H2901" t="s">
        <v>96</v>
      </c>
      <c r="J2901">
        <v>0.42</v>
      </c>
      <c r="K2901" t="s">
        <v>109</v>
      </c>
      <c r="L2901">
        <v>9.1</v>
      </c>
      <c r="M2901">
        <f t="shared" si="63"/>
        <v>1.0000000000000002E-2</v>
      </c>
      <c r="N2901" t="s">
        <v>123</v>
      </c>
      <c r="O2901" t="s">
        <v>662</v>
      </c>
      <c r="P2901" t="s">
        <v>1649</v>
      </c>
      <c r="Q2901" s="1" t="s">
        <v>2281</v>
      </c>
      <c r="R2901" s="1" t="s">
        <v>2282</v>
      </c>
      <c r="S2901" s="1" t="s">
        <v>123</v>
      </c>
      <c r="T2901" t="s">
        <v>396</v>
      </c>
      <c r="U2901" s="1" t="s">
        <v>123</v>
      </c>
      <c r="V2901" t="s">
        <v>194</v>
      </c>
      <c r="W2901" t="s">
        <v>1648</v>
      </c>
      <c r="X2901" t="s">
        <v>161</v>
      </c>
      <c r="Y2901" t="s">
        <v>2272</v>
      </c>
      <c r="Z2901" t="s">
        <v>2272</v>
      </c>
      <c r="AA2901" t="s">
        <v>2272</v>
      </c>
      <c r="AB2901" t="s">
        <v>2272</v>
      </c>
      <c r="AC2901" t="s">
        <v>162</v>
      </c>
      <c r="AD2901" t="s">
        <v>2272</v>
      </c>
      <c r="AF2901" t="s">
        <v>49</v>
      </c>
      <c r="AI2901" t="s">
        <v>49</v>
      </c>
      <c r="AM2901" t="s">
        <v>202</v>
      </c>
      <c r="AN2901" t="s">
        <v>154</v>
      </c>
      <c r="AQ2901" s="5">
        <v>0</v>
      </c>
    </row>
    <row r="2902" spans="1:43" x14ac:dyDescent="0.2">
      <c r="A2902" t="s">
        <v>1646</v>
      </c>
      <c r="B2902" t="s">
        <v>1647</v>
      </c>
      <c r="C2902">
        <v>2013</v>
      </c>
      <c r="D2902" t="s">
        <v>44</v>
      </c>
      <c r="F2902" t="s">
        <v>80</v>
      </c>
      <c r="G2902" s="1" t="s">
        <v>86</v>
      </c>
      <c r="H2902" t="s">
        <v>96</v>
      </c>
      <c r="J2902">
        <v>0.42</v>
      </c>
      <c r="K2902" t="s">
        <v>109</v>
      </c>
      <c r="L2902">
        <v>9.1</v>
      </c>
      <c r="M2902">
        <f t="shared" si="63"/>
        <v>1.0000000000000002E-2</v>
      </c>
      <c r="N2902" t="s">
        <v>123</v>
      </c>
      <c r="O2902" t="s">
        <v>662</v>
      </c>
      <c r="P2902" t="s">
        <v>1648</v>
      </c>
      <c r="Q2902" s="1" t="s">
        <v>2281</v>
      </c>
      <c r="R2902" s="1" t="s">
        <v>2282</v>
      </c>
      <c r="S2902" s="1" t="s">
        <v>123</v>
      </c>
      <c r="T2902" t="s">
        <v>396</v>
      </c>
      <c r="U2902" s="1" t="s">
        <v>123</v>
      </c>
      <c r="V2902" t="s">
        <v>194</v>
      </c>
      <c r="W2902" t="s">
        <v>1648</v>
      </c>
      <c r="X2902" t="s">
        <v>161</v>
      </c>
      <c r="Y2902" t="s">
        <v>2272</v>
      </c>
      <c r="Z2902" t="s">
        <v>2272</v>
      </c>
      <c r="AA2902" t="s">
        <v>2272</v>
      </c>
      <c r="AB2902" t="s">
        <v>2272</v>
      </c>
      <c r="AC2902" t="s">
        <v>162</v>
      </c>
      <c r="AD2902" t="s">
        <v>2272</v>
      </c>
      <c r="AF2902" t="s">
        <v>49</v>
      </c>
      <c r="AI2902" t="s">
        <v>49</v>
      </c>
      <c r="AM2902" t="s">
        <v>202</v>
      </c>
      <c r="AN2902" t="s">
        <v>165</v>
      </c>
      <c r="AP2902" t="s">
        <v>49</v>
      </c>
    </row>
    <row r="2903" spans="1:43" x14ac:dyDescent="0.2">
      <c r="A2903" t="s">
        <v>1646</v>
      </c>
      <c r="B2903" t="s">
        <v>1647</v>
      </c>
      <c r="C2903">
        <v>2013</v>
      </c>
      <c r="D2903" t="s">
        <v>44</v>
      </c>
      <c r="F2903" t="s">
        <v>80</v>
      </c>
      <c r="G2903" s="1" t="s">
        <v>86</v>
      </c>
      <c r="H2903" t="s">
        <v>96</v>
      </c>
      <c r="J2903">
        <v>0.42</v>
      </c>
      <c r="K2903" t="s">
        <v>109</v>
      </c>
      <c r="L2903">
        <v>9.1</v>
      </c>
      <c r="M2903">
        <f t="shared" si="63"/>
        <v>1.0000000000000002E-2</v>
      </c>
      <c r="N2903" t="s">
        <v>123</v>
      </c>
      <c r="O2903" t="s">
        <v>662</v>
      </c>
      <c r="P2903" t="s">
        <v>182</v>
      </c>
      <c r="Q2903" s="1" t="s">
        <v>2281</v>
      </c>
      <c r="R2903" s="1" t="s">
        <v>2282</v>
      </c>
      <c r="S2903" s="1" t="s">
        <v>123</v>
      </c>
      <c r="T2903" t="s">
        <v>396</v>
      </c>
      <c r="U2903" s="1" t="s">
        <v>123</v>
      </c>
      <c r="V2903" t="s">
        <v>194</v>
      </c>
      <c r="W2903" t="s">
        <v>1648</v>
      </c>
      <c r="X2903" t="s">
        <v>161</v>
      </c>
      <c r="Y2903" t="s">
        <v>2272</v>
      </c>
      <c r="Z2903" t="s">
        <v>2272</v>
      </c>
      <c r="AA2903" t="s">
        <v>2272</v>
      </c>
      <c r="AB2903" t="s">
        <v>2272</v>
      </c>
      <c r="AC2903" t="s">
        <v>162</v>
      </c>
      <c r="AD2903" t="s">
        <v>2272</v>
      </c>
      <c r="AF2903" t="s">
        <v>49</v>
      </c>
      <c r="AI2903" t="s">
        <v>49</v>
      </c>
      <c r="AM2903" t="s">
        <v>202</v>
      </c>
      <c r="AN2903" t="s">
        <v>165</v>
      </c>
      <c r="AP2903" t="s">
        <v>49</v>
      </c>
    </row>
    <row r="2904" spans="1:43" x14ac:dyDescent="0.2">
      <c r="A2904" t="s">
        <v>1646</v>
      </c>
      <c r="B2904" t="s">
        <v>1647</v>
      </c>
      <c r="C2904">
        <v>2013</v>
      </c>
      <c r="D2904" t="s">
        <v>44</v>
      </c>
      <c r="F2904" t="s">
        <v>80</v>
      </c>
      <c r="G2904" s="1" t="s">
        <v>86</v>
      </c>
      <c r="H2904" t="s">
        <v>96</v>
      </c>
      <c r="J2904">
        <v>0.42</v>
      </c>
      <c r="K2904" t="s">
        <v>109</v>
      </c>
      <c r="L2904">
        <v>9.1</v>
      </c>
      <c r="M2904">
        <f t="shared" si="63"/>
        <v>1.0000000000000002E-2</v>
      </c>
      <c r="N2904" t="s">
        <v>123</v>
      </c>
      <c r="O2904" t="s">
        <v>662</v>
      </c>
      <c r="P2904" t="s">
        <v>1649</v>
      </c>
      <c r="Q2904" s="1" t="s">
        <v>2281</v>
      </c>
      <c r="R2904" s="1" t="s">
        <v>2282</v>
      </c>
      <c r="S2904" s="1" t="s">
        <v>123</v>
      </c>
      <c r="T2904" t="s">
        <v>396</v>
      </c>
      <c r="U2904" s="1" t="s">
        <v>123</v>
      </c>
      <c r="V2904" t="s">
        <v>194</v>
      </c>
      <c r="W2904" t="s">
        <v>1648</v>
      </c>
      <c r="X2904" t="s">
        <v>161</v>
      </c>
      <c r="Y2904" t="s">
        <v>2272</v>
      </c>
      <c r="Z2904" t="s">
        <v>2272</v>
      </c>
      <c r="AA2904" t="s">
        <v>2272</v>
      </c>
      <c r="AB2904" t="s">
        <v>2272</v>
      </c>
      <c r="AC2904" t="s">
        <v>162</v>
      </c>
      <c r="AD2904" t="s">
        <v>2272</v>
      </c>
      <c r="AF2904" t="s">
        <v>49</v>
      </c>
      <c r="AI2904" t="s">
        <v>49</v>
      </c>
      <c r="AM2904" t="s">
        <v>202</v>
      </c>
      <c r="AN2904" t="s">
        <v>165</v>
      </c>
      <c r="AP2904" t="s">
        <v>49</v>
      </c>
    </row>
    <row r="2905" spans="1:43" x14ac:dyDescent="0.2">
      <c r="A2905" t="s">
        <v>1651</v>
      </c>
      <c r="B2905" t="s">
        <v>1652</v>
      </c>
      <c r="C2905">
        <v>2013</v>
      </c>
      <c r="D2905" t="s">
        <v>44</v>
      </c>
      <c r="F2905" t="s">
        <v>1243</v>
      </c>
      <c r="G2905" s="1" t="s">
        <v>86</v>
      </c>
      <c r="H2905" t="s">
        <v>96</v>
      </c>
      <c r="I2905" t="s">
        <v>1469</v>
      </c>
      <c r="J2905">
        <v>1</v>
      </c>
      <c r="K2905" t="s">
        <v>101</v>
      </c>
      <c r="M2905">
        <f>0.5*0.5</f>
        <v>0.25</v>
      </c>
      <c r="N2905" t="s">
        <v>123</v>
      </c>
      <c r="O2905" t="s">
        <v>662</v>
      </c>
      <c r="P2905" t="s">
        <v>518</v>
      </c>
      <c r="Q2905" s="1" t="s">
        <v>2281</v>
      </c>
      <c r="R2905" s="1" t="s">
        <v>2282</v>
      </c>
      <c r="S2905" s="1" t="s">
        <v>123</v>
      </c>
      <c r="T2905" t="s">
        <v>421</v>
      </c>
      <c r="U2905" t="s">
        <v>421</v>
      </c>
      <c r="X2905" t="s">
        <v>161</v>
      </c>
      <c r="Y2905" t="s">
        <v>2272</v>
      </c>
      <c r="Z2905" t="s">
        <v>2272</v>
      </c>
      <c r="AA2905" t="s">
        <v>2272</v>
      </c>
      <c r="AB2905" t="s">
        <v>2272</v>
      </c>
      <c r="AC2905" t="s">
        <v>162</v>
      </c>
      <c r="AD2905" t="s">
        <v>2272</v>
      </c>
      <c r="AG2905" t="s">
        <v>49</v>
      </c>
      <c r="AL2905" t="s">
        <v>49</v>
      </c>
      <c r="AM2905" t="s">
        <v>1653</v>
      </c>
      <c r="AN2905" t="s">
        <v>166</v>
      </c>
    </row>
    <row r="2906" spans="1:43" x14ac:dyDescent="0.2">
      <c r="A2906" t="s">
        <v>1651</v>
      </c>
      <c r="B2906" t="s">
        <v>1652</v>
      </c>
      <c r="C2906">
        <v>2013</v>
      </c>
      <c r="D2906" t="s">
        <v>44</v>
      </c>
      <c r="F2906" t="s">
        <v>1243</v>
      </c>
      <c r="G2906" s="1" t="s">
        <v>86</v>
      </c>
      <c r="H2906" t="s">
        <v>96</v>
      </c>
      <c r="I2906" t="s">
        <v>1469</v>
      </c>
      <c r="J2906">
        <v>1</v>
      </c>
      <c r="K2906" t="s">
        <v>101</v>
      </c>
      <c r="M2906">
        <f>0.5*0.5</f>
        <v>0.25</v>
      </c>
      <c r="N2906" t="s">
        <v>123</v>
      </c>
      <c r="O2906" t="s">
        <v>662</v>
      </c>
      <c r="P2906" t="s">
        <v>518</v>
      </c>
      <c r="Q2906" s="1" t="s">
        <v>2281</v>
      </c>
      <c r="R2906" s="1" t="s">
        <v>2282</v>
      </c>
      <c r="S2906" s="1" t="s">
        <v>123</v>
      </c>
      <c r="X2906" t="s">
        <v>1654</v>
      </c>
      <c r="Y2906" t="s">
        <v>2279</v>
      </c>
      <c r="Z2906" t="s">
        <v>2280</v>
      </c>
      <c r="AA2906" t="s">
        <v>2272</v>
      </c>
      <c r="AB2906" t="s">
        <v>2272</v>
      </c>
      <c r="AC2906" t="s">
        <v>152</v>
      </c>
      <c r="AD2906" t="s">
        <v>2278</v>
      </c>
      <c r="AG2906" t="s">
        <v>49</v>
      </c>
      <c r="AL2906" t="s">
        <v>49</v>
      </c>
      <c r="AM2906" t="s">
        <v>1653</v>
      </c>
      <c r="AN2906" t="s">
        <v>166</v>
      </c>
    </row>
    <row r="2907" spans="1:43" x14ac:dyDescent="0.2">
      <c r="A2907" t="s">
        <v>1651</v>
      </c>
      <c r="B2907" t="s">
        <v>1652</v>
      </c>
      <c r="C2907">
        <v>2013</v>
      </c>
      <c r="D2907" t="s">
        <v>811</v>
      </c>
      <c r="F2907" t="s">
        <v>1243</v>
      </c>
      <c r="G2907" s="1" t="s">
        <v>86</v>
      </c>
      <c r="H2907" t="s">
        <v>96</v>
      </c>
      <c r="I2907">
        <v>2009</v>
      </c>
      <c r="J2907">
        <v>0.33</v>
      </c>
      <c r="K2907" t="s">
        <v>109</v>
      </c>
      <c r="M2907">
        <f>0.9*0.9</f>
        <v>0.81</v>
      </c>
      <c r="N2907" t="s">
        <v>123</v>
      </c>
      <c r="O2907" t="s">
        <v>662</v>
      </c>
      <c r="P2907" t="s">
        <v>518</v>
      </c>
      <c r="Q2907" s="1" t="s">
        <v>2281</v>
      </c>
      <c r="R2907" s="1" t="s">
        <v>2282</v>
      </c>
      <c r="S2907" s="1" t="s">
        <v>123</v>
      </c>
      <c r="T2907" t="s">
        <v>421</v>
      </c>
      <c r="U2907" t="s">
        <v>421</v>
      </c>
      <c r="X2907" t="s">
        <v>161</v>
      </c>
      <c r="Y2907" t="s">
        <v>2272</v>
      </c>
      <c r="Z2907" t="s">
        <v>2272</v>
      </c>
      <c r="AA2907" t="s">
        <v>2272</v>
      </c>
      <c r="AB2907" t="s">
        <v>2272</v>
      </c>
      <c r="AC2907" t="s">
        <v>162</v>
      </c>
      <c r="AD2907" t="s">
        <v>2272</v>
      </c>
      <c r="AG2907" t="s">
        <v>49</v>
      </c>
      <c r="AL2907" t="s">
        <v>49</v>
      </c>
      <c r="AM2907" t="s">
        <v>1653</v>
      </c>
      <c r="AN2907" t="s">
        <v>109</v>
      </c>
      <c r="AO2907" t="s">
        <v>855</v>
      </c>
      <c r="AP2907" t="s">
        <v>157</v>
      </c>
      <c r="AQ2907" s="5">
        <v>1</v>
      </c>
    </row>
    <row r="2908" spans="1:43" x14ac:dyDescent="0.2">
      <c r="A2908" t="s">
        <v>1651</v>
      </c>
      <c r="B2908" t="s">
        <v>1652</v>
      </c>
      <c r="C2908">
        <v>2013</v>
      </c>
      <c r="D2908" t="s">
        <v>811</v>
      </c>
      <c r="F2908" t="s">
        <v>1243</v>
      </c>
      <c r="G2908" s="1" t="s">
        <v>86</v>
      </c>
      <c r="H2908" t="s">
        <v>96</v>
      </c>
      <c r="I2908">
        <v>2009</v>
      </c>
      <c r="J2908">
        <v>0.33</v>
      </c>
      <c r="K2908" t="s">
        <v>109</v>
      </c>
      <c r="M2908">
        <f>0.9*0.9</f>
        <v>0.81</v>
      </c>
      <c r="N2908" t="s">
        <v>123</v>
      </c>
      <c r="O2908" t="s">
        <v>662</v>
      </c>
      <c r="P2908" t="s">
        <v>518</v>
      </c>
      <c r="Q2908" s="1" t="s">
        <v>2281</v>
      </c>
      <c r="R2908" s="1" t="s">
        <v>2282</v>
      </c>
      <c r="S2908" s="1" t="s">
        <v>123</v>
      </c>
      <c r="T2908" t="s">
        <v>421</v>
      </c>
      <c r="U2908" t="s">
        <v>421</v>
      </c>
      <c r="X2908" t="s">
        <v>161</v>
      </c>
      <c r="Y2908" t="s">
        <v>2272</v>
      </c>
      <c r="Z2908" t="s">
        <v>2272</v>
      </c>
      <c r="AA2908" t="s">
        <v>2272</v>
      </c>
      <c r="AB2908" t="s">
        <v>2272</v>
      </c>
      <c r="AC2908" t="s">
        <v>162</v>
      </c>
      <c r="AD2908" t="s">
        <v>2272</v>
      </c>
      <c r="AG2908" t="s">
        <v>49</v>
      </c>
      <c r="AL2908" t="s">
        <v>49</v>
      </c>
      <c r="AM2908" t="s">
        <v>1653</v>
      </c>
      <c r="AN2908" t="s">
        <v>109</v>
      </c>
      <c r="AO2908" t="s">
        <v>602</v>
      </c>
      <c r="AP2908" t="s">
        <v>157</v>
      </c>
      <c r="AQ2908" s="5">
        <v>1</v>
      </c>
    </row>
    <row r="2909" spans="1:43" x14ac:dyDescent="0.2">
      <c r="A2909" t="s">
        <v>1651</v>
      </c>
      <c r="B2909" t="s">
        <v>1652</v>
      </c>
      <c r="C2909">
        <v>2013</v>
      </c>
      <c r="D2909" t="s">
        <v>811</v>
      </c>
      <c r="F2909" t="s">
        <v>1243</v>
      </c>
      <c r="G2909" s="1" t="s">
        <v>86</v>
      </c>
      <c r="H2909" t="s">
        <v>96</v>
      </c>
      <c r="I2909">
        <v>2009</v>
      </c>
      <c r="J2909">
        <v>0.33</v>
      </c>
      <c r="K2909" t="s">
        <v>109</v>
      </c>
      <c r="M2909">
        <f>0.9*0.9</f>
        <v>0.81</v>
      </c>
      <c r="N2909" t="s">
        <v>123</v>
      </c>
      <c r="O2909" t="s">
        <v>662</v>
      </c>
      <c r="P2909" t="s">
        <v>518</v>
      </c>
      <c r="Q2909" s="1" t="s">
        <v>2281</v>
      </c>
      <c r="R2909" s="1" t="s">
        <v>2282</v>
      </c>
      <c r="S2909" s="1" t="s">
        <v>123</v>
      </c>
      <c r="T2909" t="s">
        <v>421</v>
      </c>
      <c r="U2909" t="s">
        <v>421</v>
      </c>
      <c r="X2909" t="s">
        <v>161</v>
      </c>
      <c r="Y2909" t="s">
        <v>2272</v>
      </c>
      <c r="Z2909" t="s">
        <v>2272</v>
      </c>
      <c r="AA2909" t="s">
        <v>2272</v>
      </c>
      <c r="AB2909" t="s">
        <v>2272</v>
      </c>
      <c r="AC2909" t="s">
        <v>162</v>
      </c>
      <c r="AD2909" t="s">
        <v>2272</v>
      </c>
      <c r="AG2909" t="s">
        <v>49</v>
      </c>
      <c r="AL2909" t="s">
        <v>49</v>
      </c>
      <c r="AM2909" t="s">
        <v>1653</v>
      </c>
      <c r="AN2909" t="s">
        <v>109</v>
      </c>
      <c r="AO2909" t="s">
        <v>1655</v>
      </c>
      <c r="AP2909" t="s">
        <v>173</v>
      </c>
      <c r="AQ2909" s="5">
        <v>2</v>
      </c>
    </row>
    <row r="2910" spans="1:43" x14ac:dyDescent="0.2">
      <c r="A2910" t="s">
        <v>1656</v>
      </c>
      <c r="B2910" t="s">
        <v>1657</v>
      </c>
      <c r="C2910">
        <v>2013</v>
      </c>
      <c r="D2910" t="s">
        <v>44</v>
      </c>
      <c r="F2910" t="s">
        <v>82</v>
      </c>
      <c r="G2910" s="1" t="s">
        <v>86</v>
      </c>
      <c r="H2910" t="s">
        <v>96</v>
      </c>
      <c r="I2910" t="s">
        <v>1658</v>
      </c>
      <c r="J2910">
        <v>8</v>
      </c>
      <c r="K2910" t="s">
        <v>109</v>
      </c>
      <c r="L2910">
        <v>11</v>
      </c>
      <c r="M2910">
        <f t="shared" ref="M2910:M2916" si="64">0.15*0.15</f>
        <v>2.2499999999999999E-2</v>
      </c>
      <c r="N2910" t="s">
        <v>121</v>
      </c>
      <c r="O2910" t="s">
        <v>121</v>
      </c>
      <c r="P2910" t="s">
        <v>1659</v>
      </c>
      <c r="Q2910" s="1" t="s">
        <v>2292</v>
      </c>
      <c r="R2910" s="1" t="s">
        <v>264</v>
      </c>
      <c r="S2910" s="1" t="s">
        <v>264</v>
      </c>
      <c r="X2910" t="s">
        <v>171</v>
      </c>
      <c r="Y2910" t="s">
        <v>2279</v>
      </c>
      <c r="Z2910" t="s">
        <v>2280</v>
      </c>
      <c r="AA2910" t="s">
        <v>2358</v>
      </c>
      <c r="AB2910" t="s">
        <v>2580</v>
      </c>
      <c r="AC2910" t="s">
        <v>152</v>
      </c>
      <c r="AD2910" t="s">
        <v>2278</v>
      </c>
      <c r="AE2910" t="s">
        <v>415</v>
      </c>
    </row>
    <row r="2911" spans="1:43" x14ac:dyDescent="0.2">
      <c r="A2911" t="s">
        <v>1656</v>
      </c>
      <c r="B2911" t="s">
        <v>1657</v>
      </c>
      <c r="C2911">
        <v>2013</v>
      </c>
      <c r="D2911" t="s">
        <v>44</v>
      </c>
      <c r="F2911" t="s">
        <v>82</v>
      </c>
      <c r="G2911" s="1" t="s">
        <v>86</v>
      </c>
      <c r="H2911" t="s">
        <v>96</v>
      </c>
      <c r="I2911" t="s">
        <v>1658</v>
      </c>
      <c r="J2911">
        <v>8</v>
      </c>
      <c r="K2911" t="s">
        <v>109</v>
      </c>
      <c r="L2911">
        <v>11</v>
      </c>
      <c r="M2911">
        <f t="shared" si="64"/>
        <v>2.2499999999999999E-2</v>
      </c>
      <c r="N2911" t="s">
        <v>121</v>
      </c>
      <c r="O2911" t="s">
        <v>121</v>
      </c>
      <c r="P2911" t="s">
        <v>1659</v>
      </c>
      <c r="Q2911" s="1" t="s">
        <v>2292</v>
      </c>
      <c r="R2911" s="1" t="s">
        <v>264</v>
      </c>
      <c r="S2911" s="1" t="s">
        <v>264</v>
      </c>
      <c r="X2911" t="s">
        <v>211</v>
      </c>
      <c r="Y2911" t="s">
        <v>2279</v>
      </c>
      <c r="Z2911" t="s">
        <v>2280</v>
      </c>
      <c r="AA2911" t="s">
        <v>2358</v>
      </c>
      <c r="AB2911" t="s">
        <v>2290</v>
      </c>
      <c r="AC2911" t="s">
        <v>152</v>
      </c>
      <c r="AD2911" t="s">
        <v>2278</v>
      </c>
      <c r="AE2911" t="s">
        <v>415</v>
      </c>
    </row>
    <row r="2912" spans="1:43" x14ac:dyDescent="0.2">
      <c r="A2912" t="s">
        <v>1656</v>
      </c>
      <c r="B2912" t="s">
        <v>1657</v>
      </c>
      <c r="C2912">
        <v>2013</v>
      </c>
      <c r="D2912" t="s">
        <v>44</v>
      </c>
      <c r="F2912" t="s">
        <v>82</v>
      </c>
      <c r="G2912" s="1" t="s">
        <v>86</v>
      </c>
      <c r="H2912" t="s">
        <v>96</v>
      </c>
      <c r="I2912" t="s">
        <v>1658</v>
      </c>
      <c r="J2912">
        <v>8</v>
      </c>
      <c r="K2912" t="s">
        <v>109</v>
      </c>
      <c r="L2912">
        <v>11</v>
      </c>
      <c r="M2912">
        <f t="shared" si="64"/>
        <v>2.2499999999999999E-2</v>
      </c>
      <c r="N2912" t="s">
        <v>121</v>
      </c>
      <c r="O2912" t="s">
        <v>121</v>
      </c>
      <c r="P2912" t="s">
        <v>1659</v>
      </c>
      <c r="Q2912" s="1" t="s">
        <v>2292</v>
      </c>
      <c r="R2912" s="1" t="s">
        <v>264</v>
      </c>
      <c r="S2912" s="1" t="s">
        <v>264</v>
      </c>
      <c r="X2912" t="s">
        <v>161</v>
      </c>
      <c r="Y2912" t="s">
        <v>2272</v>
      </c>
      <c r="Z2912" t="s">
        <v>2272</v>
      </c>
      <c r="AA2912" t="s">
        <v>2272</v>
      </c>
      <c r="AB2912" t="s">
        <v>2272</v>
      </c>
      <c r="AC2912" t="s">
        <v>152</v>
      </c>
      <c r="AD2912" t="s">
        <v>2272</v>
      </c>
      <c r="AF2912" t="s">
        <v>49</v>
      </c>
      <c r="AG2912" t="s">
        <v>49</v>
      </c>
      <c r="AI2912" t="s">
        <v>49</v>
      </c>
      <c r="AM2912" t="s">
        <v>368</v>
      </c>
      <c r="AN2912" t="s">
        <v>165</v>
      </c>
    </row>
    <row r="2913" spans="1:42" x14ac:dyDescent="0.2">
      <c r="A2913" t="s">
        <v>1656</v>
      </c>
      <c r="B2913" t="s">
        <v>1657</v>
      </c>
      <c r="C2913">
        <v>2013</v>
      </c>
      <c r="D2913" t="s">
        <v>44</v>
      </c>
      <c r="F2913" t="s">
        <v>82</v>
      </c>
      <c r="G2913" s="1" t="s">
        <v>86</v>
      </c>
      <c r="H2913" t="s">
        <v>96</v>
      </c>
      <c r="I2913" t="s">
        <v>1658</v>
      </c>
      <c r="J2913">
        <v>8</v>
      </c>
      <c r="K2913" t="s">
        <v>109</v>
      </c>
      <c r="L2913">
        <v>11</v>
      </c>
      <c r="M2913">
        <f t="shared" si="64"/>
        <v>2.2499999999999999E-2</v>
      </c>
      <c r="N2913" t="s">
        <v>121</v>
      </c>
      <c r="O2913" t="s">
        <v>121</v>
      </c>
      <c r="P2913" t="s">
        <v>1659</v>
      </c>
      <c r="Q2913" s="1" t="s">
        <v>2292</v>
      </c>
      <c r="R2913" s="1" t="s">
        <v>264</v>
      </c>
      <c r="S2913" s="1" t="s">
        <v>264</v>
      </c>
      <c r="X2913" t="s">
        <v>161</v>
      </c>
      <c r="Y2913" t="s">
        <v>2272</v>
      </c>
      <c r="Z2913" t="s">
        <v>2272</v>
      </c>
      <c r="AA2913" t="s">
        <v>2272</v>
      </c>
      <c r="AB2913" t="s">
        <v>2272</v>
      </c>
      <c r="AC2913" t="s">
        <v>152</v>
      </c>
      <c r="AD2913" t="s">
        <v>2272</v>
      </c>
      <c r="AF2913" t="s">
        <v>49</v>
      </c>
      <c r="AG2913" t="s">
        <v>49</v>
      </c>
      <c r="AI2913" t="s">
        <v>49</v>
      </c>
      <c r="AM2913" t="s">
        <v>368</v>
      </c>
      <c r="AN2913" t="s">
        <v>166</v>
      </c>
    </row>
    <row r="2914" spans="1:42" x14ac:dyDescent="0.2">
      <c r="A2914" t="s">
        <v>1656</v>
      </c>
      <c r="B2914" t="s">
        <v>1657</v>
      </c>
      <c r="C2914">
        <v>2013</v>
      </c>
      <c r="D2914" t="s">
        <v>44</v>
      </c>
      <c r="F2914" t="s">
        <v>82</v>
      </c>
      <c r="G2914" s="1" t="s">
        <v>86</v>
      </c>
      <c r="H2914" t="s">
        <v>96</v>
      </c>
      <c r="I2914" t="s">
        <v>1658</v>
      </c>
      <c r="J2914">
        <v>8</v>
      </c>
      <c r="K2914" t="s">
        <v>109</v>
      </c>
      <c r="L2914">
        <v>11</v>
      </c>
      <c r="M2914">
        <f t="shared" si="64"/>
        <v>2.2499999999999999E-2</v>
      </c>
      <c r="N2914" t="s">
        <v>121</v>
      </c>
      <c r="O2914" t="s">
        <v>121</v>
      </c>
      <c r="P2914" t="s">
        <v>1659</v>
      </c>
      <c r="Q2914" s="1" t="s">
        <v>2292</v>
      </c>
      <c r="R2914" s="1" t="s">
        <v>264</v>
      </c>
      <c r="S2914" s="1" t="s">
        <v>264</v>
      </c>
      <c r="X2914" t="s">
        <v>161</v>
      </c>
      <c r="Y2914" t="s">
        <v>2272</v>
      </c>
      <c r="Z2914" t="s">
        <v>2272</v>
      </c>
      <c r="AA2914" t="s">
        <v>2272</v>
      </c>
      <c r="AB2914" t="s">
        <v>2272</v>
      </c>
      <c r="AC2914" t="s">
        <v>152</v>
      </c>
      <c r="AD2914" t="s">
        <v>2272</v>
      </c>
      <c r="AF2914" t="s">
        <v>49</v>
      </c>
      <c r="AG2914" t="s">
        <v>49</v>
      </c>
      <c r="AI2914" t="s">
        <v>49</v>
      </c>
      <c r="AM2914" t="s">
        <v>368</v>
      </c>
      <c r="AN2914" t="s">
        <v>171</v>
      </c>
    </row>
    <row r="2915" spans="1:42" x14ac:dyDescent="0.2">
      <c r="A2915" t="s">
        <v>1656</v>
      </c>
      <c r="B2915" t="s">
        <v>1657</v>
      </c>
      <c r="C2915">
        <v>2013</v>
      </c>
      <c r="D2915" t="s">
        <v>44</v>
      </c>
      <c r="F2915" t="s">
        <v>82</v>
      </c>
      <c r="G2915" s="1" t="s">
        <v>86</v>
      </c>
      <c r="H2915" t="s">
        <v>96</v>
      </c>
      <c r="I2915" t="s">
        <v>1658</v>
      </c>
      <c r="J2915">
        <v>8</v>
      </c>
      <c r="K2915" t="s">
        <v>109</v>
      </c>
      <c r="L2915">
        <v>11</v>
      </c>
      <c r="M2915">
        <f t="shared" si="64"/>
        <v>2.2499999999999999E-2</v>
      </c>
      <c r="N2915" t="s">
        <v>121</v>
      </c>
      <c r="O2915" t="s">
        <v>121</v>
      </c>
      <c r="P2915" t="s">
        <v>1659</v>
      </c>
      <c r="Q2915" s="1" t="s">
        <v>2292</v>
      </c>
      <c r="R2915" s="1" t="s">
        <v>264</v>
      </c>
      <c r="S2915" s="1" t="s">
        <v>264</v>
      </c>
      <c r="X2915" t="s">
        <v>161</v>
      </c>
      <c r="Y2915" t="s">
        <v>2272</v>
      </c>
      <c r="Z2915" t="s">
        <v>2272</v>
      </c>
      <c r="AA2915" t="s">
        <v>2272</v>
      </c>
      <c r="AB2915" t="s">
        <v>2272</v>
      </c>
      <c r="AC2915" t="s">
        <v>152</v>
      </c>
      <c r="AD2915" t="s">
        <v>2272</v>
      </c>
      <c r="AF2915" t="s">
        <v>49</v>
      </c>
      <c r="AG2915" t="s">
        <v>49</v>
      </c>
      <c r="AI2915" t="s">
        <v>49</v>
      </c>
      <c r="AM2915" t="s">
        <v>368</v>
      </c>
      <c r="AN2915" t="s">
        <v>154</v>
      </c>
    </row>
    <row r="2916" spans="1:42" x14ac:dyDescent="0.2">
      <c r="A2916" t="s">
        <v>1656</v>
      </c>
      <c r="B2916" t="s">
        <v>1657</v>
      </c>
      <c r="C2916">
        <v>2013</v>
      </c>
      <c r="D2916" t="s">
        <v>44</v>
      </c>
      <c r="F2916" t="s">
        <v>82</v>
      </c>
      <c r="G2916" s="1" t="s">
        <v>86</v>
      </c>
      <c r="H2916" t="s">
        <v>96</v>
      </c>
      <c r="I2916" t="s">
        <v>1658</v>
      </c>
      <c r="J2916">
        <v>8</v>
      </c>
      <c r="K2916" t="s">
        <v>109</v>
      </c>
      <c r="L2916">
        <v>11</v>
      </c>
      <c r="M2916">
        <f t="shared" si="64"/>
        <v>2.2499999999999999E-2</v>
      </c>
      <c r="N2916" t="s">
        <v>121</v>
      </c>
      <c r="O2916" t="s">
        <v>121</v>
      </c>
      <c r="P2916" t="s">
        <v>1659</v>
      </c>
      <c r="Q2916" s="1" t="s">
        <v>2292</v>
      </c>
      <c r="R2916" s="1" t="s">
        <v>264</v>
      </c>
      <c r="S2916" s="1" t="s">
        <v>264</v>
      </c>
      <c r="X2916" t="s">
        <v>161</v>
      </c>
      <c r="Y2916" t="s">
        <v>2272</v>
      </c>
      <c r="Z2916" t="s">
        <v>2272</v>
      </c>
      <c r="AA2916" t="s">
        <v>2272</v>
      </c>
      <c r="AB2916" t="s">
        <v>2272</v>
      </c>
      <c r="AC2916" t="s">
        <v>152</v>
      </c>
      <c r="AD2916" t="s">
        <v>2272</v>
      </c>
      <c r="AF2916" t="s">
        <v>49</v>
      </c>
      <c r="AG2916" t="s">
        <v>49</v>
      </c>
      <c r="AI2916" t="s">
        <v>49</v>
      </c>
      <c r="AM2916" t="s">
        <v>368</v>
      </c>
      <c r="AN2916" t="s">
        <v>191</v>
      </c>
    </row>
    <row r="2917" spans="1:42" x14ac:dyDescent="0.2">
      <c r="A2917" t="s">
        <v>1660</v>
      </c>
      <c r="B2917" t="s">
        <v>1661</v>
      </c>
      <c r="C2917">
        <v>2013</v>
      </c>
      <c r="D2917" t="s">
        <v>44</v>
      </c>
      <c r="F2917" t="s">
        <v>57</v>
      </c>
      <c r="G2917" s="1" t="s">
        <v>271</v>
      </c>
      <c r="H2917" t="s">
        <v>158</v>
      </c>
      <c r="I2917">
        <v>2010</v>
      </c>
      <c r="J2917">
        <v>8.0000000000000002E-3</v>
      </c>
      <c r="K2917" t="s">
        <v>101</v>
      </c>
      <c r="M2917">
        <f>0.25*0.25</f>
        <v>6.25E-2</v>
      </c>
      <c r="N2917" t="s">
        <v>121</v>
      </c>
      <c r="O2917" t="s">
        <v>254</v>
      </c>
      <c r="P2917" t="s">
        <v>1662</v>
      </c>
      <c r="Q2917" s="1" t="s">
        <v>2292</v>
      </c>
      <c r="R2917" s="1" t="s">
        <v>264</v>
      </c>
      <c r="S2917" s="1" t="s">
        <v>264</v>
      </c>
      <c r="X2917" t="s">
        <v>189</v>
      </c>
      <c r="Y2917" t="s">
        <v>2279</v>
      </c>
      <c r="Z2917" t="s">
        <v>2280</v>
      </c>
      <c r="AA2917" t="s">
        <v>2358</v>
      </c>
      <c r="AB2917" t="s">
        <v>189</v>
      </c>
      <c r="AC2917" t="s">
        <v>152</v>
      </c>
      <c r="AD2917" t="s">
        <v>2278</v>
      </c>
    </row>
    <row r="2918" spans="1:42" x14ac:dyDescent="0.2">
      <c r="A2918" t="s">
        <v>1660</v>
      </c>
      <c r="B2918" t="s">
        <v>1661</v>
      </c>
      <c r="C2918">
        <v>2013</v>
      </c>
      <c r="D2918" t="s">
        <v>44</v>
      </c>
      <c r="F2918" t="s">
        <v>57</v>
      </c>
      <c r="G2918" s="1" t="s">
        <v>271</v>
      </c>
      <c r="H2918" t="s">
        <v>158</v>
      </c>
      <c r="I2918">
        <v>2010</v>
      </c>
      <c r="J2918">
        <v>8.0000000000000002E-3</v>
      </c>
      <c r="K2918" t="s">
        <v>101</v>
      </c>
      <c r="M2918">
        <f>0.25*0.25</f>
        <v>6.25E-2</v>
      </c>
      <c r="N2918" t="s">
        <v>121</v>
      </c>
      <c r="O2918" t="s">
        <v>254</v>
      </c>
      <c r="P2918" t="s">
        <v>1662</v>
      </c>
      <c r="Q2918" s="1" t="s">
        <v>2292</v>
      </c>
      <c r="R2918" s="1" t="s">
        <v>264</v>
      </c>
      <c r="S2918" s="1" t="s">
        <v>264</v>
      </c>
      <c r="X2918" t="s">
        <v>293</v>
      </c>
      <c r="Y2918" t="s">
        <v>2273</v>
      </c>
      <c r="Z2918" t="s">
        <v>249</v>
      </c>
      <c r="AA2918" t="s">
        <v>2359</v>
      </c>
      <c r="AB2918" t="s">
        <v>1419</v>
      </c>
      <c r="AC2918" t="s">
        <v>152</v>
      </c>
      <c r="AD2918" t="s">
        <v>137</v>
      </c>
    </row>
    <row r="2919" spans="1:42" x14ac:dyDescent="0.2">
      <c r="A2919" t="s">
        <v>1660</v>
      </c>
      <c r="B2919" t="s">
        <v>1661</v>
      </c>
      <c r="C2919">
        <v>2013</v>
      </c>
      <c r="D2919" t="s">
        <v>44</v>
      </c>
      <c r="F2919" t="s">
        <v>57</v>
      </c>
      <c r="G2919" s="1" t="s">
        <v>271</v>
      </c>
      <c r="H2919" t="s">
        <v>158</v>
      </c>
      <c r="I2919">
        <v>2010</v>
      </c>
      <c r="J2919">
        <v>8.0000000000000002E-3</v>
      </c>
      <c r="K2919" t="s">
        <v>101</v>
      </c>
      <c r="M2919">
        <f>0.25*0.25</f>
        <v>6.25E-2</v>
      </c>
      <c r="N2919" t="s">
        <v>121</v>
      </c>
      <c r="O2919" t="s">
        <v>254</v>
      </c>
      <c r="P2919" t="s">
        <v>1662</v>
      </c>
      <c r="Q2919" s="1" t="s">
        <v>2292</v>
      </c>
      <c r="R2919" s="1" t="s">
        <v>264</v>
      </c>
      <c r="S2919" s="1" t="s">
        <v>264</v>
      </c>
      <c r="X2919" t="s">
        <v>161</v>
      </c>
      <c r="Y2919" t="s">
        <v>2272</v>
      </c>
      <c r="Z2919" t="s">
        <v>2272</v>
      </c>
      <c r="AA2919" t="s">
        <v>2272</v>
      </c>
      <c r="AB2919" t="s">
        <v>2272</v>
      </c>
      <c r="AC2919" t="s">
        <v>152</v>
      </c>
      <c r="AD2919" t="s">
        <v>2272</v>
      </c>
      <c r="AF2919" t="s">
        <v>49</v>
      </c>
      <c r="AI2919" t="s">
        <v>49</v>
      </c>
      <c r="AM2919" t="s">
        <v>192</v>
      </c>
      <c r="AN2919" t="s">
        <v>154</v>
      </c>
    </row>
    <row r="2920" spans="1:42" x14ac:dyDescent="0.2">
      <c r="A2920" t="s">
        <v>1660</v>
      </c>
      <c r="B2920" t="s">
        <v>1661</v>
      </c>
      <c r="C2920">
        <v>2013</v>
      </c>
      <c r="D2920" t="s">
        <v>44</v>
      </c>
      <c r="F2920" t="s">
        <v>57</v>
      </c>
      <c r="G2920" s="1" t="s">
        <v>271</v>
      </c>
      <c r="H2920" t="s">
        <v>158</v>
      </c>
      <c r="I2920">
        <v>2010</v>
      </c>
      <c r="J2920">
        <v>8.0000000000000002E-3</v>
      </c>
      <c r="K2920" t="s">
        <v>101</v>
      </c>
      <c r="M2920">
        <f>0.25*0.25</f>
        <v>6.25E-2</v>
      </c>
      <c r="N2920" t="s">
        <v>121</v>
      </c>
      <c r="O2920" t="s">
        <v>254</v>
      </c>
      <c r="P2920" t="s">
        <v>1662</v>
      </c>
      <c r="Q2920" s="1" t="s">
        <v>2292</v>
      </c>
      <c r="R2920" s="1" t="s">
        <v>264</v>
      </c>
      <c r="S2920" s="1" t="s">
        <v>264</v>
      </c>
      <c r="X2920" t="s">
        <v>161</v>
      </c>
      <c r="Y2920" t="s">
        <v>2272</v>
      </c>
      <c r="Z2920" t="s">
        <v>2272</v>
      </c>
      <c r="AA2920" t="s">
        <v>2272</v>
      </c>
      <c r="AB2920" t="s">
        <v>2272</v>
      </c>
      <c r="AC2920" t="s">
        <v>152</v>
      </c>
      <c r="AD2920" t="s">
        <v>2272</v>
      </c>
      <c r="AF2920" t="s">
        <v>49</v>
      </c>
      <c r="AI2920" t="s">
        <v>49</v>
      </c>
      <c r="AM2920" t="s">
        <v>192</v>
      </c>
      <c r="AN2920" t="s">
        <v>166</v>
      </c>
    </row>
    <row r="2921" spans="1:42" x14ac:dyDescent="0.2">
      <c r="A2921" t="s">
        <v>1660</v>
      </c>
      <c r="B2921" t="s">
        <v>1661</v>
      </c>
      <c r="C2921">
        <v>2013</v>
      </c>
      <c r="D2921" t="s">
        <v>44</v>
      </c>
      <c r="F2921" t="s">
        <v>57</v>
      </c>
      <c r="G2921" s="1" t="s">
        <v>271</v>
      </c>
      <c r="H2921" t="s">
        <v>158</v>
      </c>
      <c r="I2921">
        <v>2010</v>
      </c>
      <c r="J2921">
        <v>8.0000000000000002E-3</v>
      </c>
      <c r="K2921" t="s">
        <v>101</v>
      </c>
      <c r="M2921">
        <f>0.25*0.25</f>
        <v>6.25E-2</v>
      </c>
      <c r="N2921" t="s">
        <v>121</v>
      </c>
      <c r="O2921" t="s">
        <v>254</v>
      </c>
      <c r="P2921" t="s">
        <v>1662</v>
      </c>
      <c r="Q2921" s="1" t="s">
        <v>2292</v>
      </c>
      <c r="R2921" s="1" t="s">
        <v>264</v>
      </c>
      <c r="S2921" s="1" t="s">
        <v>264</v>
      </c>
      <c r="X2921" t="s">
        <v>161</v>
      </c>
      <c r="Y2921" t="s">
        <v>2272</v>
      </c>
      <c r="Z2921" t="s">
        <v>2272</v>
      </c>
      <c r="AA2921" t="s">
        <v>2272</v>
      </c>
      <c r="AB2921" t="s">
        <v>2272</v>
      </c>
      <c r="AC2921" t="s">
        <v>152</v>
      </c>
      <c r="AD2921" t="s">
        <v>2272</v>
      </c>
      <c r="AF2921" t="s">
        <v>49</v>
      </c>
      <c r="AI2921" t="s">
        <v>49</v>
      </c>
      <c r="AM2921" t="s">
        <v>192</v>
      </c>
      <c r="AN2921" t="s">
        <v>165</v>
      </c>
    </row>
    <row r="2922" spans="1:42" x14ac:dyDescent="0.2">
      <c r="A2922" t="s">
        <v>1663</v>
      </c>
      <c r="B2922" t="s">
        <v>1664</v>
      </c>
      <c r="C2922">
        <v>2013</v>
      </c>
      <c r="D2922" t="s">
        <v>44</v>
      </c>
      <c r="F2922" t="s">
        <v>1665</v>
      </c>
      <c r="G2922" s="1" t="s">
        <v>88</v>
      </c>
      <c r="H2922" t="s">
        <v>350</v>
      </c>
      <c r="I2922">
        <v>2005</v>
      </c>
      <c r="N2922" t="s">
        <v>122</v>
      </c>
      <c r="O2922" t="s">
        <v>122</v>
      </c>
      <c r="Q2922" s="1" t="s">
        <v>2281</v>
      </c>
      <c r="R2922" s="1" t="s">
        <v>122</v>
      </c>
      <c r="S2922" s="1" t="s">
        <v>2294</v>
      </c>
      <c r="X2922" t="s">
        <v>1196</v>
      </c>
      <c r="Y2922" t="s">
        <v>2279</v>
      </c>
      <c r="Z2922" t="s">
        <v>2280</v>
      </c>
      <c r="AA2922" t="s">
        <v>2286</v>
      </c>
      <c r="AB2922" t="s">
        <v>2305</v>
      </c>
      <c r="AC2922" t="s">
        <v>315</v>
      </c>
      <c r="AD2922" t="s">
        <v>2278</v>
      </c>
      <c r="AH2922" t="s">
        <v>49</v>
      </c>
      <c r="AL2922" t="s">
        <v>49</v>
      </c>
      <c r="AM2922" t="s">
        <v>2425</v>
      </c>
      <c r="AN2922" t="s">
        <v>166</v>
      </c>
      <c r="AP2922" t="s">
        <v>157</v>
      </c>
    </row>
    <row r="2923" spans="1:42" x14ac:dyDescent="0.2">
      <c r="A2923" t="s">
        <v>1663</v>
      </c>
      <c r="B2923" t="s">
        <v>1664</v>
      </c>
      <c r="C2923">
        <v>2013</v>
      </c>
      <c r="D2923" t="s">
        <v>44</v>
      </c>
      <c r="F2923" t="s">
        <v>1665</v>
      </c>
      <c r="G2923" s="1" t="s">
        <v>88</v>
      </c>
      <c r="H2923" t="s">
        <v>350</v>
      </c>
      <c r="I2923">
        <v>2005</v>
      </c>
      <c r="N2923" t="s">
        <v>122</v>
      </c>
      <c r="O2923" t="s">
        <v>122</v>
      </c>
      <c r="Q2923" s="1" t="s">
        <v>2281</v>
      </c>
      <c r="R2923" s="1" t="s">
        <v>122</v>
      </c>
      <c r="S2923" s="1" t="s">
        <v>2294</v>
      </c>
      <c r="X2923" t="s">
        <v>1196</v>
      </c>
      <c r="Y2923" t="s">
        <v>2279</v>
      </c>
      <c r="Z2923" t="s">
        <v>2280</v>
      </c>
      <c r="AA2923" t="s">
        <v>2286</v>
      </c>
      <c r="AB2923" t="s">
        <v>2305</v>
      </c>
      <c r="AC2923" t="s">
        <v>315</v>
      </c>
      <c r="AD2923" t="s">
        <v>2278</v>
      </c>
      <c r="AH2923" t="s">
        <v>49</v>
      </c>
      <c r="AL2923" t="s">
        <v>49</v>
      </c>
      <c r="AM2923" t="s">
        <v>2426</v>
      </c>
      <c r="AN2923" t="s">
        <v>166</v>
      </c>
      <c r="AP2923" t="s">
        <v>157</v>
      </c>
    </row>
    <row r="2924" spans="1:42" x14ac:dyDescent="0.2">
      <c r="A2924" t="s">
        <v>1663</v>
      </c>
      <c r="B2924" t="s">
        <v>1664</v>
      </c>
      <c r="C2924">
        <v>2013</v>
      </c>
      <c r="D2924" t="s">
        <v>44</v>
      </c>
      <c r="F2924" t="s">
        <v>1665</v>
      </c>
      <c r="G2924" s="1" t="s">
        <v>88</v>
      </c>
      <c r="H2924" t="s">
        <v>350</v>
      </c>
      <c r="I2924">
        <v>2005</v>
      </c>
      <c r="N2924" t="s">
        <v>122</v>
      </c>
      <c r="O2924" t="s">
        <v>122</v>
      </c>
      <c r="Q2924" s="1" t="s">
        <v>2281</v>
      </c>
      <c r="R2924" s="1" t="s">
        <v>122</v>
      </c>
      <c r="S2924" s="1" t="s">
        <v>2294</v>
      </c>
      <c r="X2924" t="s">
        <v>1196</v>
      </c>
      <c r="Y2924" t="s">
        <v>2279</v>
      </c>
      <c r="Z2924" t="s">
        <v>2280</v>
      </c>
      <c r="AA2924" t="s">
        <v>2286</v>
      </c>
      <c r="AB2924" t="s">
        <v>2305</v>
      </c>
      <c r="AC2924" t="s">
        <v>315</v>
      </c>
      <c r="AD2924" t="s">
        <v>2278</v>
      </c>
      <c r="AH2924" t="s">
        <v>49</v>
      </c>
      <c r="AL2924" t="s">
        <v>49</v>
      </c>
      <c r="AM2924" t="s">
        <v>2427</v>
      </c>
      <c r="AN2924" t="s">
        <v>166</v>
      </c>
      <c r="AP2924" t="s">
        <v>157</v>
      </c>
    </row>
    <row r="2925" spans="1:42" x14ac:dyDescent="0.2">
      <c r="A2925" t="s">
        <v>1663</v>
      </c>
      <c r="B2925" t="s">
        <v>1664</v>
      </c>
      <c r="C2925">
        <v>2013</v>
      </c>
      <c r="D2925" t="s">
        <v>44</v>
      </c>
      <c r="F2925" t="s">
        <v>1665</v>
      </c>
      <c r="G2925" s="1" t="s">
        <v>88</v>
      </c>
      <c r="H2925" t="s">
        <v>350</v>
      </c>
      <c r="I2925">
        <v>2005</v>
      </c>
      <c r="N2925" t="s">
        <v>122</v>
      </c>
      <c r="O2925" t="s">
        <v>122</v>
      </c>
      <c r="Q2925" s="1" t="s">
        <v>2281</v>
      </c>
      <c r="R2925" s="1" t="s">
        <v>122</v>
      </c>
      <c r="S2925" s="1" t="s">
        <v>2294</v>
      </c>
      <c r="X2925" t="s">
        <v>1196</v>
      </c>
      <c r="Y2925" t="s">
        <v>2279</v>
      </c>
      <c r="Z2925" t="s">
        <v>2280</v>
      </c>
      <c r="AA2925" t="s">
        <v>2286</v>
      </c>
      <c r="AB2925" t="s">
        <v>2305</v>
      </c>
      <c r="AC2925" t="s">
        <v>315</v>
      </c>
      <c r="AD2925" t="s">
        <v>2278</v>
      </c>
      <c r="AH2925" t="s">
        <v>49</v>
      </c>
      <c r="AK2925" t="s">
        <v>49</v>
      </c>
      <c r="AM2925" t="s">
        <v>1666</v>
      </c>
      <c r="AN2925" t="s">
        <v>166</v>
      </c>
      <c r="AP2925" t="s">
        <v>157</v>
      </c>
    </row>
    <row r="2926" spans="1:42" x14ac:dyDescent="0.2">
      <c r="A2926" t="s">
        <v>1663</v>
      </c>
      <c r="B2926" t="s">
        <v>1664</v>
      </c>
      <c r="C2926">
        <v>2013</v>
      </c>
      <c r="D2926" t="s">
        <v>44</v>
      </c>
      <c r="F2926" t="s">
        <v>1665</v>
      </c>
      <c r="G2926" s="1" t="s">
        <v>88</v>
      </c>
      <c r="H2926" t="s">
        <v>350</v>
      </c>
      <c r="I2926">
        <v>2005</v>
      </c>
      <c r="N2926" t="s">
        <v>122</v>
      </c>
      <c r="O2926" t="s">
        <v>122</v>
      </c>
      <c r="Q2926" s="1" t="s">
        <v>2281</v>
      </c>
      <c r="R2926" s="1" t="s">
        <v>122</v>
      </c>
      <c r="S2926" s="1" t="s">
        <v>2294</v>
      </c>
      <c r="X2926" t="s">
        <v>1196</v>
      </c>
      <c r="Y2926" t="s">
        <v>2279</v>
      </c>
      <c r="Z2926" t="s">
        <v>2280</v>
      </c>
      <c r="AA2926" t="s">
        <v>2286</v>
      </c>
      <c r="AB2926" t="s">
        <v>2305</v>
      </c>
      <c r="AC2926" t="s">
        <v>315</v>
      </c>
      <c r="AD2926" t="s">
        <v>2278</v>
      </c>
      <c r="AH2926" t="s">
        <v>49</v>
      </c>
      <c r="AK2926" t="s">
        <v>49</v>
      </c>
      <c r="AM2926" t="s">
        <v>1666</v>
      </c>
      <c r="AN2926" t="s">
        <v>109</v>
      </c>
      <c r="AO2926" t="s">
        <v>1667</v>
      </c>
      <c r="AP2926" t="s">
        <v>157</v>
      </c>
    </row>
    <row r="2927" spans="1:42" x14ac:dyDescent="0.2">
      <c r="A2927" t="s">
        <v>1663</v>
      </c>
      <c r="B2927" t="s">
        <v>1664</v>
      </c>
      <c r="C2927">
        <v>2013</v>
      </c>
      <c r="D2927" t="s">
        <v>44</v>
      </c>
      <c r="F2927" t="s">
        <v>1665</v>
      </c>
      <c r="G2927" s="1" t="s">
        <v>88</v>
      </c>
      <c r="H2927" t="s">
        <v>350</v>
      </c>
      <c r="I2927">
        <v>2005</v>
      </c>
      <c r="N2927" t="s">
        <v>122</v>
      </c>
      <c r="O2927" t="s">
        <v>122</v>
      </c>
      <c r="Q2927" s="1" t="s">
        <v>2281</v>
      </c>
      <c r="R2927" s="1" t="s">
        <v>122</v>
      </c>
      <c r="S2927" s="1" t="s">
        <v>2294</v>
      </c>
      <c r="X2927" t="s">
        <v>1196</v>
      </c>
      <c r="Y2927" t="s">
        <v>2279</v>
      </c>
      <c r="Z2927" t="s">
        <v>2280</v>
      </c>
      <c r="AA2927" t="s">
        <v>2286</v>
      </c>
      <c r="AB2927" t="s">
        <v>2305</v>
      </c>
      <c r="AC2927" t="s">
        <v>315</v>
      </c>
      <c r="AD2927" t="s">
        <v>2278</v>
      </c>
      <c r="AH2927" t="s">
        <v>49</v>
      </c>
      <c r="AK2927" t="s">
        <v>49</v>
      </c>
      <c r="AM2927" t="s">
        <v>2428</v>
      </c>
      <c r="AN2927" t="s">
        <v>109</v>
      </c>
      <c r="AO2927" t="s">
        <v>1667</v>
      </c>
      <c r="AP2927" t="s">
        <v>157</v>
      </c>
    </row>
    <row r="2928" spans="1:42" x14ac:dyDescent="0.2">
      <c r="A2928" t="s">
        <v>1663</v>
      </c>
      <c r="B2928" t="s">
        <v>1664</v>
      </c>
      <c r="C2928">
        <v>2013</v>
      </c>
      <c r="D2928" t="s">
        <v>44</v>
      </c>
      <c r="F2928" t="s">
        <v>1665</v>
      </c>
      <c r="G2928" s="1" t="s">
        <v>88</v>
      </c>
      <c r="H2928" t="s">
        <v>350</v>
      </c>
      <c r="I2928">
        <v>2005</v>
      </c>
      <c r="N2928" t="s">
        <v>122</v>
      </c>
      <c r="O2928" t="s">
        <v>122</v>
      </c>
      <c r="Q2928" s="1" t="s">
        <v>2281</v>
      </c>
      <c r="R2928" s="1" t="s">
        <v>122</v>
      </c>
      <c r="S2928" s="1" t="s">
        <v>2294</v>
      </c>
      <c r="X2928" t="s">
        <v>1196</v>
      </c>
      <c r="Y2928" t="s">
        <v>2279</v>
      </c>
      <c r="Z2928" t="s">
        <v>2280</v>
      </c>
      <c r="AA2928" t="s">
        <v>2286</v>
      </c>
      <c r="AB2928" t="s">
        <v>2305</v>
      </c>
      <c r="AC2928" t="s">
        <v>315</v>
      </c>
      <c r="AD2928" t="s">
        <v>2278</v>
      </c>
      <c r="AH2928" t="s">
        <v>49</v>
      </c>
      <c r="AK2928" t="s">
        <v>49</v>
      </c>
      <c r="AM2928" t="s">
        <v>2429</v>
      </c>
      <c r="AN2928" t="s">
        <v>109</v>
      </c>
      <c r="AO2928" t="s">
        <v>1667</v>
      </c>
      <c r="AP2928" t="s">
        <v>157</v>
      </c>
    </row>
    <row r="2929" spans="1:45" x14ac:dyDescent="0.2">
      <c r="A2929" t="s">
        <v>1668</v>
      </c>
      <c r="B2929" t="s">
        <v>1669</v>
      </c>
      <c r="Q2929" s="1" t="s">
        <v>2272</v>
      </c>
      <c r="R2929" s="1" t="s">
        <v>2272</v>
      </c>
      <c r="S2929" s="1" t="s">
        <v>2272</v>
      </c>
      <c r="Y2929" t="s">
        <v>2272</v>
      </c>
      <c r="Z2929" t="s">
        <v>2272</v>
      </c>
      <c r="AA2929" t="s">
        <v>2272</v>
      </c>
      <c r="AB2929" t="s">
        <v>2272</v>
      </c>
      <c r="AD2929" t="s">
        <v>2272</v>
      </c>
      <c r="AR2929" t="s">
        <v>144</v>
      </c>
      <c r="AS2929" t="s">
        <v>2584</v>
      </c>
    </row>
    <row r="2930" spans="1:45" x14ac:dyDescent="0.2">
      <c r="A2930" t="s">
        <v>1670</v>
      </c>
      <c r="B2930" t="s">
        <v>1671</v>
      </c>
      <c r="C2930">
        <v>2012</v>
      </c>
      <c r="D2930" t="s">
        <v>811</v>
      </c>
      <c r="F2930" t="s">
        <v>83</v>
      </c>
      <c r="G2930" s="1" t="s">
        <v>85</v>
      </c>
      <c r="H2930" t="s">
        <v>96</v>
      </c>
      <c r="I2930" t="s">
        <v>1495</v>
      </c>
      <c r="J2930">
        <v>1</v>
      </c>
      <c r="K2930" t="s">
        <v>109</v>
      </c>
      <c r="L2930">
        <v>0.3</v>
      </c>
      <c r="M2930">
        <f t="shared" ref="M2930:M2944" si="65">0.23*0.23</f>
        <v>5.2900000000000003E-2</v>
      </c>
      <c r="N2930" t="s">
        <v>126</v>
      </c>
      <c r="O2930" t="s">
        <v>126</v>
      </c>
      <c r="P2930" t="s">
        <v>2573</v>
      </c>
      <c r="Q2930" s="1" t="s">
        <v>2281</v>
      </c>
      <c r="R2930" s="1" t="s">
        <v>2282</v>
      </c>
      <c r="S2930" s="1" t="s">
        <v>126</v>
      </c>
      <c r="V2930" t="s">
        <v>194</v>
      </c>
      <c r="W2930" s="1" t="s">
        <v>356</v>
      </c>
      <c r="X2930" t="s">
        <v>1141</v>
      </c>
      <c r="Y2930" t="s">
        <v>2273</v>
      </c>
      <c r="Z2930" t="s">
        <v>249</v>
      </c>
      <c r="AA2930" t="s">
        <v>2359</v>
      </c>
      <c r="AB2930" t="s">
        <v>1419</v>
      </c>
      <c r="AC2930" t="s">
        <v>152</v>
      </c>
      <c r="AD2930" t="s">
        <v>137</v>
      </c>
      <c r="AE2930" t="s">
        <v>1215</v>
      </c>
    </row>
    <row r="2931" spans="1:45" x14ac:dyDescent="0.2">
      <c r="A2931" t="s">
        <v>1670</v>
      </c>
      <c r="B2931" t="s">
        <v>1671</v>
      </c>
      <c r="C2931">
        <v>2012</v>
      </c>
      <c r="D2931" t="s">
        <v>811</v>
      </c>
      <c r="F2931" t="s">
        <v>83</v>
      </c>
      <c r="G2931" s="1" t="s">
        <v>85</v>
      </c>
      <c r="H2931" t="s">
        <v>96</v>
      </c>
      <c r="I2931" t="s">
        <v>1495</v>
      </c>
      <c r="J2931">
        <v>1</v>
      </c>
      <c r="K2931" t="s">
        <v>101</v>
      </c>
      <c r="L2931">
        <v>0.3</v>
      </c>
      <c r="M2931">
        <f t="shared" si="65"/>
        <v>5.2900000000000003E-2</v>
      </c>
      <c r="N2931" t="s">
        <v>126</v>
      </c>
      <c r="O2931" t="s">
        <v>126</v>
      </c>
      <c r="P2931" t="s">
        <v>2573</v>
      </c>
      <c r="Q2931" s="1" t="s">
        <v>2281</v>
      </c>
      <c r="R2931" s="1" t="s">
        <v>2282</v>
      </c>
      <c r="S2931" s="1" t="s">
        <v>126</v>
      </c>
      <c r="V2931" t="s">
        <v>194</v>
      </c>
      <c r="W2931" s="1" t="s">
        <v>356</v>
      </c>
      <c r="X2931" t="s">
        <v>1196</v>
      </c>
      <c r="Y2931" t="s">
        <v>2279</v>
      </c>
      <c r="Z2931" t="s">
        <v>2280</v>
      </c>
      <c r="AA2931" t="s">
        <v>2286</v>
      </c>
      <c r="AB2931" t="s">
        <v>2305</v>
      </c>
      <c r="AC2931" t="s">
        <v>315</v>
      </c>
      <c r="AD2931" t="s">
        <v>2278</v>
      </c>
    </row>
    <row r="2932" spans="1:45" x14ac:dyDescent="0.2">
      <c r="A2932" t="s">
        <v>1670</v>
      </c>
      <c r="B2932" t="s">
        <v>1671</v>
      </c>
      <c r="C2932">
        <v>2012</v>
      </c>
      <c r="D2932" t="s">
        <v>811</v>
      </c>
      <c r="F2932" t="s">
        <v>83</v>
      </c>
      <c r="G2932" s="1" t="s">
        <v>85</v>
      </c>
      <c r="H2932" t="s">
        <v>96</v>
      </c>
      <c r="I2932" t="s">
        <v>1495</v>
      </c>
      <c r="J2932">
        <v>1</v>
      </c>
      <c r="K2932" t="s">
        <v>101</v>
      </c>
      <c r="L2932">
        <v>0.3</v>
      </c>
      <c r="M2932">
        <f t="shared" si="65"/>
        <v>5.2900000000000003E-2</v>
      </c>
      <c r="N2932" t="s">
        <v>126</v>
      </c>
      <c r="O2932" t="s">
        <v>126</v>
      </c>
      <c r="P2932" t="s">
        <v>2573</v>
      </c>
      <c r="Q2932" s="1" t="s">
        <v>2281</v>
      </c>
      <c r="R2932" s="1" t="s">
        <v>2282</v>
      </c>
      <c r="S2932" s="1" t="s">
        <v>126</v>
      </c>
      <c r="V2932" t="s">
        <v>194</v>
      </c>
      <c r="W2932" s="1" t="s">
        <v>356</v>
      </c>
      <c r="X2932" t="s">
        <v>211</v>
      </c>
      <c r="Y2932" t="s">
        <v>2279</v>
      </c>
      <c r="Z2932" t="s">
        <v>2280</v>
      </c>
      <c r="AA2932" t="s">
        <v>2358</v>
      </c>
      <c r="AB2932" t="s">
        <v>2290</v>
      </c>
      <c r="AC2932" t="s">
        <v>152</v>
      </c>
      <c r="AD2932" t="s">
        <v>2278</v>
      </c>
    </row>
    <row r="2933" spans="1:45" x14ac:dyDescent="0.2">
      <c r="A2933" t="s">
        <v>1670</v>
      </c>
      <c r="B2933" t="s">
        <v>1671</v>
      </c>
      <c r="C2933">
        <v>2012</v>
      </c>
      <c r="D2933" t="s">
        <v>811</v>
      </c>
      <c r="F2933" t="s">
        <v>83</v>
      </c>
      <c r="G2933" s="1" t="s">
        <v>85</v>
      </c>
      <c r="H2933" t="s">
        <v>96</v>
      </c>
      <c r="I2933" t="s">
        <v>1495</v>
      </c>
      <c r="J2933">
        <v>1</v>
      </c>
      <c r="K2933" t="s">
        <v>109</v>
      </c>
      <c r="L2933">
        <v>0.3</v>
      </c>
      <c r="M2933">
        <f t="shared" si="65"/>
        <v>5.2900000000000003E-2</v>
      </c>
      <c r="N2933" t="s">
        <v>126</v>
      </c>
      <c r="O2933" t="s">
        <v>126</v>
      </c>
      <c r="P2933" t="s">
        <v>1233</v>
      </c>
      <c r="Q2933" s="1" t="s">
        <v>2281</v>
      </c>
      <c r="R2933" s="1" t="s">
        <v>2282</v>
      </c>
      <c r="S2933" s="1" t="s">
        <v>126</v>
      </c>
      <c r="T2933" t="s">
        <v>396</v>
      </c>
      <c r="U2933" s="1" t="s">
        <v>126</v>
      </c>
      <c r="V2933" t="s">
        <v>194</v>
      </c>
      <c r="W2933" s="1" t="s">
        <v>356</v>
      </c>
      <c r="X2933" t="s">
        <v>161</v>
      </c>
      <c r="Y2933" t="s">
        <v>2272</v>
      </c>
      <c r="Z2933" t="s">
        <v>2272</v>
      </c>
      <c r="AA2933" t="s">
        <v>2272</v>
      </c>
      <c r="AB2933" t="s">
        <v>2272</v>
      </c>
      <c r="AC2933" t="s">
        <v>162</v>
      </c>
      <c r="AD2933" t="s">
        <v>2272</v>
      </c>
      <c r="AF2933" t="s">
        <v>49</v>
      </c>
      <c r="AI2933" t="s">
        <v>49</v>
      </c>
      <c r="AM2933" t="s">
        <v>201</v>
      </c>
      <c r="AN2933" t="s">
        <v>165</v>
      </c>
      <c r="AQ2933" s="5">
        <v>0</v>
      </c>
    </row>
    <row r="2934" spans="1:45" x14ac:dyDescent="0.2">
      <c r="A2934" t="s">
        <v>1670</v>
      </c>
      <c r="B2934" t="s">
        <v>1671</v>
      </c>
      <c r="C2934">
        <v>2012</v>
      </c>
      <c r="D2934" t="s">
        <v>811</v>
      </c>
      <c r="F2934" t="s">
        <v>83</v>
      </c>
      <c r="G2934" s="1" t="s">
        <v>85</v>
      </c>
      <c r="H2934" t="s">
        <v>96</v>
      </c>
      <c r="I2934" t="s">
        <v>1495</v>
      </c>
      <c r="J2934">
        <v>1</v>
      </c>
      <c r="K2934" t="s">
        <v>109</v>
      </c>
      <c r="L2934">
        <v>0.3</v>
      </c>
      <c r="M2934">
        <f t="shared" si="65"/>
        <v>5.2900000000000003E-2</v>
      </c>
      <c r="N2934" t="s">
        <v>126</v>
      </c>
      <c r="O2934" t="s">
        <v>126</v>
      </c>
      <c r="P2934" t="s">
        <v>2571</v>
      </c>
      <c r="Q2934" s="1" t="s">
        <v>2281</v>
      </c>
      <c r="R2934" s="1" t="s">
        <v>2282</v>
      </c>
      <c r="S2934" s="1" t="s">
        <v>126</v>
      </c>
      <c r="T2934" t="s">
        <v>396</v>
      </c>
      <c r="U2934" s="1" t="s">
        <v>126</v>
      </c>
      <c r="V2934" t="s">
        <v>194</v>
      </c>
      <c r="W2934" s="1" t="s">
        <v>356</v>
      </c>
      <c r="X2934" t="s">
        <v>161</v>
      </c>
      <c r="Y2934" t="s">
        <v>2272</v>
      </c>
      <c r="Z2934" t="s">
        <v>2272</v>
      </c>
      <c r="AA2934" t="s">
        <v>2272</v>
      </c>
      <c r="AB2934" t="s">
        <v>2272</v>
      </c>
      <c r="AC2934" t="s">
        <v>162</v>
      </c>
      <c r="AD2934" t="s">
        <v>2272</v>
      </c>
      <c r="AF2934" t="s">
        <v>49</v>
      </c>
      <c r="AI2934" t="s">
        <v>49</v>
      </c>
      <c r="AM2934" t="s">
        <v>201</v>
      </c>
      <c r="AN2934" t="s">
        <v>165</v>
      </c>
      <c r="AQ2934" s="5">
        <v>0</v>
      </c>
    </row>
    <row r="2935" spans="1:45" x14ac:dyDescent="0.2">
      <c r="A2935" t="s">
        <v>1670</v>
      </c>
      <c r="B2935" t="s">
        <v>1671</v>
      </c>
      <c r="C2935">
        <v>2012</v>
      </c>
      <c r="D2935" t="s">
        <v>811</v>
      </c>
      <c r="F2935" t="s">
        <v>83</v>
      </c>
      <c r="G2935" s="1" t="s">
        <v>85</v>
      </c>
      <c r="H2935" t="s">
        <v>96</v>
      </c>
      <c r="I2935" t="s">
        <v>1495</v>
      </c>
      <c r="J2935">
        <v>1</v>
      </c>
      <c r="K2935" t="s">
        <v>109</v>
      </c>
      <c r="L2935">
        <v>0.3</v>
      </c>
      <c r="M2935">
        <f t="shared" si="65"/>
        <v>5.2900000000000003E-2</v>
      </c>
      <c r="N2935" t="s">
        <v>126</v>
      </c>
      <c r="O2935" t="s">
        <v>126</v>
      </c>
      <c r="P2935" t="s">
        <v>1233</v>
      </c>
      <c r="Q2935" s="1" t="s">
        <v>2281</v>
      </c>
      <c r="R2935" s="1" t="s">
        <v>2282</v>
      </c>
      <c r="S2935" s="1" t="s">
        <v>126</v>
      </c>
      <c r="T2935" t="s">
        <v>421</v>
      </c>
      <c r="U2935" t="s">
        <v>421</v>
      </c>
      <c r="V2935" t="s">
        <v>194</v>
      </c>
      <c r="W2935" s="1" t="s">
        <v>356</v>
      </c>
      <c r="X2935" t="s">
        <v>161</v>
      </c>
      <c r="Y2935" t="s">
        <v>2272</v>
      </c>
      <c r="Z2935" t="s">
        <v>2272</v>
      </c>
      <c r="AA2935" t="s">
        <v>2272</v>
      </c>
      <c r="AB2935" t="s">
        <v>2272</v>
      </c>
      <c r="AC2935" t="s">
        <v>162</v>
      </c>
      <c r="AD2935" t="s">
        <v>2272</v>
      </c>
      <c r="AF2935" t="s">
        <v>49</v>
      </c>
      <c r="AI2935" t="s">
        <v>49</v>
      </c>
      <c r="AM2935" t="s">
        <v>201</v>
      </c>
      <c r="AN2935" t="s">
        <v>165</v>
      </c>
      <c r="AP2935" t="s">
        <v>49</v>
      </c>
    </row>
    <row r="2936" spans="1:45" x14ac:dyDescent="0.2">
      <c r="A2936" t="s">
        <v>1670</v>
      </c>
      <c r="B2936" t="s">
        <v>1671</v>
      </c>
      <c r="C2936">
        <v>2012</v>
      </c>
      <c r="D2936" t="s">
        <v>811</v>
      </c>
      <c r="F2936" t="s">
        <v>83</v>
      </c>
      <c r="G2936" s="1" t="s">
        <v>85</v>
      </c>
      <c r="H2936" t="s">
        <v>96</v>
      </c>
      <c r="I2936" t="s">
        <v>1495</v>
      </c>
      <c r="J2936">
        <v>1</v>
      </c>
      <c r="K2936" t="s">
        <v>109</v>
      </c>
      <c r="L2936">
        <v>0.3</v>
      </c>
      <c r="M2936">
        <f t="shared" si="65"/>
        <v>5.2900000000000003E-2</v>
      </c>
      <c r="N2936" t="s">
        <v>126</v>
      </c>
      <c r="O2936" t="s">
        <v>126</v>
      </c>
      <c r="P2936" t="s">
        <v>2571</v>
      </c>
      <c r="Q2936" s="1" t="s">
        <v>2281</v>
      </c>
      <c r="R2936" s="1" t="s">
        <v>2282</v>
      </c>
      <c r="S2936" s="1" t="s">
        <v>126</v>
      </c>
      <c r="T2936" t="s">
        <v>421</v>
      </c>
      <c r="U2936" t="s">
        <v>421</v>
      </c>
      <c r="V2936" t="s">
        <v>194</v>
      </c>
      <c r="W2936" s="1" t="s">
        <v>356</v>
      </c>
      <c r="X2936" t="s">
        <v>161</v>
      </c>
      <c r="Y2936" t="s">
        <v>2272</v>
      </c>
      <c r="Z2936" t="s">
        <v>2272</v>
      </c>
      <c r="AA2936" t="s">
        <v>2272</v>
      </c>
      <c r="AB2936" t="s">
        <v>2272</v>
      </c>
      <c r="AC2936" t="s">
        <v>162</v>
      </c>
      <c r="AD2936" t="s">
        <v>2272</v>
      </c>
      <c r="AF2936" t="s">
        <v>49</v>
      </c>
      <c r="AI2936" t="s">
        <v>49</v>
      </c>
      <c r="AM2936" t="s">
        <v>201</v>
      </c>
      <c r="AN2936" t="s">
        <v>165</v>
      </c>
      <c r="AP2936" t="s">
        <v>49</v>
      </c>
    </row>
    <row r="2937" spans="1:45" x14ac:dyDescent="0.2">
      <c r="A2937" t="s">
        <v>1670</v>
      </c>
      <c r="B2937" t="s">
        <v>1671</v>
      </c>
      <c r="C2937">
        <v>2012</v>
      </c>
      <c r="D2937" t="s">
        <v>811</v>
      </c>
      <c r="F2937" t="s">
        <v>83</v>
      </c>
      <c r="G2937" s="1" t="s">
        <v>85</v>
      </c>
      <c r="H2937" t="s">
        <v>96</v>
      </c>
      <c r="I2937" t="s">
        <v>1495</v>
      </c>
      <c r="J2937">
        <v>1</v>
      </c>
      <c r="K2937" t="s">
        <v>109</v>
      </c>
      <c r="L2937">
        <v>0.3</v>
      </c>
      <c r="M2937">
        <f t="shared" si="65"/>
        <v>5.2900000000000003E-2</v>
      </c>
      <c r="N2937" t="s">
        <v>126</v>
      </c>
      <c r="O2937" t="s">
        <v>126</v>
      </c>
      <c r="P2937" t="s">
        <v>1233</v>
      </c>
      <c r="Q2937" s="1" t="s">
        <v>2281</v>
      </c>
      <c r="R2937" s="1" t="s">
        <v>2282</v>
      </c>
      <c r="S2937" s="1" t="s">
        <v>126</v>
      </c>
      <c r="T2937" t="s">
        <v>396</v>
      </c>
      <c r="U2937" s="1" t="s">
        <v>126</v>
      </c>
      <c r="V2937" t="s">
        <v>194</v>
      </c>
      <c r="W2937" s="1" t="s">
        <v>356</v>
      </c>
      <c r="X2937" t="s">
        <v>161</v>
      </c>
      <c r="Y2937" t="s">
        <v>2272</v>
      </c>
      <c r="Z2937" t="s">
        <v>2272</v>
      </c>
      <c r="AA2937" t="s">
        <v>2272</v>
      </c>
      <c r="AB2937" t="s">
        <v>2272</v>
      </c>
      <c r="AC2937" t="s">
        <v>162</v>
      </c>
      <c r="AD2937" t="s">
        <v>2272</v>
      </c>
      <c r="AF2937" t="s">
        <v>49</v>
      </c>
      <c r="AI2937" t="s">
        <v>49</v>
      </c>
      <c r="AM2937" t="s">
        <v>201</v>
      </c>
      <c r="AN2937" t="s">
        <v>154</v>
      </c>
      <c r="AP2937" t="s">
        <v>49</v>
      </c>
    </row>
    <row r="2938" spans="1:45" x14ac:dyDescent="0.2">
      <c r="A2938" t="s">
        <v>1670</v>
      </c>
      <c r="B2938" t="s">
        <v>1671</v>
      </c>
      <c r="C2938">
        <v>2012</v>
      </c>
      <c r="D2938" t="s">
        <v>811</v>
      </c>
      <c r="F2938" t="s">
        <v>83</v>
      </c>
      <c r="G2938" s="1" t="s">
        <v>85</v>
      </c>
      <c r="H2938" t="s">
        <v>96</v>
      </c>
      <c r="I2938" t="s">
        <v>1495</v>
      </c>
      <c r="J2938">
        <v>1</v>
      </c>
      <c r="K2938" t="s">
        <v>109</v>
      </c>
      <c r="L2938">
        <v>0.3</v>
      </c>
      <c r="M2938">
        <f t="shared" si="65"/>
        <v>5.2900000000000003E-2</v>
      </c>
      <c r="N2938" t="s">
        <v>126</v>
      </c>
      <c r="O2938" t="s">
        <v>126</v>
      </c>
      <c r="P2938" t="s">
        <v>2571</v>
      </c>
      <c r="Q2938" s="1" t="s">
        <v>2281</v>
      </c>
      <c r="R2938" s="1" t="s">
        <v>2282</v>
      </c>
      <c r="S2938" s="1" t="s">
        <v>126</v>
      </c>
      <c r="T2938" t="s">
        <v>396</v>
      </c>
      <c r="U2938" s="1" t="s">
        <v>126</v>
      </c>
      <c r="V2938" t="s">
        <v>194</v>
      </c>
      <c r="W2938" s="1" t="s">
        <v>356</v>
      </c>
      <c r="X2938" t="s">
        <v>161</v>
      </c>
      <c r="Y2938" t="s">
        <v>2272</v>
      </c>
      <c r="Z2938" t="s">
        <v>2272</v>
      </c>
      <c r="AA2938" t="s">
        <v>2272</v>
      </c>
      <c r="AB2938" t="s">
        <v>2272</v>
      </c>
      <c r="AC2938" t="s">
        <v>162</v>
      </c>
      <c r="AD2938" t="s">
        <v>2272</v>
      </c>
      <c r="AF2938" t="s">
        <v>49</v>
      </c>
      <c r="AI2938" t="s">
        <v>49</v>
      </c>
      <c r="AM2938" t="s">
        <v>201</v>
      </c>
      <c r="AN2938" t="s">
        <v>154</v>
      </c>
      <c r="AP2938" t="s">
        <v>49</v>
      </c>
    </row>
    <row r="2939" spans="1:45" x14ac:dyDescent="0.2">
      <c r="A2939" t="s">
        <v>1670</v>
      </c>
      <c r="B2939" t="s">
        <v>1671</v>
      </c>
      <c r="C2939">
        <v>2012</v>
      </c>
      <c r="D2939" t="s">
        <v>811</v>
      </c>
      <c r="F2939" t="s">
        <v>83</v>
      </c>
      <c r="G2939" s="1" t="s">
        <v>85</v>
      </c>
      <c r="H2939" t="s">
        <v>96</v>
      </c>
      <c r="I2939" t="s">
        <v>1495</v>
      </c>
      <c r="J2939">
        <v>1</v>
      </c>
      <c r="K2939" t="s">
        <v>109</v>
      </c>
      <c r="L2939">
        <v>0.3</v>
      </c>
      <c r="M2939">
        <f t="shared" si="65"/>
        <v>5.2900000000000003E-2</v>
      </c>
      <c r="N2939" t="s">
        <v>126</v>
      </c>
      <c r="O2939" t="s">
        <v>126</v>
      </c>
      <c r="P2939" t="s">
        <v>1233</v>
      </c>
      <c r="Q2939" s="1" t="s">
        <v>2281</v>
      </c>
      <c r="R2939" s="1" t="s">
        <v>2282</v>
      </c>
      <c r="S2939" s="1" t="s">
        <v>126</v>
      </c>
      <c r="T2939" t="s">
        <v>421</v>
      </c>
      <c r="U2939" t="s">
        <v>421</v>
      </c>
      <c r="V2939" t="s">
        <v>194</v>
      </c>
      <c r="W2939" s="1" t="s">
        <v>356</v>
      </c>
      <c r="X2939" t="s">
        <v>161</v>
      </c>
      <c r="Y2939" t="s">
        <v>2272</v>
      </c>
      <c r="Z2939" t="s">
        <v>2272</v>
      </c>
      <c r="AA2939" t="s">
        <v>2272</v>
      </c>
      <c r="AB2939" t="s">
        <v>2272</v>
      </c>
      <c r="AC2939" t="s">
        <v>162</v>
      </c>
      <c r="AD2939" t="s">
        <v>2272</v>
      </c>
      <c r="AF2939" t="s">
        <v>49</v>
      </c>
      <c r="AI2939" t="s">
        <v>49</v>
      </c>
      <c r="AM2939" t="s">
        <v>201</v>
      </c>
      <c r="AN2939" t="s">
        <v>154</v>
      </c>
      <c r="AP2939" t="s">
        <v>49</v>
      </c>
    </row>
    <row r="2940" spans="1:45" x14ac:dyDescent="0.2">
      <c r="A2940" t="s">
        <v>1670</v>
      </c>
      <c r="B2940" t="s">
        <v>1671</v>
      </c>
      <c r="C2940">
        <v>2012</v>
      </c>
      <c r="D2940" t="s">
        <v>811</v>
      </c>
      <c r="F2940" t="s">
        <v>83</v>
      </c>
      <c r="G2940" s="1" t="s">
        <v>85</v>
      </c>
      <c r="H2940" t="s">
        <v>96</v>
      </c>
      <c r="I2940" t="s">
        <v>1495</v>
      </c>
      <c r="J2940">
        <v>1</v>
      </c>
      <c r="K2940" t="s">
        <v>109</v>
      </c>
      <c r="L2940">
        <v>0.3</v>
      </c>
      <c r="M2940">
        <f t="shared" si="65"/>
        <v>5.2900000000000003E-2</v>
      </c>
      <c r="N2940" t="s">
        <v>126</v>
      </c>
      <c r="O2940" t="s">
        <v>126</v>
      </c>
      <c r="P2940" t="s">
        <v>2571</v>
      </c>
      <c r="Q2940" s="1" t="s">
        <v>2281</v>
      </c>
      <c r="R2940" s="1" t="s">
        <v>2282</v>
      </c>
      <c r="S2940" s="1" t="s">
        <v>126</v>
      </c>
      <c r="T2940" t="s">
        <v>421</v>
      </c>
      <c r="U2940" t="s">
        <v>421</v>
      </c>
      <c r="V2940" t="s">
        <v>194</v>
      </c>
      <c r="W2940" s="1" t="s">
        <v>356</v>
      </c>
      <c r="X2940" t="s">
        <v>161</v>
      </c>
      <c r="Y2940" t="s">
        <v>2272</v>
      </c>
      <c r="Z2940" t="s">
        <v>2272</v>
      </c>
      <c r="AA2940" t="s">
        <v>2272</v>
      </c>
      <c r="AB2940" t="s">
        <v>2272</v>
      </c>
      <c r="AC2940" t="s">
        <v>162</v>
      </c>
      <c r="AD2940" t="s">
        <v>2272</v>
      </c>
      <c r="AF2940" t="s">
        <v>49</v>
      </c>
      <c r="AI2940" t="s">
        <v>49</v>
      </c>
      <c r="AM2940" t="s">
        <v>201</v>
      </c>
      <c r="AN2940" t="s">
        <v>154</v>
      </c>
      <c r="AP2940" t="s">
        <v>49</v>
      </c>
    </row>
    <row r="2941" spans="1:45" x14ac:dyDescent="0.2">
      <c r="A2941" t="s">
        <v>1670</v>
      </c>
      <c r="B2941" t="s">
        <v>1671</v>
      </c>
      <c r="C2941">
        <v>2012</v>
      </c>
      <c r="D2941" t="s">
        <v>811</v>
      </c>
      <c r="F2941" t="s">
        <v>83</v>
      </c>
      <c r="G2941" s="1" t="s">
        <v>85</v>
      </c>
      <c r="H2941" t="s">
        <v>96</v>
      </c>
      <c r="I2941" t="s">
        <v>1495</v>
      </c>
      <c r="J2941">
        <v>1</v>
      </c>
      <c r="K2941" t="s">
        <v>109</v>
      </c>
      <c r="L2941">
        <v>0.3</v>
      </c>
      <c r="M2941">
        <f t="shared" si="65"/>
        <v>5.2900000000000003E-2</v>
      </c>
      <c r="N2941" t="s">
        <v>126</v>
      </c>
      <c r="O2941" t="s">
        <v>126</v>
      </c>
      <c r="P2941" t="s">
        <v>1233</v>
      </c>
      <c r="Q2941" s="1" t="s">
        <v>2281</v>
      </c>
      <c r="R2941" s="1" t="s">
        <v>2282</v>
      </c>
      <c r="S2941" s="1" t="s">
        <v>126</v>
      </c>
      <c r="T2941" t="s">
        <v>396</v>
      </c>
      <c r="U2941" s="1" t="s">
        <v>126</v>
      </c>
      <c r="V2941" t="s">
        <v>194</v>
      </c>
      <c r="W2941" s="1" t="s">
        <v>356</v>
      </c>
      <c r="X2941" t="s">
        <v>161</v>
      </c>
      <c r="Y2941" t="s">
        <v>2272</v>
      </c>
      <c r="Z2941" t="s">
        <v>2272</v>
      </c>
      <c r="AA2941" t="s">
        <v>2272</v>
      </c>
      <c r="AB2941" t="s">
        <v>2272</v>
      </c>
      <c r="AC2941" t="s">
        <v>162</v>
      </c>
      <c r="AD2941" t="s">
        <v>2272</v>
      </c>
      <c r="AF2941" t="s">
        <v>49</v>
      </c>
      <c r="AI2941" t="s">
        <v>49</v>
      </c>
      <c r="AM2941" t="s">
        <v>201</v>
      </c>
      <c r="AN2941" t="s">
        <v>166</v>
      </c>
      <c r="AP2941" t="s">
        <v>49</v>
      </c>
    </row>
    <row r="2942" spans="1:45" x14ac:dyDescent="0.2">
      <c r="A2942" t="s">
        <v>1670</v>
      </c>
      <c r="B2942" t="s">
        <v>1671</v>
      </c>
      <c r="C2942">
        <v>2012</v>
      </c>
      <c r="D2942" t="s">
        <v>811</v>
      </c>
      <c r="F2942" t="s">
        <v>83</v>
      </c>
      <c r="G2942" s="1" t="s">
        <v>85</v>
      </c>
      <c r="H2942" t="s">
        <v>96</v>
      </c>
      <c r="I2942" t="s">
        <v>1495</v>
      </c>
      <c r="J2942">
        <v>1</v>
      </c>
      <c r="K2942" t="s">
        <v>109</v>
      </c>
      <c r="L2942">
        <v>0.3</v>
      </c>
      <c r="M2942">
        <f t="shared" si="65"/>
        <v>5.2900000000000003E-2</v>
      </c>
      <c r="N2942" t="s">
        <v>126</v>
      </c>
      <c r="O2942" t="s">
        <v>126</v>
      </c>
      <c r="P2942" t="s">
        <v>2571</v>
      </c>
      <c r="Q2942" s="1" t="s">
        <v>2281</v>
      </c>
      <c r="R2942" s="1" t="s">
        <v>2282</v>
      </c>
      <c r="S2942" s="1" t="s">
        <v>126</v>
      </c>
      <c r="T2942" t="s">
        <v>396</v>
      </c>
      <c r="U2942" s="1" t="s">
        <v>126</v>
      </c>
      <c r="V2942" t="s">
        <v>194</v>
      </c>
      <c r="W2942" s="1" t="s">
        <v>356</v>
      </c>
      <c r="X2942" t="s">
        <v>161</v>
      </c>
      <c r="Y2942" t="s">
        <v>2272</v>
      </c>
      <c r="Z2942" t="s">
        <v>2272</v>
      </c>
      <c r="AA2942" t="s">
        <v>2272</v>
      </c>
      <c r="AB2942" t="s">
        <v>2272</v>
      </c>
      <c r="AC2942" t="s">
        <v>162</v>
      </c>
      <c r="AD2942" t="s">
        <v>2272</v>
      </c>
      <c r="AF2942" t="s">
        <v>49</v>
      </c>
      <c r="AI2942" t="s">
        <v>49</v>
      </c>
      <c r="AM2942" t="s">
        <v>201</v>
      </c>
      <c r="AN2942" t="s">
        <v>166</v>
      </c>
      <c r="AP2942" t="s">
        <v>49</v>
      </c>
    </row>
    <row r="2943" spans="1:45" x14ac:dyDescent="0.2">
      <c r="A2943" t="s">
        <v>1670</v>
      </c>
      <c r="B2943" t="s">
        <v>1671</v>
      </c>
      <c r="C2943">
        <v>2012</v>
      </c>
      <c r="D2943" t="s">
        <v>811</v>
      </c>
      <c r="F2943" t="s">
        <v>83</v>
      </c>
      <c r="G2943" s="1" t="s">
        <v>85</v>
      </c>
      <c r="H2943" t="s">
        <v>96</v>
      </c>
      <c r="I2943" t="s">
        <v>1495</v>
      </c>
      <c r="J2943">
        <v>1</v>
      </c>
      <c r="K2943" t="s">
        <v>109</v>
      </c>
      <c r="L2943">
        <v>0.3</v>
      </c>
      <c r="M2943">
        <f t="shared" si="65"/>
        <v>5.2900000000000003E-2</v>
      </c>
      <c r="N2943" t="s">
        <v>126</v>
      </c>
      <c r="O2943" t="s">
        <v>126</v>
      </c>
      <c r="P2943" t="s">
        <v>1233</v>
      </c>
      <c r="Q2943" s="1" t="s">
        <v>2281</v>
      </c>
      <c r="R2943" s="1" t="s">
        <v>2282</v>
      </c>
      <c r="S2943" s="1" t="s">
        <v>126</v>
      </c>
      <c r="T2943" t="s">
        <v>421</v>
      </c>
      <c r="U2943" t="s">
        <v>421</v>
      </c>
      <c r="V2943" t="s">
        <v>194</v>
      </c>
      <c r="W2943" s="1" t="s">
        <v>356</v>
      </c>
      <c r="X2943" t="s">
        <v>161</v>
      </c>
      <c r="Y2943" t="s">
        <v>2272</v>
      </c>
      <c r="Z2943" t="s">
        <v>2272</v>
      </c>
      <c r="AA2943" t="s">
        <v>2272</v>
      </c>
      <c r="AB2943" t="s">
        <v>2272</v>
      </c>
      <c r="AC2943" t="s">
        <v>162</v>
      </c>
      <c r="AD2943" t="s">
        <v>2272</v>
      </c>
      <c r="AF2943" t="s">
        <v>49</v>
      </c>
      <c r="AI2943" t="s">
        <v>49</v>
      </c>
      <c r="AM2943" t="s">
        <v>201</v>
      </c>
      <c r="AN2943" t="s">
        <v>166</v>
      </c>
      <c r="AP2943" t="s">
        <v>49</v>
      </c>
    </row>
    <row r="2944" spans="1:45" x14ac:dyDescent="0.2">
      <c r="A2944" t="s">
        <v>1670</v>
      </c>
      <c r="B2944" t="s">
        <v>1671</v>
      </c>
      <c r="C2944">
        <v>2012</v>
      </c>
      <c r="D2944" t="s">
        <v>811</v>
      </c>
      <c r="F2944" t="s">
        <v>83</v>
      </c>
      <c r="G2944" s="1" t="s">
        <v>85</v>
      </c>
      <c r="H2944" t="s">
        <v>96</v>
      </c>
      <c r="I2944" t="s">
        <v>1495</v>
      </c>
      <c r="J2944">
        <v>1</v>
      </c>
      <c r="K2944" t="s">
        <v>109</v>
      </c>
      <c r="L2944">
        <v>0.3</v>
      </c>
      <c r="M2944">
        <f t="shared" si="65"/>
        <v>5.2900000000000003E-2</v>
      </c>
      <c r="N2944" t="s">
        <v>126</v>
      </c>
      <c r="O2944" t="s">
        <v>126</v>
      </c>
      <c r="P2944" t="s">
        <v>2571</v>
      </c>
      <c r="Q2944" s="1" t="s">
        <v>2281</v>
      </c>
      <c r="R2944" s="1" t="s">
        <v>2282</v>
      </c>
      <c r="S2944" s="1" t="s">
        <v>126</v>
      </c>
      <c r="T2944" t="s">
        <v>421</v>
      </c>
      <c r="U2944" t="s">
        <v>421</v>
      </c>
      <c r="V2944" t="s">
        <v>194</v>
      </c>
      <c r="W2944" s="1" t="s">
        <v>356</v>
      </c>
      <c r="X2944" t="s">
        <v>161</v>
      </c>
      <c r="Y2944" t="s">
        <v>2272</v>
      </c>
      <c r="Z2944" t="s">
        <v>2272</v>
      </c>
      <c r="AA2944" t="s">
        <v>2272</v>
      </c>
      <c r="AB2944" t="s">
        <v>2272</v>
      </c>
      <c r="AC2944" t="s">
        <v>162</v>
      </c>
      <c r="AD2944" t="s">
        <v>2272</v>
      </c>
      <c r="AF2944" t="s">
        <v>49</v>
      </c>
      <c r="AI2944" t="s">
        <v>49</v>
      </c>
      <c r="AM2944" t="s">
        <v>201</v>
      </c>
      <c r="AN2944" t="s">
        <v>166</v>
      </c>
      <c r="AP2944" t="s">
        <v>49</v>
      </c>
    </row>
    <row r="2945" spans="1:45" x14ac:dyDescent="0.2">
      <c r="A2945" t="s">
        <v>1670</v>
      </c>
      <c r="B2945" t="s">
        <v>1671</v>
      </c>
      <c r="C2945">
        <v>2012</v>
      </c>
      <c r="D2945" t="s">
        <v>44</v>
      </c>
      <c r="F2945" t="s">
        <v>83</v>
      </c>
      <c r="G2945" s="1" t="s">
        <v>85</v>
      </c>
      <c r="H2945" t="s">
        <v>96</v>
      </c>
      <c r="K2945" t="s">
        <v>101</v>
      </c>
      <c r="M2945">
        <f t="shared" ref="M2945:M2953" si="66">0.25*0.25</f>
        <v>6.25E-2</v>
      </c>
      <c r="N2945" t="s">
        <v>126</v>
      </c>
      <c r="O2945" t="s">
        <v>126</v>
      </c>
      <c r="P2945" t="s">
        <v>2573</v>
      </c>
      <c r="Q2945" s="1" t="s">
        <v>2281</v>
      </c>
      <c r="R2945" s="1" t="s">
        <v>2282</v>
      </c>
      <c r="S2945" s="1" t="s">
        <v>126</v>
      </c>
      <c r="V2945" t="s">
        <v>194</v>
      </c>
      <c r="W2945" s="1" t="s">
        <v>356</v>
      </c>
      <c r="X2945" t="s">
        <v>228</v>
      </c>
      <c r="Y2945" t="s">
        <v>2273</v>
      </c>
      <c r="Z2945" t="s">
        <v>249</v>
      </c>
      <c r="AA2945" t="s">
        <v>2359</v>
      </c>
      <c r="AB2945" t="s">
        <v>1419</v>
      </c>
      <c r="AC2945" t="s">
        <v>152</v>
      </c>
      <c r="AD2945" t="s">
        <v>137</v>
      </c>
    </row>
    <row r="2946" spans="1:45" x14ac:dyDescent="0.2">
      <c r="A2946" t="s">
        <v>1670</v>
      </c>
      <c r="B2946" t="s">
        <v>1671</v>
      </c>
      <c r="C2946">
        <v>2012</v>
      </c>
      <c r="D2946" t="s">
        <v>44</v>
      </c>
      <c r="F2946" t="s">
        <v>83</v>
      </c>
      <c r="G2946" s="1" t="s">
        <v>85</v>
      </c>
      <c r="H2946" t="s">
        <v>96</v>
      </c>
      <c r="K2946" t="s">
        <v>101</v>
      </c>
      <c r="M2946">
        <f t="shared" si="66"/>
        <v>6.25E-2</v>
      </c>
      <c r="N2946" t="s">
        <v>126</v>
      </c>
      <c r="O2946" t="s">
        <v>126</v>
      </c>
      <c r="P2946" t="s">
        <v>2573</v>
      </c>
      <c r="Q2946" s="1" t="s">
        <v>2281</v>
      </c>
      <c r="R2946" s="1" t="s">
        <v>2282</v>
      </c>
      <c r="S2946" s="1" t="s">
        <v>126</v>
      </c>
      <c r="V2946" t="s">
        <v>194</v>
      </c>
      <c r="W2946" s="1" t="s">
        <v>356</v>
      </c>
      <c r="X2946" t="s">
        <v>1196</v>
      </c>
      <c r="Y2946" t="s">
        <v>2279</v>
      </c>
      <c r="Z2946" t="s">
        <v>2280</v>
      </c>
      <c r="AA2946" t="s">
        <v>2286</v>
      </c>
      <c r="AB2946" t="s">
        <v>2305</v>
      </c>
      <c r="AC2946" t="s">
        <v>315</v>
      </c>
      <c r="AD2946" t="s">
        <v>2278</v>
      </c>
    </row>
    <row r="2947" spans="1:45" x14ac:dyDescent="0.2">
      <c r="A2947" t="s">
        <v>1670</v>
      </c>
      <c r="B2947" t="s">
        <v>1671</v>
      </c>
      <c r="C2947">
        <v>2012</v>
      </c>
      <c r="D2947" t="s">
        <v>44</v>
      </c>
      <c r="F2947" t="s">
        <v>83</v>
      </c>
      <c r="G2947" s="1" t="s">
        <v>85</v>
      </c>
      <c r="H2947" t="s">
        <v>96</v>
      </c>
      <c r="K2947" t="s">
        <v>101</v>
      </c>
      <c r="M2947">
        <f t="shared" si="66"/>
        <v>6.25E-2</v>
      </c>
      <c r="N2947" t="s">
        <v>126</v>
      </c>
      <c r="O2947" t="s">
        <v>126</v>
      </c>
      <c r="P2947" t="s">
        <v>2573</v>
      </c>
      <c r="Q2947" s="1" t="s">
        <v>2281</v>
      </c>
      <c r="R2947" s="1" t="s">
        <v>2282</v>
      </c>
      <c r="S2947" s="1" t="s">
        <v>126</v>
      </c>
      <c r="V2947" t="s">
        <v>194</v>
      </c>
      <c r="W2947" s="1" t="s">
        <v>356</v>
      </c>
      <c r="X2947" t="s">
        <v>211</v>
      </c>
      <c r="Y2947" t="s">
        <v>2279</v>
      </c>
      <c r="Z2947" t="s">
        <v>2280</v>
      </c>
      <c r="AA2947" t="s">
        <v>2358</v>
      </c>
      <c r="AB2947" t="s">
        <v>2290</v>
      </c>
      <c r="AC2947" t="s">
        <v>152</v>
      </c>
      <c r="AD2947" t="s">
        <v>2278</v>
      </c>
      <c r="AF2947" t="s">
        <v>49</v>
      </c>
      <c r="AI2947" t="s">
        <v>49</v>
      </c>
      <c r="AM2947" t="s">
        <v>201</v>
      </c>
      <c r="AN2947" t="s">
        <v>166</v>
      </c>
      <c r="AP2947" t="s">
        <v>157</v>
      </c>
    </row>
    <row r="2948" spans="1:45" x14ac:dyDescent="0.2">
      <c r="A2948" t="s">
        <v>1670</v>
      </c>
      <c r="B2948" t="s">
        <v>1671</v>
      </c>
      <c r="C2948">
        <v>2012</v>
      </c>
      <c r="D2948" t="s">
        <v>44</v>
      </c>
      <c r="F2948" t="s">
        <v>83</v>
      </c>
      <c r="G2948" s="1" t="s">
        <v>85</v>
      </c>
      <c r="H2948" t="s">
        <v>96</v>
      </c>
      <c r="K2948" t="s">
        <v>101</v>
      </c>
      <c r="M2948">
        <f t="shared" si="66"/>
        <v>6.25E-2</v>
      </c>
      <c r="N2948" t="s">
        <v>126</v>
      </c>
      <c r="O2948" t="s">
        <v>126</v>
      </c>
      <c r="P2948" t="s">
        <v>2573</v>
      </c>
      <c r="Q2948" s="1" t="s">
        <v>2281</v>
      </c>
      <c r="R2948" s="1" t="s">
        <v>2282</v>
      </c>
      <c r="S2948" s="1" t="s">
        <v>126</v>
      </c>
      <c r="V2948" t="s">
        <v>194</v>
      </c>
      <c r="W2948" s="1" t="s">
        <v>356</v>
      </c>
      <c r="X2948" t="s">
        <v>189</v>
      </c>
      <c r="Y2948" t="s">
        <v>2279</v>
      </c>
      <c r="Z2948" t="s">
        <v>2280</v>
      </c>
      <c r="AA2948" t="s">
        <v>2358</v>
      </c>
      <c r="AB2948" t="s">
        <v>189</v>
      </c>
      <c r="AC2948" t="s">
        <v>152</v>
      </c>
      <c r="AD2948" t="s">
        <v>2278</v>
      </c>
    </row>
    <row r="2949" spans="1:45" x14ac:dyDescent="0.2">
      <c r="A2949" t="s">
        <v>1670</v>
      </c>
      <c r="B2949" t="s">
        <v>1671</v>
      </c>
      <c r="C2949">
        <v>2012</v>
      </c>
      <c r="D2949" t="s">
        <v>44</v>
      </c>
      <c r="F2949" t="s">
        <v>83</v>
      </c>
      <c r="G2949" s="1" t="s">
        <v>85</v>
      </c>
      <c r="H2949" t="s">
        <v>96</v>
      </c>
      <c r="K2949" t="s">
        <v>101</v>
      </c>
      <c r="M2949">
        <f t="shared" si="66"/>
        <v>6.25E-2</v>
      </c>
      <c r="N2949" t="s">
        <v>126</v>
      </c>
      <c r="O2949" t="s">
        <v>126</v>
      </c>
      <c r="P2949" t="s">
        <v>2573</v>
      </c>
      <c r="Q2949" s="1" t="s">
        <v>2281</v>
      </c>
      <c r="R2949" s="1" t="s">
        <v>2282</v>
      </c>
      <c r="S2949" s="1" t="s">
        <v>126</v>
      </c>
      <c r="V2949" t="s">
        <v>194</v>
      </c>
      <c r="W2949" s="1" t="s">
        <v>356</v>
      </c>
      <c r="X2949" t="s">
        <v>211</v>
      </c>
      <c r="Y2949" t="s">
        <v>2279</v>
      </c>
      <c r="Z2949" t="s">
        <v>2280</v>
      </c>
      <c r="AA2949" t="s">
        <v>2358</v>
      </c>
      <c r="AB2949" t="s">
        <v>2290</v>
      </c>
      <c r="AC2949" t="s">
        <v>152</v>
      </c>
      <c r="AD2949" t="s">
        <v>2278</v>
      </c>
      <c r="AF2949" t="s">
        <v>49</v>
      </c>
      <c r="AI2949" t="s">
        <v>49</v>
      </c>
      <c r="AM2949" t="s">
        <v>201</v>
      </c>
      <c r="AN2949" t="s">
        <v>154</v>
      </c>
      <c r="AP2949" t="s">
        <v>51</v>
      </c>
    </row>
    <row r="2950" spans="1:45" x14ac:dyDescent="0.2">
      <c r="A2950" t="s">
        <v>1670</v>
      </c>
      <c r="B2950" t="s">
        <v>1671</v>
      </c>
      <c r="C2950">
        <v>2012</v>
      </c>
      <c r="D2950" t="s">
        <v>44</v>
      </c>
      <c r="F2950" t="s">
        <v>83</v>
      </c>
      <c r="G2950" s="1" t="s">
        <v>85</v>
      </c>
      <c r="H2950" t="s">
        <v>96</v>
      </c>
      <c r="K2950" t="s">
        <v>101</v>
      </c>
      <c r="M2950">
        <f t="shared" si="66"/>
        <v>6.25E-2</v>
      </c>
      <c r="N2950" t="s">
        <v>126</v>
      </c>
      <c r="O2950" t="s">
        <v>126</v>
      </c>
      <c r="P2950" t="s">
        <v>2573</v>
      </c>
      <c r="Q2950" s="1" t="s">
        <v>2281</v>
      </c>
      <c r="R2950" s="1" t="s">
        <v>2282</v>
      </c>
      <c r="S2950" s="1" t="s">
        <v>126</v>
      </c>
      <c r="V2950" t="s">
        <v>194</v>
      </c>
      <c r="W2950" s="1" t="s">
        <v>356</v>
      </c>
      <c r="X2950" t="s">
        <v>211</v>
      </c>
      <c r="Y2950" t="s">
        <v>2279</v>
      </c>
      <c r="Z2950" t="s">
        <v>2280</v>
      </c>
      <c r="AA2950" t="s">
        <v>2358</v>
      </c>
      <c r="AB2950" t="s">
        <v>2290</v>
      </c>
      <c r="AC2950" t="s">
        <v>152</v>
      </c>
      <c r="AD2950" t="s">
        <v>2278</v>
      </c>
      <c r="AF2950" t="s">
        <v>49</v>
      </c>
      <c r="AI2950" t="s">
        <v>49</v>
      </c>
      <c r="AL2950" t="s">
        <v>49</v>
      </c>
      <c r="AM2950" t="s">
        <v>2430</v>
      </c>
      <c r="AN2950" t="s">
        <v>166</v>
      </c>
      <c r="AP2950" t="s">
        <v>173</v>
      </c>
    </row>
    <row r="2951" spans="1:45" x14ac:dyDescent="0.2">
      <c r="A2951" t="s">
        <v>1670</v>
      </c>
      <c r="B2951" t="s">
        <v>1671</v>
      </c>
      <c r="C2951">
        <v>2012</v>
      </c>
      <c r="D2951" t="s">
        <v>44</v>
      </c>
      <c r="F2951" t="s">
        <v>83</v>
      </c>
      <c r="G2951" s="1" t="s">
        <v>85</v>
      </c>
      <c r="H2951" t="s">
        <v>96</v>
      </c>
      <c r="K2951" t="s">
        <v>101</v>
      </c>
      <c r="M2951">
        <f t="shared" si="66"/>
        <v>6.25E-2</v>
      </c>
      <c r="N2951" t="s">
        <v>126</v>
      </c>
      <c r="O2951" t="s">
        <v>126</v>
      </c>
      <c r="P2951" t="s">
        <v>2573</v>
      </c>
      <c r="Q2951" s="1" t="s">
        <v>2281</v>
      </c>
      <c r="R2951" s="1" t="s">
        <v>2282</v>
      </c>
      <c r="S2951" s="1" t="s">
        <v>126</v>
      </c>
      <c r="V2951" t="s">
        <v>194</v>
      </c>
      <c r="W2951" s="1" t="s">
        <v>356</v>
      </c>
      <c r="X2951" t="s">
        <v>211</v>
      </c>
      <c r="Y2951" t="s">
        <v>2279</v>
      </c>
      <c r="Z2951" t="s">
        <v>2280</v>
      </c>
      <c r="AA2951" t="s">
        <v>2358</v>
      </c>
      <c r="AB2951" t="s">
        <v>2290</v>
      </c>
      <c r="AC2951" t="s">
        <v>152</v>
      </c>
      <c r="AD2951" t="s">
        <v>2278</v>
      </c>
      <c r="AF2951" t="s">
        <v>49</v>
      </c>
      <c r="AL2951" t="s">
        <v>49</v>
      </c>
      <c r="AM2951" t="s">
        <v>2431</v>
      </c>
      <c r="AN2951" t="s">
        <v>166</v>
      </c>
      <c r="AP2951" t="s">
        <v>173</v>
      </c>
    </row>
    <row r="2952" spans="1:45" x14ac:dyDescent="0.2">
      <c r="A2952" t="s">
        <v>1670</v>
      </c>
      <c r="B2952" t="s">
        <v>1671</v>
      </c>
      <c r="C2952">
        <v>2012</v>
      </c>
      <c r="D2952" t="s">
        <v>44</v>
      </c>
      <c r="F2952" t="s">
        <v>83</v>
      </c>
      <c r="G2952" s="1" t="s">
        <v>85</v>
      </c>
      <c r="H2952" t="s">
        <v>96</v>
      </c>
      <c r="K2952" t="s">
        <v>101</v>
      </c>
      <c r="M2952">
        <f t="shared" si="66"/>
        <v>6.25E-2</v>
      </c>
      <c r="N2952" t="s">
        <v>126</v>
      </c>
      <c r="O2952" t="s">
        <v>126</v>
      </c>
      <c r="P2952" t="s">
        <v>2573</v>
      </c>
      <c r="Q2952" s="1" t="s">
        <v>2281</v>
      </c>
      <c r="R2952" s="1" t="s">
        <v>2282</v>
      </c>
      <c r="S2952" s="1" t="s">
        <v>126</v>
      </c>
      <c r="V2952" t="s">
        <v>194</v>
      </c>
      <c r="W2952" s="1" t="s">
        <v>356</v>
      </c>
      <c r="X2952" t="s">
        <v>211</v>
      </c>
      <c r="Y2952" t="s">
        <v>2279</v>
      </c>
      <c r="Z2952" t="s">
        <v>2280</v>
      </c>
      <c r="AA2952" t="s">
        <v>2358</v>
      </c>
      <c r="AB2952" t="s">
        <v>2290</v>
      </c>
      <c r="AC2952" t="s">
        <v>152</v>
      </c>
      <c r="AD2952" t="s">
        <v>2278</v>
      </c>
      <c r="AF2952" t="s">
        <v>49</v>
      </c>
      <c r="AL2952" t="s">
        <v>49</v>
      </c>
      <c r="AM2952" t="s">
        <v>2432</v>
      </c>
      <c r="AN2952" t="s">
        <v>166</v>
      </c>
      <c r="AP2952" t="s">
        <v>173</v>
      </c>
    </row>
    <row r="2953" spans="1:45" x14ac:dyDescent="0.2">
      <c r="A2953" t="s">
        <v>1670</v>
      </c>
      <c r="B2953" t="s">
        <v>1671</v>
      </c>
      <c r="C2953">
        <v>2012</v>
      </c>
      <c r="D2953" t="s">
        <v>44</v>
      </c>
      <c r="F2953" t="s">
        <v>83</v>
      </c>
      <c r="G2953" s="1" t="s">
        <v>85</v>
      </c>
      <c r="H2953" t="s">
        <v>96</v>
      </c>
      <c r="K2953" t="s">
        <v>101</v>
      </c>
      <c r="M2953">
        <f t="shared" si="66"/>
        <v>6.25E-2</v>
      </c>
      <c r="N2953" t="s">
        <v>126</v>
      </c>
      <c r="O2953" t="s">
        <v>126</v>
      </c>
      <c r="P2953" t="s">
        <v>2573</v>
      </c>
      <c r="Q2953" s="1" t="s">
        <v>2281</v>
      </c>
      <c r="R2953" s="1" t="s">
        <v>2282</v>
      </c>
      <c r="S2953" s="1" t="s">
        <v>126</v>
      </c>
      <c r="V2953" t="s">
        <v>194</v>
      </c>
      <c r="W2953" s="1" t="s">
        <v>356</v>
      </c>
      <c r="X2953" t="s">
        <v>211</v>
      </c>
      <c r="Y2953" t="s">
        <v>2279</v>
      </c>
      <c r="Z2953" t="s">
        <v>2280</v>
      </c>
      <c r="AA2953" t="s">
        <v>2358</v>
      </c>
      <c r="AB2953" t="s">
        <v>2290</v>
      </c>
      <c r="AC2953" t="s">
        <v>152</v>
      </c>
      <c r="AD2953" t="s">
        <v>2278</v>
      </c>
      <c r="AF2953" t="s">
        <v>49</v>
      </c>
      <c r="AJ2953" t="s">
        <v>49</v>
      </c>
      <c r="AM2953" t="s">
        <v>2433</v>
      </c>
      <c r="AN2953" t="s">
        <v>166</v>
      </c>
      <c r="AP2953" t="s">
        <v>173</v>
      </c>
    </row>
    <row r="2954" spans="1:45" x14ac:dyDescent="0.2">
      <c r="A2954" t="s">
        <v>1672</v>
      </c>
      <c r="B2954" t="s">
        <v>1673</v>
      </c>
      <c r="C2954">
        <v>2012</v>
      </c>
      <c r="Q2954" s="1" t="s">
        <v>2272</v>
      </c>
      <c r="R2954" s="1" t="s">
        <v>2272</v>
      </c>
      <c r="S2954" s="1" t="s">
        <v>2272</v>
      </c>
      <c r="Y2954" t="s">
        <v>2272</v>
      </c>
      <c r="Z2954" t="s">
        <v>2272</v>
      </c>
      <c r="AA2954" t="s">
        <v>2272</v>
      </c>
      <c r="AB2954" t="s">
        <v>2272</v>
      </c>
      <c r="AD2954" t="s">
        <v>2272</v>
      </c>
      <c r="AR2954" t="s">
        <v>144</v>
      </c>
      <c r="AS2954" t="s">
        <v>2583</v>
      </c>
    </row>
    <row r="2955" spans="1:45" x14ac:dyDescent="0.2">
      <c r="A2955" t="s">
        <v>1674</v>
      </c>
      <c r="B2955" t="s">
        <v>954</v>
      </c>
      <c r="C2955">
        <v>2012</v>
      </c>
      <c r="D2955" t="s">
        <v>811</v>
      </c>
      <c r="F2955" t="s">
        <v>83</v>
      </c>
      <c r="G2955" s="1" t="s">
        <v>85</v>
      </c>
      <c r="H2955" t="s">
        <v>350</v>
      </c>
      <c r="I2955">
        <v>2010</v>
      </c>
      <c r="J2955">
        <f t="shared" ref="J2955:J3002" si="67">1/12</f>
        <v>8.3333333333333329E-2</v>
      </c>
      <c r="K2955" t="s">
        <v>101</v>
      </c>
      <c r="M2955">
        <v>8.0000000000000002E-3</v>
      </c>
      <c r="N2955" t="s">
        <v>121</v>
      </c>
      <c r="O2955" t="s">
        <v>121</v>
      </c>
      <c r="P2955" t="s">
        <v>747</v>
      </c>
      <c r="Q2955" s="1" t="s">
        <v>2292</v>
      </c>
      <c r="R2955" s="1" t="s">
        <v>264</v>
      </c>
      <c r="S2955" s="1" t="s">
        <v>264</v>
      </c>
      <c r="X2955" t="s">
        <v>189</v>
      </c>
      <c r="Y2955" t="s">
        <v>2279</v>
      </c>
      <c r="Z2955" t="s">
        <v>2280</v>
      </c>
      <c r="AA2955" t="s">
        <v>2358</v>
      </c>
      <c r="AB2955" t="s">
        <v>189</v>
      </c>
      <c r="AC2955" t="s">
        <v>152</v>
      </c>
      <c r="AD2955" t="s">
        <v>2278</v>
      </c>
      <c r="AE2955" t="s">
        <v>961</v>
      </c>
    </row>
    <row r="2956" spans="1:45" x14ac:dyDescent="0.2">
      <c r="A2956" t="s">
        <v>1674</v>
      </c>
      <c r="B2956" t="s">
        <v>954</v>
      </c>
      <c r="C2956">
        <v>2012</v>
      </c>
      <c r="D2956" t="s">
        <v>811</v>
      </c>
      <c r="F2956" t="s">
        <v>83</v>
      </c>
      <c r="G2956" s="1" t="s">
        <v>85</v>
      </c>
      <c r="H2956" t="s">
        <v>350</v>
      </c>
      <c r="I2956">
        <v>2010</v>
      </c>
      <c r="J2956">
        <f t="shared" si="67"/>
        <v>8.3333333333333329E-2</v>
      </c>
      <c r="K2956" t="s">
        <v>101</v>
      </c>
      <c r="M2956">
        <v>8.0000000000000002E-3</v>
      </c>
      <c r="N2956" t="s">
        <v>121</v>
      </c>
      <c r="O2956" t="s">
        <v>121</v>
      </c>
      <c r="P2956" t="s">
        <v>1676</v>
      </c>
      <c r="Q2956" s="1" t="s">
        <v>2351</v>
      </c>
      <c r="R2956" s="1" t="s">
        <v>2351</v>
      </c>
      <c r="S2956" s="1" t="s">
        <v>2351</v>
      </c>
      <c r="T2956" t="s">
        <v>396</v>
      </c>
      <c r="U2956" t="s">
        <v>264</v>
      </c>
      <c r="X2956" t="s">
        <v>161</v>
      </c>
      <c r="Y2956" t="s">
        <v>2272</v>
      </c>
      <c r="Z2956" t="s">
        <v>2272</v>
      </c>
      <c r="AA2956" t="s">
        <v>2272</v>
      </c>
      <c r="AB2956" t="s">
        <v>2272</v>
      </c>
      <c r="AC2956" t="s">
        <v>162</v>
      </c>
      <c r="AD2956" t="s">
        <v>2272</v>
      </c>
      <c r="AG2956" t="s">
        <v>49</v>
      </c>
      <c r="AI2956" t="s">
        <v>49</v>
      </c>
      <c r="AM2956" t="s">
        <v>262</v>
      </c>
      <c r="AN2956" t="s">
        <v>165</v>
      </c>
      <c r="AP2956" t="s">
        <v>49</v>
      </c>
    </row>
    <row r="2957" spans="1:45" x14ac:dyDescent="0.2">
      <c r="A2957" t="s">
        <v>1674</v>
      </c>
      <c r="B2957" t="s">
        <v>954</v>
      </c>
      <c r="C2957">
        <v>2012</v>
      </c>
      <c r="D2957" t="s">
        <v>811</v>
      </c>
      <c r="F2957" t="s">
        <v>83</v>
      </c>
      <c r="G2957" s="1" t="s">
        <v>85</v>
      </c>
      <c r="H2957" t="s">
        <v>350</v>
      </c>
      <c r="I2957">
        <v>2010</v>
      </c>
      <c r="J2957">
        <f t="shared" si="67"/>
        <v>8.3333333333333329E-2</v>
      </c>
      <c r="K2957" t="s">
        <v>101</v>
      </c>
      <c r="M2957">
        <v>8.0000000000000002E-3</v>
      </c>
      <c r="N2957" t="s">
        <v>121</v>
      </c>
      <c r="O2957" t="s">
        <v>121</v>
      </c>
      <c r="P2957" t="s">
        <v>747</v>
      </c>
      <c r="Q2957" s="1" t="s">
        <v>2292</v>
      </c>
      <c r="R2957" s="1" t="s">
        <v>264</v>
      </c>
      <c r="S2957" s="1" t="s">
        <v>264</v>
      </c>
      <c r="T2957" t="s">
        <v>396</v>
      </c>
      <c r="U2957" s="1" t="s">
        <v>2351</v>
      </c>
      <c r="X2957" t="s">
        <v>161</v>
      </c>
      <c r="Y2957" t="s">
        <v>2272</v>
      </c>
      <c r="Z2957" t="s">
        <v>2272</v>
      </c>
      <c r="AA2957" t="s">
        <v>2272</v>
      </c>
      <c r="AB2957" t="s">
        <v>2272</v>
      </c>
      <c r="AC2957" t="s">
        <v>162</v>
      </c>
      <c r="AD2957" t="s">
        <v>2272</v>
      </c>
      <c r="AG2957" t="s">
        <v>49</v>
      </c>
      <c r="AI2957" t="s">
        <v>49</v>
      </c>
      <c r="AM2957" t="s">
        <v>262</v>
      </c>
      <c r="AN2957" t="s">
        <v>165</v>
      </c>
      <c r="AP2957" t="s">
        <v>49</v>
      </c>
    </row>
    <row r="2958" spans="1:45" x14ac:dyDescent="0.2">
      <c r="A2958" t="s">
        <v>1674</v>
      </c>
      <c r="B2958" t="s">
        <v>954</v>
      </c>
      <c r="C2958">
        <v>2012</v>
      </c>
      <c r="D2958" t="s">
        <v>811</v>
      </c>
      <c r="F2958" t="s">
        <v>83</v>
      </c>
      <c r="G2958" s="1" t="s">
        <v>85</v>
      </c>
      <c r="H2958" t="s">
        <v>350</v>
      </c>
      <c r="I2958">
        <v>2010</v>
      </c>
      <c r="J2958">
        <f t="shared" si="67"/>
        <v>8.3333333333333329E-2</v>
      </c>
      <c r="K2958" t="s">
        <v>101</v>
      </c>
      <c r="M2958">
        <v>8.0000000000000002E-3</v>
      </c>
      <c r="N2958" t="s">
        <v>121</v>
      </c>
      <c r="O2958" t="s">
        <v>121</v>
      </c>
      <c r="P2958" t="s">
        <v>1676</v>
      </c>
      <c r="Q2958" s="1" t="s">
        <v>2351</v>
      </c>
      <c r="R2958" s="1" t="s">
        <v>2351</v>
      </c>
      <c r="S2958" s="1" t="s">
        <v>2351</v>
      </c>
      <c r="T2958" t="s">
        <v>396</v>
      </c>
      <c r="U2958" t="s">
        <v>264</v>
      </c>
      <c r="X2958" t="s">
        <v>161</v>
      </c>
      <c r="Y2958" t="s">
        <v>2272</v>
      </c>
      <c r="Z2958" t="s">
        <v>2272</v>
      </c>
      <c r="AA2958" t="s">
        <v>2272</v>
      </c>
      <c r="AB2958" t="s">
        <v>2272</v>
      </c>
      <c r="AC2958" t="s">
        <v>162</v>
      </c>
      <c r="AD2958" t="s">
        <v>2272</v>
      </c>
      <c r="AG2958" t="s">
        <v>49</v>
      </c>
      <c r="AI2958" t="s">
        <v>49</v>
      </c>
      <c r="AM2958" t="s">
        <v>262</v>
      </c>
      <c r="AN2958" t="s">
        <v>154</v>
      </c>
      <c r="AQ2958" s="5">
        <v>1</v>
      </c>
    </row>
    <row r="2959" spans="1:45" x14ac:dyDescent="0.2">
      <c r="A2959" t="s">
        <v>1674</v>
      </c>
      <c r="B2959" t="s">
        <v>954</v>
      </c>
      <c r="C2959">
        <v>2012</v>
      </c>
      <c r="D2959" t="s">
        <v>811</v>
      </c>
      <c r="F2959" t="s">
        <v>83</v>
      </c>
      <c r="G2959" s="1" t="s">
        <v>85</v>
      </c>
      <c r="H2959" t="s">
        <v>350</v>
      </c>
      <c r="I2959">
        <v>2010</v>
      </c>
      <c r="J2959">
        <f t="shared" si="67"/>
        <v>8.3333333333333329E-2</v>
      </c>
      <c r="K2959" t="s">
        <v>101</v>
      </c>
      <c r="M2959">
        <v>8.0000000000000002E-3</v>
      </c>
      <c r="N2959" t="s">
        <v>121</v>
      </c>
      <c r="O2959" t="s">
        <v>121</v>
      </c>
      <c r="P2959" t="s">
        <v>747</v>
      </c>
      <c r="Q2959" s="1" t="s">
        <v>2292</v>
      </c>
      <c r="R2959" s="1" t="s">
        <v>264</v>
      </c>
      <c r="S2959" s="1" t="s">
        <v>264</v>
      </c>
      <c r="T2959" t="s">
        <v>396</v>
      </c>
      <c r="U2959" s="1" t="s">
        <v>2351</v>
      </c>
      <c r="X2959" t="s">
        <v>161</v>
      </c>
      <c r="Y2959" t="s">
        <v>2272</v>
      </c>
      <c r="Z2959" t="s">
        <v>2272</v>
      </c>
      <c r="AA2959" t="s">
        <v>2272</v>
      </c>
      <c r="AB2959" t="s">
        <v>2272</v>
      </c>
      <c r="AC2959" t="s">
        <v>162</v>
      </c>
      <c r="AD2959" t="s">
        <v>2272</v>
      </c>
      <c r="AG2959" t="s">
        <v>49</v>
      </c>
      <c r="AI2959" t="s">
        <v>49</v>
      </c>
      <c r="AM2959" t="s">
        <v>262</v>
      </c>
      <c r="AN2959" t="s">
        <v>154</v>
      </c>
      <c r="AQ2959" s="5">
        <v>2</v>
      </c>
    </row>
    <row r="2960" spans="1:45" x14ac:dyDescent="0.2">
      <c r="A2960" t="s">
        <v>1674</v>
      </c>
      <c r="B2960" t="s">
        <v>954</v>
      </c>
      <c r="C2960">
        <v>2012</v>
      </c>
      <c r="D2960" t="s">
        <v>811</v>
      </c>
      <c r="F2960" t="s">
        <v>83</v>
      </c>
      <c r="G2960" s="1" t="s">
        <v>85</v>
      </c>
      <c r="H2960" t="s">
        <v>350</v>
      </c>
      <c r="I2960">
        <v>2010</v>
      </c>
      <c r="J2960">
        <f t="shared" si="67"/>
        <v>8.3333333333333329E-2</v>
      </c>
      <c r="K2960" t="s">
        <v>101</v>
      </c>
      <c r="M2960">
        <v>8.0000000000000002E-3</v>
      </c>
      <c r="N2960" t="s">
        <v>121</v>
      </c>
      <c r="O2960" t="s">
        <v>121</v>
      </c>
      <c r="P2960" t="s">
        <v>1675</v>
      </c>
      <c r="Q2960" s="1" t="s">
        <v>2276</v>
      </c>
      <c r="R2960" s="1" t="s">
        <v>751</v>
      </c>
      <c r="S2960" s="1" t="s">
        <v>2346</v>
      </c>
      <c r="X2960" t="s">
        <v>211</v>
      </c>
      <c r="Y2960" t="s">
        <v>2279</v>
      </c>
      <c r="Z2960" t="s">
        <v>2280</v>
      </c>
      <c r="AA2960" t="s">
        <v>2358</v>
      </c>
      <c r="AB2960" t="s">
        <v>2290</v>
      </c>
      <c r="AC2960" t="s">
        <v>152</v>
      </c>
      <c r="AD2960" t="s">
        <v>2272</v>
      </c>
      <c r="AG2960" t="s">
        <v>49</v>
      </c>
      <c r="AI2960" t="s">
        <v>49</v>
      </c>
      <c r="AM2960" t="s">
        <v>262</v>
      </c>
      <c r="AN2960" t="s">
        <v>154</v>
      </c>
      <c r="AP2960" t="s">
        <v>157</v>
      </c>
    </row>
    <row r="2961" spans="1:43" x14ac:dyDescent="0.2">
      <c r="A2961" t="s">
        <v>1674</v>
      </c>
      <c r="B2961" t="s">
        <v>954</v>
      </c>
      <c r="C2961">
        <v>2012</v>
      </c>
      <c r="D2961" t="s">
        <v>811</v>
      </c>
      <c r="F2961" t="s">
        <v>83</v>
      </c>
      <c r="G2961" s="1" t="s">
        <v>85</v>
      </c>
      <c r="H2961" t="s">
        <v>350</v>
      </c>
      <c r="I2961">
        <v>2010</v>
      </c>
      <c r="J2961">
        <f t="shared" si="67"/>
        <v>8.3333333333333329E-2</v>
      </c>
      <c r="K2961" t="s">
        <v>101</v>
      </c>
      <c r="M2961">
        <v>8.0000000000000002E-3</v>
      </c>
      <c r="N2961" t="s">
        <v>121</v>
      </c>
      <c r="O2961" t="s">
        <v>121</v>
      </c>
      <c r="P2961" t="s">
        <v>1676</v>
      </c>
      <c r="Q2961" s="1" t="s">
        <v>2351</v>
      </c>
      <c r="R2961" s="1" t="s">
        <v>2351</v>
      </c>
      <c r="S2961" s="1" t="s">
        <v>2351</v>
      </c>
      <c r="T2961" t="s">
        <v>396</v>
      </c>
      <c r="U2961" t="s">
        <v>264</v>
      </c>
      <c r="X2961" t="s">
        <v>161</v>
      </c>
      <c r="Y2961" t="s">
        <v>2272</v>
      </c>
      <c r="Z2961" t="s">
        <v>2272</v>
      </c>
      <c r="AA2961" t="s">
        <v>2272</v>
      </c>
      <c r="AB2961" t="s">
        <v>2272</v>
      </c>
      <c r="AC2961" t="s">
        <v>162</v>
      </c>
      <c r="AD2961" t="s">
        <v>2272</v>
      </c>
      <c r="AG2961" t="s">
        <v>49</v>
      </c>
      <c r="AI2961" t="s">
        <v>49</v>
      </c>
      <c r="AM2961" t="s">
        <v>262</v>
      </c>
      <c r="AN2961" t="s">
        <v>166</v>
      </c>
      <c r="AQ2961" s="5">
        <v>1</v>
      </c>
    </row>
    <row r="2962" spans="1:43" x14ac:dyDescent="0.2">
      <c r="A2962" t="s">
        <v>1674</v>
      </c>
      <c r="B2962" t="s">
        <v>954</v>
      </c>
      <c r="C2962">
        <v>2012</v>
      </c>
      <c r="D2962" t="s">
        <v>811</v>
      </c>
      <c r="F2962" t="s">
        <v>83</v>
      </c>
      <c r="G2962" s="1" t="s">
        <v>85</v>
      </c>
      <c r="H2962" t="s">
        <v>350</v>
      </c>
      <c r="I2962">
        <v>2010</v>
      </c>
      <c r="J2962">
        <f t="shared" si="67"/>
        <v>8.3333333333333329E-2</v>
      </c>
      <c r="K2962" t="s">
        <v>101</v>
      </c>
      <c r="M2962">
        <v>8.0000000000000002E-3</v>
      </c>
      <c r="N2962" t="s">
        <v>121</v>
      </c>
      <c r="O2962" t="s">
        <v>121</v>
      </c>
      <c r="P2962" t="s">
        <v>747</v>
      </c>
      <c r="Q2962" s="1" t="s">
        <v>2292</v>
      </c>
      <c r="R2962" s="1" t="s">
        <v>264</v>
      </c>
      <c r="S2962" s="1" t="s">
        <v>264</v>
      </c>
      <c r="T2962" t="s">
        <v>396</v>
      </c>
      <c r="U2962" s="1" t="s">
        <v>2351</v>
      </c>
      <c r="X2962" t="s">
        <v>161</v>
      </c>
      <c r="Y2962" t="s">
        <v>2272</v>
      </c>
      <c r="Z2962" t="s">
        <v>2272</v>
      </c>
      <c r="AA2962" t="s">
        <v>2272</v>
      </c>
      <c r="AB2962" t="s">
        <v>2272</v>
      </c>
      <c r="AC2962" t="s">
        <v>162</v>
      </c>
      <c r="AD2962" t="s">
        <v>2272</v>
      </c>
      <c r="AG2962" t="s">
        <v>49</v>
      </c>
      <c r="AI2962" t="s">
        <v>49</v>
      </c>
      <c r="AM2962" t="s">
        <v>262</v>
      </c>
      <c r="AN2962" t="s">
        <v>166</v>
      </c>
      <c r="AQ2962" s="5">
        <v>2</v>
      </c>
    </row>
    <row r="2963" spans="1:43" x14ac:dyDescent="0.2">
      <c r="A2963" t="s">
        <v>1674</v>
      </c>
      <c r="B2963" t="s">
        <v>954</v>
      </c>
      <c r="C2963">
        <v>2012</v>
      </c>
      <c r="D2963" t="s">
        <v>811</v>
      </c>
      <c r="F2963" t="s">
        <v>83</v>
      </c>
      <c r="G2963" s="1" t="s">
        <v>85</v>
      </c>
      <c r="H2963" t="s">
        <v>350</v>
      </c>
      <c r="I2963">
        <v>2010</v>
      </c>
      <c r="J2963">
        <f t="shared" si="67"/>
        <v>8.3333333333333329E-2</v>
      </c>
      <c r="K2963" t="s">
        <v>101</v>
      </c>
      <c r="M2963">
        <v>8.0000000000000002E-3</v>
      </c>
      <c r="N2963" t="s">
        <v>121</v>
      </c>
      <c r="O2963" t="s">
        <v>121</v>
      </c>
      <c r="P2963" t="s">
        <v>1675</v>
      </c>
      <c r="Q2963" s="1" t="s">
        <v>2276</v>
      </c>
      <c r="R2963" s="1" t="s">
        <v>751</v>
      </c>
      <c r="S2963" s="1" t="s">
        <v>2346</v>
      </c>
      <c r="X2963" t="s">
        <v>211</v>
      </c>
      <c r="Y2963" t="s">
        <v>2279</v>
      </c>
      <c r="Z2963" t="s">
        <v>2280</v>
      </c>
      <c r="AA2963" t="s">
        <v>2358</v>
      </c>
      <c r="AB2963" t="s">
        <v>2290</v>
      </c>
      <c r="AC2963" t="s">
        <v>152</v>
      </c>
      <c r="AD2963" t="s">
        <v>2272</v>
      </c>
      <c r="AG2963" t="s">
        <v>49</v>
      </c>
      <c r="AI2963" t="s">
        <v>49</v>
      </c>
      <c r="AM2963" t="s">
        <v>262</v>
      </c>
      <c r="AN2963" t="s">
        <v>166</v>
      </c>
      <c r="AP2963" t="s">
        <v>157</v>
      </c>
    </row>
    <row r="2964" spans="1:43" x14ac:dyDescent="0.2">
      <c r="A2964" t="s">
        <v>1674</v>
      </c>
      <c r="B2964" t="s">
        <v>954</v>
      </c>
      <c r="C2964">
        <v>2012</v>
      </c>
      <c r="D2964" t="s">
        <v>811</v>
      </c>
      <c r="F2964" t="s">
        <v>83</v>
      </c>
      <c r="G2964" s="1" t="s">
        <v>85</v>
      </c>
      <c r="H2964" t="s">
        <v>350</v>
      </c>
      <c r="I2964">
        <v>2010</v>
      </c>
      <c r="J2964">
        <f t="shared" si="67"/>
        <v>8.3333333333333329E-2</v>
      </c>
      <c r="K2964" t="s">
        <v>101</v>
      </c>
      <c r="M2964">
        <v>8.0000000000000002E-3</v>
      </c>
      <c r="N2964" t="s">
        <v>121</v>
      </c>
      <c r="O2964" t="s">
        <v>121</v>
      </c>
      <c r="P2964" t="s">
        <v>1676</v>
      </c>
      <c r="Q2964" s="1" t="s">
        <v>2351</v>
      </c>
      <c r="R2964" s="1" t="s">
        <v>2351</v>
      </c>
      <c r="S2964" s="1" t="s">
        <v>2351</v>
      </c>
      <c r="T2964" t="s">
        <v>396</v>
      </c>
      <c r="U2964" t="s">
        <v>264</v>
      </c>
      <c r="X2964" t="s">
        <v>161</v>
      </c>
      <c r="Y2964" t="s">
        <v>2272</v>
      </c>
      <c r="Z2964" t="s">
        <v>2272</v>
      </c>
      <c r="AA2964" t="s">
        <v>2272</v>
      </c>
      <c r="AB2964" t="s">
        <v>2272</v>
      </c>
      <c r="AC2964" t="s">
        <v>162</v>
      </c>
      <c r="AD2964" t="s">
        <v>2272</v>
      </c>
      <c r="AG2964" t="s">
        <v>49</v>
      </c>
      <c r="AK2964" t="s">
        <v>49</v>
      </c>
      <c r="AM2964" t="s">
        <v>2434</v>
      </c>
      <c r="AN2964" t="s">
        <v>166</v>
      </c>
      <c r="AQ2964" s="5">
        <v>1</v>
      </c>
    </row>
    <row r="2965" spans="1:43" x14ac:dyDescent="0.2">
      <c r="A2965" t="s">
        <v>1674</v>
      </c>
      <c r="B2965" t="s">
        <v>954</v>
      </c>
      <c r="C2965">
        <v>2012</v>
      </c>
      <c r="D2965" t="s">
        <v>811</v>
      </c>
      <c r="F2965" t="s">
        <v>83</v>
      </c>
      <c r="G2965" s="1" t="s">
        <v>85</v>
      </c>
      <c r="H2965" t="s">
        <v>350</v>
      </c>
      <c r="I2965">
        <v>2010</v>
      </c>
      <c r="J2965">
        <f t="shared" si="67"/>
        <v>8.3333333333333329E-2</v>
      </c>
      <c r="K2965" t="s">
        <v>101</v>
      </c>
      <c r="M2965">
        <v>8.0000000000000002E-3</v>
      </c>
      <c r="N2965" t="s">
        <v>121</v>
      </c>
      <c r="O2965" t="s">
        <v>121</v>
      </c>
      <c r="P2965" t="s">
        <v>747</v>
      </c>
      <c r="Q2965" s="1" t="s">
        <v>2292</v>
      </c>
      <c r="R2965" s="1" t="s">
        <v>264</v>
      </c>
      <c r="S2965" s="1" t="s">
        <v>264</v>
      </c>
      <c r="T2965" t="s">
        <v>396</v>
      </c>
      <c r="U2965" s="1" t="s">
        <v>2351</v>
      </c>
      <c r="X2965" t="s">
        <v>161</v>
      </c>
      <c r="Y2965" t="s">
        <v>2272</v>
      </c>
      <c r="Z2965" t="s">
        <v>2272</v>
      </c>
      <c r="AA2965" t="s">
        <v>2272</v>
      </c>
      <c r="AB2965" t="s">
        <v>2272</v>
      </c>
      <c r="AC2965" t="s">
        <v>162</v>
      </c>
      <c r="AD2965" t="s">
        <v>2272</v>
      </c>
      <c r="AG2965" t="s">
        <v>49</v>
      </c>
      <c r="AK2965" t="s">
        <v>49</v>
      </c>
      <c r="AM2965" t="s">
        <v>2434</v>
      </c>
      <c r="AN2965" t="s">
        <v>166</v>
      </c>
      <c r="AQ2965" s="5">
        <v>2</v>
      </c>
    </row>
    <row r="2966" spans="1:43" x14ac:dyDescent="0.2">
      <c r="A2966" t="s">
        <v>1674</v>
      </c>
      <c r="B2966" t="s">
        <v>954</v>
      </c>
      <c r="C2966">
        <v>2012</v>
      </c>
      <c r="D2966" t="s">
        <v>811</v>
      </c>
      <c r="F2966" t="s">
        <v>83</v>
      </c>
      <c r="G2966" s="1" t="s">
        <v>85</v>
      </c>
      <c r="H2966" t="s">
        <v>350</v>
      </c>
      <c r="I2966">
        <v>2010</v>
      </c>
      <c r="J2966">
        <f t="shared" si="67"/>
        <v>8.3333333333333329E-2</v>
      </c>
      <c r="K2966" t="s">
        <v>101</v>
      </c>
      <c r="M2966">
        <v>8.0000000000000002E-3</v>
      </c>
      <c r="N2966" t="s">
        <v>121</v>
      </c>
      <c r="O2966" t="s">
        <v>121</v>
      </c>
      <c r="P2966" t="s">
        <v>1675</v>
      </c>
      <c r="Q2966" s="1" t="s">
        <v>2276</v>
      </c>
      <c r="R2966" s="1" t="s">
        <v>751</v>
      </c>
      <c r="S2966" s="1" t="s">
        <v>2346</v>
      </c>
      <c r="X2966" t="s">
        <v>211</v>
      </c>
      <c r="Y2966" t="s">
        <v>2279</v>
      </c>
      <c r="Z2966" t="s">
        <v>2280</v>
      </c>
      <c r="AA2966" t="s">
        <v>2358</v>
      </c>
      <c r="AB2966" t="s">
        <v>2290</v>
      </c>
      <c r="AC2966" t="s">
        <v>152</v>
      </c>
      <c r="AD2966" t="s">
        <v>2272</v>
      </c>
      <c r="AG2966" t="s">
        <v>49</v>
      </c>
      <c r="AK2966" t="s">
        <v>49</v>
      </c>
      <c r="AM2966" t="s">
        <v>2434</v>
      </c>
      <c r="AN2966" t="s">
        <v>166</v>
      </c>
      <c r="AP2966" t="s">
        <v>157</v>
      </c>
    </row>
    <row r="2967" spans="1:43" x14ac:dyDescent="0.2">
      <c r="A2967" t="s">
        <v>1674</v>
      </c>
      <c r="B2967" t="s">
        <v>954</v>
      </c>
      <c r="C2967">
        <v>2012</v>
      </c>
      <c r="D2967" t="s">
        <v>811</v>
      </c>
      <c r="F2967" t="s">
        <v>83</v>
      </c>
      <c r="G2967" s="1" t="s">
        <v>85</v>
      </c>
      <c r="H2967" t="s">
        <v>350</v>
      </c>
      <c r="I2967">
        <v>2010</v>
      </c>
      <c r="J2967">
        <f t="shared" si="67"/>
        <v>8.3333333333333329E-2</v>
      </c>
      <c r="K2967" t="s">
        <v>101</v>
      </c>
      <c r="M2967">
        <v>8.0000000000000002E-3</v>
      </c>
      <c r="N2967" t="s">
        <v>121</v>
      </c>
      <c r="O2967" t="s">
        <v>121</v>
      </c>
      <c r="P2967" t="s">
        <v>1676</v>
      </c>
      <c r="Q2967" s="1" t="s">
        <v>2351</v>
      </c>
      <c r="R2967" s="1" t="s">
        <v>2351</v>
      </c>
      <c r="S2967" s="1" t="s">
        <v>2351</v>
      </c>
      <c r="T2967" t="s">
        <v>396</v>
      </c>
      <c r="U2967" t="s">
        <v>264</v>
      </c>
      <c r="X2967" t="s">
        <v>161</v>
      </c>
      <c r="Y2967" t="s">
        <v>2272</v>
      </c>
      <c r="Z2967" t="s">
        <v>2272</v>
      </c>
      <c r="AA2967" t="s">
        <v>2272</v>
      </c>
      <c r="AB2967" t="s">
        <v>2272</v>
      </c>
      <c r="AC2967" t="s">
        <v>162</v>
      </c>
      <c r="AD2967" t="s">
        <v>2272</v>
      </c>
      <c r="AG2967" t="s">
        <v>49</v>
      </c>
      <c r="AK2967" t="s">
        <v>49</v>
      </c>
      <c r="AM2967" t="s">
        <v>295</v>
      </c>
      <c r="AN2967" t="s">
        <v>166</v>
      </c>
      <c r="AQ2967" s="5">
        <v>1</v>
      </c>
    </row>
    <row r="2968" spans="1:43" x14ac:dyDescent="0.2">
      <c r="A2968" t="s">
        <v>1674</v>
      </c>
      <c r="B2968" t="s">
        <v>954</v>
      </c>
      <c r="C2968">
        <v>2012</v>
      </c>
      <c r="D2968" t="s">
        <v>811</v>
      </c>
      <c r="F2968" t="s">
        <v>83</v>
      </c>
      <c r="G2968" s="1" t="s">
        <v>85</v>
      </c>
      <c r="H2968" t="s">
        <v>350</v>
      </c>
      <c r="I2968">
        <v>2010</v>
      </c>
      <c r="J2968">
        <f t="shared" si="67"/>
        <v>8.3333333333333329E-2</v>
      </c>
      <c r="K2968" t="s">
        <v>101</v>
      </c>
      <c r="M2968">
        <v>8.0000000000000002E-3</v>
      </c>
      <c r="N2968" t="s">
        <v>121</v>
      </c>
      <c r="O2968" t="s">
        <v>121</v>
      </c>
      <c r="P2968" t="s">
        <v>747</v>
      </c>
      <c r="Q2968" s="1" t="s">
        <v>2292</v>
      </c>
      <c r="R2968" s="1" t="s">
        <v>264</v>
      </c>
      <c r="S2968" s="1" t="s">
        <v>264</v>
      </c>
      <c r="T2968" t="s">
        <v>396</v>
      </c>
      <c r="U2968" s="1" t="s">
        <v>2351</v>
      </c>
      <c r="X2968" t="s">
        <v>161</v>
      </c>
      <c r="Y2968" t="s">
        <v>2272</v>
      </c>
      <c r="Z2968" t="s">
        <v>2272</v>
      </c>
      <c r="AA2968" t="s">
        <v>2272</v>
      </c>
      <c r="AB2968" t="s">
        <v>2272</v>
      </c>
      <c r="AC2968" t="s">
        <v>162</v>
      </c>
      <c r="AD2968" t="s">
        <v>2272</v>
      </c>
      <c r="AG2968" t="s">
        <v>49</v>
      </c>
      <c r="AK2968" t="s">
        <v>49</v>
      </c>
      <c r="AM2968" t="s">
        <v>295</v>
      </c>
      <c r="AN2968" t="s">
        <v>166</v>
      </c>
      <c r="AQ2968" s="5">
        <v>2</v>
      </c>
    </row>
    <row r="2969" spans="1:43" x14ac:dyDescent="0.2">
      <c r="A2969" t="s">
        <v>1674</v>
      </c>
      <c r="B2969" t="s">
        <v>954</v>
      </c>
      <c r="C2969">
        <v>2012</v>
      </c>
      <c r="D2969" t="s">
        <v>811</v>
      </c>
      <c r="F2969" t="s">
        <v>83</v>
      </c>
      <c r="G2969" s="1" t="s">
        <v>85</v>
      </c>
      <c r="H2969" t="s">
        <v>350</v>
      </c>
      <c r="I2969">
        <v>2010</v>
      </c>
      <c r="J2969">
        <f t="shared" si="67"/>
        <v>8.3333333333333329E-2</v>
      </c>
      <c r="K2969" t="s">
        <v>101</v>
      </c>
      <c r="M2969">
        <v>8.0000000000000002E-3</v>
      </c>
      <c r="N2969" t="s">
        <v>121</v>
      </c>
      <c r="O2969" t="s">
        <v>121</v>
      </c>
      <c r="P2969" t="s">
        <v>1675</v>
      </c>
      <c r="Q2969" s="1" t="s">
        <v>2276</v>
      </c>
      <c r="R2969" s="1" t="s">
        <v>751</v>
      </c>
      <c r="S2969" s="1" t="s">
        <v>2346</v>
      </c>
      <c r="X2969" t="s">
        <v>211</v>
      </c>
      <c r="Y2969" t="s">
        <v>2279</v>
      </c>
      <c r="Z2969" t="s">
        <v>2280</v>
      </c>
      <c r="AA2969" t="s">
        <v>2358</v>
      </c>
      <c r="AB2969" t="s">
        <v>2290</v>
      </c>
      <c r="AC2969" t="s">
        <v>152</v>
      </c>
      <c r="AD2969" t="s">
        <v>2272</v>
      </c>
      <c r="AG2969" t="s">
        <v>49</v>
      </c>
      <c r="AK2969" t="s">
        <v>49</v>
      </c>
      <c r="AM2969" t="s">
        <v>295</v>
      </c>
      <c r="AN2969" t="s">
        <v>166</v>
      </c>
      <c r="AP2969" t="s">
        <v>157</v>
      </c>
    </row>
    <row r="2970" spans="1:43" x14ac:dyDescent="0.2">
      <c r="A2970" t="s">
        <v>1674</v>
      </c>
      <c r="B2970" t="s">
        <v>954</v>
      </c>
      <c r="C2970">
        <v>2012</v>
      </c>
      <c r="D2970" t="s">
        <v>811</v>
      </c>
      <c r="F2970" t="s">
        <v>83</v>
      </c>
      <c r="G2970" s="1" t="s">
        <v>85</v>
      </c>
      <c r="H2970" t="s">
        <v>350</v>
      </c>
      <c r="I2970">
        <v>2010</v>
      </c>
      <c r="J2970">
        <f t="shared" si="67"/>
        <v>8.3333333333333329E-2</v>
      </c>
      <c r="K2970" t="s">
        <v>101</v>
      </c>
      <c r="M2970">
        <v>8.0000000000000002E-3</v>
      </c>
      <c r="N2970" t="s">
        <v>121</v>
      </c>
      <c r="O2970" t="s">
        <v>121</v>
      </c>
      <c r="P2970" t="s">
        <v>1676</v>
      </c>
      <c r="Q2970" s="1" t="s">
        <v>2351</v>
      </c>
      <c r="R2970" s="1" t="s">
        <v>2351</v>
      </c>
      <c r="S2970" s="1" t="s">
        <v>2351</v>
      </c>
      <c r="T2970" t="s">
        <v>396</v>
      </c>
      <c r="U2970" t="s">
        <v>264</v>
      </c>
      <c r="X2970" t="s">
        <v>161</v>
      </c>
      <c r="Y2970" t="s">
        <v>2272</v>
      </c>
      <c r="Z2970" t="s">
        <v>2272</v>
      </c>
      <c r="AA2970" t="s">
        <v>2272</v>
      </c>
      <c r="AB2970" t="s">
        <v>2272</v>
      </c>
      <c r="AC2970" t="s">
        <v>162</v>
      </c>
      <c r="AD2970" t="s">
        <v>2272</v>
      </c>
      <c r="AG2970" t="s">
        <v>49</v>
      </c>
      <c r="AK2970" t="s">
        <v>49</v>
      </c>
      <c r="AM2970" t="s">
        <v>2435</v>
      </c>
      <c r="AN2970" t="s">
        <v>166</v>
      </c>
      <c r="AQ2970" s="5">
        <v>0</v>
      </c>
    </row>
    <row r="2971" spans="1:43" x14ac:dyDescent="0.2">
      <c r="A2971" t="s">
        <v>1674</v>
      </c>
      <c r="B2971" t="s">
        <v>954</v>
      </c>
      <c r="C2971">
        <v>2012</v>
      </c>
      <c r="D2971" t="s">
        <v>811</v>
      </c>
      <c r="F2971" t="s">
        <v>83</v>
      </c>
      <c r="G2971" s="1" t="s">
        <v>85</v>
      </c>
      <c r="H2971" t="s">
        <v>350</v>
      </c>
      <c r="I2971">
        <v>2010</v>
      </c>
      <c r="J2971">
        <f t="shared" si="67"/>
        <v>8.3333333333333329E-2</v>
      </c>
      <c r="K2971" t="s">
        <v>101</v>
      </c>
      <c r="M2971">
        <v>8.0000000000000002E-3</v>
      </c>
      <c r="N2971" t="s">
        <v>121</v>
      </c>
      <c r="O2971" t="s">
        <v>121</v>
      </c>
      <c r="P2971" t="s">
        <v>747</v>
      </c>
      <c r="Q2971" s="1" t="s">
        <v>2292</v>
      </c>
      <c r="R2971" s="1" t="s">
        <v>264</v>
      </c>
      <c r="S2971" s="1" t="s">
        <v>264</v>
      </c>
      <c r="T2971" t="s">
        <v>396</v>
      </c>
      <c r="U2971" s="1" t="s">
        <v>2351</v>
      </c>
      <c r="X2971" t="s">
        <v>161</v>
      </c>
      <c r="Y2971" t="s">
        <v>2272</v>
      </c>
      <c r="Z2971" t="s">
        <v>2272</v>
      </c>
      <c r="AA2971" t="s">
        <v>2272</v>
      </c>
      <c r="AB2971" t="s">
        <v>2272</v>
      </c>
      <c r="AC2971" t="s">
        <v>162</v>
      </c>
      <c r="AD2971" t="s">
        <v>2272</v>
      </c>
      <c r="AG2971" t="s">
        <v>49</v>
      </c>
      <c r="AK2971" t="s">
        <v>49</v>
      </c>
      <c r="AM2971" t="s">
        <v>2435</v>
      </c>
      <c r="AN2971" t="s">
        <v>166</v>
      </c>
      <c r="AQ2971" s="5">
        <v>0</v>
      </c>
    </row>
    <row r="2972" spans="1:43" x14ac:dyDescent="0.2">
      <c r="A2972" t="s">
        <v>1674</v>
      </c>
      <c r="B2972" t="s">
        <v>954</v>
      </c>
      <c r="C2972">
        <v>2012</v>
      </c>
      <c r="D2972" t="s">
        <v>811</v>
      </c>
      <c r="F2972" t="s">
        <v>83</v>
      </c>
      <c r="G2972" s="1" t="s">
        <v>85</v>
      </c>
      <c r="H2972" t="s">
        <v>350</v>
      </c>
      <c r="I2972">
        <v>2010</v>
      </c>
      <c r="J2972">
        <f t="shared" si="67"/>
        <v>8.3333333333333329E-2</v>
      </c>
      <c r="K2972" t="s">
        <v>101</v>
      </c>
      <c r="M2972">
        <v>8.0000000000000002E-3</v>
      </c>
      <c r="N2972" t="s">
        <v>121</v>
      </c>
      <c r="O2972" t="s">
        <v>121</v>
      </c>
      <c r="P2972" t="s">
        <v>1675</v>
      </c>
      <c r="Q2972" s="1" t="s">
        <v>2276</v>
      </c>
      <c r="R2972" s="1" t="s">
        <v>751</v>
      </c>
      <c r="S2972" s="1" t="s">
        <v>2346</v>
      </c>
      <c r="X2972" t="s">
        <v>211</v>
      </c>
      <c r="Y2972" t="s">
        <v>2279</v>
      </c>
      <c r="Z2972" t="s">
        <v>2280</v>
      </c>
      <c r="AA2972" t="s">
        <v>2358</v>
      </c>
      <c r="AB2972" t="s">
        <v>2290</v>
      </c>
      <c r="AC2972" t="s">
        <v>152</v>
      </c>
      <c r="AD2972" t="s">
        <v>2272</v>
      </c>
      <c r="AG2972" t="s">
        <v>49</v>
      </c>
      <c r="AK2972" t="s">
        <v>49</v>
      </c>
      <c r="AM2972" t="s">
        <v>2435</v>
      </c>
      <c r="AN2972" t="s">
        <v>166</v>
      </c>
      <c r="AP2972" t="s">
        <v>51</v>
      </c>
    </row>
    <row r="2973" spans="1:43" x14ac:dyDescent="0.2">
      <c r="A2973" t="s">
        <v>1674</v>
      </c>
      <c r="B2973" t="s">
        <v>954</v>
      </c>
      <c r="C2973">
        <v>2012</v>
      </c>
      <c r="D2973" t="s">
        <v>811</v>
      </c>
      <c r="F2973" t="s">
        <v>83</v>
      </c>
      <c r="G2973" s="1" t="s">
        <v>85</v>
      </c>
      <c r="H2973" t="s">
        <v>350</v>
      </c>
      <c r="I2973">
        <v>2010</v>
      </c>
      <c r="J2973">
        <f t="shared" si="67"/>
        <v>8.3333333333333329E-2</v>
      </c>
      <c r="K2973" t="s">
        <v>101</v>
      </c>
      <c r="M2973">
        <v>8.0000000000000002E-3</v>
      </c>
      <c r="N2973" t="s">
        <v>121</v>
      </c>
      <c r="O2973" t="s">
        <v>121</v>
      </c>
      <c r="P2973" t="s">
        <v>1676</v>
      </c>
      <c r="Q2973" s="1" t="s">
        <v>2351</v>
      </c>
      <c r="R2973" s="1" t="s">
        <v>2351</v>
      </c>
      <c r="S2973" s="1" t="s">
        <v>2351</v>
      </c>
      <c r="T2973" t="s">
        <v>396</v>
      </c>
      <c r="U2973" t="s">
        <v>264</v>
      </c>
      <c r="X2973" t="s">
        <v>161</v>
      </c>
      <c r="Y2973" t="s">
        <v>2272</v>
      </c>
      <c r="Z2973" t="s">
        <v>2272</v>
      </c>
      <c r="AA2973" t="s">
        <v>2272</v>
      </c>
      <c r="AB2973" t="s">
        <v>2272</v>
      </c>
      <c r="AC2973" t="s">
        <v>162</v>
      </c>
      <c r="AD2973" t="s">
        <v>2272</v>
      </c>
      <c r="AG2973" t="s">
        <v>49</v>
      </c>
      <c r="AK2973" t="s">
        <v>49</v>
      </c>
      <c r="AM2973" t="s">
        <v>2436</v>
      </c>
      <c r="AN2973" t="s">
        <v>166</v>
      </c>
      <c r="AQ2973" s="5">
        <v>1</v>
      </c>
    </row>
    <row r="2974" spans="1:43" x14ac:dyDescent="0.2">
      <c r="A2974" t="s">
        <v>1674</v>
      </c>
      <c r="B2974" t="s">
        <v>954</v>
      </c>
      <c r="C2974">
        <v>2012</v>
      </c>
      <c r="D2974" t="s">
        <v>811</v>
      </c>
      <c r="F2974" t="s">
        <v>83</v>
      </c>
      <c r="G2974" s="1" t="s">
        <v>85</v>
      </c>
      <c r="H2974" t="s">
        <v>350</v>
      </c>
      <c r="I2974">
        <v>2010</v>
      </c>
      <c r="J2974">
        <f t="shared" si="67"/>
        <v>8.3333333333333329E-2</v>
      </c>
      <c r="K2974" t="s">
        <v>101</v>
      </c>
      <c r="M2974">
        <v>8.0000000000000002E-3</v>
      </c>
      <c r="N2974" t="s">
        <v>121</v>
      </c>
      <c r="O2974" t="s">
        <v>121</v>
      </c>
      <c r="P2974" t="s">
        <v>747</v>
      </c>
      <c r="Q2974" s="1" t="s">
        <v>2292</v>
      </c>
      <c r="R2974" s="1" t="s">
        <v>264</v>
      </c>
      <c r="S2974" s="1" t="s">
        <v>264</v>
      </c>
      <c r="T2974" t="s">
        <v>396</v>
      </c>
      <c r="U2974" s="1" t="s">
        <v>2351</v>
      </c>
      <c r="X2974" t="s">
        <v>161</v>
      </c>
      <c r="Y2974" t="s">
        <v>2272</v>
      </c>
      <c r="Z2974" t="s">
        <v>2272</v>
      </c>
      <c r="AA2974" t="s">
        <v>2272</v>
      </c>
      <c r="AB2974" t="s">
        <v>2272</v>
      </c>
      <c r="AC2974" t="s">
        <v>162</v>
      </c>
      <c r="AD2974" t="s">
        <v>2272</v>
      </c>
      <c r="AG2974" t="s">
        <v>49</v>
      </c>
      <c r="AK2974" t="s">
        <v>49</v>
      </c>
      <c r="AM2974" t="s">
        <v>2436</v>
      </c>
      <c r="AN2974" t="s">
        <v>166</v>
      </c>
      <c r="AQ2974" s="5">
        <v>2</v>
      </c>
    </row>
    <row r="2975" spans="1:43" x14ac:dyDescent="0.2">
      <c r="A2975" t="s">
        <v>1674</v>
      </c>
      <c r="B2975" t="s">
        <v>954</v>
      </c>
      <c r="C2975">
        <v>2012</v>
      </c>
      <c r="D2975" t="s">
        <v>811</v>
      </c>
      <c r="F2975" t="s">
        <v>83</v>
      </c>
      <c r="G2975" s="1" t="s">
        <v>85</v>
      </c>
      <c r="H2975" t="s">
        <v>350</v>
      </c>
      <c r="I2975">
        <v>2010</v>
      </c>
      <c r="J2975">
        <f t="shared" si="67"/>
        <v>8.3333333333333329E-2</v>
      </c>
      <c r="K2975" t="s">
        <v>101</v>
      </c>
      <c r="M2975">
        <v>8.0000000000000002E-3</v>
      </c>
      <c r="N2975" t="s">
        <v>121</v>
      </c>
      <c r="O2975" t="s">
        <v>121</v>
      </c>
      <c r="P2975" t="s">
        <v>1675</v>
      </c>
      <c r="Q2975" s="1" t="s">
        <v>2276</v>
      </c>
      <c r="R2975" s="1" t="s">
        <v>751</v>
      </c>
      <c r="S2975" s="1" t="s">
        <v>2346</v>
      </c>
      <c r="X2975" t="s">
        <v>211</v>
      </c>
      <c r="Y2975" t="s">
        <v>2279</v>
      </c>
      <c r="Z2975" t="s">
        <v>2280</v>
      </c>
      <c r="AA2975" t="s">
        <v>2358</v>
      </c>
      <c r="AB2975" t="s">
        <v>2290</v>
      </c>
      <c r="AC2975" t="s">
        <v>152</v>
      </c>
      <c r="AD2975" t="s">
        <v>2272</v>
      </c>
      <c r="AG2975" t="s">
        <v>49</v>
      </c>
      <c r="AK2975" t="s">
        <v>49</v>
      </c>
      <c r="AM2975" t="s">
        <v>2436</v>
      </c>
      <c r="AN2975" t="s">
        <v>166</v>
      </c>
      <c r="AP2975" t="s">
        <v>157</v>
      </c>
    </row>
    <row r="2976" spans="1:43" x14ac:dyDescent="0.2">
      <c r="A2976" t="s">
        <v>1674</v>
      </c>
      <c r="B2976" t="s">
        <v>954</v>
      </c>
      <c r="C2976">
        <v>2012</v>
      </c>
      <c r="D2976" t="s">
        <v>811</v>
      </c>
      <c r="F2976" t="s">
        <v>83</v>
      </c>
      <c r="G2976" s="1" t="s">
        <v>85</v>
      </c>
      <c r="H2976" t="s">
        <v>350</v>
      </c>
      <c r="I2976">
        <v>2010</v>
      </c>
      <c r="J2976">
        <f t="shared" si="67"/>
        <v>8.3333333333333329E-2</v>
      </c>
      <c r="K2976" t="s">
        <v>101</v>
      </c>
      <c r="M2976">
        <v>8.0000000000000002E-3</v>
      </c>
      <c r="N2976" t="s">
        <v>121</v>
      </c>
      <c r="O2976" t="s">
        <v>121</v>
      </c>
      <c r="P2976" t="s">
        <v>1676</v>
      </c>
      <c r="Q2976" s="1" t="s">
        <v>2351</v>
      </c>
      <c r="R2976" s="1" t="s">
        <v>2351</v>
      </c>
      <c r="S2976" s="1" t="s">
        <v>2351</v>
      </c>
      <c r="T2976" t="s">
        <v>396</v>
      </c>
      <c r="U2976" t="s">
        <v>264</v>
      </c>
      <c r="X2976" t="s">
        <v>161</v>
      </c>
      <c r="Y2976" t="s">
        <v>2272</v>
      </c>
      <c r="Z2976" t="s">
        <v>2272</v>
      </c>
      <c r="AA2976" t="s">
        <v>2272</v>
      </c>
      <c r="AB2976" t="s">
        <v>2272</v>
      </c>
      <c r="AC2976" t="s">
        <v>162</v>
      </c>
      <c r="AD2976" t="s">
        <v>2272</v>
      </c>
      <c r="AG2976" t="s">
        <v>49</v>
      </c>
      <c r="AK2976" t="s">
        <v>49</v>
      </c>
      <c r="AM2976" t="s">
        <v>1484</v>
      </c>
      <c r="AN2976" t="s">
        <v>166</v>
      </c>
      <c r="AQ2976" s="5">
        <v>1</v>
      </c>
    </row>
    <row r="2977" spans="1:43" x14ac:dyDescent="0.2">
      <c r="A2977" t="s">
        <v>1674</v>
      </c>
      <c r="B2977" t="s">
        <v>954</v>
      </c>
      <c r="C2977">
        <v>2012</v>
      </c>
      <c r="D2977" t="s">
        <v>811</v>
      </c>
      <c r="F2977" t="s">
        <v>83</v>
      </c>
      <c r="G2977" s="1" t="s">
        <v>85</v>
      </c>
      <c r="H2977" t="s">
        <v>350</v>
      </c>
      <c r="I2977">
        <v>2010</v>
      </c>
      <c r="J2977">
        <f t="shared" si="67"/>
        <v>8.3333333333333329E-2</v>
      </c>
      <c r="K2977" t="s">
        <v>101</v>
      </c>
      <c r="M2977">
        <v>8.0000000000000002E-3</v>
      </c>
      <c r="N2977" t="s">
        <v>121</v>
      </c>
      <c r="O2977" t="s">
        <v>121</v>
      </c>
      <c r="P2977" t="s">
        <v>747</v>
      </c>
      <c r="Q2977" s="1" t="s">
        <v>2292</v>
      </c>
      <c r="R2977" s="1" t="s">
        <v>264</v>
      </c>
      <c r="S2977" s="1" t="s">
        <v>264</v>
      </c>
      <c r="T2977" t="s">
        <v>396</v>
      </c>
      <c r="U2977" s="1" t="s">
        <v>2351</v>
      </c>
      <c r="X2977" t="s">
        <v>161</v>
      </c>
      <c r="Y2977" t="s">
        <v>2272</v>
      </c>
      <c r="Z2977" t="s">
        <v>2272</v>
      </c>
      <c r="AA2977" t="s">
        <v>2272</v>
      </c>
      <c r="AB2977" t="s">
        <v>2272</v>
      </c>
      <c r="AC2977" t="s">
        <v>162</v>
      </c>
      <c r="AD2977" t="s">
        <v>2272</v>
      </c>
      <c r="AG2977" t="s">
        <v>49</v>
      </c>
      <c r="AK2977" t="s">
        <v>49</v>
      </c>
      <c r="AM2977" t="s">
        <v>1484</v>
      </c>
      <c r="AN2977" t="s">
        <v>166</v>
      </c>
      <c r="AQ2977" s="5">
        <v>2</v>
      </c>
    </row>
    <row r="2978" spans="1:43" x14ac:dyDescent="0.2">
      <c r="A2978" t="s">
        <v>1674</v>
      </c>
      <c r="B2978" t="s">
        <v>954</v>
      </c>
      <c r="C2978">
        <v>2012</v>
      </c>
      <c r="D2978" t="s">
        <v>811</v>
      </c>
      <c r="F2978" t="s">
        <v>83</v>
      </c>
      <c r="G2978" s="1" t="s">
        <v>85</v>
      </c>
      <c r="H2978" t="s">
        <v>350</v>
      </c>
      <c r="I2978">
        <v>2010</v>
      </c>
      <c r="J2978">
        <f t="shared" si="67"/>
        <v>8.3333333333333329E-2</v>
      </c>
      <c r="K2978" t="s">
        <v>101</v>
      </c>
      <c r="M2978">
        <v>8.0000000000000002E-3</v>
      </c>
      <c r="N2978" t="s">
        <v>121</v>
      </c>
      <c r="O2978" t="s">
        <v>121</v>
      </c>
      <c r="P2978" t="s">
        <v>1675</v>
      </c>
      <c r="Q2978" s="1" t="s">
        <v>2276</v>
      </c>
      <c r="R2978" s="1" t="s">
        <v>751</v>
      </c>
      <c r="S2978" s="1" t="s">
        <v>2346</v>
      </c>
      <c r="X2978" t="s">
        <v>211</v>
      </c>
      <c r="Y2978" t="s">
        <v>2279</v>
      </c>
      <c r="Z2978" t="s">
        <v>2280</v>
      </c>
      <c r="AA2978" t="s">
        <v>2358</v>
      </c>
      <c r="AB2978" t="s">
        <v>2290</v>
      </c>
      <c r="AC2978" t="s">
        <v>152</v>
      </c>
      <c r="AD2978" t="s">
        <v>2272</v>
      </c>
      <c r="AG2978" t="s">
        <v>49</v>
      </c>
      <c r="AK2978" t="s">
        <v>49</v>
      </c>
      <c r="AM2978" t="s">
        <v>1484</v>
      </c>
      <c r="AN2978" t="s">
        <v>166</v>
      </c>
      <c r="AP2978" t="s">
        <v>157</v>
      </c>
    </row>
    <row r="2979" spans="1:43" x14ac:dyDescent="0.2">
      <c r="A2979" t="s">
        <v>1674</v>
      </c>
      <c r="B2979" t="s">
        <v>954</v>
      </c>
      <c r="C2979">
        <v>2012</v>
      </c>
      <c r="D2979" t="s">
        <v>811</v>
      </c>
      <c r="F2979" t="s">
        <v>83</v>
      </c>
      <c r="G2979" s="1" t="s">
        <v>85</v>
      </c>
      <c r="H2979" t="s">
        <v>350</v>
      </c>
      <c r="I2979">
        <v>2010</v>
      </c>
      <c r="J2979">
        <f t="shared" si="67"/>
        <v>8.3333333333333329E-2</v>
      </c>
      <c r="K2979" t="s">
        <v>101</v>
      </c>
      <c r="M2979">
        <v>8.0000000000000002E-3</v>
      </c>
      <c r="N2979" t="s">
        <v>121</v>
      </c>
      <c r="O2979" t="s">
        <v>121</v>
      </c>
      <c r="P2979" t="s">
        <v>1676</v>
      </c>
      <c r="Q2979" s="1" t="s">
        <v>2351</v>
      </c>
      <c r="R2979" s="1" t="s">
        <v>2351</v>
      </c>
      <c r="S2979" s="1" t="s">
        <v>2351</v>
      </c>
      <c r="T2979" t="s">
        <v>396</v>
      </c>
      <c r="U2979" t="s">
        <v>264</v>
      </c>
      <c r="X2979" t="s">
        <v>161</v>
      </c>
      <c r="Y2979" t="s">
        <v>2272</v>
      </c>
      <c r="Z2979" t="s">
        <v>2272</v>
      </c>
      <c r="AA2979" t="s">
        <v>2272</v>
      </c>
      <c r="AB2979" t="s">
        <v>2272</v>
      </c>
      <c r="AC2979" t="s">
        <v>162</v>
      </c>
      <c r="AD2979" t="s">
        <v>2272</v>
      </c>
      <c r="AF2979" t="s">
        <v>49</v>
      </c>
      <c r="AL2979" t="s">
        <v>49</v>
      </c>
      <c r="AM2979" t="s">
        <v>2437</v>
      </c>
      <c r="AN2979" t="s">
        <v>166</v>
      </c>
      <c r="AQ2979" s="5">
        <v>1</v>
      </c>
    </row>
    <row r="2980" spans="1:43" x14ac:dyDescent="0.2">
      <c r="A2980" t="s">
        <v>1674</v>
      </c>
      <c r="B2980" t="s">
        <v>954</v>
      </c>
      <c r="C2980">
        <v>2012</v>
      </c>
      <c r="D2980" t="s">
        <v>811</v>
      </c>
      <c r="F2980" t="s">
        <v>83</v>
      </c>
      <c r="G2980" s="1" t="s">
        <v>85</v>
      </c>
      <c r="H2980" t="s">
        <v>350</v>
      </c>
      <c r="I2980">
        <v>2010</v>
      </c>
      <c r="J2980">
        <f t="shared" si="67"/>
        <v>8.3333333333333329E-2</v>
      </c>
      <c r="K2980" t="s">
        <v>101</v>
      </c>
      <c r="M2980">
        <v>8.0000000000000002E-3</v>
      </c>
      <c r="N2980" t="s">
        <v>121</v>
      </c>
      <c r="O2980" t="s">
        <v>121</v>
      </c>
      <c r="P2980" t="s">
        <v>747</v>
      </c>
      <c r="Q2980" s="1" t="s">
        <v>2292</v>
      </c>
      <c r="R2980" s="1" t="s">
        <v>264</v>
      </c>
      <c r="S2980" s="1" t="s">
        <v>264</v>
      </c>
      <c r="T2980" t="s">
        <v>396</v>
      </c>
      <c r="U2980" s="1" t="s">
        <v>2351</v>
      </c>
      <c r="X2980" t="s">
        <v>161</v>
      </c>
      <c r="Y2980" t="s">
        <v>2272</v>
      </c>
      <c r="Z2980" t="s">
        <v>2272</v>
      </c>
      <c r="AA2980" t="s">
        <v>2272</v>
      </c>
      <c r="AB2980" t="s">
        <v>2272</v>
      </c>
      <c r="AC2980" t="s">
        <v>162</v>
      </c>
      <c r="AD2980" t="s">
        <v>2272</v>
      </c>
      <c r="AF2980" t="s">
        <v>49</v>
      </c>
      <c r="AL2980" t="s">
        <v>49</v>
      </c>
      <c r="AM2980" t="s">
        <v>2437</v>
      </c>
      <c r="AN2980" t="s">
        <v>166</v>
      </c>
      <c r="AQ2980" s="5">
        <v>2</v>
      </c>
    </row>
    <row r="2981" spans="1:43" x14ac:dyDescent="0.2">
      <c r="A2981" t="s">
        <v>1674</v>
      </c>
      <c r="B2981" t="s">
        <v>954</v>
      </c>
      <c r="C2981">
        <v>2012</v>
      </c>
      <c r="D2981" t="s">
        <v>811</v>
      </c>
      <c r="F2981" t="s">
        <v>83</v>
      </c>
      <c r="G2981" s="1" t="s">
        <v>85</v>
      </c>
      <c r="H2981" t="s">
        <v>350</v>
      </c>
      <c r="I2981">
        <v>2010</v>
      </c>
      <c r="J2981">
        <f t="shared" si="67"/>
        <v>8.3333333333333329E-2</v>
      </c>
      <c r="K2981" t="s">
        <v>101</v>
      </c>
      <c r="M2981">
        <v>8.0000000000000002E-3</v>
      </c>
      <c r="N2981" t="s">
        <v>121</v>
      </c>
      <c r="O2981" t="s">
        <v>121</v>
      </c>
      <c r="P2981" t="s">
        <v>1675</v>
      </c>
      <c r="Q2981" s="1" t="s">
        <v>2276</v>
      </c>
      <c r="R2981" s="1" t="s">
        <v>751</v>
      </c>
      <c r="S2981" s="1" t="s">
        <v>2346</v>
      </c>
      <c r="X2981" t="s">
        <v>211</v>
      </c>
      <c r="Y2981" t="s">
        <v>2279</v>
      </c>
      <c r="Z2981" t="s">
        <v>2280</v>
      </c>
      <c r="AA2981" t="s">
        <v>2358</v>
      </c>
      <c r="AB2981" t="s">
        <v>2290</v>
      </c>
      <c r="AC2981" t="s">
        <v>152</v>
      </c>
      <c r="AD2981" t="s">
        <v>2272</v>
      </c>
      <c r="AF2981" t="s">
        <v>49</v>
      </c>
      <c r="AL2981" t="s">
        <v>49</v>
      </c>
      <c r="AM2981" t="s">
        <v>2437</v>
      </c>
      <c r="AN2981" t="s">
        <v>166</v>
      </c>
      <c r="AP2981" t="s">
        <v>157</v>
      </c>
    </row>
    <row r="2982" spans="1:43" x14ac:dyDescent="0.2">
      <c r="A2982" t="s">
        <v>1674</v>
      </c>
      <c r="B2982" t="s">
        <v>954</v>
      </c>
      <c r="C2982">
        <v>2012</v>
      </c>
      <c r="D2982" t="s">
        <v>811</v>
      </c>
      <c r="F2982" t="s">
        <v>83</v>
      </c>
      <c r="G2982" s="1" t="s">
        <v>85</v>
      </c>
      <c r="H2982" t="s">
        <v>350</v>
      </c>
      <c r="I2982">
        <v>2010</v>
      </c>
      <c r="J2982">
        <f t="shared" si="67"/>
        <v>8.3333333333333329E-2</v>
      </c>
      <c r="K2982" t="s">
        <v>101</v>
      </c>
      <c r="M2982">
        <v>8.0000000000000002E-3</v>
      </c>
      <c r="N2982" t="s">
        <v>121</v>
      </c>
      <c r="O2982" t="s">
        <v>121</v>
      </c>
      <c r="P2982" t="s">
        <v>1676</v>
      </c>
      <c r="Q2982" s="1" t="s">
        <v>2351</v>
      </c>
      <c r="R2982" s="1" t="s">
        <v>2351</v>
      </c>
      <c r="S2982" s="1" t="s">
        <v>2351</v>
      </c>
      <c r="T2982" t="s">
        <v>396</v>
      </c>
      <c r="U2982" t="s">
        <v>264</v>
      </c>
      <c r="X2982" t="s">
        <v>161</v>
      </c>
      <c r="Y2982" t="s">
        <v>2272</v>
      </c>
      <c r="Z2982" t="s">
        <v>2272</v>
      </c>
      <c r="AA2982" t="s">
        <v>2272</v>
      </c>
      <c r="AB2982" t="s">
        <v>2272</v>
      </c>
      <c r="AC2982" t="s">
        <v>162</v>
      </c>
      <c r="AD2982" t="s">
        <v>2272</v>
      </c>
      <c r="AF2982" t="s">
        <v>49</v>
      </c>
      <c r="AL2982" t="s">
        <v>49</v>
      </c>
      <c r="AM2982" t="s">
        <v>2438</v>
      </c>
      <c r="AN2982" t="s">
        <v>166</v>
      </c>
      <c r="AQ2982" s="5">
        <v>1</v>
      </c>
    </row>
    <row r="2983" spans="1:43" x14ac:dyDescent="0.2">
      <c r="A2983" t="s">
        <v>1674</v>
      </c>
      <c r="B2983" t="s">
        <v>954</v>
      </c>
      <c r="C2983">
        <v>2012</v>
      </c>
      <c r="D2983" t="s">
        <v>811</v>
      </c>
      <c r="F2983" t="s">
        <v>83</v>
      </c>
      <c r="G2983" s="1" t="s">
        <v>85</v>
      </c>
      <c r="H2983" t="s">
        <v>350</v>
      </c>
      <c r="I2983">
        <v>2010</v>
      </c>
      <c r="J2983">
        <f t="shared" si="67"/>
        <v>8.3333333333333329E-2</v>
      </c>
      <c r="K2983" t="s">
        <v>101</v>
      </c>
      <c r="M2983">
        <v>8.0000000000000002E-3</v>
      </c>
      <c r="N2983" t="s">
        <v>121</v>
      </c>
      <c r="O2983" t="s">
        <v>121</v>
      </c>
      <c r="P2983" t="s">
        <v>747</v>
      </c>
      <c r="Q2983" s="1" t="s">
        <v>2292</v>
      </c>
      <c r="R2983" s="1" t="s">
        <v>264</v>
      </c>
      <c r="S2983" s="1" t="s">
        <v>264</v>
      </c>
      <c r="T2983" t="s">
        <v>396</v>
      </c>
      <c r="U2983" s="1" t="s">
        <v>2351</v>
      </c>
      <c r="X2983" t="s">
        <v>161</v>
      </c>
      <c r="Y2983" t="s">
        <v>2272</v>
      </c>
      <c r="Z2983" t="s">
        <v>2272</v>
      </c>
      <c r="AA2983" t="s">
        <v>2272</v>
      </c>
      <c r="AB2983" t="s">
        <v>2272</v>
      </c>
      <c r="AC2983" t="s">
        <v>162</v>
      </c>
      <c r="AD2983" t="s">
        <v>2272</v>
      </c>
      <c r="AF2983" t="s">
        <v>49</v>
      </c>
      <c r="AL2983" t="s">
        <v>49</v>
      </c>
      <c r="AM2983" t="s">
        <v>2438</v>
      </c>
      <c r="AN2983" t="s">
        <v>166</v>
      </c>
      <c r="AQ2983" s="5">
        <v>2</v>
      </c>
    </row>
    <row r="2984" spans="1:43" x14ac:dyDescent="0.2">
      <c r="A2984" t="s">
        <v>1674</v>
      </c>
      <c r="B2984" t="s">
        <v>954</v>
      </c>
      <c r="C2984">
        <v>2012</v>
      </c>
      <c r="D2984" t="s">
        <v>811</v>
      </c>
      <c r="F2984" t="s">
        <v>83</v>
      </c>
      <c r="G2984" s="1" t="s">
        <v>85</v>
      </c>
      <c r="H2984" t="s">
        <v>350</v>
      </c>
      <c r="I2984">
        <v>2010</v>
      </c>
      <c r="J2984">
        <f t="shared" si="67"/>
        <v>8.3333333333333329E-2</v>
      </c>
      <c r="K2984" t="s">
        <v>101</v>
      </c>
      <c r="M2984">
        <v>8.0000000000000002E-3</v>
      </c>
      <c r="N2984" t="s">
        <v>121</v>
      </c>
      <c r="O2984" t="s">
        <v>121</v>
      </c>
      <c r="P2984" t="s">
        <v>1675</v>
      </c>
      <c r="Q2984" s="1" t="s">
        <v>2276</v>
      </c>
      <c r="R2984" s="1" t="s">
        <v>751</v>
      </c>
      <c r="S2984" s="1" t="s">
        <v>2346</v>
      </c>
      <c r="X2984" t="s">
        <v>211</v>
      </c>
      <c r="Y2984" t="s">
        <v>2279</v>
      </c>
      <c r="Z2984" t="s">
        <v>2280</v>
      </c>
      <c r="AA2984" t="s">
        <v>2358</v>
      </c>
      <c r="AB2984" t="s">
        <v>2290</v>
      </c>
      <c r="AC2984" t="s">
        <v>152</v>
      </c>
      <c r="AD2984" t="s">
        <v>2272</v>
      </c>
      <c r="AF2984" t="s">
        <v>49</v>
      </c>
      <c r="AL2984" t="s">
        <v>49</v>
      </c>
      <c r="AM2984" t="s">
        <v>2438</v>
      </c>
      <c r="AN2984" t="s">
        <v>166</v>
      </c>
      <c r="AP2984" t="s">
        <v>157</v>
      </c>
    </row>
    <row r="2985" spans="1:43" x14ac:dyDescent="0.2">
      <c r="A2985" t="s">
        <v>1674</v>
      </c>
      <c r="B2985" t="s">
        <v>954</v>
      </c>
      <c r="C2985">
        <v>2012</v>
      </c>
      <c r="D2985" t="s">
        <v>811</v>
      </c>
      <c r="F2985" t="s">
        <v>83</v>
      </c>
      <c r="G2985" s="1" t="s">
        <v>85</v>
      </c>
      <c r="H2985" t="s">
        <v>350</v>
      </c>
      <c r="I2985">
        <v>2010</v>
      </c>
      <c r="J2985">
        <f t="shared" si="67"/>
        <v>8.3333333333333329E-2</v>
      </c>
      <c r="K2985" t="s">
        <v>101</v>
      </c>
      <c r="M2985">
        <v>8.0000000000000002E-3</v>
      </c>
      <c r="N2985" t="s">
        <v>121</v>
      </c>
      <c r="O2985" t="s">
        <v>121</v>
      </c>
      <c r="P2985" t="s">
        <v>1676</v>
      </c>
      <c r="Q2985" s="1" t="s">
        <v>2351</v>
      </c>
      <c r="R2985" s="1" t="s">
        <v>2351</v>
      </c>
      <c r="S2985" s="1" t="s">
        <v>2351</v>
      </c>
      <c r="T2985" t="s">
        <v>396</v>
      </c>
      <c r="U2985" t="s">
        <v>264</v>
      </c>
      <c r="X2985" t="s">
        <v>161</v>
      </c>
      <c r="Y2985" t="s">
        <v>2272</v>
      </c>
      <c r="Z2985" t="s">
        <v>2272</v>
      </c>
      <c r="AA2985" t="s">
        <v>2272</v>
      </c>
      <c r="AB2985" t="s">
        <v>2272</v>
      </c>
      <c r="AC2985" t="s">
        <v>162</v>
      </c>
      <c r="AD2985" t="s">
        <v>2272</v>
      </c>
      <c r="AF2985" t="s">
        <v>49</v>
      </c>
      <c r="AK2985" t="s">
        <v>49</v>
      </c>
      <c r="AM2985" t="s">
        <v>2439</v>
      </c>
      <c r="AN2985" t="s">
        <v>166</v>
      </c>
      <c r="AQ2985" s="5">
        <v>2</v>
      </c>
    </row>
    <row r="2986" spans="1:43" x14ac:dyDescent="0.2">
      <c r="A2986" t="s">
        <v>1674</v>
      </c>
      <c r="B2986" t="s">
        <v>954</v>
      </c>
      <c r="C2986">
        <v>2012</v>
      </c>
      <c r="D2986" t="s">
        <v>811</v>
      </c>
      <c r="F2986" t="s">
        <v>83</v>
      </c>
      <c r="G2986" s="1" t="s">
        <v>85</v>
      </c>
      <c r="H2986" t="s">
        <v>350</v>
      </c>
      <c r="I2986">
        <v>2010</v>
      </c>
      <c r="J2986">
        <f t="shared" si="67"/>
        <v>8.3333333333333329E-2</v>
      </c>
      <c r="K2986" t="s">
        <v>101</v>
      </c>
      <c r="M2986">
        <v>8.0000000000000002E-3</v>
      </c>
      <c r="N2986" t="s">
        <v>121</v>
      </c>
      <c r="O2986" t="s">
        <v>121</v>
      </c>
      <c r="P2986" t="s">
        <v>747</v>
      </c>
      <c r="Q2986" s="1" t="s">
        <v>2292</v>
      </c>
      <c r="R2986" s="1" t="s">
        <v>264</v>
      </c>
      <c r="S2986" s="1" t="s">
        <v>264</v>
      </c>
      <c r="T2986" t="s">
        <v>396</v>
      </c>
      <c r="U2986" s="1" t="s">
        <v>2351</v>
      </c>
      <c r="X2986" t="s">
        <v>161</v>
      </c>
      <c r="Y2986" t="s">
        <v>2272</v>
      </c>
      <c r="Z2986" t="s">
        <v>2272</v>
      </c>
      <c r="AA2986" t="s">
        <v>2272</v>
      </c>
      <c r="AB2986" t="s">
        <v>2272</v>
      </c>
      <c r="AC2986" t="s">
        <v>162</v>
      </c>
      <c r="AD2986" t="s">
        <v>2272</v>
      </c>
      <c r="AF2986" t="s">
        <v>49</v>
      </c>
      <c r="AK2986" t="s">
        <v>49</v>
      </c>
      <c r="AM2986" t="s">
        <v>2439</v>
      </c>
      <c r="AN2986" t="s">
        <v>166</v>
      </c>
      <c r="AQ2986" s="5">
        <v>1</v>
      </c>
    </row>
    <row r="2987" spans="1:43" x14ac:dyDescent="0.2">
      <c r="A2987" t="s">
        <v>1674</v>
      </c>
      <c r="B2987" t="s">
        <v>954</v>
      </c>
      <c r="C2987">
        <v>2012</v>
      </c>
      <c r="D2987" t="s">
        <v>811</v>
      </c>
      <c r="F2987" t="s">
        <v>83</v>
      </c>
      <c r="G2987" s="1" t="s">
        <v>85</v>
      </c>
      <c r="H2987" t="s">
        <v>350</v>
      </c>
      <c r="I2987">
        <v>2010</v>
      </c>
      <c r="J2987">
        <f t="shared" si="67"/>
        <v>8.3333333333333329E-2</v>
      </c>
      <c r="K2987" t="s">
        <v>101</v>
      </c>
      <c r="M2987">
        <v>8.0000000000000002E-3</v>
      </c>
      <c r="N2987" t="s">
        <v>121</v>
      </c>
      <c r="O2987" t="s">
        <v>121</v>
      </c>
      <c r="P2987" t="s">
        <v>1675</v>
      </c>
      <c r="Q2987" s="1" t="s">
        <v>2276</v>
      </c>
      <c r="R2987" s="1" t="s">
        <v>751</v>
      </c>
      <c r="S2987" s="1" t="s">
        <v>2346</v>
      </c>
      <c r="X2987" t="s">
        <v>211</v>
      </c>
      <c r="Y2987" t="s">
        <v>2279</v>
      </c>
      <c r="Z2987" t="s">
        <v>2280</v>
      </c>
      <c r="AA2987" t="s">
        <v>2358</v>
      </c>
      <c r="AB2987" t="s">
        <v>2290</v>
      </c>
      <c r="AC2987" t="s">
        <v>152</v>
      </c>
      <c r="AD2987" t="s">
        <v>2272</v>
      </c>
      <c r="AF2987" t="s">
        <v>49</v>
      </c>
      <c r="AK2987" t="s">
        <v>49</v>
      </c>
      <c r="AM2987" t="s">
        <v>2439</v>
      </c>
      <c r="AN2987" t="s">
        <v>166</v>
      </c>
      <c r="AP2987" t="s">
        <v>173</v>
      </c>
    </row>
    <row r="2988" spans="1:43" x14ac:dyDescent="0.2">
      <c r="A2988" t="s">
        <v>1674</v>
      </c>
      <c r="B2988" t="s">
        <v>954</v>
      </c>
      <c r="C2988">
        <v>2012</v>
      </c>
      <c r="D2988" t="s">
        <v>811</v>
      </c>
      <c r="F2988" t="s">
        <v>83</v>
      </c>
      <c r="G2988" s="1" t="s">
        <v>85</v>
      </c>
      <c r="H2988" t="s">
        <v>350</v>
      </c>
      <c r="I2988">
        <v>2010</v>
      </c>
      <c r="J2988">
        <f t="shared" si="67"/>
        <v>8.3333333333333329E-2</v>
      </c>
      <c r="K2988" t="s">
        <v>101</v>
      </c>
      <c r="M2988">
        <v>8.0000000000000002E-3</v>
      </c>
      <c r="N2988" t="s">
        <v>121</v>
      </c>
      <c r="O2988" t="s">
        <v>121</v>
      </c>
      <c r="P2988" t="s">
        <v>1676</v>
      </c>
      <c r="Q2988" s="1" t="s">
        <v>2351</v>
      </c>
      <c r="R2988" s="1" t="s">
        <v>2351</v>
      </c>
      <c r="S2988" s="1" t="s">
        <v>2351</v>
      </c>
      <c r="T2988" t="s">
        <v>396</v>
      </c>
      <c r="U2988" t="s">
        <v>264</v>
      </c>
      <c r="X2988" t="s">
        <v>161</v>
      </c>
      <c r="Y2988" t="s">
        <v>2272</v>
      </c>
      <c r="Z2988" t="s">
        <v>2272</v>
      </c>
      <c r="AA2988" t="s">
        <v>2272</v>
      </c>
      <c r="AB2988" t="s">
        <v>2272</v>
      </c>
      <c r="AC2988" t="s">
        <v>162</v>
      </c>
      <c r="AD2988" t="s">
        <v>2272</v>
      </c>
      <c r="AF2988" t="s">
        <v>49</v>
      </c>
      <c r="AK2988" t="s">
        <v>49</v>
      </c>
      <c r="AM2988" t="s">
        <v>2441</v>
      </c>
      <c r="AN2988" t="s">
        <v>166</v>
      </c>
      <c r="AQ2988" s="5">
        <v>0</v>
      </c>
    </row>
    <row r="2989" spans="1:43" x14ac:dyDescent="0.2">
      <c r="A2989" t="s">
        <v>1674</v>
      </c>
      <c r="B2989" t="s">
        <v>954</v>
      </c>
      <c r="C2989">
        <v>2012</v>
      </c>
      <c r="D2989" t="s">
        <v>811</v>
      </c>
      <c r="F2989" t="s">
        <v>83</v>
      </c>
      <c r="G2989" s="1" t="s">
        <v>85</v>
      </c>
      <c r="H2989" t="s">
        <v>350</v>
      </c>
      <c r="I2989">
        <v>2010</v>
      </c>
      <c r="J2989">
        <f t="shared" si="67"/>
        <v>8.3333333333333329E-2</v>
      </c>
      <c r="K2989" t="s">
        <v>101</v>
      </c>
      <c r="M2989">
        <v>8.0000000000000002E-3</v>
      </c>
      <c r="N2989" t="s">
        <v>121</v>
      </c>
      <c r="O2989" t="s">
        <v>121</v>
      </c>
      <c r="P2989" t="s">
        <v>747</v>
      </c>
      <c r="Q2989" s="1" t="s">
        <v>2292</v>
      </c>
      <c r="R2989" s="1" t="s">
        <v>264</v>
      </c>
      <c r="S2989" s="1" t="s">
        <v>264</v>
      </c>
      <c r="T2989" t="s">
        <v>396</v>
      </c>
      <c r="U2989" s="1" t="s">
        <v>2351</v>
      </c>
      <c r="X2989" t="s">
        <v>161</v>
      </c>
      <c r="Y2989" t="s">
        <v>2272</v>
      </c>
      <c r="Z2989" t="s">
        <v>2272</v>
      </c>
      <c r="AA2989" t="s">
        <v>2272</v>
      </c>
      <c r="AB2989" t="s">
        <v>2272</v>
      </c>
      <c r="AC2989" t="s">
        <v>162</v>
      </c>
      <c r="AD2989" t="s">
        <v>2272</v>
      </c>
      <c r="AF2989" t="s">
        <v>49</v>
      </c>
      <c r="AK2989" t="s">
        <v>49</v>
      </c>
      <c r="AM2989" t="s">
        <v>2441</v>
      </c>
      <c r="AN2989" t="s">
        <v>166</v>
      </c>
      <c r="AQ2989" s="5">
        <v>0</v>
      </c>
    </row>
    <row r="2990" spans="1:43" x14ac:dyDescent="0.2">
      <c r="A2990" t="s">
        <v>1674</v>
      </c>
      <c r="B2990" t="s">
        <v>954</v>
      </c>
      <c r="C2990">
        <v>2012</v>
      </c>
      <c r="D2990" t="s">
        <v>811</v>
      </c>
      <c r="F2990" t="s">
        <v>83</v>
      </c>
      <c r="G2990" s="1" t="s">
        <v>85</v>
      </c>
      <c r="H2990" t="s">
        <v>350</v>
      </c>
      <c r="I2990">
        <v>2010</v>
      </c>
      <c r="J2990">
        <f t="shared" si="67"/>
        <v>8.3333333333333329E-2</v>
      </c>
      <c r="K2990" t="s">
        <v>101</v>
      </c>
      <c r="M2990">
        <v>8.0000000000000002E-3</v>
      </c>
      <c r="N2990" t="s">
        <v>121</v>
      </c>
      <c r="O2990" t="s">
        <v>121</v>
      </c>
      <c r="P2990" t="s">
        <v>1675</v>
      </c>
      <c r="Q2990" s="1" t="s">
        <v>2276</v>
      </c>
      <c r="R2990" s="1" t="s">
        <v>751</v>
      </c>
      <c r="S2990" s="1" t="s">
        <v>2346</v>
      </c>
      <c r="X2990" t="s">
        <v>211</v>
      </c>
      <c r="Y2990" t="s">
        <v>2279</v>
      </c>
      <c r="Z2990" t="s">
        <v>2280</v>
      </c>
      <c r="AA2990" t="s">
        <v>2358</v>
      </c>
      <c r="AB2990" t="s">
        <v>2290</v>
      </c>
      <c r="AC2990" t="s">
        <v>152</v>
      </c>
      <c r="AD2990" t="s">
        <v>2272</v>
      </c>
      <c r="AF2990" t="s">
        <v>49</v>
      </c>
      <c r="AK2990" t="s">
        <v>49</v>
      </c>
      <c r="AM2990" t="s">
        <v>2441</v>
      </c>
      <c r="AN2990" t="s">
        <v>166</v>
      </c>
      <c r="AP2990" t="s">
        <v>51</v>
      </c>
    </row>
    <row r="2991" spans="1:43" x14ac:dyDescent="0.2">
      <c r="A2991" t="s">
        <v>1674</v>
      </c>
      <c r="B2991" t="s">
        <v>954</v>
      </c>
      <c r="C2991">
        <v>2012</v>
      </c>
      <c r="D2991" t="s">
        <v>811</v>
      </c>
      <c r="F2991" t="s">
        <v>83</v>
      </c>
      <c r="G2991" s="1" t="s">
        <v>85</v>
      </c>
      <c r="H2991" t="s">
        <v>350</v>
      </c>
      <c r="I2991">
        <v>2010</v>
      </c>
      <c r="J2991">
        <f t="shared" si="67"/>
        <v>8.3333333333333329E-2</v>
      </c>
      <c r="K2991" t="s">
        <v>101</v>
      </c>
      <c r="M2991">
        <v>8.0000000000000002E-3</v>
      </c>
      <c r="N2991" t="s">
        <v>121</v>
      </c>
      <c r="O2991" t="s">
        <v>121</v>
      </c>
      <c r="P2991" t="s">
        <v>1676</v>
      </c>
      <c r="Q2991" s="1" t="s">
        <v>2351</v>
      </c>
      <c r="R2991" s="1" t="s">
        <v>2351</v>
      </c>
      <c r="S2991" s="1" t="s">
        <v>2351</v>
      </c>
      <c r="T2991" t="s">
        <v>396</v>
      </c>
      <c r="U2991" t="s">
        <v>264</v>
      </c>
      <c r="X2991" t="s">
        <v>161</v>
      </c>
      <c r="Y2991" t="s">
        <v>2272</v>
      </c>
      <c r="Z2991" t="s">
        <v>2272</v>
      </c>
      <c r="AA2991" t="s">
        <v>2272</v>
      </c>
      <c r="AB2991" t="s">
        <v>2272</v>
      </c>
      <c r="AC2991" t="s">
        <v>162</v>
      </c>
      <c r="AD2991" t="s">
        <v>2272</v>
      </c>
      <c r="AF2991" t="s">
        <v>49</v>
      </c>
      <c r="AL2991" t="s">
        <v>49</v>
      </c>
      <c r="AM2991" t="s">
        <v>2440</v>
      </c>
      <c r="AN2991" t="s">
        <v>166</v>
      </c>
      <c r="AQ2991" s="5">
        <v>0</v>
      </c>
    </row>
    <row r="2992" spans="1:43" x14ac:dyDescent="0.2">
      <c r="A2992" t="s">
        <v>1674</v>
      </c>
      <c r="B2992" t="s">
        <v>954</v>
      </c>
      <c r="C2992">
        <v>2012</v>
      </c>
      <c r="D2992" t="s">
        <v>811</v>
      </c>
      <c r="F2992" t="s">
        <v>83</v>
      </c>
      <c r="G2992" s="1" t="s">
        <v>85</v>
      </c>
      <c r="H2992" t="s">
        <v>350</v>
      </c>
      <c r="I2992">
        <v>2010</v>
      </c>
      <c r="J2992">
        <f t="shared" si="67"/>
        <v>8.3333333333333329E-2</v>
      </c>
      <c r="K2992" t="s">
        <v>101</v>
      </c>
      <c r="M2992">
        <v>8.0000000000000002E-3</v>
      </c>
      <c r="N2992" t="s">
        <v>121</v>
      </c>
      <c r="O2992" t="s">
        <v>121</v>
      </c>
      <c r="P2992" t="s">
        <v>747</v>
      </c>
      <c r="Q2992" s="1" t="s">
        <v>2292</v>
      </c>
      <c r="R2992" s="1" t="s">
        <v>264</v>
      </c>
      <c r="S2992" s="1" t="s">
        <v>264</v>
      </c>
      <c r="T2992" t="s">
        <v>396</v>
      </c>
      <c r="U2992" s="1" t="s">
        <v>2351</v>
      </c>
      <c r="X2992" t="s">
        <v>161</v>
      </c>
      <c r="Y2992" t="s">
        <v>2272</v>
      </c>
      <c r="Z2992" t="s">
        <v>2272</v>
      </c>
      <c r="AA2992" t="s">
        <v>2272</v>
      </c>
      <c r="AB2992" t="s">
        <v>2272</v>
      </c>
      <c r="AC2992" t="s">
        <v>162</v>
      </c>
      <c r="AD2992" t="s">
        <v>2272</v>
      </c>
      <c r="AF2992" t="s">
        <v>49</v>
      </c>
      <c r="AL2992" t="s">
        <v>49</v>
      </c>
      <c r="AM2992" t="s">
        <v>2440</v>
      </c>
      <c r="AN2992" t="s">
        <v>166</v>
      </c>
      <c r="AQ2992" s="5">
        <v>0</v>
      </c>
    </row>
    <row r="2993" spans="1:43" x14ac:dyDescent="0.2">
      <c r="A2993" t="s">
        <v>1674</v>
      </c>
      <c r="B2993" t="s">
        <v>954</v>
      </c>
      <c r="C2993">
        <v>2012</v>
      </c>
      <c r="D2993" t="s">
        <v>811</v>
      </c>
      <c r="F2993" t="s">
        <v>83</v>
      </c>
      <c r="G2993" s="1" t="s">
        <v>85</v>
      </c>
      <c r="H2993" t="s">
        <v>350</v>
      </c>
      <c r="I2993">
        <v>2010</v>
      </c>
      <c r="J2993">
        <f t="shared" si="67"/>
        <v>8.3333333333333329E-2</v>
      </c>
      <c r="K2993" t="s">
        <v>101</v>
      </c>
      <c r="M2993">
        <v>8.0000000000000002E-3</v>
      </c>
      <c r="N2993" t="s">
        <v>121</v>
      </c>
      <c r="O2993" t="s">
        <v>121</v>
      </c>
      <c r="P2993" t="s">
        <v>1675</v>
      </c>
      <c r="Q2993" s="1" t="s">
        <v>2276</v>
      </c>
      <c r="R2993" s="1" t="s">
        <v>751</v>
      </c>
      <c r="S2993" s="1" t="s">
        <v>2346</v>
      </c>
      <c r="X2993" t="s">
        <v>211</v>
      </c>
      <c r="Y2993" t="s">
        <v>2279</v>
      </c>
      <c r="Z2993" t="s">
        <v>2280</v>
      </c>
      <c r="AA2993" t="s">
        <v>2358</v>
      </c>
      <c r="AB2993" t="s">
        <v>2290</v>
      </c>
      <c r="AC2993" t="s">
        <v>152</v>
      </c>
      <c r="AD2993" t="s">
        <v>2272</v>
      </c>
      <c r="AF2993" t="s">
        <v>49</v>
      </c>
      <c r="AL2993" t="s">
        <v>49</v>
      </c>
      <c r="AM2993" t="s">
        <v>2440</v>
      </c>
      <c r="AN2993" t="s">
        <v>166</v>
      </c>
      <c r="AP2993" t="s">
        <v>51</v>
      </c>
    </row>
    <row r="2994" spans="1:43" x14ac:dyDescent="0.2">
      <c r="A2994" t="s">
        <v>1674</v>
      </c>
      <c r="B2994" t="s">
        <v>954</v>
      </c>
      <c r="C2994">
        <v>2012</v>
      </c>
      <c r="D2994" t="s">
        <v>811</v>
      </c>
      <c r="F2994" t="s">
        <v>83</v>
      </c>
      <c r="G2994" s="1" t="s">
        <v>85</v>
      </c>
      <c r="H2994" t="s">
        <v>350</v>
      </c>
      <c r="I2994">
        <v>2010</v>
      </c>
      <c r="J2994">
        <f t="shared" si="67"/>
        <v>8.3333333333333329E-2</v>
      </c>
      <c r="K2994" t="s">
        <v>101</v>
      </c>
      <c r="M2994">
        <v>8.0000000000000002E-3</v>
      </c>
      <c r="N2994" t="s">
        <v>121</v>
      </c>
      <c r="O2994" t="s">
        <v>121</v>
      </c>
      <c r="P2994" t="s">
        <v>1676</v>
      </c>
      <c r="Q2994" s="1" t="s">
        <v>2351</v>
      </c>
      <c r="R2994" s="1" t="s">
        <v>2351</v>
      </c>
      <c r="S2994" s="1" t="s">
        <v>2351</v>
      </c>
      <c r="T2994" t="s">
        <v>396</v>
      </c>
      <c r="U2994" t="s">
        <v>264</v>
      </c>
      <c r="X2994" t="s">
        <v>161</v>
      </c>
      <c r="Y2994" t="s">
        <v>2272</v>
      </c>
      <c r="Z2994" t="s">
        <v>2272</v>
      </c>
      <c r="AA2994" t="s">
        <v>2272</v>
      </c>
      <c r="AB2994" t="s">
        <v>2272</v>
      </c>
      <c r="AC2994" t="s">
        <v>162</v>
      </c>
      <c r="AD2994" t="s">
        <v>2272</v>
      </c>
      <c r="AF2994" t="s">
        <v>49</v>
      </c>
      <c r="AL2994" t="s">
        <v>49</v>
      </c>
      <c r="AM2994" t="s">
        <v>2442</v>
      </c>
      <c r="AN2994" t="s">
        <v>166</v>
      </c>
      <c r="AQ2994" s="5">
        <v>0</v>
      </c>
    </row>
    <row r="2995" spans="1:43" x14ac:dyDescent="0.2">
      <c r="A2995" t="s">
        <v>1674</v>
      </c>
      <c r="B2995" t="s">
        <v>954</v>
      </c>
      <c r="C2995">
        <v>2012</v>
      </c>
      <c r="D2995" t="s">
        <v>811</v>
      </c>
      <c r="F2995" t="s">
        <v>83</v>
      </c>
      <c r="G2995" s="1" t="s">
        <v>85</v>
      </c>
      <c r="H2995" t="s">
        <v>350</v>
      </c>
      <c r="I2995">
        <v>2010</v>
      </c>
      <c r="J2995">
        <f t="shared" si="67"/>
        <v>8.3333333333333329E-2</v>
      </c>
      <c r="K2995" t="s">
        <v>101</v>
      </c>
      <c r="M2995">
        <v>8.0000000000000002E-3</v>
      </c>
      <c r="N2995" t="s">
        <v>121</v>
      </c>
      <c r="O2995" t="s">
        <v>121</v>
      </c>
      <c r="P2995" t="s">
        <v>747</v>
      </c>
      <c r="Q2995" s="1" t="s">
        <v>2292</v>
      </c>
      <c r="R2995" s="1" t="s">
        <v>264</v>
      </c>
      <c r="S2995" s="1" t="s">
        <v>264</v>
      </c>
      <c r="T2995" t="s">
        <v>396</v>
      </c>
      <c r="U2995" s="1" t="s">
        <v>2351</v>
      </c>
      <c r="X2995" t="s">
        <v>161</v>
      </c>
      <c r="Y2995" t="s">
        <v>2272</v>
      </c>
      <c r="Z2995" t="s">
        <v>2272</v>
      </c>
      <c r="AA2995" t="s">
        <v>2272</v>
      </c>
      <c r="AB2995" t="s">
        <v>2272</v>
      </c>
      <c r="AC2995" t="s">
        <v>162</v>
      </c>
      <c r="AD2995" t="s">
        <v>2272</v>
      </c>
      <c r="AF2995" t="s">
        <v>49</v>
      </c>
      <c r="AL2995" t="s">
        <v>49</v>
      </c>
      <c r="AM2995" t="s">
        <v>2442</v>
      </c>
      <c r="AN2995" t="s">
        <v>166</v>
      </c>
      <c r="AQ2995" s="5">
        <v>0</v>
      </c>
    </row>
    <row r="2996" spans="1:43" x14ac:dyDescent="0.2">
      <c r="A2996" t="s">
        <v>1674</v>
      </c>
      <c r="B2996" t="s">
        <v>954</v>
      </c>
      <c r="C2996">
        <v>2012</v>
      </c>
      <c r="D2996" t="s">
        <v>811</v>
      </c>
      <c r="F2996" t="s">
        <v>83</v>
      </c>
      <c r="G2996" s="1" t="s">
        <v>85</v>
      </c>
      <c r="H2996" t="s">
        <v>350</v>
      </c>
      <c r="I2996">
        <v>2010</v>
      </c>
      <c r="J2996">
        <f t="shared" si="67"/>
        <v>8.3333333333333329E-2</v>
      </c>
      <c r="K2996" t="s">
        <v>101</v>
      </c>
      <c r="M2996">
        <v>8.0000000000000002E-3</v>
      </c>
      <c r="N2996" t="s">
        <v>121</v>
      </c>
      <c r="O2996" t="s">
        <v>121</v>
      </c>
      <c r="P2996" t="s">
        <v>1675</v>
      </c>
      <c r="Q2996" s="1" t="s">
        <v>2276</v>
      </c>
      <c r="R2996" s="1" t="s">
        <v>751</v>
      </c>
      <c r="S2996" s="1" t="s">
        <v>2346</v>
      </c>
      <c r="X2996" t="s">
        <v>211</v>
      </c>
      <c r="Y2996" t="s">
        <v>2279</v>
      </c>
      <c r="Z2996" t="s">
        <v>2280</v>
      </c>
      <c r="AA2996" t="s">
        <v>2358</v>
      </c>
      <c r="AB2996" t="s">
        <v>2290</v>
      </c>
      <c r="AC2996" t="s">
        <v>152</v>
      </c>
      <c r="AD2996" t="s">
        <v>2272</v>
      </c>
      <c r="AF2996" t="s">
        <v>49</v>
      </c>
      <c r="AL2996" t="s">
        <v>49</v>
      </c>
      <c r="AM2996" t="s">
        <v>2442</v>
      </c>
      <c r="AN2996" t="s">
        <v>166</v>
      </c>
      <c r="AP2996" t="s">
        <v>51</v>
      </c>
    </row>
    <row r="2997" spans="1:43" x14ac:dyDescent="0.2">
      <c r="A2997" t="s">
        <v>1674</v>
      </c>
      <c r="B2997" t="s">
        <v>954</v>
      </c>
      <c r="C2997">
        <v>2012</v>
      </c>
      <c r="D2997" t="s">
        <v>811</v>
      </c>
      <c r="F2997" t="s">
        <v>83</v>
      </c>
      <c r="G2997" s="1" t="s">
        <v>85</v>
      </c>
      <c r="H2997" t="s">
        <v>350</v>
      </c>
      <c r="I2997">
        <v>2010</v>
      </c>
      <c r="J2997">
        <f t="shared" si="67"/>
        <v>8.3333333333333329E-2</v>
      </c>
      <c r="K2997" t="s">
        <v>101</v>
      </c>
      <c r="M2997">
        <v>8.0000000000000002E-3</v>
      </c>
      <c r="N2997" t="s">
        <v>121</v>
      </c>
      <c r="O2997" t="s">
        <v>121</v>
      </c>
      <c r="P2997" t="s">
        <v>1676</v>
      </c>
      <c r="Q2997" s="1" t="s">
        <v>2351</v>
      </c>
      <c r="R2997" s="1" t="s">
        <v>2351</v>
      </c>
      <c r="S2997" s="1" t="s">
        <v>2351</v>
      </c>
      <c r="T2997" t="s">
        <v>396</v>
      </c>
      <c r="U2997" t="s">
        <v>264</v>
      </c>
      <c r="X2997" t="s">
        <v>161</v>
      </c>
      <c r="Y2997" t="s">
        <v>2272</v>
      </c>
      <c r="Z2997" t="s">
        <v>2272</v>
      </c>
      <c r="AA2997" t="s">
        <v>2272</v>
      </c>
      <c r="AB2997" t="s">
        <v>2272</v>
      </c>
      <c r="AC2997" t="s">
        <v>162</v>
      </c>
      <c r="AD2997" t="s">
        <v>2272</v>
      </c>
      <c r="AG2997" t="s">
        <v>49</v>
      </c>
      <c r="AL2997" t="s">
        <v>49</v>
      </c>
      <c r="AM2997" t="s">
        <v>2443</v>
      </c>
      <c r="AN2997" t="s">
        <v>166</v>
      </c>
      <c r="AQ2997" s="5">
        <v>0</v>
      </c>
    </row>
    <row r="2998" spans="1:43" x14ac:dyDescent="0.2">
      <c r="A2998" t="s">
        <v>1674</v>
      </c>
      <c r="B2998" t="s">
        <v>954</v>
      </c>
      <c r="C2998">
        <v>2012</v>
      </c>
      <c r="D2998" t="s">
        <v>811</v>
      </c>
      <c r="F2998" t="s">
        <v>83</v>
      </c>
      <c r="G2998" s="1" t="s">
        <v>85</v>
      </c>
      <c r="H2998" t="s">
        <v>350</v>
      </c>
      <c r="I2998">
        <v>2010</v>
      </c>
      <c r="J2998">
        <f t="shared" si="67"/>
        <v>8.3333333333333329E-2</v>
      </c>
      <c r="K2998" t="s">
        <v>101</v>
      </c>
      <c r="M2998">
        <v>8.0000000000000002E-3</v>
      </c>
      <c r="N2998" t="s">
        <v>121</v>
      </c>
      <c r="O2998" t="s">
        <v>121</v>
      </c>
      <c r="P2998" t="s">
        <v>747</v>
      </c>
      <c r="Q2998" s="1" t="s">
        <v>2292</v>
      </c>
      <c r="R2998" s="1" t="s">
        <v>264</v>
      </c>
      <c r="S2998" s="1" t="s">
        <v>264</v>
      </c>
      <c r="T2998" t="s">
        <v>396</v>
      </c>
      <c r="U2998" s="1" t="s">
        <v>2351</v>
      </c>
      <c r="X2998" t="s">
        <v>161</v>
      </c>
      <c r="Y2998" t="s">
        <v>2272</v>
      </c>
      <c r="Z2998" t="s">
        <v>2272</v>
      </c>
      <c r="AA2998" t="s">
        <v>2272</v>
      </c>
      <c r="AB2998" t="s">
        <v>2272</v>
      </c>
      <c r="AC2998" t="s">
        <v>162</v>
      </c>
      <c r="AD2998" t="s">
        <v>2272</v>
      </c>
      <c r="AG2998" t="s">
        <v>49</v>
      </c>
      <c r="AL2998" t="s">
        <v>49</v>
      </c>
      <c r="AM2998" t="s">
        <v>2443</v>
      </c>
      <c r="AN2998" t="s">
        <v>166</v>
      </c>
      <c r="AQ2998" s="5">
        <v>0</v>
      </c>
    </row>
    <row r="2999" spans="1:43" x14ac:dyDescent="0.2">
      <c r="A2999" t="s">
        <v>1674</v>
      </c>
      <c r="B2999" t="s">
        <v>954</v>
      </c>
      <c r="C2999">
        <v>2012</v>
      </c>
      <c r="D2999" t="s">
        <v>811</v>
      </c>
      <c r="F2999" t="s">
        <v>83</v>
      </c>
      <c r="G2999" s="1" t="s">
        <v>85</v>
      </c>
      <c r="H2999" t="s">
        <v>350</v>
      </c>
      <c r="I2999">
        <v>2010</v>
      </c>
      <c r="J2999">
        <f t="shared" si="67"/>
        <v>8.3333333333333329E-2</v>
      </c>
      <c r="K2999" t="s">
        <v>101</v>
      </c>
      <c r="M2999">
        <v>8.0000000000000002E-3</v>
      </c>
      <c r="N2999" t="s">
        <v>121</v>
      </c>
      <c r="O2999" t="s">
        <v>121</v>
      </c>
      <c r="P2999" t="s">
        <v>1675</v>
      </c>
      <c r="Q2999" s="1" t="s">
        <v>2276</v>
      </c>
      <c r="R2999" s="1" t="s">
        <v>751</v>
      </c>
      <c r="S2999" s="1" t="s">
        <v>2346</v>
      </c>
      <c r="X2999" t="s">
        <v>211</v>
      </c>
      <c r="Y2999" t="s">
        <v>2279</v>
      </c>
      <c r="Z2999" t="s">
        <v>2280</v>
      </c>
      <c r="AA2999" t="s">
        <v>2358</v>
      </c>
      <c r="AB2999" t="s">
        <v>2290</v>
      </c>
      <c r="AC2999" t="s">
        <v>152</v>
      </c>
      <c r="AD2999" t="s">
        <v>2272</v>
      </c>
      <c r="AG2999" t="s">
        <v>49</v>
      </c>
      <c r="AL2999" t="s">
        <v>49</v>
      </c>
      <c r="AM2999" t="s">
        <v>2443</v>
      </c>
      <c r="AN2999" t="s">
        <v>166</v>
      </c>
      <c r="AP2999" t="s">
        <v>51</v>
      </c>
    </row>
    <row r="3000" spans="1:43" x14ac:dyDescent="0.2">
      <c r="A3000" t="s">
        <v>1674</v>
      </c>
      <c r="B3000" t="s">
        <v>954</v>
      </c>
      <c r="C3000">
        <v>2012</v>
      </c>
      <c r="D3000" t="s">
        <v>811</v>
      </c>
      <c r="F3000" t="s">
        <v>83</v>
      </c>
      <c r="G3000" s="1" t="s">
        <v>85</v>
      </c>
      <c r="H3000" t="s">
        <v>350</v>
      </c>
      <c r="I3000">
        <v>2010</v>
      </c>
      <c r="J3000">
        <f t="shared" si="67"/>
        <v>8.3333333333333329E-2</v>
      </c>
      <c r="K3000" t="s">
        <v>101</v>
      </c>
      <c r="M3000">
        <v>8.0000000000000002E-3</v>
      </c>
      <c r="N3000" t="s">
        <v>121</v>
      </c>
      <c r="O3000" t="s">
        <v>121</v>
      </c>
      <c r="P3000" t="s">
        <v>1676</v>
      </c>
      <c r="Q3000" s="1" t="s">
        <v>2351</v>
      </c>
      <c r="R3000" s="1" t="s">
        <v>2351</v>
      </c>
      <c r="S3000" s="1" t="s">
        <v>2351</v>
      </c>
      <c r="T3000" t="s">
        <v>396</v>
      </c>
      <c r="U3000" t="s">
        <v>264</v>
      </c>
      <c r="X3000" t="s">
        <v>161</v>
      </c>
      <c r="Y3000" t="s">
        <v>2272</v>
      </c>
      <c r="Z3000" t="s">
        <v>2272</v>
      </c>
      <c r="AA3000" t="s">
        <v>2272</v>
      </c>
      <c r="AB3000" t="s">
        <v>2272</v>
      </c>
      <c r="AC3000" t="s">
        <v>162</v>
      </c>
      <c r="AD3000" t="s">
        <v>2272</v>
      </c>
      <c r="AG3000" t="s">
        <v>49</v>
      </c>
      <c r="AL3000" t="s">
        <v>49</v>
      </c>
      <c r="AM3000" t="s">
        <v>2444</v>
      </c>
      <c r="AN3000" t="s">
        <v>166</v>
      </c>
      <c r="AQ3000" s="5">
        <v>1</v>
      </c>
    </row>
    <row r="3001" spans="1:43" x14ac:dyDescent="0.2">
      <c r="A3001" t="s">
        <v>1674</v>
      </c>
      <c r="B3001" t="s">
        <v>954</v>
      </c>
      <c r="C3001">
        <v>2012</v>
      </c>
      <c r="D3001" t="s">
        <v>811</v>
      </c>
      <c r="F3001" t="s">
        <v>83</v>
      </c>
      <c r="G3001" s="1" t="s">
        <v>85</v>
      </c>
      <c r="H3001" t="s">
        <v>350</v>
      </c>
      <c r="I3001">
        <v>2010</v>
      </c>
      <c r="J3001">
        <f t="shared" si="67"/>
        <v>8.3333333333333329E-2</v>
      </c>
      <c r="K3001" t="s">
        <v>101</v>
      </c>
      <c r="M3001">
        <v>8.0000000000000002E-3</v>
      </c>
      <c r="N3001" t="s">
        <v>121</v>
      </c>
      <c r="O3001" t="s">
        <v>121</v>
      </c>
      <c r="P3001" t="s">
        <v>747</v>
      </c>
      <c r="Q3001" s="1" t="s">
        <v>2292</v>
      </c>
      <c r="R3001" s="1" t="s">
        <v>264</v>
      </c>
      <c r="S3001" s="1" t="s">
        <v>264</v>
      </c>
      <c r="T3001" t="s">
        <v>396</v>
      </c>
      <c r="U3001" s="1" t="s">
        <v>2351</v>
      </c>
      <c r="X3001" t="s">
        <v>161</v>
      </c>
      <c r="Y3001" t="s">
        <v>2272</v>
      </c>
      <c r="Z3001" t="s">
        <v>2272</v>
      </c>
      <c r="AA3001" t="s">
        <v>2272</v>
      </c>
      <c r="AB3001" t="s">
        <v>2272</v>
      </c>
      <c r="AC3001" t="s">
        <v>162</v>
      </c>
      <c r="AD3001" t="s">
        <v>2272</v>
      </c>
      <c r="AG3001" t="s">
        <v>49</v>
      </c>
      <c r="AL3001" t="s">
        <v>49</v>
      </c>
      <c r="AM3001" t="s">
        <v>2444</v>
      </c>
      <c r="AN3001" t="s">
        <v>166</v>
      </c>
      <c r="AQ3001" s="5">
        <v>2</v>
      </c>
    </row>
    <row r="3002" spans="1:43" x14ac:dyDescent="0.2">
      <c r="A3002" t="s">
        <v>1674</v>
      </c>
      <c r="B3002" t="s">
        <v>954</v>
      </c>
      <c r="C3002">
        <v>2012</v>
      </c>
      <c r="D3002" t="s">
        <v>811</v>
      </c>
      <c r="F3002" t="s">
        <v>83</v>
      </c>
      <c r="G3002" s="1" t="s">
        <v>85</v>
      </c>
      <c r="H3002" t="s">
        <v>350</v>
      </c>
      <c r="I3002">
        <v>2010</v>
      </c>
      <c r="J3002">
        <f t="shared" si="67"/>
        <v>8.3333333333333329E-2</v>
      </c>
      <c r="K3002" t="s">
        <v>101</v>
      </c>
      <c r="M3002">
        <v>8.0000000000000002E-3</v>
      </c>
      <c r="N3002" t="s">
        <v>121</v>
      </c>
      <c r="O3002" t="s">
        <v>121</v>
      </c>
      <c r="P3002" t="s">
        <v>1675</v>
      </c>
      <c r="Q3002" s="1" t="s">
        <v>2276</v>
      </c>
      <c r="R3002" s="1" t="s">
        <v>751</v>
      </c>
      <c r="S3002" s="1" t="s">
        <v>2346</v>
      </c>
      <c r="X3002" t="s">
        <v>211</v>
      </c>
      <c r="Y3002" t="s">
        <v>2279</v>
      </c>
      <c r="Z3002" t="s">
        <v>2280</v>
      </c>
      <c r="AA3002" t="s">
        <v>2358</v>
      </c>
      <c r="AB3002" t="s">
        <v>2290</v>
      </c>
      <c r="AC3002" t="s">
        <v>152</v>
      </c>
      <c r="AD3002" t="s">
        <v>2272</v>
      </c>
      <c r="AG3002" t="s">
        <v>49</v>
      </c>
      <c r="AL3002" t="s">
        <v>49</v>
      </c>
      <c r="AM3002" t="s">
        <v>2444</v>
      </c>
      <c r="AN3002" t="s">
        <v>166</v>
      </c>
      <c r="AP3002" t="s">
        <v>157</v>
      </c>
    </row>
    <row r="3003" spans="1:43" x14ac:dyDescent="0.2">
      <c r="A3003" t="s">
        <v>1677</v>
      </c>
      <c r="B3003" t="s">
        <v>1678</v>
      </c>
      <c r="C3003">
        <v>2012</v>
      </c>
      <c r="D3003" t="s">
        <v>44</v>
      </c>
      <c r="F3003" t="s">
        <v>652</v>
      </c>
      <c r="G3003" s="1" t="s">
        <v>91</v>
      </c>
      <c r="H3003" t="s">
        <v>350</v>
      </c>
      <c r="I3003" t="s">
        <v>1535</v>
      </c>
      <c r="J3003">
        <f t="shared" ref="J3003:J3012" si="68">20/12</f>
        <v>1.6666666666666667</v>
      </c>
      <c r="K3003" t="s">
        <v>104</v>
      </c>
      <c r="L3003">
        <v>12</v>
      </c>
      <c r="M3003">
        <v>20</v>
      </c>
      <c r="N3003" t="s">
        <v>128</v>
      </c>
      <c r="O3003" t="s">
        <v>1681</v>
      </c>
      <c r="P3003" t="s">
        <v>1679</v>
      </c>
      <c r="Q3003" s="1" t="s">
        <v>2276</v>
      </c>
      <c r="R3003" s="1" t="s">
        <v>669</v>
      </c>
      <c r="S3003" s="1" t="s">
        <v>168</v>
      </c>
      <c r="V3003" s="1" t="s">
        <v>194</v>
      </c>
      <c r="W3003" s="1" t="s">
        <v>1680</v>
      </c>
      <c r="X3003" t="s">
        <v>211</v>
      </c>
      <c r="Y3003" t="s">
        <v>2279</v>
      </c>
      <c r="Z3003" t="s">
        <v>2280</v>
      </c>
      <c r="AA3003" t="s">
        <v>2358</v>
      </c>
      <c r="AB3003" t="s">
        <v>2290</v>
      </c>
      <c r="AC3003" t="s">
        <v>152</v>
      </c>
      <c r="AD3003" t="s">
        <v>2272</v>
      </c>
    </row>
    <row r="3004" spans="1:43" x14ac:dyDescent="0.2">
      <c r="A3004" t="s">
        <v>1677</v>
      </c>
      <c r="B3004" t="s">
        <v>1678</v>
      </c>
      <c r="C3004">
        <v>2012</v>
      </c>
      <c r="D3004" t="s">
        <v>44</v>
      </c>
      <c r="F3004" t="s">
        <v>652</v>
      </c>
      <c r="G3004" s="1" t="s">
        <v>91</v>
      </c>
      <c r="H3004" t="s">
        <v>350</v>
      </c>
      <c r="I3004" t="s">
        <v>1535</v>
      </c>
      <c r="J3004">
        <f t="shared" si="68"/>
        <v>1.6666666666666667</v>
      </c>
      <c r="K3004" t="s">
        <v>104</v>
      </c>
      <c r="L3004">
        <v>12</v>
      </c>
      <c r="M3004">
        <v>20</v>
      </c>
      <c r="N3004" t="s">
        <v>128</v>
      </c>
      <c r="O3004" t="s">
        <v>1682</v>
      </c>
      <c r="P3004" t="s">
        <v>1680</v>
      </c>
      <c r="Q3004" s="1" t="s">
        <v>2276</v>
      </c>
      <c r="R3004" s="1" t="s">
        <v>669</v>
      </c>
      <c r="S3004" s="1" t="s">
        <v>168</v>
      </c>
      <c r="V3004" s="1" t="s">
        <v>194</v>
      </c>
      <c r="W3004" s="1" t="s">
        <v>1680</v>
      </c>
      <c r="X3004" t="s">
        <v>211</v>
      </c>
      <c r="Y3004" t="s">
        <v>2279</v>
      </c>
      <c r="Z3004" t="s">
        <v>2280</v>
      </c>
      <c r="AA3004" t="s">
        <v>2358</v>
      </c>
      <c r="AB3004" t="s">
        <v>2290</v>
      </c>
      <c r="AC3004" t="s">
        <v>152</v>
      </c>
      <c r="AD3004" t="s">
        <v>2272</v>
      </c>
    </row>
    <row r="3005" spans="1:43" x14ac:dyDescent="0.2">
      <c r="A3005" t="s">
        <v>1677</v>
      </c>
      <c r="B3005" t="s">
        <v>1678</v>
      </c>
      <c r="C3005">
        <v>2012</v>
      </c>
      <c r="D3005" t="s">
        <v>44</v>
      </c>
      <c r="F3005" t="s">
        <v>652</v>
      </c>
      <c r="G3005" s="1" t="s">
        <v>91</v>
      </c>
      <c r="H3005" t="s">
        <v>350</v>
      </c>
      <c r="I3005" t="s">
        <v>1535</v>
      </c>
      <c r="J3005">
        <f t="shared" si="68"/>
        <v>1.6666666666666667</v>
      </c>
      <c r="K3005" t="s">
        <v>104</v>
      </c>
      <c r="L3005">
        <v>12</v>
      </c>
      <c r="M3005">
        <v>0</v>
      </c>
      <c r="N3005" t="s">
        <v>128</v>
      </c>
      <c r="O3005" t="s">
        <v>1681</v>
      </c>
      <c r="P3005" t="s">
        <v>1679</v>
      </c>
      <c r="Q3005" s="1" t="s">
        <v>2276</v>
      </c>
      <c r="R3005" s="1" t="s">
        <v>669</v>
      </c>
      <c r="S3005" s="1" t="s">
        <v>168</v>
      </c>
      <c r="V3005" s="1" t="s">
        <v>194</v>
      </c>
      <c r="W3005" s="1" t="s">
        <v>1680</v>
      </c>
      <c r="X3005" t="s">
        <v>2520</v>
      </c>
      <c r="Y3005" t="s">
        <v>2273</v>
      </c>
      <c r="Z3005" t="s">
        <v>249</v>
      </c>
      <c r="AA3005" t="s">
        <v>2359</v>
      </c>
      <c r="AB3005" t="s">
        <v>1419</v>
      </c>
      <c r="AC3005" t="s">
        <v>152</v>
      </c>
      <c r="AD3005" t="s">
        <v>2272</v>
      </c>
    </row>
    <row r="3006" spans="1:43" x14ac:dyDescent="0.2">
      <c r="A3006" t="s">
        <v>1677</v>
      </c>
      <c r="B3006" t="s">
        <v>1678</v>
      </c>
      <c r="C3006">
        <v>2012</v>
      </c>
      <c r="D3006" t="s">
        <v>44</v>
      </c>
      <c r="F3006" t="s">
        <v>652</v>
      </c>
      <c r="G3006" s="1" t="s">
        <v>91</v>
      </c>
      <c r="H3006" t="s">
        <v>350</v>
      </c>
      <c r="I3006" t="s">
        <v>1535</v>
      </c>
      <c r="J3006">
        <f t="shared" si="68"/>
        <v>1.6666666666666667</v>
      </c>
      <c r="K3006" t="s">
        <v>104</v>
      </c>
      <c r="L3006">
        <v>12</v>
      </c>
      <c r="M3006">
        <v>0</v>
      </c>
      <c r="N3006" t="s">
        <v>128</v>
      </c>
      <c r="O3006" t="s">
        <v>1682</v>
      </c>
      <c r="P3006" t="s">
        <v>1680</v>
      </c>
      <c r="Q3006" s="1" t="s">
        <v>2276</v>
      </c>
      <c r="R3006" s="1" t="s">
        <v>669</v>
      </c>
      <c r="S3006" s="1" t="s">
        <v>168</v>
      </c>
      <c r="V3006" s="1" t="s">
        <v>194</v>
      </c>
      <c r="W3006" s="1" t="s">
        <v>1680</v>
      </c>
      <c r="X3006" t="s">
        <v>2520</v>
      </c>
      <c r="Y3006" t="s">
        <v>2273</v>
      </c>
      <c r="Z3006" t="s">
        <v>249</v>
      </c>
      <c r="AA3006" t="s">
        <v>2359</v>
      </c>
      <c r="AB3006" t="s">
        <v>1419</v>
      </c>
      <c r="AC3006" t="s">
        <v>152</v>
      </c>
      <c r="AD3006" t="s">
        <v>2272</v>
      </c>
    </row>
    <row r="3007" spans="1:43" x14ac:dyDescent="0.2">
      <c r="A3007" t="s">
        <v>1677</v>
      </c>
      <c r="B3007" t="s">
        <v>1678</v>
      </c>
      <c r="C3007">
        <v>2012</v>
      </c>
      <c r="D3007" t="s">
        <v>44</v>
      </c>
      <c r="F3007" t="s">
        <v>652</v>
      </c>
      <c r="G3007" s="1" t="s">
        <v>91</v>
      </c>
      <c r="H3007" t="s">
        <v>350</v>
      </c>
      <c r="I3007" t="s">
        <v>1535</v>
      </c>
      <c r="J3007">
        <f t="shared" si="68"/>
        <v>1.6666666666666667</v>
      </c>
      <c r="K3007" t="s">
        <v>104</v>
      </c>
      <c r="L3007">
        <v>12</v>
      </c>
      <c r="M3007">
        <v>0</v>
      </c>
      <c r="N3007" t="s">
        <v>128</v>
      </c>
      <c r="O3007" t="s">
        <v>1681</v>
      </c>
      <c r="P3007" t="s">
        <v>1679</v>
      </c>
      <c r="Q3007" s="1" t="s">
        <v>2276</v>
      </c>
      <c r="R3007" s="1" t="s">
        <v>669</v>
      </c>
      <c r="S3007" s="1" t="s">
        <v>168</v>
      </c>
      <c r="T3007" t="s">
        <v>396</v>
      </c>
      <c r="U3007" s="1" t="s">
        <v>168</v>
      </c>
      <c r="V3007" s="1" t="s">
        <v>194</v>
      </c>
      <c r="W3007" s="1" t="s">
        <v>1680</v>
      </c>
      <c r="X3007" t="s">
        <v>161</v>
      </c>
      <c r="Y3007" t="s">
        <v>2272</v>
      </c>
      <c r="Z3007" t="s">
        <v>2272</v>
      </c>
      <c r="AA3007" t="s">
        <v>2272</v>
      </c>
      <c r="AB3007" t="s">
        <v>2272</v>
      </c>
      <c r="AC3007" t="s">
        <v>162</v>
      </c>
      <c r="AD3007" t="s">
        <v>2272</v>
      </c>
      <c r="AH3007" t="s">
        <v>49</v>
      </c>
      <c r="AI3007" t="s">
        <v>49</v>
      </c>
      <c r="AM3007" t="s">
        <v>233</v>
      </c>
      <c r="AN3007" t="s">
        <v>166</v>
      </c>
      <c r="AQ3007" s="5">
        <v>0</v>
      </c>
    </row>
    <row r="3008" spans="1:43" x14ac:dyDescent="0.2">
      <c r="A3008" t="s">
        <v>1677</v>
      </c>
      <c r="B3008" t="s">
        <v>1678</v>
      </c>
      <c r="C3008">
        <v>2012</v>
      </c>
      <c r="D3008" t="s">
        <v>44</v>
      </c>
      <c r="F3008" t="s">
        <v>652</v>
      </c>
      <c r="G3008" s="1" t="s">
        <v>91</v>
      </c>
      <c r="H3008" t="s">
        <v>350</v>
      </c>
      <c r="I3008" t="s">
        <v>1535</v>
      </c>
      <c r="J3008">
        <f t="shared" si="68"/>
        <v>1.6666666666666667</v>
      </c>
      <c r="K3008" t="s">
        <v>104</v>
      </c>
      <c r="L3008">
        <v>12</v>
      </c>
      <c r="M3008">
        <v>0</v>
      </c>
      <c r="N3008" t="s">
        <v>128</v>
      </c>
      <c r="O3008" t="s">
        <v>1682</v>
      </c>
      <c r="P3008" t="s">
        <v>1680</v>
      </c>
      <c r="Q3008" s="1" t="s">
        <v>2276</v>
      </c>
      <c r="R3008" s="1" t="s">
        <v>669</v>
      </c>
      <c r="S3008" s="1" t="s">
        <v>168</v>
      </c>
      <c r="T3008" t="s">
        <v>396</v>
      </c>
      <c r="U3008" s="1" t="s">
        <v>168</v>
      </c>
      <c r="V3008" s="1" t="s">
        <v>194</v>
      </c>
      <c r="W3008" s="1" t="s">
        <v>1680</v>
      </c>
      <c r="X3008" t="s">
        <v>161</v>
      </c>
      <c r="Y3008" t="s">
        <v>2272</v>
      </c>
      <c r="Z3008" t="s">
        <v>2272</v>
      </c>
      <c r="AA3008" t="s">
        <v>2272</v>
      </c>
      <c r="AB3008" t="s">
        <v>2272</v>
      </c>
      <c r="AC3008" t="s">
        <v>162</v>
      </c>
      <c r="AD3008" t="s">
        <v>2272</v>
      </c>
      <c r="AH3008" t="s">
        <v>49</v>
      </c>
      <c r="AI3008" t="s">
        <v>49</v>
      </c>
      <c r="AM3008" t="s">
        <v>233</v>
      </c>
      <c r="AN3008" t="s">
        <v>166</v>
      </c>
      <c r="AQ3008" s="5">
        <v>0</v>
      </c>
    </row>
    <row r="3009" spans="1:45" x14ac:dyDescent="0.2">
      <c r="A3009" t="s">
        <v>1677</v>
      </c>
      <c r="B3009" t="s">
        <v>1678</v>
      </c>
      <c r="C3009">
        <v>2012</v>
      </c>
      <c r="D3009" t="s">
        <v>44</v>
      </c>
      <c r="F3009" t="s">
        <v>652</v>
      </c>
      <c r="G3009" s="1" t="s">
        <v>91</v>
      </c>
      <c r="H3009" t="s">
        <v>350</v>
      </c>
      <c r="I3009" t="s">
        <v>1535</v>
      </c>
      <c r="J3009">
        <f t="shared" si="68"/>
        <v>1.6666666666666667</v>
      </c>
      <c r="K3009" t="s">
        <v>104</v>
      </c>
      <c r="L3009">
        <v>12</v>
      </c>
      <c r="M3009">
        <v>0</v>
      </c>
      <c r="N3009" t="s">
        <v>128</v>
      </c>
      <c r="O3009" t="s">
        <v>1681</v>
      </c>
      <c r="P3009" t="s">
        <v>1679</v>
      </c>
      <c r="Q3009" s="1" t="s">
        <v>2276</v>
      </c>
      <c r="R3009" s="1" t="s">
        <v>669</v>
      </c>
      <c r="S3009" s="1" t="s">
        <v>168</v>
      </c>
      <c r="T3009" t="s">
        <v>396</v>
      </c>
      <c r="U3009" s="1" t="s">
        <v>168</v>
      </c>
      <c r="V3009" s="1" t="s">
        <v>194</v>
      </c>
      <c r="W3009" s="1" t="s">
        <v>1680</v>
      </c>
      <c r="X3009" t="s">
        <v>161</v>
      </c>
      <c r="Y3009" t="s">
        <v>2272</v>
      </c>
      <c r="Z3009" t="s">
        <v>2272</v>
      </c>
      <c r="AA3009" t="s">
        <v>2272</v>
      </c>
      <c r="AB3009" t="s">
        <v>2272</v>
      </c>
      <c r="AC3009" t="s">
        <v>162</v>
      </c>
      <c r="AD3009" t="s">
        <v>2272</v>
      </c>
      <c r="AH3009" t="s">
        <v>49</v>
      </c>
      <c r="AI3009" t="s">
        <v>49</v>
      </c>
      <c r="AM3009" t="s">
        <v>233</v>
      </c>
      <c r="AN3009" t="s">
        <v>154</v>
      </c>
      <c r="AQ3009" s="5">
        <v>0</v>
      </c>
    </row>
    <row r="3010" spans="1:45" x14ac:dyDescent="0.2">
      <c r="A3010" t="s">
        <v>1677</v>
      </c>
      <c r="B3010" t="s">
        <v>1678</v>
      </c>
      <c r="C3010">
        <v>2012</v>
      </c>
      <c r="D3010" t="s">
        <v>44</v>
      </c>
      <c r="F3010" t="s">
        <v>652</v>
      </c>
      <c r="G3010" s="1" t="s">
        <v>91</v>
      </c>
      <c r="H3010" t="s">
        <v>350</v>
      </c>
      <c r="I3010" t="s">
        <v>1535</v>
      </c>
      <c r="J3010">
        <f t="shared" si="68"/>
        <v>1.6666666666666667</v>
      </c>
      <c r="K3010" t="s">
        <v>104</v>
      </c>
      <c r="L3010">
        <v>12</v>
      </c>
      <c r="M3010">
        <v>0</v>
      </c>
      <c r="N3010" t="s">
        <v>128</v>
      </c>
      <c r="O3010" t="s">
        <v>1682</v>
      </c>
      <c r="P3010" t="s">
        <v>1680</v>
      </c>
      <c r="Q3010" s="1" t="s">
        <v>2276</v>
      </c>
      <c r="R3010" s="1" t="s">
        <v>669</v>
      </c>
      <c r="S3010" s="1" t="s">
        <v>168</v>
      </c>
      <c r="T3010" t="s">
        <v>396</v>
      </c>
      <c r="U3010" s="1" t="s">
        <v>168</v>
      </c>
      <c r="V3010" s="1" t="s">
        <v>194</v>
      </c>
      <c r="W3010" s="1" t="s">
        <v>1680</v>
      </c>
      <c r="X3010" t="s">
        <v>161</v>
      </c>
      <c r="Y3010" t="s">
        <v>2272</v>
      </c>
      <c r="Z3010" t="s">
        <v>2272</v>
      </c>
      <c r="AA3010" t="s">
        <v>2272</v>
      </c>
      <c r="AB3010" t="s">
        <v>2272</v>
      </c>
      <c r="AC3010" t="s">
        <v>162</v>
      </c>
      <c r="AD3010" t="s">
        <v>2272</v>
      </c>
      <c r="AH3010" t="s">
        <v>49</v>
      </c>
      <c r="AI3010" t="s">
        <v>49</v>
      </c>
      <c r="AM3010" t="s">
        <v>233</v>
      </c>
      <c r="AN3010" t="s">
        <v>154</v>
      </c>
      <c r="AQ3010" s="5">
        <v>0</v>
      </c>
    </row>
    <row r="3011" spans="1:45" x14ac:dyDescent="0.2">
      <c r="A3011" t="s">
        <v>1677</v>
      </c>
      <c r="B3011" t="s">
        <v>1678</v>
      </c>
      <c r="C3011">
        <v>2012</v>
      </c>
      <c r="D3011" t="s">
        <v>44</v>
      </c>
      <c r="F3011" t="s">
        <v>652</v>
      </c>
      <c r="G3011" s="1" t="s">
        <v>91</v>
      </c>
      <c r="H3011" t="s">
        <v>350</v>
      </c>
      <c r="I3011" t="s">
        <v>1535</v>
      </c>
      <c r="J3011">
        <f t="shared" si="68"/>
        <v>1.6666666666666667</v>
      </c>
      <c r="K3011" t="s">
        <v>104</v>
      </c>
      <c r="L3011">
        <v>12</v>
      </c>
      <c r="M3011">
        <v>0</v>
      </c>
      <c r="N3011" t="s">
        <v>128</v>
      </c>
      <c r="O3011" t="s">
        <v>1681</v>
      </c>
      <c r="P3011" t="s">
        <v>1679</v>
      </c>
      <c r="Q3011" s="1" t="s">
        <v>2276</v>
      </c>
      <c r="R3011" s="1" t="s">
        <v>669</v>
      </c>
      <c r="S3011" s="1" t="s">
        <v>168</v>
      </c>
      <c r="T3011" t="s">
        <v>396</v>
      </c>
      <c r="U3011" s="1" t="s">
        <v>168</v>
      </c>
      <c r="V3011" s="1" t="s">
        <v>194</v>
      </c>
      <c r="W3011" s="1" t="s">
        <v>1680</v>
      </c>
      <c r="X3011" t="s">
        <v>161</v>
      </c>
      <c r="Y3011" t="s">
        <v>2272</v>
      </c>
      <c r="Z3011" t="s">
        <v>2272</v>
      </c>
      <c r="AA3011" t="s">
        <v>2272</v>
      </c>
      <c r="AB3011" t="s">
        <v>2272</v>
      </c>
      <c r="AC3011" t="s">
        <v>162</v>
      </c>
      <c r="AD3011" t="s">
        <v>2272</v>
      </c>
      <c r="AH3011" t="s">
        <v>49</v>
      </c>
      <c r="AI3011" t="s">
        <v>49</v>
      </c>
      <c r="AM3011" t="s">
        <v>233</v>
      </c>
      <c r="AN3011" t="s">
        <v>165</v>
      </c>
      <c r="AP3011" t="s">
        <v>49</v>
      </c>
    </row>
    <row r="3012" spans="1:45" x14ac:dyDescent="0.2">
      <c r="A3012" t="s">
        <v>1677</v>
      </c>
      <c r="B3012" t="s">
        <v>1678</v>
      </c>
      <c r="C3012">
        <v>2012</v>
      </c>
      <c r="D3012" t="s">
        <v>44</v>
      </c>
      <c r="F3012" t="s">
        <v>652</v>
      </c>
      <c r="G3012" s="1" t="s">
        <v>91</v>
      </c>
      <c r="H3012" t="s">
        <v>350</v>
      </c>
      <c r="I3012" t="s">
        <v>1535</v>
      </c>
      <c r="J3012">
        <f t="shared" si="68"/>
        <v>1.6666666666666667</v>
      </c>
      <c r="K3012" t="s">
        <v>104</v>
      </c>
      <c r="L3012">
        <v>12</v>
      </c>
      <c r="M3012">
        <v>0</v>
      </c>
      <c r="N3012" t="s">
        <v>128</v>
      </c>
      <c r="O3012" t="s">
        <v>1682</v>
      </c>
      <c r="P3012" t="s">
        <v>1680</v>
      </c>
      <c r="Q3012" s="1" t="s">
        <v>2276</v>
      </c>
      <c r="R3012" s="1" t="s">
        <v>669</v>
      </c>
      <c r="S3012" s="1" t="s">
        <v>168</v>
      </c>
      <c r="T3012" t="s">
        <v>396</v>
      </c>
      <c r="U3012" s="1" t="s">
        <v>168</v>
      </c>
      <c r="V3012" s="1" t="s">
        <v>194</v>
      </c>
      <c r="W3012" s="1" t="s">
        <v>1680</v>
      </c>
      <c r="X3012" t="s">
        <v>161</v>
      </c>
      <c r="Y3012" t="s">
        <v>2272</v>
      </c>
      <c r="Z3012" t="s">
        <v>2272</v>
      </c>
      <c r="AA3012" t="s">
        <v>2272</v>
      </c>
      <c r="AB3012" t="s">
        <v>2272</v>
      </c>
      <c r="AC3012" t="s">
        <v>162</v>
      </c>
      <c r="AD3012" t="s">
        <v>2272</v>
      </c>
      <c r="AH3012" t="s">
        <v>49</v>
      </c>
      <c r="AI3012" t="s">
        <v>49</v>
      </c>
      <c r="AM3012" t="s">
        <v>233</v>
      </c>
      <c r="AN3012" t="s">
        <v>165</v>
      </c>
      <c r="AP3012" t="s">
        <v>49</v>
      </c>
    </row>
    <row r="3013" spans="1:45" x14ac:dyDescent="0.2">
      <c r="A3013" t="s">
        <v>1683</v>
      </c>
      <c r="B3013" t="s">
        <v>1684</v>
      </c>
      <c r="C3013">
        <v>2012</v>
      </c>
      <c r="D3013" t="s">
        <v>44</v>
      </c>
      <c r="F3013" t="s">
        <v>357</v>
      </c>
      <c r="G3013" s="1" t="s">
        <v>90</v>
      </c>
      <c r="H3013" t="s">
        <v>96</v>
      </c>
      <c r="N3013" t="s">
        <v>124</v>
      </c>
      <c r="O3013" t="s">
        <v>124</v>
      </c>
      <c r="P3013" t="s">
        <v>1686</v>
      </c>
      <c r="Q3013" s="1" t="s">
        <v>2292</v>
      </c>
      <c r="R3013" s="1" t="s">
        <v>124</v>
      </c>
      <c r="S3013" s="1" t="s">
        <v>124</v>
      </c>
      <c r="X3013" t="s">
        <v>189</v>
      </c>
      <c r="Y3013" t="s">
        <v>2279</v>
      </c>
      <c r="Z3013" t="s">
        <v>2280</v>
      </c>
      <c r="AA3013" t="s">
        <v>2358</v>
      </c>
      <c r="AB3013" t="s">
        <v>189</v>
      </c>
      <c r="AC3013" t="s">
        <v>152</v>
      </c>
      <c r="AD3013" t="s">
        <v>2278</v>
      </c>
    </row>
    <row r="3014" spans="1:45" x14ac:dyDescent="0.2">
      <c r="A3014" t="s">
        <v>1683</v>
      </c>
      <c r="B3014" t="s">
        <v>1684</v>
      </c>
      <c r="C3014">
        <v>2012</v>
      </c>
      <c r="D3014" t="s">
        <v>44</v>
      </c>
      <c r="F3014" t="s">
        <v>357</v>
      </c>
      <c r="G3014" s="1" t="s">
        <v>90</v>
      </c>
      <c r="H3014" t="s">
        <v>96</v>
      </c>
      <c r="N3014" t="s">
        <v>124</v>
      </c>
      <c r="O3014" t="s">
        <v>124</v>
      </c>
      <c r="P3014" t="s">
        <v>1686</v>
      </c>
      <c r="Q3014" s="1" t="s">
        <v>2292</v>
      </c>
      <c r="R3014" s="1" t="s">
        <v>124</v>
      </c>
      <c r="S3014" s="1" t="s">
        <v>124</v>
      </c>
      <c r="X3014" t="s">
        <v>338</v>
      </c>
      <c r="Y3014" t="s">
        <v>2273</v>
      </c>
      <c r="Z3014" t="s">
        <v>249</v>
      </c>
      <c r="AA3014" t="s">
        <v>2359</v>
      </c>
      <c r="AB3014" t="s">
        <v>1419</v>
      </c>
      <c r="AC3014" t="s">
        <v>152</v>
      </c>
      <c r="AD3014" t="s">
        <v>2288</v>
      </c>
    </row>
    <row r="3015" spans="1:45" x14ac:dyDescent="0.2">
      <c r="A3015" t="s">
        <v>1683</v>
      </c>
      <c r="B3015" t="s">
        <v>1684</v>
      </c>
      <c r="C3015">
        <v>2012</v>
      </c>
      <c r="D3015" t="s">
        <v>44</v>
      </c>
      <c r="F3015" t="s">
        <v>357</v>
      </c>
      <c r="G3015" s="1" t="s">
        <v>90</v>
      </c>
      <c r="H3015" t="s">
        <v>96</v>
      </c>
      <c r="N3015" t="s">
        <v>124</v>
      </c>
      <c r="O3015" t="s">
        <v>124</v>
      </c>
      <c r="P3015" t="s">
        <v>1686</v>
      </c>
      <c r="Q3015" s="1" t="s">
        <v>2292</v>
      </c>
      <c r="R3015" s="1" t="s">
        <v>124</v>
      </c>
      <c r="S3015" s="1" t="s">
        <v>124</v>
      </c>
      <c r="X3015" t="s">
        <v>1685</v>
      </c>
      <c r="Y3015" t="s">
        <v>2273</v>
      </c>
      <c r="Z3015" t="s">
        <v>249</v>
      </c>
      <c r="AA3015" t="s">
        <v>2359</v>
      </c>
      <c r="AB3015" t="s">
        <v>1419</v>
      </c>
      <c r="AC3015" t="s">
        <v>152</v>
      </c>
      <c r="AD3015" t="s">
        <v>2288</v>
      </c>
    </row>
    <row r="3016" spans="1:45" x14ac:dyDescent="0.2">
      <c r="A3016" t="s">
        <v>1683</v>
      </c>
      <c r="B3016" t="s">
        <v>1684</v>
      </c>
      <c r="C3016">
        <v>2012</v>
      </c>
      <c r="D3016" t="s">
        <v>811</v>
      </c>
      <c r="F3016" t="s">
        <v>357</v>
      </c>
      <c r="G3016" s="1" t="s">
        <v>90</v>
      </c>
      <c r="H3016" t="s">
        <v>96</v>
      </c>
      <c r="I3016" t="s">
        <v>1308</v>
      </c>
      <c r="J3016">
        <v>1.08</v>
      </c>
      <c r="K3016" t="s">
        <v>42</v>
      </c>
      <c r="M3016">
        <f t="shared" ref="M3016:M3021" si="69">0.25*0.25</f>
        <v>6.25E-2</v>
      </c>
      <c r="N3016" t="s">
        <v>124</v>
      </c>
      <c r="O3016" t="s">
        <v>124</v>
      </c>
      <c r="P3016" t="s">
        <v>1686</v>
      </c>
      <c r="Q3016" s="1" t="s">
        <v>2292</v>
      </c>
      <c r="R3016" s="1" t="s">
        <v>124</v>
      </c>
      <c r="S3016" s="1" t="s">
        <v>124</v>
      </c>
      <c r="T3016" t="s">
        <v>421</v>
      </c>
      <c r="U3016" t="s">
        <v>421</v>
      </c>
      <c r="X3016" t="s">
        <v>161</v>
      </c>
      <c r="Y3016" t="s">
        <v>2272</v>
      </c>
      <c r="Z3016" t="s">
        <v>2272</v>
      </c>
      <c r="AA3016" t="s">
        <v>2272</v>
      </c>
      <c r="AB3016" t="s">
        <v>2272</v>
      </c>
      <c r="AC3016" t="s">
        <v>162</v>
      </c>
      <c r="AD3016" t="s">
        <v>2272</v>
      </c>
      <c r="AM3016" t="s">
        <v>1687</v>
      </c>
      <c r="AN3016" t="s">
        <v>166</v>
      </c>
      <c r="AQ3016" s="5">
        <v>1</v>
      </c>
    </row>
    <row r="3017" spans="1:45" x14ac:dyDescent="0.2">
      <c r="A3017" t="s">
        <v>1683</v>
      </c>
      <c r="B3017" t="s">
        <v>1684</v>
      </c>
      <c r="C3017">
        <v>2012</v>
      </c>
      <c r="D3017" t="s">
        <v>811</v>
      </c>
      <c r="F3017" t="s">
        <v>357</v>
      </c>
      <c r="G3017" s="1" t="s">
        <v>90</v>
      </c>
      <c r="H3017" t="s">
        <v>96</v>
      </c>
      <c r="I3017" t="s">
        <v>1308</v>
      </c>
      <c r="J3017">
        <v>1.08</v>
      </c>
      <c r="K3017" t="s">
        <v>42</v>
      </c>
      <c r="M3017">
        <f t="shared" si="69"/>
        <v>6.25E-2</v>
      </c>
      <c r="N3017" t="s">
        <v>124</v>
      </c>
      <c r="O3017" t="s">
        <v>124</v>
      </c>
      <c r="P3017" t="s">
        <v>1686</v>
      </c>
      <c r="Q3017" s="1" t="s">
        <v>2292</v>
      </c>
      <c r="R3017" s="1" t="s">
        <v>124</v>
      </c>
      <c r="S3017" s="1" t="s">
        <v>124</v>
      </c>
      <c r="T3017" t="s">
        <v>421</v>
      </c>
      <c r="U3017" t="s">
        <v>421</v>
      </c>
      <c r="X3017" t="s">
        <v>161</v>
      </c>
      <c r="Y3017" t="s">
        <v>2272</v>
      </c>
      <c r="Z3017" t="s">
        <v>2272</v>
      </c>
      <c r="AA3017" t="s">
        <v>2272</v>
      </c>
      <c r="AB3017" t="s">
        <v>2272</v>
      </c>
      <c r="AC3017" t="s">
        <v>162</v>
      </c>
      <c r="AD3017" t="s">
        <v>2272</v>
      </c>
      <c r="AM3017" t="s">
        <v>1687</v>
      </c>
      <c r="AN3017" t="s">
        <v>154</v>
      </c>
      <c r="AQ3017" s="5">
        <v>1</v>
      </c>
    </row>
    <row r="3018" spans="1:45" x14ac:dyDescent="0.2">
      <c r="A3018" t="s">
        <v>1683</v>
      </c>
      <c r="B3018" t="s">
        <v>1684</v>
      </c>
      <c r="C3018">
        <v>2012</v>
      </c>
      <c r="D3018" t="s">
        <v>811</v>
      </c>
      <c r="F3018" t="s">
        <v>357</v>
      </c>
      <c r="G3018" s="1" t="s">
        <v>90</v>
      </c>
      <c r="H3018" t="s">
        <v>96</v>
      </c>
      <c r="I3018" t="s">
        <v>1308</v>
      </c>
      <c r="J3018">
        <v>1.08</v>
      </c>
      <c r="K3018" t="s">
        <v>42</v>
      </c>
      <c r="M3018">
        <f t="shared" si="69"/>
        <v>6.25E-2</v>
      </c>
      <c r="N3018" t="s">
        <v>124</v>
      </c>
      <c r="O3018" t="s">
        <v>124</v>
      </c>
      <c r="P3018" t="s">
        <v>1686</v>
      </c>
      <c r="Q3018" s="1" t="s">
        <v>2292</v>
      </c>
      <c r="R3018" s="1" t="s">
        <v>124</v>
      </c>
      <c r="S3018" s="1" t="s">
        <v>124</v>
      </c>
      <c r="T3018" t="s">
        <v>421</v>
      </c>
      <c r="U3018" t="s">
        <v>421</v>
      </c>
      <c r="X3018" t="s">
        <v>161</v>
      </c>
      <c r="Y3018" t="s">
        <v>2272</v>
      </c>
      <c r="Z3018" t="s">
        <v>2272</v>
      </c>
      <c r="AA3018" t="s">
        <v>2272</v>
      </c>
      <c r="AB3018" t="s">
        <v>2272</v>
      </c>
      <c r="AC3018" t="s">
        <v>162</v>
      </c>
      <c r="AD3018" t="s">
        <v>2272</v>
      </c>
      <c r="AM3018" t="s">
        <v>1688</v>
      </c>
      <c r="AN3018" t="s">
        <v>154</v>
      </c>
      <c r="AQ3018" s="5">
        <v>1</v>
      </c>
    </row>
    <row r="3019" spans="1:45" x14ac:dyDescent="0.2">
      <c r="A3019" t="s">
        <v>1683</v>
      </c>
      <c r="B3019" t="s">
        <v>1684</v>
      </c>
      <c r="C3019">
        <v>2012</v>
      </c>
      <c r="D3019" t="s">
        <v>811</v>
      </c>
      <c r="F3019" t="s">
        <v>357</v>
      </c>
      <c r="G3019" s="1" t="s">
        <v>90</v>
      </c>
      <c r="H3019" t="s">
        <v>96</v>
      </c>
      <c r="I3019" t="s">
        <v>1308</v>
      </c>
      <c r="J3019">
        <v>1.08</v>
      </c>
      <c r="K3019" t="s">
        <v>42</v>
      </c>
      <c r="M3019">
        <f t="shared" si="69"/>
        <v>6.25E-2</v>
      </c>
      <c r="N3019" t="s">
        <v>124</v>
      </c>
      <c r="O3019" t="s">
        <v>124</v>
      </c>
      <c r="P3019" t="s">
        <v>1686</v>
      </c>
      <c r="Q3019" s="1" t="s">
        <v>2292</v>
      </c>
      <c r="R3019" s="1" t="s">
        <v>124</v>
      </c>
      <c r="S3019" s="1" t="s">
        <v>124</v>
      </c>
      <c r="T3019" t="s">
        <v>421</v>
      </c>
      <c r="U3019" t="s">
        <v>421</v>
      </c>
      <c r="X3019" t="s">
        <v>161</v>
      </c>
      <c r="Y3019" t="s">
        <v>2272</v>
      </c>
      <c r="Z3019" t="s">
        <v>2272</v>
      </c>
      <c r="AA3019" t="s">
        <v>2272</v>
      </c>
      <c r="AB3019" t="s">
        <v>2272</v>
      </c>
      <c r="AC3019" t="s">
        <v>162</v>
      </c>
      <c r="AD3019" t="s">
        <v>2272</v>
      </c>
      <c r="AM3019" t="s">
        <v>1689</v>
      </c>
      <c r="AN3019" t="s">
        <v>154</v>
      </c>
      <c r="AQ3019" s="5">
        <v>0</v>
      </c>
    </row>
    <row r="3020" spans="1:45" x14ac:dyDescent="0.2">
      <c r="A3020" t="s">
        <v>1683</v>
      </c>
      <c r="B3020" t="s">
        <v>1684</v>
      </c>
      <c r="C3020">
        <v>2012</v>
      </c>
      <c r="D3020" t="s">
        <v>811</v>
      </c>
      <c r="F3020" t="s">
        <v>357</v>
      </c>
      <c r="G3020" s="1" t="s">
        <v>90</v>
      </c>
      <c r="H3020" t="s">
        <v>96</v>
      </c>
      <c r="I3020" t="s">
        <v>1308</v>
      </c>
      <c r="J3020">
        <v>1.08</v>
      </c>
      <c r="K3020" t="s">
        <v>42</v>
      </c>
      <c r="M3020">
        <f t="shared" si="69"/>
        <v>6.25E-2</v>
      </c>
      <c r="N3020" t="s">
        <v>124</v>
      </c>
      <c r="O3020" t="s">
        <v>124</v>
      </c>
      <c r="P3020" t="s">
        <v>1686</v>
      </c>
      <c r="Q3020" s="1" t="s">
        <v>2292</v>
      </c>
      <c r="R3020" s="1" t="s">
        <v>124</v>
      </c>
      <c r="S3020" s="1" t="s">
        <v>124</v>
      </c>
      <c r="T3020" t="s">
        <v>421</v>
      </c>
      <c r="U3020" t="s">
        <v>421</v>
      </c>
      <c r="X3020" t="s">
        <v>161</v>
      </c>
      <c r="Y3020" t="s">
        <v>2272</v>
      </c>
      <c r="Z3020" t="s">
        <v>2272</v>
      </c>
      <c r="AA3020" t="s">
        <v>2272</v>
      </c>
      <c r="AB3020" t="s">
        <v>2272</v>
      </c>
      <c r="AC3020" t="s">
        <v>162</v>
      </c>
      <c r="AD3020" t="s">
        <v>2272</v>
      </c>
      <c r="AM3020" t="s">
        <v>1690</v>
      </c>
      <c r="AN3020" t="s">
        <v>166</v>
      </c>
      <c r="AQ3020" s="5">
        <v>1</v>
      </c>
    </row>
    <row r="3021" spans="1:45" x14ac:dyDescent="0.2">
      <c r="A3021" t="s">
        <v>1683</v>
      </c>
      <c r="B3021" t="s">
        <v>1684</v>
      </c>
      <c r="C3021">
        <v>2012</v>
      </c>
      <c r="D3021" t="s">
        <v>811</v>
      </c>
      <c r="F3021" t="s">
        <v>357</v>
      </c>
      <c r="G3021" s="1" t="s">
        <v>90</v>
      </c>
      <c r="H3021" t="s">
        <v>96</v>
      </c>
      <c r="I3021" t="s">
        <v>1308</v>
      </c>
      <c r="J3021">
        <v>1.08</v>
      </c>
      <c r="K3021" t="s">
        <v>42</v>
      </c>
      <c r="M3021">
        <f t="shared" si="69"/>
        <v>6.25E-2</v>
      </c>
      <c r="N3021" t="s">
        <v>124</v>
      </c>
      <c r="O3021" t="s">
        <v>124</v>
      </c>
      <c r="P3021" t="s">
        <v>1686</v>
      </c>
      <c r="Q3021" s="1" t="s">
        <v>2292</v>
      </c>
      <c r="R3021" s="1" t="s">
        <v>124</v>
      </c>
      <c r="S3021" s="1" t="s">
        <v>124</v>
      </c>
      <c r="T3021" t="s">
        <v>421</v>
      </c>
      <c r="U3021" t="s">
        <v>421</v>
      </c>
      <c r="X3021" t="s">
        <v>161</v>
      </c>
      <c r="Y3021" t="s">
        <v>2272</v>
      </c>
      <c r="Z3021" t="s">
        <v>2272</v>
      </c>
      <c r="AA3021" t="s">
        <v>2272</v>
      </c>
      <c r="AB3021" t="s">
        <v>2272</v>
      </c>
      <c r="AC3021" t="s">
        <v>162</v>
      </c>
      <c r="AD3021" t="s">
        <v>2272</v>
      </c>
      <c r="AM3021" t="s">
        <v>1690</v>
      </c>
      <c r="AN3021" t="s">
        <v>165</v>
      </c>
      <c r="AP3021" t="s">
        <v>49</v>
      </c>
    </row>
    <row r="3022" spans="1:45" x14ac:dyDescent="0.2">
      <c r="A3022" t="s">
        <v>1691</v>
      </c>
      <c r="B3022" t="s">
        <v>1692</v>
      </c>
      <c r="C3022">
        <v>2012</v>
      </c>
      <c r="D3022" t="s">
        <v>47</v>
      </c>
      <c r="Q3022" s="1" t="s">
        <v>2272</v>
      </c>
      <c r="R3022" s="1" t="s">
        <v>2272</v>
      </c>
      <c r="S3022" s="1" t="s">
        <v>2272</v>
      </c>
      <c r="Y3022" t="s">
        <v>2272</v>
      </c>
      <c r="Z3022" t="s">
        <v>2272</v>
      </c>
      <c r="AA3022" t="s">
        <v>2272</v>
      </c>
      <c r="AB3022" t="s">
        <v>2272</v>
      </c>
      <c r="AD3022" t="s">
        <v>2272</v>
      </c>
      <c r="AR3022" t="s">
        <v>144</v>
      </c>
      <c r="AS3022" t="s">
        <v>2583</v>
      </c>
    </row>
    <row r="3023" spans="1:45" x14ac:dyDescent="0.2">
      <c r="A3023" t="s">
        <v>1694</v>
      </c>
      <c r="B3023" t="s">
        <v>1339</v>
      </c>
      <c r="C3023">
        <v>2012</v>
      </c>
      <c r="D3023" t="s">
        <v>44</v>
      </c>
      <c r="F3023" t="s">
        <v>1695</v>
      </c>
      <c r="G3023" s="1" t="s">
        <v>86</v>
      </c>
      <c r="H3023" t="s">
        <v>96</v>
      </c>
      <c r="K3023" t="s">
        <v>101</v>
      </c>
      <c r="N3023" t="s">
        <v>132</v>
      </c>
      <c r="O3023" t="s">
        <v>132</v>
      </c>
      <c r="P3023" t="s">
        <v>169</v>
      </c>
      <c r="Q3023" s="1" t="s">
        <v>2276</v>
      </c>
      <c r="R3023" s="1" t="s">
        <v>669</v>
      </c>
      <c r="S3023" s="1" t="s">
        <v>168</v>
      </c>
      <c r="X3023" t="s">
        <v>211</v>
      </c>
      <c r="Y3023" t="s">
        <v>2279</v>
      </c>
      <c r="Z3023" t="s">
        <v>2280</v>
      </c>
      <c r="AA3023" t="s">
        <v>2358</v>
      </c>
      <c r="AB3023" t="s">
        <v>2290</v>
      </c>
      <c r="AC3023" t="s">
        <v>152</v>
      </c>
      <c r="AD3023" t="s">
        <v>2278</v>
      </c>
    </row>
    <row r="3024" spans="1:45" x14ac:dyDescent="0.2">
      <c r="A3024" t="s">
        <v>1694</v>
      </c>
      <c r="B3024" t="s">
        <v>1339</v>
      </c>
      <c r="C3024">
        <v>2012</v>
      </c>
      <c r="D3024" t="s">
        <v>44</v>
      </c>
      <c r="F3024" t="s">
        <v>1695</v>
      </c>
      <c r="G3024" s="1" t="s">
        <v>86</v>
      </c>
      <c r="H3024" t="s">
        <v>96</v>
      </c>
      <c r="K3024" t="s">
        <v>101</v>
      </c>
      <c r="N3024" t="s">
        <v>132</v>
      </c>
      <c r="O3024" t="s">
        <v>132</v>
      </c>
      <c r="P3024" t="s">
        <v>1509</v>
      </c>
      <c r="Q3024" s="1" t="s">
        <v>2276</v>
      </c>
      <c r="R3024" s="1" t="s">
        <v>669</v>
      </c>
      <c r="S3024" s="1" t="s">
        <v>168</v>
      </c>
      <c r="X3024" t="s">
        <v>211</v>
      </c>
      <c r="Y3024" t="s">
        <v>2279</v>
      </c>
      <c r="Z3024" t="s">
        <v>2280</v>
      </c>
      <c r="AA3024" t="s">
        <v>2358</v>
      </c>
      <c r="AB3024" t="s">
        <v>2290</v>
      </c>
      <c r="AC3024" t="s">
        <v>152</v>
      </c>
      <c r="AD3024" t="s">
        <v>2278</v>
      </c>
    </row>
    <row r="3025" spans="1:44" x14ac:dyDescent="0.2">
      <c r="A3025" t="s">
        <v>1694</v>
      </c>
      <c r="B3025" t="s">
        <v>1339</v>
      </c>
      <c r="C3025">
        <v>2012</v>
      </c>
      <c r="D3025" t="s">
        <v>811</v>
      </c>
      <c r="F3025" t="s">
        <v>1695</v>
      </c>
      <c r="G3025" s="1" t="s">
        <v>86</v>
      </c>
      <c r="H3025" t="s">
        <v>96</v>
      </c>
      <c r="I3025">
        <v>2009</v>
      </c>
      <c r="J3025">
        <v>0.17</v>
      </c>
      <c r="K3025" t="s">
        <v>101</v>
      </c>
      <c r="M3025">
        <f>0.25*0.25</f>
        <v>6.25E-2</v>
      </c>
      <c r="N3025" t="s">
        <v>132</v>
      </c>
      <c r="O3025" t="s">
        <v>132</v>
      </c>
      <c r="P3025" t="s">
        <v>169</v>
      </c>
      <c r="Q3025" s="1" t="s">
        <v>2276</v>
      </c>
      <c r="R3025" s="1" t="s">
        <v>669</v>
      </c>
      <c r="S3025" s="1" t="s">
        <v>168</v>
      </c>
      <c r="T3025" t="s">
        <v>421</v>
      </c>
      <c r="U3025" t="s">
        <v>421</v>
      </c>
      <c r="X3025" t="s">
        <v>161</v>
      </c>
      <c r="Y3025" t="s">
        <v>2272</v>
      </c>
      <c r="Z3025" t="s">
        <v>2272</v>
      </c>
      <c r="AA3025" t="s">
        <v>2272</v>
      </c>
      <c r="AB3025" t="s">
        <v>2272</v>
      </c>
      <c r="AC3025" t="s">
        <v>162</v>
      </c>
      <c r="AD3025" t="s">
        <v>2272</v>
      </c>
      <c r="AF3025" t="s">
        <v>49</v>
      </c>
      <c r="AL3025" t="s">
        <v>49</v>
      </c>
      <c r="AM3025" t="s">
        <v>1697</v>
      </c>
      <c r="AN3025" t="s">
        <v>109</v>
      </c>
      <c r="AO3025" t="s">
        <v>855</v>
      </c>
      <c r="AP3025" t="s">
        <v>49</v>
      </c>
    </row>
    <row r="3026" spans="1:44" x14ac:dyDescent="0.2">
      <c r="A3026" t="s">
        <v>1694</v>
      </c>
      <c r="B3026" t="s">
        <v>1339</v>
      </c>
      <c r="C3026">
        <v>2012</v>
      </c>
      <c r="D3026" t="s">
        <v>811</v>
      </c>
      <c r="F3026" t="s">
        <v>1695</v>
      </c>
      <c r="G3026" s="1" t="s">
        <v>86</v>
      </c>
      <c r="H3026" t="s">
        <v>96</v>
      </c>
      <c r="I3026">
        <v>2009</v>
      </c>
      <c r="J3026">
        <v>0.17</v>
      </c>
      <c r="K3026" t="s">
        <v>101</v>
      </c>
      <c r="M3026">
        <f>0.25*0.25</f>
        <v>6.25E-2</v>
      </c>
      <c r="N3026" t="s">
        <v>132</v>
      </c>
      <c r="O3026" t="s">
        <v>132</v>
      </c>
      <c r="P3026" t="s">
        <v>169</v>
      </c>
      <c r="Q3026" s="1" t="s">
        <v>2276</v>
      </c>
      <c r="R3026" s="1" t="s">
        <v>669</v>
      </c>
      <c r="S3026" s="1" t="s">
        <v>168</v>
      </c>
      <c r="T3026" t="s">
        <v>421</v>
      </c>
      <c r="U3026" t="s">
        <v>421</v>
      </c>
      <c r="X3026" t="s">
        <v>161</v>
      </c>
      <c r="Y3026" t="s">
        <v>2272</v>
      </c>
      <c r="Z3026" t="s">
        <v>2272</v>
      </c>
      <c r="AA3026" t="s">
        <v>2272</v>
      </c>
      <c r="AB3026" t="s">
        <v>2272</v>
      </c>
      <c r="AC3026" t="s">
        <v>162</v>
      </c>
      <c r="AD3026" t="s">
        <v>2272</v>
      </c>
      <c r="AF3026" t="s">
        <v>49</v>
      </c>
      <c r="AL3026" t="s">
        <v>49</v>
      </c>
      <c r="AM3026" t="s">
        <v>1698</v>
      </c>
      <c r="AN3026" t="s">
        <v>109</v>
      </c>
      <c r="AO3026" t="s">
        <v>855</v>
      </c>
      <c r="AQ3026" s="5">
        <v>0</v>
      </c>
    </row>
    <row r="3027" spans="1:44" x14ac:dyDescent="0.2">
      <c r="A3027" t="s">
        <v>1694</v>
      </c>
      <c r="B3027" t="s">
        <v>1339</v>
      </c>
      <c r="C3027">
        <v>2012</v>
      </c>
      <c r="D3027" t="s">
        <v>811</v>
      </c>
      <c r="F3027" t="s">
        <v>1695</v>
      </c>
      <c r="G3027" s="1" t="s">
        <v>86</v>
      </c>
      <c r="H3027" t="s">
        <v>96</v>
      </c>
      <c r="I3027">
        <v>2009</v>
      </c>
      <c r="J3027">
        <v>0.17</v>
      </c>
      <c r="K3027" t="s">
        <v>101</v>
      </c>
      <c r="M3027">
        <f>0.25*0.25</f>
        <v>6.25E-2</v>
      </c>
      <c r="N3027" t="s">
        <v>132</v>
      </c>
      <c r="O3027" t="s">
        <v>132</v>
      </c>
      <c r="P3027" t="s">
        <v>169</v>
      </c>
      <c r="Q3027" s="1" t="s">
        <v>2276</v>
      </c>
      <c r="R3027" s="1" t="s">
        <v>669</v>
      </c>
      <c r="S3027" s="1" t="s">
        <v>168</v>
      </c>
      <c r="T3027" t="s">
        <v>421</v>
      </c>
      <c r="U3027" t="s">
        <v>421</v>
      </c>
      <c r="X3027" t="s">
        <v>161</v>
      </c>
      <c r="Y3027" t="s">
        <v>2272</v>
      </c>
      <c r="Z3027" t="s">
        <v>2272</v>
      </c>
      <c r="AA3027" t="s">
        <v>2272</v>
      </c>
      <c r="AB3027" t="s">
        <v>2272</v>
      </c>
      <c r="AC3027" t="s">
        <v>162</v>
      </c>
      <c r="AD3027" t="s">
        <v>2272</v>
      </c>
      <c r="AF3027" t="s">
        <v>49</v>
      </c>
      <c r="AL3027" t="s">
        <v>49</v>
      </c>
      <c r="AM3027" t="s">
        <v>1696</v>
      </c>
      <c r="AN3027" t="s">
        <v>109</v>
      </c>
      <c r="AO3027" t="s">
        <v>1699</v>
      </c>
      <c r="AP3027" t="s">
        <v>49</v>
      </c>
    </row>
    <row r="3028" spans="1:44" x14ac:dyDescent="0.2">
      <c r="A3028" t="s">
        <v>1694</v>
      </c>
      <c r="B3028" t="s">
        <v>1339</v>
      </c>
      <c r="C3028">
        <v>2012</v>
      </c>
      <c r="D3028" t="s">
        <v>811</v>
      </c>
      <c r="F3028" t="s">
        <v>1695</v>
      </c>
      <c r="G3028" s="1" t="s">
        <v>86</v>
      </c>
      <c r="H3028" t="s">
        <v>96</v>
      </c>
      <c r="I3028">
        <v>2009</v>
      </c>
      <c r="J3028">
        <v>0.17</v>
      </c>
      <c r="K3028" t="s">
        <v>101</v>
      </c>
      <c r="M3028">
        <f>0.25*0.25</f>
        <v>6.25E-2</v>
      </c>
      <c r="N3028" t="s">
        <v>132</v>
      </c>
      <c r="O3028" t="s">
        <v>132</v>
      </c>
      <c r="P3028" t="s">
        <v>169</v>
      </c>
      <c r="Q3028" s="1" t="s">
        <v>2276</v>
      </c>
      <c r="R3028" s="1" t="s">
        <v>669</v>
      </c>
      <c r="S3028" s="1" t="s">
        <v>168</v>
      </c>
      <c r="T3028" t="s">
        <v>421</v>
      </c>
      <c r="U3028" t="s">
        <v>421</v>
      </c>
      <c r="X3028" t="s">
        <v>161</v>
      </c>
      <c r="Y3028" t="s">
        <v>2272</v>
      </c>
      <c r="Z3028" t="s">
        <v>2272</v>
      </c>
      <c r="AA3028" t="s">
        <v>2272</v>
      </c>
      <c r="AB3028" t="s">
        <v>2272</v>
      </c>
      <c r="AC3028" t="s">
        <v>162</v>
      </c>
      <c r="AD3028" t="s">
        <v>2272</v>
      </c>
      <c r="AF3028" t="s">
        <v>49</v>
      </c>
      <c r="AL3028" t="s">
        <v>49</v>
      </c>
      <c r="AM3028" t="s">
        <v>1696</v>
      </c>
      <c r="AN3028" t="s">
        <v>109</v>
      </c>
      <c r="AO3028" t="s">
        <v>1700</v>
      </c>
      <c r="AP3028" t="s">
        <v>49</v>
      </c>
    </row>
    <row r="3029" spans="1:44" x14ac:dyDescent="0.2">
      <c r="A3029" t="s">
        <v>1694</v>
      </c>
      <c r="B3029" t="s">
        <v>1339</v>
      </c>
      <c r="C3029">
        <v>2012</v>
      </c>
      <c r="D3029" t="s">
        <v>811</v>
      </c>
      <c r="F3029" t="s">
        <v>1695</v>
      </c>
      <c r="G3029" s="1" t="s">
        <v>86</v>
      </c>
      <c r="H3029" t="s">
        <v>96</v>
      </c>
      <c r="I3029">
        <v>2009</v>
      </c>
      <c r="J3029">
        <v>0.17</v>
      </c>
      <c r="K3029" t="s">
        <v>101</v>
      </c>
      <c r="M3029">
        <f>0.25*0.25</f>
        <v>6.25E-2</v>
      </c>
      <c r="N3029" t="s">
        <v>132</v>
      </c>
      <c r="O3029" t="s">
        <v>132</v>
      </c>
      <c r="P3029" t="s">
        <v>169</v>
      </c>
      <c r="Q3029" s="1" t="s">
        <v>2276</v>
      </c>
      <c r="R3029" s="1" t="s">
        <v>669</v>
      </c>
      <c r="S3029" s="1" t="s">
        <v>168</v>
      </c>
      <c r="T3029" t="s">
        <v>421</v>
      </c>
      <c r="U3029" t="s">
        <v>421</v>
      </c>
      <c r="X3029" t="s">
        <v>161</v>
      </c>
      <c r="Y3029" t="s">
        <v>2272</v>
      </c>
      <c r="Z3029" t="s">
        <v>2272</v>
      </c>
      <c r="AA3029" t="s">
        <v>2272</v>
      </c>
      <c r="AB3029" t="s">
        <v>2272</v>
      </c>
      <c r="AC3029" t="s">
        <v>162</v>
      </c>
      <c r="AD3029" t="s">
        <v>2272</v>
      </c>
      <c r="AF3029" t="s">
        <v>49</v>
      </c>
      <c r="AL3029" t="s">
        <v>49</v>
      </c>
      <c r="AM3029" t="s">
        <v>1696</v>
      </c>
      <c r="AN3029" t="s">
        <v>109</v>
      </c>
      <c r="AO3029" t="s">
        <v>1701</v>
      </c>
      <c r="AQ3029" s="5">
        <v>0</v>
      </c>
    </row>
    <row r="3030" spans="1:44" x14ac:dyDescent="0.2">
      <c r="A3030" t="s">
        <v>1702</v>
      </c>
      <c r="B3030" t="s">
        <v>1170</v>
      </c>
      <c r="C3030">
        <v>2012</v>
      </c>
      <c r="D3030" t="s">
        <v>44</v>
      </c>
      <c r="F3030" t="s">
        <v>81</v>
      </c>
      <c r="G3030" s="1" t="s">
        <v>86</v>
      </c>
      <c r="H3030" t="s">
        <v>350</v>
      </c>
      <c r="I3030">
        <v>2007</v>
      </c>
      <c r="J3030">
        <v>0.08</v>
      </c>
      <c r="K3030" t="s">
        <v>101</v>
      </c>
      <c r="M3030">
        <v>1.68</v>
      </c>
      <c r="N3030" t="s">
        <v>128</v>
      </c>
      <c r="O3030" t="s">
        <v>221</v>
      </c>
      <c r="P3030" t="s">
        <v>224</v>
      </c>
      <c r="Q3030" s="1" t="s">
        <v>2276</v>
      </c>
      <c r="R3030" s="1" t="s">
        <v>751</v>
      </c>
      <c r="S3030" s="1" t="s">
        <v>2346</v>
      </c>
      <c r="T3030" t="s">
        <v>396</v>
      </c>
      <c r="U3030" s="1" t="s">
        <v>264</v>
      </c>
      <c r="V3030" t="s">
        <v>194</v>
      </c>
      <c r="W3030" s="1" t="s">
        <v>224</v>
      </c>
      <c r="X3030" t="s">
        <v>161</v>
      </c>
      <c r="Y3030" t="s">
        <v>2272</v>
      </c>
      <c r="Z3030" t="s">
        <v>2272</v>
      </c>
      <c r="AA3030" t="s">
        <v>2272</v>
      </c>
      <c r="AB3030" t="s">
        <v>2272</v>
      </c>
      <c r="AC3030" t="s">
        <v>162</v>
      </c>
      <c r="AD3030" t="s">
        <v>2272</v>
      </c>
      <c r="AF3030" t="s">
        <v>49</v>
      </c>
      <c r="AL3030" t="s">
        <v>49</v>
      </c>
      <c r="AM3030" t="s">
        <v>1703</v>
      </c>
      <c r="AN3030" t="s">
        <v>166</v>
      </c>
      <c r="AQ3030" s="5">
        <v>0</v>
      </c>
    </row>
    <row r="3031" spans="1:44" x14ac:dyDescent="0.2">
      <c r="A3031" t="s">
        <v>1702</v>
      </c>
      <c r="B3031" t="s">
        <v>1170</v>
      </c>
      <c r="C3031">
        <v>2012</v>
      </c>
      <c r="D3031" t="s">
        <v>44</v>
      </c>
      <c r="F3031" t="s">
        <v>81</v>
      </c>
      <c r="G3031" s="1" t="s">
        <v>86</v>
      </c>
      <c r="H3031" t="s">
        <v>350</v>
      </c>
      <c r="I3031">
        <v>2007</v>
      </c>
      <c r="J3031">
        <v>0.08</v>
      </c>
      <c r="K3031" t="s">
        <v>101</v>
      </c>
      <c r="M3031">
        <v>1.68</v>
      </c>
      <c r="N3031" t="s">
        <v>121</v>
      </c>
      <c r="O3031" t="s">
        <v>121</v>
      </c>
      <c r="P3031" t="s">
        <v>286</v>
      </c>
      <c r="Q3031" s="1" t="s">
        <v>2292</v>
      </c>
      <c r="R3031" s="1" t="s">
        <v>264</v>
      </c>
      <c r="S3031" s="1" t="s">
        <v>264</v>
      </c>
      <c r="T3031" t="s">
        <v>396</v>
      </c>
      <c r="U3031" s="1" t="s">
        <v>2346</v>
      </c>
      <c r="V3031" t="s">
        <v>194</v>
      </c>
      <c r="W3031" s="1" t="s">
        <v>224</v>
      </c>
      <c r="X3031" t="s">
        <v>161</v>
      </c>
      <c r="Y3031" t="s">
        <v>2272</v>
      </c>
      <c r="Z3031" t="s">
        <v>2272</v>
      </c>
      <c r="AA3031" t="s">
        <v>2272</v>
      </c>
      <c r="AB3031" t="s">
        <v>2272</v>
      </c>
      <c r="AC3031" t="s">
        <v>162</v>
      </c>
      <c r="AD3031" t="s">
        <v>2272</v>
      </c>
      <c r="AF3031" t="s">
        <v>49</v>
      </c>
      <c r="AL3031" t="s">
        <v>49</v>
      </c>
      <c r="AM3031" t="s">
        <v>1703</v>
      </c>
      <c r="AN3031" t="s">
        <v>166</v>
      </c>
      <c r="AQ3031" s="5">
        <v>0</v>
      </c>
    </row>
    <row r="3032" spans="1:44" x14ac:dyDescent="0.2">
      <c r="A3032" t="s">
        <v>1702</v>
      </c>
      <c r="B3032" t="s">
        <v>1170</v>
      </c>
      <c r="C3032">
        <v>2012</v>
      </c>
      <c r="D3032" t="s">
        <v>44</v>
      </c>
      <c r="F3032" t="s">
        <v>81</v>
      </c>
      <c r="G3032" s="1" t="s">
        <v>86</v>
      </c>
      <c r="H3032" t="s">
        <v>350</v>
      </c>
      <c r="I3032">
        <v>2007</v>
      </c>
      <c r="J3032">
        <v>0.08</v>
      </c>
      <c r="K3032" t="s">
        <v>101</v>
      </c>
      <c r="M3032">
        <v>1.68</v>
      </c>
      <c r="N3032" t="s">
        <v>128</v>
      </c>
      <c r="O3032" t="s">
        <v>221</v>
      </c>
      <c r="P3032" t="s">
        <v>224</v>
      </c>
      <c r="Q3032" s="1" t="s">
        <v>2276</v>
      </c>
      <c r="R3032" s="1" t="s">
        <v>751</v>
      </c>
      <c r="S3032" s="1" t="s">
        <v>2346</v>
      </c>
      <c r="T3032" t="s">
        <v>421</v>
      </c>
      <c r="U3032" t="s">
        <v>421</v>
      </c>
      <c r="V3032" t="s">
        <v>194</v>
      </c>
      <c r="W3032" s="1" t="s">
        <v>224</v>
      </c>
      <c r="X3032" t="s">
        <v>161</v>
      </c>
      <c r="Y3032" t="s">
        <v>2272</v>
      </c>
      <c r="Z3032" t="s">
        <v>2272</v>
      </c>
      <c r="AA3032" t="s">
        <v>2272</v>
      </c>
      <c r="AB3032" t="s">
        <v>2272</v>
      </c>
      <c r="AC3032" t="s">
        <v>162</v>
      </c>
      <c r="AD3032" t="s">
        <v>2272</v>
      </c>
      <c r="AF3032" t="s">
        <v>49</v>
      </c>
      <c r="AL3032" t="s">
        <v>49</v>
      </c>
      <c r="AM3032" t="s">
        <v>1703</v>
      </c>
      <c r="AN3032" t="s">
        <v>166</v>
      </c>
      <c r="AQ3032" s="5">
        <v>1</v>
      </c>
    </row>
    <row r="3033" spans="1:44" x14ac:dyDescent="0.2">
      <c r="A3033" t="s">
        <v>1702</v>
      </c>
      <c r="B3033" t="s">
        <v>1170</v>
      </c>
      <c r="C3033">
        <v>2012</v>
      </c>
      <c r="D3033" t="s">
        <v>44</v>
      </c>
      <c r="F3033" t="s">
        <v>81</v>
      </c>
      <c r="G3033" s="1" t="s">
        <v>86</v>
      </c>
      <c r="H3033" t="s">
        <v>350</v>
      </c>
      <c r="I3033">
        <v>2007</v>
      </c>
      <c r="J3033">
        <v>0.08</v>
      </c>
      <c r="K3033" t="s">
        <v>101</v>
      </c>
      <c r="M3033">
        <v>1.68</v>
      </c>
      <c r="N3033" t="s">
        <v>121</v>
      </c>
      <c r="O3033" t="s">
        <v>121</v>
      </c>
      <c r="P3033" t="s">
        <v>286</v>
      </c>
      <c r="Q3033" s="1" t="s">
        <v>2292</v>
      </c>
      <c r="R3033" s="1" t="s">
        <v>264</v>
      </c>
      <c r="S3033" s="1" t="s">
        <v>264</v>
      </c>
      <c r="T3033" t="s">
        <v>421</v>
      </c>
      <c r="U3033" t="s">
        <v>421</v>
      </c>
      <c r="V3033" t="s">
        <v>194</v>
      </c>
      <c r="W3033" s="1" t="s">
        <v>224</v>
      </c>
      <c r="X3033" t="s">
        <v>161</v>
      </c>
      <c r="Y3033" t="s">
        <v>2272</v>
      </c>
      <c r="Z3033" t="s">
        <v>2272</v>
      </c>
      <c r="AA3033" t="s">
        <v>2272</v>
      </c>
      <c r="AB3033" t="s">
        <v>2272</v>
      </c>
      <c r="AC3033" t="s">
        <v>162</v>
      </c>
      <c r="AD3033" t="s">
        <v>2272</v>
      </c>
      <c r="AF3033" t="s">
        <v>49</v>
      </c>
      <c r="AL3033" t="s">
        <v>49</v>
      </c>
      <c r="AM3033" t="s">
        <v>1703</v>
      </c>
      <c r="AN3033" t="s">
        <v>166</v>
      </c>
      <c r="AQ3033" s="5">
        <v>1</v>
      </c>
    </row>
    <row r="3034" spans="1:44" x14ac:dyDescent="0.2">
      <c r="A3034" t="s">
        <v>1702</v>
      </c>
      <c r="B3034" t="s">
        <v>1170</v>
      </c>
      <c r="C3034">
        <v>2012</v>
      </c>
      <c r="D3034" t="s">
        <v>44</v>
      </c>
      <c r="F3034" t="s">
        <v>81</v>
      </c>
      <c r="G3034" s="1" t="s">
        <v>86</v>
      </c>
      <c r="H3034" t="s">
        <v>350</v>
      </c>
      <c r="I3034">
        <v>2007</v>
      </c>
      <c r="J3034">
        <v>0.08</v>
      </c>
      <c r="K3034" t="s">
        <v>101</v>
      </c>
      <c r="M3034">
        <v>1.68</v>
      </c>
      <c r="N3034" t="s">
        <v>128</v>
      </c>
      <c r="O3034" t="s">
        <v>221</v>
      </c>
      <c r="P3034" t="s">
        <v>224</v>
      </c>
      <c r="Q3034" s="1" t="s">
        <v>2276</v>
      </c>
      <c r="R3034" s="1" t="s">
        <v>751</v>
      </c>
      <c r="S3034" s="1" t="s">
        <v>2346</v>
      </c>
      <c r="T3034" t="s">
        <v>396</v>
      </c>
      <c r="U3034" s="1" t="s">
        <v>264</v>
      </c>
      <c r="V3034" t="s">
        <v>194</v>
      </c>
      <c r="W3034" s="1" t="s">
        <v>224</v>
      </c>
      <c r="X3034" t="s">
        <v>161</v>
      </c>
      <c r="Y3034" t="s">
        <v>2272</v>
      </c>
      <c r="Z3034" t="s">
        <v>2272</v>
      </c>
      <c r="AA3034" t="s">
        <v>2272</v>
      </c>
      <c r="AB3034" t="s">
        <v>2272</v>
      </c>
      <c r="AC3034" t="s">
        <v>162</v>
      </c>
      <c r="AD3034" t="s">
        <v>2272</v>
      </c>
      <c r="AF3034" t="s">
        <v>49</v>
      </c>
      <c r="AL3034" t="s">
        <v>49</v>
      </c>
      <c r="AM3034" t="s">
        <v>1703</v>
      </c>
      <c r="AN3034" t="s">
        <v>109</v>
      </c>
      <c r="AO3034" t="s">
        <v>150</v>
      </c>
    </row>
    <row r="3035" spans="1:44" x14ac:dyDescent="0.2">
      <c r="A3035" t="s">
        <v>1702</v>
      </c>
      <c r="B3035" t="s">
        <v>1170</v>
      </c>
      <c r="C3035">
        <v>2012</v>
      </c>
      <c r="D3035" t="s">
        <v>44</v>
      </c>
      <c r="F3035" t="s">
        <v>81</v>
      </c>
      <c r="G3035" s="1" t="s">
        <v>86</v>
      </c>
      <c r="H3035" t="s">
        <v>350</v>
      </c>
      <c r="I3035">
        <v>2007</v>
      </c>
      <c r="J3035">
        <v>0.08</v>
      </c>
      <c r="K3035" t="s">
        <v>101</v>
      </c>
      <c r="M3035">
        <v>1.68</v>
      </c>
      <c r="N3035" t="s">
        <v>121</v>
      </c>
      <c r="O3035" t="s">
        <v>121</v>
      </c>
      <c r="P3035" t="s">
        <v>286</v>
      </c>
      <c r="Q3035" s="1" t="s">
        <v>2292</v>
      </c>
      <c r="R3035" s="1" t="s">
        <v>264</v>
      </c>
      <c r="S3035" s="1" t="s">
        <v>264</v>
      </c>
      <c r="T3035" t="s">
        <v>396</v>
      </c>
      <c r="U3035" s="1" t="s">
        <v>2346</v>
      </c>
      <c r="V3035" t="s">
        <v>194</v>
      </c>
      <c r="W3035" s="1" t="s">
        <v>224</v>
      </c>
      <c r="X3035" t="s">
        <v>161</v>
      </c>
      <c r="Y3035" t="s">
        <v>2272</v>
      </c>
      <c r="Z3035" t="s">
        <v>2272</v>
      </c>
      <c r="AA3035" t="s">
        <v>2272</v>
      </c>
      <c r="AB3035" t="s">
        <v>2272</v>
      </c>
      <c r="AC3035" t="s">
        <v>162</v>
      </c>
      <c r="AD3035" t="s">
        <v>2272</v>
      </c>
      <c r="AF3035" t="s">
        <v>49</v>
      </c>
      <c r="AL3035" t="s">
        <v>49</v>
      </c>
      <c r="AM3035" t="s">
        <v>1703</v>
      </c>
      <c r="AN3035" t="s">
        <v>109</v>
      </c>
      <c r="AO3035" t="s">
        <v>150</v>
      </c>
    </row>
    <row r="3036" spans="1:44" x14ac:dyDescent="0.2">
      <c r="A3036" t="s">
        <v>1702</v>
      </c>
      <c r="B3036" t="s">
        <v>1170</v>
      </c>
      <c r="C3036">
        <v>2012</v>
      </c>
      <c r="D3036" t="s">
        <v>811</v>
      </c>
      <c r="F3036" t="s">
        <v>81</v>
      </c>
      <c r="G3036" s="1" t="s">
        <v>86</v>
      </c>
      <c r="H3036" t="s">
        <v>350</v>
      </c>
      <c r="J3036">
        <v>2.7000000000000001E-3</v>
      </c>
      <c r="K3036" t="s">
        <v>109</v>
      </c>
      <c r="N3036" t="s">
        <v>128</v>
      </c>
      <c r="O3036" t="s">
        <v>221</v>
      </c>
      <c r="P3036" t="s">
        <v>224</v>
      </c>
      <c r="Q3036" s="1" t="s">
        <v>2276</v>
      </c>
      <c r="R3036" s="1" t="s">
        <v>751</v>
      </c>
      <c r="S3036" s="1" t="s">
        <v>2346</v>
      </c>
      <c r="T3036" t="s">
        <v>396</v>
      </c>
      <c r="U3036" s="1" t="s">
        <v>264</v>
      </c>
      <c r="V3036" t="s">
        <v>194</v>
      </c>
      <c r="W3036" s="1" t="s">
        <v>224</v>
      </c>
      <c r="X3036" t="s">
        <v>161</v>
      </c>
      <c r="Y3036" t="s">
        <v>2272</v>
      </c>
      <c r="Z3036" t="s">
        <v>2272</v>
      </c>
      <c r="AA3036" t="s">
        <v>2272</v>
      </c>
      <c r="AB3036" t="s">
        <v>2272</v>
      </c>
      <c r="AC3036" t="s">
        <v>162</v>
      </c>
      <c r="AD3036" t="s">
        <v>2272</v>
      </c>
      <c r="AF3036" t="s">
        <v>49</v>
      </c>
      <c r="AL3036" t="s">
        <v>49</v>
      </c>
      <c r="AM3036" t="s">
        <v>1703</v>
      </c>
      <c r="AN3036" t="s">
        <v>109</v>
      </c>
      <c r="AO3036" t="s">
        <v>855</v>
      </c>
    </row>
    <row r="3037" spans="1:44" x14ac:dyDescent="0.2">
      <c r="A3037" t="s">
        <v>1702</v>
      </c>
      <c r="B3037" t="s">
        <v>1170</v>
      </c>
      <c r="C3037">
        <v>2012</v>
      </c>
      <c r="D3037" t="s">
        <v>811</v>
      </c>
      <c r="F3037" t="s">
        <v>81</v>
      </c>
      <c r="G3037" s="1" t="s">
        <v>86</v>
      </c>
      <c r="H3037" t="s">
        <v>350</v>
      </c>
      <c r="J3037">
        <v>2.7000000000000001E-3</v>
      </c>
      <c r="K3037" t="s">
        <v>109</v>
      </c>
      <c r="N3037" t="s">
        <v>121</v>
      </c>
      <c r="O3037" t="s">
        <v>121</v>
      </c>
      <c r="P3037" t="s">
        <v>286</v>
      </c>
      <c r="Q3037" s="1" t="s">
        <v>2292</v>
      </c>
      <c r="R3037" s="1" t="s">
        <v>264</v>
      </c>
      <c r="S3037" s="1" t="s">
        <v>264</v>
      </c>
      <c r="T3037" t="s">
        <v>396</v>
      </c>
      <c r="U3037" s="1" t="s">
        <v>2346</v>
      </c>
      <c r="V3037" t="s">
        <v>194</v>
      </c>
      <c r="W3037" s="1" t="s">
        <v>224</v>
      </c>
      <c r="X3037" t="s">
        <v>161</v>
      </c>
      <c r="Y3037" t="s">
        <v>2272</v>
      </c>
      <c r="Z3037" t="s">
        <v>2272</v>
      </c>
      <c r="AA3037" t="s">
        <v>2272</v>
      </c>
      <c r="AB3037" t="s">
        <v>2272</v>
      </c>
      <c r="AC3037" t="s">
        <v>162</v>
      </c>
      <c r="AD3037" t="s">
        <v>2272</v>
      </c>
      <c r="AF3037" t="s">
        <v>49</v>
      </c>
      <c r="AL3037" t="s">
        <v>49</v>
      </c>
      <c r="AM3037" t="s">
        <v>1703</v>
      </c>
      <c r="AN3037" t="s">
        <v>109</v>
      </c>
      <c r="AO3037" t="s">
        <v>855</v>
      </c>
    </row>
    <row r="3038" spans="1:44" x14ac:dyDescent="0.2">
      <c r="A3038" t="s">
        <v>1702</v>
      </c>
      <c r="B3038" t="s">
        <v>1170</v>
      </c>
      <c r="C3038">
        <v>2012</v>
      </c>
      <c r="D3038" t="s">
        <v>811</v>
      </c>
      <c r="F3038" t="s">
        <v>81</v>
      </c>
      <c r="G3038" s="1" t="s">
        <v>86</v>
      </c>
      <c r="H3038" t="s">
        <v>350</v>
      </c>
      <c r="J3038">
        <v>2.7000000000000001E-3</v>
      </c>
      <c r="K3038" t="s">
        <v>109</v>
      </c>
      <c r="N3038" t="s">
        <v>128</v>
      </c>
      <c r="O3038" t="s">
        <v>221</v>
      </c>
      <c r="P3038" t="s">
        <v>224</v>
      </c>
      <c r="Q3038" s="1" t="s">
        <v>2276</v>
      </c>
      <c r="R3038" s="1" t="s">
        <v>751</v>
      </c>
      <c r="S3038" s="1" t="s">
        <v>2346</v>
      </c>
      <c r="T3038" t="s">
        <v>421</v>
      </c>
      <c r="U3038" t="s">
        <v>421</v>
      </c>
      <c r="V3038" t="s">
        <v>194</v>
      </c>
      <c r="W3038" s="1" t="s">
        <v>224</v>
      </c>
      <c r="X3038" t="s">
        <v>161</v>
      </c>
      <c r="Y3038" t="s">
        <v>2272</v>
      </c>
      <c r="Z3038" t="s">
        <v>2272</v>
      </c>
      <c r="AA3038" t="s">
        <v>2272</v>
      </c>
      <c r="AB3038" t="s">
        <v>2272</v>
      </c>
      <c r="AC3038" t="s">
        <v>162</v>
      </c>
      <c r="AD3038" t="s">
        <v>2272</v>
      </c>
      <c r="AF3038" t="s">
        <v>49</v>
      </c>
      <c r="AL3038" t="s">
        <v>49</v>
      </c>
      <c r="AM3038" t="s">
        <v>1703</v>
      </c>
      <c r="AN3038" t="s">
        <v>109</v>
      </c>
      <c r="AO3038" t="s">
        <v>855</v>
      </c>
    </row>
    <row r="3039" spans="1:44" x14ac:dyDescent="0.2">
      <c r="A3039" t="s">
        <v>1702</v>
      </c>
      <c r="B3039" t="s">
        <v>1170</v>
      </c>
      <c r="C3039">
        <v>2012</v>
      </c>
      <c r="D3039" t="s">
        <v>811</v>
      </c>
      <c r="F3039" t="s">
        <v>81</v>
      </c>
      <c r="G3039" s="1" t="s">
        <v>86</v>
      </c>
      <c r="H3039" t="s">
        <v>350</v>
      </c>
      <c r="J3039">
        <v>2.7000000000000001E-3</v>
      </c>
      <c r="K3039" t="s">
        <v>109</v>
      </c>
      <c r="N3039" t="s">
        <v>121</v>
      </c>
      <c r="O3039" t="s">
        <v>121</v>
      </c>
      <c r="P3039" t="s">
        <v>286</v>
      </c>
      <c r="Q3039" s="1" t="s">
        <v>2292</v>
      </c>
      <c r="R3039" s="1" t="s">
        <v>264</v>
      </c>
      <c r="S3039" s="1" t="s">
        <v>264</v>
      </c>
      <c r="T3039" t="s">
        <v>421</v>
      </c>
      <c r="U3039" t="s">
        <v>421</v>
      </c>
      <c r="V3039" t="s">
        <v>194</v>
      </c>
      <c r="W3039" s="1" t="s">
        <v>224</v>
      </c>
      <c r="X3039" t="s">
        <v>161</v>
      </c>
      <c r="Y3039" t="s">
        <v>2272</v>
      </c>
      <c r="Z3039" t="s">
        <v>2272</v>
      </c>
      <c r="AA3039" t="s">
        <v>2272</v>
      </c>
      <c r="AB3039" t="s">
        <v>2272</v>
      </c>
      <c r="AC3039" t="s">
        <v>162</v>
      </c>
      <c r="AD3039" t="s">
        <v>2272</v>
      </c>
      <c r="AF3039" t="s">
        <v>49</v>
      </c>
      <c r="AL3039" t="s">
        <v>49</v>
      </c>
      <c r="AM3039" t="s">
        <v>1703</v>
      </c>
      <c r="AN3039" t="s">
        <v>109</v>
      </c>
      <c r="AO3039" t="s">
        <v>855</v>
      </c>
    </row>
    <row r="3040" spans="1:44" x14ac:dyDescent="0.2">
      <c r="A3040" t="s">
        <v>1704</v>
      </c>
      <c r="B3040" t="s">
        <v>1705</v>
      </c>
      <c r="C3040">
        <v>2012</v>
      </c>
      <c r="D3040" t="s">
        <v>44</v>
      </c>
      <c r="F3040" t="s">
        <v>81</v>
      </c>
      <c r="G3040" s="1" t="s">
        <v>86</v>
      </c>
      <c r="H3040" t="s">
        <v>350</v>
      </c>
      <c r="I3040" t="s">
        <v>1481</v>
      </c>
      <c r="J3040">
        <f t="shared" ref="J3040:J3053" si="70">15/12</f>
        <v>1.25</v>
      </c>
      <c r="K3040" t="s">
        <v>104</v>
      </c>
      <c r="L3040">
        <v>0.35</v>
      </c>
      <c r="M3040">
        <v>0.25</v>
      </c>
      <c r="N3040" t="s">
        <v>128</v>
      </c>
      <c r="O3040" t="s">
        <v>459</v>
      </c>
      <c r="P3040" t="s">
        <v>1706</v>
      </c>
      <c r="Q3040" s="1" t="s">
        <v>2276</v>
      </c>
      <c r="R3040" s="1" t="s">
        <v>751</v>
      </c>
      <c r="S3040" s="1" t="s">
        <v>2353</v>
      </c>
      <c r="T3040" t="s">
        <v>396</v>
      </c>
      <c r="U3040" s="1" t="s">
        <v>2346</v>
      </c>
      <c r="V3040" t="s">
        <v>194</v>
      </c>
      <c r="W3040" t="s">
        <v>1706</v>
      </c>
      <c r="X3040" t="s">
        <v>161</v>
      </c>
      <c r="Y3040" t="s">
        <v>2272</v>
      </c>
      <c r="Z3040" t="s">
        <v>2272</v>
      </c>
      <c r="AA3040" t="s">
        <v>2272</v>
      </c>
      <c r="AB3040" t="s">
        <v>2272</v>
      </c>
      <c r="AC3040" t="s">
        <v>162</v>
      </c>
      <c r="AD3040" t="s">
        <v>2272</v>
      </c>
      <c r="AF3040" t="s">
        <v>49</v>
      </c>
      <c r="AI3040" t="s">
        <v>49</v>
      </c>
      <c r="AM3040" t="s">
        <v>201</v>
      </c>
      <c r="AN3040" t="s">
        <v>154</v>
      </c>
      <c r="AQ3040" s="5">
        <v>2</v>
      </c>
      <c r="AR3040">
        <v>1</v>
      </c>
    </row>
    <row r="3041" spans="1:45" x14ac:dyDescent="0.2">
      <c r="A3041" t="s">
        <v>1704</v>
      </c>
      <c r="B3041" t="s">
        <v>1705</v>
      </c>
      <c r="C3041">
        <v>2012</v>
      </c>
      <c r="D3041" t="s">
        <v>44</v>
      </c>
      <c r="F3041" t="s">
        <v>81</v>
      </c>
      <c r="G3041" s="1" t="s">
        <v>86</v>
      </c>
      <c r="H3041" t="s">
        <v>350</v>
      </c>
      <c r="I3041" t="s">
        <v>1481</v>
      </c>
      <c r="J3041">
        <f t="shared" si="70"/>
        <v>1.25</v>
      </c>
      <c r="K3041" t="s">
        <v>104</v>
      </c>
      <c r="L3041">
        <v>0.35</v>
      </c>
      <c r="M3041">
        <v>0.25</v>
      </c>
      <c r="N3041" t="s">
        <v>128</v>
      </c>
      <c r="O3041" t="s">
        <v>751</v>
      </c>
      <c r="P3041" t="s">
        <v>1007</v>
      </c>
      <c r="Q3041" s="1" t="s">
        <v>2276</v>
      </c>
      <c r="R3041" s="1" t="s">
        <v>751</v>
      </c>
      <c r="S3041" s="1" t="s">
        <v>2346</v>
      </c>
      <c r="T3041" t="s">
        <v>396</v>
      </c>
      <c r="U3041" s="1" t="s">
        <v>2353</v>
      </c>
      <c r="V3041" t="s">
        <v>194</v>
      </c>
      <c r="W3041" t="s">
        <v>1706</v>
      </c>
      <c r="X3041" t="s">
        <v>161</v>
      </c>
      <c r="Y3041" t="s">
        <v>2272</v>
      </c>
      <c r="Z3041" t="s">
        <v>2272</v>
      </c>
      <c r="AA3041" t="s">
        <v>2272</v>
      </c>
      <c r="AB3041" t="s">
        <v>2272</v>
      </c>
      <c r="AC3041" t="s">
        <v>162</v>
      </c>
      <c r="AD3041" t="s">
        <v>2272</v>
      </c>
      <c r="AF3041" t="s">
        <v>49</v>
      </c>
      <c r="AI3041" t="s">
        <v>49</v>
      </c>
      <c r="AM3041" t="s">
        <v>201</v>
      </c>
      <c r="AN3041" t="s">
        <v>154</v>
      </c>
      <c r="AQ3041" s="5">
        <v>1</v>
      </c>
      <c r="AR3041">
        <v>1</v>
      </c>
    </row>
    <row r="3042" spans="1:45" x14ac:dyDescent="0.2">
      <c r="A3042" t="s">
        <v>1704</v>
      </c>
      <c r="B3042" t="s">
        <v>1705</v>
      </c>
      <c r="C3042">
        <v>2012</v>
      </c>
      <c r="D3042" t="s">
        <v>44</v>
      </c>
      <c r="F3042" t="s">
        <v>81</v>
      </c>
      <c r="G3042" s="1" t="s">
        <v>86</v>
      </c>
      <c r="H3042" t="s">
        <v>350</v>
      </c>
      <c r="I3042" t="s">
        <v>1481</v>
      </c>
      <c r="J3042">
        <f t="shared" si="70"/>
        <v>1.25</v>
      </c>
      <c r="K3042" t="s">
        <v>104</v>
      </c>
      <c r="L3042">
        <v>0.35</v>
      </c>
      <c r="M3042">
        <v>0.25</v>
      </c>
      <c r="N3042" t="s">
        <v>128</v>
      </c>
      <c r="O3042" t="s">
        <v>459</v>
      </c>
      <c r="P3042" t="s">
        <v>1706</v>
      </c>
      <c r="Q3042" s="1" t="s">
        <v>2276</v>
      </c>
      <c r="R3042" s="1" t="s">
        <v>751</v>
      </c>
      <c r="S3042" s="1" t="s">
        <v>2353</v>
      </c>
      <c r="T3042" t="s">
        <v>396</v>
      </c>
      <c r="U3042" s="1" t="s">
        <v>2346</v>
      </c>
      <c r="V3042" t="s">
        <v>194</v>
      </c>
      <c r="W3042" t="s">
        <v>1706</v>
      </c>
      <c r="X3042" t="s">
        <v>161</v>
      </c>
      <c r="Y3042" t="s">
        <v>2272</v>
      </c>
      <c r="Z3042" t="s">
        <v>2272</v>
      </c>
      <c r="AA3042" t="s">
        <v>2272</v>
      </c>
      <c r="AB3042" t="s">
        <v>2272</v>
      </c>
      <c r="AC3042" t="s">
        <v>162</v>
      </c>
      <c r="AD3042" t="s">
        <v>2272</v>
      </c>
      <c r="AF3042" t="s">
        <v>49</v>
      </c>
      <c r="AI3042" t="s">
        <v>49</v>
      </c>
      <c r="AM3042" t="s">
        <v>201</v>
      </c>
      <c r="AN3042" t="s">
        <v>166</v>
      </c>
      <c r="AQ3042" s="5">
        <v>2</v>
      </c>
      <c r="AR3042">
        <v>1</v>
      </c>
    </row>
    <row r="3043" spans="1:45" x14ac:dyDescent="0.2">
      <c r="A3043" t="s">
        <v>1704</v>
      </c>
      <c r="B3043" t="s">
        <v>1705</v>
      </c>
      <c r="C3043">
        <v>2012</v>
      </c>
      <c r="D3043" t="s">
        <v>44</v>
      </c>
      <c r="F3043" t="s">
        <v>81</v>
      </c>
      <c r="G3043" s="1" t="s">
        <v>86</v>
      </c>
      <c r="H3043" t="s">
        <v>350</v>
      </c>
      <c r="I3043" t="s">
        <v>1481</v>
      </c>
      <c r="J3043">
        <f t="shared" si="70"/>
        <v>1.25</v>
      </c>
      <c r="K3043" t="s">
        <v>104</v>
      </c>
      <c r="L3043">
        <v>0.35</v>
      </c>
      <c r="M3043">
        <v>0.25</v>
      </c>
      <c r="N3043" t="s">
        <v>128</v>
      </c>
      <c r="O3043" t="s">
        <v>751</v>
      </c>
      <c r="P3043" t="s">
        <v>1007</v>
      </c>
      <c r="Q3043" s="1" t="s">
        <v>2276</v>
      </c>
      <c r="R3043" s="1" t="s">
        <v>751</v>
      </c>
      <c r="S3043" s="1" t="s">
        <v>2346</v>
      </c>
      <c r="T3043" t="s">
        <v>396</v>
      </c>
      <c r="U3043" s="1" t="s">
        <v>2353</v>
      </c>
      <c r="V3043" t="s">
        <v>194</v>
      </c>
      <c r="W3043" t="s">
        <v>1706</v>
      </c>
      <c r="X3043" t="s">
        <v>161</v>
      </c>
      <c r="Y3043" t="s">
        <v>2272</v>
      </c>
      <c r="Z3043" t="s">
        <v>2272</v>
      </c>
      <c r="AA3043" t="s">
        <v>2272</v>
      </c>
      <c r="AB3043" t="s">
        <v>2272</v>
      </c>
      <c r="AC3043" t="s">
        <v>162</v>
      </c>
      <c r="AD3043" t="s">
        <v>2272</v>
      </c>
      <c r="AF3043" t="s">
        <v>49</v>
      </c>
      <c r="AI3043" t="s">
        <v>49</v>
      </c>
      <c r="AM3043" t="s">
        <v>201</v>
      </c>
      <c r="AN3043" t="s">
        <v>166</v>
      </c>
      <c r="AQ3043" s="5">
        <v>1</v>
      </c>
      <c r="AR3043">
        <v>1</v>
      </c>
    </row>
    <row r="3044" spans="1:45" x14ac:dyDescent="0.2">
      <c r="A3044" t="s">
        <v>1704</v>
      </c>
      <c r="B3044" t="s">
        <v>1705</v>
      </c>
      <c r="C3044">
        <v>2012</v>
      </c>
      <c r="D3044" t="s">
        <v>44</v>
      </c>
      <c r="F3044" t="s">
        <v>81</v>
      </c>
      <c r="G3044" s="1" t="s">
        <v>86</v>
      </c>
      <c r="H3044" t="s">
        <v>350</v>
      </c>
      <c r="I3044" t="s">
        <v>1481</v>
      </c>
      <c r="J3044">
        <f t="shared" si="70"/>
        <v>1.25</v>
      </c>
      <c r="K3044" t="s">
        <v>104</v>
      </c>
      <c r="L3044">
        <v>0.35</v>
      </c>
      <c r="M3044">
        <v>0.25</v>
      </c>
      <c r="N3044" t="s">
        <v>128</v>
      </c>
      <c r="O3044" t="s">
        <v>459</v>
      </c>
      <c r="P3044" t="s">
        <v>1706</v>
      </c>
      <c r="Q3044" s="1" t="s">
        <v>2276</v>
      </c>
      <c r="R3044" s="1" t="s">
        <v>751</v>
      </c>
      <c r="S3044" s="1" t="s">
        <v>2353</v>
      </c>
      <c r="T3044" t="s">
        <v>396</v>
      </c>
      <c r="U3044" s="1" t="s">
        <v>2346</v>
      </c>
      <c r="V3044" t="s">
        <v>194</v>
      </c>
      <c r="W3044" t="s">
        <v>1706</v>
      </c>
      <c r="X3044" t="s">
        <v>161</v>
      </c>
      <c r="Y3044" t="s">
        <v>2272</v>
      </c>
      <c r="Z3044" t="s">
        <v>2272</v>
      </c>
      <c r="AA3044" t="s">
        <v>2272</v>
      </c>
      <c r="AB3044" t="s">
        <v>2272</v>
      </c>
      <c r="AC3044" t="s">
        <v>162</v>
      </c>
      <c r="AD3044" t="s">
        <v>2272</v>
      </c>
      <c r="AF3044" t="s">
        <v>49</v>
      </c>
      <c r="AI3044" t="s">
        <v>49</v>
      </c>
      <c r="AM3044" t="s">
        <v>2445</v>
      </c>
      <c r="AN3044" t="s">
        <v>166</v>
      </c>
      <c r="AQ3044" s="5">
        <v>2</v>
      </c>
      <c r="AR3044">
        <v>1</v>
      </c>
    </row>
    <row r="3045" spans="1:45" x14ac:dyDescent="0.2">
      <c r="A3045" t="s">
        <v>1704</v>
      </c>
      <c r="B3045" t="s">
        <v>1705</v>
      </c>
      <c r="C3045">
        <v>2012</v>
      </c>
      <c r="D3045" t="s">
        <v>44</v>
      </c>
      <c r="F3045" t="s">
        <v>81</v>
      </c>
      <c r="G3045" s="1" t="s">
        <v>86</v>
      </c>
      <c r="H3045" t="s">
        <v>350</v>
      </c>
      <c r="I3045" t="s">
        <v>1481</v>
      </c>
      <c r="J3045">
        <f t="shared" si="70"/>
        <v>1.25</v>
      </c>
      <c r="K3045" t="s">
        <v>104</v>
      </c>
      <c r="L3045">
        <v>0.35</v>
      </c>
      <c r="M3045">
        <v>0.25</v>
      </c>
      <c r="N3045" t="s">
        <v>128</v>
      </c>
      <c r="O3045" t="s">
        <v>751</v>
      </c>
      <c r="P3045" t="s">
        <v>1007</v>
      </c>
      <c r="Q3045" s="1" t="s">
        <v>2276</v>
      </c>
      <c r="R3045" s="1" t="s">
        <v>751</v>
      </c>
      <c r="S3045" s="1" t="s">
        <v>2346</v>
      </c>
      <c r="T3045" t="s">
        <v>396</v>
      </c>
      <c r="U3045" s="1" t="s">
        <v>2353</v>
      </c>
      <c r="V3045" t="s">
        <v>194</v>
      </c>
      <c r="W3045" t="s">
        <v>1706</v>
      </c>
      <c r="X3045" t="s">
        <v>161</v>
      </c>
      <c r="Y3045" t="s">
        <v>2272</v>
      </c>
      <c r="Z3045" t="s">
        <v>2272</v>
      </c>
      <c r="AA3045" t="s">
        <v>2272</v>
      </c>
      <c r="AB3045" t="s">
        <v>2272</v>
      </c>
      <c r="AC3045" t="s">
        <v>162</v>
      </c>
      <c r="AD3045" t="s">
        <v>2272</v>
      </c>
      <c r="AF3045" t="s">
        <v>49</v>
      </c>
      <c r="AI3045" t="s">
        <v>49</v>
      </c>
      <c r="AM3045" t="s">
        <v>2445</v>
      </c>
      <c r="AN3045" t="s">
        <v>166</v>
      </c>
      <c r="AQ3045" s="5">
        <v>1</v>
      </c>
      <c r="AR3045">
        <v>1</v>
      </c>
    </row>
    <row r="3046" spans="1:45" x14ac:dyDescent="0.2">
      <c r="A3046" t="s">
        <v>1704</v>
      </c>
      <c r="B3046" t="s">
        <v>1705</v>
      </c>
      <c r="C3046">
        <v>2012</v>
      </c>
      <c r="D3046" t="s">
        <v>44</v>
      </c>
      <c r="F3046" t="s">
        <v>81</v>
      </c>
      <c r="G3046" s="1" t="s">
        <v>86</v>
      </c>
      <c r="H3046" t="s">
        <v>350</v>
      </c>
      <c r="I3046" t="s">
        <v>1481</v>
      </c>
      <c r="J3046">
        <f t="shared" si="70"/>
        <v>1.25</v>
      </c>
      <c r="K3046" t="s">
        <v>104</v>
      </c>
      <c r="L3046">
        <v>0.35</v>
      </c>
      <c r="M3046">
        <v>0.25</v>
      </c>
      <c r="N3046" t="s">
        <v>128</v>
      </c>
      <c r="O3046" t="s">
        <v>459</v>
      </c>
      <c r="P3046" t="s">
        <v>1706</v>
      </c>
      <c r="Q3046" s="1" t="s">
        <v>2276</v>
      </c>
      <c r="R3046" s="1" t="s">
        <v>751</v>
      </c>
      <c r="S3046" s="1" t="s">
        <v>2353</v>
      </c>
      <c r="T3046" t="s">
        <v>396</v>
      </c>
      <c r="U3046" s="1" t="s">
        <v>2346</v>
      </c>
      <c r="V3046" t="s">
        <v>194</v>
      </c>
      <c r="W3046" t="s">
        <v>1706</v>
      </c>
      <c r="X3046" t="s">
        <v>161</v>
      </c>
      <c r="Y3046" t="s">
        <v>2272</v>
      </c>
      <c r="Z3046" t="s">
        <v>2272</v>
      </c>
      <c r="AA3046" t="s">
        <v>2272</v>
      </c>
      <c r="AB3046" t="s">
        <v>2272</v>
      </c>
      <c r="AC3046" t="s">
        <v>162</v>
      </c>
      <c r="AD3046" t="s">
        <v>2272</v>
      </c>
      <c r="AF3046" t="s">
        <v>49</v>
      </c>
      <c r="AI3046" t="s">
        <v>49</v>
      </c>
      <c r="AM3046" t="s">
        <v>2446</v>
      </c>
      <c r="AN3046" t="s">
        <v>166</v>
      </c>
      <c r="AQ3046" s="5">
        <v>2</v>
      </c>
      <c r="AR3046">
        <v>1</v>
      </c>
    </row>
    <row r="3047" spans="1:45" x14ac:dyDescent="0.2">
      <c r="A3047" t="s">
        <v>1704</v>
      </c>
      <c r="B3047" t="s">
        <v>1705</v>
      </c>
      <c r="C3047">
        <v>2012</v>
      </c>
      <c r="D3047" t="s">
        <v>44</v>
      </c>
      <c r="F3047" t="s">
        <v>81</v>
      </c>
      <c r="G3047" s="1" t="s">
        <v>86</v>
      </c>
      <c r="H3047" t="s">
        <v>350</v>
      </c>
      <c r="I3047" t="s">
        <v>1481</v>
      </c>
      <c r="J3047">
        <f t="shared" si="70"/>
        <v>1.25</v>
      </c>
      <c r="K3047" t="s">
        <v>104</v>
      </c>
      <c r="L3047">
        <v>0.35</v>
      </c>
      <c r="M3047">
        <v>0.25</v>
      </c>
      <c r="N3047" t="s">
        <v>128</v>
      </c>
      <c r="O3047" t="s">
        <v>751</v>
      </c>
      <c r="P3047" t="s">
        <v>1007</v>
      </c>
      <c r="Q3047" s="1" t="s">
        <v>2276</v>
      </c>
      <c r="R3047" s="1" t="s">
        <v>751</v>
      </c>
      <c r="S3047" s="1" t="s">
        <v>2346</v>
      </c>
      <c r="T3047" t="s">
        <v>396</v>
      </c>
      <c r="U3047" s="1" t="s">
        <v>2353</v>
      </c>
      <c r="V3047" t="s">
        <v>194</v>
      </c>
      <c r="W3047" t="s">
        <v>1706</v>
      </c>
      <c r="X3047" t="s">
        <v>161</v>
      </c>
      <c r="Y3047" t="s">
        <v>2272</v>
      </c>
      <c r="Z3047" t="s">
        <v>2272</v>
      </c>
      <c r="AA3047" t="s">
        <v>2272</v>
      </c>
      <c r="AB3047" t="s">
        <v>2272</v>
      </c>
      <c r="AC3047" t="s">
        <v>162</v>
      </c>
      <c r="AD3047" t="s">
        <v>2272</v>
      </c>
      <c r="AF3047" t="s">
        <v>49</v>
      </c>
      <c r="AI3047" t="s">
        <v>49</v>
      </c>
      <c r="AM3047" t="s">
        <v>2446</v>
      </c>
      <c r="AN3047" t="s">
        <v>166</v>
      </c>
      <c r="AQ3047" s="5">
        <v>1</v>
      </c>
      <c r="AR3047">
        <v>1</v>
      </c>
    </row>
    <row r="3048" spans="1:45" x14ac:dyDescent="0.2">
      <c r="A3048" t="s">
        <v>1704</v>
      </c>
      <c r="B3048" t="s">
        <v>1705</v>
      </c>
      <c r="C3048">
        <v>2012</v>
      </c>
      <c r="D3048" t="s">
        <v>44</v>
      </c>
      <c r="F3048" t="s">
        <v>81</v>
      </c>
      <c r="G3048" s="1" t="s">
        <v>86</v>
      </c>
      <c r="H3048" t="s">
        <v>350</v>
      </c>
      <c r="I3048" t="s">
        <v>1481</v>
      </c>
      <c r="J3048">
        <f t="shared" si="70"/>
        <v>1.25</v>
      </c>
      <c r="K3048" t="s">
        <v>104</v>
      </c>
      <c r="L3048">
        <v>0.35</v>
      </c>
      <c r="M3048">
        <v>0.25</v>
      </c>
      <c r="N3048" t="s">
        <v>128</v>
      </c>
      <c r="O3048" t="s">
        <v>459</v>
      </c>
      <c r="P3048" t="s">
        <v>1706</v>
      </c>
      <c r="Q3048" s="1" t="s">
        <v>2276</v>
      </c>
      <c r="R3048" s="1" t="s">
        <v>751</v>
      </c>
      <c r="S3048" s="1" t="s">
        <v>2353</v>
      </c>
      <c r="T3048" t="s">
        <v>396</v>
      </c>
      <c r="U3048" s="1" t="s">
        <v>2346</v>
      </c>
      <c r="V3048" t="s">
        <v>194</v>
      </c>
      <c r="W3048" t="s">
        <v>1706</v>
      </c>
      <c r="X3048" t="s">
        <v>161</v>
      </c>
      <c r="Y3048" t="s">
        <v>2272</v>
      </c>
      <c r="Z3048" t="s">
        <v>2272</v>
      </c>
      <c r="AA3048" t="s">
        <v>2272</v>
      </c>
      <c r="AB3048" t="s">
        <v>2272</v>
      </c>
      <c r="AC3048" t="s">
        <v>162</v>
      </c>
      <c r="AD3048" t="s">
        <v>2272</v>
      </c>
      <c r="AF3048" t="s">
        <v>49</v>
      </c>
      <c r="AI3048" t="s">
        <v>49</v>
      </c>
      <c r="AM3048" t="s">
        <v>2447</v>
      </c>
      <c r="AN3048" t="s">
        <v>166</v>
      </c>
      <c r="AQ3048" s="5">
        <v>2</v>
      </c>
      <c r="AR3048">
        <v>1</v>
      </c>
    </row>
    <row r="3049" spans="1:45" x14ac:dyDescent="0.2">
      <c r="A3049" t="s">
        <v>1704</v>
      </c>
      <c r="B3049" t="s">
        <v>1705</v>
      </c>
      <c r="C3049">
        <v>2012</v>
      </c>
      <c r="D3049" t="s">
        <v>44</v>
      </c>
      <c r="F3049" t="s">
        <v>81</v>
      </c>
      <c r="G3049" s="1" t="s">
        <v>86</v>
      </c>
      <c r="H3049" t="s">
        <v>350</v>
      </c>
      <c r="I3049" t="s">
        <v>1481</v>
      </c>
      <c r="J3049">
        <f t="shared" si="70"/>
        <v>1.25</v>
      </c>
      <c r="K3049" t="s">
        <v>104</v>
      </c>
      <c r="L3049">
        <v>0.35</v>
      </c>
      <c r="M3049">
        <v>0.25</v>
      </c>
      <c r="N3049" t="s">
        <v>128</v>
      </c>
      <c r="O3049" t="s">
        <v>751</v>
      </c>
      <c r="P3049" t="s">
        <v>1007</v>
      </c>
      <c r="Q3049" s="1" t="s">
        <v>2276</v>
      </c>
      <c r="R3049" s="1" t="s">
        <v>751</v>
      </c>
      <c r="S3049" s="1" t="s">
        <v>2346</v>
      </c>
      <c r="T3049" t="s">
        <v>396</v>
      </c>
      <c r="U3049" s="1" t="s">
        <v>2353</v>
      </c>
      <c r="V3049" t="s">
        <v>194</v>
      </c>
      <c r="W3049" t="s">
        <v>1706</v>
      </c>
      <c r="X3049" t="s">
        <v>161</v>
      </c>
      <c r="Y3049" t="s">
        <v>2272</v>
      </c>
      <c r="Z3049" t="s">
        <v>2272</v>
      </c>
      <c r="AA3049" t="s">
        <v>2272</v>
      </c>
      <c r="AB3049" t="s">
        <v>2272</v>
      </c>
      <c r="AC3049" t="s">
        <v>162</v>
      </c>
      <c r="AD3049" t="s">
        <v>2272</v>
      </c>
      <c r="AF3049" t="s">
        <v>49</v>
      </c>
      <c r="AI3049" t="s">
        <v>49</v>
      </c>
      <c r="AM3049" t="s">
        <v>2447</v>
      </c>
      <c r="AN3049" t="s">
        <v>166</v>
      </c>
      <c r="AQ3049" s="5">
        <v>1</v>
      </c>
      <c r="AR3049">
        <v>1</v>
      </c>
    </row>
    <row r="3050" spans="1:45" x14ac:dyDescent="0.2">
      <c r="A3050" t="s">
        <v>1704</v>
      </c>
      <c r="B3050" t="s">
        <v>1705</v>
      </c>
      <c r="C3050">
        <v>2012</v>
      </c>
      <c r="D3050" t="s">
        <v>44</v>
      </c>
      <c r="F3050" t="s">
        <v>81</v>
      </c>
      <c r="G3050" s="1" t="s">
        <v>86</v>
      </c>
      <c r="H3050" t="s">
        <v>350</v>
      </c>
      <c r="I3050" t="s">
        <v>1481</v>
      </c>
      <c r="J3050">
        <f t="shared" si="70"/>
        <v>1.25</v>
      </c>
      <c r="K3050" t="s">
        <v>104</v>
      </c>
      <c r="L3050">
        <v>0.35</v>
      </c>
      <c r="M3050">
        <v>0.25</v>
      </c>
      <c r="N3050" t="s">
        <v>128</v>
      </c>
      <c r="O3050" t="s">
        <v>459</v>
      </c>
      <c r="P3050" t="s">
        <v>1706</v>
      </c>
      <c r="Q3050" s="1" t="s">
        <v>2276</v>
      </c>
      <c r="R3050" s="1" t="s">
        <v>751</v>
      </c>
      <c r="S3050" s="1" t="s">
        <v>2353</v>
      </c>
      <c r="T3050" t="s">
        <v>396</v>
      </c>
      <c r="U3050" s="1" t="s">
        <v>2346</v>
      </c>
      <c r="V3050" t="s">
        <v>194</v>
      </c>
      <c r="W3050" t="s">
        <v>1706</v>
      </c>
      <c r="X3050" t="s">
        <v>161</v>
      </c>
      <c r="Y3050" t="s">
        <v>2272</v>
      </c>
      <c r="Z3050" t="s">
        <v>2272</v>
      </c>
      <c r="AA3050" t="s">
        <v>2272</v>
      </c>
      <c r="AB3050" t="s">
        <v>2272</v>
      </c>
      <c r="AC3050" t="s">
        <v>162</v>
      </c>
      <c r="AD3050" t="s">
        <v>2272</v>
      </c>
      <c r="AF3050" t="s">
        <v>49</v>
      </c>
      <c r="AI3050" t="s">
        <v>49</v>
      </c>
      <c r="AM3050" t="s">
        <v>2448</v>
      </c>
      <c r="AN3050" t="s">
        <v>166</v>
      </c>
      <c r="AQ3050" s="5">
        <v>2</v>
      </c>
      <c r="AR3050">
        <v>1</v>
      </c>
    </row>
    <row r="3051" spans="1:45" x14ac:dyDescent="0.2">
      <c r="A3051" t="s">
        <v>1704</v>
      </c>
      <c r="B3051" t="s">
        <v>1705</v>
      </c>
      <c r="C3051">
        <v>2012</v>
      </c>
      <c r="D3051" t="s">
        <v>44</v>
      </c>
      <c r="F3051" t="s">
        <v>81</v>
      </c>
      <c r="G3051" s="1" t="s">
        <v>86</v>
      </c>
      <c r="H3051" t="s">
        <v>350</v>
      </c>
      <c r="I3051" t="s">
        <v>1481</v>
      </c>
      <c r="J3051">
        <f t="shared" si="70"/>
        <v>1.25</v>
      </c>
      <c r="K3051" t="s">
        <v>104</v>
      </c>
      <c r="L3051">
        <v>0.35</v>
      </c>
      <c r="M3051">
        <v>0.25</v>
      </c>
      <c r="N3051" t="s">
        <v>128</v>
      </c>
      <c r="O3051" t="s">
        <v>751</v>
      </c>
      <c r="P3051" t="s">
        <v>1007</v>
      </c>
      <c r="Q3051" s="1" t="s">
        <v>2276</v>
      </c>
      <c r="R3051" s="1" t="s">
        <v>751</v>
      </c>
      <c r="S3051" s="1" t="s">
        <v>2346</v>
      </c>
      <c r="T3051" t="s">
        <v>396</v>
      </c>
      <c r="U3051" s="1" t="s">
        <v>2353</v>
      </c>
      <c r="V3051" t="s">
        <v>194</v>
      </c>
      <c r="W3051" t="s">
        <v>1706</v>
      </c>
      <c r="X3051" t="s">
        <v>161</v>
      </c>
      <c r="Y3051" t="s">
        <v>2272</v>
      </c>
      <c r="Z3051" t="s">
        <v>2272</v>
      </c>
      <c r="AA3051" t="s">
        <v>2272</v>
      </c>
      <c r="AB3051" t="s">
        <v>2272</v>
      </c>
      <c r="AC3051" t="s">
        <v>162</v>
      </c>
      <c r="AD3051" t="s">
        <v>2272</v>
      </c>
      <c r="AF3051" t="s">
        <v>49</v>
      </c>
      <c r="AI3051" t="s">
        <v>49</v>
      </c>
      <c r="AM3051" t="s">
        <v>2448</v>
      </c>
      <c r="AN3051" t="s">
        <v>166</v>
      </c>
      <c r="AQ3051" s="5">
        <v>1</v>
      </c>
      <c r="AR3051">
        <v>1</v>
      </c>
    </row>
    <row r="3052" spans="1:45" x14ac:dyDescent="0.2">
      <c r="A3052" t="s">
        <v>1704</v>
      </c>
      <c r="B3052" t="s">
        <v>1705</v>
      </c>
      <c r="C3052">
        <v>2012</v>
      </c>
      <c r="D3052" t="s">
        <v>44</v>
      </c>
      <c r="F3052" t="s">
        <v>81</v>
      </c>
      <c r="G3052" s="1" t="s">
        <v>86</v>
      </c>
      <c r="H3052" t="s">
        <v>350</v>
      </c>
      <c r="I3052" t="s">
        <v>1481</v>
      </c>
      <c r="J3052">
        <f t="shared" si="70"/>
        <v>1.25</v>
      </c>
      <c r="K3052" t="s">
        <v>104</v>
      </c>
      <c r="L3052">
        <v>0.35</v>
      </c>
      <c r="M3052">
        <v>0.25</v>
      </c>
      <c r="N3052" t="s">
        <v>128</v>
      </c>
      <c r="O3052" t="s">
        <v>459</v>
      </c>
      <c r="P3052" t="s">
        <v>1706</v>
      </c>
      <c r="Q3052" s="1" t="s">
        <v>2276</v>
      </c>
      <c r="R3052" s="1" t="s">
        <v>751</v>
      </c>
      <c r="S3052" s="1" t="s">
        <v>2353</v>
      </c>
      <c r="T3052" t="s">
        <v>396</v>
      </c>
      <c r="U3052" s="1" t="s">
        <v>2346</v>
      </c>
      <c r="V3052" t="s">
        <v>194</v>
      </c>
      <c r="W3052" t="s">
        <v>1706</v>
      </c>
      <c r="X3052" t="s">
        <v>161</v>
      </c>
      <c r="Y3052" t="s">
        <v>2272</v>
      </c>
      <c r="Z3052" t="s">
        <v>2272</v>
      </c>
      <c r="AA3052" t="s">
        <v>2272</v>
      </c>
      <c r="AB3052" t="s">
        <v>2272</v>
      </c>
      <c r="AC3052" t="s">
        <v>162</v>
      </c>
      <c r="AD3052" t="s">
        <v>2272</v>
      </c>
      <c r="AF3052" t="s">
        <v>49</v>
      </c>
      <c r="AI3052" t="s">
        <v>49</v>
      </c>
      <c r="AM3052" t="s">
        <v>2201</v>
      </c>
      <c r="AN3052" t="s">
        <v>166</v>
      </c>
      <c r="AQ3052" s="5">
        <v>2</v>
      </c>
      <c r="AR3052">
        <v>1</v>
      </c>
    </row>
    <row r="3053" spans="1:45" x14ac:dyDescent="0.2">
      <c r="A3053" t="s">
        <v>1704</v>
      </c>
      <c r="B3053" t="s">
        <v>1705</v>
      </c>
      <c r="C3053">
        <v>2012</v>
      </c>
      <c r="D3053" t="s">
        <v>44</v>
      </c>
      <c r="F3053" t="s">
        <v>81</v>
      </c>
      <c r="G3053" s="1" t="s">
        <v>86</v>
      </c>
      <c r="H3053" t="s">
        <v>350</v>
      </c>
      <c r="I3053" t="s">
        <v>1481</v>
      </c>
      <c r="J3053">
        <f t="shared" si="70"/>
        <v>1.25</v>
      </c>
      <c r="K3053" t="s">
        <v>104</v>
      </c>
      <c r="L3053">
        <v>0.35</v>
      </c>
      <c r="M3053">
        <v>0.25</v>
      </c>
      <c r="N3053" t="s">
        <v>128</v>
      </c>
      <c r="O3053" t="s">
        <v>751</v>
      </c>
      <c r="P3053" t="s">
        <v>1007</v>
      </c>
      <c r="Q3053" s="1" t="s">
        <v>2276</v>
      </c>
      <c r="R3053" s="1" t="s">
        <v>751</v>
      </c>
      <c r="S3053" s="1" t="s">
        <v>2346</v>
      </c>
      <c r="T3053" t="s">
        <v>396</v>
      </c>
      <c r="U3053" s="1" t="s">
        <v>2353</v>
      </c>
      <c r="V3053" t="s">
        <v>194</v>
      </c>
      <c r="W3053" t="s">
        <v>1706</v>
      </c>
      <c r="X3053" t="s">
        <v>161</v>
      </c>
      <c r="Y3053" t="s">
        <v>2272</v>
      </c>
      <c r="Z3053" t="s">
        <v>2272</v>
      </c>
      <c r="AA3053" t="s">
        <v>2272</v>
      </c>
      <c r="AB3053" t="s">
        <v>2272</v>
      </c>
      <c r="AC3053" t="s">
        <v>162</v>
      </c>
      <c r="AD3053" t="s">
        <v>2272</v>
      </c>
      <c r="AF3053" t="s">
        <v>49</v>
      </c>
      <c r="AI3053" t="s">
        <v>49</v>
      </c>
      <c r="AM3053" t="s">
        <v>2201</v>
      </c>
      <c r="AN3053" t="s">
        <v>166</v>
      </c>
      <c r="AQ3053" s="5">
        <v>1</v>
      </c>
      <c r="AR3053">
        <v>1</v>
      </c>
    </row>
    <row r="3054" spans="1:45" x14ac:dyDescent="0.2">
      <c r="A3054" t="s">
        <v>1707</v>
      </c>
      <c r="B3054" t="s">
        <v>1708</v>
      </c>
      <c r="C3054">
        <v>2012</v>
      </c>
      <c r="Q3054" s="1" t="s">
        <v>2272</v>
      </c>
      <c r="R3054" s="1" t="s">
        <v>2272</v>
      </c>
      <c r="S3054" s="1" t="s">
        <v>2272</v>
      </c>
      <c r="Y3054" t="s">
        <v>2272</v>
      </c>
      <c r="Z3054" t="s">
        <v>2272</v>
      </c>
      <c r="AA3054" t="s">
        <v>2272</v>
      </c>
      <c r="AB3054" t="s">
        <v>2272</v>
      </c>
      <c r="AD3054" t="s">
        <v>2272</v>
      </c>
      <c r="AR3054" t="s">
        <v>144</v>
      </c>
      <c r="AS3054" t="s">
        <v>2583</v>
      </c>
    </row>
    <row r="3055" spans="1:45" x14ac:dyDescent="0.2">
      <c r="A3055" t="s">
        <v>1709</v>
      </c>
      <c r="B3055" t="s">
        <v>1647</v>
      </c>
      <c r="C3055">
        <v>2012</v>
      </c>
      <c r="D3055" t="s">
        <v>44</v>
      </c>
      <c r="F3055" t="s">
        <v>80</v>
      </c>
      <c r="G3055" s="1" t="s">
        <v>86</v>
      </c>
      <c r="H3055" t="s">
        <v>96</v>
      </c>
      <c r="I3055">
        <v>2006</v>
      </c>
      <c r="J3055">
        <v>0.42</v>
      </c>
      <c r="K3055" t="s">
        <v>109</v>
      </c>
      <c r="M3055">
        <v>0</v>
      </c>
      <c r="N3055" t="s">
        <v>128</v>
      </c>
      <c r="O3055" t="s">
        <v>146</v>
      </c>
      <c r="P3055" t="s">
        <v>1710</v>
      </c>
      <c r="Q3055" s="1" t="s">
        <v>2276</v>
      </c>
      <c r="R3055" s="1" t="s">
        <v>669</v>
      </c>
      <c r="S3055" s="1" t="s">
        <v>168</v>
      </c>
      <c r="T3055" t="s">
        <v>396</v>
      </c>
      <c r="U3055" s="1" t="s">
        <v>168</v>
      </c>
      <c r="V3055" t="s">
        <v>194</v>
      </c>
      <c r="W3055" t="s">
        <v>1116</v>
      </c>
      <c r="X3055" s="1" t="s">
        <v>161</v>
      </c>
      <c r="Y3055" t="s">
        <v>2272</v>
      </c>
      <c r="Z3055" t="s">
        <v>2272</v>
      </c>
      <c r="AA3055" t="s">
        <v>2272</v>
      </c>
      <c r="AB3055" t="s">
        <v>2272</v>
      </c>
      <c r="AC3055" s="1" t="s">
        <v>162</v>
      </c>
      <c r="AD3055" t="s">
        <v>2272</v>
      </c>
      <c r="AF3055" t="s">
        <v>49</v>
      </c>
      <c r="AI3055" t="s">
        <v>49</v>
      </c>
      <c r="AM3055" t="s">
        <v>201</v>
      </c>
      <c r="AN3055" t="s">
        <v>166</v>
      </c>
      <c r="AP3055" t="s">
        <v>49</v>
      </c>
    </row>
    <row r="3056" spans="1:45" x14ac:dyDescent="0.2">
      <c r="A3056" t="s">
        <v>1709</v>
      </c>
      <c r="B3056" t="s">
        <v>1647</v>
      </c>
      <c r="C3056">
        <v>2012</v>
      </c>
      <c r="D3056" t="s">
        <v>44</v>
      </c>
      <c r="F3056" t="s">
        <v>80</v>
      </c>
      <c r="G3056" s="1" t="s">
        <v>86</v>
      </c>
      <c r="H3056" t="s">
        <v>96</v>
      </c>
      <c r="I3056">
        <v>2006</v>
      </c>
      <c r="J3056">
        <v>0.42</v>
      </c>
      <c r="K3056" t="s">
        <v>109</v>
      </c>
      <c r="M3056">
        <v>0</v>
      </c>
      <c r="N3056" t="s">
        <v>128</v>
      </c>
      <c r="O3056" t="s">
        <v>146</v>
      </c>
      <c r="P3056" t="s">
        <v>320</v>
      </c>
      <c r="Q3056" s="1" t="s">
        <v>2276</v>
      </c>
      <c r="R3056" s="1" t="s">
        <v>669</v>
      </c>
      <c r="S3056" s="1" t="s">
        <v>168</v>
      </c>
      <c r="T3056" t="s">
        <v>396</v>
      </c>
      <c r="U3056" s="1" t="s">
        <v>168</v>
      </c>
      <c r="V3056" t="s">
        <v>194</v>
      </c>
      <c r="W3056" t="s">
        <v>1116</v>
      </c>
      <c r="X3056" s="1" t="s">
        <v>161</v>
      </c>
      <c r="Y3056" t="s">
        <v>2272</v>
      </c>
      <c r="Z3056" t="s">
        <v>2272</v>
      </c>
      <c r="AA3056" t="s">
        <v>2272</v>
      </c>
      <c r="AB3056" t="s">
        <v>2272</v>
      </c>
      <c r="AC3056" s="1" t="s">
        <v>162</v>
      </c>
      <c r="AD3056" t="s">
        <v>2272</v>
      </c>
      <c r="AF3056" t="s">
        <v>49</v>
      </c>
      <c r="AI3056" t="s">
        <v>49</v>
      </c>
      <c r="AM3056" t="s">
        <v>201</v>
      </c>
      <c r="AN3056" t="s">
        <v>166</v>
      </c>
      <c r="AP3056" t="s">
        <v>49</v>
      </c>
    </row>
    <row r="3057" spans="1:45" x14ac:dyDescent="0.2">
      <c r="A3057" t="s">
        <v>1709</v>
      </c>
      <c r="B3057" t="s">
        <v>1647</v>
      </c>
      <c r="C3057">
        <v>2012</v>
      </c>
      <c r="D3057" t="s">
        <v>44</v>
      </c>
      <c r="F3057" t="s">
        <v>80</v>
      </c>
      <c r="G3057" s="1" t="s">
        <v>86</v>
      </c>
      <c r="H3057" t="s">
        <v>96</v>
      </c>
      <c r="I3057">
        <v>2006</v>
      </c>
      <c r="J3057">
        <v>0.42</v>
      </c>
      <c r="K3057" t="s">
        <v>109</v>
      </c>
      <c r="M3057">
        <v>0</v>
      </c>
      <c r="N3057" t="s">
        <v>128</v>
      </c>
      <c r="O3057" t="s">
        <v>146</v>
      </c>
      <c r="P3057" t="s">
        <v>1116</v>
      </c>
      <c r="Q3057" s="1" t="s">
        <v>2276</v>
      </c>
      <c r="R3057" s="1" t="s">
        <v>669</v>
      </c>
      <c r="S3057" s="1" t="s">
        <v>168</v>
      </c>
      <c r="T3057" t="s">
        <v>396</v>
      </c>
      <c r="U3057" s="1" t="s">
        <v>168</v>
      </c>
      <c r="V3057" t="s">
        <v>194</v>
      </c>
      <c r="W3057" t="s">
        <v>1116</v>
      </c>
      <c r="X3057" s="1" t="s">
        <v>161</v>
      </c>
      <c r="Y3057" t="s">
        <v>2272</v>
      </c>
      <c r="Z3057" t="s">
        <v>2272</v>
      </c>
      <c r="AA3057" t="s">
        <v>2272</v>
      </c>
      <c r="AB3057" t="s">
        <v>2272</v>
      </c>
      <c r="AC3057" s="1" t="s">
        <v>162</v>
      </c>
      <c r="AD3057" t="s">
        <v>2272</v>
      </c>
      <c r="AF3057" t="s">
        <v>49</v>
      </c>
      <c r="AI3057" t="s">
        <v>49</v>
      </c>
      <c r="AM3057" t="s">
        <v>201</v>
      </c>
      <c r="AN3057" t="s">
        <v>166</v>
      </c>
      <c r="AP3057" t="s">
        <v>49</v>
      </c>
    </row>
    <row r="3058" spans="1:45" x14ac:dyDescent="0.2">
      <c r="A3058" t="s">
        <v>1709</v>
      </c>
      <c r="B3058" t="s">
        <v>1647</v>
      </c>
      <c r="C3058">
        <v>2012</v>
      </c>
      <c r="D3058" t="s">
        <v>44</v>
      </c>
      <c r="F3058" t="s">
        <v>80</v>
      </c>
      <c r="G3058" s="1" t="s">
        <v>86</v>
      </c>
      <c r="H3058" t="s">
        <v>96</v>
      </c>
      <c r="I3058">
        <v>2006</v>
      </c>
      <c r="J3058">
        <v>0.42</v>
      </c>
      <c r="K3058" t="s">
        <v>109</v>
      </c>
      <c r="M3058">
        <v>0</v>
      </c>
      <c r="N3058" t="s">
        <v>128</v>
      </c>
      <c r="O3058" t="s">
        <v>146</v>
      </c>
      <c r="P3058" t="s">
        <v>1710</v>
      </c>
      <c r="Q3058" s="1" t="s">
        <v>2276</v>
      </c>
      <c r="R3058" s="1" t="s">
        <v>669</v>
      </c>
      <c r="S3058" s="1" t="s">
        <v>168</v>
      </c>
      <c r="T3058" t="s">
        <v>396</v>
      </c>
      <c r="U3058" s="1" t="s">
        <v>168</v>
      </c>
      <c r="V3058" t="s">
        <v>194</v>
      </c>
      <c r="W3058" t="s">
        <v>1116</v>
      </c>
      <c r="X3058" s="1" t="s">
        <v>161</v>
      </c>
      <c r="Y3058" t="s">
        <v>2272</v>
      </c>
      <c r="Z3058" t="s">
        <v>2272</v>
      </c>
      <c r="AA3058" t="s">
        <v>2272</v>
      </c>
      <c r="AB3058" t="s">
        <v>2272</v>
      </c>
      <c r="AC3058" s="1" t="s">
        <v>162</v>
      </c>
      <c r="AD3058" t="s">
        <v>2272</v>
      </c>
      <c r="AF3058" t="s">
        <v>49</v>
      </c>
      <c r="AI3058" t="s">
        <v>49</v>
      </c>
      <c r="AM3058" t="s">
        <v>201</v>
      </c>
      <c r="AN3058" t="s">
        <v>154</v>
      </c>
      <c r="AP3058" t="s">
        <v>49</v>
      </c>
    </row>
    <row r="3059" spans="1:45" x14ac:dyDescent="0.2">
      <c r="A3059" t="s">
        <v>1709</v>
      </c>
      <c r="B3059" t="s">
        <v>1647</v>
      </c>
      <c r="C3059">
        <v>2012</v>
      </c>
      <c r="D3059" t="s">
        <v>44</v>
      </c>
      <c r="F3059" t="s">
        <v>80</v>
      </c>
      <c r="G3059" s="1" t="s">
        <v>86</v>
      </c>
      <c r="H3059" t="s">
        <v>96</v>
      </c>
      <c r="I3059">
        <v>2006</v>
      </c>
      <c r="J3059">
        <v>0.42</v>
      </c>
      <c r="K3059" t="s">
        <v>109</v>
      </c>
      <c r="M3059">
        <v>0</v>
      </c>
      <c r="N3059" t="s">
        <v>128</v>
      </c>
      <c r="O3059" t="s">
        <v>146</v>
      </c>
      <c r="P3059" t="s">
        <v>320</v>
      </c>
      <c r="Q3059" s="1" t="s">
        <v>2276</v>
      </c>
      <c r="R3059" s="1" t="s">
        <v>669</v>
      </c>
      <c r="S3059" s="1" t="s">
        <v>168</v>
      </c>
      <c r="T3059" t="s">
        <v>396</v>
      </c>
      <c r="U3059" s="1" t="s">
        <v>168</v>
      </c>
      <c r="V3059" t="s">
        <v>194</v>
      </c>
      <c r="W3059" t="s">
        <v>1116</v>
      </c>
      <c r="X3059" s="1" t="s">
        <v>161</v>
      </c>
      <c r="Y3059" t="s">
        <v>2272</v>
      </c>
      <c r="Z3059" t="s">
        <v>2272</v>
      </c>
      <c r="AA3059" t="s">
        <v>2272</v>
      </c>
      <c r="AB3059" t="s">
        <v>2272</v>
      </c>
      <c r="AC3059" s="1" t="s">
        <v>162</v>
      </c>
      <c r="AD3059" t="s">
        <v>2272</v>
      </c>
      <c r="AF3059" t="s">
        <v>49</v>
      </c>
      <c r="AI3059" t="s">
        <v>49</v>
      </c>
      <c r="AM3059" t="s">
        <v>201</v>
      </c>
      <c r="AN3059" t="s">
        <v>154</v>
      </c>
      <c r="AP3059" t="s">
        <v>49</v>
      </c>
    </row>
    <row r="3060" spans="1:45" x14ac:dyDescent="0.2">
      <c r="A3060" t="s">
        <v>1709</v>
      </c>
      <c r="B3060" t="s">
        <v>1647</v>
      </c>
      <c r="C3060">
        <v>2012</v>
      </c>
      <c r="D3060" t="s">
        <v>44</v>
      </c>
      <c r="F3060" t="s">
        <v>80</v>
      </c>
      <c r="G3060" s="1" t="s">
        <v>86</v>
      </c>
      <c r="H3060" t="s">
        <v>96</v>
      </c>
      <c r="I3060">
        <v>2006</v>
      </c>
      <c r="J3060">
        <v>0.42</v>
      </c>
      <c r="K3060" t="s">
        <v>109</v>
      </c>
      <c r="M3060">
        <v>0</v>
      </c>
      <c r="N3060" t="s">
        <v>128</v>
      </c>
      <c r="O3060" t="s">
        <v>146</v>
      </c>
      <c r="P3060" t="s">
        <v>1116</v>
      </c>
      <c r="Q3060" s="1" t="s">
        <v>2276</v>
      </c>
      <c r="R3060" s="1" t="s">
        <v>669</v>
      </c>
      <c r="S3060" s="1" t="s">
        <v>168</v>
      </c>
      <c r="T3060" t="s">
        <v>396</v>
      </c>
      <c r="U3060" s="1" t="s">
        <v>168</v>
      </c>
      <c r="V3060" t="s">
        <v>194</v>
      </c>
      <c r="W3060" t="s">
        <v>1116</v>
      </c>
      <c r="X3060" s="1" t="s">
        <v>161</v>
      </c>
      <c r="Y3060" t="s">
        <v>2272</v>
      </c>
      <c r="Z3060" t="s">
        <v>2272</v>
      </c>
      <c r="AA3060" t="s">
        <v>2272</v>
      </c>
      <c r="AB3060" t="s">
        <v>2272</v>
      </c>
      <c r="AC3060" s="1" t="s">
        <v>162</v>
      </c>
      <c r="AD3060" t="s">
        <v>2272</v>
      </c>
      <c r="AF3060" t="s">
        <v>49</v>
      </c>
      <c r="AI3060" t="s">
        <v>49</v>
      </c>
      <c r="AM3060" t="s">
        <v>201</v>
      </c>
      <c r="AN3060" t="s">
        <v>154</v>
      </c>
      <c r="AP3060" t="s">
        <v>49</v>
      </c>
    </row>
    <row r="3061" spans="1:45" x14ac:dyDescent="0.2">
      <c r="A3061" t="s">
        <v>1709</v>
      </c>
      <c r="B3061" t="s">
        <v>1647</v>
      </c>
      <c r="C3061">
        <v>2012</v>
      </c>
      <c r="D3061" t="s">
        <v>44</v>
      </c>
      <c r="F3061" t="s">
        <v>80</v>
      </c>
      <c r="G3061" s="1" t="s">
        <v>86</v>
      </c>
      <c r="H3061" t="s">
        <v>96</v>
      </c>
      <c r="I3061">
        <v>2006</v>
      </c>
      <c r="J3061">
        <v>0.42</v>
      </c>
      <c r="K3061" t="s">
        <v>109</v>
      </c>
      <c r="M3061">
        <v>0</v>
      </c>
      <c r="N3061" t="s">
        <v>128</v>
      </c>
      <c r="O3061" t="s">
        <v>146</v>
      </c>
      <c r="P3061" t="s">
        <v>1710</v>
      </c>
      <c r="Q3061" s="1" t="s">
        <v>2276</v>
      </c>
      <c r="R3061" s="1" t="s">
        <v>669</v>
      </c>
      <c r="S3061" s="1" t="s">
        <v>168</v>
      </c>
      <c r="T3061" t="s">
        <v>396</v>
      </c>
      <c r="U3061" s="1" t="s">
        <v>168</v>
      </c>
      <c r="V3061" t="s">
        <v>194</v>
      </c>
      <c r="W3061" t="s">
        <v>1116</v>
      </c>
      <c r="X3061" s="1" t="s">
        <v>161</v>
      </c>
      <c r="Y3061" t="s">
        <v>2272</v>
      </c>
      <c r="Z3061" t="s">
        <v>2272</v>
      </c>
      <c r="AA3061" t="s">
        <v>2272</v>
      </c>
      <c r="AB3061" t="s">
        <v>2272</v>
      </c>
      <c r="AC3061" s="1" t="s">
        <v>162</v>
      </c>
      <c r="AD3061" t="s">
        <v>2272</v>
      </c>
      <c r="AF3061" t="s">
        <v>49</v>
      </c>
      <c r="AI3061" t="s">
        <v>49</v>
      </c>
      <c r="AM3061" t="s">
        <v>201</v>
      </c>
      <c r="AN3061" t="s">
        <v>165</v>
      </c>
      <c r="AP3061" t="s">
        <v>49</v>
      </c>
    </row>
    <row r="3062" spans="1:45" x14ac:dyDescent="0.2">
      <c r="A3062" t="s">
        <v>1709</v>
      </c>
      <c r="B3062" t="s">
        <v>1647</v>
      </c>
      <c r="C3062">
        <v>2012</v>
      </c>
      <c r="D3062" t="s">
        <v>44</v>
      </c>
      <c r="F3062" t="s">
        <v>80</v>
      </c>
      <c r="G3062" s="1" t="s">
        <v>86</v>
      </c>
      <c r="H3062" t="s">
        <v>96</v>
      </c>
      <c r="I3062">
        <v>2006</v>
      </c>
      <c r="J3062">
        <v>0.42</v>
      </c>
      <c r="K3062" t="s">
        <v>109</v>
      </c>
      <c r="M3062">
        <v>0</v>
      </c>
      <c r="N3062" t="s">
        <v>128</v>
      </c>
      <c r="O3062" t="s">
        <v>146</v>
      </c>
      <c r="P3062" t="s">
        <v>320</v>
      </c>
      <c r="Q3062" s="1" t="s">
        <v>2276</v>
      </c>
      <c r="R3062" s="1" t="s">
        <v>669</v>
      </c>
      <c r="S3062" s="1" t="s">
        <v>168</v>
      </c>
      <c r="T3062" t="s">
        <v>396</v>
      </c>
      <c r="U3062" s="1" t="s">
        <v>168</v>
      </c>
      <c r="V3062" t="s">
        <v>194</v>
      </c>
      <c r="W3062" t="s">
        <v>1116</v>
      </c>
      <c r="X3062" s="1" t="s">
        <v>161</v>
      </c>
      <c r="Y3062" t="s">
        <v>2272</v>
      </c>
      <c r="Z3062" t="s">
        <v>2272</v>
      </c>
      <c r="AA3062" t="s">
        <v>2272</v>
      </c>
      <c r="AB3062" t="s">
        <v>2272</v>
      </c>
      <c r="AC3062" s="1" t="s">
        <v>162</v>
      </c>
      <c r="AD3062" t="s">
        <v>2272</v>
      </c>
      <c r="AF3062" t="s">
        <v>49</v>
      </c>
      <c r="AI3062" t="s">
        <v>49</v>
      </c>
      <c r="AM3062" t="s">
        <v>201</v>
      </c>
      <c r="AN3062" t="s">
        <v>165</v>
      </c>
      <c r="AP3062" t="s">
        <v>49</v>
      </c>
    </row>
    <row r="3063" spans="1:45" x14ac:dyDescent="0.2">
      <c r="A3063" t="s">
        <v>1709</v>
      </c>
      <c r="B3063" t="s">
        <v>1647</v>
      </c>
      <c r="C3063">
        <v>2012</v>
      </c>
      <c r="D3063" t="s">
        <v>44</v>
      </c>
      <c r="F3063" t="s">
        <v>80</v>
      </c>
      <c r="G3063" s="1" t="s">
        <v>86</v>
      </c>
      <c r="H3063" t="s">
        <v>96</v>
      </c>
      <c r="I3063">
        <v>2006</v>
      </c>
      <c r="J3063">
        <v>0.42</v>
      </c>
      <c r="K3063" t="s">
        <v>109</v>
      </c>
      <c r="M3063">
        <v>0</v>
      </c>
      <c r="N3063" t="s">
        <v>128</v>
      </c>
      <c r="O3063" t="s">
        <v>146</v>
      </c>
      <c r="P3063" t="s">
        <v>1116</v>
      </c>
      <c r="Q3063" s="1" t="s">
        <v>2276</v>
      </c>
      <c r="R3063" s="1" t="s">
        <v>669</v>
      </c>
      <c r="S3063" s="1" t="s">
        <v>168</v>
      </c>
      <c r="T3063" t="s">
        <v>396</v>
      </c>
      <c r="U3063" s="1" t="s">
        <v>168</v>
      </c>
      <c r="V3063" t="s">
        <v>194</v>
      </c>
      <c r="W3063" t="s">
        <v>1116</v>
      </c>
      <c r="X3063" s="1" t="s">
        <v>161</v>
      </c>
      <c r="Y3063" t="s">
        <v>2272</v>
      </c>
      <c r="Z3063" t="s">
        <v>2272</v>
      </c>
      <c r="AA3063" t="s">
        <v>2272</v>
      </c>
      <c r="AB3063" t="s">
        <v>2272</v>
      </c>
      <c r="AC3063" s="1" t="s">
        <v>162</v>
      </c>
      <c r="AD3063" t="s">
        <v>2272</v>
      </c>
      <c r="AF3063" t="s">
        <v>49</v>
      </c>
      <c r="AI3063" t="s">
        <v>49</v>
      </c>
      <c r="AM3063" t="s">
        <v>201</v>
      </c>
      <c r="AN3063" t="s">
        <v>165</v>
      </c>
      <c r="AP3063" t="s">
        <v>49</v>
      </c>
    </row>
    <row r="3064" spans="1:45" x14ac:dyDescent="0.2">
      <c r="A3064" t="s">
        <v>1711</v>
      </c>
      <c r="B3064" t="s">
        <v>1712</v>
      </c>
      <c r="C3064">
        <v>2012</v>
      </c>
      <c r="D3064" t="s">
        <v>44</v>
      </c>
      <c r="F3064" t="s">
        <v>931</v>
      </c>
      <c r="G3064" s="1" t="s">
        <v>90</v>
      </c>
      <c r="H3064" t="s">
        <v>350</v>
      </c>
      <c r="I3064">
        <v>2009</v>
      </c>
      <c r="J3064">
        <v>0.42</v>
      </c>
      <c r="K3064" t="s">
        <v>104</v>
      </c>
      <c r="L3064">
        <v>38</v>
      </c>
      <c r="Q3064" s="1" t="s">
        <v>2272</v>
      </c>
      <c r="R3064" s="1" t="s">
        <v>2272</v>
      </c>
      <c r="S3064" s="1" t="s">
        <v>2272</v>
      </c>
      <c r="Y3064" t="s">
        <v>2272</v>
      </c>
      <c r="Z3064" t="s">
        <v>2272</v>
      </c>
      <c r="AA3064" t="s">
        <v>2272</v>
      </c>
      <c r="AB3064" t="s">
        <v>2272</v>
      </c>
      <c r="AD3064" t="s">
        <v>2272</v>
      </c>
      <c r="AR3064" t="s">
        <v>144</v>
      </c>
      <c r="AS3064" t="s">
        <v>2583</v>
      </c>
    </row>
    <row r="3065" spans="1:45" x14ac:dyDescent="0.2">
      <c r="A3065" t="s">
        <v>1713</v>
      </c>
      <c r="B3065" t="s">
        <v>1714</v>
      </c>
      <c r="C3065">
        <v>2012</v>
      </c>
      <c r="D3065" t="s">
        <v>44</v>
      </c>
      <c r="E3065" t="s">
        <v>49</v>
      </c>
      <c r="F3065" t="s">
        <v>1239</v>
      </c>
      <c r="G3065" s="1" t="s">
        <v>86</v>
      </c>
      <c r="H3065" t="s">
        <v>350</v>
      </c>
      <c r="I3065" t="s">
        <v>831</v>
      </c>
      <c r="J3065">
        <f>9/12</f>
        <v>0.75</v>
      </c>
      <c r="K3065" t="s">
        <v>102</v>
      </c>
      <c r="L3065">
        <v>75</v>
      </c>
      <c r="M3065">
        <f>0.2*0.2</f>
        <v>4.0000000000000008E-2</v>
      </c>
      <c r="N3065" t="s">
        <v>121</v>
      </c>
      <c r="O3065" t="s">
        <v>264</v>
      </c>
      <c r="P3065" t="s">
        <v>1373</v>
      </c>
      <c r="Q3065" s="1" t="s">
        <v>2276</v>
      </c>
      <c r="R3065" s="1" t="s">
        <v>755</v>
      </c>
      <c r="S3065" s="1" t="s">
        <v>2352</v>
      </c>
      <c r="T3065" t="s">
        <v>421</v>
      </c>
      <c r="U3065" t="s">
        <v>421</v>
      </c>
      <c r="V3065" t="s">
        <v>194</v>
      </c>
      <c r="W3065" t="s">
        <v>1373</v>
      </c>
      <c r="X3065" t="s">
        <v>161</v>
      </c>
      <c r="Y3065" t="s">
        <v>2272</v>
      </c>
      <c r="Z3065" t="s">
        <v>2272</v>
      </c>
      <c r="AA3065" t="s">
        <v>2272</v>
      </c>
      <c r="AB3065" t="s">
        <v>2272</v>
      </c>
      <c r="AC3065" s="1" t="s">
        <v>162</v>
      </c>
      <c r="AD3065" t="s">
        <v>2272</v>
      </c>
      <c r="AG3065" t="s">
        <v>49</v>
      </c>
      <c r="AI3065" t="s">
        <v>49</v>
      </c>
      <c r="AM3065" t="s">
        <v>1038</v>
      </c>
      <c r="AN3065" t="s">
        <v>154</v>
      </c>
      <c r="AP3065" t="s">
        <v>49</v>
      </c>
    </row>
    <row r="3066" spans="1:45" x14ac:dyDescent="0.2">
      <c r="A3066" t="s">
        <v>1715</v>
      </c>
      <c r="B3066" t="s">
        <v>1717</v>
      </c>
      <c r="C3066">
        <v>2012</v>
      </c>
      <c r="D3066" t="s">
        <v>44</v>
      </c>
      <c r="F3066" t="s">
        <v>1716</v>
      </c>
      <c r="G3066" s="1" t="s">
        <v>86</v>
      </c>
      <c r="H3066" t="s">
        <v>350</v>
      </c>
      <c r="I3066">
        <v>2008</v>
      </c>
      <c r="K3066" t="s">
        <v>101</v>
      </c>
      <c r="L3066">
        <v>25</v>
      </c>
      <c r="M3066">
        <v>0</v>
      </c>
      <c r="N3066" t="s">
        <v>121</v>
      </c>
      <c r="O3066" t="s">
        <v>264</v>
      </c>
      <c r="P3066" t="s">
        <v>302</v>
      </c>
      <c r="Q3066" s="1" t="s">
        <v>2272</v>
      </c>
      <c r="R3066" s="1" t="s">
        <v>2272</v>
      </c>
      <c r="S3066" s="1" t="s">
        <v>2272</v>
      </c>
      <c r="X3066" s="1" t="s">
        <v>998</v>
      </c>
      <c r="Y3066" t="s">
        <v>2272</v>
      </c>
      <c r="Z3066" t="s">
        <v>2272</v>
      </c>
      <c r="AA3066" t="s">
        <v>2272</v>
      </c>
      <c r="AB3066" t="s">
        <v>2272</v>
      </c>
      <c r="AC3066" s="1" t="s">
        <v>152</v>
      </c>
      <c r="AD3066" t="s">
        <v>2272</v>
      </c>
      <c r="AE3066" s="1" t="s">
        <v>415</v>
      </c>
      <c r="AF3066" s="1"/>
      <c r="AG3066" s="1"/>
      <c r="AH3066" s="2"/>
      <c r="AI3066" s="1"/>
      <c r="AJ3066" s="1"/>
      <c r="AK3066" s="1"/>
      <c r="AL3066" s="1"/>
      <c r="AM3066" s="1"/>
      <c r="AR3066" t="s">
        <v>144</v>
      </c>
      <c r="AS3066" t="s">
        <v>2583</v>
      </c>
    </row>
    <row r="3067" spans="1:45" x14ac:dyDescent="0.2">
      <c r="A3067" t="s">
        <v>1718</v>
      </c>
      <c r="B3067" t="s">
        <v>1719</v>
      </c>
      <c r="C3067">
        <v>2012</v>
      </c>
      <c r="D3067" t="s">
        <v>44</v>
      </c>
      <c r="F3067" t="s">
        <v>1720</v>
      </c>
      <c r="G3067" s="1" t="s">
        <v>87</v>
      </c>
      <c r="H3067" t="s">
        <v>96</v>
      </c>
      <c r="J3067">
        <v>0.67</v>
      </c>
      <c r="K3067" t="s">
        <v>109</v>
      </c>
      <c r="M3067">
        <f>0.25*0.25</f>
        <v>6.25E-2</v>
      </c>
      <c r="N3067" t="s">
        <v>127</v>
      </c>
      <c r="O3067" t="s">
        <v>1722</v>
      </c>
      <c r="P3067" t="s">
        <v>1721</v>
      </c>
      <c r="Q3067" s="1" t="s">
        <v>2281</v>
      </c>
      <c r="R3067" s="1" t="s">
        <v>2291</v>
      </c>
      <c r="S3067" s="1" t="s">
        <v>2291</v>
      </c>
      <c r="T3067" t="s">
        <v>421</v>
      </c>
      <c r="U3067" t="s">
        <v>421</v>
      </c>
      <c r="X3067" t="s">
        <v>161</v>
      </c>
      <c r="Y3067" t="s">
        <v>2272</v>
      </c>
      <c r="Z3067" t="s">
        <v>2272</v>
      </c>
      <c r="AA3067" t="s">
        <v>2272</v>
      </c>
      <c r="AB3067" t="s">
        <v>2272</v>
      </c>
      <c r="AC3067" s="1" t="s">
        <v>162</v>
      </c>
      <c r="AD3067" t="s">
        <v>2272</v>
      </c>
      <c r="AF3067" t="s">
        <v>49</v>
      </c>
      <c r="AK3067" t="s">
        <v>49</v>
      </c>
      <c r="AM3067" t="s">
        <v>1723</v>
      </c>
      <c r="AN3067" s="1" t="s">
        <v>166</v>
      </c>
      <c r="AQ3067" s="5">
        <v>1</v>
      </c>
    </row>
    <row r="3068" spans="1:45" x14ac:dyDescent="0.2">
      <c r="A3068" t="s">
        <v>1718</v>
      </c>
      <c r="B3068" t="s">
        <v>1719</v>
      </c>
      <c r="C3068">
        <v>2012</v>
      </c>
      <c r="D3068" t="s">
        <v>45</v>
      </c>
      <c r="F3068" t="s">
        <v>1720</v>
      </c>
      <c r="G3068" s="1" t="s">
        <v>87</v>
      </c>
      <c r="H3068" t="s">
        <v>96</v>
      </c>
      <c r="J3068" s="9">
        <f>2/(24*365)</f>
        <v>2.2831050228310502E-4</v>
      </c>
      <c r="K3068" t="s">
        <v>101</v>
      </c>
      <c r="M3068">
        <f>1.3*0.8</f>
        <v>1.04</v>
      </c>
      <c r="N3068" t="s">
        <v>127</v>
      </c>
      <c r="O3068" t="s">
        <v>1722</v>
      </c>
      <c r="P3068" t="s">
        <v>1721</v>
      </c>
      <c r="Q3068" s="1" t="s">
        <v>2281</v>
      </c>
      <c r="R3068" s="1" t="s">
        <v>2291</v>
      </c>
      <c r="S3068" s="1" t="s">
        <v>2291</v>
      </c>
      <c r="X3068" t="s">
        <v>177</v>
      </c>
      <c r="Y3068" t="s">
        <v>2273</v>
      </c>
      <c r="Z3068" t="s">
        <v>249</v>
      </c>
      <c r="AA3068" t="s">
        <v>2359</v>
      </c>
      <c r="AB3068" t="s">
        <v>1419</v>
      </c>
      <c r="AC3068" s="1" t="s">
        <v>162</v>
      </c>
      <c r="AD3068" t="s">
        <v>137</v>
      </c>
      <c r="AF3068" t="s">
        <v>49</v>
      </c>
      <c r="AK3068" t="s">
        <v>49</v>
      </c>
      <c r="AM3068" t="s">
        <v>1723</v>
      </c>
      <c r="AN3068" s="1" t="s">
        <v>166</v>
      </c>
      <c r="AP3068" t="s">
        <v>157</v>
      </c>
    </row>
    <row r="3069" spans="1:45" x14ac:dyDescent="0.2">
      <c r="A3069" t="s">
        <v>1718</v>
      </c>
      <c r="B3069" t="s">
        <v>1719</v>
      </c>
      <c r="C3069">
        <v>2012</v>
      </c>
      <c r="D3069" t="s">
        <v>45</v>
      </c>
      <c r="F3069" t="s">
        <v>1720</v>
      </c>
      <c r="G3069" s="1" t="s">
        <v>87</v>
      </c>
      <c r="H3069" t="s">
        <v>96</v>
      </c>
      <c r="J3069" s="9">
        <f>2/(24*365)</f>
        <v>2.2831050228310502E-4</v>
      </c>
      <c r="K3069" t="s">
        <v>101</v>
      </c>
      <c r="M3069">
        <f>1.3*0.8</f>
        <v>1.04</v>
      </c>
      <c r="N3069" t="s">
        <v>127</v>
      </c>
      <c r="O3069" t="s">
        <v>1722</v>
      </c>
      <c r="P3069" t="s">
        <v>1721</v>
      </c>
      <c r="Q3069" s="1" t="s">
        <v>2281</v>
      </c>
      <c r="R3069" s="1" t="s">
        <v>2291</v>
      </c>
      <c r="S3069" s="1" t="s">
        <v>2291</v>
      </c>
      <c r="T3069" t="s">
        <v>421</v>
      </c>
      <c r="U3069" t="s">
        <v>421</v>
      </c>
      <c r="X3069" t="s">
        <v>161</v>
      </c>
      <c r="Y3069" t="s">
        <v>2272</v>
      </c>
      <c r="Z3069" t="s">
        <v>2272</v>
      </c>
      <c r="AA3069" t="s">
        <v>2272</v>
      </c>
      <c r="AB3069" t="s">
        <v>2272</v>
      </c>
      <c r="AC3069" s="1" t="s">
        <v>162</v>
      </c>
      <c r="AD3069" t="s">
        <v>2272</v>
      </c>
      <c r="AF3069" t="s">
        <v>49</v>
      </c>
      <c r="AK3069" t="s">
        <v>49</v>
      </c>
      <c r="AM3069" t="s">
        <v>1723</v>
      </c>
      <c r="AN3069" s="1" t="s">
        <v>166</v>
      </c>
      <c r="AQ3069" s="5">
        <v>1</v>
      </c>
    </row>
    <row r="3070" spans="1:45" x14ac:dyDescent="0.2">
      <c r="A3070" t="s">
        <v>1718</v>
      </c>
      <c r="B3070" t="s">
        <v>1719</v>
      </c>
      <c r="C3070">
        <v>2012</v>
      </c>
      <c r="D3070" t="s">
        <v>45</v>
      </c>
      <c r="F3070" t="s">
        <v>1720</v>
      </c>
      <c r="G3070" s="1" t="s">
        <v>87</v>
      </c>
      <c r="H3070" t="s">
        <v>96</v>
      </c>
      <c r="J3070" s="9">
        <f>2/(24*365)</f>
        <v>2.2831050228310502E-4</v>
      </c>
      <c r="K3070" t="s">
        <v>101</v>
      </c>
      <c r="M3070">
        <f>1.3*0.8</f>
        <v>1.04</v>
      </c>
      <c r="N3070" t="s">
        <v>127</v>
      </c>
      <c r="O3070" t="s">
        <v>1722</v>
      </c>
      <c r="P3070" t="s">
        <v>1721</v>
      </c>
      <c r="Q3070" s="1" t="s">
        <v>2281</v>
      </c>
      <c r="R3070" s="1" t="s">
        <v>2291</v>
      </c>
      <c r="S3070" s="1" t="s">
        <v>2291</v>
      </c>
      <c r="X3070" t="s">
        <v>177</v>
      </c>
      <c r="Y3070" t="s">
        <v>2273</v>
      </c>
      <c r="Z3070" t="s">
        <v>249</v>
      </c>
      <c r="AA3070" t="s">
        <v>2359</v>
      </c>
      <c r="AB3070" t="s">
        <v>1419</v>
      </c>
      <c r="AC3070" s="1" t="s">
        <v>162</v>
      </c>
      <c r="AD3070" t="s">
        <v>137</v>
      </c>
      <c r="AF3070" t="s">
        <v>49</v>
      </c>
      <c r="AK3070" t="s">
        <v>49</v>
      </c>
      <c r="AM3070" t="s">
        <v>1723</v>
      </c>
      <c r="AN3070" s="1" t="s">
        <v>109</v>
      </c>
      <c r="AO3070" s="1" t="s">
        <v>1724</v>
      </c>
    </row>
    <row r="3071" spans="1:45" x14ac:dyDescent="0.2">
      <c r="A3071" t="s">
        <v>1718</v>
      </c>
      <c r="B3071" t="s">
        <v>1719</v>
      </c>
      <c r="C3071">
        <v>2012</v>
      </c>
      <c r="D3071" t="s">
        <v>45</v>
      </c>
      <c r="F3071" t="s">
        <v>1720</v>
      </c>
      <c r="G3071" s="1" t="s">
        <v>87</v>
      </c>
      <c r="H3071" t="s">
        <v>96</v>
      </c>
      <c r="J3071" s="9">
        <f>2/(24*365)</f>
        <v>2.2831050228310502E-4</v>
      </c>
      <c r="K3071" t="s">
        <v>101</v>
      </c>
      <c r="M3071">
        <f>1.3*0.8</f>
        <v>1.04</v>
      </c>
      <c r="N3071" t="s">
        <v>127</v>
      </c>
      <c r="O3071" t="s">
        <v>1722</v>
      </c>
      <c r="P3071" t="s">
        <v>1721</v>
      </c>
      <c r="Q3071" s="1" t="s">
        <v>2281</v>
      </c>
      <c r="R3071" s="1" t="s">
        <v>2291</v>
      </c>
      <c r="S3071" s="1" t="s">
        <v>2291</v>
      </c>
      <c r="T3071" t="s">
        <v>421</v>
      </c>
      <c r="U3071" t="s">
        <v>421</v>
      </c>
      <c r="X3071" t="s">
        <v>161</v>
      </c>
      <c r="Y3071" t="s">
        <v>2272</v>
      </c>
      <c r="Z3071" t="s">
        <v>2272</v>
      </c>
      <c r="AA3071" t="s">
        <v>2272</v>
      </c>
      <c r="AB3071" t="s">
        <v>2272</v>
      </c>
      <c r="AC3071" s="1" t="s">
        <v>162</v>
      </c>
      <c r="AD3071" t="s">
        <v>2272</v>
      </c>
      <c r="AF3071" t="s">
        <v>49</v>
      </c>
      <c r="AK3071" t="s">
        <v>49</v>
      </c>
      <c r="AM3071" t="s">
        <v>1723</v>
      </c>
      <c r="AN3071" s="1" t="s">
        <v>109</v>
      </c>
      <c r="AO3071" s="1" t="s">
        <v>1724</v>
      </c>
    </row>
    <row r="3072" spans="1:45" x14ac:dyDescent="0.2">
      <c r="A3072" t="s">
        <v>1725</v>
      </c>
      <c r="B3072" t="s">
        <v>1726</v>
      </c>
      <c r="C3072">
        <v>2012</v>
      </c>
      <c r="D3072" t="s">
        <v>44</v>
      </c>
      <c r="F3072" t="s">
        <v>81</v>
      </c>
      <c r="G3072" s="1" t="s">
        <v>86</v>
      </c>
      <c r="H3072" t="s">
        <v>96</v>
      </c>
      <c r="I3072">
        <v>2009</v>
      </c>
      <c r="K3072" t="s">
        <v>101</v>
      </c>
      <c r="L3072">
        <v>150</v>
      </c>
      <c r="M3072">
        <v>1</v>
      </c>
      <c r="N3072" t="s">
        <v>127</v>
      </c>
      <c r="O3072" t="s">
        <v>1270</v>
      </c>
      <c r="P3072" t="s">
        <v>805</v>
      </c>
      <c r="Q3072" s="1" t="s">
        <v>2281</v>
      </c>
      <c r="R3072" s="1" t="s">
        <v>2301</v>
      </c>
      <c r="S3072" s="1" t="s">
        <v>2303</v>
      </c>
      <c r="V3072" t="s">
        <v>194</v>
      </c>
      <c r="W3072" t="s">
        <v>224</v>
      </c>
      <c r="X3072" t="s">
        <v>189</v>
      </c>
      <c r="Y3072" t="s">
        <v>2279</v>
      </c>
      <c r="Z3072" t="s">
        <v>2280</v>
      </c>
      <c r="AA3072" t="s">
        <v>2358</v>
      </c>
      <c r="AB3072" t="s">
        <v>189</v>
      </c>
      <c r="AC3072" s="1" t="s">
        <v>152</v>
      </c>
      <c r="AD3072" t="s">
        <v>2278</v>
      </c>
    </row>
    <row r="3073" spans="1:45" x14ac:dyDescent="0.2">
      <c r="A3073" t="s">
        <v>1725</v>
      </c>
      <c r="B3073" t="s">
        <v>1726</v>
      </c>
      <c r="C3073">
        <v>2012</v>
      </c>
      <c r="D3073" t="s">
        <v>44</v>
      </c>
      <c r="F3073" t="s">
        <v>81</v>
      </c>
      <c r="G3073" s="1" t="s">
        <v>86</v>
      </c>
      <c r="H3073" t="s">
        <v>96</v>
      </c>
      <c r="I3073">
        <v>2009</v>
      </c>
      <c r="K3073" t="s">
        <v>101</v>
      </c>
      <c r="L3073">
        <v>150</v>
      </c>
      <c r="M3073">
        <v>1</v>
      </c>
      <c r="N3073" t="s">
        <v>127</v>
      </c>
      <c r="O3073" t="s">
        <v>1270</v>
      </c>
      <c r="P3073" t="s">
        <v>805</v>
      </c>
      <c r="Q3073" s="1" t="s">
        <v>2281</v>
      </c>
      <c r="R3073" s="1" t="s">
        <v>2301</v>
      </c>
      <c r="S3073" s="1" t="s">
        <v>2303</v>
      </c>
      <c r="V3073" t="s">
        <v>194</v>
      </c>
      <c r="W3073" t="s">
        <v>224</v>
      </c>
      <c r="X3073" t="s">
        <v>1727</v>
      </c>
      <c r="Y3073" t="s">
        <v>2273</v>
      </c>
      <c r="Z3073" t="s">
        <v>249</v>
      </c>
      <c r="AA3073" t="s">
        <v>2359</v>
      </c>
      <c r="AB3073" t="s">
        <v>1419</v>
      </c>
      <c r="AC3073" s="1" t="s">
        <v>152</v>
      </c>
      <c r="AD3073" t="s">
        <v>137</v>
      </c>
    </row>
    <row r="3074" spans="1:45" x14ac:dyDescent="0.2">
      <c r="A3074" t="s">
        <v>1725</v>
      </c>
      <c r="B3074" t="s">
        <v>1726</v>
      </c>
      <c r="C3074">
        <v>2012</v>
      </c>
      <c r="D3074" t="s">
        <v>44</v>
      </c>
      <c r="F3074" t="s">
        <v>81</v>
      </c>
      <c r="G3074" s="1" t="s">
        <v>86</v>
      </c>
      <c r="H3074" t="s">
        <v>96</v>
      </c>
      <c r="I3074">
        <v>2009</v>
      </c>
      <c r="K3074" t="s">
        <v>101</v>
      </c>
      <c r="L3074">
        <v>150</v>
      </c>
      <c r="M3074">
        <v>1</v>
      </c>
      <c r="N3074" t="s">
        <v>128</v>
      </c>
      <c r="O3074" t="s">
        <v>1541</v>
      </c>
      <c r="P3074" t="s">
        <v>224</v>
      </c>
      <c r="Q3074" s="1" t="s">
        <v>2276</v>
      </c>
      <c r="R3074" s="1" t="s">
        <v>751</v>
      </c>
      <c r="S3074" s="1" t="s">
        <v>2346</v>
      </c>
      <c r="V3074" t="s">
        <v>194</v>
      </c>
      <c r="W3074" t="s">
        <v>224</v>
      </c>
      <c r="X3074" t="s">
        <v>211</v>
      </c>
      <c r="Y3074" t="s">
        <v>2279</v>
      </c>
      <c r="Z3074" t="s">
        <v>2280</v>
      </c>
      <c r="AA3074" t="s">
        <v>2358</v>
      </c>
      <c r="AB3074" t="s">
        <v>2290</v>
      </c>
      <c r="AC3074" s="1" t="s">
        <v>152</v>
      </c>
      <c r="AD3074" t="s">
        <v>2278</v>
      </c>
      <c r="AE3074" s="1" t="s">
        <v>1728</v>
      </c>
      <c r="AF3074" s="1"/>
      <c r="AG3074" s="1"/>
      <c r="AH3074" s="2"/>
      <c r="AI3074" s="1"/>
      <c r="AJ3074" s="1"/>
      <c r="AK3074" s="1"/>
      <c r="AL3074" s="1"/>
    </row>
    <row r="3075" spans="1:45" x14ac:dyDescent="0.2">
      <c r="A3075" t="s">
        <v>1725</v>
      </c>
      <c r="B3075" t="s">
        <v>1726</v>
      </c>
      <c r="C3075">
        <v>2012</v>
      </c>
      <c r="D3075" t="s">
        <v>44</v>
      </c>
      <c r="F3075" t="s">
        <v>81</v>
      </c>
      <c r="G3075" s="1" t="s">
        <v>86</v>
      </c>
      <c r="H3075" t="s">
        <v>96</v>
      </c>
      <c r="I3075">
        <v>2009</v>
      </c>
      <c r="K3075" t="s">
        <v>101</v>
      </c>
      <c r="L3075">
        <v>150</v>
      </c>
      <c r="M3075">
        <v>0.25</v>
      </c>
      <c r="N3075" t="s">
        <v>128</v>
      </c>
      <c r="O3075" t="s">
        <v>1541</v>
      </c>
      <c r="P3075" t="s">
        <v>224</v>
      </c>
      <c r="Q3075" s="1" t="s">
        <v>2276</v>
      </c>
      <c r="R3075" s="1" t="s">
        <v>751</v>
      </c>
      <c r="S3075" s="1" t="s">
        <v>2346</v>
      </c>
      <c r="V3075" t="s">
        <v>194</v>
      </c>
      <c r="W3075" t="s">
        <v>224</v>
      </c>
      <c r="X3075" t="s">
        <v>171</v>
      </c>
      <c r="Y3075" t="s">
        <v>2273</v>
      </c>
      <c r="Z3075" t="s">
        <v>249</v>
      </c>
      <c r="AA3075" t="s">
        <v>2359</v>
      </c>
      <c r="AB3075" t="s">
        <v>1979</v>
      </c>
      <c r="AC3075" s="1" t="s">
        <v>152</v>
      </c>
      <c r="AD3075" t="s">
        <v>137</v>
      </c>
    </row>
    <row r="3076" spans="1:45" x14ac:dyDescent="0.2">
      <c r="A3076" t="s">
        <v>1725</v>
      </c>
      <c r="B3076" t="s">
        <v>1726</v>
      </c>
      <c r="C3076">
        <v>2012</v>
      </c>
      <c r="D3076" t="s">
        <v>44</v>
      </c>
      <c r="F3076" t="s">
        <v>81</v>
      </c>
      <c r="G3076" s="1" t="s">
        <v>86</v>
      </c>
      <c r="H3076" t="s">
        <v>96</v>
      </c>
      <c r="I3076">
        <v>2009</v>
      </c>
      <c r="K3076" t="s">
        <v>101</v>
      </c>
      <c r="L3076">
        <v>150</v>
      </c>
      <c r="M3076">
        <v>0.25</v>
      </c>
      <c r="N3076" t="s">
        <v>128</v>
      </c>
      <c r="O3076" t="s">
        <v>1541</v>
      </c>
      <c r="P3076" t="s">
        <v>224</v>
      </c>
      <c r="Q3076" s="1" t="s">
        <v>2276</v>
      </c>
      <c r="R3076" s="1" t="s">
        <v>751</v>
      </c>
      <c r="S3076" s="1" t="s">
        <v>2346</v>
      </c>
      <c r="V3076" t="s">
        <v>194</v>
      </c>
      <c r="W3076" t="s">
        <v>224</v>
      </c>
      <c r="X3076" t="s">
        <v>171</v>
      </c>
      <c r="Y3076" t="s">
        <v>2273</v>
      </c>
      <c r="Z3076" t="s">
        <v>249</v>
      </c>
      <c r="AA3076" t="s">
        <v>2359</v>
      </c>
      <c r="AB3076" t="s">
        <v>1979</v>
      </c>
      <c r="AC3076" s="1" t="s">
        <v>152</v>
      </c>
      <c r="AD3076" t="s">
        <v>137</v>
      </c>
      <c r="AF3076" t="s">
        <v>49</v>
      </c>
      <c r="AI3076" t="s">
        <v>49</v>
      </c>
      <c r="AM3076" s="1" t="s">
        <v>201</v>
      </c>
      <c r="AN3076" s="1" t="s">
        <v>166</v>
      </c>
      <c r="AP3076" s="1" t="s">
        <v>157</v>
      </c>
    </row>
    <row r="3077" spans="1:45" x14ac:dyDescent="0.2">
      <c r="A3077" t="s">
        <v>1725</v>
      </c>
      <c r="B3077" t="s">
        <v>1726</v>
      </c>
      <c r="C3077">
        <v>2012</v>
      </c>
      <c r="D3077" t="s">
        <v>811</v>
      </c>
      <c r="F3077" t="s">
        <v>81</v>
      </c>
      <c r="G3077" s="1" t="s">
        <v>86</v>
      </c>
      <c r="H3077" t="s">
        <v>96</v>
      </c>
      <c r="I3077">
        <v>2009</v>
      </c>
      <c r="J3077">
        <v>0.15</v>
      </c>
      <c r="K3077" t="s">
        <v>109</v>
      </c>
      <c r="L3077">
        <v>150</v>
      </c>
      <c r="M3077">
        <v>0.79</v>
      </c>
      <c r="N3077" t="s">
        <v>128</v>
      </c>
      <c r="O3077" t="s">
        <v>1541</v>
      </c>
      <c r="P3077" t="s">
        <v>224</v>
      </c>
      <c r="Q3077" s="1" t="s">
        <v>2276</v>
      </c>
      <c r="R3077" s="1" t="s">
        <v>751</v>
      </c>
      <c r="S3077" s="1" t="s">
        <v>2346</v>
      </c>
      <c r="V3077" t="s">
        <v>194</v>
      </c>
      <c r="W3077" t="s">
        <v>224</v>
      </c>
      <c r="X3077" t="s">
        <v>171</v>
      </c>
      <c r="Y3077" t="s">
        <v>2273</v>
      </c>
      <c r="Z3077" t="s">
        <v>249</v>
      </c>
      <c r="AA3077" t="s">
        <v>2359</v>
      </c>
      <c r="AB3077" t="s">
        <v>1979</v>
      </c>
      <c r="AC3077" s="1" t="s">
        <v>152</v>
      </c>
      <c r="AD3077" t="s">
        <v>137</v>
      </c>
      <c r="AF3077" t="s">
        <v>49</v>
      </c>
      <c r="AI3077" t="s">
        <v>49</v>
      </c>
      <c r="AM3077" s="1" t="s">
        <v>201</v>
      </c>
      <c r="AN3077" s="1" t="s">
        <v>166</v>
      </c>
      <c r="AP3077" s="1" t="s">
        <v>157</v>
      </c>
    </row>
    <row r="3078" spans="1:45" x14ac:dyDescent="0.2">
      <c r="A3078" t="s">
        <v>1725</v>
      </c>
      <c r="B3078" t="s">
        <v>1726</v>
      </c>
      <c r="C3078">
        <v>2012</v>
      </c>
      <c r="D3078" t="s">
        <v>44</v>
      </c>
      <c r="F3078" t="s">
        <v>81</v>
      </c>
      <c r="G3078" s="1" t="s">
        <v>86</v>
      </c>
      <c r="H3078" t="s">
        <v>96</v>
      </c>
      <c r="I3078">
        <v>2009</v>
      </c>
      <c r="K3078" t="s">
        <v>101</v>
      </c>
      <c r="L3078">
        <v>150</v>
      </c>
      <c r="M3078">
        <v>0.25</v>
      </c>
      <c r="N3078" t="s">
        <v>128</v>
      </c>
      <c r="O3078" t="s">
        <v>1541</v>
      </c>
      <c r="P3078" t="s">
        <v>224</v>
      </c>
      <c r="Q3078" s="1" t="s">
        <v>2276</v>
      </c>
      <c r="R3078" s="1" t="s">
        <v>751</v>
      </c>
      <c r="S3078" s="1" t="s">
        <v>2346</v>
      </c>
      <c r="V3078" t="s">
        <v>194</v>
      </c>
      <c r="W3078" t="s">
        <v>224</v>
      </c>
      <c r="X3078" t="s">
        <v>171</v>
      </c>
      <c r="Y3078" t="s">
        <v>2273</v>
      </c>
      <c r="Z3078" t="s">
        <v>249</v>
      </c>
      <c r="AA3078" t="s">
        <v>2359</v>
      </c>
      <c r="AB3078" t="s">
        <v>1979</v>
      </c>
      <c r="AC3078" s="1" t="s">
        <v>152</v>
      </c>
      <c r="AD3078" t="s">
        <v>137</v>
      </c>
      <c r="AF3078" t="s">
        <v>49</v>
      </c>
      <c r="AK3078" t="s">
        <v>49</v>
      </c>
      <c r="AM3078" s="1" t="s">
        <v>1484</v>
      </c>
      <c r="AN3078" s="1" t="s">
        <v>166</v>
      </c>
      <c r="AP3078" s="1" t="s">
        <v>157</v>
      </c>
    </row>
    <row r="3079" spans="1:45" x14ac:dyDescent="0.2">
      <c r="A3079" t="s">
        <v>1725</v>
      </c>
      <c r="B3079" t="s">
        <v>1726</v>
      </c>
      <c r="C3079">
        <v>2012</v>
      </c>
      <c r="D3079" t="s">
        <v>811</v>
      </c>
      <c r="F3079" t="s">
        <v>81</v>
      </c>
      <c r="G3079" s="1" t="s">
        <v>86</v>
      </c>
      <c r="H3079" t="s">
        <v>96</v>
      </c>
      <c r="I3079">
        <v>2009</v>
      </c>
      <c r="J3079">
        <v>0.15</v>
      </c>
      <c r="K3079" t="s">
        <v>109</v>
      </c>
      <c r="L3079">
        <v>150</v>
      </c>
      <c r="M3079">
        <v>0.79</v>
      </c>
      <c r="N3079" t="s">
        <v>128</v>
      </c>
      <c r="O3079" t="s">
        <v>1541</v>
      </c>
      <c r="P3079" t="s">
        <v>224</v>
      </c>
      <c r="Q3079" s="1" t="s">
        <v>2276</v>
      </c>
      <c r="R3079" s="1" t="s">
        <v>751</v>
      </c>
      <c r="S3079" s="1" t="s">
        <v>2346</v>
      </c>
      <c r="V3079" t="s">
        <v>194</v>
      </c>
      <c r="W3079" t="s">
        <v>224</v>
      </c>
      <c r="X3079" t="s">
        <v>171</v>
      </c>
      <c r="Y3079" t="s">
        <v>2273</v>
      </c>
      <c r="Z3079" t="s">
        <v>249</v>
      </c>
      <c r="AA3079" t="s">
        <v>2359</v>
      </c>
      <c r="AB3079" t="s">
        <v>1979</v>
      </c>
      <c r="AC3079" s="1" t="s">
        <v>152</v>
      </c>
      <c r="AD3079" t="s">
        <v>137</v>
      </c>
      <c r="AF3079" t="s">
        <v>49</v>
      </c>
      <c r="AK3079" t="s">
        <v>49</v>
      </c>
      <c r="AM3079" s="1" t="s">
        <v>1484</v>
      </c>
      <c r="AN3079" s="1" t="s">
        <v>166</v>
      </c>
      <c r="AP3079" s="1" t="s">
        <v>157</v>
      </c>
    </row>
    <row r="3080" spans="1:45" x14ac:dyDescent="0.2">
      <c r="A3080" t="s">
        <v>1725</v>
      </c>
      <c r="B3080" t="s">
        <v>1726</v>
      </c>
      <c r="C3080">
        <v>2012</v>
      </c>
      <c r="D3080" t="s">
        <v>811</v>
      </c>
      <c r="F3080" t="s">
        <v>81</v>
      </c>
      <c r="G3080" s="1" t="s">
        <v>86</v>
      </c>
      <c r="H3080" t="s">
        <v>96</v>
      </c>
      <c r="I3080">
        <v>2009</v>
      </c>
      <c r="J3080">
        <v>0.15</v>
      </c>
      <c r="K3080" t="s">
        <v>109</v>
      </c>
      <c r="L3080">
        <v>150</v>
      </c>
      <c r="M3080">
        <v>0.79</v>
      </c>
      <c r="N3080" t="s">
        <v>128</v>
      </c>
      <c r="O3080" t="s">
        <v>1541</v>
      </c>
      <c r="P3080" t="s">
        <v>224</v>
      </c>
      <c r="Q3080" s="1" t="s">
        <v>2276</v>
      </c>
      <c r="R3080" s="1" t="s">
        <v>751</v>
      </c>
      <c r="S3080" s="1" t="s">
        <v>2346</v>
      </c>
      <c r="V3080" t="s">
        <v>194</v>
      </c>
      <c r="W3080" t="s">
        <v>224</v>
      </c>
      <c r="X3080" t="s">
        <v>449</v>
      </c>
      <c r="Y3080" t="s">
        <v>2273</v>
      </c>
      <c r="Z3080" t="s">
        <v>2356</v>
      </c>
      <c r="AA3080" t="s">
        <v>2357</v>
      </c>
      <c r="AB3080" t="s">
        <v>449</v>
      </c>
      <c r="AC3080" s="1" t="s">
        <v>152</v>
      </c>
      <c r="AD3080" t="s">
        <v>137</v>
      </c>
      <c r="AE3080" s="1" t="s">
        <v>415</v>
      </c>
      <c r="AF3080" s="1"/>
      <c r="AG3080" s="1"/>
      <c r="AH3080" s="2"/>
      <c r="AI3080" s="1"/>
      <c r="AJ3080" s="1"/>
      <c r="AK3080" s="1"/>
      <c r="AL3080" s="1"/>
    </row>
    <row r="3081" spans="1:45" x14ac:dyDescent="0.2">
      <c r="A3081" t="s">
        <v>1729</v>
      </c>
      <c r="B3081" t="s">
        <v>1669</v>
      </c>
      <c r="C3081">
        <v>2012</v>
      </c>
      <c r="D3081" t="s">
        <v>44</v>
      </c>
      <c r="F3081" t="s">
        <v>83</v>
      </c>
      <c r="G3081" s="1" t="s">
        <v>85</v>
      </c>
      <c r="H3081" t="s">
        <v>96</v>
      </c>
      <c r="I3081">
        <v>2008</v>
      </c>
      <c r="J3081">
        <v>0.17</v>
      </c>
      <c r="L3081">
        <v>160</v>
      </c>
      <c r="M3081">
        <f t="shared" ref="M3081:M3086" si="71">0.5*0.5</f>
        <v>0.25</v>
      </c>
      <c r="N3081" t="s">
        <v>760</v>
      </c>
      <c r="O3081" t="s">
        <v>760</v>
      </c>
      <c r="P3081" t="s">
        <v>1730</v>
      </c>
      <c r="Q3081" s="1" t="s">
        <v>2292</v>
      </c>
      <c r="R3081" s="1" t="s">
        <v>760</v>
      </c>
      <c r="S3081" s="1" t="s">
        <v>760</v>
      </c>
      <c r="X3081" t="s">
        <v>1731</v>
      </c>
      <c r="Y3081" t="s">
        <v>2279</v>
      </c>
      <c r="Z3081" t="s">
        <v>2280</v>
      </c>
      <c r="AA3081" t="s">
        <v>2358</v>
      </c>
      <c r="AB3081" t="s">
        <v>189</v>
      </c>
      <c r="AC3081" s="1" t="s">
        <v>152</v>
      </c>
      <c r="AD3081" t="s">
        <v>2278</v>
      </c>
      <c r="AF3081" t="s">
        <v>49</v>
      </c>
      <c r="AI3081" t="s">
        <v>49</v>
      </c>
      <c r="AM3081" s="1" t="s">
        <v>201</v>
      </c>
      <c r="AN3081" s="1" t="s">
        <v>166</v>
      </c>
      <c r="AP3081" s="1" t="s">
        <v>51</v>
      </c>
      <c r="AR3081">
        <v>1</v>
      </c>
    </row>
    <row r="3082" spans="1:45" x14ac:dyDescent="0.2">
      <c r="A3082" t="s">
        <v>1729</v>
      </c>
      <c r="B3082" t="s">
        <v>1669</v>
      </c>
      <c r="C3082">
        <v>2012</v>
      </c>
      <c r="D3082" t="s">
        <v>44</v>
      </c>
      <c r="F3082" t="s">
        <v>83</v>
      </c>
      <c r="G3082" s="1" t="s">
        <v>85</v>
      </c>
      <c r="H3082" t="s">
        <v>96</v>
      </c>
      <c r="I3082">
        <v>2008</v>
      </c>
      <c r="J3082">
        <v>0.17</v>
      </c>
      <c r="L3082">
        <v>160</v>
      </c>
      <c r="M3082">
        <f t="shared" si="71"/>
        <v>0.25</v>
      </c>
      <c r="N3082" t="s">
        <v>760</v>
      </c>
      <c r="O3082" t="s">
        <v>760</v>
      </c>
      <c r="P3082" t="s">
        <v>1730</v>
      </c>
      <c r="Q3082" s="1" t="s">
        <v>2292</v>
      </c>
      <c r="R3082" s="1" t="s">
        <v>760</v>
      </c>
      <c r="S3082" s="1" t="s">
        <v>760</v>
      </c>
      <c r="X3082" t="s">
        <v>1731</v>
      </c>
      <c r="Y3082" t="s">
        <v>2279</v>
      </c>
      <c r="Z3082" t="s">
        <v>2280</v>
      </c>
      <c r="AA3082" t="s">
        <v>2358</v>
      </c>
      <c r="AB3082" t="s">
        <v>189</v>
      </c>
      <c r="AC3082" s="1" t="s">
        <v>152</v>
      </c>
      <c r="AD3082" t="s">
        <v>2278</v>
      </c>
      <c r="AF3082" t="s">
        <v>49</v>
      </c>
      <c r="AI3082" t="s">
        <v>49</v>
      </c>
      <c r="AM3082" s="1" t="s">
        <v>201</v>
      </c>
      <c r="AN3082" s="1" t="s">
        <v>154</v>
      </c>
      <c r="AP3082" s="1" t="s">
        <v>51</v>
      </c>
      <c r="AR3082">
        <v>1</v>
      </c>
    </row>
    <row r="3083" spans="1:45" x14ac:dyDescent="0.2">
      <c r="A3083" t="s">
        <v>1729</v>
      </c>
      <c r="B3083" t="s">
        <v>1669</v>
      </c>
      <c r="C3083">
        <v>2012</v>
      </c>
      <c r="D3083" t="s">
        <v>44</v>
      </c>
      <c r="F3083" t="s">
        <v>83</v>
      </c>
      <c r="G3083" s="1" t="s">
        <v>85</v>
      </c>
      <c r="H3083" t="s">
        <v>96</v>
      </c>
      <c r="I3083">
        <v>2008</v>
      </c>
      <c r="J3083">
        <v>0.17</v>
      </c>
      <c r="L3083">
        <v>160</v>
      </c>
      <c r="M3083">
        <f t="shared" si="71"/>
        <v>0.25</v>
      </c>
      <c r="N3083" t="s">
        <v>760</v>
      </c>
      <c r="O3083" t="s">
        <v>760</v>
      </c>
      <c r="P3083" t="s">
        <v>1730</v>
      </c>
      <c r="Q3083" s="1" t="s">
        <v>2292</v>
      </c>
      <c r="R3083" s="1" t="s">
        <v>760</v>
      </c>
      <c r="S3083" s="1" t="s">
        <v>760</v>
      </c>
      <c r="X3083" t="s">
        <v>1731</v>
      </c>
      <c r="Y3083" t="s">
        <v>2279</v>
      </c>
      <c r="Z3083" t="s">
        <v>2280</v>
      </c>
      <c r="AA3083" t="s">
        <v>2358</v>
      </c>
      <c r="AB3083" t="s">
        <v>189</v>
      </c>
      <c r="AC3083" s="1" t="s">
        <v>152</v>
      </c>
      <c r="AD3083" t="s">
        <v>2278</v>
      </c>
      <c r="AF3083" t="s">
        <v>49</v>
      </c>
      <c r="AL3083" t="s">
        <v>49</v>
      </c>
      <c r="AM3083" s="1" t="s">
        <v>1130</v>
      </c>
      <c r="AN3083" s="1" t="s">
        <v>166</v>
      </c>
      <c r="AP3083" s="1" t="s">
        <v>157</v>
      </c>
      <c r="AR3083">
        <v>1</v>
      </c>
    </row>
    <row r="3084" spans="1:45" x14ac:dyDescent="0.2">
      <c r="A3084" t="s">
        <v>1729</v>
      </c>
      <c r="B3084" t="s">
        <v>1669</v>
      </c>
      <c r="C3084">
        <v>2012</v>
      </c>
      <c r="D3084" t="s">
        <v>811</v>
      </c>
      <c r="F3084" t="s">
        <v>83</v>
      </c>
      <c r="G3084" s="1" t="s">
        <v>85</v>
      </c>
      <c r="H3084" t="s">
        <v>96</v>
      </c>
      <c r="I3084">
        <v>2008</v>
      </c>
      <c r="J3084">
        <v>0.23</v>
      </c>
      <c r="K3084" t="s">
        <v>109</v>
      </c>
      <c r="M3084">
        <f t="shared" si="71"/>
        <v>0.25</v>
      </c>
      <c r="N3084" t="s">
        <v>760</v>
      </c>
      <c r="O3084" t="s">
        <v>760</v>
      </c>
      <c r="P3084" t="s">
        <v>1730</v>
      </c>
      <c r="Q3084" s="1" t="s">
        <v>2292</v>
      </c>
      <c r="R3084" s="1" t="s">
        <v>760</v>
      </c>
      <c r="S3084" s="1" t="s">
        <v>760</v>
      </c>
      <c r="X3084" t="s">
        <v>1731</v>
      </c>
      <c r="Y3084" t="s">
        <v>2279</v>
      </c>
      <c r="Z3084" t="s">
        <v>2280</v>
      </c>
      <c r="AA3084" t="s">
        <v>2358</v>
      </c>
      <c r="AB3084" t="s">
        <v>189</v>
      </c>
      <c r="AC3084" s="1" t="s">
        <v>152</v>
      </c>
      <c r="AD3084" t="s">
        <v>2278</v>
      </c>
      <c r="AF3084" t="s">
        <v>49</v>
      </c>
      <c r="AI3084" t="s">
        <v>49</v>
      </c>
      <c r="AM3084" s="1" t="s">
        <v>201</v>
      </c>
      <c r="AN3084" s="1" t="s">
        <v>166</v>
      </c>
      <c r="AP3084" s="1" t="s">
        <v>51</v>
      </c>
      <c r="AR3084">
        <v>1</v>
      </c>
    </row>
    <row r="3085" spans="1:45" x14ac:dyDescent="0.2">
      <c r="A3085" t="s">
        <v>1729</v>
      </c>
      <c r="B3085" t="s">
        <v>1669</v>
      </c>
      <c r="C3085">
        <v>2012</v>
      </c>
      <c r="D3085" t="s">
        <v>811</v>
      </c>
      <c r="F3085" t="s">
        <v>83</v>
      </c>
      <c r="G3085" s="1" t="s">
        <v>85</v>
      </c>
      <c r="H3085" t="s">
        <v>96</v>
      </c>
      <c r="I3085">
        <v>2008</v>
      </c>
      <c r="J3085">
        <v>0.23</v>
      </c>
      <c r="K3085" t="s">
        <v>109</v>
      </c>
      <c r="M3085">
        <f t="shared" si="71"/>
        <v>0.25</v>
      </c>
      <c r="N3085" t="s">
        <v>760</v>
      </c>
      <c r="O3085" t="s">
        <v>760</v>
      </c>
      <c r="P3085" t="s">
        <v>1730</v>
      </c>
      <c r="Q3085" s="1" t="s">
        <v>2292</v>
      </c>
      <c r="R3085" s="1" t="s">
        <v>760</v>
      </c>
      <c r="S3085" s="1" t="s">
        <v>760</v>
      </c>
      <c r="X3085" t="s">
        <v>1731</v>
      </c>
      <c r="Y3085" t="s">
        <v>2279</v>
      </c>
      <c r="Z3085" t="s">
        <v>2280</v>
      </c>
      <c r="AA3085" t="s">
        <v>2358</v>
      </c>
      <c r="AB3085" t="s">
        <v>189</v>
      </c>
      <c r="AC3085" s="1" t="s">
        <v>152</v>
      </c>
      <c r="AD3085" t="s">
        <v>2278</v>
      </c>
      <c r="AF3085" t="s">
        <v>49</v>
      </c>
      <c r="AI3085" t="s">
        <v>49</v>
      </c>
      <c r="AM3085" s="1" t="s">
        <v>201</v>
      </c>
      <c r="AN3085" s="1" t="s">
        <v>154</v>
      </c>
      <c r="AP3085" s="1" t="s">
        <v>51</v>
      </c>
      <c r="AR3085">
        <v>1</v>
      </c>
    </row>
    <row r="3086" spans="1:45" x14ac:dyDescent="0.2">
      <c r="A3086" t="s">
        <v>1729</v>
      </c>
      <c r="B3086" t="s">
        <v>1669</v>
      </c>
      <c r="C3086">
        <v>2012</v>
      </c>
      <c r="D3086" t="s">
        <v>811</v>
      </c>
      <c r="F3086" t="s">
        <v>83</v>
      </c>
      <c r="G3086" s="1" t="s">
        <v>85</v>
      </c>
      <c r="H3086" t="s">
        <v>96</v>
      </c>
      <c r="I3086">
        <v>2008</v>
      </c>
      <c r="J3086">
        <v>0.23</v>
      </c>
      <c r="K3086" t="s">
        <v>109</v>
      </c>
      <c r="M3086">
        <f t="shared" si="71"/>
        <v>0.25</v>
      </c>
      <c r="N3086" t="s">
        <v>760</v>
      </c>
      <c r="O3086" t="s">
        <v>760</v>
      </c>
      <c r="P3086" t="s">
        <v>1730</v>
      </c>
      <c r="Q3086" s="1" t="s">
        <v>2292</v>
      </c>
      <c r="R3086" s="1" t="s">
        <v>760</v>
      </c>
      <c r="S3086" s="1" t="s">
        <v>760</v>
      </c>
      <c r="X3086" t="s">
        <v>1731</v>
      </c>
      <c r="Y3086" t="s">
        <v>2279</v>
      </c>
      <c r="Z3086" t="s">
        <v>2280</v>
      </c>
      <c r="AA3086" t="s">
        <v>2358</v>
      </c>
      <c r="AB3086" t="s">
        <v>189</v>
      </c>
      <c r="AC3086" s="1" t="s">
        <v>152</v>
      </c>
      <c r="AD3086" t="s">
        <v>2278</v>
      </c>
      <c r="AF3086" t="s">
        <v>49</v>
      </c>
      <c r="AI3086" t="s">
        <v>49</v>
      </c>
      <c r="AM3086" s="1" t="s">
        <v>201</v>
      </c>
      <c r="AN3086" s="1" t="s">
        <v>165</v>
      </c>
      <c r="AP3086" s="1" t="s">
        <v>51</v>
      </c>
      <c r="AR3086">
        <v>1</v>
      </c>
    </row>
    <row r="3087" spans="1:45" x14ac:dyDescent="0.2">
      <c r="A3087" t="s">
        <v>1732</v>
      </c>
      <c r="B3087" t="s">
        <v>1733</v>
      </c>
      <c r="C3087">
        <v>2012</v>
      </c>
      <c r="D3087" t="s">
        <v>47</v>
      </c>
      <c r="Q3087" s="1" t="s">
        <v>2272</v>
      </c>
      <c r="R3087" s="1" t="s">
        <v>2272</v>
      </c>
      <c r="S3087" s="1" t="s">
        <v>2272</v>
      </c>
      <c r="Y3087" t="s">
        <v>2272</v>
      </c>
      <c r="Z3087" t="s">
        <v>2272</v>
      </c>
      <c r="AA3087" t="s">
        <v>2272</v>
      </c>
      <c r="AB3087" t="s">
        <v>2272</v>
      </c>
      <c r="AD3087" t="s">
        <v>2272</v>
      </c>
      <c r="AR3087" t="s">
        <v>144</v>
      </c>
      <c r="AS3087" t="s">
        <v>2583</v>
      </c>
    </row>
    <row r="3088" spans="1:45" x14ac:dyDescent="0.2">
      <c r="A3088" t="s">
        <v>1734</v>
      </c>
      <c r="B3088" t="s">
        <v>1735</v>
      </c>
      <c r="C3088">
        <v>2012</v>
      </c>
      <c r="D3088" t="s">
        <v>44</v>
      </c>
      <c r="F3088" t="s">
        <v>638</v>
      </c>
      <c r="G3088" s="1" t="s">
        <v>90</v>
      </c>
      <c r="H3088" t="s">
        <v>350</v>
      </c>
      <c r="I3088">
        <v>2005</v>
      </c>
      <c r="K3088" t="s">
        <v>102</v>
      </c>
      <c r="L3088">
        <v>2.5</v>
      </c>
      <c r="M3088">
        <v>1</v>
      </c>
      <c r="N3088" t="s">
        <v>120</v>
      </c>
      <c r="O3088" t="s">
        <v>216</v>
      </c>
      <c r="P3088" t="s">
        <v>581</v>
      </c>
      <c r="Q3088" s="1" t="s">
        <v>2276</v>
      </c>
      <c r="R3088" s="1" t="s">
        <v>669</v>
      </c>
      <c r="S3088" s="1" t="s">
        <v>168</v>
      </c>
      <c r="X3088" t="s">
        <v>189</v>
      </c>
      <c r="Y3088" t="s">
        <v>2279</v>
      </c>
      <c r="Z3088" t="s">
        <v>2280</v>
      </c>
      <c r="AA3088" t="s">
        <v>2358</v>
      </c>
      <c r="AB3088" t="s">
        <v>189</v>
      </c>
      <c r="AC3088" s="1" t="s">
        <v>152</v>
      </c>
      <c r="AD3088" t="s">
        <v>2278</v>
      </c>
      <c r="AE3088" s="1" t="s">
        <v>102</v>
      </c>
      <c r="AF3088" s="1"/>
      <c r="AG3088" s="1"/>
      <c r="AH3088" s="2"/>
      <c r="AI3088" s="1"/>
      <c r="AJ3088" s="1"/>
      <c r="AK3088" s="1"/>
      <c r="AL3088" s="1"/>
    </row>
    <row r="3089" spans="1:43" x14ac:dyDescent="0.2">
      <c r="A3089" t="s">
        <v>1734</v>
      </c>
      <c r="B3089" t="s">
        <v>1735</v>
      </c>
      <c r="C3089">
        <v>2012</v>
      </c>
      <c r="D3089" t="s">
        <v>44</v>
      </c>
      <c r="F3089" t="s">
        <v>638</v>
      </c>
      <c r="G3089" s="1" t="s">
        <v>90</v>
      </c>
      <c r="H3089" t="s">
        <v>350</v>
      </c>
      <c r="I3089">
        <v>2005</v>
      </c>
      <c r="K3089" t="s">
        <v>102</v>
      </c>
      <c r="L3089">
        <v>2.5</v>
      </c>
      <c r="M3089">
        <v>1</v>
      </c>
      <c r="N3089" t="s">
        <v>120</v>
      </c>
      <c r="O3089" t="s">
        <v>216</v>
      </c>
      <c r="P3089" t="s">
        <v>581</v>
      </c>
      <c r="Q3089" s="1" t="s">
        <v>2276</v>
      </c>
      <c r="R3089" s="1" t="s">
        <v>669</v>
      </c>
      <c r="S3089" s="1" t="s">
        <v>168</v>
      </c>
      <c r="T3089" t="s">
        <v>421</v>
      </c>
      <c r="U3089" t="s">
        <v>421</v>
      </c>
      <c r="X3089" t="s">
        <v>161</v>
      </c>
      <c r="Y3089" t="s">
        <v>2272</v>
      </c>
      <c r="Z3089" t="s">
        <v>2272</v>
      </c>
      <c r="AA3089" t="s">
        <v>2272</v>
      </c>
      <c r="AB3089" t="s">
        <v>2272</v>
      </c>
      <c r="AC3089" s="1" t="s">
        <v>162</v>
      </c>
      <c r="AD3089" t="s">
        <v>2272</v>
      </c>
      <c r="AF3089" t="s">
        <v>49</v>
      </c>
      <c r="AK3089" t="s">
        <v>49</v>
      </c>
      <c r="AM3089" t="s">
        <v>1736</v>
      </c>
      <c r="AN3089" s="1" t="s">
        <v>166</v>
      </c>
      <c r="AP3089" s="1"/>
      <c r="AQ3089" s="5">
        <v>0</v>
      </c>
    </row>
    <row r="3090" spans="1:43" x14ac:dyDescent="0.2">
      <c r="A3090" t="s">
        <v>1734</v>
      </c>
      <c r="B3090" t="s">
        <v>1735</v>
      </c>
      <c r="C3090">
        <v>2012</v>
      </c>
      <c r="D3090" t="s">
        <v>44</v>
      </c>
      <c r="F3090" t="s">
        <v>638</v>
      </c>
      <c r="G3090" s="1" t="s">
        <v>90</v>
      </c>
      <c r="H3090" t="s">
        <v>350</v>
      </c>
      <c r="I3090">
        <v>2005</v>
      </c>
      <c r="K3090" t="s">
        <v>102</v>
      </c>
      <c r="L3090">
        <v>2.5</v>
      </c>
      <c r="M3090">
        <v>1</v>
      </c>
      <c r="N3090" t="s">
        <v>120</v>
      </c>
      <c r="O3090" t="s">
        <v>216</v>
      </c>
      <c r="P3090" t="s">
        <v>581</v>
      </c>
      <c r="Q3090" s="1" t="s">
        <v>2276</v>
      </c>
      <c r="R3090" s="1" t="s">
        <v>669</v>
      </c>
      <c r="S3090" s="1" t="s">
        <v>168</v>
      </c>
      <c r="T3090" t="s">
        <v>421</v>
      </c>
      <c r="U3090" t="s">
        <v>421</v>
      </c>
      <c r="X3090" t="s">
        <v>161</v>
      </c>
      <c r="Y3090" t="s">
        <v>2272</v>
      </c>
      <c r="Z3090" t="s">
        <v>2272</v>
      </c>
      <c r="AA3090" t="s">
        <v>2272</v>
      </c>
      <c r="AB3090" t="s">
        <v>2272</v>
      </c>
      <c r="AC3090" s="1" t="s">
        <v>162</v>
      </c>
      <c r="AD3090" t="s">
        <v>2272</v>
      </c>
      <c r="AF3090" t="s">
        <v>49</v>
      </c>
      <c r="AK3090" t="s">
        <v>49</v>
      </c>
      <c r="AM3090" t="s">
        <v>1737</v>
      </c>
      <c r="AN3090" s="1" t="s">
        <v>166</v>
      </c>
      <c r="AP3090" s="1"/>
      <c r="AQ3090" s="5">
        <v>1</v>
      </c>
    </row>
    <row r="3091" spans="1:43" x14ac:dyDescent="0.2">
      <c r="A3091" t="s">
        <v>1734</v>
      </c>
      <c r="B3091" t="s">
        <v>1735</v>
      </c>
      <c r="C3091">
        <v>2012</v>
      </c>
      <c r="D3091" t="s">
        <v>44</v>
      </c>
      <c r="F3091" t="s">
        <v>638</v>
      </c>
      <c r="G3091" s="1" t="s">
        <v>90</v>
      </c>
      <c r="H3091" t="s">
        <v>350</v>
      </c>
      <c r="I3091">
        <v>2005</v>
      </c>
      <c r="K3091" t="s">
        <v>102</v>
      </c>
      <c r="L3091">
        <v>2.5</v>
      </c>
      <c r="M3091">
        <v>1</v>
      </c>
      <c r="N3091" t="s">
        <v>120</v>
      </c>
      <c r="O3091" t="s">
        <v>216</v>
      </c>
      <c r="P3091" t="s">
        <v>581</v>
      </c>
      <c r="Q3091" s="1" t="s">
        <v>2276</v>
      </c>
      <c r="R3091" s="1" t="s">
        <v>669</v>
      </c>
      <c r="S3091" s="1" t="s">
        <v>168</v>
      </c>
      <c r="T3091" t="s">
        <v>421</v>
      </c>
      <c r="U3091" t="s">
        <v>421</v>
      </c>
      <c r="X3091" t="s">
        <v>161</v>
      </c>
      <c r="Y3091" t="s">
        <v>2272</v>
      </c>
      <c r="Z3091" t="s">
        <v>2272</v>
      </c>
      <c r="AA3091" t="s">
        <v>2272</v>
      </c>
      <c r="AB3091" t="s">
        <v>2272</v>
      </c>
      <c r="AC3091" s="1" t="s">
        <v>162</v>
      </c>
      <c r="AD3091" t="s">
        <v>2272</v>
      </c>
      <c r="AF3091" t="s">
        <v>49</v>
      </c>
      <c r="AL3091" t="s">
        <v>49</v>
      </c>
      <c r="AM3091" t="s">
        <v>1738</v>
      </c>
      <c r="AN3091" s="1" t="s">
        <v>166</v>
      </c>
      <c r="AP3091" s="1"/>
      <c r="AQ3091" s="5">
        <v>1</v>
      </c>
    </row>
    <row r="3092" spans="1:43" x14ac:dyDescent="0.2">
      <c r="A3092" t="s">
        <v>1734</v>
      </c>
      <c r="B3092" t="s">
        <v>1735</v>
      </c>
      <c r="C3092">
        <v>2012</v>
      </c>
      <c r="D3092" t="s">
        <v>44</v>
      </c>
      <c r="F3092" t="s">
        <v>638</v>
      </c>
      <c r="G3092" s="1" t="s">
        <v>90</v>
      </c>
      <c r="H3092" t="s">
        <v>350</v>
      </c>
      <c r="I3092">
        <v>2005</v>
      </c>
      <c r="K3092" t="s">
        <v>102</v>
      </c>
      <c r="L3092">
        <v>2.5</v>
      </c>
      <c r="M3092">
        <v>1</v>
      </c>
      <c r="N3092" t="s">
        <v>120</v>
      </c>
      <c r="O3092" t="s">
        <v>216</v>
      </c>
      <c r="P3092" t="s">
        <v>581</v>
      </c>
      <c r="Q3092" s="1" t="s">
        <v>2276</v>
      </c>
      <c r="R3092" s="1" t="s">
        <v>669</v>
      </c>
      <c r="S3092" s="1" t="s">
        <v>168</v>
      </c>
      <c r="T3092" t="s">
        <v>421</v>
      </c>
      <c r="U3092" t="s">
        <v>421</v>
      </c>
      <c r="X3092" t="s">
        <v>161</v>
      </c>
      <c r="Y3092" t="s">
        <v>2272</v>
      </c>
      <c r="Z3092" t="s">
        <v>2272</v>
      </c>
      <c r="AA3092" t="s">
        <v>2272</v>
      </c>
      <c r="AB3092" t="s">
        <v>2272</v>
      </c>
      <c r="AC3092" s="1" t="s">
        <v>162</v>
      </c>
      <c r="AD3092" t="s">
        <v>2272</v>
      </c>
      <c r="AF3092" t="s">
        <v>49</v>
      </c>
      <c r="AK3092" t="s">
        <v>49</v>
      </c>
      <c r="AM3092" t="s">
        <v>1739</v>
      </c>
      <c r="AN3092" s="1" t="s">
        <v>166</v>
      </c>
      <c r="AP3092" s="1"/>
      <c r="AQ3092" s="5">
        <v>1</v>
      </c>
    </row>
    <row r="3093" spans="1:43" x14ac:dyDescent="0.2">
      <c r="A3093" t="s">
        <v>1734</v>
      </c>
      <c r="B3093" t="s">
        <v>1735</v>
      </c>
      <c r="C3093">
        <v>2012</v>
      </c>
      <c r="D3093" t="s">
        <v>44</v>
      </c>
      <c r="F3093" t="s">
        <v>638</v>
      </c>
      <c r="G3093" s="1" t="s">
        <v>90</v>
      </c>
      <c r="H3093" t="s">
        <v>350</v>
      </c>
      <c r="I3093">
        <v>2005</v>
      </c>
      <c r="K3093" t="s">
        <v>102</v>
      </c>
      <c r="L3093">
        <v>2.5</v>
      </c>
      <c r="M3093">
        <v>1</v>
      </c>
      <c r="N3093" t="s">
        <v>120</v>
      </c>
      <c r="O3093" t="s">
        <v>216</v>
      </c>
      <c r="P3093" t="s">
        <v>581</v>
      </c>
      <c r="Q3093" s="1" t="s">
        <v>2276</v>
      </c>
      <c r="R3093" s="1" t="s">
        <v>669</v>
      </c>
      <c r="S3093" s="1" t="s">
        <v>168</v>
      </c>
      <c r="T3093" t="s">
        <v>421</v>
      </c>
      <c r="U3093" t="s">
        <v>421</v>
      </c>
      <c r="X3093" t="s">
        <v>161</v>
      </c>
      <c r="Y3093" t="s">
        <v>2272</v>
      </c>
      <c r="Z3093" t="s">
        <v>2272</v>
      </c>
      <c r="AA3093" t="s">
        <v>2272</v>
      </c>
      <c r="AB3093" t="s">
        <v>2272</v>
      </c>
      <c r="AC3093" s="1" t="s">
        <v>162</v>
      </c>
      <c r="AD3093" t="s">
        <v>2272</v>
      </c>
      <c r="AF3093" t="s">
        <v>49</v>
      </c>
      <c r="AL3093" t="s">
        <v>49</v>
      </c>
      <c r="AM3093" t="s">
        <v>1740</v>
      </c>
      <c r="AN3093" s="1" t="s">
        <v>166</v>
      </c>
      <c r="AP3093" s="1"/>
      <c r="AQ3093" s="5">
        <v>1</v>
      </c>
    </row>
    <row r="3094" spans="1:43" x14ac:dyDescent="0.2">
      <c r="A3094" t="s">
        <v>1734</v>
      </c>
      <c r="B3094" t="s">
        <v>1735</v>
      </c>
      <c r="C3094">
        <v>2012</v>
      </c>
      <c r="D3094" t="s">
        <v>44</v>
      </c>
      <c r="F3094" t="s">
        <v>638</v>
      </c>
      <c r="G3094" s="1" t="s">
        <v>90</v>
      </c>
      <c r="H3094" t="s">
        <v>350</v>
      </c>
      <c r="I3094">
        <v>2005</v>
      </c>
      <c r="K3094" t="s">
        <v>102</v>
      </c>
      <c r="L3094">
        <v>2.5</v>
      </c>
      <c r="M3094">
        <v>1</v>
      </c>
      <c r="N3094" t="s">
        <v>120</v>
      </c>
      <c r="O3094" t="s">
        <v>216</v>
      </c>
      <c r="P3094" t="s">
        <v>581</v>
      </c>
      <c r="Q3094" s="1" t="s">
        <v>2276</v>
      </c>
      <c r="R3094" s="1" t="s">
        <v>669</v>
      </c>
      <c r="S3094" s="1" t="s">
        <v>168</v>
      </c>
      <c r="T3094" t="s">
        <v>421</v>
      </c>
      <c r="U3094" t="s">
        <v>421</v>
      </c>
      <c r="X3094" t="s">
        <v>161</v>
      </c>
      <c r="Y3094" t="s">
        <v>2272</v>
      </c>
      <c r="Z3094" t="s">
        <v>2272</v>
      </c>
      <c r="AA3094" t="s">
        <v>2272</v>
      </c>
      <c r="AB3094" t="s">
        <v>2272</v>
      </c>
      <c r="AC3094" s="1" t="s">
        <v>162</v>
      </c>
      <c r="AD3094" t="s">
        <v>2272</v>
      </c>
      <c r="AF3094" t="s">
        <v>49</v>
      </c>
      <c r="AK3094" t="s">
        <v>49</v>
      </c>
      <c r="AM3094" t="s">
        <v>1741</v>
      </c>
      <c r="AN3094" s="1" t="s">
        <v>166</v>
      </c>
      <c r="AP3094" s="1"/>
      <c r="AQ3094" s="5">
        <v>1</v>
      </c>
    </row>
    <row r="3095" spans="1:43" x14ac:dyDescent="0.2">
      <c r="A3095" t="s">
        <v>1734</v>
      </c>
      <c r="B3095" t="s">
        <v>1735</v>
      </c>
      <c r="C3095">
        <v>2012</v>
      </c>
      <c r="D3095" t="s">
        <v>44</v>
      </c>
      <c r="F3095" t="s">
        <v>638</v>
      </c>
      <c r="G3095" s="1" t="s">
        <v>90</v>
      </c>
      <c r="H3095" t="s">
        <v>350</v>
      </c>
      <c r="I3095">
        <v>2005</v>
      </c>
      <c r="K3095" t="s">
        <v>102</v>
      </c>
      <c r="L3095">
        <v>2.5</v>
      </c>
      <c r="M3095">
        <v>1</v>
      </c>
      <c r="N3095" t="s">
        <v>120</v>
      </c>
      <c r="O3095" t="s">
        <v>216</v>
      </c>
      <c r="P3095" t="s">
        <v>581</v>
      </c>
      <c r="Q3095" s="1" t="s">
        <v>2276</v>
      </c>
      <c r="R3095" s="1" t="s">
        <v>669</v>
      </c>
      <c r="S3095" s="1" t="s">
        <v>168</v>
      </c>
      <c r="T3095" t="s">
        <v>421</v>
      </c>
      <c r="U3095" t="s">
        <v>421</v>
      </c>
      <c r="X3095" t="s">
        <v>161</v>
      </c>
      <c r="Y3095" t="s">
        <v>2272</v>
      </c>
      <c r="Z3095" t="s">
        <v>2272</v>
      </c>
      <c r="AA3095" t="s">
        <v>2272</v>
      </c>
      <c r="AB3095" t="s">
        <v>2272</v>
      </c>
      <c r="AC3095" s="1" t="s">
        <v>162</v>
      </c>
      <c r="AD3095" t="s">
        <v>2272</v>
      </c>
      <c r="AF3095" t="s">
        <v>49</v>
      </c>
      <c r="AK3095" t="s">
        <v>49</v>
      </c>
      <c r="AM3095" t="s">
        <v>1742</v>
      </c>
      <c r="AN3095" s="1" t="s">
        <v>166</v>
      </c>
      <c r="AP3095" s="1"/>
      <c r="AQ3095" s="5">
        <v>0</v>
      </c>
    </row>
    <row r="3096" spans="1:43" x14ac:dyDescent="0.2">
      <c r="A3096" t="s">
        <v>1734</v>
      </c>
      <c r="B3096" t="s">
        <v>1735</v>
      </c>
      <c r="C3096">
        <v>2012</v>
      </c>
      <c r="D3096" t="s">
        <v>44</v>
      </c>
      <c r="F3096" t="s">
        <v>638</v>
      </c>
      <c r="G3096" s="1" t="s">
        <v>90</v>
      </c>
      <c r="H3096" t="s">
        <v>350</v>
      </c>
      <c r="I3096">
        <v>2005</v>
      </c>
      <c r="K3096" t="s">
        <v>102</v>
      </c>
      <c r="L3096">
        <v>2.5</v>
      </c>
      <c r="M3096">
        <v>1</v>
      </c>
      <c r="N3096" t="s">
        <v>120</v>
      </c>
      <c r="O3096" t="s">
        <v>216</v>
      </c>
      <c r="P3096" t="s">
        <v>581</v>
      </c>
      <c r="Q3096" s="1" t="s">
        <v>2276</v>
      </c>
      <c r="R3096" s="1" t="s">
        <v>669</v>
      </c>
      <c r="S3096" s="1" t="s">
        <v>168</v>
      </c>
      <c r="T3096" t="s">
        <v>421</v>
      </c>
      <c r="U3096" t="s">
        <v>421</v>
      </c>
      <c r="X3096" t="s">
        <v>161</v>
      </c>
      <c r="Y3096" t="s">
        <v>2272</v>
      </c>
      <c r="Z3096" t="s">
        <v>2272</v>
      </c>
      <c r="AA3096" t="s">
        <v>2272</v>
      </c>
      <c r="AB3096" t="s">
        <v>2272</v>
      </c>
      <c r="AC3096" s="1" t="s">
        <v>162</v>
      </c>
      <c r="AD3096" t="s">
        <v>2272</v>
      </c>
      <c r="AF3096" t="s">
        <v>49</v>
      </c>
      <c r="AL3096" t="s">
        <v>49</v>
      </c>
      <c r="AM3096" t="s">
        <v>1743</v>
      </c>
      <c r="AN3096" s="1" t="s">
        <v>166</v>
      </c>
      <c r="AP3096" s="1"/>
      <c r="AQ3096" s="5">
        <v>2</v>
      </c>
    </row>
    <row r="3097" spans="1:43" x14ac:dyDescent="0.2">
      <c r="A3097" t="s">
        <v>1744</v>
      </c>
      <c r="B3097" t="s">
        <v>1673</v>
      </c>
      <c r="C3097">
        <v>2011</v>
      </c>
      <c r="D3097" t="s">
        <v>44</v>
      </c>
      <c r="F3097" t="s">
        <v>1445</v>
      </c>
      <c r="G3097" s="1" t="s">
        <v>86</v>
      </c>
      <c r="H3097" t="s">
        <v>350</v>
      </c>
      <c r="I3097">
        <v>2009</v>
      </c>
      <c r="J3097">
        <v>2.7000000000000001E-3</v>
      </c>
      <c r="K3097" t="s">
        <v>101</v>
      </c>
      <c r="M3097">
        <v>0</v>
      </c>
      <c r="N3097" t="s">
        <v>120</v>
      </c>
      <c r="O3097" t="s">
        <v>216</v>
      </c>
      <c r="P3097" t="s">
        <v>320</v>
      </c>
      <c r="Q3097" s="1" t="s">
        <v>2276</v>
      </c>
      <c r="R3097" s="1" t="s">
        <v>669</v>
      </c>
      <c r="S3097" s="1" t="s">
        <v>168</v>
      </c>
      <c r="X3097" t="s">
        <v>962</v>
      </c>
      <c r="Y3097" t="s">
        <v>2273</v>
      </c>
      <c r="Z3097" t="s">
        <v>249</v>
      </c>
      <c r="AA3097" t="s">
        <v>2359</v>
      </c>
      <c r="AB3097" t="s">
        <v>1979</v>
      </c>
      <c r="AC3097" s="1" t="s">
        <v>152</v>
      </c>
      <c r="AD3097" t="s">
        <v>2288</v>
      </c>
      <c r="AF3097" t="s">
        <v>49</v>
      </c>
      <c r="AJ3097" t="s">
        <v>49</v>
      </c>
      <c r="AM3097" s="1" t="s">
        <v>201</v>
      </c>
      <c r="AN3097" s="1" t="s">
        <v>165</v>
      </c>
      <c r="AP3097" s="1" t="s">
        <v>49</v>
      </c>
    </row>
    <row r="3098" spans="1:43" x14ac:dyDescent="0.2">
      <c r="A3098" t="s">
        <v>1744</v>
      </c>
      <c r="B3098" t="s">
        <v>1673</v>
      </c>
      <c r="C3098">
        <v>2011</v>
      </c>
      <c r="D3098" t="s">
        <v>44</v>
      </c>
      <c r="F3098" t="s">
        <v>1445</v>
      </c>
      <c r="G3098" s="1" t="s">
        <v>86</v>
      </c>
      <c r="H3098" t="s">
        <v>350</v>
      </c>
      <c r="I3098">
        <v>2009</v>
      </c>
      <c r="J3098">
        <v>2.7000000000000001E-3</v>
      </c>
      <c r="K3098" t="s">
        <v>101</v>
      </c>
      <c r="M3098">
        <v>0</v>
      </c>
      <c r="N3098" t="s">
        <v>120</v>
      </c>
      <c r="O3098" t="s">
        <v>216</v>
      </c>
      <c r="P3098" t="s">
        <v>196</v>
      </c>
      <c r="Q3098" s="1" t="s">
        <v>2276</v>
      </c>
      <c r="R3098" s="1" t="s">
        <v>669</v>
      </c>
      <c r="S3098" s="1" t="s">
        <v>168</v>
      </c>
      <c r="X3098" t="s">
        <v>962</v>
      </c>
      <c r="Y3098" t="s">
        <v>2273</v>
      </c>
      <c r="Z3098" t="s">
        <v>249</v>
      </c>
      <c r="AA3098" t="s">
        <v>2359</v>
      </c>
      <c r="AB3098" t="s">
        <v>1979</v>
      </c>
      <c r="AC3098" s="1" t="s">
        <v>152</v>
      </c>
      <c r="AD3098" t="s">
        <v>2288</v>
      </c>
      <c r="AF3098" t="s">
        <v>49</v>
      </c>
      <c r="AJ3098" t="s">
        <v>49</v>
      </c>
      <c r="AM3098" s="1" t="s">
        <v>201</v>
      </c>
      <c r="AN3098" s="1" t="s">
        <v>165</v>
      </c>
      <c r="AP3098" s="1" t="s">
        <v>49</v>
      </c>
    </row>
    <row r="3099" spans="1:43" x14ac:dyDescent="0.2">
      <c r="A3099" t="s">
        <v>1744</v>
      </c>
      <c r="B3099" t="s">
        <v>1673</v>
      </c>
      <c r="C3099">
        <v>2011</v>
      </c>
      <c r="D3099" t="s">
        <v>44</v>
      </c>
      <c r="F3099" t="s">
        <v>1445</v>
      </c>
      <c r="G3099" s="1" t="s">
        <v>86</v>
      </c>
      <c r="H3099" t="s">
        <v>350</v>
      </c>
      <c r="I3099">
        <v>2009</v>
      </c>
      <c r="J3099">
        <v>2.7000000000000001E-3</v>
      </c>
      <c r="K3099" t="s">
        <v>101</v>
      </c>
      <c r="M3099">
        <v>0</v>
      </c>
      <c r="N3099" t="s">
        <v>120</v>
      </c>
      <c r="O3099" t="s">
        <v>216</v>
      </c>
      <c r="P3099" t="s">
        <v>320</v>
      </c>
      <c r="Q3099" s="1" t="s">
        <v>2276</v>
      </c>
      <c r="R3099" s="1" t="s">
        <v>669</v>
      </c>
      <c r="S3099" s="1" t="s">
        <v>168</v>
      </c>
      <c r="X3099" t="s">
        <v>322</v>
      </c>
      <c r="Y3099" t="s">
        <v>2273</v>
      </c>
      <c r="Z3099" t="s">
        <v>249</v>
      </c>
      <c r="AA3099" t="s">
        <v>2359</v>
      </c>
      <c r="AB3099" t="s">
        <v>2285</v>
      </c>
      <c r="AC3099" s="1" t="s">
        <v>152</v>
      </c>
      <c r="AD3099" t="s">
        <v>2288</v>
      </c>
      <c r="AF3099" t="s">
        <v>49</v>
      </c>
      <c r="AJ3099" t="s">
        <v>49</v>
      </c>
      <c r="AM3099" s="1" t="s">
        <v>201</v>
      </c>
      <c r="AN3099" s="1" t="s">
        <v>165</v>
      </c>
      <c r="AP3099" s="1" t="s">
        <v>49</v>
      </c>
    </row>
    <row r="3100" spans="1:43" x14ac:dyDescent="0.2">
      <c r="A3100" t="s">
        <v>1744</v>
      </c>
      <c r="B3100" t="s">
        <v>1673</v>
      </c>
      <c r="C3100">
        <v>2011</v>
      </c>
      <c r="D3100" t="s">
        <v>44</v>
      </c>
      <c r="F3100" t="s">
        <v>1445</v>
      </c>
      <c r="G3100" s="1" t="s">
        <v>86</v>
      </c>
      <c r="H3100" t="s">
        <v>350</v>
      </c>
      <c r="I3100">
        <v>2009</v>
      </c>
      <c r="J3100">
        <v>2.7000000000000001E-3</v>
      </c>
      <c r="K3100" t="s">
        <v>101</v>
      </c>
      <c r="M3100">
        <v>0</v>
      </c>
      <c r="N3100" t="s">
        <v>120</v>
      </c>
      <c r="O3100" t="s">
        <v>216</v>
      </c>
      <c r="P3100" t="s">
        <v>196</v>
      </c>
      <c r="Q3100" s="1" t="s">
        <v>2276</v>
      </c>
      <c r="R3100" s="1" t="s">
        <v>669</v>
      </c>
      <c r="S3100" s="1" t="s">
        <v>168</v>
      </c>
      <c r="X3100" t="s">
        <v>322</v>
      </c>
      <c r="Y3100" t="s">
        <v>2273</v>
      </c>
      <c r="Z3100" t="s">
        <v>249</v>
      </c>
      <c r="AA3100" t="s">
        <v>2359</v>
      </c>
      <c r="AB3100" t="s">
        <v>2285</v>
      </c>
      <c r="AC3100" s="1" t="s">
        <v>152</v>
      </c>
      <c r="AD3100" t="s">
        <v>2288</v>
      </c>
      <c r="AF3100" t="s">
        <v>49</v>
      </c>
      <c r="AJ3100" t="s">
        <v>49</v>
      </c>
      <c r="AM3100" s="1" t="s">
        <v>201</v>
      </c>
      <c r="AN3100" s="1" t="s">
        <v>165</v>
      </c>
      <c r="AP3100" s="1" t="s">
        <v>49</v>
      </c>
    </row>
    <row r="3101" spans="1:43" x14ac:dyDescent="0.2">
      <c r="A3101" t="s">
        <v>1744</v>
      </c>
      <c r="B3101" t="s">
        <v>1673</v>
      </c>
      <c r="C3101">
        <v>2011</v>
      </c>
      <c r="D3101" t="s">
        <v>44</v>
      </c>
      <c r="F3101" t="s">
        <v>1445</v>
      </c>
      <c r="G3101" s="1" t="s">
        <v>86</v>
      </c>
      <c r="H3101" t="s">
        <v>350</v>
      </c>
      <c r="I3101">
        <v>2009</v>
      </c>
      <c r="J3101">
        <v>2.7000000000000001E-3</v>
      </c>
      <c r="K3101" t="s">
        <v>101</v>
      </c>
      <c r="M3101">
        <v>0</v>
      </c>
      <c r="N3101" t="s">
        <v>120</v>
      </c>
      <c r="O3101" t="s">
        <v>216</v>
      </c>
      <c r="P3101" t="s">
        <v>320</v>
      </c>
      <c r="Q3101" s="1" t="s">
        <v>2276</v>
      </c>
      <c r="R3101" s="1" t="s">
        <v>669</v>
      </c>
      <c r="S3101" s="1" t="s">
        <v>168</v>
      </c>
      <c r="X3101" t="s">
        <v>1746</v>
      </c>
      <c r="Y3101" t="s">
        <v>2273</v>
      </c>
      <c r="Z3101" t="s">
        <v>249</v>
      </c>
      <c r="AA3101" t="s">
        <v>2359</v>
      </c>
      <c r="AB3101" t="s">
        <v>2289</v>
      </c>
      <c r="AC3101" s="1" t="s">
        <v>152</v>
      </c>
      <c r="AD3101" t="s">
        <v>2288</v>
      </c>
      <c r="AF3101" t="s">
        <v>49</v>
      </c>
      <c r="AJ3101" t="s">
        <v>49</v>
      </c>
      <c r="AM3101" s="1" t="s">
        <v>201</v>
      </c>
      <c r="AN3101" s="1" t="s">
        <v>165</v>
      </c>
      <c r="AP3101" s="1" t="s">
        <v>51</v>
      </c>
    </row>
    <row r="3102" spans="1:43" x14ac:dyDescent="0.2">
      <c r="A3102" t="s">
        <v>1744</v>
      </c>
      <c r="B3102" t="s">
        <v>1673</v>
      </c>
      <c r="C3102">
        <v>2011</v>
      </c>
      <c r="D3102" t="s">
        <v>44</v>
      </c>
      <c r="F3102" t="s">
        <v>1445</v>
      </c>
      <c r="G3102" s="1" t="s">
        <v>86</v>
      </c>
      <c r="H3102" t="s">
        <v>350</v>
      </c>
      <c r="I3102">
        <v>2009</v>
      </c>
      <c r="J3102">
        <v>2.7000000000000001E-3</v>
      </c>
      <c r="K3102" t="s">
        <v>101</v>
      </c>
      <c r="M3102">
        <v>0</v>
      </c>
      <c r="N3102" t="s">
        <v>120</v>
      </c>
      <c r="O3102" t="s">
        <v>216</v>
      </c>
      <c r="P3102" t="s">
        <v>196</v>
      </c>
      <c r="Q3102" s="1" t="s">
        <v>2276</v>
      </c>
      <c r="R3102" s="1" t="s">
        <v>669</v>
      </c>
      <c r="S3102" s="1" t="s">
        <v>168</v>
      </c>
      <c r="X3102" t="s">
        <v>1746</v>
      </c>
      <c r="Y3102" t="s">
        <v>2273</v>
      </c>
      <c r="Z3102" t="s">
        <v>249</v>
      </c>
      <c r="AA3102" t="s">
        <v>2359</v>
      </c>
      <c r="AB3102" t="s">
        <v>2289</v>
      </c>
      <c r="AC3102" s="1" t="s">
        <v>152</v>
      </c>
      <c r="AD3102" t="s">
        <v>2288</v>
      </c>
      <c r="AF3102" t="s">
        <v>49</v>
      </c>
      <c r="AJ3102" t="s">
        <v>49</v>
      </c>
      <c r="AM3102" s="1" t="s">
        <v>201</v>
      </c>
      <c r="AN3102" s="1" t="s">
        <v>165</v>
      </c>
      <c r="AP3102" s="1" t="s">
        <v>49</v>
      </c>
    </row>
    <row r="3103" spans="1:43" x14ac:dyDescent="0.2">
      <c r="A3103" t="s">
        <v>1744</v>
      </c>
      <c r="B3103" t="s">
        <v>1673</v>
      </c>
      <c r="C3103">
        <v>2011</v>
      </c>
      <c r="D3103" t="s">
        <v>44</v>
      </c>
      <c r="F3103" t="s">
        <v>1445</v>
      </c>
      <c r="G3103" s="1" t="s">
        <v>86</v>
      </c>
      <c r="H3103" t="s">
        <v>350</v>
      </c>
      <c r="I3103">
        <v>2009</v>
      </c>
      <c r="J3103">
        <v>2.7000000000000001E-3</v>
      </c>
      <c r="K3103" t="s">
        <v>101</v>
      </c>
      <c r="M3103">
        <v>0</v>
      </c>
      <c r="N3103" t="s">
        <v>120</v>
      </c>
      <c r="O3103" t="s">
        <v>216</v>
      </c>
      <c r="P3103" t="s">
        <v>320</v>
      </c>
      <c r="Q3103" s="1" t="s">
        <v>2276</v>
      </c>
      <c r="R3103" s="1" t="s">
        <v>669</v>
      </c>
      <c r="S3103" s="1" t="s">
        <v>168</v>
      </c>
      <c r="X3103" t="s">
        <v>1745</v>
      </c>
      <c r="Y3103" t="s">
        <v>2273</v>
      </c>
      <c r="Z3103" t="s">
        <v>249</v>
      </c>
      <c r="AA3103" t="s">
        <v>2274</v>
      </c>
      <c r="AB3103" t="s">
        <v>2283</v>
      </c>
      <c r="AC3103" s="1" t="s">
        <v>315</v>
      </c>
      <c r="AD3103" t="s">
        <v>2288</v>
      </c>
      <c r="AF3103" t="s">
        <v>49</v>
      </c>
      <c r="AJ3103" t="s">
        <v>49</v>
      </c>
      <c r="AM3103" s="1" t="s">
        <v>201</v>
      </c>
      <c r="AN3103" s="1" t="s">
        <v>165</v>
      </c>
      <c r="AP3103" s="1" t="s">
        <v>49</v>
      </c>
    </row>
    <row r="3104" spans="1:43" x14ac:dyDescent="0.2">
      <c r="A3104" t="s">
        <v>1744</v>
      </c>
      <c r="B3104" t="s">
        <v>1673</v>
      </c>
      <c r="C3104">
        <v>2011</v>
      </c>
      <c r="D3104" t="s">
        <v>44</v>
      </c>
      <c r="F3104" t="s">
        <v>1445</v>
      </c>
      <c r="G3104" s="1" t="s">
        <v>86</v>
      </c>
      <c r="H3104" t="s">
        <v>350</v>
      </c>
      <c r="I3104">
        <v>2009</v>
      </c>
      <c r="J3104">
        <v>2.7000000000000001E-3</v>
      </c>
      <c r="K3104" t="s">
        <v>101</v>
      </c>
      <c r="M3104">
        <v>0</v>
      </c>
      <c r="N3104" t="s">
        <v>120</v>
      </c>
      <c r="O3104" t="s">
        <v>216</v>
      </c>
      <c r="P3104" t="s">
        <v>196</v>
      </c>
      <c r="Q3104" s="1" t="s">
        <v>2276</v>
      </c>
      <c r="R3104" s="1" t="s">
        <v>669</v>
      </c>
      <c r="S3104" s="1" t="s">
        <v>168</v>
      </c>
      <c r="X3104" t="s">
        <v>1745</v>
      </c>
      <c r="Y3104" t="s">
        <v>2273</v>
      </c>
      <c r="Z3104" t="s">
        <v>249</v>
      </c>
      <c r="AA3104" t="s">
        <v>2274</v>
      </c>
      <c r="AB3104" t="s">
        <v>2283</v>
      </c>
      <c r="AC3104" s="1" t="s">
        <v>315</v>
      </c>
      <c r="AD3104" t="s">
        <v>2288</v>
      </c>
      <c r="AF3104" t="s">
        <v>49</v>
      </c>
      <c r="AJ3104" t="s">
        <v>49</v>
      </c>
      <c r="AM3104" s="1" t="s">
        <v>201</v>
      </c>
      <c r="AN3104" s="1" t="s">
        <v>165</v>
      </c>
      <c r="AP3104" s="1" t="s">
        <v>49</v>
      </c>
    </row>
    <row r="3105" spans="1:43" x14ac:dyDescent="0.2">
      <c r="A3105" t="s">
        <v>1744</v>
      </c>
      <c r="B3105" t="s">
        <v>1673</v>
      </c>
      <c r="C3105">
        <v>2011</v>
      </c>
      <c r="D3105" t="s">
        <v>44</v>
      </c>
      <c r="F3105" t="s">
        <v>1445</v>
      </c>
      <c r="G3105" s="1" t="s">
        <v>86</v>
      </c>
      <c r="H3105" t="s">
        <v>350</v>
      </c>
      <c r="I3105">
        <v>2009</v>
      </c>
      <c r="J3105">
        <v>2.7000000000000001E-3</v>
      </c>
      <c r="K3105" t="s">
        <v>101</v>
      </c>
      <c r="M3105">
        <v>0</v>
      </c>
      <c r="N3105" t="s">
        <v>120</v>
      </c>
      <c r="O3105" t="s">
        <v>216</v>
      </c>
      <c r="P3105" t="s">
        <v>320</v>
      </c>
      <c r="Q3105" s="1" t="s">
        <v>2276</v>
      </c>
      <c r="R3105" s="1" t="s">
        <v>669</v>
      </c>
      <c r="S3105" s="1" t="s">
        <v>168</v>
      </c>
      <c r="T3105" t="s">
        <v>396</v>
      </c>
      <c r="U3105" t="s">
        <v>168</v>
      </c>
      <c r="X3105" t="s">
        <v>161</v>
      </c>
      <c r="Y3105" t="s">
        <v>2272</v>
      </c>
      <c r="Z3105" t="s">
        <v>2272</v>
      </c>
      <c r="AA3105" t="s">
        <v>2272</v>
      </c>
      <c r="AB3105" t="s">
        <v>2272</v>
      </c>
      <c r="AC3105" s="1" t="s">
        <v>162</v>
      </c>
      <c r="AD3105" t="s">
        <v>2272</v>
      </c>
      <c r="AF3105" t="s">
        <v>49</v>
      </c>
      <c r="AJ3105" t="s">
        <v>49</v>
      </c>
      <c r="AM3105" s="1" t="s">
        <v>201</v>
      </c>
      <c r="AN3105" s="1" t="s">
        <v>165</v>
      </c>
      <c r="AQ3105" s="5">
        <v>0</v>
      </c>
    </row>
    <row r="3106" spans="1:43" x14ac:dyDescent="0.2">
      <c r="A3106" t="s">
        <v>1744</v>
      </c>
      <c r="B3106" t="s">
        <v>1673</v>
      </c>
      <c r="C3106">
        <v>2011</v>
      </c>
      <c r="D3106" t="s">
        <v>44</v>
      </c>
      <c r="F3106" t="s">
        <v>1445</v>
      </c>
      <c r="G3106" s="1" t="s">
        <v>86</v>
      </c>
      <c r="H3106" t="s">
        <v>350</v>
      </c>
      <c r="I3106">
        <v>2009</v>
      </c>
      <c r="J3106">
        <v>2.7000000000000001E-3</v>
      </c>
      <c r="K3106" t="s">
        <v>101</v>
      </c>
      <c r="M3106">
        <v>0</v>
      </c>
      <c r="N3106" t="s">
        <v>120</v>
      </c>
      <c r="O3106" t="s">
        <v>216</v>
      </c>
      <c r="P3106" t="s">
        <v>196</v>
      </c>
      <c r="Q3106" s="1" t="s">
        <v>2276</v>
      </c>
      <c r="R3106" s="1" t="s">
        <v>669</v>
      </c>
      <c r="S3106" s="1" t="s">
        <v>168</v>
      </c>
      <c r="T3106" t="s">
        <v>396</v>
      </c>
      <c r="U3106" t="s">
        <v>168</v>
      </c>
      <c r="X3106" t="s">
        <v>161</v>
      </c>
      <c r="Y3106" t="s">
        <v>2272</v>
      </c>
      <c r="Z3106" t="s">
        <v>2272</v>
      </c>
      <c r="AA3106" t="s">
        <v>2272</v>
      </c>
      <c r="AB3106" t="s">
        <v>2272</v>
      </c>
      <c r="AC3106" s="1" t="s">
        <v>162</v>
      </c>
      <c r="AD3106" t="s">
        <v>2272</v>
      </c>
      <c r="AF3106" t="s">
        <v>49</v>
      </c>
      <c r="AJ3106" t="s">
        <v>49</v>
      </c>
      <c r="AM3106" s="1" t="s">
        <v>201</v>
      </c>
      <c r="AN3106" s="1" t="s">
        <v>165</v>
      </c>
      <c r="AQ3106" s="5">
        <v>0</v>
      </c>
    </row>
    <row r="3107" spans="1:43" x14ac:dyDescent="0.2">
      <c r="A3107" t="s">
        <v>1747</v>
      </c>
      <c r="B3107" t="s">
        <v>1748</v>
      </c>
      <c r="C3107">
        <v>2011</v>
      </c>
      <c r="D3107" t="s">
        <v>44</v>
      </c>
      <c r="F3107" t="s">
        <v>1695</v>
      </c>
      <c r="G3107" s="1" t="s">
        <v>86</v>
      </c>
      <c r="H3107" t="s">
        <v>350</v>
      </c>
      <c r="K3107" t="s">
        <v>102</v>
      </c>
      <c r="L3107">
        <v>4</v>
      </c>
      <c r="M3107">
        <v>3.1399999999999997E-2</v>
      </c>
      <c r="N3107" t="s">
        <v>1293</v>
      </c>
      <c r="O3107" t="s">
        <v>1750</v>
      </c>
      <c r="P3107" t="s">
        <v>1749</v>
      </c>
      <c r="Q3107" s="1" t="s">
        <v>2281</v>
      </c>
      <c r="R3107" s="1" t="s">
        <v>2282</v>
      </c>
      <c r="S3107" s="1" t="s">
        <v>2304</v>
      </c>
      <c r="X3107" t="s">
        <v>161</v>
      </c>
      <c r="Y3107" t="s">
        <v>2272</v>
      </c>
      <c r="Z3107" t="s">
        <v>2272</v>
      </c>
      <c r="AA3107" t="s">
        <v>2272</v>
      </c>
      <c r="AB3107" t="s">
        <v>2272</v>
      </c>
      <c r="AC3107" s="1" t="s">
        <v>162</v>
      </c>
      <c r="AD3107" t="s">
        <v>2272</v>
      </c>
      <c r="AG3107" t="s">
        <v>49</v>
      </c>
      <c r="AI3107" t="s">
        <v>49</v>
      </c>
      <c r="AM3107" s="1" t="s">
        <v>1751</v>
      </c>
      <c r="AN3107" s="1" t="s">
        <v>166</v>
      </c>
    </row>
    <row r="3108" spans="1:43" x14ac:dyDescent="0.2">
      <c r="A3108" t="s">
        <v>1747</v>
      </c>
      <c r="B3108" t="s">
        <v>1748</v>
      </c>
      <c r="C3108">
        <v>2011</v>
      </c>
      <c r="D3108" t="s">
        <v>44</v>
      </c>
      <c r="F3108" t="s">
        <v>1695</v>
      </c>
      <c r="G3108" s="1" t="s">
        <v>86</v>
      </c>
      <c r="H3108" t="s">
        <v>350</v>
      </c>
      <c r="K3108" t="s">
        <v>102</v>
      </c>
      <c r="L3108">
        <v>4</v>
      </c>
      <c r="M3108">
        <v>3.1399999999999997E-2</v>
      </c>
      <c r="N3108" t="s">
        <v>1293</v>
      </c>
      <c r="O3108" t="s">
        <v>1750</v>
      </c>
      <c r="P3108" t="s">
        <v>1749</v>
      </c>
      <c r="Q3108" s="1" t="s">
        <v>2281</v>
      </c>
      <c r="R3108" s="1" t="s">
        <v>2282</v>
      </c>
      <c r="S3108" s="1" t="s">
        <v>2304</v>
      </c>
      <c r="X3108" t="s">
        <v>161</v>
      </c>
      <c r="Y3108" t="s">
        <v>2272</v>
      </c>
      <c r="Z3108" t="s">
        <v>2272</v>
      </c>
      <c r="AA3108" t="s">
        <v>2272</v>
      </c>
      <c r="AB3108" t="s">
        <v>2272</v>
      </c>
      <c r="AC3108" s="1" t="s">
        <v>162</v>
      </c>
      <c r="AD3108" t="s">
        <v>2272</v>
      </c>
      <c r="AG3108" t="s">
        <v>49</v>
      </c>
      <c r="AI3108" t="s">
        <v>49</v>
      </c>
      <c r="AM3108" s="1" t="s">
        <v>1751</v>
      </c>
      <c r="AN3108" s="1" t="s">
        <v>165</v>
      </c>
    </row>
    <row r="3109" spans="1:43" x14ac:dyDescent="0.2">
      <c r="A3109" t="s">
        <v>1747</v>
      </c>
      <c r="B3109" t="s">
        <v>1748</v>
      </c>
      <c r="C3109">
        <v>2011</v>
      </c>
      <c r="D3109" t="s">
        <v>44</v>
      </c>
      <c r="F3109" t="s">
        <v>1695</v>
      </c>
      <c r="G3109" s="1" t="s">
        <v>86</v>
      </c>
      <c r="H3109" t="s">
        <v>350</v>
      </c>
      <c r="K3109" t="s">
        <v>102</v>
      </c>
      <c r="L3109">
        <v>4</v>
      </c>
      <c r="M3109">
        <v>3.1399999999999997E-2</v>
      </c>
      <c r="N3109" t="s">
        <v>1293</v>
      </c>
      <c r="O3109" t="s">
        <v>1750</v>
      </c>
      <c r="P3109" t="s">
        <v>1749</v>
      </c>
      <c r="Q3109" s="1" t="s">
        <v>2281</v>
      </c>
      <c r="R3109" s="1" t="s">
        <v>2282</v>
      </c>
      <c r="S3109" s="1" t="s">
        <v>2304</v>
      </c>
      <c r="X3109" t="s">
        <v>161</v>
      </c>
      <c r="Y3109" t="s">
        <v>2272</v>
      </c>
      <c r="Z3109" t="s">
        <v>2272</v>
      </c>
      <c r="AA3109" t="s">
        <v>2272</v>
      </c>
      <c r="AB3109" t="s">
        <v>2272</v>
      </c>
      <c r="AC3109" s="1" t="s">
        <v>162</v>
      </c>
      <c r="AD3109" t="s">
        <v>2272</v>
      </c>
      <c r="AG3109" t="s">
        <v>49</v>
      </c>
      <c r="AI3109" t="s">
        <v>49</v>
      </c>
      <c r="AM3109" s="1" t="s">
        <v>1751</v>
      </c>
      <c r="AN3109" s="1" t="s">
        <v>154</v>
      </c>
    </row>
    <row r="3110" spans="1:43" x14ac:dyDescent="0.2">
      <c r="A3110" t="s">
        <v>1752</v>
      </c>
      <c r="B3110" t="s">
        <v>954</v>
      </c>
      <c r="C3110">
        <v>2011</v>
      </c>
      <c r="D3110" t="s">
        <v>44</v>
      </c>
      <c r="F3110" t="s">
        <v>1753</v>
      </c>
      <c r="G3110" s="1" t="s">
        <v>271</v>
      </c>
      <c r="H3110" t="s">
        <v>96</v>
      </c>
      <c r="I3110">
        <v>2007</v>
      </c>
      <c r="K3110" t="s">
        <v>101</v>
      </c>
      <c r="L3110">
        <v>1.5</v>
      </c>
      <c r="M3110">
        <v>0.25</v>
      </c>
      <c r="N3110" t="s">
        <v>127</v>
      </c>
      <c r="O3110" t="s">
        <v>1270</v>
      </c>
      <c r="P3110" t="s">
        <v>1754</v>
      </c>
      <c r="Q3110" s="1" t="s">
        <v>2281</v>
      </c>
      <c r="R3110" s="1" t="s">
        <v>2301</v>
      </c>
      <c r="S3110" s="1" t="s">
        <v>2303</v>
      </c>
      <c r="X3110" t="s">
        <v>1755</v>
      </c>
      <c r="Y3110" t="s">
        <v>2279</v>
      </c>
      <c r="Z3110" t="s">
        <v>2280</v>
      </c>
      <c r="AA3110" t="s">
        <v>2358</v>
      </c>
      <c r="AB3110" t="s">
        <v>189</v>
      </c>
      <c r="AC3110" s="1" t="s">
        <v>152</v>
      </c>
      <c r="AD3110" t="s">
        <v>2278</v>
      </c>
    </row>
    <row r="3111" spans="1:43" x14ac:dyDescent="0.2">
      <c r="A3111" t="s">
        <v>1752</v>
      </c>
      <c r="B3111" t="s">
        <v>954</v>
      </c>
      <c r="C3111">
        <v>2011</v>
      </c>
      <c r="D3111" t="s">
        <v>44</v>
      </c>
      <c r="F3111" t="s">
        <v>1753</v>
      </c>
      <c r="G3111" s="1" t="s">
        <v>271</v>
      </c>
      <c r="H3111" t="s">
        <v>96</v>
      </c>
      <c r="I3111">
        <v>2007</v>
      </c>
      <c r="K3111" t="s">
        <v>101</v>
      </c>
      <c r="L3111">
        <v>1.5</v>
      </c>
      <c r="M3111">
        <v>0.25</v>
      </c>
      <c r="N3111" t="s">
        <v>127</v>
      </c>
      <c r="O3111" t="s">
        <v>1270</v>
      </c>
      <c r="P3111" t="s">
        <v>1754</v>
      </c>
      <c r="Q3111" s="1" t="s">
        <v>2281</v>
      </c>
      <c r="R3111" s="1" t="s">
        <v>2301</v>
      </c>
      <c r="S3111" s="1" t="s">
        <v>2303</v>
      </c>
      <c r="X3111" t="s">
        <v>1756</v>
      </c>
      <c r="Y3111" t="s">
        <v>2273</v>
      </c>
      <c r="Z3111" t="s">
        <v>249</v>
      </c>
      <c r="AA3111" t="s">
        <v>2359</v>
      </c>
      <c r="AB3111" t="s">
        <v>1419</v>
      </c>
      <c r="AC3111" s="1" t="s">
        <v>152</v>
      </c>
      <c r="AD3111" t="s">
        <v>137</v>
      </c>
    </row>
    <row r="3112" spans="1:43" x14ac:dyDescent="0.2">
      <c r="A3112" t="s">
        <v>1752</v>
      </c>
      <c r="B3112" t="s">
        <v>954</v>
      </c>
      <c r="C3112">
        <v>2011</v>
      </c>
      <c r="D3112" t="s">
        <v>44</v>
      </c>
      <c r="F3112" t="s">
        <v>1753</v>
      </c>
      <c r="G3112" s="1" t="s">
        <v>271</v>
      </c>
      <c r="H3112" t="s">
        <v>96</v>
      </c>
      <c r="I3112">
        <v>2007</v>
      </c>
      <c r="K3112" t="s">
        <v>101</v>
      </c>
      <c r="L3112">
        <v>1.5</v>
      </c>
      <c r="M3112">
        <v>0.25</v>
      </c>
      <c r="N3112" t="s">
        <v>127</v>
      </c>
      <c r="O3112" t="s">
        <v>1270</v>
      </c>
      <c r="P3112" t="s">
        <v>1754</v>
      </c>
      <c r="Q3112" s="1" t="s">
        <v>2281</v>
      </c>
      <c r="R3112" s="1" t="s">
        <v>2301</v>
      </c>
      <c r="S3112" s="1" t="s">
        <v>2303</v>
      </c>
      <c r="X3112" t="s">
        <v>1757</v>
      </c>
      <c r="Y3112" t="s">
        <v>2273</v>
      </c>
      <c r="Z3112" t="s">
        <v>249</v>
      </c>
      <c r="AA3112" t="s">
        <v>2359</v>
      </c>
      <c r="AB3112" t="s">
        <v>1419</v>
      </c>
      <c r="AC3112" s="1" t="s">
        <v>152</v>
      </c>
      <c r="AD3112" t="s">
        <v>137</v>
      </c>
    </row>
    <row r="3113" spans="1:43" x14ac:dyDescent="0.2">
      <c r="A3113" t="s">
        <v>1752</v>
      </c>
      <c r="B3113" t="s">
        <v>954</v>
      </c>
      <c r="C3113">
        <v>2011</v>
      </c>
      <c r="D3113" t="s">
        <v>44</v>
      </c>
      <c r="F3113" t="s">
        <v>1753</v>
      </c>
      <c r="G3113" s="1" t="s">
        <v>271</v>
      </c>
      <c r="H3113" t="s">
        <v>96</v>
      </c>
      <c r="I3113">
        <v>2007</v>
      </c>
      <c r="K3113" t="s">
        <v>101</v>
      </c>
      <c r="L3113">
        <v>1.5</v>
      </c>
      <c r="M3113">
        <v>0.25</v>
      </c>
      <c r="N3113" t="s">
        <v>127</v>
      </c>
      <c r="O3113" t="s">
        <v>1270</v>
      </c>
      <c r="P3113" t="s">
        <v>1754</v>
      </c>
      <c r="Q3113" s="1" t="s">
        <v>2281</v>
      </c>
      <c r="R3113" s="1" t="s">
        <v>2301</v>
      </c>
      <c r="S3113" s="1" t="s">
        <v>2303</v>
      </c>
      <c r="T3113" t="s">
        <v>421</v>
      </c>
      <c r="U3113" t="s">
        <v>421</v>
      </c>
      <c r="X3113" t="s">
        <v>161</v>
      </c>
      <c r="Y3113" t="s">
        <v>2272</v>
      </c>
      <c r="Z3113" t="s">
        <v>2272</v>
      </c>
      <c r="AA3113" t="s">
        <v>2272</v>
      </c>
      <c r="AB3113" t="s">
        <v>2272</v>
      </c>
      <c r="AC3113" s="1" t="s">
        <v>162</v>
      </c>
      <c r="AD3113" t="s">
        <v>2272</v>
      </c>
      <c r="AF3113" t="s">
        <v>49</v>
      </c>
      <c r="AG3113" t="s">
        <v>49</v>
      </c>
      <c r="AI3113" t="s">
        <v>49</v>
      </c>
      <c r="AM3113" s="1" t="s">
        <v>1135</v>
      </c>
      <c r="AN3113" s="1" t="s">
        <v>165</v>
      </c>
      <c r="AP3113" s="1" t="s">
        <v>49</v>
      </c>
    </row>
    <row r="3114" spans="1:43" x14ac:dyDescent="0.2">
      <c r="A3114" t="s">
        <v>1752</v>
      </c>
      <c r="B3114" t="s">
        <v>954</v>
      </c>
      <c r="C3114">
        <v>2011</v>
      </c>
      <c r="D3114" t="s">
        <v>44</v>
      </c>
      <c r="F3114" t="s">
        <v>1753</v>
      </c>
      <c r="G3114" s="1" t="s">
        <v>271</v>
      </c>
      <c r="H3114" t="s">
        <v>96</v>
      </c>
      <c r="I3114">
        <v>2007</v>
      </c>
      <c r="K3114" t="s">
        <v>101</v>
      </c>
      <c r="L3114">
        <v>1.5</v>
      </c>
      <c r="M3114">
        <v>0.25</v>
      </c>
      <c r="N3114" t="s">
        <v>127</v>
      </c>
      <c r="O3114" t="s">
        <v>1270</v>
      </c>
      <c r="P3114" t="s">
        <v>1754</v>
      </c>
      <c r="Q3114" s="1" t="s">
        <v>2281</v>
      </c>
      <c r="R3114" s="1" t="s">
        <v>2301</v>
      </c>
      <c r="S3114" s="1" t="s">
        <v>2303</v>
      </c>
      <c r="T3114" t="s">
        <v>421</v>
      </c>
      <c r="U3114" t="s">
        <v>421</v>
      </c>
      <c r="X3114" t="s">
        <v>161</v>
      </c>
      <c r="Y3114" t="s">
        <v>2272</v>
      </c>
      <c r="Z3114" t="s">
        <v>2272</v>
      </c>
      <c r="AA3114" t="s">
        <v>2272</v>
      </c>
      <c r="AB3114" t="s">
        <v>2272</v>
      </c>
      <c r="AC3114" s="1" t="s">
        <v>162</v>
      </c>
      <c r="AD3114" t="s">
        <v>2272</v>
      </c>
      <c r="AF3114" t="s">
        <v>49</v>
      </c>
      <c r="AG3114" t="s">
        <v>49</v>
      </c>
      <c r="AI3114" t="s">
        <v>49</v>
      </c>
      <c r="AM3114" s="1" t="s">
        <v>1135</v>
      </c>
      <c r="AN3114" s="1" t="s">
        <v>166</v>
      </c>
      <c r="AP3114" s="1"/>
      <c r="AQ3114" s="5">
        <v>1</v>
      </c>
    </row>
    <row r="3115" spans="1:43" x14ac:dyDescent="0.2">
      <c r="A3115" t="s">
        <v>1752</v>
      </c>
      <c r="B3115" t="s">
        <v>954</v>
      </c>
      <c r="C3115">
        <v>2011</v>
      </c>
      <c r="D3115" t="s">
        <v>44</v>
      </c>
      <c r="F3115" t="s">
        <v>1753</v>
      </c>
      <c r="G3115" s="1" t="s">
        <v>271</v>
      </c>
      <c r="H3115" t="s">
        <v>96</v>
      </c>
      <c r="I3115">
        <v>2007</v>
      </c>
      <c r="K3115" t="s">
        <v>101</v>
      </c>
      <c r="L3115">
        <v>1.5</v>
      </c>
      <c r="M3115">
        <v>0.25</v>
      </c>
      <c r="N3115" t="s">
        <v>127</v>
      </c>
      <c r="O3115" t="s">
        <v>1270</v>
      </c>
      <c r="P3115" t="s">
        <v>1754</v>
      </c>
      <c r="Q3115" s="1" t="s">
        <v>2281</v>
      </c>
      <c r="R3115" s="1" t="s">
        <v>2301</v>
      </c>
      <c r="S3115" s="1" t="s">
        <v>2303</v>
      </c>
      <c r="T3115" t="s">
        <v>421</v>
      </c>
      <c r="U3115" t="s">
        <v>421</v>
      </c>
      <c r="X3115" t="s">
        <v>161</v>
      </c>
      <c r="Y3115" t="s">
        <v>2272</v>
      </c>
      <c r="Z3115" t="s">
        <v>2272</v>
      </c>
      <c r="AA3115" t="s">
        <v>2272</v>
      </c>
      <c r="AB3115" t="s">
        <v>2272</v>
      </c>
      <c r="AC3115" s="1" t="s">
        <v>162</v>
      </c>
      <c r="AD3115" t="s">
        <v>2272</v>
      </c>
      <c r="AF3115" t="s">
        <v>49</v>
      </c>
      <c r="AG3115" t="s">
        <v>49</v>
      </c>
      <c r="AI3115" t="s">
        <v>49</v>
      </c>
      <c r="AM3115" s="1" t="s">
        <v>1135</v>
      </c>
      <c r="AN3115" s="1" t="s">
        <v>154</v>
      </c>
      <c r="AP3115" s="1"/>
      <c r="AQ3115" s="5">
        <v>1</v>
      </c>
    </row>
    <row r="3116" spans="1:43" x14ac:dyDescent="0.2">
      <c r="A3116" t="s">
        <v>1758</v>
      </c>
      <c r="B3116" t="s">
        <v>1684</v>
      </c>
      <c r="C3116">
        <v>2011</v>
      </c>
      <c r="D3116" t="s">
        <v>44</v>
      </c>
      <c r="F3116" t="s">
        <v>357</v>
      </c>
      <c r="G3116" s="1" t="s">
        <v>90</v>
      </c>
      <c r="H3116" t="s">
        <v>96</v>
      </c>
      <c r="I3116" t="s">
        <v>1850</v>
      </c>
      <c r="J3116">
        <v>2</v>
      </c>
      <c r="K3116" t="s">
        <v>102</v>
      </c>
      <c r="M3116">
        <f t="shared" ref="M3116:M3136" si="72">0.2*0.2</f>
        <v>4.0000000000000008E-2</v>
      </c>
      <c r="N3116" t="s">
        <v>127</v>
      </c>
      <c r="O3116" t="s">
        <v>2521</v>
      </c>
      <c r="P3116" t="s">
        <v>2523</v>
      </c>
      <c r="Q3116" t="s">
        <v>2351</v>
      </c>
      <c r="R3116" t="s">
        <v>2351</v>
      </c>
      <c r="S3116" t="s">
        <v>2351</v>
      </c>
      <c r="T3116" t="s">
        <v>396</v>
      </c>
      <c r="U3116" t="s">
        <v>2526</v>
      </c>
      <c r="X3116" t="s">
        <v>161</v>
      </c>
      <c r="Y3116" t="s">
        <v>2272</v>
      </c>
      <c r="Z3116" t="s">
        <v>2272</v>
      </c>
      <c r="AA3116" t="s">
        <v>2272</v>
      </c>
      <c r="AB3116" t="s">
        <v>2272</v>
      </c>
      <c r="AC3116" s="1" t="s">
        <v>162</v>
      </c>
      <c r="AD3116" t="s">
        <v>2272</v>
      </c>
      <c r="AF3116" t="s">
        <v>49</v>
      </c>
      <c r="AL3116" t="s">
        <v>49</v>
      </c>
      <c r="AM3116" s="1" t="s">
        <v>2527</v>
      </c>
      <c r="AN3116" s="1" t="s">
        <v>166</v>
      </c>
      <c r="AQ3116" s="5">
        <v>2</v>
      </c>
    </row>
    <row r="3117" spans="1:43" x14ac:dyDescent="0.2">
      <c r="A3117" t="s">
        <v>1758</v>
      </c>
      <c r="B3117" t="s">
        <v>1684</v>
      </c>
      <c r="C3117">
        <v>2011</v>
      </c>
      <c r="D3117" t="s">
        <v>44</v>
      </c>
      <c r="F3117" t="s">
        <v>357</v>
      </c>
      <c r="G3117" s="1" t="s">
        <v>90</v>
      </c>
      <c r="H3117" t="s">
        <v>96</v>
      </c>
      <c r="I3117" t="s">
        <v>1850</v>
      </c>
      <c r="J3117">
        <v>2</v>
      </c>
      <c r="K3117" t="s">
        <v>102</v>
      </c>
      <c r="M3117">
        <f t="shared" si="72"/>
        <v>4.0000000000000008E-2</v>
      </c>
      <c r="N3117" t="s">
        <v>123</v>
      </c>
      <c r="O3117" t="s">
        <v>123</v>
      </c>
      <c r="P3117" t="s">
        <v>2522</v>
      </c>
      <c r="Q3117" t="s">
        <v>2281</v>
      </c>
      <c r="R3117" t="s">
        <v>2282</v>
      </c>
      <c r="S3117" t="s">
        <v>123</v>
      </c>
      <c r="T3117" t="s">
        <v>396</v>
      </c>
      <c r="U3117" t="s">
        <v>2525</v>
      </c>
      <c r="X3117" t="s">
        <v>161</v>
      </c>
      <c r="Y3117" t="s">
        <v>2272</v>
      </c>
      <c r="Z3117" t="s">
        <v>2272</v>
      </c>
      <c r="AA3117" t="s">
        <v>2272</v>
      </c>
      <c r="AB3117" t="s">
        <v>2272</v>
      </c>
      <c r="AC3117" s="1" t="s">
        <v>162</v>
      </c>
      <c r="AD3117" t="s">
        <v>2272</v>
      </c>
      <c r="AF3117" t="s">
        <v>49</v>
      </c>
      <c r="AL3117" t="s">
        <v>49</v>
      </c>
      <c r="AM3117" s="1" t="s">
        <v>2527</v>
      </c>
      <c r="AN3117" s="1" t="s">
        <v>166</v>
      </c>
      <c r="AQ3117" s="5">
        <v>1</v>
      </c>
    </row>
    <row r="3118" spans="1:43" x14ac:dyDescent="0.2">
      <c r="A3118" t="s">
        <v>1758</v>
      </c>
      <c r="B3118" t="s">
        <v>1684</v>
      </c>
      <c r="C3118">
        <v>2011</v>
      </c>
      <c r="D3118" t="s">
        <v>44</v>
      </c>
      <c r="F3118" t="s">
        <v>357</v>
      </c>
      <c r="G3118" s="1" t="s">
        <v>90</v>
      </c>
      <c r="H3118" t="s">
        <v>96</v>
      </c>
      <c r="I3118" t="s">
        <v>1850</v>
      </c>
      <c r="J3118">
        <v>2</v>
      </c>
      <c r="K3118" t="s">
        <v>102</v>
      </c>
      <c r="M3118">
        <f t="shared" si="72"/>
        <v>4.0000000000000008E-2</v>
      </c>
      <c r="N3118" t="s">
        <v>127</v>
      </c>
      <c r="O3118" t="s">
        <v>1722</v>
      </c>
      <c r="P3118" t="s">
        <v>1473</v>
      </c>
      <c r="Q3118" s="1" t="s">
        <v>2281</v>
      </c>
      <c r="R3118" s="1" t="s">
        <v>2291</v>
      </c>
      <c r="S3118" s="1" t="s">
        <v>2291</v>
      </c>
      <c r="T3118" t="s">
        <v>396</v>
      </c>
      <c r="U3118" t="s">
        <v>2524</v>
      </c>
      <c r="X3118" t="s">
        <v>161</v>
      </c>
      <c r="Y3118" t="s">
        <v>2272</v>
      </c>
      <c r="Z3118" t="s">
        <v>2272</v>
      </c>
      <c r="AA3118" t="s">
        <v>2272</v>
      </c>
      <c r="AB3118" t="s">
        <v>2272</v>
      </c>
      <c r="AC3118" s="1" t="s">
        <v>162</v>
      </c>
      <c r="AD3118" t="s">
        <v>2272</v>
      </c>
      <c r="AF3118" t="s">
        <v>49</v>
      </c>
      <c r="AL3118" t="s">
        <v>49</v>
      </c>
      <c r="AM3118" s="1" t="s">
        <v>2527</v>
      </c>
      <c r="AN3118" s="1" t="s">
        <v>166</v>
      </c>
      <c r="AQ3118" s="5">
        <v>2</v>
      </c>
    </row>
    <row r="3119" spans="1:43" x14ac:dyDescent="0.2">
      <c r="A3119" t="s">
        <v>1758</v>
      </c>
      <c r="B3119" t="s">
        <v>1684</v>
      </c>
      <c r="C3119">
        <v>2011</v>
      </c>
      <c r="D3119" t="s">
        <v>44</v>
      </c>
      <c r="F3119" t="s">
        <v>357</v>
      </c>
      <c r="G3119" s="1" t="s">
        <v>90</v>
      </c>
      <c r="H3119" t="s">
        <v>96</v>
      </c>
      <c r="I3119" t="s">
        <v>1850</v>
      </c>
      <c r="J3119">
        <v>2</v>
      </c>
      <c r="K3119" t="s">
        <v>102</v>
      </c>
      <c r="M3119">
        <f t="shared" si="72"/>
        <v>4.0000000000000008E-2</v>
      </c>
      <c r="N3119" t="s">
        <v>127</v>
      </c>
      <c r="O3119" t="s">
        <v>2521</v>
      </c>
      <c r="P3119" t="s">
        <v>2523</v>
      </c>
      <c r="Q3119" t="s">
        <v>2351</v>
      </c>
      <c r="R3119" t="s">
        <v>2351</v>
      </c>
      <c r="S3119" t="s">
        <v>2351</v>
      </c>
      <c r="T3119" t="s">
        <v>396</v>
      </c>
      <c r="U3119" t="s">
        <v>2526</v>
      </c>
      <c r="X3119" t="s">
        <v>161</v>
      </c>
      <c r="Y3119" t="s">
        <v>2272</v>
      </c>
      <c r="Z3119" t="s">
        <v>2272</v>
      </c>
      <c r="AA3119" t="s">
        <v>2272</v>
      </c>
      <c r="AB3119" t="s">
        <v>2272</v>
      </c>
      <c r="AC3119" s="1" t="s">
        <v>162</v>
      </c>
      <c r="AD3119" t="s">
        <v>2272</v>
      </c>
      <c r="AF3119" t="s">
        <v>49</v>
      </c>
      <c r="AL3119" t="s">
        <v>49</v>
      </c>
      <c r="AM3119" s="1" t="s">
        <v>2528</v>
      </c>
      <c r="AN3119" s="1" t="s">
        <v>166</v>
      </c>
      <c r="AQ3119" s="5">
        <v>2</v>
      </c>
    </row>
    <row r="3120" spans="1:43" x14ac:dyDescent="0.2">
      <c r="A3120" t="s">
        <v>1758</v>
      </c>
      <c r="B3120" t="s">
        <v>1684</v>
      </c>
      <c r="C3120">
        <v>2011</v>
      </c>
      <c r="D3120" t="s">
        <v>44</v>
      </c>
      <c r="F3120" t="s">
        <v>357</v>
      </c>
      <c r="G3120" s="1" t="s">
        <v>90</v>
      </c>
      <c r="H3120" t="s">
        <v>96</v>
      </c>
      <c r="I3120" t="s">
        <v>1850</v>
      </c>
      <c r="J3120">
        <v>2</v>
      </c>
      <c r="K3120" t="s">
        <v>102</v>
      </c>
      <c r="M3120">
        <f t="shared" si="72"/>
        <v>4.0000000000000008E-2</v>
      </c>
      <c r="N3120" t="s">
        <v>123</v>
      </c>
      <c r="O3120" t="s">
        <v>123</v>
      </c>
      <c r="P3120" t="s">
        <v>2522</v>
      </c>
      <c r="Q3120" t="s">
        <v>2281</v>
      </c>
      <c r="R3120" t="s">
        <v>2282</v>
      </c>
      <c r="S3120" t="s">
        <v>123</v>
      </c>
      <c r="T3120" t="s">
        <v>396</v>
      </c>
      <c r="U3120" t="s">
        <v>2525</v>
      </c>
      <c r="X3120" t="s">
        <v>161</v>
      </c>
      <c r="Y3120" t="s">
        <v>2272</v>
      </c>
      <c r="Z3120" t="s">
        <v>2272</v>
      </c>
      <c r="AA3120" t="s">
        <v>2272</v>
      </c>
      <c r="AB3120" t="s">
        <v>2272</v>
      </c>
      <c r="AC3120" s="1" t="s">
        <v>162</v>
      </c>
      <c r="AD3120" t="s">
        <v>2272</v>
      </c>
      <c r="AF3120" t="s">
        <v>49</v>
      </c>
      <c r="AL3120" t="s">
        <v>49</v>
      </c>
      <c r="AM3120" s="1" t="s">
        <v>2528</v>
      </c>
      <c r="AN3120" s="1" t="s">
        <v>166</v>
      </c>
      <c r="AQ3120" s="5">
        <v>2</v>
      </c>
    </row>
    <row r="3121" spans="1:43" x14ac:dyDescent="0.2">
      <c r="A3121" t="s">
        <v>1758</v>
      </c>
      <c r="B3121" t="s">
        <v>1684</v>
      </c>
      <c r="C3121">
        <v>2011</v>
      </c>
      <c r="D3121" t="s">
        <v>44</v>
      </c>
      <c r="F3121" t="s">
        <v>357</v>
      </c>
      <c r="G3121" s="1" t="s">
        <v>90</v>
      </c>
      <c r="H3121" t="s">
        <v>96</v>
      </c>
      <c r="I3121" t="s">
        <v>1850</v>
      </c>
      <c r="J3121">
        <v>2</v>
      </c>
      <c r="K3121" t="s">
        <v>102</v>
      </c>
      <c r="M3121">
        <f t="shared" si="72"/>
        <v>4.0000000000000008E-2</v>
      </c>
      <c r="N3121" t="s">
        <v>127</v>
      </c>
      <c r="O3121" t="s">
        <v>1722</v>
      </c>
      <c r="P3121" t="s">
        <v>1473</v>
      </c>
      <c r="Q3121" s="1" t="s">
        <v>2281</v>
      </c>
      <c r="R3121" s="1" t="s">
        <v>2291</v>
      </c>
      <c r="S3121" s="1" t="s">
        <v>2291</v>
      </c>
      <c r="T3121" t="s">
        <v>396</v>
      </c>
      <c r="U3121" t="s">
        <v>2524</v>
      </c>
      <c r="X3121" t="s">
        <v>161</v>
      </c>
      <c r="Y3121" t="s">
        <v>2272</v>
      </c>
      <c r="Z3121" t="s">
        <v>2272</v>
      </c>
      <c r="AA3121" t="s">
        <v>2272</v>
      </c>
      <c r="AB3121" t="s">
        <v>2272</v>
      </c>
      <c r="AC3121" s="1" t="s">
        <v>162</v>
      </c>
      <c r="AD3121" t="s">
        <v>2272</v>
      </c>
      <c r="AF3121" t="s">
        <v>49</v>
      </c>
      <c r="AL3121" t="s">
        <v>49</v>
      </c>
      <c r="AM3121" s="1" t="s">
        <v>2528</v>
      </c>
      <c r="AN3121" s="1" t="s">
        <v>166</v>
      </c>
      <c r="AQ3121" s="5">
        <v>1</v>
      </c>
    </row>
    <row r="3122" spans="1:43" x14ac:dyDescent="0.2">
      <c r="A3122" t="s">
        <v>1758</v>
      </c>
      <c r="B3122" t="s">
        <v>1684</v>
      </c>
      <c r="C3122">
        <v>2011</v>
      </c>
      <c r="D3122" t="s">
        <v>44</v>
      </c>
      <c r="F3122" t="s">
        <v>357</v>
      </c>
      <c r="G3122" s="1" t="s">
        <v>90</v>
      </c>
      <c r="H3122" t="s">
        <v>96</v>
      </c>
      <c r="I3122" t="s">
        <v>1850</v>
      </c>
      <c r="J3122">
        <v>2</v>
      </c>
      <c r="K3122" t="s">
        <v>102</v>
      </c>
      <c r="M3122">
        <f t="shared" si="72"/>
        <v>4.0000000000000008E-2</v>
      </c>
      <c r="N3122" t="s">
        <v>127</v>
      </c>
      <c r="O3122" t="s">
        <v>2521</v>
      </c>
      <c r="P3122" t="s">
        <v>2523</v>
      </c>
      <c r="Q3122" t="s">
        <v>2351</v>
      </c>
      <c r="R3122" t="s">
        <v>2351</v>
      </c>
      <c r="S3122" t="s">
        <v>2351</v>
      </c>
      <c r="T3122" t="s">
        <v>396</v>
      </c>
      <c r="U3122" t="s">
        <v>2526</v>
      </c>
      <c r="X3122" t="s">
        <v>161</v>
      </c>
      <c r="Y3122" t="s">
        <v>2272</v>
      </c>
      <c r="Z3122" t="s">
        <v>2272</v>
      </c>
      <c r="AA3122" t="s">
        <v>2272</v>
      </c>
      <c r="AB3122" t="s">
        <v>2272</v>
      </c>
      <c r="AC3122" s="1" t="s">
        <v>162</v>
      </c>
      <c r="AD3122" t="s">
        <v>2272</v>
      </c>
      <c r="AF3122" t="s">
        <v>49</v>
      </c>
      <c r="AL3122" t="s">
        <v>49</v>
      </c>
      <c r="AM3122" s="1" t="s">
        <v>2529</v>
      </c>
      <c r="AN3122" s="1" t="s">
        <v>166</v>
      </c>
      <c r="AQ3122" s="5">
        <v>2</v>
      </c>
    </row>
    <row r="3123" spans="1:43" x14ac:dyDescent="0.2">
      <c r="A3123" t="s">
        <v>1758</v>
      </c>
      <c r="B3123" t="s">
        <v>1684</v>
      </c>
      <c r="C3123">
        <v>2011</v>
      </c>
      <c r="D3123" t="s">
        <v>44</v>
      </c>
      <c r="F3123" t="s">
        <v>357</v>
      </c>
      <c r="G3123" s="1" t="s">
        <v>90</v>
      </c>
      <c r="H3123" t="s">
        <v>96</v>
      </c>
      <c r="I3123" t="s">
        <v>1850</v>
      </c>
      <c r="J3123">
        <v>2</v>
      </c>
      <c r="K3123" t="s">
        <v>102</v>
      </c>
      <c r="M3123">
        <f t="shared" si="72"/>
        <v>4.0000000000000008E-2</v>
      </c>
      <c r="N3123" t="s">
        <v>123</v>
      </c>
      <c r="O3123" t="s">
        <v>123</v>
      </c>
      <c r="P3123" t="s">
        <v>2522</v>
      </c>
      <c r="Q3123" t="s">
        <v>2281</v>
      </c>
      <c r="R3123" t="s">
        <v>2282</v>
      </c>
      <c r="S3123" t="s">
        <v>123</v>
      </c>
      <c r="T3123" t="s">
        <v>396</v>
      </c>
      <c r="U3123" t="s">
        <v>2525</v>
      </c>
      <c r="X3123" t="s">
        <v>161</v>
      </c>
      <c r="Y3123" t="s">
        <v>2272</v>
      </c>
      <c r="Z3123" t="s">
        <v>2272</v>
      </c>
      <c r="AA3123" t="s">
        <v>2272</v>
      </c>
      <c r="AB3123" t="s">
        <v>2272</v>
      </c>
      <c r="AC3123" s="1" t="s">
        <v>162</v>
      </c>
      <c r="AD3123" t="s">
        <v>2272</v>
      </c>
      <c r="AF3123" t="s">
        <v>49</v>
      </c>
      <c r="AL3123" t="s">
        <v>49</v>
      </c>
      <c r="AM3123" s="1" t="s">
        <v>2529</v>
      </c>
      <c r="AN3123" s="1" t="s">
        <v>166</v>
      </c>
      <c r="AQ3123" s="5">
        <v>1</v>
      </c>
    </row>
    <row r="3124" spans="1:43" x14ac:dyDescent="0.2">
      <c r="A3124" t="s">
        <v>1758</v>
      </c>
      <c r="B3124" t="s">
        <v>1684</v>
      </c>
      <c r="C3124">
        <v>2011</v>
      </c>
      <c r="D3124" t="s">
        <v>44</v>
      </c>
      <c r="F3124" t="s">
        <v>357</v>
      </c>
      <c r="G3124" s="1" t="s">
        <v>90</v>
      </c>
      <c r="H3124" t="s">
        <v>96</v>
      </c>
      <c r="I3124" t="s">
        <v>1850</v>
      </c>
      <c r="J3124">
        <v>2</v>
      </c>
      <c r="K3124" t="s">
        <v>102</v>
      </c>
      <c r="M3124">
        <f t="shared" si="72"/>
        <v>4.0000000000000008E-2</v>
      </c>
      <c r="N3124" t="s">
        <v>127</v>
      </c>
      <c r="O3124" t="s">
        <v>1722</v>
      </c>
      <c r="P3124" t="s">
        <v>1473</v>
      </c>
      <c r="Q3124" s="1" t="s">
        <v>2281</v>
      </c>
      <c r="R3124" s="1" t="s">
        <v>2291</v>
      </c>
      <c r="S3124" s="1" t="s">
        <v>2291</v>
      </c>
      <c r="T3124" t="s">
        <v>396</v>
      </c>
      <c r="U3124" t="s">
        <v>2524</v>
      </c>
      <c r="X3124" t="s">
        <v>161</v>
      </c>
      <c r="Y3124" t="s">
        <v>2272</v>
      </c>
      <c r="Z3124" t="s">
        <v>2272</v>
      </c>
      <c r="AA3124" t="s">
        <v>2272</v>
      </c>
      <c r="AB3124" t="s">
        <v>2272</v>
      </c>
      <c r="AC3124" s="1" t="s">
        <v>162</v>
      </c>
      <c r="AD3124" t="s">
        <v>2272</v>
      </c>
      <c r="AF3124" t="s">
        <v>49</v>
      </c>
      <c r="AL3124" t="s">
        <v>49</v>
      </c>
      <c r="AM3124" s="1" t="s">
        <v>2529</v>
      </c>
      <c r="AN3124" s="1" t="s">
        <v>166</v>
      </c>
      <c r="AQ3124" s="5">
        <v>1</v>
      </c>
    </row>
    <row r="3125" spans="1:43" x14ac:dyDescent="0.2">
      <c r="A3125" t="s">
        <v>1758</v>
      </c>
      <c r="B3125" t="s">
        <v>1684</v>
      </c>
      <c r="C3125">
        <v>2011</v>
      </c>
      <c r="D3125" t="s">
        <v>44</v>
      </c>
      <c r="F3125" t="s">
        <v>357</v>
      </c>
      <c r="G3125" s="1" t="s">
        <v>90</v>
      </c>
      <c r="H3125" t="s">
        <v>96</v>
      </c>
      <c r="I3125" t="s">
        <v>1850</v>
      </c>
      <c r="J3125">
        <v>2</v>
      </c>
      <c r="K3125" t="s">
        <v>102</v>
      </c>
      <c r="M3125">
        <f t="shared" si="72"/>
        <v>4.0000000000000008E-2</v>
      </c>
      <c r="N3125" t="s">
        <v>127</v>
      </c>
      <c r="O3125" t="s">
        <v>2521</v>
      </c>
      <c r="P3125" t="s">
        <v>2523</v>
      </c>
      <c r="Q3125" t="s">
        <v>2351</v>
      </c>
      <c r="R3125" t="s">
        <v>2351</v>
      </c>
      <c r="S3125" t="s">
        <v>2351</v>
      </c>
      <c r="T3125" t="s">
        <v>396</v>
      </c>
      <c r="U3125" t="s">
        <v>2526</v>
      </c>
      <c r="X3125" t="s">
        <v>161</v>
      </c>
      <c r="Y3125" t="s">
        <v>2272</v>
      </c>
      <c r="Z3125" t="s">
        <v>2272</v>
      </c>
      <c r="AA3125" t="s">
        <v>2272</v>
      </c>
      <c r="AB3125" t="s">
        <v>2272</v>
      </c>
      <c r="AC3125" s="1" t="s">
        <v>162</v>
      </c>
      <c r="AD3125" t="s">
        <v>2272</v>
      </c>
      <c r="AF3125" t="s">
        <v>49</v>
      </c>
      <c r="AL3125" t="s">
        <v>49</v>
      </c>
      <c r="AM3125" s="1" t="s">
        <v>2530</v>
      </c>
      <c r="AN3125" s="1" t="s">
        <v>166</v>
      </c>
      <c r="AQ3125" s="5">
        <v>1</v>
      </c>
    </row>
    <row r="3126" spans="1:43" x14ac:dyDescent="0.2">
      <c r="A3126" t="s">
        <v>1758</v>
      </c>
      <c r="B3126" t="s">
        <v>1684</v>
      </c>
      <c r="C3126">
        <v>2011</v>
      </c>
      <c r="D3126" t="s">
        <v>44</v>
      </c>
      <c r="F3126" t="s">
        <v>357</v>
      </c>
      <c r="G3126" s="1" t="s">
        <v>90</v>
      </c>
      <c r="H3126" t="s">
        <v>96</v>
      </c>
      <c r="I3126" t="s">
        <v>1850</v>
      </c>
      <c r="J3126">
        <v>2</v>
      </c>
      <c r="K3126" t="s">
        <v>102</v>
      </c>
      <c r="M3126">
        <f t="shared" si="72"/>
        <v>4.0000000000000008E-2</v>
      </c>
      <c r="N3126" t="s">
        <v>123</v>
      </c>
      <c r="O3126" t="s">
        <v>123</v>
      </c>
      <c r="P3126" t="s">
        <v>2522</v>
      </c>
      <c r="Q3126" t="s">
        <v>2281</v>
      </c>
      <c r="R3126" t="s">
        <v>2282</v>
      </c>
      <c r="S3126" t="s">
        <v>123</v>
      </c>
      <c r="T3126" t="s">
        <v>396</v>
      </c>
      <c r="U3126" t="s">
        <v>2525</v>
      </c>
      <c r="X3126" t="s">
        <v>161</v>
      </c>
      <c r="Y3126" t="s">
        <v>2272</v>
      </c>
      <c r="Z3126" t="s">
        <v>2272</v>
      </c>
      <c r="AA3126" t="s">
        <v>2272</v>
      </c>
      <c r="AB3126" t="s">
        <v>2272</v>
      </c>
      <c r="AC3126" s="1" t="s">
        <v>162</v>
      </c>
      <c r="AD3126" t="s">
        <v>2272</v>
      </c>
      <c r="AF3126" t="s">
        <v>49</v>
      </c>
      <c r="AL3126" t="s">
        <v>49</v>
      </c>
      <c r="AM3126" s="1" t="s">
        <v>2530</v>
      </c>
      <c r="AN3126" s="1" t="s">
        <v>166</v>
      </c>
      <c r="AQ3126" s="5">
        <v>2</v>
      </c>
    </row>
    <row r="3127" spans="1:43" x14ac:dyDescent="0.2">
      <c r="A3127" t="s">
        <v>1758</v>
      </c>
      <c r="B3127" t="s">
        <v>1684</v>
      </c>
      <c r="C3127">
        <v>2011</v>
      </c>
      <c r="D3127" t="s">
        <v>44</v>
      </c>
      <c r="F3127" t="s">
        <v>357</v>
      </c>
      <c r="G3127" s="1" t="s">
        <v>90</v>
      </c>
      <c r="H3127" t="s">
        <v>96</v>
      </c>
      <c r="I3127" t="s">
        <v>1850</v>
      </c>
      <c r="J3127">
        <v>2</v>
      </c>
      <c r="K3127" t="s">
        <v>102</v>
      </c>
      <c r="M3127">
        <f t="shared" si="72"/>
        <v>4.0000000000000008E-2</v>
      </c>
      <c r="N3127" t="s">
        <v>127</v>
      </c>
      <c r="O3127" t="s">
        <v>1722</v>
      </c>
      <c r="P3127" t="s">
        <v>1473</v>
      </c>
      <c r="Q3127" s="1" t="s">
        <v>2281</v>
      </c>
      <c r="R3127" s="1" t="s">
        <v>2291</v>
      </c>
      <c r="S3127" s="1" t="s">
        <v>2291</v>
      </c>
      <c r="T3127" t="s">
        <v>396</v>
      </c>
      <c r="U3127" t="s">
        <v>2524</v>
      </c>
      <c r="X3127" t="s">
        <v>161</v>
      </c>
      <c r="Y3127" t="s">
        <v>2272</v>
      </c>
      <c r="Z3127" t="s">
        <v>2272</v>
      </c>
      <c r="AA3127" t="s">
        <v>2272</v>
      </c>
      <c r="AB3127" t="s">
        <v>2272</v>
      </c>
      <c r="AC3127" s="1" t="s">
        <v>162</v>
      </c>
      <c r="AD3127" t="s">
        <v>2272</v>
      </c>
      <c r="AF3127" t="s">
        <v>49</v>
      </c>
      <c r="AL3127" t="s">
        <v>49</v>
      </c>
      <c r="AM3127" s="1" t="s">
        <v>2530</v>
      </c>
      <c r="AN3127" s="1" t="s">
        <v>166</v>
      </c>
      <c r="AQ3127" s="5">
        <v>2</v>
      </c>
    </row>
    <row r="3128" spans="1:43" x14ac:dyDescent="0.2">
      <c r="A3128" t="s">
        <v>1758</v>
      </c>
      <c r="B3128" t="s">
        <v>1684</v>
      </c>
      <c r="C3128">
        <v>2011</v>
      </c>
      <c r="D3128" t="s">
        <v>44</v>
      </c>
      <c r="F3128" t="s">
        <v>357</v>
      </c>
      <c r="G3128" s="1" t="s">
        <v>90</v>
      </c>
      <c r="H3128" t="s">
        <v>96</v>
      </c>
      <c r="I3128" t="s">
        <v>1850</v>
      </c>
      <c r="J3128">
        <v>2</v>
      </c>
      <c r="K3128" t="s">
        <v>102</v>
      </c>
      <c r="M3128">
        <f t="shared" si="72"/>
        <v>4.0000000000000008E-2</v>
      </c>
      <c r="N3128" t="s">
        <v>127</v>
      </c>
      <c r="O3128" t="s">
        <v>2521</v>
      </c>
      <c r="P3128" t="s">
        <v>2523</v>
      </c>
      <c r="Q3128" t="s">
        <v>2351</v>
      </c>
      <c r="R3128" t="s">
        <v>2351</v>
      </c>
      <c r="S3128" t="s">
        <v>2351</v>
      </c>
      <c r="T3128" t="s">
        <v>396</v>
      </c>
      <c r="U3128" t="s">
        <v>2526</v>
      </c>
      <c r="X3128" t="s">
        <v>161</v>
      </c>
      <c r="Y3128" t="s">
        <v>2272</v>
      </c>
      <c r="Z3128" t="s">
        <v>2272</v>
      </c>
      <c r="AA3128" t="s">
        <v>2272</v>
      </c>
      <c r="AB3128" t="s">
        <v>2272</v>
      </c>
      <c r="AC3128" s="1" t="s">
        <v>162</v>
      </c>
      <c r="AD3128" t="s">
        <v>2272</v>
      </c>
      <c r="AF3128" t="s">
        <v>49</v>
      </c>
      <c r="AG3128" t="s">
        <v>49</v>
      </c>
      <c r="AI3128" t="s">
        <v>49</v>
      </c>
      <c r="AM3128" s="1" t="s">
        <v>2453</v>
      </c>
      <c r="AN3128" s="1" t="s">
        <v>165</v>
      </c>
    </row>
    <row r="3129" spans="1:43" x14ac:dyDescent="0.2">
      <c r="A3129" t="s">
        <v>1758</v>
      </c>
      <c r="B3129" t="s">
        <v>1684</v>
      </c>
      <c r="C3129">
        <v>2011</v>
      </c>
      <c r="D3129" t="s">
        <v>44</v>
      </c>
      <c r="F3129" t="s">
        <v>357</v>
      </c>
      <c r="G3129" s="1" t="s">
        <v>90</v>
      </c>
      <c r="H3129" t="s">
        <v>96</v>
      </c>
      <c r="I3129" t="s">
        <v>1850</v>
      </c>
      <c r="J3129">
        <v>2</v>
      </c>
      <c r="K3129" t="s">
        <v>102</v>
      </c>
      <c r="M3129">
        <f t="shared" si="72"/>
        <v>4.0000000000000008E-2</v>
      </c>
      <c r="N3129" t="s">
        <v>123</v>
      </c>
      <c r="O3129" t="s">
        <v>123</v>
      </c>
      <c r="P3129" t="s">
        <v>2522</v>
      </c>
      <c r="Q3129" t="s">
        <v>2281</v>
      </c>
      <c r="R3129" t="s">
        <v>2282</v>
      </c>
      <c r="S3129" t="s">
        <v>123</v>
      </c>
      <c r="T3129" t="s">
        <v>396</v>
      </c>
      <c r="U3129" t="s">
        <v>2525</v>
      </c>
      <c r="X3129" t="s">
        <v>161</v>
      </c>
      <c r="Y3129" t="s">
        <v>2272</v>
      </c>
      <c r="Z3129" t="s">
        <v>2272</v>
      </c>
      <c r="AA3129" t="s">
        <v>2272</v>
      </c>
      <c r="AB3129" t="s">
        <v>2272</v>
      </c>
      <c r="AC3129" s="1" t="s">
        <v>162</v>
      </c>
      <c r="AD3129" t="s">
        <v>2272</v>
      </c>
      <c r="AF3129" t="s">
        <v>49</v>
      </c>
      <c r="AG3129" t="s">
        <v>49</v>
      </c>
      <c r="AI3129" t="s">
        <v>49</v>
      </c>
      <c r="AM3129" s="1" t="s">
        <v>2453</v>
      </c>
      <c r="AN3129" s="1" t="s">
        <v>165</v>
      </c>
    </row>
    <row r="3130" spans="1:43" x14ac:dyDescent="0.2">
      <c r="A3130" t="s">
        <v>1758</v>
      </c>
      <c r="B3130" t="s">
        <v>1684</v>
      </c>
      <c r="C3130">
        <v>2011</v>
      </c>
      <c r="D3130" t="s">
        <v>44</v>
      </c>
      <c r="F3130" t="s">
        <v>357</v>
      </c>
      <c r="G3130" s="1" t="s">
        <v>90</v>
      </c>
      <c r="H3130" t="s">
        <v>96</v>
      </c>
      <c r="I3130" t="s">
        <v>1850</v>
      </c>
      <c r="J3130">
        <v>2</v>
      </c>
      <c r="K3130" t="s">
        <v>102</v>
      </c>
      <c r="M3130">
        <f t="shared" si="72"/>
        <v>4.0000000000000008E-2</v>
      </c>
      <c r="N3130" t="s">
        <v>127</v>
      </c>
      <c r="O3130" t="s">
        <v>1722</v>
      </c>
      <c r="P3130" t="s">
        <v>1473</v>
      </c>
      <c r="Q3130" s="1" t="s">
        <v>2281</v>
      </c>
      <c r="R3130" s="1" t="s">
        <v>2291</v>
      </c>
      <c r="S3130" s="1" t="s">
        <v>2291</v>
      </c>
      <c r="T3130" t="s">
        <v>396</v>
      </c>
      <c r="U3130" t="s">
        <v>2524</v>
      </c>
      <c r="X3130" t="s">
        <v>161</v>
      </c>
      <c r="Y3130" t="s">
        <v>2272</v>
      </c>
      <c r="Z3130" t="s">
        <v>2272</v>
      </c>
      <c r="AA3130" t="s">
        <v>2272</v>
      </c>
      <c r="AB3130" t="s">
        <v>2272</v>
      </c>
      <c r="AC3130" s="1" t="s">
        <v>162</v>
      </c>
      <c r="AD3130" t="s">
        <v>2272</v>
      </c>
      <c r="AF3130" t="s">
        <v>49</v>
      </c>
      <c r="AG3130" t="s">
        <v>49</v>
      </c>
      <c r="AI3130" t="s">
        <v>49</v>
      </c>
      <c r="AM3130" s="1" t="s">
        <v>2453</v>
      </c>
      <c r="AN3130" s="1" t="s">
        <v>165</v>
      </c>
    </row>
    <row r="3131" spans="1:43" x14ac:dyDescent="0.2">
      <c r="A3131" t="s">
        <v>1758</v>
      </c>
      <c r="B3131" t="s">
        <v>1684</v>
      </c>
      <c r="C3131">
        <v>2011</v>
      </c>
      <c r="D3131" t="s">
        <v>44</v>
      </c>
      <c r="F3131" t="s">
        <v>357</v>
      </c>
      <c r="G3131" s="1" t="s">
        <v>90</v>
      </c>
      <c r="H3131" t="s">
        <v>96</v>
      </c>
      <c r="I3131" t="s">
        <v>1850</v>
      </c>
      <c r="J3131">
        <v>2</v>
      </c>
      <c r="K3131" t="s">
        <v>102</v>
      </c>
      <c r="M3131">
        <f t="shared" si="72"/>
        <v>4.0000000000000008E-2</v>
      </c>
      <c r="N3131" t="s">
        <v>127</v>
      </c>
      <c r="O3131" t="s">
        <v>2521</v>
      </c>
      <c r="P3131" t="s">
        <v>2523</v>
      </c>
      <c r="Q3131" t="s">
        <v>2351</v>
      </c>
      <c r="R3131" t="s">
        <v>2351</v>
      </c>
      <c r="S3131" t="s">
        <v>2351</v>
      </c>
      <c r="T3131" t="s">
        <v>396</v>
      </c>
      <c r="U3131" t="s">
        <v>2526</v>
      </c>
      <c r="X3131" t="s">
        <v>161</v>
      </c>
      <c r="Y3131" t="s">
        <v>2272</v>
      </c>
      <c r="Z3131" t="s">
        <v>2272</v>
      </c>
      <c r="AA3131" t="s">
        <v>2272</v>
      </c>
      <c r="AB3131" t="s">
        <v>2272</v>
      </c>
      <c r="AC3131" s="1" t="s">
        <v>162</v>
      </c>
      <c r="AD3131" t="s">
        <v>2272</v>
      </c>
      <c r="AF3131" t="s">
        <v>49</v>
      </c>
      <c r="AG3131" t="s">
        <v>49</v>
      </c>
      <c r="AI3131" t="s">
        <v>49</v>
      </c>
      <c r="AM3131" s="1" t="s">
        <v>2453</v>
      </c>
      <c r="AN3131" s="1" t="s">
        <v>154</v>
      </c>
      <c r="AQ3131" s="5">
        <v>1</v>
      </c>
    </row>
    <row r="3132" spans="1:43" x14ac:dyDescent="0.2">
      <c r="A3132" t="s">
        <v>1758</v>
      </c>
      <c r="B3132" t="s">
        <v>1684</v>
      </c>
      <c r="C3132">
        <v>2011</v>
      </c>
      <c r="D3132" t="s">
        <v>44</v>
      </c>
      <c r="F3132" t="s">
        <v>357</v>
      </c>
      <c r="G3132" s="1" t="s">
        <v>90</v>
      </c>
      <c r="H3132" t="s">
        <v>96</v>
      </c>
      <c r="I3132" t="s">
        <v>1850</v>
      </c>
      <c r="J3132">
        <v>2</v>
      </c>
      <c r="K3132" t="s">
        <v>102</v>
      </c>
      <c r="M3132">
        <f t="shared" si="72"/>
        <v>4.0000000000000008E-2</v>
      </c>
      <c r="N3132" t="s">
        <v>123</v>
      </c>
      <c r="O3132" t="s">
        <v>123</v>
      </c>
      <c r="P3132" t="s">
        <v>2522</v>
      </c>
      <c r="Q3132" t="s">
        <v>2281</v>
      </c>
      <c r="R3132" t="s">
        <v>2282</v>
      </c>
      <c r="S3132" t="s">
        <v>123</v>
      </c>
      <c r="T3132" t="s">
        <v>396</v>
      </c>
      <c r="U3132" t="s">
        <v>2525</v>
      </c>
      <c r="X3132" t="s">
        <v>161</v>
      </c>
      <c r="Y3132" t="s">
        <v>2272</v>
      </c>
      <c r="Z3132" t="s">
        <v>2272</v>
      </c>
      <c r="AA3132" t="s">
        <v>2272</v>
      </c>
      <c r="AB3132" t="s">
        <v>2272</v>
      </c>
      <c r="AC3132" s="1" t="s">
        <v>162</v>
      </c>
      <c r="AD3132" t="s">
        <v>2272</v>
      </c>
      <c r="AF3132" t="s">
        <v>49</v>
      </c>
      <c r="AG3132" t="s">
        <v>49</v>
      </c>
      <c r="AI3132" t="s">
        <v>49</v>
      </c>
      <c r="AM3132" s="1" t="s">
        <v>2453</v>
      </c>
      <c r="AN3132" s="1" t="s">
        <v>154</v>
      </c>
      <c r="AQ3132" s="5">
        <v>1</v>
      </c>
    </row>
    <row r="3133" spans="1:43" x14ac:dyDescent="0.2">
      <c r="A3133" t="s">
        <v>1758</v>
      </c>
      <c r="B3133" t="s">
        <v>1684</v>
      </c>
      <c r="C3133">
        <v>2011</v>
      </c>
      <c r="D3133" t="s">
        <v>44</v>
      </c>
      <c r="F3133" t="s">
        <v>357</v>
      </c>
      <c r="G3133" s="1" t="s">
        <v>90</v>
      </c>
      <c r="H3133" t="s">
        <v>96</v>
      </c>
      <c r="I3133" t="s">
        <v>1850</v>
      </c>
      <c r="J3133">
        <v>2</v>
      </c>
      <c r="K3133" t="s">
        <v>102</v>
      </c>
      <c r="M3133">
        <f t="shared" si="72"/>
        <v>4.0000000000000008E-2</v>
      </c>
      <c r="N3133" t="s">
        <v>127</v>
      </c>
      <c r="O3133" t="s">
        <v>1722</v>
      </c>
      <c r="P3133" t="s">
        <v>1473</v>
      </c>
      <c r="Q3133" s="1" t="s">
        <v>2281</v>
      </c>
      <c r="R3133" s="1" t="s">
        <v>2291</v>
      </c>
      <c r="S3133" s="1" t="s">
        <v>2291</v>
      </c>
      <c r="T3133" t="s">
        <v>396</v>
      </c>
      <c r="U3133" t="s">
        <v>2524</v>
      </c>
      <c r="X3133" t="s">
        <v>161</v>
      </c>
      <c r="Y3133" t="s">
        <v>2272</v>
      </c>
      <c r="Z3133" t="s">
        <v>2272</v>
      </c>
      <c r="AA3133" t="s">
        <v>2272</v>
      </c>
      <c r="AB3133" t="s">
        <v>2272</v>
      </c>
      <c r="AC3133" s="1" t="s">
        <v>162</v>
      </c>
      <c r="AD3133" t="s">
        <v>2272</v>
      </c>
      <c r="AF3133" t="s">
        <v>49</v>
      </c>
      <c r="AG3133" t="s">
        <v>49</v>
      </c>
      <c r="AI3133" t="s">
        <v>49</v>
      </c>
      <c r="AM3133" s="1" t="s">
        <v>2453</v>
      </c>
      <c r="AN3133" s="1" t="s">
        <v>154</v>
      </c>
      <c r="AQ3133" s="5">
        <v>2</v>
      </c>
    </row>
    <row r="3134" spans="1:43" x14ac:dyDescent="0.2">
      <c r="A3134" t="s">
        <v>1758</v>
      </c>
      <c r="B3134" t="s">
        <v>1684</v>
      </c>
      <c r="C3134">
        <v>2011</v>
      </c>
      <c r="D3134" t="s">
        <v>44</v>
      </c>
      <c r="F3134" t="s">
        <v>357</v>
      </c>
      <c r="G3134" s="1" t="s">
        <v>90</v>
      </c>
      <c r="H3134" t="s">
        <v>96</v>
      </c>
      <c r="I3134" t="s">
        <v>1850</v>
      </c>
      <c r="J3134">
        <v>2</v>
      </c>
      <c r="K3134" t="s">
        <v>102</v>
      </c>
      <c r="M3134">
        <f t="shared" si="72"/>
        <v>4.0000000000000008E-2</v>
      </c>
      <c r="N3134" t="s">
        <v>127</v>
      </c>
      <c r="O3134" t="s">
        <v>2521</v>
      </c>
      <c r="P3134" t="s">
        <v>2523</v>
      </c>
      <c r="Q3134" t="s">
        <v>2351</v>
      </c>
      <c r="R3134" t="s">
        <v>2351</v>
      </c>
      <c r="S3134" t="s">
        <v>2351</v>
      </c>
      <c r="T3134" t="s">
        <v>396</v>
      </c>
      <c r="U3134" t="s">
        <v>2526</v>
      </c>
      <c r="X3134" t="s">
        <v>161</v>
      </c>
      <c r="Y3134" t="s">
        <v>2272</v>
      </c>
      <c r="Z3134" t="s">
        <v>2272</v>
      </c>
      <c r="AA3134" t="s">
        <v>2272</v>
      </c>
      <c r="AB3134" t="s">
        <v>2272</v>
      </c>
      <c r="AC3134" s="1" t="s">
        <v>162</v>
      </c>
      <c r="AD3134" t="s">
        <v>2272</v>
      </c>
      <c r="AF3134" t="s">
        <v>49</v>
      </c>
      <c r="AG3134" t="s">
        <v>49</v>
      </c>
      <c r="AI3134" t="s">
        <v>49</v>
      </c>
      <c r="AM3134" s="1" t="s">
        <v>2453</v>
      </c>
      <c r="AN3134" s="1" t="s">
        <v>166</v>
      </c>
      <c r="AQ3134" s="5">
        <v>2</v>
      </c>
    </row>
    <row r="3135" spans="1:43" x14ac:dyDescent="0.2">
      <c r="A3135" t="s">
        <v>1758</v>
      </c>
      <c r="B3135" t="s">
        <v>1684</v>
      </c>
      <c r="C3135">
        <v>2011</v>
      </c>
      <c r="D3135" t="s">
        <v>44</v>
      </c>
      <c r="F3135" t="s">
        <v>357</v>
      </c>
      <c r="G3135" s="1" t="s">
        <v>90</v>
      </c>
      <c r="H3135" t="s">
        <v>96</v>
      </c>
      <c r="I3135" t="s">
        <v>1850</v>
      </c>
      <c r="J3135">
        <v>2</v>
      </c>
      <c r="K3135" t="s">
        <v>102</v>
      </c>
      <c r="M3135">
        <f t="shared" si="72"/>
        <v>4.0000000000000008E-2</v>
      </c>
      <c r="N3135" t="s">
        <v>123</v>
      </c>
      <c r="O3135" t="s">
        <v>123</v>
      </c>
      <c r="P3135" t="s">
        <v>2522</v>
      </c>
      <c r="Q3135" t="s">
        <v>2281</v>
      </c>
      <c r="R3135" t="s">
        <v>2282</v>
      </c>
      <c r="S3135" t="s">
        <v>123</v>
      </c>
      <c r="T3135" t="s">
        <v>396</v>
      </c>
      <c r="U3135" t="s">
        <v>2525</v>
      </c>
      <c r="X3135" t="s">
        <v>161</v>
      </c>
      <c r="Y3135" t="s">
        <v>2272</v>
      </c>
      <c r="Z3135" t="s">
        <v>2272</v>
      </c>
      <c r="AA3135" t="s">
        <v>2272</v>
      </c>
      <c r="AB3135" t="s">
        <v>2272</v>
      </c>
      <c r="AC3135" s="1" t="s">
        <v>162</v>
      </c>
      <c r="AD3135" t="s">
        <v>2272</v>
      </c>
      <c r="AF3135" t="s">
        <v>49</v>
      </c>
      <c r="AG3135" t="s">
        <v>49</v>
      </c>
      <c r="AI3135" t="s">
        <v>49</v>
      </c>
      <c r="AM3135" s="1" t="s">
        <v>2453</v>
      </c>
      <c r="AN3135" s="1" t="s">
        <v>166</v>
      </c>
      <c r="AQ3135" s="5">
        <v>2</v>
      </c>
    </row>
    <row r="3136" spans="1:43" x14ac:dyDescent="0.2">
      <c r="A3136" t="s">
        <v>1758</v>
      </c>
      <c r="B3136" t="s">
        <v>1684</v>
      </c>
      <c r="C3136">
        <v>2011</v>
      </c>
      <c r="D3136" t="s">
        <v>44</v>
      </c>
      <c r="F3136" t="s">
        <v>357</v>
      </c>
      <c r="G3136" s="1" t="s">
        <v>90</v>
      </c>
      <c r="H3136" t="s">
        <v>96</v>
      </c>
      <c r="I3136" t="s">
        <v>1850</v>
      </c>
      <c r="J3136">
        <v>2</v>
      </c>
      <c r="K3136" t="s">
        <v>102</v>
      </c>
      <c r="M3136">
        <f t="shared" si="72"/>
        <v>4.0000000000000008E-2</v>
      </c>
      <c r="N3136" t="s">
        <v>127</v>
      </c>
      <c r="O3136" t="s">
        <v>1722</v>
      </c>
      <c r="P3136" t="s">
        <v>1473</v>
      </c>
      <c r="Q3136" s="1" t="s">
        <v>2281</v>
      </c>
      <c r="R3136" s="1" t="s">
        <v>2291</v>
      </c>
      <c r="S3136" s="1" t="s">
        <v>2291</v>
      </c>
      <c r="T3136" t="s">
        <v>396</v>
      </c>
      <c r="U3136" t="s">
        <v>2524</v>
      </c>
      <c r="X3136" t="s">
        <v>161</v>
      </c>
      <c r="Y3136" t="s">
        <v>2272</v>
      </c>
      <c r="Z3136" t="s">
        <v>2272</v>
      </c>
      <c r="AA3136" t="s">
        <v>2272</v>
      </c>
      <c r="AB3136" t="s">
        <v>2272</v>
      </c>
      <c r="AC3136" s="1" t="s">
        <v>162</v>
      </c>
      <c r="AD3136" t="s">
        <v>2272</v>
      </c>
      <c r="AF3136" t="s">
        <v>49</v>
      </c>
      <c r="AG3136" t="s">
        <v>49</v>
      </c>
      <c r="AI3136" t="s">
        <v>49</v>
      </c>
      <c r="AM3136" s="1" t="s">
        <v>2453</v>
      </c>
      <c r="AN3136" s="1" t="s">
        <v>166</v>
      </c>
      <c r="AQ3136" s="5">
        <v>1</v>
      </c>
    </row>
    <row r="3137" spans="1:43" x14ac:dyDescent="0.2">
      <c r="A3137" t="s">
        <v>1761</v>
      </c>
      <c r="B3137" t="s">
        <v>1762</v>
      </c>
      <c r="C3137">
        <v>2011</v>
      </c>
      <c r="D3137" t="s">
        <v>44</v>
      </c>
      <c r="F3137" t="s">
        <v>357</v>
      </c>
      <c r="G3137" s="1" t="s">
        <v>90</v>
      </c>
      <c r="H3137" t="s">
        <v>96</v>
      </c>
      <c r="I3137">
        <v>2002</v>
      </c>
      <c r="K3137" t="s">
        <v>101</v>
      </c>
      <c r="L3137">
        <v>2100</v>
      </c>
      <c r="M3137">
        <f t="shared" ref="M3137:M3155" si="73">0.5*0.5</f>
        <v>0.25</v>
      </c>
      <c r="N3137" t="s">
        <v>123</v>
      </c>
      <c r="O3137" t="s">
        <v>123</v>
      </c>
      <c r="P3137" t="s">
        <v>641</v>
      </c>
      <c r="Q3137" s="1" t="s">
        <v>2281</v>
      </c>
      <c r="R3137" s="1" t="s">
        <v>2282</v>
      </c>
      <c r="S3137" s="1" t="s">
        <v>123</v>
      </c>
      <c r="T3137" s="1" t="s">
        <v>421</v>
      </c>
      <c r="U3137" s="1" t="s">
        <v>421</v>
      </c>
      <c r="X3137" t="s">
        <v>161</v>
      </c>
      <c r="Y3137" t="s">
        <v>2272</v>
      </c>
      <c r="Z3137" t="s">
        <v>2272</v>
      </c>
      <c r="AA3137" t="s">
        <v>2272</v>
      </c>
      <c r="AB3137" t="s">
        <v>2272</v>
      </c>
      <c r="AC3137" s="1" t="s">
        <v>162</v>
      </c>
      <c r="AD3137" t="s">
        <v>2272</v>
      </c>
      <c r="AF3137" t="s">
        <v>49</v>
      </c>
      <c r="AI3137" t="s">
        <v>49</v>
      </c>
      <c r="AM3137" s="1" t="s">
        <v>2453</v>
      </c>
      <c r="AN3137" s="1" t="s">
        <v>154</v>
      </c>
      <c r="AQ3137" s="5">
        <v>1</v>
      </c>
    </row>
    <row r="3138" spans="1:43" x14ac:dyDescent="0.2">
      <c r="A3138" t="s">
        <v>1761</v>
      </c>
      <c r="B3138" t="s">
        <v>1762</v>
      </c>
      <c r="C3138">
        <v>2011</v>
      </c>
      <c r="D3138" t="s">
        <v>44</v>
      </c>
      <c r="F3138" t="s">
        <v>357</v>
      </c>
      <c r="G3138" s="1" t="s">
        <v>90</v>
      </c>
      <c r="H3138" t="s">
        <v>96</v>
      </c>
      <c r="I3138">
        <v>2002</v>
      </c>
      <c r="K3138" t="s">
        <v>101</v>
      </c>
      <c r="L3138">
        <v>2100</v>
      </c>
      <c r="M3138">
        <f t="shared" si="73"/>
        <v>0.25</v>
      </c>
      <c r="N3138" t="s">
        <v>123</v>
      </c>
      <c r="O3138" t="s">
        <v>123</v>
      </c>
      <c r="P3138" t="s">
        <v>641</v>
      </c>
      <c r="Q3138" s="1" t="s">
        <v>2281</v>
      </c>
      <c r="R3138" s="1" t="s">
        <v>2282</v>
      </c>
      <c r="S3138" s="1" t="s">
        <v>123</v>
      </c>
      <c r="T3138" s="1" t="s">
        <v>421</v>
      </c>
      <c r="U3138" s="1" t="s">
        <v>421</v>
      </c>
      <c r="X3138" t="s">
        <v>161</v>
      </c>
      <c r="Y3138" t="s">
        <v>2272</v>
      </c>
      <c r="Z3138" t="s">
        <v>2272</v>
      </c>
      <c r="AA3138" t="s">
        <v>2272</v>
      </c>
      <c r="AB3138" t="s">
        <v>2272</v>
      </c>
      <c r="AC3138" s="1" t="s">
        <v>162</v>
      </c>
      <c r="AD3138" t="s">
        <v>2272</v>
      </c>
      <c r="AF3138" t="s">
        <v>49</v>
      </c>
      <c r="AI3138" t="s">
        <v>49</v>
      </c>
      <c r="AM3138" s="1" t="s">
        <v>2453</v>
      </c>
      <c r="AN3138" s="1" t="s">
        <v>166</v>
      </c>
      <c r="AQ3138" s="5">
        <v>1</v>
      </c>
    </row>
    <row r="3139" spans="1:43" x14ac:dyDescent="0.2">
      <c r="A3139" t="s">
        <v>1761</v>
      </c>
      <c r="B3139" t="s">
        <v>1762</v>
      </c>
      <c r="C3139">
        <v>2011</v>
      </c>
      <c r="D3139" t="s">
        <v>44</v>
      </c>
      <c r="F3139" t="s">
        <v>357</v>
      </c>
      <c r="G3139" s="1" t="s">
        <v>90</v>
      </c>
      <c r="H3139" t="s">
        <v>96</v>
      </c>
      <c r="I3139">
        <v>2002</v>
      </c>
      <c r="K3139" t="s">
        <v>101</v>
      </c>
      <c r="L3139">
        <v>2100</v>
      </c>
      <c r="M3139">
        <f t="shared" si="73"/>
        <v>0.25</v>
      </c>
      <c r="N3139" t="s">
        <v>123</v>
      </c>
      <c r="O3139" t="s">
        <v>123</v>
      </c>
      <c r="P3139" t="s">
        <v>641</v>
      </c>
      <c r="Q3139" s="1" t="s">
        <v>2281</v>
      </c>
      <c r="R3139" s="1" t="s">
        <v>2282</v>
      </c>
      <c r="S3139" s="1" t="s">
        <v>123</v>
      </c>
      <c r="T3139" s="1" t="s">
        <v>421</v>
      </c>
      <c r="U3139" s="1" t="s">
        <v>421</v>
      </c>
      <c r="X3139" t="s">
        <v>161</v>
      </c>
      <c r="Y3139" t="s">
        <v>2272</v>
      </c>
      <c r="Z3139" t="s">
        <v>2272</v>
      </c>
      <c r="AA3139" t="s">
        <v>2272</v>
      </c>
      <c r="AB3139" t="s">
        <v>2272</v>
      </c>
      <c r="AC3139" s="1" t="s">
        <v>162</v>
      </c>
      <c r="AD3139" t="s">
        <v>2272</v>
      </c>
      <c r="AF3139" t="s">
        <v>49</v>
      </c>
      <c r="AL3139" t="s">
        <v>49</v>
      </c>
      <c r="AM3139" s="1" t="s">
        <v>2531</v>
      </c>
      <c r="AN3139" s="1" t="s">
        <v>109</v>
      </c>
      <c r="AO3139" t="s">
        <v>150</v>
      </c>
    </row>
    <row r="3140" spans="1:43" x14ac:dyDescent="0.2">
      <c r="A3140" t="s">
        <v>1761</v>
      </c>
      <c r="B3140" t="s">
        <v>1762</v>
      </c>
      <c r="C3140">
        <v>2011</v>
      </c>
      <c r="D3140" t="s">
        <v>44</v>
      </c>
      <c r="F3140" t="s">
        <v>357</v>
      </c>
      <c r="G3140" s="1" t="s">
        <v>90</v>
      </c>
      <c r="H3140" t="s">
        <v>96</v>
      </c>
      <c r="I3140">
        <v>2002</v>
      </c>
      <c r="K3140" t="s">
        <v>101</v>
      </c>
      <c r="L3140">
        <v>2100</v>
      </c>
      <c r="M3140">
        <f t="shared" si="73"/>
        <v>0.25</v>
      </c>
      <c r="N3140" t="s">
        <v>123</v>
      </c>
      <c r="O3140" t="s">
        <v>123</v>
      </c>
      <c r="P3140" t="s">
        <v>641</v>
      </c>
      <c r="Q3140" s="1" t="s">
        <v>2281</v>
      </c>
      <c r="R3140" s="1" t="s">
        <v>2282</v>
      </c>
      <c r="S3140" s="1" t="s">
        <v>123</v>
      </c>
      <c r="T3140" s="1" t="s">
        <v>421</v>
      </c>
      <c r="U3140" s="1" t="s">
        <v>421</v>
      </c>
      <c r="X3140" t="s">
        <v>161</v>
      </c>
      <c r="Y3140" t="s">
        <v>2272</v>
      </c>
      <c r="Z3140" t="s">
        <v>2272</v>
      </c>
      <c r="AA3140" t="s">
        <v>2272</v>
      </c>
      <c r="AB3140" t="s">
        <v>2272</v>
      </c>
      <c r="AC3140" s="1" t="s">
        <v>162</v>
      </c>
      <c r="AD3140" t="s">
        <v>2272</v>
      </c>
      <c r="AF3140" t="s">
        <v>49</v>
      </c>
      <c r="AL3140" t="s">
        <v>49</v>
      </c>
      <c r="AM3140" s="1" t="s">
        <v>2532</v>
      </c>
      <c r="AN3140" s="1" t="s">
        <v>109</v>
      </c>
      <c r="AO3140" t="s">
        <v>150</v>
      </c>
    </row>
    <row r="3141" spans="1:43" x14ac:dyDescent="0.2">
      <c r="A3141" t="s">
        <v>1761</v>
      </c>
      <c r="B3141" t="s">
        <v>1762</v>
      </c>
      <c r="C3141">
        <v>2011</v>
      </c>
      <c r="D3141" t="s">
        <v>44</v>
      </c>
      <c r="F3141" t="s">
        <v>357</v>
      </c>
      <c r="G3141" s="1" t="s">
        <v>90</v>
      </c>
      <c r="H3141" t="s">
        <v>96</v>
      </c>
      <c r="I3141">
        <v>2002</v>
      </c>
      <c r="K3141" t="s">
        <v>101</v>
      </c>
      <c r="L3141">
        <v>2100</v>
      </c>
      <c r="M3141">
        <f t="shared" si="73"/>
        <v>0.25</v>
      </c>
      <c r="N3141" t="s">
        <v>123</v>
      </c>
      <c r="O3141" t="s">
        <v>123</v>
      </c>
      <c r="P3141" t="s">
        <v>641</v>
      </c>
      <c r="Q3141" s="1" t="s">
        <v>2281</v>
      </c>
      <c r="R3141" s="1" t="s">
        <v>2282</v>
      </c>
      <c r="S3141" s="1" t="s">
        <v>123</v>
      </c>
      <c r="T3141" s="1" t="s">
        <v>421</v>
      </c>
      <c r="U3141" s="1" t="s">
        <v>421</v>
      </c>
      <c r="X3141" t="s">
        <v>161</v>
      </c>
      <c r="Y3141" t="s">
        <v>2272</v>
      </c>
      <c r="Z3141" t="s">
        <v>2272</v>
      </c>
      <c r="AA3141" t="s">
        <v>2272</v>
      </c>
      <c r="AB3141" t="s">
        <v>2272</v>
      </c>
      <c r="AC3141" s="1" t="s">
        <v>162</v>
      </c>
      <c r="AD3141" t="s">
        <v>2272</v>
      </c>
      <c r="AF3141" t="s">
        <v>49</v>
      </c>
      <c r="AL3141" t="s">
        <v>49</v>
      </c>
      <c r="AM3141" s="1" t="s">
        <v>2533</v>
      </c>
      <c r="AN3141" s="1" t="s">
        <v>109</v>
      </c>
      <c r="AO3141" t="s">
        <v>150</v>
      </c>
    </row>
    <row r="3142" spans="1:43" x14ac:dyDescent="0.2">
      <c r="A3142" t="s">
        <v>1761</v>
      </c>
      <c r="B3142" t="s">
        <v>1762</v>
      </c>
      <c r="C3142">
        <v>2011</v>
      </c>
      <c r="D3142" t="s">
        <v>44</v>
      </c>
      <c r="F3142" t="s">
        <v>357</v>
      </c>
      <c r="G3142" s="1" t="s">
        <v>90</v>
      </c>
      <c r="H3142" t="s">
        <v>96</v>
      </c>
      <c r="I3142">
        <v>2002</v>
      </c>
      <c r="K3142" t="s">
        <v>101</v>
      </c>
      <c r="L3142">
        <v>2100</v>
      </c>
      <c r="M3142">
        <f t="shared" si="73"/>
        <v>0.25</v>
      </c>
      <c r="N3142" t="s">
        <v>123</v>
      </c>
      <c r="O3142" t="s">
        <v>123</v>
      </c>
      <c r="P3142" t="s">
        <v>641</v>
      </c>
      <c r="Q3142" s="1" t="s">
        <v>2281</v>
      </c>
      <c r="R3142" s="1" t="s">
        <v>2282</v>
      </c>
      <c r="S3142" s="1" t="s">
        <v>123</v>
      </c>
      <c r="T3142" s="1" t="s">
        <v>421</v>
      </c>
      <c r="U3142" s="1" t="s">
        <v>421</v>
      </c>
      <c r="X3142" t="s">
        <v>161</v>
      </c>
      <c r="Y3142" t="s">
        <v>2272</v>
      </c>
      <c r="Z3142" t="s">
        <v>2272</v>
      </c>
      <c r="AA3142" t="s">
        <v>2272</v>
      </c>
      <c r="AB3142" t="s">
        <v>2272</v>
      </c>
      <c r="AC3142" s="1" t="s">
        <v>162</v>
      </c>
      <c r="AD3142" t="s">
        <v>2272</v>
      </c>
      <c r="AF3142" t="s">
        <v>49</v>
      </c>
      <c r="AL3142" t="s">
        <v>49</v>
      </c>
      <c r="AM3142" s="1" t="s">
        <v>2534</v>
      </c>
      <c r="AN3142" s="1" t="s">
        <v>109</v>
      </c>
      <c r="AO3142" t="s">
        <v>150</v>
      </c>
    </row>
    <row r="3143" spans="1:43" x14ac:dyDescent="0.2">
      <c r="A3143" t="s">
        <v>1761</v>
      </c>
      <c r="B3143" t="s">
        <v>1762</v>
      </c>
      <c r="C3143">
        <v>2011</v>
      </c>
      <c r="D3143" t="s">
        <v>44</v>
      </c>
      <c r="F3143" t="s">
        <v>357</v>
      </c>
      <c r="G3143" s="1" t="s">
        <v>90</v>
      </c>
      <c r="H3143" t="s">
        <v>96</v>
      </c>
      <c r="I3143">
        <v>2002</v>
      </c>
      <c r="K3143" t="s">
        <v>101</v>
      </c>
      <c r="L3143">
        <v>2100</v>
      </c>
      <c r="M3143">
        <f t="shared" si="73"/>
        <v>0.25</v>
      </c>
      <c r="N3143" t="s">
        <v>123</v>
      </c>
      <c r="O3143" t="s">
        <v>123</v>
      </c>
      <c r="P3143" t="s">
        <v>641</v>
      </c>
      <c r="Q3143" s="1" t="s">
        <v>2281</v>
      </c>
      <c r="R3143" s="1" t="s">
        <v>2282</v>
      </c>
      <c r="S3143" s="1" t="s">
        <v>123</v>
      </c>
      <c r="T3143" s="1" t="s">
        <v>421</v>
      </c>
      <c r="U3143" s="1" t="s">
        <v>421</v>
      </c>
      <c r="X3143" t="s">
        <v>161</v>
      </c>
      <c r="Y3143" t="s">
        <v>2272</v>
      </c>
      <c r="Z3143" t="s">
        <v>2272</v>
      </c>
      <c r="AA3143" t="s">
        <v>2272</v>
      </c>
      <c r="AB3143" t="s">
        <v>2272</v>
      </c>
      <c r="AC3143" s="1" t="s">
        <v>162</v>
      </c>
      <c r="AD3143" t="s">
        <v>2272</v>
      </c>
      <c r="AF3143" t="s">
        <v>49</v>
      </c>
      <c r="AL3143" t="s">
        <v>49</v>
      </c>
      <c r="AM3143" s="1" t="s">
        <v>641</v>
      </c>
      <c r="AN3143" s="1" t="s">
        <v>109</v>
      </c>
      <c r="AO3143" t="s">
        <v>150</v>
      </c>
    </row>
    <row r="3144" spans="1:43" x14ac:dyDescent="0.2">
      <c r="A3144" t="s">
        <v>1761</v>
      </c>
      <c r="B3144" t="s">
        <v>1762</v>
      </c>
      <c r="C3144">
        <v>2011</v>
      </c>
      <c r="D3144" t="s">
        <v>44</v>
      </c>
      <c r="F3144" t="s">
        <v>357</v>
      </c>
      <c r="G3144" s="1" t="s">
        <v>90</v>
      </c>
      <c r="H3144" t="s">
        <v>96</v>
      </c>
      <c r="I3144">
        <v>2002</v>
      </c>
      <c r="K3144" t="s">
        <v>101</v>
      </c>
      <c r="L3144">
        <v>2100</v>
      </c>
      <c r="M3144">
        <f t="shared" si="73"/>
        <v>0.25</v>
      </c>
      <c r="N3144" t="s">
        <v>123</v>
      </c>
      <c r="O3144" t="s">
        <v>123</v>
      </c>
      <c r="P3144" t="s">
        <v>641</v>
      </c>
      <c r="Q3144" s="1" t="s">
        <v>2281</v>
      </c>
      <c r="R3144" s="1" t="s">
        <v>2282</v>
      </c>
      <c r="S3144" s="1" t="s">
        <v>123</v>
      </c>
      <c r="T3144" s="1" t="s">
        <v>421</v>
      </c>
      <c r="U3144" s="1" t="s">
        <v>421</v>
      </c>
      <c r="X3144" t="s">
        <v>161</v>
      </c>
      <c r="Y3144" t="s">
        <v>2272</v>
      </c>
      <c r="Z3144" t="s">
        <v>2272</v>
      </c>
      <c r="AA3144" t="s">
        <v>2272</v>
      </c>
      <c r="AB3144" t="s">
        <v>2272</v>
      </c>
      <c r="AC3144" s="1" t="s">
        <v>162</v>
      </c>
      <c r="AD3144" t="s">
        <v>2272</v>
      </c>
      <c r="AF3144" t="s">
        <v>49</v>
      </c>
      <c r="AL3144" t="s">
        <v>49</v>
      </c>
      <c r="AM3144" s="1" t="s">
        <v>2535</v>
      </c>
      <c r="AN3144" s="1" t="s">
        <v>109</v>
      </c>
      <c r="AO3144" t="s">
        <v>150</v>
      </c>
    </row>
    <row r="3145" spans="1:43" x14ac:dyDescent="0.2">
      <c r="A3145" t="s">
        <v>1761</v>
      </c>
      <c r="B3145" t="s">
        <v>1762</v>
      </c>
      <c r="C3145">
        <v>2011</v>
      </c>
      <c r="D3145" t="s">
        <v>44</v>
      </c>
      <c r="F3145" t="s">
        <v>357</v>
      </c>
      <c r="G3145" s="1" t="s">
        <v>90</v>
      </c>
      <c r="H3145" t="s">
        <v>96</v>
      </c>
      <c r="I3145">
        <v>2002</v>
      </c>
      <c r="K3145" t="s">
        <v>101</v>
      </c>
      <c r="L3145">
        <v>2100</v>
      </c>
      <c r="M3145">
        <f t="shared" si="73"/>
        <v>0.25</v>
      </c>
      <c r="N3145" t="s">
        <v>123</v>
      </c>
      <c r="O3145" t="s">
        <v>123</v>
      </c>
      <c r="P3145" t="s">
        <v>641</v>
      </c>
      <c r="Q3145" s="1" t="s">
        <v>2281</v>
      </c>
      <c r="R3145" s="1" t="s">
        <v>2282</v>
      </c>
      <c r="S3145" s="1" t="s">
        <v>123</v>
      </c>
      <c r="T3145" s="1" t="s">
        <v>421</v>
      </c>
      <c r="U3145" s="1" t="s">
        <v>421</v>
      </c>
      <c r="X3145" t="s">
        <v>161</v>
      </c>
      <c r="Y3145" t="s">
        <v>2272</v>
      </c>
      <c r="Z3145" t="s">
        <v>2272</v>
      </c>
      <c r="AA3145" t="s">
        <v>2272</v>
      </c>
      <c r="AB3145" t="s">
        <v>2272</v>
      </c>
      <c r="AC3145" s="1" t="s">
        <v>162</v>
      </c>
      <c r="AD3145" t="s">
        <v>2272</v>
      </c>
      <c r="AF3145" t="s">
        <v>49</v>
      </c>
      <c r="AK3145" t="s">
        <v>49</v>
      </c>
      <c r="AM3145" s="1" t="s">
        <v>2536</v>
      </c>
      <c r="AN3145" s="1" t="s">
        <v>109</v>
      </c>
      <c r="AO3145" t="s">
        <v>150</v>
      </c>
    </row>
    <row r="3146" spans="1:43" x14ac:dyDescent="0.2">
      <c r="A3146" t="s">
        <v>1761</v>
      </c>
      <c r="B3146" t="s">
        <v>1762</v>
      </c>
      <c r="C3146">
        <v>2011</v>
      </c>
      <c r="D3146" t="s">
        <v>44</v>
      </c>
      <c r="F3146" t="s">
        <v>357</v>
      </c>
      <c r="G3146" s="1" t="s">
        <v>90</v>
      </c>
      <c r="H3146" t="s">
        <v>96</v>
      </c>
      <c r="I3146">
        <v>2002</v>
      </c>
      <c r="K3146" t="s">
        <v>101</v>
      </c>
      <c r="L3146">
        <v>2100</v>
      </c>
      <c r="M3146">
        <f t="shared" si="73"/>
        <v>0.25</v>
      </c>
      <c r="N3146" t="s">
        <v>123</v>
      </c>
      <c r="O3146" t="s">
        <v>123</v>
      </c>
      <c r="P3146" t="s">
        <v>641</v>
      </c>
      <c r="Q3146" s="1" t="s">
        <v>2281</v>
      </c>
      <c r="R3146" s="1" t="s">
        <v>2282</v>
      </c>
      <c r="S3146" s="1" t="s">
        <v>123</v>
      </c>
      <c r="T3146" s="1" t="s">
        <v>421</v>
      </c>
      <c r="U3146" s="1" t="s">
        <v>421</v>
      </c>
      <c r="X3146" t="s">
        <v>161</v>
      </c>
      <c r="Y3146" t="s">
        <v>2272</v>
      </c>
      <c r="Z3146" t="s">
        <v>2272</v>
      </c>
      <c r="AA3146" t="s">
        <v>2272</v>
      </c>
      <c r="AB3146" t="s">
        <v>2272</v>
      </c>
      <c r="AC3146" s="1" t="s">
        <v>162</v>
      </c>
      <c r="AD3146" t="s">
        <v>2272</v>
      </c>
      <c r="AF3146" t="s">
        <v>49</v>
      </c>
      <c r="AL3146" t="s">
        <v>49</v>
      </c>
      <c r="AM3146" s="1" t="s">
        <v>2537</v>
      </c>
      <c r="AN3146" s="1" t="s">
        <v>109</v>
      </c>
      <c r="AO3146" t="s">
        <v>150</v>
      </c>
    </row>
    <row r="3147" spans="1:43" x14ac:dyDescent="0.2">
      <c r="A3147" t="s">
        <v>1761</v>
      </c>
      <c r="B3147" t="s">
        <v>1762</v>
      </c>
      <c r="C3147">
        <v>2011</v>
      </c>
      <c r="D3147" t="s">
        <v>44</v>
      </c>
      <c r="F3147" t="s">
        <v>357</v>
      </c>
      <c r="G3147" s="1" t="s">
        <v>90</v>
      </c>
      <c r="H3147" t="s">
        <v>96</v>
      </c>
      <c r="I3147">
        <v>2002</v>
      </c>
      <c r="K3147" t="s">
        <v>101</v>
      </c>
      <c r="L3147">
        <v>2100</v>
      </c>
      <c r="M3147">
        <f t="shared" si="73"/>
        <v>0.25</v>
      </c>
      <c r="N3147" t="s">
        <v>123</v>
      </c>
      <c r="O3147" t="s">
        <v>123</v>
      </c>
      <c r="P3147" t="s">
        <v>641</v>
      </c>
      <c r="Q3147" s="1" t="s">
        <v>2281</v>
      </c>
      <c r="R3147" s="1" t="s">
        <v>2282</v>
      </c>
      <c r="S3147" s="1" t="s">
        <v>123</v>
      </c>
      <c r="T3147" s="1" t="s">
        <v>421</v>
      </c>
      <c r="U3147" s="1" t="s">
        <v>421</v>
      </c>
      <c r="X3147" t="s">
        <v>161</v>
      </c>
      <c r="Y3147" t="s">
        <v>2272</v>
      </c>
      <c r="Z3147" t="s">
        <v>2272</v>
      </c>
      <c r="AA3147" t="s">
        <v>2272</v>
      </c>
      <c r="AB3147" t="s">
        <v>2272</v>
      </c>
      <c r="AC3147" s="1" t="s">
        <v>162</v>
      </c>
      <c r="AD3147" t="s">
        <v>2272</v>
      </c>
      <c r="AF3147" t="s">
        <v>49</v>
      </c>
      <c r="AL3147" t="s">
        <v>49</v>
      </c>
      <c r="AM3147" s="1" t="s">
        <v>2537</v>
      </c>
      <c r="AN3147" s="1" t="s">
        <v>109</v>
      </c>
      <c r="AO3147" t="s">
        <v>150</v>
      </c>
    </row>
    <row r="3148" spans="1:43" x14ac:dyDescent="0.2">
      <c r="A3148" t="s">
        <v>1761</v>
      </c>
      <c r="B3148" t="s">
        <v>1762</v>
      </c>
      <c r="C3148">
        <v>2011</v>
      </c>
      <c r="D3148" t="s">
        <v>44</v>
      </c>
      <c r="F3148" t="s">
        <v>357</v>
      </c>
      <c r="G3148" s="1" t="s">
        <v>90</v>
      </c>
      <c r="H3148" t="s">
        <v>96</v>
      </c>
      <c r="I3148">
        <v>2002</v>
      </c>
      <c r="K3148" t="s">
        <v>101</v>
      </c>
      <c r="L3148">
        <v>2100</v>
      </c>
      <c r="M3148">
        <f t="shared" si="73"/>
        <v>0.25</v>
      </c>
      <c r="N3148" t="s">
        <v>123</v>
      </c>
      <c r="O3148" t="s">
        <v>123</v>
      </c>
      <c r="P3148" t="s">
        <v>641</v>
      </c>
      <c r="Q3148" s="1" t="s">
        <v>2281</v>
      </c>
      <c r="R3148" s="1" t="s">
        <v>2282</v>
      </c>
      <c r="S3148" s="1" t="s">
        <v>123</v>
      </c>
      <c r="T3148" s="1" t="s">
        <v>421</v>
      </c>
      <c r="U3148" s="1" t="s">
        <v>421</v>
      </c>
      <c r="X3148" t="s">
        <v>161</v>
      </c>
      <c r="Y3148" t="s">
        <v>2272</v>
      </c>
      <c r="Z3148" t="s">
        <v>2272</v>
      </c>
      <c r="AA3148" t="s">
        <v>2272</v>
      </c>
      <c r="AB3148" t="s">
        <v>2272</v>
      </c>
      <c r="AC3148" s="1" t="s">
        <v>162</v>
      </c>
      <c r="AD3148" t="s">
        <v>2272</v>
      </c>
      <c r="AF3148" t="s">
        <v>49</v>
      </c>
      <c r="AL3148" t="s">
        <v>49</v>
      </c>
      <c r="AM3148" s="1" t="s">
        <v>2529</v>
      </c>
      <c r="AN3148" s="1" t="s">
        <v>109</v>
      </c>
      <c r="AO3148" t="s">
        <v>150</v>
      </c>
    </row>
    <row r="3149" spans="1:43" x14ac:dyDescent="0.2">
      <c r="A3149" t="s">
        <v>1761</v>
      </c>
      <c r="B3149" t="s">
        <v>1762</v>
      </c>
      <c r="C3149">
        <v>2011</v>
      </c>
      <c r="D3149" t="s">
        <v>44</v>
      </c>
      <c r="F3149" t="s">
        <v>357</v>
      </c>
      <c r="G3149" s="1" t="s">
        <v>90</v>
      </c>
      <c r="H3149" t="s">
        <v>96</v>
      </c>
      <c r="I3149">
        <v>2002</v>
      </c>
      <c r="K3149" t="s">
        <v>101</v>
      </c>
      <c r="L3149">
        <v>2100</v>
      </c>
      <c r="M3149">
        <f t="shared" si="73"/>
        <v>0.25</v>
      </c>
      <c r="N3149" t="s">
        <v>123</v>
      </c>
      <c r="O3149" t="s">
        <v>123</v>
      </c>
      <c r="P3149" t="s">
        <v>641</v>
      </c>
      <c r="Q3149" s="1" t="s">
        <v>2281</v>
      </c>
      <c r="R3149" s="1" t="s">
        <v>2282</v>
      </c>
      <c r="S3149" s="1" t="s">
        <v>123</v>
      </c>
      <c r="T3149" s="1" t="s">
        <v>421</v>
      </c>
      <c r="U3149" s="1" t="s">
        <v>421</v>
      </c>
      <c r="X3149" t="s">
        <v>161</v>
      </c>
      <c r="Y3149" t="s">
        <v>2272</v>
      </c>
      <c r="Z3149" t="s">
        <v>2272</v>
      </c>
      <c r="AA3149" t="s">
        <v>2272</v>
      </c>
      <c r="AB3149" t="s">
        <v>2272</v>
      </c>
      <c r="AC3149" s="1" t="s">
        <v>162</v>
      </c>
      <c r="AD3149" t="s">
        <v>2272</v>
      </c>
      <c r="AF3149" t="s">
        <v>49</v>
      </c>
      <c r="AL3149" t="s">
        <v>49</v>
      </c>
      <c r="AM3149" s="1" t="s">
        <v>2538</v>
      </c>
      <c r="AN3149" s="1" t="s">
        <v>109</v>
      </c>
      <c r="AO3149" t="s">
        <v>150</v>
      </c>
    </row>
    <row r="3150" spans="1:43" x14ac:dyDescent="0.2">
      <c r="A3150" t="s">
        <v>1761</v>
      </c>
      <c r="B3150" t="s">
        <v>1762</v>
      </c>
      <c r="C3150">
        <v>2011</v>
      </c>
      <c r="D3150" t="s">
        <v>44</v>
      </c>
      <c r="F3150" t="s">
        <v>357</v>
      </c>
      <c r="G3150" s="1" t="s">
        <v>90</v>
      </c>
      <c r="H3150" t="s">
        <v>96</v>
      </c>
      <c r="I3150">
        <v>2002</v>
      </c>
      <c r="K3150" t="s">
        <v>101</v>
      </c>
      <c r="L3150">
        <v>2100</v>
      </c>
      <c r="M3150">
        <f t="shared" si="73"/>
        <v>0.25</v>
      </c>
      <c r="N3150" t="s">
        <v>123</v>
      </c>
      <c r="O3150" t="s">
        <v>123</v>
      </c>
      <c r="P3150" t="s">
        <v>641</v>
      </c>
      <c r="Q3150" s="1" t="s">
        <v>2281</v>
      </c>
      <c r="R3150" s="1" t="s">
        <v>2282</v>
      </c>
      <c r="S3150" s="1" t="s">
        <v>123</v>
      </c>
      <c r="T3150" s="1" t="s">
        <v>421</v>
      </c>
      <c r="U3150" s="1" t="s">
        <v>421</v>
      </c>
      <c r="X3150" t="s">
        <v>161</v>
      </c>
      <c r="Y3150" t="s">
        <v>2272</v>
      </c>
      <c r="Z3150" t="s">
        <v>2272</v>
      </c>
      <c r="AA3150" t="s">
        <v>2272</v>
      </c>
      <c r="AB3150" t="s">
        <v>2272</v>
      </c>
      <c r="AC3150" s="1" t="s">
        <v>162</v>
      </c>
      <c r="AD3150" t="s">
        <v>2272</v>
      </c>
      <c r="AF3150" t="s">
        <v>49</v>
      </c>
      <c r="AK3150" t="s">
        <v>49</v>
      </c>
      <c r="AM3150" s="1" t="s">
        <v>2539</v>
      </c>
      <c r="AN3150" s="1" t="s">
        <v>109</v>
      </c>
      <c r="AO3150" t="s">
        <v>150</v>
      </c>
    </row>
    <row r="3151" spans="1:43" x14ac:dyDescent="0.2">
      <c r="A3151" t="s">
        <v>1759</v>
      </c>
      <c r="B3151" t="s">
        <v>1760</v>
      </c>
      <c r="C3151">
        <v>2011</v>
      </c>
      <c r="D3151" t="s">
        <v>44</v>
      </c>
      <c r="F3151" t="s">
        <v>628</v>
      </c>
      <c r="G3151" s="1" t="s">
        <v>86</v>
      </c>
      <c r="H3151" t="s">
        <v>96</v>
      </c>
      <c r="I3151">
        <v>2008</v>
      </c>
      <c r="J3151">
        <v>2.7E-2</v>
      </c>
      <c r="K3151" t="s">
        <v>101</v>
      </c>
      <c r="L3151">
        <v>40</v>
      </c>
      <c r="M3151">
        <f t="shared" si="73"/>
        <v>0.25</v>
      </c>
      <c r="N3151" t="s">
        <v>120</v>
      </c>
      <c r="O3151" t="s">
        <v>120</v>
      </c>
      <c r="P3151" t="s">
        <v>711</v>
      </c>
      <c r="Q3151" s="1" t="s">
        <v>2276</v>
      </c>
      <c r="R3151" s="1" t="s">
        <v>669</v>
      </c>
      <c r="S3151" s="1" t="s">
        <v>168</v>
      </c>
      <c r="X3151" t="s">
        <v>646</v>
      </c>
      <c r="Y3151" t="s">
        <v>2279</v>
      </c>
      <c r="Z3151" t="s">
        <v>2280</v>
      </c>
      <c r="AA3151" t="s">
        <v>2358</v>
      </c>
      <c r="AB3151" t="s">
        <v>2290</v>
      </c>
      <c r="AC3151" s="1" t="s">
        <v>152</v>
      </c>
      <c r="AD3151" t="s">
        <v>2278</v>
      </c>
      <c r="AE3151" s="1" t="s">
        <v>1769</v>
      </c>
      <c r="AF3151" s="1"/>
      <c r="AG3151" s="1"/>
      <c r="AH3151" s="2"/>
      <c r="AI3151" s="1"/>
      <c r="AJ3151" s="1"/>
      <c r="AK3151" s="1"/>
      <c r="AL3151" s="1"/>
    </row>
    <row r="3152" spans="1:43" x14ac:dyDescent="0.2">
      <c r="A3152" t="s">
        <v>1759</v>
      </c>
      <c r="B3152" t="s">
        <v>1760</v>
      </c>
      <c r="C3152">
        <v>2011</v>
      </c>
      <c r="D3152" t="s">
        <v>44</v>
      </c>
      <c r="F3152" t="s">
        <v>628</v>
      </c>
      <c r="G3152" s="1" t="s">
        <v>86</v>
      </c>
      <c r="H3152" t="s">
        <v>96</v>
      </c>
      <c r="I3152">
        <v>2007</v>
      </c>
      <c r="J3152">
        <v>2.7E-2</v>
      </c>
      <c r="K3152" t="s">
        <v>101</v>
      </c>
      <c r="L3152">
        <v>70</v>
      </c>
      <c r="M3152">
        <f t="shared" si="73"/>
        <v>0.25</v>
      </c>
      <c r="N3152" t="s">
        <v>121</v>
      </c>
      <c r="O3152" t="s">
        <v>121</v>
      </c>
      <c r="P3152" t="s">
        <v>286</v>
      </c>
      <c r="Q3152" s="1" t="s">
        <v>2292</v>
      </c>
      <c r="R3152" s="1" t="s">
        <v>264</v>
      </c>
      <c r="S3152" s="1" t="s">
        <v>264</v>
      </c>
      <c r="X3152" t="s">
        <v>646</v>
      </c>
      <c r="Y3152" t="s">
        <v>2279</v>
      </c>
      <c r="Z3152" t="s">
        <v>2280</v>
      </c>
      <c r="AA3152" t="s">
        <v>2358</v>
      </c>
      <c r="AB3152" t="s">
        <v>2290</v>
      </c>
      <c r="AC3152" s="1" t="s">
        <v>152</v>
      </c>
      <c r="AD3152" t="s">
        <v>2278</v>
      </c>
      <c r="AE3152" s="1" t="s">
        <v>1769</v>
      </c>
      <c r="AF3152" s="1"/>
      <c r="AG3152" s="1"/>
      <c r="AH3152" s="2"/>
      <c r="AI3152" s="1"/>
      <c r="AJ3152" s="1"/>
      <c r="AK3152" s="1"/>
      <c r="AL3152" s="1"/>
    </row>
    <row r="3153" spans="1:42" x14ac:dyDescent="0.2">
      <c r="A3153" t="s">
        <v>1759</v>
      </c>
      <c r="B3153" t="s">
        <v>1760</v>
      </c>
      <c r="C3153">
        <v>2011</v>
      </c>
      <c r="D3153" t="s">
        <v>44</v>
      </c>
      <c r="F3153" t="s">
        <v>628</v>
      </c>
      <c r="G3153" s="1" t="s">
        <v>86</v>
      </c>
      <c r="H3153" t="s">
        <v>96</v>
      </c>
      <c r="I3153">
        <v>2008</v>
      </c>
      <c r="J3153">
        <v>2.7E-2</v>
      </c>
      <c r="K3153" t="s">
        <v>101</v>
      </c>
      <c r="L3153">
        <v>40</v>
      </c>
      <c r="M3153">
        <f t="shared" si="73"/>
        <v>0.25</v>
      </c>
      <c r="N3153" t="s">
        <v>120</v>
      </c>
      <c r="O3153" t="s">
        <v>120</v>
      </c>
      <c r="P3153" t="s">
        <v>711</v>
      </c>
      <c r="Q3153" s="1" t="s">
        <v>2276</v>
      </c>
      <c r="R3153" s="1" t="s">
        <v>669</v>
      </c>
      <c r="S3153" s="1" t="s">
        <v>168</v>
      </c>
      <c r="X3153" t="s">
        <v>527</v>
      </c>
      <c r="Y3153" t="s">
        <v>2273</v>
      </c>
      <c r="Z3153" t="s">
        <v>249</v>
      </c>
      <c r="AA3153" t="s">
        <v>2359</v>
      </c>
      <c r="AB3153" t="s">
        <v>1419</v>
      </c>
      <c r="AC3153" s="1" t="s">
        <v>152</v>
      </c>
      <c r="AD3153" t="s">
        <v>137</v>
      </c>
      <c r="AE3153" s="1" t="s">
        <v>1769</v>
      </c>
      <c r="AF3153" s="1"/>
      <c r="AG3153" s="1"/>
      <c r="AH3153" s="2"/>
      <c r="AI3153" s="1"/>
      <c r="AJ3153" s="1"/>
      <c r="AK3153" s="1"/>
      <c r="AL3153" s="1"/>
    </row>
    <row r="3154" spans="1:42" x14ac:dyDescent="0.2">
      <c r="A3154" t="s">
        <v>1759</v>
      </c>
      <c r="B3154" t="s">
        <v>1760</v>
      </c>
      <c r="C3154">
        <v>2011</v>
      </c>
      <c r="D3154" t="s">
        <v>44</v>
      </c>
      <c r="F3154" t="s">
        <v>628</v>
      </c>
      <c r="G3154" s="1" t="s">
        <v>86</v>
      </c>
      <c r="H3154" t="s">
        <v>96</v>
      </c>
      <c r="I3154">
        <v>2007</v>
      </c>
      <c r="J3154">
        <v>2.7E-2</v>
      </c>
      <c r="K3154" t="s">
        <v>101</v>
      </c>
      <c r="L3154">
        <v>70</v>
      </c>
      <c r="M3154">
        <f t="shared" si="73"/>
        <v>0.25</v>
      </c>
      <c r="N3154" t="s">
        <v>121</v>
      </c>
      <c r="O3154" t="s">
        <v>121</v>
      </c>
      <c r="P3154" t="s">
        <v>286</v>
      </c>
      <c r="Q3154" s="1" t="s">
        <v>2292</v>
      </c>
      <c r="R3154" s="1" t="s">
        <v>264</v>
      </c>
      <c r="S3154" s="1" t="s">
        <v>264</v>
      </c>
      <c r="X3154" t="s">
        <v>527</v>
      </c>
      <c r="Y3154" t="s">
        <v>2273</v>
      </c>
      <c r="Z3154" t="s">
        <v>249</v>
      </c>
      <c r="AA3154" t="s">
        <v>2359</v>
      </c>
      <c r="AB3154" t="s">
        <v>1419</v>
      </c>
      <c r="AC3154" s="1" t="s">
        <v>152</v>
      </c>
      <c r="AD3154" t="s">
        <v>137</v>
      </c>
      <c r="AE3154" s="1" t="s">
        <v>1769</v>
      </c>
      <c r="AF3154" s="1"/>
      <c r="AG3154" s="1"/>
      <c r="AH3154" s="2"/>
      <c r="AI3154" s="1"/>
      <c r="AJ3154" s="1"/>
      <c r="AK3154" s="1"/>
      <c r="AL3154" s="1"/>
    </row>
    <row r="3155" spans="1:42" x14ac:dyDescent="0.2">
      <c r="A3155" t="s">
        <v>1759</v>
      </c>
      <c r="B3155" t="s">
        <v>1760</v>
      </c>
      <c r="C3155">
        <v>2011</v>
      </c>
      <c r="D3155" t="s">
        <v>44</v>
      </c>
      <c r="F3155" t="s">
        <v>628</v>
      </c>
      <c r="G3155" s="1" t="s">
        <v>86</v>
      </c>
      <c r="H3155" t="s">
        <v>96</v>
      </c>
      <c r="I3155">
        <v>2008</v>
      </c>
      <c r="J3155">
        <v>2.7E-2</v>
      </c>
      <c r="K3155" t="s">
        <v>101</v>
      </c>
      <c r="L3155">
        <v>40</v>
      </c>
      <c r="M3155">
        <f t="shared" si="73"/>
        <v>0.25</v>
      </c>
      <c r="N3155" t="s">
        <v>120</v>
      </c>
      <c r="O3155" t="s">
        <v>120</v>
      </c>
      <c r="P3155" t="s">
        <v>711</v>
      </c>
      <c r="Q3155" s="1" t="s">
        <v>2276</v>
      </c>
      <c r="R3155" s="1" t="s">
        <v>669</v>
      </c>
      <c r="S3155" s="1" t="s">
        <v>168</v>
      </c>
      <c r="X3155" t="s">
        <v>1763</v>
      </c>
      <c r="Y3155" t="s">
        <v>2279</v>
      </c>
      <c r="Z3155" t="s">
        <v>2280</v>
      </c>
      <c r="AA3155" t="s">
        <v>2358</v>
      </c>
      <c r="AB3155" t="s">
        <v>189</v>
      </c>
      <c r="AC3155" s="1" t="s">
        <v>152</v>
      </c>
      <c r="AD3155" t="s">
        <v>2278</v>
      </c>
      <c r="AE3155" s="1" t="s">
        <v>1769</v>
      </c>
      <c r="AF3155" s="1"/>
      <c r="AG3155" s="1"/>
      <c r="AH3155" s="2"/>
      <c r="AI3155" s="1"/>
      <c r="AJ3155" s="1"/>
      <c r="AK3155" s="1"/>
      <c r="AL3155" s="1"/>
    </row>
    <row r="3156" spans="1:42" x14ac:dyDescent="0.2">
      <c r="A3156" t="s">
        <v>1759</v>
      </c>
      <c r="B3156" t="s">
        <v>1760</v>
      </c>
      <c r="C3156">
        <v>2011</v>
      </c>
      <c r="D3156" t="s">
        <v>44</v>
      </c>
      <c r="F3156" t="s">
        <v>628</v>
      </c>
      <c r="G3156" s="1" t="s">
        <v>86</v>
      </c>
      <c r="H3156" t="s">
        <v>96</v>
      </c>
      <c r="I3156">
        <v>2007</v>
      </c>
      <c r="J3156">
        <v>2.7E-2</v>
      </c>
      <c r="K3156" t="s">
        <v>101</v>
      </c>
      <c r="L3156">
        <v>70</v>
      </c>
      <c r="M3156">
        <f>0.25*0.25</f>
        <v>6.25E-2</v>
      </c>
      <c r="N3156" t="s">
        <v>121</v>
      </c>
      <c r="O3156" t="s">
        <v>121</v>
      </c>
      <c r="P3156" t="s">
        <v>286</v>
      </c>
      <c r="Q3156" s="1" t="s">
        <v>2292</v>
      </c>
      <c r="R3156" s="1" t="s">
        <v>264</v>
      </c>
      <c r="S3156" s="1" t="s">
        <v>264</v>
      </c>
      <c r="X3156" t="s">
        <v>267</v>
      </c>
      <c r="Y3156" t="s">
        <v>2279</v>
      </c>
      <c r="Z3156" t="s">
        <v>2280</v>
      </c>
      <c r="AA3156" t="s">
        <v>2358</v>
      </c>
      <c r="AB3156" t="s">
        <v>189</v>
      </c>
      <c r="AC3156" s="1" t="s">
        <v>152</v>
      </c>
      <c r="AD3156" t="s">
        <v>2278</v>
      </c>
      <c r="AE3156" s="1" t="s">
        <v>1769</v>
      </c>
      <c r="AF3156" s="1"/>
      <c r="AG3156" s="1"/>
      <c r="AH3156" s="2"/>
      <c r="AI3156" s="1"/>
      <c r="AJ3156" s="1"/>
      <c r="AK3156" s="1"/>
      <c r="AL3156" s="1"/>
    </row>
    <row r="3157" spans="1:42" x14ac:dyDescent="0.2">
      <c r="A3157" t="s">
        <v>1759</v>
      </c>
      <c r="B3157" t="s">
        <v>1760</v>
      </c>
      <c r="C3157">
        <v>2011</v>
      </c>
      <c r="D3157" t="s">
        <v>44</v>
      </c>
      <c r="F3157" t="s">
        <v>628</v>
      </c>
      <c r="G3157" s="1" t="s">
        <v>86</v>
      </c>
      <c r="H3157" t="s">
        <v>96</v>
      </c>
      <c r="I3157">
        <v>2008</v>
      </c>
      <c r="J3157">
        <v>2.7E-2</v>
      </c>
      <c r="K3157" t="s">
        <v>101</v>
      </c>
      <c r="L3157">
        <v>40</v>
      </c>
      <c r="M3157">
        <f>0.5*0.5</f>
        <v>0.25</v>
      </c>
      <c r="N3157" t="s">
        <v>120</v>
      </c>
      <c r="O3157" t="s">
        <v>120</v>
      </c>
      <c r="P3157" t="s">
        <v>711</v>
      </c>
      <c r="Q3157" s="1" t="s">
        <v>2276</v>
      </c>
      <c r="R3157" s="1" t="s">
        <v>669</v>
      </c>
      <c r="S3157" s="1" t="s">
        <v>168</v>
      </c>
      <c r="X3157" t="s">
        <v>171</v>
      </c>
      <c r="Y3157" t="s">
        <v>2273</v>
      </c>
      <c r="Z3157" t="s">
        <v>249</v>
      </c>
      <c r="AA3157" t="s">
        <v>2359</v>
      </c>
      <c r="AB3157" t="s">
        <v>1979</v>
      </c>
      <c r="AC3157" s="1" t="s">
        <v>315</v>
      </c>
      <c r="AD3157" t="s">
        <v>137</v>
      </c>
    </row>
    <row r="3158" spans="1:42" x14ac:dyDescent="0.2">
      <c r="A3158" t="s">
        <v>1759</v>
      </c>
      <c r="B3158" t="s">
        <v>1760</v>
      </c>
      <c r="C3158">
        <v>2011</v>
      </c>
      <c r="D3158" t="s">
        <v>44</v>
      </c>
      <c r="F3158" t="s">
        <v>628</v>
      </c>
      <c r="G3158" s="1" t="s">
        <v>86</v>
      </c>
      <c r="H3158" t="s">
        <v>96</v>
      </c>
      <c r="I3158">
        <v>2007</v>
      </c>
      <c r="J3158">
        <v>2.7E-2</v>
      </c>
      <c r="K3158" t="s">
        <v>101</v>
      </c>
      <c r="L3158">
        <v>70</v>
      </c>
      <c r="M3158">
        <f>0.5*0.5</f>
        <v>0.25</v>
      </c>
      <c r="N3158" t="s">
        <v>121</v>
      </c>
      <c r="O3158" t="s">
        <v>121</v>
      </c>
      <c r="P3158" t="s">
        <v>286</v>
      </c>
      <c r="Q3158" s="1" t="s">
        <v>2292</v>
      </c>
      <c r="R3158" s="1" t="s">
        <v>264</v>
      </c>
      <c r="S3158" s="1" t="s">
        <v>264</v>
      </c>
      <c r="X3158" t="s">
        <v>1764</v>
      </c>
      <c r="Y3158" t="s">
        <v>2273</v>
      </c>
      <c r="Z3158" t="s">
        <v>249</v>
      </c>
      <c r="AA3158" t="s">
        <v>2359</v>
      </c>
      <c r="AB3158" t="s">
        <v>1979</v>
      </c>
      <c r="AC3158" s="1" t="s">
        <v>315</v>
      </c>
      <c r="AD3158" t="s">
        <v>2288</v>
      </c>
    </row>
    <row r="3159" spans="1:42" x14ac:dyDescent="0.2">
      <c r="A3159" t="s">
        <v>1759</v>
      </c>
      <c r="B3159" t="s">
        <v>1760</v>
      </c>
      <c r="C3159">
        <v>2011</v>
      </c>
      <c r="D3159" t="s">
        <v>44</v>
      </c>
      <c r="F3159" t="s">
        <v>628</v>
      </c>
      <c r="G3159" s="1" t="s">
        <v>86</v>
      </c>
      <c r="H3159" t="s">
        <v>96</v>
      </c>
      <c r="I3159">
        <v>2008</v>
      </c>
      <c r="J3159">
        <v>2.7E-2</v>
      </c>
      <c r="K3159" t="s">
        <v>101</v>
      </c>
      <c r="L3159">
        <v>40</v>
      </c>
      <c r="M3159">
        <v>0</v>
      </c>
      <c r="N3159" t="s">
        <v>120</v>
      </c>
      <c r="O3159" t="s">
        <v>120</v>
      </c>
      <c r="P3159" t="s">
        <v>711</v>
      </c>
      <c r="Q3159" s="1" t="s">
        <v>2276</v>
      </c>
      <c r="R3159" s="1" t="s">
        <v>669</v>
      </c>
      <c r="S3159" s="1" t="s">
        <v>168</v>
      </c>
      <c r="X3159" t="s">
        <v>1765</v>
      </c>
      <c r="Y3159" t="s">
        <v>2273</v>
      </c>
      <c r="Z3159" t="s">
        <v>2356</v>
      </c>
      <c r="AA3159" t="s">
        <v>2357</v>
      </c>
      <c r="AB3159" t="s">
        <v>2306</v>
      </c>
      <c r="AC3159" s="1" t="s">
        <v>152</v>
      </c>
      <c r="AD3159" t="s">
        <v>137</v>
      </c>
      <c r="AE3159" s="1" t="s">
        <v>415</v>
      </c>
      <c r="AF3159" s="1"/>
      <c r="AG3159" s="1"/>
      <c r="AH3159" s="2"/>
      <c r="AI3159" s="1"/>
      <c r="AJ3159" s="1"/>
      <c r="AK3159" s="1"/>
      <c r="AL3159" s="1"/>
    </row>
    <row r="3160" spans="1:42" x14ac:dyDescent="0.2">
      <c r="A3160" t="s">
        <v>1759</v>
      </c>
      <c r="B3160" t="s">
        <v>1760</v>
      </c>
      <c r="C3160">
        <v>2011</v>
      </c>
      <c r="D3160" t="s">
        <v>44</v>
      </c>
      <c r="F3160" t="s">
        <v>628</v>
      </c>
      <c r="G3160" s="1" t="s">
        <v>86</v>
      </c>
      <c r="H3160" t="s">
        <v>96</v>
      </c>
      <c r="I3160">
        <v>2007</v>
      </c>
      <c r="J3160">
        <v>2.7E-2</v>
      </c>
      <c r="K3160" t="s">
        <v>101</v>
      </c>
      <c r="L3160">
        <v>70</v>
      </c>
      <c r="M3160">
        <v>0</v>
      </c>
      <c r="N3160" t="s">
        <v>121</v>
      </c>
      <c r="O3160" t="s">
        <v>121</v>
      </c>
      <c r="P3160" t="s">
        <v>286</v>
      </c>
      <c r="Q3160" s="1" t="s">
        <v>2292</v>
      </c>
      <c r="R3160" s="1" t="s">
        <v>264</v>
      </c>
      <c r="S3160" s="1" t="s">
        <v>264</v>
      </c>
      <c r="X3160" t="s">
        <v>1765</v>
      </c>
      <c r="Y3160" t="s">
        <v>2273</v>
      </c>
      <c r="Z3160" t="s">
        <v>2356</v>
      </c>
      <c r="AA3160" t="s">
        <v>2357</v>
      </c>
      <c r="AB3160" t="s">
        <v>2306</v>
      </c>
      <c r="AC3160" s="1" t="s">
        <v>152</v>
      </c>
      <c r="AD3160" t="s">
        <v>137</v>
      </c>
      <c r="AE3160" s="1" t="s">
        <v>415</v>
      </c>
      <c r="AF3160" s="1"/>
      <c r="AG3160" s="1"/>
      <c r="AH3160" s="2"/>
      <c r="AI3160" s="1"/>
      <c r="AJ3160" s="1"/>
      <c r="AK3160" s="1"/>
      <c r="AL3160" s="1"/>
    </row>
    <row r="3161" spans="1:42" x14ac:dyDescent="0.2">
      <c r="A3161" t="s">
        <v>1759</v>
      </c>
      <c r="B3161" t="s">
        <v>1760</v>
      </c>
      <c r="C3161">
        <v>2011</v>
      </c>
      <c r="D3161" t="s">
        <v>44</v>
      </c>
      <c r="F3161" t="s">
        <v>628</v>
      </c>
      <c r="G3161" s="1" t="s">
        <v>86</v>
      </c>
      <c r="H3161" t="s">
        <v>96</v>
      </c>
      <c r="I3161">
        <v>2008</v>
      </c>
      <c r="J3161">
        <v>2.7E-2</v>
      </c>
      <c r="K3161" t="s">
        <v>101</v>
      </c>
      <c r="L3161">
        <v>40</v>
      </c>
      <c r="M3161">
        <v>0</v>
      </c>
      <c r="N3161" t="s">
        <v>120</v>
      </c>
      <c r="O3161" t="s">
        <v>120</v>
      </c>
      <c r="P3161" t="s">
        <v>711</v>
      </c>
      <c r="Q3161" s="1" t="s">
        <v>2276</v>
      </c>
      <c r="R3161" s="1" t="s">
        <v>669</v>
      </c>
      <c r="S3161" s="1" t="s">
        <v>168</v>
      </c>
      <c r="X3161" t="s">
        <v>1766</v>
      </c>
      <c r="Y3161" t="s">
        <v>2273</v>
      </c>
      <c r="Z3161" t="s">
        <v>2356</v>
      </c>
      <c r="AA3161" t="s">
        <v>2357</v>
      </c>
      <c r="AB3161" t="s">
        <v>2306</v>
      </c>
      <c r="AC3161" s="1" t="s">
        <v>152</v>
      </c>
      <c r="AD3161" t="s">
        <v>137</v>
      </c>
    </row>
    <row r="3162" spans="1:42" x14ac:dyDescent="0.2">
      <c r="A3162" t="s">
        <v>1759</v>
      </c>
      <c r="B3162" t="s">
        <v>1760</v>
      </c>
      <c r="C3162">
        <v>2011</v>
      </c>
      <c r="D3162" t="s">
        <v>44</v>
      </c>
      <c r="F3162" t="s">
        <v>628</v>
      </c>
      <c r="G3162" s="1" t="s">
        <v>86</v>
      </c>
      <c r="H3162" t="s">
        <v>96</v>
      </c>
      <c r="I3162">
        <v>2007</v>
      </c>
      <c r="J3162">
        <v>2.7E-2</v>
      </c>
      <c r="K3162" t="s">
        <v>101</v>
      </c>
      <c r="L3162">
        <v>70</v>
      </c>
      <c r="M3162">
        <v>0</v>
      </c>
      <c r="N3162" t="s">
        <v>121</v>
      </c>
      <c r="O3162" t="s">
        <v>121</v>
      </c>
      <c r="P3162" t="s">
        <v>286</v>
      </c>
      <c r="Q3162" s="1" t="s">
        <v>2292</v>
      </c>
      <c r="R3162" s="1" t="s">
        <v>264</v>
      </c>
      <c r="S3162" s="1" t="s">
        <v>264</v>
      </c>
      <c r="X3162" t="s">
        <v>1766</v>
      </c>
      <c r="Y3162" t="s">
        <v>2273</v>
      </c>
      <c r="Z3162" t="s">
        <v>2356</v>
      </c>
      <c r="AA3162" t="s">
        <v>2357</v>
      </c>
      <c r="AB3162" t="s">
        <v>2306</v>
      </c>
      <c r="AC3162" s="1" t="s">
        <v>152</v>
      </c>
      <c r="AD3162" t="s">
        <v>137</v>
      </c>
    </row>
    <row r="3163" spans="1:42" x14ac:dyDescent="0.2">
      <c r="A3163" t="s">
        <v>1759</v>
      </c>
      <c r="B3163" t="s">
        <v>1760</v>
      </c>
      <c r="C3163">
        <v>2011</v>
      </c>
      <c r="D3163" t="s">
        <v>44</v>
      </c>
      <c r="F3163" t="s">
        <v>628</v>
      </c>
      <c r="G3163" s="1" t="s">
        <v>86</v>
      </c>
      <c r="H3163" t="s">
        <v>96</v>
      </c>
      <c r="I3163">
        <v>2008</v>
      </c>
      <c r="J3163">
        <v>2.7E-2</v>
      </c>
      <c r="K3163" t="s">
        <v>101</v>
      </c>
      <c r="L3163">
        <v>40</v>
      </c>
      <c r="M3163">
        <v>0</v>
      </c>
      <c r="N3163" t="s">
        <v>120</v>
      </c>
      <c r="O3163" t="s">
        <v>120</v>
      </c>
      <c r="P3163" t="s">
        <v>711</v>
      </c>
      <c r="Q3163" s="1" t="s">
        <v>2276</v>
      </c>
      <c r="R3163" s="1" t="s">
        <v>669</v>
      </c>
      <c r="S3163" s="1" t="s">
        <v>168</v>
      </c>
      <c r="X3163" t="s">
        <v>1767</v>
      </c>
      <c r="Y3163" t="s">
        <v>2273</v>
      </c>
      <c r="Z3163" t="s">
        <v>2356</v>
      </c>
      <c r="AA3163" t="s">
        <v>2357</v>
      </c>
      <c r="AB3163" t="s">
        <v>2306</v>
      </c>
      <c r="AC3163" s="1" t="s">
        <v>152</v>
      </c>
      <c r="AD3163" t="s">
        <v>137</v>
      </c>
      <c r="AE3163" t="s">
        <v>1769</v>
      </c>
    </row>
    <row r="3164" spans="1:42" x14ac:dyDescent="0.2">
      <c r="A3164" t="s">
        <v>1759</v>
      </c>
      <c r="B3164" t="s">
        <v>1760</v>
      </c>
      <c r="C3164">
        <v>2011</v>
      </c>
      <c r="D3164" t="s">
        <v>44</v>
      </c>
      <c r="F3164" t="s">
        <v>628</v>
      </c>
      <c r="G3164" s="1" t="s">
        <v>86</v>
      </c>
      <c r="H3164" t="s">
        <v>96</v>
      </c>
      <c r="I3164">
        <v>2007</v>
      </c>
      <c r="J3164">
        <v>2.7E-2</v>
      </c>
      <c r="K3164" t="s">
        <v>101</v>
      </c>
      <c r="L3164">
        <v>70</v>
      </c>
      <c r="M3164">
        <v>0</v>
      </c>
      <c r="N3164" t="s">
        <v>121</v>
      </c>
      <c r="O3164" t="s">
        <v>121</v>
      </c>
      <c r="P3164" t="s">
        <v>286</v>
      </c>
      <c r="Q3164" s="1" t="s">
        <v>2292</v>
      </c>
      <c r="R3164" s="1" t="s">
        <v>264</v>
      </c>
      <c r="S3164" s="1" t="s">
        <v>264</v>
      </c>
      <c r="X3164" t="s">
        <v>1767</v>
      </c>
      <c r="Y3164" t="s">
        <v>2273</v>
      </c>
      <c r="Z3164" t="s">
        <v>2356</v>
      </c>
      <c r="AA3164" t="s">
        <v>2357</v>
      </c>
      <c r="AB3164" t="s">
        <v>2306</v>
      </c>
      <c r="AC3164" s="1" t="s">
        <v>152</v>
      </c>
      <c r="AD3164" t="s">
        <v>137</v>
      </c>
    </row>
    <row r="3165" spans="1:42" x14ac:dyDescent="0.2">
      <c r="A3165" t="s">
        <v>1759</v>
      </c>
      <c r="B3165" t="s">
        <v>1760</v>
      </c>
      <c r="C3165">
        <v>2011</v>
      </c>
      <c r="D3165" t="s">
        <v>44</v>
      </c>
      <c r="F3165" t="s">
        <v>628</v>
      </c>
      <c r="G3165" s="1" t="s">
        <v>86</v>
      </c>
      <c r="H3165" t="s">
        <v>96</v>
      </c>
      <c r="I3165">
        <v>2008</v>
      </c>
      <c r="J3165">
        <v>2.7E-2</v>
      </c>
      <c r="K3165" t="s">
        <v>101</v>
      </c>
      <c r="L3165">
        <v>40</v>
      </c>
      <c r="M3165">
        <v>0</v>
      </c>
      <c r="N3165" t="s">
        <v>120</v>
      </c>
      <c r="O3165" t="s">
        <v>120</v>
      </c>
      <c r="P3165" t="s">
        <v>711</v>
      </c>
      <c r="Q3165" s="1" t="s">
        <v>2276</v>
      </c>
      <c r="R3165" s="1" t="s">
        <v>669</v>
      </c>
      <c r="S3165" s="1" t="s">
        <v>168</v>
      </c>
      <c r="X3165" t="s">
        <v>1768</v>
      </c>
      <c r="Y3165" t="s">
        <v>2273</v>
      </c>
      <c r="Z3165" t="s">
        <v>2356</v>
      </c>
      <c r="AA3165" t="s">
        <v>2357</v>
      </c>
      <c r="AB3165" t="s">
        <v>2306</v>
      </c>
      <c r="AC3165" s="1" t="s">
        <v>315</v>
      </c>
      <c r="AD3165" t="s">
        <v>137</v>
      </c>
    </row>
    <row r="3166" spans="1:42" x14ac:dyDescent="0.2">
      <c r="A3166" t="s">
        <v>1759</v>
      </c>
      <c r="B3166" t="s">
        <v>1760</v>
      </c>
      <c r="C3166">
        <v>2011</v>
      </c>
      <c r="D3166" t="s">
        <v>44</v>
      </c>
      <c r="F3166" t="s">
        <v>628</v>
      </c>
      <c r="G3166" s="1" t="s">
        <v>86</v>
      </c>
      <c r="H3166" t="s">
        <v>96</v>
      </c>
      <c r="I3166">
        <v>2007</v>
      </c>
      <c r="J3166">
        <v>2.7E-2</v>
      </c>
      <c r="K3166" t="s">
        <v>101</v>
      </c>
      <c r="L3166">
        <v>70</v>
      </c>
      <c r="M3166">
        <v>0</v>
      </c>
      <c r="N3166" t="s">
        <v>121</v>
      </c>
      <c r="O3166" t="s">
        <v>121</v>
      </c>
      <c r="P3166" t="s">
        <v>286</v>
      </c>
      <c r="Q3166" s="1" t="s">
        <v>2292</v>
      </c>
      <c r="R3166" s="1" t="s">
        <v>264</v>
      </c>
      <c r="S3166" s="1" t="s">
        <v>264</v>
      </c>
      <c r="X3166" t="s">
        <v>1768</v>
      </c>
      <c r="Y3166" t="s">
        <v>2273</v>
      </c>
      <c r="Z3166" t="s">
        <v>2356</v>
      </c>
      <c r="AA3166" t="s">
        <v>2357</v>
      </c>
      <c r="AB3166" t="s">
        <v>2306</v>
      </c>
      <c r="AC3166" s="1" t="s">
        <v>315</v>
      </c>
      <c r="AD3166" t="s">
        <v>137</v>
      </c>
    </row>
    <row r="3167" spans="1:42" x14ac:dyDescent="0.2">
      <c r="A3167" t="s">
        <v>1759</v>
      </c>
      <c r="B3167" t="s">
        <v>1760</v>
      </c>
      <c r="C3167">
        <v>2011</v>
      </c>
      <c r="D3167" t="s">
        <v>44</v>
      </c>
      <c r="F3167" t="s">
        <v>628</v>
      </c>
      <c r="G3167" s="1" t="s">
        <v>86</v>
      </c>
      <c r="H3167" t="s">
        <v>96</v>
      </c>
      <c r="I3167">
        <v>2008</v>
      </c>
      <c r="J3167">
        <v>2.7E-2</v>
      </c>
      <c r="K3167" t="s">
        <v>101</v>
      </c>
      <c r="L3167">
        <v>75</v>
      </c>
      <c r="M3167">
        <v>0.25</v>
      </c>
      <c r="N3167" t="s">
        <v>120</v>
      </c>
      <c r="O3167" t="s">
        <v>120</v>
      </c>
      <c r="P3167" t="s">
        <v>711</v>
      </c>
      <c r="Q3167" s="1" t="s">
        <v>2276</v>
      </c>
      <c r="R3167" s="1" t="s">
        <v>669</v>
      </c>
      <c r="S3167" s="1" t="s">
        <v>168</v>
      </c>
      <c r="T3167" t="s">
        <v>396</v>
      </c>
      <c r="U3167" s="1" t="s">
        <v>264</v>
      </c>
      <c r="X3167" t="s">
        <v>161</v>
      </c>
      <c r="Y3167" t="s">
        <v>2272</v>
      </c>
      <c r="Z3167" t="s">
        <v>2272</v>
      </c>
      <c r="AA3167" t="s">
        <v>2272</v>
      </c>
      <c r="AB3167" t="s">
        <v>2272</v>
      </c>
      <c r="AC3167" s="1" t="s">
        <v>162</v>
      </c>
      <c r="AD3167" t="s">
        <v>2272</v>
      </c>
      <c r="AM3167" s="1"/>
      <c r="AN3167" s="1"/>
      <c r="AP3167" s="1"/>
    </row>
    <row r="3168" spans="1:42" x14ac:dyDescent="0.2">
      <c r="A3168" t="s">
        <v>1759</v>
      </c>
      <c r="B3168" t="s">
        <v>1760</v>
      </c>
      <c r="C3168">
        <v>2011</v>
      </c>
      <c r="D3168" t="s">
        <v>44</v>
      </c>
      <c r="F3168" t="s">
        <v>628</v>
      </c>
      <c r="G3168" s="1" t="s">
        <v>86</v>
      </c>
      <c r="H3168" t="s">
        <v>96</v>
      </c>
      <c r="I3168">
        <v>2007</v>
      </c>
      <c r="J3168">
        <v>2.7E-2</v>
      </c>
      <c r="K3168" t="s">
        <v>101</v>
      </c>
      <c r="L3168">
        <v>75</v>
      </c>
      <c r="M3168">
        <v>0.25</v>
      </c>
      <c r="N3168" t="s">
        <v>121</v>
      </c>
      <c r="O3168" t="s">
        <v>121</v>
      </c>
      <c r="P3168" t="s">
        <v>286</v>
      </c>
      <c r="Q3168" s="1" t="s">
        <v>2292</v>
      </c>
      <c r="R3168" s="1" t="s">
        <v>264</v>
      </c>
      <c r="S3168" s="1" t="s">
        <v>264</v>
      </c>
      <c r="T3168" t="s">
        <v>396</v>
      </c>
      <c r="U3168" s="1" t="s">
        <v>168</v>
      </c>
      <c r="X3168" t="s">
        <v>161</v>
      </c>
      <c r="Y3168" t="s">
        <v>2272</v>
      </c>
      <c r="Z3168" t="s">
        <v>2272</v>
      </c>
      <c r="AA3168" t="s">
        <v>2272</v>
      </c>
      <c r="AB3168" t="s">
        <v>2272</v>
      </c>
      <c r="AC3168" s="1" t="s">
        <v>162</v>
      </c>
      <c r="AD3168" t="s">
        <v>2272</v>
      </c>
      <c r="AM3168" s="1"/>
      <c r="AN3168" s="1"/>
      <c r="AP3168" s="1"/>
    </row>
    <row r="3169" spans="1:43" x14ac:dyDescent="0.2">
      <c r="A3169" t="s">
        <v>1759</v>
      </c>
      <c r="B3169" t="s">
        <v>1760</v>
      </c>
      <c r="C3169">
        <v>2011</v>
      </c>
      <c r="D3169" t="s">
        <v>44</v>
      </c>
      <c r="F3169" t="s">
        <v>628</v>
      </c>
      <c r="G3169" s="1" t="s">
        <v>86</v>
      </c>
      <c r="H3169" t="s">
        <v>96</v>
      </c>
      <c r="I3169">
        <v>2008</v>
      </c>
      <c r="J3169">
        <v>2.7E-2</v>
      </c>
      <c r="K3169" t="s">
        <v>101</v>
      </c>
      <c r="L3169">
        <v>75</v>
      </c>
      <c r="M3169">
        <v>0.25</v>
      </c>
      <c r="N3169" t="s">
        <v>120</v>
      </c>
      <c r="O3169" t="s">
        <v>120</v>
      </c>
      <c r="P3169" t="s">
        <v>711</v>
      </c>
      <c r="Q3169" s="1" t="s">
        <v>2276</v>
      </c>
      <c r="R3169" s="1" t="s">
        <v>669</v>
      </c>
      <c r="S3169" s="1" t="s">
        <v>168</v>
      </c>
      <c r="T3169" t="s">
        <v>396</v>
      </c>
      <c r="U3169" s="1" t="s">
        <v>264</v>
      </c>
      <c r="X3169" t="s">
        <v>161</v>
      </c>
      <c r="Y3169" t="s">
        <v>2272</v>
      </c>
      <c r="Z3169" t="s">
        <v>2272</v>
      </c>
      <c r="AA3169" t="s">
        <v>2272</v>
      </c>
      <c r="AB3169" t="s">
        <v>2272</v>
      </c>
      <c r="AC3169" s="1" t="s">
        <v>162</v>
      </c>
      <c r="AD3169" t="s">
        <v>2272</v>
      </c>
      <c r="AF3169" t="s">
        <v>49</v>
      </c>
      <c r="AH3169" t="s">
        <v>49</v>
      </c>
      <c r="AI3169" t="s">
        <v>49</v>
      </c>
      <c r="AJ3169" s="1"/>
      <c r="AK3169" s="1"/>
      <c r="AL3169" s="1"/>
      <c r="AM3169" s="1" t="s">
        <v>2540</v>
      </c>
      <c r="AN3169" s="1" t="s">
        <v>165</v>
      </c>
      <c r="AP3169" s="1" t="s">
        <v>49</v>
      </c>
    </row>
    <row r="3170" spans="1:43" x14ac:dyDescent="0.2">
      <c r="A3170" t="s">
        <v>1759</v>
      </c>
      <c r="B3170" t="s">
        <v>1760</v>
      </c>
      <c r="C3170">
        <v>2011</v>
      </c>
      <c r="D3170" t="s">
        <v>44</v>
      </c>
      <c r="F3170" t="s">
        <v>628</v>
      </c>
      <c r="G3170" s="1" t="s">
        <v>86</v>
      </c>
      <c r="H3170" t="s">
        <v>96</v>
      </c>
      <c r="I3170">
        <v>2007</v>
      </c>
      <c r="J3170">
        <v>2.7E-2</v>
      </c>
      <c r="K3170" t="s">
        <v>101</v>
      </c>
      <c r="L3170">
        <v>75</v>
      </c>
      <c r="M3170">
        <v>0.25</v>
      </c>
      <c r="N3170" t="s">
        <v>121</v>
      </c>
      <c r="O3170" t="s">
        <v>121</v>
      </c>
      <c r="P3170" t="s">
        <v>286</v>
      </c>
      <c r="Q3170" s="1" t="s">
        <v>2292</v>
      </c>
      <c r="R3170" s="1" t="s">
        <v>264</v>
      </c>
      <c r="S3170" s="1" t="s">
        <v>264</v>
      </c>
      <c r="T3170" t="s">
        <v>396</v>
      </c>
      <c r="U3170" s="1" t="s">
        <v>168</v>
      </c>
      <c r="X3170" t="s">
        <v>161</v>
      </c>
      <c r="Y3170" t="s">
        <v>2272</v>
      </c>
      <c r="Z3170" t="s">
        <v>2272</v>
      </c>
      <c r="AA3170" t="s">
        <v>2272</v>
      </c>
      <c r="AB3170" t="s">
        <v>2272</v>
      </c>
      <c r="AC3170" s="1" t="s">
        <v>162</v>
      </c>
      <c r="AD3170" t="s">
        <v>2272</v>
      </c>
      <c r="AF3170" t="s">
        <v>49</v>
      </c>
      <c r="AH3170" t="s">
        <v>49</v>
      </c>
      <c r="AI3170" t="s">
        <v>49</v>
      </c>
      <c r="AJ3170" s="1"/>
      <c r="AK3170" s="1"/>
      <c r="AL3170" s="1"/>
      <c r="AM3170" s="1" t="s">
        <v>2540</v>
      </c>
      <c r="AN3170" s="1" t="s">
        <v>165</v>
      </c>
      <c r="AP3170" s="1" t="s">
        <v>49</v>
      </c>
    </row>
    <row r="3171" spans="1:43" x14ac:dyDescent="0.2">
      <c r="A3171" t="s">
        <v>1759</v>
      </c>
      <c r="B3171" t="s">
        <v>1760</v>
      </c>
      <c r="C3171">
        <v>2011</v>
      </c>
      <c r="D3171" t="s">
        <v>44</v>
      </c>
      <c r="F3171" t="s">
        <v>628</v>
      </c>
      <c r="G3171" s="1" t="s">
        <v>86</v>
      </c>
      <c r="H3171" t="s">
        <v>96</v>
      </c>
      <c r="I3171">
        <v>2008</v>
      </c>
      <c r="J3171">
        <v>2.7E-2</v>
      </c>
      <c r="K3171" t="s">
        <v>101</v>
      </c>
      <c r="L3171">
        <v>75</v>
      </c>
      <c r="M3171">
        <v>0.25</v>
      </c>
      <c r="N3171" t="s">
        <v>120</v>
      </c>
      <c r="O3171" t="s">
        <v>120</v>
      </c>
      <c r="P3171" t="s">
        <v>711</v>
      </c>
      <c r="Q3171" s="1" t="s">
        <v>2276</v>
      </c>
      <c r="R3171" s="1" t="s">
        <v>669</v>
      </c>
      <c r="S3171" s="1" t="s">
        <v>168</v>
      </c>
      <c r="T3171" t="s">
        <v>396</v>
      </c>
      <c r="U3171" s="1" t="s">
        <v>264</v>
      </c>
      <c r="X3171" t="s">
        <v>161</v>
      </c>
      <c r="Y3171" t="s">
        <v>2272</v>
      </c>
      <c r="Z3171" t="s">
        <v>2272</v>
      </c>
      <c r="AA3171" t="s">
        <v>2272</v>
      </c>
      <c r="AB3171" t="s">
        <v>2272</v>
      </c>
      <c r="AC3171" s="1" t="s">
        <v>162</v>
      </c>
      <c r="AD3171" t="s">
        <v>2272</v>
      </c>
      <c r="AF3171" t="s">
        <v>49</v>
      </c>
      <c r="AH3171" t="s">
        <v>49</v>
      </c>
      <c r="AI3171" t="s">
        <v>49</v>
      </c>
      <c r="AJ3171" s="1"/>
      <c r="AK3171" s="1"/>
      <c r="AL3171" s="1"/>
      <c r="AM3171" s="1" t="s">
        <v>2540</v>
      </c>
      <c r="AN3171" s="1" t="s">
        <v>154</v>
      </c>
      <c r="AP3171" s="1" t="s">
        <v>51</v>
      </c>
    </row>
    <row r="3172" spans="1:43" x14ac:dyDescent="0.2">
      <c r="A3172" t="s">
        <v>1759</v>
      </c>
      <c r="B3172" t="s">
        <v>1760</v>
      </c>
      <c r="C3172">
        <v>2011</v>
      </c>
      <c r="D3172" t="s">
        <v>44</v>
      </c>
      <c r="F3172" t="s">
        <v>628</v>
      </c>
      <c r="G3172" s="1" t="s">
        <v>86</v>
      </c>
      <c r="H3172" t="s">
        <v>96</v>
      </c>
      <c r="I3172">
        <v>2007</v>
      </c>
      <c r="J3172">
        <v>2.7E-2</v>
      </c>
      <c r="K3172" t="s">
        <v>101</v>
      </c>
      <c r="L3172">
        <v>75</v>
      </c>
      <c r="M3172">
        <v>0.25</v>
      </c>
      <c r="N3172" t="s">
        <v>121</v>
      </c>
      <c r="O3172" t="s">
        <v>121</v>
      </c>
      <c r="P3172" t="s">
        <v>286</v>
      </c>
      <c r="Q3172" s="1" t="s">
        <v>2292</v>
      </c>
      <c r="R3172" s="1" t="s">
        <v>264</v>
      </c>
      <c r="S3172" s="1" t="s">
        <v>264</v>
      </c>
      <c r="T3172" t="s">
        <v>396</v>
      </c>
      <c r="U3172" s="1" t="s">
        <v>168</v>
      </c>
      <c r="X3172" t="s">
        <v>161</v>
      </c>
      <c r="Y3172" t="s">
        <v>2272</v>
      </c>
      <c r="Z3172" t="s">
        <v>2272</v>
      </c>
      <c r="AA3172" t="s">
        <v>2272</v>
      </c>
      <c r="AB3172" t="s">
        <v>2272</v>
      </c>
      <c r="AC3172" s="1" t="s">
        <v>162</v>
      </c>
      <c r="AD3172" t="s">
        <v>2272</v>
      </c>
      <c r="AF3172" t="s">
        <v>49</v>
      </c>
      <c r="AH3172" t="s">
        <v>49</v>
      </c>
      <c r="AI3172" t="s">
        <v>49</v>
      </c>
      <c r="AJ3172" s="1"/>
      <c r="AK3172" s="1"/>
      <c r="AL3172" s="1"/>
      <c r="AM3172" s="1" t="s">
        <v>2540</v>
      </c>
      <c r="AN3172" s="1" t="s">
        <v>154</v>
      </c>
      <c r="AP3172" s="1" t="s">
        <v>51</v>
      </c>
    </row>
    <row r="3173" spans="1:43" x14ac:dyDescent="0.2">
      <c r="A3173" t="s">
        <v>1759</v>
      </c>
      <c r="B3173" t="s">
        <v>1760</v>
      </c>
      <c r="C3173">
        <v>2011</v>
      </c>
      <c r="D3173" t="s">
        <v>44</v>
      </c>
      <c r="F3173" t="s">
        <v>628</v>
      </c>
      <c r="G3173" s="1" t="s">
        <v>86</v>
      </c>
      <c r="H3173" t="s">
        <v>96</v>
      </c>
      <c r="I3173">
        <v>2008</v>
      </c>
      <c r="J3173">
        <v>2.7E-2</v>
      </c>
      <c r="K3173" t="s">
        <v>101</v>
      </c>
      <c r="L3173">
        <v>75</v>
      </c>
      <c r="M3173">
        <v>0.25</v>
      </c>
      <c r="N3173" t="s">
        <v>120</v>
      </c>
      <c r="O3173" t="s">
        <v>120</v>
      </c>
      <c r="P3173" t="s">
        <v>711</v>
      </c>
      <c r="Q3173" s="1" t="s">
        <v>2276</v>
      </c>
      <c r="R3173" s="1" t="s">
        <v>669</v>
      </c>
      <c r="S3173" s="1" t="s">
        <v>168</v>
      </c>
      <c r="T3173" t="s">
        <v>396</v>
      </c>
      <c r="U3173" s="1" t="s">
        <v>264</v>
      </c>
      <c r="X3173" t="s">
        <v>161</v>
      </c>
      <c r="Y3173" t="s">
        <v>2272</v>
      </c>
      <c r="Z3173" t="s">
        <v>2272</v>
      </c>
      <c r="AA3173" t="s">
        <v>2272</v>
      </c>
      <c r="AB3173" t="s">
        <v>2272</v>
      </c>
      <c r="AC3173" s="1" t="s">
        <v>162</v>
      </c>
      <c r="AD3173" t="s">
        <v>2272</v>
      </c>
      <c r="AF3173" t="s">
        <v>49</v>
      </c>
      <c r="AG3173" s="1"/>
      <c r="AH3173" t="s">
        <v>49</v>
      </c>
      <c r="AJ3173" t="s">
        <v>49</v>
      </c>
      <c r="AK3173" s="1"/>
      <c r="AL3173" s="1"/>
      <c r="AM3173" s="1" t="s">
        <v>1352</v>
      </c>
      <c r="AN3173" s="1" t="s">
        <v>166</v>
      </c>
      <c r="AP3173" s="1" t="s">
        <v>51</v>
      </c>
    </row>
    <row r="3174" spans="1:43" x14ac:dyDescent="0.2">
      <c r="A3174" t="s">
        <v>1759</v>
      </c>
      <c r="B3174" t="s">
        <v>1760</v>
      </c>
      <c r="C3174">
        <v>2011</v>
      </c>
      <c r="D3174" t="s">
        <v>44</v>
      </c>
      <c r="F3174" t="s">
        <v>628</v>
      </c>
      <c r="G3174" s="1" t="s">
        <v>86</v>
      </c>
      <c r="H3174" t="s">
        <v>96</v>
      </c>
      <c r="I3174">
        <v>2007</v>
      </c>
      <c r="J3174">
        <v>2.7E-2</v>
      </c>
      <c r="K3174" t="s">
        <v>101</v>
      </c>
      <c r="L3174">
        <v>75</v>
      </c>
      <c r="M3174">
        <v>0.25</v>
      </c>
      <c r="N3174" t="s">
        <v>121</v>
      </c>
      <c r="O3174" t="s">
        <v>121</v>
      </c>
      <c r="P3174" t="s">
        <v>286</v>
      </c>
      <c r="Q3174" s="1" t="s">
        <v>2292</v>
      </c>
      <c r="R3174" s="1" t="s">
        <v>264</v>
      </c>
      <c r="S3174" s="1" t="s">
        <v>264</v>
      </c>
      <c r="T3174" t="s">
        <v>396</v>
      </c>
      <c r="U3174" s="1" t="s">
        <v>168</v>
      </c>
      <c r="X3174" t="s">
        <v>161</v>
      </c>
      <c r="Y3174" t="s">
        <v>2272</v>
      </c>
      <c r="Z3174" t="s">
        <v>2272</v>
      </c>
      <c r="AA3174" t="s">
        <v>2272</v>
      </c>
      <c r="AB3174" t="s">
        <v>2272</v>
      </c>
      <c r="AC3174" s="1" t="s">
        <v>162</v>
      </c>
      <c r="AD3174" t="s">
        <v>2272</v>
      </c>
      <c r="AF3174" t="s">
        <v>49</v>
      </c>
      <c r="AG3174" s="1"/>
      <c r="AH3174" t="s">
        <v>49</v>
      </c>
      <c r="AJ3174" t="s">
        <v>49</v>
      </c>
      <c r="AK3174" s="1"/>
      <c r="AL3174" s="1"/>
      <c r="AM3174" s="1" t="s">
        <v>1352</v>
      </c>
      <c r="AN3174" s="1" t="s">
        <v>166</v>
      </c>
      <c r="AP3174" s="1" t="s">
        <v>51</v>
      </c>
    </row>
    <row r="3175" spans="1:43" x14ac:dyDescent="0.2">
      <c r="A3175" t="s">
        <v>1759</v>
      </c>
      <c r="B3175" t="s">
        <v>1760</v>
      </c>
      <c r="C3175">
        <v>2011</v>
      </c>
      <c r="D3175" t="s">
        <v>44</v>
      </c>
      <c r="F3175" t="s">
        <v>628</v>
      </c>
      <c r="G3175" s="1" t="s">
        <v>86</v>
      </c>
      <c r="H3175" t="s">
        <v>96</v>
      </c>
      <c r="I3175">
        <v>2008</v>
      </c>
      <c r="J3175">
        <v>2.7E-2</v>
      </c>
      <c r="K3175" t="s">
        <v>101</v>
      </c>
      <c r="L3175">
        <v>75</v>
      </c>
      <c r="M3175">
        <v>0.25</v>
      </c>
      <c r="N3175" t="s">
        <v>120</v>
      </c>
      <c r="O3175" t="s">
        <v>120</v>
      </c>
      <c r="P3175" t="s">
        <v>711</v>
      </c>
      <c r="Q3175" s="1" t="s">
        <v>2276</v>
      </c>
      <c r="R3175" s="1" t="s">
        <v>669</v>
      </c>
      <c r="S3175" s="1" t="s">
        <v>168</v>
      </c>
      <c r="T3175" t="s">
        <v>396</v>
      </c>
      <c r="U3175" s="1" t="s">
        <v>264</v>
      </c>
      <c r="X3175" t="s">
        <v>161</v>
      </c>
      <c r="Y3175" t="s">
        <v>2272</v>
      </c>
      <c r="Z3175" t="s">
        <v>2272</v>
      </c>
      <c r="AA3175" t="s">
        <v>2272</v>
      </c>
      <c r="AB3175" t="s">
        <v>2272</v>
      </c>
      <c r="AC3175" s="1" t="s">
        <v>162</v>
      </c>
      <c r="AD3175" t="s">
        <v>2272</v>
      </c>
      <c r="AF3175" t="s">
        <v>49</v>
      </c>
      <c r="AG3175" s="1"/>
      <c r="AH3175" t="s">
        <v>49</v>
      </c>
      <c r="AJ3175" t="s">
        <v>49</v>
      </c>
      <c r="AK3175" s="1"/>
      <c r="AL3175" s="1"/>
      <c r="AM3175" s="1" t="s">
        <v>1352</v>
      </c>
      <c r="AN3175" s="1" t="s">
        <v>165</v>
      </c>
      <c r="AP3175" s="1" t="s">
        <v>51</v>
      </c>
    </row>
    <row r="3176" spans="1:43" x14ac:dyDescent="0.2">
      <c r="A3176" t="s">
        <v>1759</v>
      </c>
      <c r="B3176" t="s">
        <v>1760</v>
      </c>
      <c r="C3176">
        <v>2011</v>
      </c>
      <c r="D3176" t="s">
        <v>44</v>
      </c>
      <c r="F3176" t="s">
        <v>628</v>
      </c>
      <c r="G3176" s="1" t="s">
        <v>86</v>
      </c>
      <c r="H3176" t="s">
        <v>96</v>
      </c>
      <c r="I3176">
        <v>2007</v>
      </c>
      <c r="J3176">
        <v>2.7E-2</v>
      </c>
      <c r="K3176" t="s">
        <v>101</v>
      </c>
      <c r="L3176">
        <v>75</v>
      </c>
      <c r="M3176">
        <v>0.25</v>
      </c>
      <c r="N3176" t="s">
        <v>121</v>
      </c>
      <c r="O3176" t="s">
        <v>121</v>
      </c>
      <c r="P3176" t="s">
        <v>286</v>
      </c>
      <c r="Q3176" s="1" t="s">
        <v>2292</v>
      </c>
      <c r="R3176" s="1" t="s">
        <v>264</v>
      </c>
      <c r="S3176" s="1" t="s">
        <v>264</v>
      </c>
      <c r="T3176" t="s">
        <v>396</v>
      </c>
      <c r="U3176" s="1" t="s">
        <v>168</v>
      </c>
      <c r="X3176" t="s">
        <v>161</v>
      </c>
      <c r="Y3176" t="s">
        <v>2272</v>
      </c>
      <c r="Z3176" t="s">
        <v>2272</v>
      </c>
      <c r="AA3176" t="s">
        <v>2272</v>
      </c>
      <c r="AB3176" t="s">
        <v>2272</v>
      </c>
      <c r="AC3176" s="1" t="s">
        <v>162</v>
      </c>
      <c r="AD3176" t="s">
        <v>2272</v>
      </c>
      <c r="AF3176" t="s">
        <v>49</v>
      </c>
      <c r="AG3176" s="1"/>
      <c r="AH3176" t="s">
        <v>49</v>
      </c>
      <c r="AJ3176" t="s">
        <v>49</v>
      </c>
      <c r="AK3176" s="1"/>
      <c r="AL3176" s="1"/>
      <c r="AM3176" s="1" t="s">
        <v>1352</v>
      </c>
      <c r="AN3176" s="1" t="s">
        <v>165</v>
      </c>
      <c r="AP3176" s="1" t="s">
        <v>51</v>
      </c>
    </row>
    <row r="3177" spans="1:43" x14ac:dyDescent="0.2">
      <c r="A3177" t="s">
        <v>1759</v>
      </c>
      <c r="B3177" t="s">
        <v>1760</v>
      </c>
      <c r="C3177">
        <v>2011</v>
      </c>
      <c r="D3177" t="s">
        <v>44</v>
      </c>
      <c r="F3177" t="s">
        <v>628</v>
      </c>
      <c r="G3177" s="1" t="s">
        <v>86</v>
      </c>
      <c r="H3177" t="s">
        <v>96</v>
      </c>
      <c r="I3177">
        <v>2008</v>
      </c>
      <c r="J3177">
        <v>2.7E-2</v>
      </c>
      <c r="K3177" t="s">
        <v>101</v>
      </c>
      <c r="L3177">
        <v>75</v>
      </c>
      <c r="M3177">
        <v>0.25</v>
      </c>
      <c r="N3177" t="s">
        <v>120</v>
      </c>
      <c r="O3177" t="s">
        <v>120</v>
      </c>
      <c r="P3177" t="s">
        <v>711</v>
      </c>
      <c r="Q3177" s="1" t="s">
        <v>2276</v>
      </c>
      <c r="R3177" s="1" t="s">
        <v>669</v>
      </c>
      <c r="S3177" s="1" t="s">
        <v>168</v>
      </c>
      <c r="T3177" t="s">
        <v>396</v>
      </c>
      <c r="U3177" s="1" t="s">
        <v>264</v>
      </c>
      <c r="X3177" t="s">
        <v>161</v>
      </c>
      <c r="Y3177" t="s">
        <v>2272</v>
      </c>
      <c r="Z3177" t="s">
        <v>2272</v>
      </c>
      <c r="AA3177" t="s">
        <v>2272</v>
      </c>
      <c r="AB3177" t="s">
        <v>2272</v>
      </c>
      <c r="AC3177" s="1" t="s">
        <v>162</v>
      </c>
      <c r="AD3177" t="s">
        <v>2272</v>
      </c>
      <c r="AF3177" t="s">
        <v>49</v>
      </c>
      <c r="AG3177" s="1"/>
      <c r="AH3177" t="s">
        <v>49</v>
      </c>
      <c r="AJ3177" t="s">
        <v>49</v>
      </c>
      <c r="AK3177" s="1"/>
      <c r="AL3177" s="1"/>
      <c r="AM3177" s="1" t="s">
        <v>1352</v>
      </c>
      <c r="AN3177" s="1" t="s">
        <v>154</v>
      </c>
      <c r="AP3177" s="1" t="s">
        <v>51</v>
      </c>
    </row>
    <row r="3178" spans="1:43" x14ac:dyDescent="0.2">
      <c r="A3178" t="s">
        <v>1759</v>
      </c>
      <c r="B3178" t="s">
        <v>1760</v>
      </c>
      <c r="C3178">
        <v>2011</v>
      </c>
      <c r="D3178" t="s">
        <v>44</v>
      </c>
      <c r="F3178" t="s">
        <v>628</v>
      </c>
      <c r="G3178" s="1" t="s">
        <v>86</v>
      </c>
      <c r="H3178" t="s">
        <v>96</v>
      </c>
      <c r="I3178">
        <v>2007</v>
      </c>
      <c r="J3178">
        <v>2.7E-2</v>
      </c>
      <c r="K3178" t="s">
        <v>101</v>
      </c>
      <c r="L3178">
        <v>75</v>
      </c>
      <c r="M3178">
        <v>0.25</v>
      </c>
      <c r="N3178" t="s">
        <v>121</v>
      </c>
      <c r="O3178" t="s">
        <v>121</v>
      </c>
      <c r="P3178" t="s">
        <v>286</v>
      </c>
      <c r="Q3178" s="1" t="s">
        <v>2292</v>
      </c>
      <c r="R3178" s="1" t="s">
        <v>264</v>
      </c>
      <c r="S3178" s="1" t="s">
        <v>264</v>
      </c>
      <c r="T3178" t="s">
        <v>396</v>
      </c>
      <c r="U3178" s="1" t="s">
        <v>168</v>
      </c>
      <c r="X3178" t="s">
        <v>161</v>
      </c>
      <c r="Y3178" t="s">
        <v>2272</v>
      </c>
      <c r="Z3178" t="s">
        <v>2272</v>
      </c>
      <c r="AA3178" t="s">
        <v>2272</v>
      </c>
      <c r="AB3178" t="s">
        <v>2272</v>
      </c>
      <c r="AC3178" s="1" t="s">
        <v>162</v>
      </c>
      <c r="AD3178" t="s">
        <v>2272</v>
      </c>
      <c r="AF3178" t="s">
        <v>49</v>
      </c>
      <c r="AG3178" s="1"/>
      <c r="AH3178" t="s">
        <v>49</v>
      </c>
      <c r="AJ3178" t="s">
        <v>49</v>
      </c>
      <c r="AK3178" s="1"/>
      <c r="AL3178" s="1"/>
      <c r="AM3178" s="1" t="s">
        <v>1352</v>
      </c>
      <c r="AN3178" s="1" t="s">
        <v>154</v>
      </c>
      <c r="AP3178" s="1" t="s">
        <v>51</v>
      </c>
    </row>
    <row r="3179" spans="1:43" x14ac:dyDescent="0.2">
      <c r="A3179" t="s">
        <v>1759</v>
      </c>
      <c r="B3179" t="s">
        <v>1760</v>
      </c>
      <c r="C3179">
        <v>2011</v>
      </c>
      <c r="D3179" t="s">
        <v>44</v>
      </c>
      <c r="F3179" t="s">
        <v>628</v>
      </c>
      <c r="G3179" s="1" t="s">
        <v>86</v>
      </c>
      <c r="H3179" t="s">
        <v>96</v>
      </c>
      <c r="I3179">
        <v>2008</v>
      </c>
      <c r="J3179">
        <v>2.7E-2</v>
      </c>
      <c r="K3179" t="s">
        <v>101</v>
      </c>
      <c r="L3179">
        <v>75</v>
      </c>
      <c r="M3179">
        <v>0.25</v>
      </c>
      <c r="N3179" t="s">
        <v>120</v>
      </c>
      <c r="O3179" t="s">
        <v>120</v>
      </c>
      <c r="P3179" t="s">
        <v>711</v>
      </c>
      <c r="Q3179" s="1" t="s">
        <v>2276</v>
      </c>
      <c r="R3179" s="1" t="s">
        <v>669</v>
      </c>
      <c r="S3179" s="1" t="s">
        <v>168</v>
      </c>
      <c r="T3179" t="s">
        <v>396</v>
      </c>
      <c r="U3179" s="1" t="s">
        <v>264</v>
      </c>
      <c r="X3179" t="s">
        <v>161</v>
      </c>
      <c r="Y3179" t="s">
        <v>2272</v>
      </c>
      <c r="Z3179" t="s">
        <v>2272</v>
      </c>
      <c r="AA3179" t="s">
        <v>2272</v>
      </c>
      <c r="AB3179" t="s">
        <v>2272</v>
      </c>
      <c r="AC3179" s="1" t="s">
        <v>162</v>
      </c>
      <c r="AD3179" t="s">
        <v>2272</v>
      </c>
      <c r="AF3179" t="s">
        <v>49</v>
      </c>
      <c r="AG3179" s="1"/>
      <c r="AH3179"/>
      <c r="AJ3179" t="s">
        <v>49</v>
      </c>
      <c r="AK3179" s="1"/>
      <c r="AL3179" s="1"/>
      <c r="AM3179" s="1" t="s">
        <v>202</v>
      </c>
      <c r="AN3179" s="1" t="s">
        <v>166</v>
      </c>
      <c r="AP3179" s="1"/>
      <c r="AQ3179" s="5">
        <v>2</v>
      </c>
    </row>
    <row r="3180" spans="1:43" x14ac:dyDescent="0.2">
      <c r="A3180" t="s">
        <v>1759</v>
      </c>
      <c r="B3180" t="s">
        <v>1760</v>
      </c>
      <c r="C3180">
        <v>2011</v>
      </c>
      <c r="D3180" t="s">
        <v>44</v>
      </c>
      <c r="F3180" t="s">
        <v>628</v>
      </c>
      <c r="G3180" s="1" t="s">
        <v>86</v>
      </c>
      <c r="H3180" t="s">
        <v>96</v>
      </c>
      <c r="I3180">
        <v>2007</v>
      </c>
      <c r="J3180">
        <v>2.7E-2</v>
      </c>
      <c r="K3180" t="s">
        <v>101</v>
      </c>
      <c r="L3180">
        <v>75</v>
      </c>
      <c r="M3180">
        <v>0.25</v>
      </c>
      <c r="N3180" t="s">
        <v>121</v>
      </c>
      <c r="O3180" t="s">
        <v>121</v>
      </c>
      <c r="P3180" t="s">
        <v>286</v>
      </c>
      <c r="Q3180" s="1" t="s">
        <v>2292</v>
      </c>
      <c r="R3180" s="1" t="s">
        <v>264</v>
      </c>
      <c r="S3180" s="1" t="s">
        <v>264</v>
      </c>
      <c r="T3180" t="s">
        <v>396</v>
      </c>
      <c r="U3180" s="1" t="s">
        <v>168</v>
      </c>
      <c r="X3180" t="s">
        <v>161</v>
      </c>
      <c r="Y3180" t="s">
        <v>2272</v>
      </c>
      <c r="Z3180" t="s">
        <v>2272</v>
      </c>
      <c r="AA3180" t="s">
        <v>2272</v>
      </c>
      <c r="AB3180" t="s">
        <v>2272</v>
      </c>
      <c r="AC3180" s="1" t="s">
        <v>162</v>
      </c>
      <c r="AD3180" t="s">
        <v>2272</v>
      </c>
      <c r="AF3180" t="s">
        <v>49</v>
      </c>
      <c r="AG3180" s="1"/>
      <c r="AH3180"/>
      <c r="AJ3180" t="s">
        <v>49</v>
      </c>
      <c r="AK3180" s="1"/>
      <c r="AL3180" s="1"/>
      <c r="AM3180" s="1" t="s">
        <v>202</v>
      </c>
      <c r="AN3180" s="1" t="s">
        <v>166</v>
      </c>
      <c r="AP3180" s="1"/>
      <c r="AQ3180" s="5">
        <v>1</v>
      </c>
    </row>
    <row r="3181" spans="1:43" x14ac:dyDescent="0.2">
      <c r="A3181" t="s">
        <v>1759</v>
      </c>
      <c r="B3181" t="s">
        <v>1760</v>
      </c>
      <c r="C3181">
        <v>2011</v>
      </c>
      <c r="D3181" t="s">
        <v>44</v>
      </c>
      <c r="F3181" t="s">
        <v>628</v>
      </c>
      <c r="G3181" s="1" t="s">
        <v>86</v>
      </c>
      <c r="H3181" t="s">
        <v>96</v>
      </c>
      <c r="I3181">
        <v>2008</v>
      </c>
      <c r="J3181">
        <v>2.7E-2</v>
      </c>
      <c r="K3181" t="s">
        <v>101</v>
      </c>
      <c r="L3181">
        <v>75</v>
      </c>
      <c r="M3181">
        <v>0.25</v>
      </c>
      <c r="N3181" t="s">
        <v>120</v>
      </c>
      <c r="O3181" t="s">
        <v>120</v>
      </c>
      <c r="P3181" t="s">
        <v>711</v>
      </c>
      <c r="Q3181" s="1" t="s">
        <v>2276</v>
      </c>
      <c r="R3181" s="1" t="s">
        <v>669</v>
      </c>
      <c r="S3181" s="1" t="s">
        <v>168</v>
      </c>
      <c r="T3181" t="s">
        <v>396</v>
      </c>
      <c r="U3181" s="1" t="s">
        <v>264</v>
      </c>
      <c r="X3181" t="s">
        <v>161</v>
      </c>
      <c r="Y3181" t="s">
        <v>2272</v>
      </c>
      <c r="Z3181" t="s">
        <v>2272</v>
      </c>
      <c r="AA3181" t="s">
        <v>2272</v>
      </c>
      <c r="AB3181" t="s">
        <v>2272</v>
      </c>
      <c r="AC3181" s="1" t="s">
        <v>162</v>
      </c>
      <c r="AD3181" t="s">
        <v>2272</v>
      </c>
      <c r="AF3181" t="s">
        <v>49</v>
      </c>
      <c r="AG3181" s="1"/>
      <c r="AH3181"/>
      <c r="AJ3181" t="s">
        <v>49</v>
      </c>
      <c r="AK3181" s="1"/>
      <c r="AL3181" s="1"/>
      <c r="AM3181" s="1" t="s">
        <v>202</v>
      </c>
      <c r="AN3181" s="1" t="s">
        <v>165</v>
      </c>
      <c r="AP3181" s="1" t="s">
        <v>49</v>
      </c>
    </row>
    <row r="3182" spans="1:43" x14ac:dyDescent="0.2">
      <c r="A3182" t="s">
        <v>1759</v>
      </c>
      <c r="B3182" t="s">
        <v>1760</v>
      </c>
      <c r="C3182">
        <v>2011</v>
      </c>
      <c r="D3182" t="s">
        <v>44</v>
      </c>
      <c r="F3182" t="s">
        <v>628</v>
      </c>
      <c r="G3182" s="1" t="s">
        <v>86</v>
      </c>
      <c r="H3182" t="s">
        <v>96</v>
      </c>
      <c r="I3182">
        <v>2007</v>
      </c>
      <c r="J3182">
        <v>2.7E-2</v>
      </c>
      <c r="K3182" t="s">
        <v>101</v>
      </c>
      <c r="L3182">
        <v>75</v>
      </c>
      <c r="M3182">
        <v>0.25</v>
      </c>
      <c r="N3182" t="s">
        <v>121</v>
      </c>
      <c r="O3182" t="s">
        <v>121</v>
      </c>
      <c r="P3182" t="s">
        <v>286</v>
      </c>
      <c r="Q3182" s="1" t="s">
        <v>2292</v>
      </c>
      <c r="R3182" s="1" t="s">
        <v>264</v>
      </c>
      <c r="S3182" s="1" t="s">
        <v>264</v>
      </c>
      <c r="T3182" t="s">
        <v>396</v>
      </c>
      <c r="U3182" s="1" t="s">
        <v>168</v>
      </c>
      <c r="X3182" t="s">
        <v>161</v>
      </c>
      <c r="Y3182" t="s">
        <v>2272</v>
      </c>
      <c r="Z3182" t="s">
        <v>2272</v>
      </c>
      <c r="AA3182" t="s">
        <v>2272</v>
      </c>
      <c r="AB3182" t="s">
        <v>2272</v>
      </c>
      <c r="AC3182" s="1" t="s">
        <v>162</v>
      </c>
      <c r="AD3182" t="s">
        <v>2272</v>
      </c>
      <c r="AF3182" t="s">
        <v>49</v>
      </c>
      <c r="AG3182" s="1"/>
      <c r="AH3182"/>
      <c r="AJ3182" t="s">
        <v>49</v>
      </c>
      <c r="AK3182" s="1"/>
      <c r="AL3182" s="1"/>
      <c r="AM3182" s="1" t="s">
        <v>202</v>
      </c>
      <c r="AN3182" s="1" t="s">
        <v>165</v>
      </c>
      <c r="AP3182" s="1" t="s">
        <v>49</v>
      </c>
    </row>
    <row r="3183" spans="1:43" x14ac:dyDescent="0.2">
      <c r="A3183" t="s">
        <v>1759</v>
      </c>
      <c r="B3183" t="s">
        <v>1760</v>
      </c>
      <c r="C3183">
        <v>2011</v>
      </c>
      <c r="D3183" t="s">
        <v>44</v>
      </c>
      <c r="F3183" t="s">
        <v>628</v>
      </c>
      <c r="G3183" s="1" t="s">
        <v>86</v>
      </c>
      <c r="H3183" t="s">
        <v>96</v>
      </c>
      <c r="I3183">
        <v>2008</v>
      </c>
      <c r="J3183">
        <v>2.7E-2</v>
      </c>
      <c r="K3183" t="s">
        <v>101</v>
      </c>
      <c r="L3183">
        <v>75</v>
      </c>
      <c r="M3183">
        <v>0.25</v>
      </c>
      <c r="N3183" t="s">
        <v>120</v>
      </c>
      <c r="O3183" t="s">
        <v>120</v>
      </c>
      <c r="P3183" t="s">
        <v>711</v>
      </c>
      <c r="Q3183" s="1" t="s">
        <v>2276</v>
      </c>
      <c r="R3183" s="1" t="s">
        <v>669</v>
      </c>
      <c r="S3183" s="1" t="s">
        <v>168</v>
      </c>
      <c r="T3183" t="s">
        <v>396</v>
      </c>
      <c r="U3183" s="1" t="s">
        <v>264</v>
      </c>
      <c r="X3183" t="s">
        <v>161</v>
      </c>
      <c r="Y3183" t="s">
        <v>2272</v>
      </c>
      <c r="Z3183" t="s">
        <v>2272</v>
      </c>
      <c r="AA3183" t="s">
        <v>2272</v>
      </c>
      <c r="AB3183" t="s">
        <v>2272</v>
      </c>
      <c r="AC3183" s="1" t="s">
        <v>162</v>
      </c>
      <c r="AD3183" t="s">
        <v>2272</v>
      </c>
      <c r="AF3183" t="s">
        <v>49</v>
      </c>
      <c r="AG3183" s="1"/>
      <c r="AH3183"/>
      <c r="AJ3183" t="s">
        <v>49</v>
      </c>
      <c r="AK3183" s="1"/>
      <c r="AL3183" s="1"/>
      <c r="AM3183" s="1" t="s">
        <v>202</v>
      </c>
      <c r="AN3183" s="1" t="s">
        <v>154</v>
      </c>
      <c r="AP3183" s="1" t="s">
        <v>51</v>
      </c>
    </row>
    <row r="3184" spans="1:43" x14ac:dyDescent="0.2">
      <c r="A3184" t="s">
        <v>1759</v>
      </c>
      <c r="B3184" t="s">
        <v>1760</v>
      </c>
      <c r="C3184">
        <v>2011</v>
      </c>
      <c r="D3184" t="s">
        <v>44</v>
      </c>
      <c r="F3184" t="s">
        <v>628</v>
      </c>
      <c r="G3184" s="1" t="s">
        <v>86</v>
      </c>
      <c r="H3184" t="s">
        <v>96</v>
      </c>
      <c r="I3184">
        <v>2007</v>
      </c>
      <c r="J3184">
        <v>2.7E-2</v>
      </c>
      <c r="K3184" t="s">
        <v>101</v>
      </c>
      <c r="L3184">
        <v>75</v>
      </c>
      <c r="M3184">
        <v>0.25</v>
      </c>
      <c r="N3184" t="s">
        <v>121</v>
      </c>
      <c r="O3184" t="s">
        <v>121</v>
      </c>
      <c r="P3184" t="s">
        <v>286</v>
      </c>
      <c r="Q3184" s="1" t="s">
        <v>2292</v>
      </c>
      <c r="R3184" s="1" t="s">
        <v>264</v>
      </c>
      <c r="S3184" s="1" t="s">
        <v>264</v>
      </c>
      <c r="T3184" t="s">
        <v>396</v>
      </c>
      <c r="U3184" s="1" t="s">
        <v>168</v>
      </c>
      <c r="X3184" t="s">
        <v>161</v>
      </c>
      <c r="Y3184" t="s">
        <v>2272</v>
      </c>
      <c r="Z3184" t="s">
        <v>2272</v>
      </c>
      <c r="AA3184" t="s">
        <v>2272</v>
      </c>
      <c r="AB3184" t="s">
        <v>2272</v>
      </c>
      <c r="AC3184" s="1" t="s">
        <v>162</v>
      </c>
      <c r="AD3184" t="s">
        <v>2272</v>
      </c>
      <c r="AF3184" t="s">
        <v>49</v>
      </c>
      <c r="AG3184" s="1"/>
      <c r="AH3184"/>
      <c r="AJ3184" t="s">
        <v>49</v>
      </c>
      <c r="AK3184" s="1"/>
      <c r="AL3184" s="1"/>
      <c r="AM3184" s="1" t="s">
        <v>202</v>
      </c>
      <c r="AN3184" s="1" t="s">
        <v>154</v>
      </c>
      <c r="AP3184" s="1" t="s">
        <v>51</v>
      </c>
    </row>
    <row r="3185" spans="1:45" x14ac:dyDescent="0.2">
      <c r="A3185" t="s">
        <v>1759</v>
      </c>
      <c r="B3185" t="s">
        <v>1760</v>
      </c>
      <c r="C3185">
        <v>2011</v>
      </c>
      <c r="D3185" t="s">
        <v>44</v>
      </c>
      <c r="F3185" t="s">
        <v>628</v>
      </c>
      <c r="G3185" s="1" t="s">
        <v>86</v>
      </c>
      <c r="H3185" t="s">
        <v>96</v>
      </c>
      <c r="I3185">
        <v>2008</v>
      </c>
      <c r="J3185">
        <v>2.7E-2</v>
      </c>
      <c r="K3185" t="s">
        <v>101</v>
      </c>
      <c r="L3185">
        <v>75</v>
      </c>
      <c r="M3185">
        <v>0.25</v>
      </c>
      <c r="N3185" t="s">
        <v>120</v>
      </c>
      <c r="O3185" t="s">
        <v>120</v>
      </c>
      <c r="P3185" t="s">
        <v>711</v>
      </c>
      <c r="Q3185" s="1" t="s">
        <v>2276</v>
      </c>
      <c r="R3185" s="1" t="s">
        <v>669</v>
      </c>
      <c r="S3185" s="1" t="s">
        <v>168</v>
      </c>
      <c r="T3185" t="s">
        <v>396</v>
      </c>
      <c r="U3185" s="1" t="s">
        <v>264</v>
      </c>
      <c r="X3185" t="s">
        <v>161</v>
      </c>
      <c r="Y3185" t="s">
        <v>2272</v>
      </c>
      <c r="Z3185" t="s">
        <v>2272</v>
      </c>
      <c r="AA3185" t="s">
        <v>2272</v>
      </c>
      <c r="AB3185" t="s">
        <v>2272</v>
      </c>
      <c r="AC3185" s="1" t="s">
        <v>162</v>
      </c>
      <c r="AD3185" t="s">
        <v>2272</v>
      </c>
      <c r="AF3185" t="s">
        <v>49</v>
      </c>
      <c r="AG3185" s="1"/>
      <c r="AH3185"/>
      <c r="AJ3185" t="s">
        <v>49</v>
      </c>
      <c r="AK3185" s="1"/>
      <c r="AL3185" s="1"/>
      <c r="AM3185" s="1" t="s">
        <v>257</v>
      </c>
      <c r="AN3185" s="1" t="s">
        <v>166</v>
      </c>
      <c r="AP3185" s="1"/>
      <c r="AQ3185" s="5">
        <v>1</v>
      </c>
    </row>
    <row r="3186" spans="1:45" x14ac:dyDescent="0.2">
      <c r="A3186" t="s">
        <v>1759</v>
      </c>
      <c r="B3186" t="s">
        <v>1760</v>
      </c>
      <c r="C3186">
        <v>2011</v>
      </c>
      <c r="D3186" t="s">
        <v>44</v>
      </c>
      <c r="F3186" t="s">
        <v>628</v>
      </c>
      <c r="G3186" s="1" t="s">
        <v>86</v>
      </c>
      <c r="H3186" t="s">
        <v>96</v>
      </c>
      <c r="I3186">
        <v>2007</v>
      </c>
      <c r="J3186">
        <v>2.7E-2</v>
      </c>
      <c r="K3186" t="s">
        <v>101</v>
      </c>
      <c r="L3186">
        <v>75</v>
      </c>
      <c r="M3186">
        <v>0.25</v>
      </c>
      <c r="N3186" t="s">
        <v>121</v>
      </c>
      <c r="O3186" t="s">
        <v>121</v>
      </c>
      <c r="P3186" t="s">
        <v>286</v>
      </c>
      <c r="Q3186" s="1" t="s">
        <v>2292</v>
      </c>
      <c r="R3186" s="1" t="s">
        <v>264</v>
      </c>
      <c r="S3186" s="1" t="s">
        <v>264</v>
      </c>
      <c r="T3186" t="s">
        <v>396</v>
      </c>
      <c r="U3186" s="1" t="s">
        <v>168</v>
      </c>
      <c r="X3186" t="s">
        <v>161</v>
      </c>
      <c r="Y3186" t="s">
        <v>2272</v>
      </c>
      <c r="Z3186" t="s">
        <v>2272</v>
      </c>
      <c r="AA3186" t="s">
        <v>2272</v>
      </c>
      <c r="AB3186" t="s">
        <v>2272</v>
      </c>
      <c r="AC3186" s="1" t="s">
        <v>162</v>
      </c>
      <c r="AD3186" t="s">
        <v>2272</v>
      </c>
      <c r="AF3186" t="s">
        <v>49</v>
      </c>
      <c r="AG3186" s="1"/>
      <c r="AH3186"/>
      <c r="AJ3186" t="s">
        <v>49</v>
      </c>
      <c r="AK3186" s="1"/>
      <c r="AL3186" s="1"/>
      <c r="AM3186" s="1" t="s">
        <v>257</v>
      </c>
      <c r="AN3186" s="1" t="s">
        <v>166</v>
      </c>
      <c r="AP3186" s="1"/>
      <c r="AQ3186" s="5">
        <v>2</v>
      </c>
    </row>
    <row r="3187" spans="1:45" x14ac:dyDescent="0.2">
      <c r="A3187" t="s">
        <v>1759</v>
      </c>
      <c r="B3187" t="s">
        <v>1760</v>
      </c>
      <c r="C3187">
        <v>2011</v>
      </c>
      <c r="D3187" t="s">
        <v>44</v>
      </c>
      <c r="F3187" t="s">
        <v>628</v>
      </c>
      <c r="G3187" s="1" t="s">
        <v>86</v>
      </c>
      <c r="H3187" t="s">
        <v>96</v>
      </c>
      <c r="I3187">
        <v>2008</v>
      </c>
      <c r="J3187">
        <v>2.7E-2</v>
      </c>
      <c r="K3187" t="s">
        <v>101</v>
      </c>
      <c r="L3187">
        <v>75</v>
      </c>
      <c r="M3187">
        <v>0.25</v>
      </c>
      <c r="N3187" t="s">
        <v>120</v>
      </c>
      <c r="O3187" t="s">
        <v>120</v>
      </c>
      <c r="P3187" t="s">
        <v>711</v>
      </c>
      <c r="Q3187" s="1" t="s">
        <v>2276</v>
      </c>
      <c r="R3187" s="1" t="s">
        <v>669</v>
      </c>
      <c r="S3187" s="1" t="s">
        <v>168</v>
      </c>
      <c r="T3187" t="s">
        <v>396</v>
      </c>
      <c r="U3187" s="1" t="s">
        <v>264</v>
      </c>
      <c r="X3187" t="s">
        <v>161</v>
      </c>
      <c r="Y3187" t="s">
        <v>2272</v>
      </c>
      <c r="Z3187" t="s">
        <v>2272</v>
      </c>
      <c r="AA3187" t="s">
        <v>2272</v>
      </c>
      <c r="AB3187" t="s">
        <v>2272</v>
      </c>
      <c r="AC3187" s="1" t="s">
        <v>162</v>
      </c>
      <c r="AD3187" t="s">
        <v>2272</v>
      </c>
      <c r="AF3187" t="s">
        <v>49</v>
      </c>
      <c r="AG3187" s="1"/>
      <c r="AH3187"/>
      <c r="AJ3187" t="s">
        <v>49</v>
      </c>
      <c r="AK3187" s="1"/>
      <c r="AL3187" s="1"/>
      <c r="AM3187" s="1" t="s">
        <v>257</v>
      </c>
      <c r="AN3187" s="1" t="s">
        <v>165</v>
      </c>
      <c r="AP3187" s="1" t="s">
        <v>49</v>
      </c>
    </row>
    <row r="3188" spans="1:45" x14ac:dyDescent="0.2">
      <c r="A3188" t="s">
        <v>1759</v>
      </c>
      <c r="B3188" t="s">
        <v>1760</v>
      </c>
      <c r="C3188">
        <v>2011</v>
      </c>
      <c r="D3188" t="s">
        <v>44</v>
      </c>
      <c r="F3188" t="s">
        <v>628</v>
      </c>
      <c r="G3188" s="1" t="s">
        <v>86</v>
      </c>
      <c r="H3188" t="s">
        <v>96</v>
      </c>
      <c r="I3188">
        <v>2007</v>
      </c>
      <c r="J3188">
        <v>2.7E-2</v>
      </c>
      <c r="K3188" t="s">
        <v>101</v>
      </c>
      <c r="L3188">
        <v>75</v>
      </c>
      <c r="M3188">
        <v>0.25</v>
      </c>
      <c r="N3188" t="s">
        <v>121</v>
      </c>
      <c r="O3188" t="s">
        <v>121</v>
      </c>
      <c r="P3188" t="s">
        <v>286</v>
      </c>
      <c r="Q3188" s="1" t="s">
        <v>2292</v>
      </c>
      <c r="R3188" s="1" t="s">
        <v>264</v>
      </c>
      <c r="S3188" s="1" t="s">
        <v>264</v>
      </c>
      <c r="T3188" t="s">
        <v>396</v>
      </c>
      <c r="U3188" s="1" t="s">
        <v>168</v>
      </c>
      <c r="X3188" t="s">
        <v>161</v>
      </c>
      <c r="Y3188" t="s">
        <v>2272</v>
      </c>
      <c r="Z3188" t="s">
        <v>2272</v>
      </c>
      <c r="AA3188" t="s">
        <v>2272</v>
      </c>
      <c r="AB3188" t="s">
        <v>2272</v>
      </c>
      <c r="AC3188" s="1" t="s">
        <v>162</v>
      </c>
      <c r="AD3188" t="s">
        <v>2272</v>
      </c>
      <c r="AF3188" t="s">
        <v>49</v>
      </c>
      <c r="AG3188" s="1"/>
      <c r="AH3188"/>
      <c r="AJ3188" t="s">
        <v>49</v>
      </c>
      <c r="AK3188" s="1"/>
      <c r="AL3188" s="1"/>
      <c r="AM3188" s="1" t="s">
        <v>257</v>
      </c>
      <c r="AN3188" s="1" t="s">
        <v>165</v>
      </c>
      <c r="AP3188" s="1" t="s">
        <v>49</v>
      </c>
    </row>
    <row r="3189" spans="1:45" x14ac:dyDescent="0.2">
      <c r="A3189" t="s">
        <v>1759</v>
      </c>
      <c r="B3189" t="s">
        <v>1760</v>
      </c>
      <c r="C3189">
        <v>2011</v>
      </c>
      <c r="D3189" t="s">
        <v>44</v>
      </c>
      <c r="F3189" t="s">
        <v>628</v>
      </c>
      <c r="G3189" s="1" t="s">
        <v>86</v>
      </c>
      <c r="H3189" t="s">
        <v>96</v>
      </c>
      <c r="I3189">
        <v>2008</v>
      </c>
      <c r="J3189">
        <v>2.7E-2</v>
      </c>
      <c r="K3189" t="s">
        <v>101</v>
      </c>
      <c r="L3189">
        <v>75</v>
      </c>
      <c r="M3189">
        <v>0.25</v>
      </c>
      <c r="N3189" t="s">
        <v>120</v>
      </c>
      <c r="O3189" t="s">
        <v>120</v>
      </c>
      <c r="P3189" t="s">
        <v>711</v>
      </c>
      <c r="Q3189" s="1" t="s">
        <v>2276</v>
      </c>
      <c r="R3189" s="1" t="s">
        <v>669</v>
      </c>
      <c r="S3189" s="1" t="s">
        <v>168</v>
      </c>
      <c r="T3189" t="s">
        <v>396</v>
      </c>
      <c r="U3189" s="1" t="s">
        <v>264</v>
      </c>
      <c r="X3189" t="s">
        <v>161</v>
      </c>
      <c r="Y3189" t="s">
        <v>2272</v>
      </c>
      <c r="Z3189" t="s">
        <v>2272</v>
      </c>
      <c r="AA3189" t="s">
        <v>2272</v>
      </c>
      <c r="AB3189" t="s">
        <v>2272</v>
      </c>
      <c r="AC3189" s="1" t="s">
        <v>162</v>
      </c>
      <c r="AD3189" t="s">
        <v>2272</v>
      </c>
      <c r="AF3189" t="s">
        <v>49</v>
      </c>
      <c r="AG3189" s="1"/>
      <c r="AH3189"/>
      <c r="AJ3189" t="s">
        <v>49</v>
      </c>
      <c r="AK3189" s="1"/>
      <c r="AL3189" s="1"/>
      <c r="AM3189" s="1" t="s">
        <v>257</v>
      </c>
      <c r="AN3189" s="1" t="s">
        <v>154</v>
      </c>
      <c r="AP3189" s="1"/>
      <c r="AQ3189" s="5">
        <v>1</v>
      </c>
    </row>
    <row r="3190" spans="1:45" x14ac:dyDescent="0.2">
      <c r="A3190" t="s">
        <v>1759</v>
      </c>
      <c r="B3190" t="s">
        <v>1760</v>
      </c>
      <c r="C3190">
        <v>2011</v>
      </c>
      <c r="D3190" t="s">
        <v>44</v>
      </c>
      <c r="F3190" t="s">
        <v>628</v>
      </c>
      <c r="G3190" s="1" t="s">
        <v>86</v>
      </c>
      <c r="H3190" t="s">
        <v>96</v>
      </c>
      <c r="I3190">
        <v>2007</v>
      </c>
      <c r="J3190">
        <v>2.7E-2</v>
      </c>
      <c r="K3190" t="s">
        <v>101</v>
      </c>
      <c r="L3190">
        <v>75</v>
      </c>
      <c r="M3190">
        <v>0.25</v>
      </c>
      <c r="N3190" t="s">
        <v>121</v>
      </c>
      <c r="O3190" t="s">
        <v>121</v>
      </c>
      <c r="P3190" t="s">
        <v>286</v>
      </c>
      <c r="Q3190" s="1" t="s">
        <v>2292</v>
      </c>
      <c r="R3190" s="1" t="s">
        <v>264</v>
      </c>
      <c r="S3190" s="1" t="s">
        <v>264</v>
      </c>
      <c r="T3190" t="s">
        <v>396</v>
      </c>
      <c r="U3190" s="1" t="s">
        <v>168</v>
      </c>
      <c r="X3190" t="s">
        <v>161</v>
      </c>
      <c r="Y3190" t="s">
        <v>2272</v>
      </c>
      <c r="Z3190" t="s">
        <v>2272</v>
      </c>
      <c r="AA3190" t="s">
        <v>2272</v>
      </c>
      <c r="AB3190" t="s">
        <v>2272</v>
      </c>
      <c r="AC3190" s="1" t="s">
        <v>162</v>
      </c>
      <c r="AD3190" t="s">
        <v>2272</v>
      </c>
      <c r="AF3190" t="s">
        <v>49</v>
      </c>
      <c r="AG3190" s="1"/>
      <c r="AH3190"/>
      <c r="AJ3190" t="s">
        <v>49</v>
      </c>
      <c r="AK3190" s="1"/>
      <c r="AL3190" s="1"/>
      <c r="AM3190" s="1" t="s">
        <v>257</v>
      </c>
      <c r="AN3190" s="1" t="s">
        <v>154</v>
      </c>
      <c r="AP3190" s="1"/>
      <c r="AQ3190" s="5">
        <v>2</v>
      </c>
    </row>
    <row r="3191" spans="1:45" x14ac:dyDescent="0.2">
      <c r="A3191" t="s">
        <v>1759</v>
      </c>
      <c r="B3191" t="s">
        <v>1760</v>
      </c>
      <c r="C3191">
        <v>2011</v>
      </c>
      <c r="D3191" t="s">
        <v>44</v>
      </c>
      <c r="F3191" t="s">
        <v>628</v>
      </c>
      <c r="G3191" s="1" t="s">
        <v>86</v>
      </c>
      <c r="H3191" t="s">
        <v>96</v>
      </c>
      <c r="I3191">
        <v>2008</v>
      </c>
      <c r="J3191">
        <v>2.7E-2</v>
      </c>
      <c r="K3191" t="s">
        <v>101</v>
      </c>
      <c r="L3191">
        <v>75</v>
      </c>
      <c r="M3191">
        <v>0.25</v>
      </c>
      <c r="N3191" t="s">
        <v>120</v>
      </c>
      <c r="O3191" t="s">
        <v>120</v>
      </c>
      <c r="P3191" t="s">
        <v>711</v>
      </c>
      <c r="Q3191" s="1" t="s">
        <v>2276</v>
      </c>
      <c r="R3191" s="1" t="s">
        <v>669</v>
      </c>
      <c r="S3191" s="1" t="s">
        <v>168</v>
      </c>
      <c r="T3191" t="s">
        <v>396</v>
      </c>
      <c r="U3191" s="1" t="s">
        <v>264</v>
      </c>
      <c r="X3191" t="s">
        <v>161</v>
      </c>
      <c r="Y3191" t="s">
        <v>2272</v>
      </c>
      <c r="Z3191" t="s">
        <v>2272</v>
      </c>
      <c r="AA3191" t="s">
        <v>2272</v>
      </c>
      <c r="AB3191" t="s">
        <v>2272</v>
      </c>
      <c r="AC3191" s="1" t="s">
        <v>162</v>
      </c>
      <c r="AD3191" t="s">
        <v>2272</v>
      </c>
      <c r="AG3191" s="1"/>
      <c r="AH3191" t="s">
        <v>49</v>
      </c>
      <c r="AJ3191" t="s">
        <v>49</v>
      </c>
      <c r="AK3191" s="1"/>
      <c r="AL3191" s="1"/>
      <c r="AM3191" s="1" t="s">
        <v>2541</v>
      </c>
      <c r="AN3191" s="1" t="s">
        <v>166</v>
      </c>
      <c r="AP3191" s="1"/>
    </row>
    <row r="3192" spans="1:45" x14ac:dyDescent="0.2">
      <c r="A3192" t="s">
        <v>1759</v>
      </c>
      <c r="B3192" t="s">
        <v>1760</v>
      </c>
      <c r="C3192">
        <v>2011</v>
      </c>
      <c r="D3192" t="s">
        <v>44</v>
      </c>
      <c r="F3192" t="s">
        <v>628</v>
      </c>
      <c r="G3192" s="1" t="s">
        <v>86</v>
      </c>
      <c r="H3192" t="s">
        <v>96</v>
      </c>
      <c r="I3192">
        <v>2007</v>
      </c>
      <c r="J3192">
        <v>2.7E-2</v>
      </c>
      <c r="K3192" t="s">
        <v>101</v>
      </c>
      <c r="L3192">
        <v>75</v>
      </c>
      <c r="M3192">
        <v>0.25</v>
      </c>
      <c r="N3192" t="s">
        <v>121</v>
      </c>
      <c r="O3192" t="s">
        <v>121</v>
      </c>
      <c r="P3192" t="s">
        <v>286</v>
      </c>
      <c r="Q3192" s="1" t="s">
        <v>2292</v>
      </c>
      <c r="R3192" s="1" t="s">
        <v>264</v>
      </c>
      <c r="S3192" s="1" t="s">
        <v>264</v>
      </c>
      <c r="T3192" t="s">
        <v>396</v>
      </c>
      <c r="U3192" s="1" t="s">
        <v>168</v>
      </c>
      <c r="X3192" t="s">
        <v>161</v>
      </c>
      <c r="Y3192" t="s">
        <v>2272</v>
      </c>
      <c r="Z3192" t="s">
        <v>2272</v>
      </c>
      <c r="AA3192" t="s">
        <v>2272</v>
      </c>
      <c r="AB3192" t="s">
        <v>2272</v>
      </c>
      <c r="AC3192" s="1" t="s">
        <v>162</v>
      </c>
      <c r="AD3192" t="s">
        <v>2272</v>
      </c>
      <c r="AG3192" s="1"/>
      <c r="AH3192" t="s">
        <v>49</v>
      </c>
      <c r="AJ3192" t="s">
        <v>49</v>
      </c>
      <c r="AK3192" s="1"/>
      <c r="AL3192" s="1"/>
      <c r="AM3192" s="1" t="s">
        <v>2541</v>
      </c>
      <c r="AN3192" s="1" t="s">
        <v>166</v>
      </c>
      <c r="AP3192" s="1"/>
    </row>
    <row r="3193" spans="1:45" x14ac:dyDescent="0.2">
      <c r="A3193" t="s">
        <v>1759</v>
      </c>
      <c r="B3193" t="s">
        <v>1760</v>
      </c>
      <c r="C3193">
        <v>2011</v>
      </c>
      <c r="D3193" t="s">
        <v>44</v>
      </c>
      <c r="F3193" t="s">
        <v>628</v>
      </c>
      <c r="G3193" s="1" t="s">
        <v>86</v>
      </c>
      <c r="H3193" t="s">
        <v>96</v>
      </c>
      <c r="I3193">
        <v>2008</v>
      </c>
      <c r="J3193">
        <v>2.7E-2</v>
      </c>
      <c r="K3193" t="s">
        <v>101</v>
      </c>
      <c r="L3193">
        <v>75</v>
      </c>
      <c r="M3193">
        <v>0.25</v>
      </c>
      <c r="N3193" t="s">
        <v>120</v>
      </c>
      <c r="O3193" t="s">
        <v>120</v>
      </c>
      <c r="P3193" t="s">
        <v>711</v>
      </c>
      <c r="Q3193" s="1" t="s">
        <v>2276</v>
      </c>
      <c r="R3193" s="1" t="s">
        <v>669</v>
      </c>
      <c r="S3193" s="1" t="s">
        <v>168</v>
      </c>
      <c r="T3193" t="s">
        <v>396</v>
      </c>
      <c r="U3193" s="1" t="s">
        <v>264</v>
      </c>
      <c r="X3193" t="s">
        <v>161</v>
      </c>
      <c r="Y3193" t="s">
        <v>2272</v>
      </c>
      <c r="Z3193" t="s">
        <v>2272</v>
      </c>
      <c r="AA3193" t="s">
        <v>2272</v>
      </c>
      <c r="AB3193" t="s">
        <v>2272</v>
      </c>
      <c r="AC3193" s="1" t="s">
        <v>162</v>
      </c>
      <c r="AD3193" t="s">
        <v>2272</v>
      </c>
      <c r="AG3193" s="1"/>
      <c r="AH3193" t="s">
        <v>49</v>
      </c>
      <c r="AJ3193" t="s">
        <v>49</v>
      </c>
      <c r="AK3193" s="1"/>
      <c r="AL3193" s="1"/>
      <c r="AM3193" s="1" t="s">
        <v>2542</v>
      </c>
      <c r="AN3193" s="1" t="s">
        <v>166</v>
      </c>
      <c r="AP3193" s="1"/>
    </row>
    <row r="3194" spans="1:45" x14ac:dyDescent="0.2">
      <c r="A3194" t="s">
        <v>1759</v>
      </c>
      <c r="B3194" t="s">
        <v>1760</v>
      </c>
      <c r="C3194">
        <v>2011</v>
      </c>
      <c r="D3194" t="s">
        <v>44</v>
      </c>
      <c r="F3194" t="s">
        <v>628</v>
      </c>
      <c r="G3194" s="1" t="s">
        <v>86</v>
      </c>
      <c r="H3194" t="s">
        <v>96</v>
      </c>
      <c r="I3194">
        <v>2007</v>
      </c>
      <c r="J3194">
        <v>2.7E-2</v>
      </c>
      <c r="K3194" t="s">
        <v>101</v>
      </c>
      <c r="L3194">
        <v>75</v>
      </c>
      <c r="M3194">
        <v>0.25</v>
      </c>
      <c r="N3194" t="s">
        <v>121</v>
      </c>
      <c r="O3194" t="s">
        <v>121</v>
      </c>
      <c r="P3194" t="s">
        <v>286</v>
      </c>
      <c r="Q3194" s="1" t="s">
        <v>2292</v>
      </c>
      <c r="R3194" s="1" t="s">
        <v>264</v>
      </c>
      <c r="S3194" s="1" t="s">
        <v>264</v>
      </c>
      <c r="T3194" t="s">
        <v>396</v>
      </c>
      <c r="U3194" s="1" t="s">
        <v>168</v>
      </c>
      <c r="X3194" t="s">
        <v>161</v>
      </c>
      <c r="Y3194" t="s">
        <v>2272</v>
      </c>
      <c r="Z3194" t="s">
        <v>2272</v>
      </c>
      <c r="AA3194" t="s">
        <v>2272</v>
      </c>
      <c r="AB3194" t="s">
        <v>2272</v>
      </c>
      <c r="AC3194" s="1" t="s">
        <v>162</v>
      </c>
      <c r="AD3194" t="s">
        <v>2272</v>
      </c>
      <c r="AG3194" s="1"/>
      <c r="AH3194" t="s">
        <v>49</v>
      </c>
      <c r="AJ3194" t="s">
        <v>49</v>
      </c>
      <c r="AK3194" s="1"/>
      <c r="AL3194" s="1"/>
      <c r="AM3194" s="1" t="s">
        <v>2542</v>
      </c>
      <c r="AN3194" s="1" t="s">
        <v>166</v>
      </c>
      <c r="AP3194" s="1"/>
    </row>
    <row r="3195" spans="1:45" x14ac:dyDescent="0.2">
      <c r="A3195" t="s">
        <v>1770</v>
      </c>
      <c r="B3195" t="s">
        <v>1771</v>
      </c>
      <c r="C3195">
        <v>2011</v>
      </c>
      <c r="D3195" t="s">
        <v>811</v>
      </c>
      <c r="F3195" t="s">
        <v>955</v>
      </c>
      <c r="G3195" s="1" t="s">
        <v>85</v>
      </c>
      <c r="H3195" t="s">
        <v>96</v>
      </c>
      <c r="I3195" t="s">
        <v>1658</v>
      </c>
      <c r="J3195">
        <v>8</v>
      </c>
      <c r="K3195" t="s">
        <v>101</v>
      </c>
      <c r="L3195">
        <v>350</v>
      </c>
      <c r="M3195">
        <v>0.25</v>
      </c>
      <c r="N3195" t="s">
        <v>132</v>
      </c>
      <c r="O3195" t="s">
        <v>132</v>
      </c>
      <c r="P3195" t="s">
        <v>667</v>
      </c>
      <c r="Q3195" s="1" t="s">
        <v>2272</v>
      </c>
      <c r="R3195" s="1" t="s">
        <v>2272</v>
      </c>
      <c r="S3195" s="1" t="s">
        <v>2272</v>
      </c>
      <c r="X3195" t="s">
        <v>171</v>
      </c>
      <c r="Y3195" t="s">
        <v>2272</v>
      </c>
      <c r="Z3195" t="s">
        <v>2272</v>
      </c>
      <c r="AA3195" t="s">
        <v>2272</v>
      </c>
      <c r="AB3195" t="s">
        <v>2272</v>
      </c>
      <c r="AC3195" s="1" t="s">
        <v>152</v>
      </c>
      <c r="AD3195" t="s">
        <v>2272</v>
      </c>
      <c r="AE3195" s="1" t="s">
        <v>415</v>
      </c>
      <c r="AF3195" s="1"/>
      <c r="AG3195" s="1"/>
      <c r="AH3195" s="2"/>
      <c r="AI3195" s="1"/>
      <c r="AJ3195" s="1"/>
      <c r="AK3195" s="1"/>
      <c r="AL3195" s="1"/>
      <c r="AR3195" t="s">
        <v>144</v>
      </c>
      <c r="AS3195" t="s">
        <v>2583</v>
      </c>
    </row>
    <row r="3196" spans="1:45" x14ac:dyDescent="0.2">
      <c r="A3196" t="s">
        <v>1772</v>
      </c>
      <c r="B3196" t="s">
        <v>1773</v>
      </c>
      <c r="C3196">
        <v>2011</v>
      </c>
      <c r="Q3196" s="1" t="s">
        <v>2272</v>
      </c>
      <c r="R3196" s="1" t="s">
        <v>2272</v>
      </c>
      <c r="S3196" s="1" t="s">
        <v>2272</v>
      </c>
      <c r="Y3196" t="s">
        <v>2272</v>
      </c>
      <c r="Z3196" t="s">
        <v>2272</v>
      </c>
      <c r="AA3196" t="s">
        <v>2272</v>
      </c>
      <c r="AB3196" t="s">
        <v>2272</v>
      </c>
      <c r="AD3196" t="s">
        <v>2272</v>
      </c>
      <c r="AR3196" t="s">
        <v>144</v>
      </c>
      <c r="AS3196" t="s">
        <v>2583</v>
      </c>
    </row>
    <row r="3197" spans="1:45" x14ac:dyDescent="0.2">
      <c r="A3197" t="s">
        <v>1774</v>
      </c>
      <c r="B3197" t="s">
        <v>215</v>
      </c>
      <c r="C3197">
        <v>2011</v>
      </c>
      <c r="D3197" t="s">
        <v>44</v>
      </c>
      <c r="F3197" t="s">
        <v>81</v>
      </c>
      <c r="G3197" s="1" t="s">
        <v>91</v>
      </c>
      <c r="H3197" t="s">
        <v>350</v>
      </c>
      <c r="I3197">
        <v>2005</v>
      </c>
      <c r="K3197" t="s">
        <v>101</v>
      </c>
      <c r="L3197">
        <v>27</v>
      </c>
      <c r="N3197" t="s">
        <v>120</v>
      </c>
      <c r="O3197" t="s">
        <v>1317</v>
      </c>
      <c r="P3197" t="s">
        <v>217</v>
      </c>
      <c r="Q3197" s="1" t="s">
        <v>2276</v>
      </c>
      <c r="R3197" s="1" t="s">
        <v>669</v>
      </c>
      <c r="S3197" s="1" t="s">
        <v>168</v>
      </c>
      <c r="X3197" t="s">
        <v>211</v>
      </c>
      <c r="Y3197" t="s">
        <v>2279</v>
      </c>
      <c r="Z3197" t="s">
        <v>2280</v>
      </c>
      <c r="AA3197" t="s">
        <v>2358</v>
      </c>
      <c r="AB3197" t="s">
        <v>2290</v>
      </c>
      <c r="AC3197" s="1" t="s">
        <v>152</v>
      </c>
      <c r="AD3197" t="s">
        <v>2278</v>
      </c>
    </row>
    <row r="3198" spans="1:45" x14ac:dyDescent="0.2">
      <c r="A3198" t="s">
        <v>1774</v>
      </c>
      <c r="B3198" t="s">
        <v>215</v>
      </c>
      <c r="C3198">
        <v>2011</v>
      </c>
      <c r="D3198" t="s">
        <v>44</v>
      </c>
      <c r="F3198" t="s">
        <v>81</v>
      </c>
      <c r="G3198" s="1" t="s">
        <v>91</v>
      </c>
      <c r="H3198" t="s">
        <v>350</v>
      </c>
      <c r="I3198">
        <v>2005</v>
      </c>
      <c r="K3198" t="s">
        <v>101</v>
      </c>
      <c r="L3198">
        <v>27</v>
      </c>
      <c r="N3198" t="s">
        <v>130</v>
      </c>
      <c r="O3198" t="s">
        <v>290</v>
      </c>
      <c r="P3198" t="s">
        <v>1775</v>
      </c>
      <c r="Q3198" s="1" t="s">
        <v>2276</v>
      </c>
      <c r="R3198" s="1" t="s">
        <v>751</v>
      </c>
      <c r="S3198" s="1" t="s">
        <v>2345</v>
      </c>
      <c r="X3198" t="s">
        <v>211</v>
      </c>
      <c r="Y3198" t="s">
        <v>2279</v>
      </c>
      <c r="Z3198" t="s">
        <v>2280</v>
      </c>
      <c r="AA3198" t="s">
        <v>2358</v>
      </c>
      <c r="AB3198" t="s">
        <v>2290</v>
      </c>
      <c r="AC3198" s="1" t="s">
        <v>152</v>
      </c>
      <c r="AD3198" t="s">
        <v>2278</v>
      </c>
    </row>
    <row r="3199" spans="1:45" x14ac:dyDescent="0.2">
      <c r="A3199" t="s">
        <v>1774</v>
      </c>
      <c r="B3199" t="s">
        <v>215</v>
      </c>
      <c r="C3199">
        <v>2011</v>
      </c>
      <c r="D3199" t="s">
        <v>44</v>
      </c>
      <c r="F3199" t="s">
        <v>81</v>
      </c>
      <c r="G3199" s="1" t="s">
        <v>91</v>
      </c>
      <c r="H3199" t="s">
        <v>350</v>
      </c>
      <c r="I3199">
        <v>2005</v>
      </c>
      <c r="K3199" t="s">
        <v>101</v>
      </c>
      <c r="L3199">
        <v>27</v>
      </c>
      <c r="N3199" t="s">
        <v>120</v>
      </c>
      <c r="O3199" t="s">
        <v>1317</v>
      </c>
      <c r="P3199" t="s">
        <v>217</v>
      </c>
      <c r="Q3199" s="1" t="s">
        <v>2276</v>
      </c>
      <c r="R3199" s="1" t="s">
        <v>669</v>
      </c>
      <c r="S3199" s="1" t="s">
        <v>168</v>
      </c>
      <c r="T3199" t="s">
        <v>396</v>
      </c>
      <c r="X3199" t="s">
        <v>161</v>
      </c>
      <c r="Y3199" t="s">
        <v>2272</v>
      </c>
      <c r="Z3199" t="s">
        <v>2272</v>
      </c>
      <c r="AA3199" t="s">
        <v>2272</v>
      </c>
      <c r="AB3199" t="s">
        <v>2272</v>
      </c>
      <c r="AC3199" s="1" t="s">
        <v>162</v>
      </c>
      <c r="AD3199" t="s">
        <v>2272</v>
      </c>
      <c r="AF3199" t="s">
        <v>49</v>
      </c>
      <c r="AL3199" t="s">
        <v>49</v>
      </c>
      <c r="AM3199" s="1" t="s">
        <v>219</v>
      </c>
      <c r="AN3199" s="1" t="s">
        <v>166</v>
      </c>
    </row>
    <row r="3200" spans="1:45" x14ac:dyDescent="0.2">
      <c r="A3200" t="s">
        <v>1774</v>
      </c>
      <c r="B3200" t="s">
        <v>215</v>
      </c>
      <c r="C3200">
        <v>2011</v>
      </c>
      <c r="D3200" t="s">
        <v>44</v>
      </c>
      <c r="F3200" t="s">
        <v>81</v>
      </c>
      <c r="G3200" s="1" t="s">
        <v>91</v>
      </c>
      <c r="H3200" t="s">
        <v>350</v>
      </c>
      <c r="I3200">
        <v>2005</v>
      </c>
      <c r="K3200" t="s">
        <v>101</v>
      </c>
      <c r="L3200">
        <v>27</v>
      </c>
      <c r="N3200" t="s">
        <v>120</v>
      </c>
      <c r="O3200" t="s">
        <v>1317</v>
      </c>
      <c r="P3200" t="s">
        <v>217</v>
      </c>
      <c r="Q3200" s="1" t="s">
        <v>2276</v>
      </c>
      <c r="R3200" s="1" t="s">
        <v>669</v>
      </c>
      <c r="S3200" s="1" t="s">
        <v>168</v>
      </c>
      <c r="T3200" t="s">
        <v>396</v>
      </c>
      <c r="U3200" s="1" t="s">
        <v>2345</v>
      </c>
      <c r="X3200" t="s">
        <v>161</v>
      </c>
      <c r="Y3200" t="s">
        <v>2272</v>
      </c>
      <c r="Z3200" t="s">
        <v>2272</v>
      </c>
      <c r="AA3200" t="s">
        <v>2272</v>
      </c>
      <c r="AB3200" t="s">
        <v>2272</v>
      </c>
      <c r="AC3200" s="1" t="s">
        <v>162</v>
      </c>
      <c r="AD3200" t="s">
        <v>2272</v>
      </c>
      <c r="AF3200" t="s">
        <v>49</v>
      </c>
      <c r="AK3200" t="s">
        <v>49</v>
      </c>
      <c r="AM3200" s="1" t="s">
        <v>1777</v>
      </c>
      <c r="AN3200" s="1" t="s">
        <v>166</v>
      </c>
      <c r="AP3200" s="1"/>
    </row>
    <row r="3201" spans="1:44" x14ac:dyDescent="0.2">
      <c r="A3201" t="s">
        <v>1774</v>
      </c>
      <c r="B3201" t="s">
        <v>215</v>
      </c>
      <c r="C3201">
        <v>2011</v>
      </c>
      <c r="D3201" t="s">
        <v>44</v>
      </c>
      <c r="F3201" t="s">
        <v>81</v>
      </c>
      <c r="G3201" s="1" t="s">
        <v>91</v>
      </c>
      <c r="H3201" t="s">
        <v>350</v>
      </c>
      <c r="I3201">
        <v>2005</v>
      </c>
      <c r="K3201" t="s">
        <v>101</v>
      </c>
      <c r="L3201">
        <v>27</v>
      </c>
      <c r="N3201" t="s">
        <v>130</v>
      </c>
      <c r="O3201" t="s">
        <v>290</v>
      </c>
      <c r="P3201" t="s">
        <v>1775</v>
      </c>
      <c r="Q3201" s="1" t="s">
        <v>2276</v>
      </c>
      <c r="R3201" s="1" t="s">
        <v>751</v>
      </c>
      <c r="S3201" s="1" t="s">
        <v>2345</v>
      </c>
      <c r="T3201" t="s">
        <v>396</v>
      </c>
      <c r="U3201" t="s">
        <v>168</v>
      </c>
      <c r="X3201" t="s">
        <v>161</v>
      </c>
      <c r="Y3201" t="s">
        <v>2272</v>
      </c>
      <c r="Z3201" t="s">
        <v>2272</v>
      </c>
      <c r="AA3201" t="s">
        <v>2272</v>
      </c>
      <c r="AB3201" t="s">
        <v>2272</v>
      </c>
      <c r="AC3201" s="1" t="s">
        <v>162</v>
      </c>
      <c r="AD3201" t="s">
        <v>2272</v>
      </c>
      <c r="AF3201" t="s">
        <v>49</v>
      </c>
      <c r="AK3201" t="s">
        <v>49</v>
      </c>
      <c r="AM3201" s="1" t="s">
        <v>1777</v>
      </c>
      <c r="AN3201" s="1" t="s">
        <v>166</v>
      </c>
      <c r="AP3201" s="1"/>
    </row>
    <row r="3202" spans="1:44" x14ac:dyDescent="0.2">
      <c r="A3202" t="s">
        <v>1774</v>
      </c>
      <c r="B3202" t="s">
        <v>215</v>
      </c>
      <c r="C3202">
        <v>2011</v>
      </c>
      <c r="D3202" t="s">
        <v>45</v>
      </c>
      <c r="F3202" t="s">
        <v>81</v>
      </c>
      <c r="G3202" s="1" t="s">
        <v>91</v>
      </c>
      <c r="H3202" t="s">
        <v>350</v>
      </c>
      <c r="J3202">
        <v>1.4E-3</v>
      </c>
      <c r="K3202" t="s">
        <v>101</v>
      </c>
      <c r="N3202" t="s">
        <v>120</v>
      </c>
      <c r="O3202" t="s">
        <v>1317</v>
      </c>
      <c r="P3202" t="s">
        <v>217</v>
      </c>
      <c r="Q3202" s="1" t="s">
        <v>2276</v>
      </c>
      <c r="R3202" s="1" t="s">
        <v>669</v>
      </c>
      <c r="S3202" s="1" t="s">
        <v>168</v>
      </c>
      <c r="T3202" t="s">
        <v>396</v>
      </c>
      <c r="U3202" s="1" t="s">
        <v>2345</v>
      </c>
      <c r="X3202" t="s">
        <v>161</v>
      </c>
      <c r="Y3202" t="s">
        <v>2272</v>
      </c>
      <c r="Z3202" t="s">
        <v>2272</v>
      </c>
      <c r="AA3202" t="s">
        <v>2272</v>
      </c>
      <c r="AB3202" t="s">
        <v>2272</v>
      </c>
      <c r="AC3202" s="1" t="s">
        <v>162</v>
      </c>
      <c r="AD3202" t="s">
        <v>2272</v>
      </c>
      <c r="AF3202" t="s">
        <v>49</v>
      </c>
      <c r="AL3202" t="s">
        <v>49</v>
      </c>
      <c r="AM3202" s="1" t="s">
        <v>219</v>
      </c>
      <c r="AN3202" s="1" t="s">
        <v>166</v>
      </c>
      <c r="AQ3202" s="5">
        <v>2</v>
      </c>
    </row>
    <row r="3203" spans="1:44" x14ac:dyDescent="0.2">
      <c r="A3203" t="s">
        <v>1774</v>
      </c>
      <c r="B3203" t="s">
        <v>215</v>
      </c>
      <c r="C3203">
        <v>2011</v>
      </c>
      <c r="D3203" t="s">
        <v>45</v>
      </c>
      <c r="F3203" t="s">
        <v>81</v>
      </c>
      <c r="G3203" s="1" t="s">
        <v>91</v>
      </c>
      <c r="H3203" t="s">
        <v>350</v>
      </c>
      <c r="J3203">
        <v>1.4E-3</v>
      </c>
      <c r="K3203" t="s">
        <v>101</v>
      </c>
      <c r="N3203" t="s">
        <v>130</v>
      </c>
      <c r="O3203" t="s">
        <v>290</v>
      </c>
      <c r="P3203" t="s">
        <v>1775</v>
      </c>
      <c r="Q3203" s="1" t="s">
        <v>2276</v>
      </c>
      <c r="R3203" s="1" t="s">
        <v>751</v>
      </c>
      <c r="S3203" s="1" t="s">
        <v>2345</v>
      </c>
      <c r="T3203" t="s">
        <v>396</v>
      </c>
      <c r="U3203" t="s">
        <v>168</v>
      </c>
      <c r="X3203" t="s">
        <v>161</v>
      </c>
      <c r="Y3203" t="s">
        <v>2272</v>
      </c>
      <c r="Z3203" t="s">
        <v>2272</v>
      </c>
      <c r="AA3203" t="s">
        <v>2272</v>
      </c>
      <c r="AB3203" t="s">
        <v>2272</v>
      </c>
      <c r="AC3203" s="1" t="s">
        <v>162</v>
      </c>
      <c r="AD3203" t="s">
        <v>2272</v>
      </c>
      <c r="AF3203" t="s">
        <v>49</v>
      </c>
      <c r="AL3203" t="s">
        <v>49</v>
      </c>
      <c r="AM3203" s="1" t="s">
        <v>219</v>
      </c>
      <c r="AN3203" s="1" t="s">
        <v>166</v>
      </c>
      <c r="AQ3203" s="5">
        <v>1</v>
      </c>
    </row>
    <row r="3204" spans="1:44" x14ac:dyDescent="0.2">
      <c r="A3204" t="s">
        <v>1774</v>
      </c>
      <c r="B3204" t="s">
        <v>215</v>
      </c>
      <c r="C3204">
        <v>2011</v>
      </c>
      <c r="D3204" t="s">
        <v>45</v>
      </c>
      <c r="F3204" t="s">
        <v>81</v>
      </c>
      <c r="G3204" s="1" t="s">
        <v>91</v>
      </c>
      <c r="H3204" t="s">
        <v>350</v>
      </c>
      <c r="J3204">
        <v>1.4E-3</v>
      </c>
      <c r="K3204" t="s">
        <v>101</v>
      </c>
      <c r="N3204" t="s">
        <v>120</v>
      </c>
      <c r="O3204" t="s">
        <v>1317</v>
      </c>
      <c r="P3204" t="s">
        <v>217</v>
      </c>
      <c r="Q3204" s="1" t="s">
        <v>2276</v>
      </c>
      <c r="R3204" s="1" t="s">
        <v>669</v>
      </c>
      <c r="S3204" s="1" t="s">
        <v>168</v>
      </c>
      <c r="T3204" t="s">
        <v>396</v>
      </c>
      <c r="U3204" s="1" t="s">
        <v>2345</v>
      </c>
      <c r="X3204" t="s">
        <v>161</v>
      </c>
      <c r="Y3204" t="s">
        <v>2272</v>
      </c>
      <c r="Z3204" t="s">
        <v>2272</v>
      </c>
      <c r="AA3204" t="s">
        <v>2272</v>
      </c>
      <c r="AB3204" t="s">
        <v>2272</v>
      </c>
      <c r="AC3204" s="1" t="s">
        <v>162</v>
      </c>
      <c r="AD3204" t="s">
        <v>2272</v>
      </c>
      <c r="AF3204" t="s">
        <v>49</v>
      </c>
      <c r="AK3204" t="s">
        <v>49</v>
      </c>
      <c r="AM3204" s="1" t="s">
        <v>1776</v>
      </c>
      <c r="AN3204" s="1" t="s">
        <v>166</v>
      </c>
    </row>
    <row r="3205" spans="1:44" x14ac:dyDescent="0.2">
      <c r="A3205" t="s">
        <v>1774</v>
      </c>
      <c r="B3205" t="s">
        <v>215</v>
      </c>
      <c r="C3205">
        <v>2011</v>
      </c>
      <c r="D3205" t="s">
        <v>45</v>
      </c>
      <c r="F3205" t="s">
        <v>81</v>
      </c>
      <c r="G3205" s="1" t="s">
        <v>91</v>
      </c>
      <c r="H3205" t="s">
        <v>350</v>
      </c>
      <c r="J3205">
        <v>1.4E-3</v>
      </c>
      <c r="K3205" t="s">
        <v>101</v>
      </c>
      <c r="N3205" t="s">
        <v>130</v>
      </c>
      <c r="O3205" t="s">
        <v>290</v>
      </c>
      <c r="P3205" t="s">
        <v>1775</v>
      </c>
      <c r="Q3205" s="1" t="s">
        <v>2276</v>
      </c>
      <c r="R3205" s="1" t="s">
        <v>751</v>
      </c>
      <c r="S3205" s="1" t="s">
        <v>2345</v>
      </c>
      <c r="T3205" t="s">
        <v>396</v>
      </c>
      <c r="U3205" t="s">
        <v>168</v>
      </c>
      <c r="X3205" t="s">
        <v>161</v>
      </c>
      <c r="Y3205" t="s">
        <v>2272</v>
      </c>
      <c r="Z3205" t="s">
        <v>2272</v>
      </c>
      <c r="AA3205" t="s">
        <v>2272</v>
      </c>
      <c r="AB3205" t="s">
        <v>2272</v>
      </c>
      <c r="AC3205" s="1" t="s">
        <v>162</v>
      </c>
      <c r="AD3205" t="s">
        <v>2272</v>
      </c>
      <c r="AF3205" t="s">
        <v>49</v>
      </c>
      <c r="AK3205" t="s">
        <v>49</v>
      </c>
      <c r="AM3205" s="1" t="s">
        <v>1776</v>
      </c>
      <c r="AN3205" s="1" t="s">
        <v>166</v>
      </c>
    </row>
    <row r="3206" spans="1:44" x14ac:dyDescent="0.2">
      <c r="A3206" t="s">
        <v>1778</v>
      </c>
      <c r="B3206" t="s">
        <v>1779</v>
      </c>
      <c r="C3206">
        <v>2011</v>
      </c>
      <c r="D3206" t="s">
        <v>44</v>
      </c>
      <c r="F3206" t="s">
        <v>1780</v>
      </c>
      <c r="G3206" s="1" t="s">
        <v>86</v>
      </c>
      <c r="H3206" t="s">
        <v>350</v>
      </c>
      <c r="I3206">
        <v>2007</v>
      </c>
      <c r="K3206" t="s">
        <v>101</v>
      </c>
      <c r="L3206">
        <v>30</v>
      </c>
      <c r="M3206">
        <v>7.8499999999999993E-3</v>
      </c>
      <c r="N3206" t="s">
        <v>121</v>
      </c>
      <c r="O3206" t="s">
        <v>121</v>
      </c>
      <c r="P3206" t="s">
        <v>1591</v>
      </c>
      <c r="Q3206" s="1" t="s">
        <v>2276</v>
      </c>
      <c r="R3206" s="1" t="s">
        <v>755</v>
      </c>
      <c r="S3206" s="1" t="s">
        <v>2352</v>
      </c>
      <c r="T3206" t="s">
        <v>421</v>
      </c>
      <c r="U3206" t="s">
        <v>421</v>
      </c>
      <c r="V3206" t="s">
        <v>194</v>
      </c>
      <c r="W3206" t="s">
        <v>1591</v>
      </c>
      <c r="X3206" t="s">
        <v>161</v>
      </c>
      <c r="Y3206" t="s">
        <v>2272</v>
      </c>
      <c r="Z3206" t="s">
        <v>2272</v>
      </c>
      <c r="AA3206" t="s">
        <v>2272</v>
      </c>
      <c r="AB3206" t="s">
        <v>2272</v>
      </c>
      <c r="AC3206" s="1" t="s">
        <v>162</v>
      </c>
      <c r="AD3206" t="s">
        <v>2272</v>
      </c>
      <c r="AF3206" t="s">
        <v>49</v>
      </c>
      <c r="AG3206" t="s">
        <v>49</v>
      </c>
      <c r="AI3206" t="s">
        <v>49</v>
      </c>
      <c r="AM3206" s="1" t="s">
        <v>377</v>
      </c>
      <c r="AN3206" s="1" t="s">
        <v>165</v>
      </c>
      <c r="AP3206" s="1" t="s">
        <v>49</v>
      </c>
    </row>
    <row r="3207" spans="1:44" x14ac:dyDescent="0.2">
      <c r="A3207" t="s">
        <v>1778</v>
      </c>
      <c r="B3207" t="s">
        <v>1779</v>
      </c>
      <c r="C3207">
        <v>2011</v>
      </c>
      <c r="D3207" t="s">
        <v>44</v>
      </c>
      <c r="F3207" t="s">
        <v>1780</v>
      </c>
      <c r="G3207" s="1" t="s">
        <v>86</v>
      </c>
      <c r="H3207" t="s">
        <v>350</v>
      </c>
      <c r="I3207">
        <v>2007</v>
      </c>
      <c r="K3207" t="s">
        <v>101</v>
      </c>
      <c r="L3207">
        <v>30</v>
      </c>
      <c r="M3207">
        <v>7.8499999999999993E-3</v>
      </c>
      <c r="N3207" t="s">
        <v>121</v>
      </c>
      <c r="O3207" t="s">
        <v>121</v>
      </c>
      <c r="P3207" t="s">
        <v>1591</v>
      </c>
      <c r="Q3207" s="1" t="s">
        <v>2276</v>
      </c>
      <c r="R3207" s="1" t="s">
        <v>755</v>
      </c>
      <c r="S3207" s="1" t="s">
        <v>2352</v>
      </c>
      <c r="T3207" t="s">
        <v>421</v>
      </c>
      <c r="U3207" t="s">
        <v>421</v>
      </c>
      <c r="V3207" t="s">
        <v>194</v>
      </c>
      <c r="W3207" t="s">
        <v>1591</v>
      </c>
      <c r="X3207" t="s">
        <v>161</v>
      </c>
      <c r="Y3207" t="s">
        <v>2272</v>
      </c>
      <c r="Z3207" t="s">
        <v>2272</v>
      </c>
      <c r="AA3207" t="s">
        <v>2272</v>
      </c>
      <c r="AB3207" t="s">
        <v>2272</v>
      </c>
      <c r="AC3207" s="1" t="s">
        <v>162</v>
      </c>
      <c r="AD3207" t="s">
        <v>2272</v>
      </c>
      <c r="AF3207" t="s">
        <v>49</v>
      </c>
      <c r="AG3207" t="s">
        <v>49</v>
      </c>
      <c r="AI3207" t="s">
        <v>49</v>
      </c>
      <c r="AM3207" s="1" t="s">
        <v>377</v>
      </c>
      <c r="AN3207" s="1" t="s">
        <v>154</v>
      </c>
      <c r="AP3207" s="1"/>
    </row>
    <row r="3208" spans="1:44" x14ac:dyDescent="0.2">
      <c r="A3208" t="s">
        <v>1778</v>
      </c>
      <c r="B3208" t="s">
        <v>1779</v>
      </c>
      <c r="C3208">
        <v>2011</v>
      </c>
      <c r="D3208" t="s">
        <v>811</v>
      </c>
      <c r="F3208" t="s">
        <v>1780</v>
      </c>
      <c r="G3208" s="1" t="s">
        <v>86</v>
      </c>
      <c r="H3208" t="s">
        <v>350</v>
      </c>
      <c r="I3208" t="s">
        <v>1308</v>
      </c>
      <c r="J3208">
        <v>1</v>
      </c>
      <c r="K3208" t="s">
        <v>101</v>
      </c>
      <c r="M3208">
        <v>7.8499999999999993E-3</v>
      </c>
      <c r="N3208" t="s">
        <v>121</v>
      </c>
      <c r="O3208" t="s">
        <v>121</v>
      </c>
      <c r="P3208" t="s">
        <v>1591</v>
      </c>
      <c r="Q3208" s="1" t="s">
        <v>2276</v>
      </c>
      <c r="R3208" s="1" t="s">
        <v>755</v>
      </c>
      <c r="S3208" s="1" t="s">
        <v>2352</v>
      </c>
      <c r="T3208" t="s">
        <v>421</v>
      </c>
      <c r="U3208" t="s">
        <v>421</v>
      </c>
      <c r="V3208" t="s">
        <v>194</v>
      </c>
      <c r="W3208" t="s">
        <v>1591</v>
      </c>
      <c r="X3208" t="s">
        <v>161</v>
      </c>
      <c r="Y3208" t="s">
        <v>2272</v>
      </c>
      <c r="Z3208" t="s">
        <v>2272</v>
      </c>
      <c r="AA3208" t="s">
        <v>2272</v>
      </c>
      <c r="AB3208" t="s">
        <v>2272</v>
      </c>
      <c r="AC3208" s="1" t="s">
        <v>162</v>
      </c>
      <c r="AD3208" t="s">
        <v>2272</v>
      </c>
      <c r="AF3208" t="s">
        <v>49</v>
      </c>
      <c r="AG3208" t="s">
        <v>49</v>
      </c>
      <c r="AI3208" t="s">
        <v>49</v>
      </c>
      <c r="AM3208" s="1" t="s">
        <v>377</v>
      </c>
      <c r="AN3208" s="1" t="s">
        <v>165</v>
      </c>
      <c r="AP3208" s="1" t="s">
        <v>49</v>
      </c>
    </row>
    <row r="3209" spans="1:44" x14ac:dyDescent="0.2">
      <c r="A3209" t="s">
        <v>1778</v>
      </c>
      <c r="B3209" t="s">
        <v>1779</v>
      </c>
      <c r="C3209">
        <v>2011</v>
      </c>
      <c r="D3209" t="s">
        <v>811</v>
      </c>
      <c r="F3209" t="s">
        <v>1780</v>
      </c>
      <c r="G3209" s="1" t="s">
        <v>86</v>
      </c>
      <c r="H3209" t="s">
        <v>350</v>
      </c>
      <c r="I3209" t="s">
        <v>1308</v>
      </c>
      <c r="J3209">
        <v>1</v>
      </c>
      <c r="K3209" t="s">
        <v>101</v>
      </c>
      <c r="M3209">
        <v>7.8499999999999993E-3</v>
      </c>
      <c r="N3209" t="s">
        <v>121</v>
      </c>
      <c r="O3209" t="s">
        <v>121</v>
      </c>
      <c r="P3209" t="s">
        <v>1591</v>
      </c>
      <c r="Q3209" s="1" t="s">
        <v>2276</v>
      </c>
      <c r="R3209" s="1" t="s">
        <v>755</v>
      </c>
      <c r="S3209" s="1" t="s">
        <v>2352</v>
      </c>
      <c r="T3209" t="s">
        <v>421</v>
      </c>
      <c r="U3209" t="s">
        <v>421</v>
      </c>
      <c r="V3209" t="s">
        <v>194</v>
      </c>
      <c r="W3209" t="s">
        <v>1591</v>
      </c>
      <c r="X3209" t="s">
        <v>161</v>
      </c>
      <c r="Y3209" t="s">
        <v>2272</v>
      </c>
      <c r="Z3209" t="s">
        <v>2272</v>
      </c>
      <c r="AA3209" t="s">
        <v>2272</v>
      </c>
      <c r="AB3209" t="s">
        <v>2272</v>
      </c>
      <c r="AC3209" s="1" t="s">
        <v>162</v>
      </c>
      <c r="AD3209" t="s">
        <v>2272</v>
      </c>
      <c r="AF3209" t="s">
        <v>49</v>
      </c>
      <c r="AG3209" t="s">
        <v>49</v>
      </c>
      <c r="AI3209" t="s">
        <v>49</v>
      </c>
      <c r="AM3209" s="1" t="s">
        <v>377</v>
      </c>
      <c r="AN3209" s="1" t="s">
        <v>166</v>
      </c>
      <c r="AP3209" s="1" t="s">
        <v>49</v>
      </c>
    </row>
    <row r="3210" spans="1:44" x14ac:dyDescent="0.2">
      <c r="A3210" t="s">
        <v>1778</v>
      </c>
      <c r="B3210" t="s">
        <v>1779</v>
      </c>
      <c r="C3210">
        <v>2011</v>
      </c>
      <c r="D3210" t="s">
        <v>811</v>
      </c>
      <c r="F3210" t="s">
        <v>1780</v>
      </c>
      <c r="G3210" s="1" t="s">
        <v>86</v>
      </c>
      <c r="H3210" t="s">
        <v>350</v>
      </c>
      <c r="I3210" t="s">
        <v>1308</v>
      </c>
      <c r="J3210">
        <v>1</v>
      </c>
      <c r="K3210" t="s">
        <v>101</v>
      </c>
      <c r="M3210">
        <v>7.8499999999999993E-3</v>
      </c>
      <c r="N3210" t="s">
        <v>121</v>
      </c>
      <c r="O3210" t="s">
        <v>121</v>
      </c>
      <c r="P3210" t="s">
        <v>1591</v>
      </c>
      <c r="Q3210" s="1" t="s">
        <v>2276</v>
      </c>
      <c r="R3210" s="1" t="s">
        <v>755</v>
      </c>
      <c r="S3210" s="1" t="s">
        <v>2352</v>
      </c>
      <c r="T3210" t="s">
        <v>421</v>
      </c>
      <c r="U3210" t="s">
        <v>421</v>
      </c>
      <c r="V3210" t="s">
        <v>194</v>
      </c>
      <c r="W3210" t="s">
        <v>1591</v>
      </c>
      <c r="X3210" t="s">
        <v>161</v>
      </c>
      <c r="Y3210" t="s">
        <v>2272</v>
      </c>
      <c r="Z3210" t="s">
        <v>2272</v>
      </c>
      <c r="AA3210" t="s">
        <v>2272</v>
      </c>
      <c r="AB3210" t="s">
        <v>2272</v>
      </c>
      <c r="AC3210" s="1" t="s">
        <v>162</v>
      </c>
      <c r="AD3210" t="s">
        <v>2272</v>
      </c>
      <c r="AF3210" t="s">
        <v>49</v>
      </c>
      <c r="AG3210" t="s">
        <v>49</v>
      </c>
      <c r="AI3210" t="s">
        <v>49</v>
      </c>
      <c r="AM3210" s="1" t="s">
        <v>377</v>
      </c>
      <c r="AN3210" s="1" t="s">
        <v>154</v>
      </c>
      <c r="AP3210" s="1" t="s">
        <v>49</v>
      </c>
    </row>
    <row r="3211" spans="1:44" x14ac:dyDescent="0.2">
      <c r="A3211" t="s">
        <v>1781</v>
      </c>
      <c r="B3211" t="s">
        <v>1782</v>
      </c>
      <c r="C3211">
        <v>2011</v>
      </c>
      <c r="D3211" t="s">
        <v>44</v>
      </c>
      <c r="F3211" t="s">
        <v>81</v>
      </c>
      <c r="G3211" s="1" t="s">
        <v>91</v>
      </c>
      <c r="H3211" t="s">
        <v>96</v>
      </c>
      <c r="I3211">
        <v>2010</v>
      </c>
      <c r="K3211" t="s">
        <v>101</v>
      </c>
      <c r="L3211">
        <v>200</v>
      </c>
      <c r="N3211" t="s">
        <v>121</v>
      </c>
      <c r="O3211" t="s">
        <v>1785</v>
      </c>
      <c r="P3211" t="s">
        <v>1787</v>
      </c>
      <c r="Q3211" s="1" t="s">
        <v>2292</v>
      </c>
      <c r="R3211" s="1" t="s">
        <v>264</v>
      </c>
      <c r="S3211" s="1" t="s">
        <v>264</v>
      </c>
      <c r="X3211" t="s">
        <v>189</v>
      </c>
      <c r="Y3211" t="s">
        <v>2279</v>
      </c>
      <c r="Z3211" t="s">
        <v>2280</v>
      </c>
      <c r="AA3211" t="s">
        <v>2358</v>
      </c>
      <c r="AB3211" t="s">
        <v>189</v>
      </c>
      <c r="AC3211" s="1" t="s">
        <v>152</v>
      </c>
      <c r="AD3211" t="s">
        <v>2278</v>
      </c>
      <c r="AE3211" s="1" t="s">
        <v>415</v>
      </c>
      <c r="AF3211" s="1"/>
      <c r="AG3211" s="1"/>
      <c r="AH3211" s="2"/>
      <c r="AI3211" s="1"/>
      <c r="AJ3211" s="1"/>
      <c r="AK3211" s="1"/>
      <c r="AL3211" s="1"/>
      <c r="AR3211">
        <v>1</v>
      </c>
    </row>
    <row r="3212" spans="1:44" x14ac:dyDescent="0.2">
      <c r="A3212" t="s">
        <v>1781</v>
      </c>
      <c r="B3212" t="s">
        <v>1782</v>
      </c>
      <c r="C3212">
        <v>2011</v>
      </c>
      <c r="D3212" t="s">
        <v>44</v>
      </c>
      <c r="F3212" t="s">
        <v>81</v>
      </c>
      <c r="G3212" s="1" t="s">
        <v>91</v>
      </c>
      <c r="H3212" t="s">
        <v>96</v>
      </c>
      <c r="I3212" t="s">
        <v>1535</v>
      </c>
      <c r="J3212">
        <v>1</v>
      </c>
      <c r="K3212" t="s">
        <v>104</v>
      </c>
      <c r="L3212">
        <v>200</v>
      </c>
      <c r="M3212">
        <v>0.01</v>
      </c>
      <c r="N3212" t="s">
        <v>121</v>
      </c>
      <c r="O3212" t="s">
        <v>1785</v>
      </c>
      <c r="P3212" t="s">
        <v>1786</v>
      </c>
      <c r="Q3212" s="1" t="s">
        <v>2292</v>
      </c>
      <c r="R3212" s="1" t="s">
        <v>264</v>
      </c>
      <c r="S3212" s="1" t="s">
        <v>264</v>
      </c>
      <c r="X3212" t="s">
        <v>189</v>
      </c>
      <c r="Y3212" t="s">
        <v>2279</v>
      </c>
      <c r="Z3212" t="s">
        <v>2280</v>
      </c>
      <c r="AA3212" t="s">
        <v>2358</v>
      </c>
      <c r="AB3212" t="s">
        <v>189</v>
      </c>
      <c r="AC3212" s="1" t="s">
        <v>152</v>
      </c>
      <c r="AD3212" t="s">
        <v>2278</v>
      </c>
      <c r="AE3212" s="1" t="s">
        <v>415</v>
      </c>
      <c r="AF3212" s="1"/>
      <c r="AG3212" s="1"/>
      <c r="AH3212" s="2"/>
      <c r="AI3212" s="1"/>
      <c r="AJ3212" s="1"/>
      <c r="AK3212" s="1"/>
      <c r="AL3212" s="1"/>
      <c r="AR3212">
        <v>1</v>
      </c>
    </row>
    <row r="3213" spans="1:44" x14ac:dyDescent="0.2">
      <c r="A3213" t="s">
        <v>1781</v>
      </c>
      <c r="B3213" t="s">
        <v>1782</v>
      </c>
      <c r="C3213">
        <v>2011</v>
      </c>
      <c r="D3213" t="s">
        <v>44</v>
      </c>
      <c r="F3213" t="s">
        <v>81</v>
      </c>
      <c r="G3213" s="1" t="s">
        <v>91</v>
      </c>
      <c r="H3213" t="s">
        <v>96</v>
      </c>
      <c r="I3213" t="s">
        <v>1535</v>
      </c>
      <c r="J3213">
        <v>1</v>
      </c>
      <c r="K3213" t="s">
        <v>104</v>
      </c>
      <c r="L3213">
        <v>200</v>
      </c>
      <c r="M3213">
        <v>0.01</v>
      </c>
      <c r="N3213" t="s">
        <v>121</v>
      </c>
      <c r="O3213" t="s">
        <v>1785</v>
      </c>
      <c r="P3213" t="s">
        <v>1786</v>
      </c>
      <c r="Q3213" s="1" t="s">
        <v>2292</v>
      </c>
      <c r="R3213" s="1" t="s">
        <v>264</v>
      </c>
      <c r="S3213" s="1" t="s">
        <v>264</v>
      </c>
      <c r="X3213" t="s">
        <v>338</v>
      </c>
      <c r="Y3213" t="s">
        <v>2273</v>
      </c>
      <c r="Z3213" t="s">
        <v>249</v>
      </c>
      <c r="AA3213" t="s">
        <v>2359</v>
      </c>
      <c r="AB3213" t="s">
        <v>1419</v>
      </c>
      <c r="AC3213" s="1" t="s">
        <v>152</v>
      </c>
      <c r="AD3213" t="s">
        <v>137</v>
      </c>
      <c r="AE3213" s="1" t="s">
        <v>415</v>
      </c>
      <c r="AF3213" s="1"/>
      <c r="AG3213" s="1"/>
      <c r="AH3213" s="2"/>
      <c r="AI3213" s="1"/>
      <c r="AJ3213" s="1"/>
      <c r="AK3213" s="1"/>
      <c r="AL3213" s="1"/>
      <c r="AR3213">
        <v>1</v>
      </c>
    </row>
    <row r="3214" spans="1:44" x14ac:dyDescent="0.2">
      <c r="A3214" t="s">
        <v>1781</v>
      </c>
      <c r="B3214" t="s">
        <v>1782</v>
      </c>
      <c r="C3214">
        <v>2011</v>
      </c>
      <c r="D3214" t="s">
        <v>44</v>
      </c>
      <c r="F3214" t="s">
        <v>81</v>
      </c>
      <c r="G3214" s="1" t="s">
        <v>91</v>
      </c>
      <c r="H3214" t="s">
        <v>96</v>
      </c>
      <c r="I3214" t="s">
        <v>1535</v>
      </c>
      <c r="J3214">
        <v>1</v>
      </c>
      <c r="K3214" t="s">
        <v>104</v>
      </c>
      <c r="L3214">
        <v>200</v>
      </c>
      <c r="M3214">
        <v>0.01</v>
      </c>
      <c r="N3214" t="s">
        <v>121</v>
      </c>
      <c r="O3214" t="s">
        <v>1785</v>
      </c>
      <c r="P3214" t="s">
        <v>1786</v>
      </c>
      <c r="Q3214" s="1" t="s">
        <v>2292</v>
      </c>
      <c r="R3214" s="1" t="s">
        <v>264</v>
      </c>
      <c r="S3214" s="1" t="s">
        <v>264</v>
      </c>
      <c r="X3214" t="s">
        <v>1764</v>
      </c>
      <c r="Y3214" t="s">
        <v>2273</v>
      </c>
      <c r="Z3214" t="s">
        <v>249</v>
      </c>
      <c r="AA3214" t="s">
        <v>2359</v>
      </c>
      <c r="AB3214" t="s">
        <v>1979</v>
      </c>
      <c r="AC3214" s="1" t="s">
        <v>152</v>
      </c>
      <c r="AD3214" t="s">
        <v>2288</v>
      </c>
      <c r="AR3214">
        <v>1</v>
      </c>
    </row>
    <row r="3215" spans="1:44" x14ac:dyDescent="0.2">
      <c r="A3215" t="s">
        <v>1781</v>
      </c>
      <c r="B3215" t="s">
        <v>1782</v>
      </c>
      <c r="C3215">
        <v>2011</v>
      </c>
      <c r="D3215" t="s">
        <v>44</v>
      </c>
      <c r="F3215" t="s">
        <v>81</v>
      </c>
      <c r="G3215" s="1" t="s">
        <v>91</v>
      </c>
      <c r="H3215" t="s">
        <v>96</v>
      </c>
      <c r="I3215" t="s">
        <v>1535</v>
      </c>
      <c r="J3215">
        <v>1</v>
      </c>
      <c r="K3215" t="s">
        <v>104</v>
      </c>
      <c r="L3215">
        <v>200</v>
      </c>
      <c r="M3215">
        <v>0.01</v>
      </c>
      <c r="N3215" t="s">
        <v>121</v>
      </c>
      <c r="O3215" t="s">
        <v>1785</v>
      </c>
      <c r="P3215" t="s">
        <v>1786</v>
      </c>
      <c r="Q3215" s="1" t="s">
        <v>2292</v>
      </c>
      <c r="R3215" s="1" t="s">
        <v>264</v>
      </c>
      <c r="S3215" s="1" t="s">
        <v>264</v>
      </c>
      <c r="X3215" t="s">
        <v>287</v>
      </c>
      <c r="Y3215" t="s">
        <v>2273</v>
      </c>
      <c r="Z3215" t="s">
        <v>249</v>
      </c>
      <c r="AA3215" t="s">
        <v>2359</v>
      </c>
      <c r="AB3215" t="s">
        <v>1979</v>
      </c>
      <c r="AC3215" s="1" t="s">
        <v>152</v>
      </c>
      <c r="AD3215" t="s">
        <v>2288</v>
      </c>
      <c r="AE3215" s="1" t="s">
        <v>415</v>
      </c>
      <c r="AF3215" s="1"/>
      <c r="AG3215" s="1"/>
      <c r="AH3215" s="2"/>
      <c r="AI3215" s="1"/>
      <c r="AJ3215" s="1"/>
      <c r="AK3215" s="1"/>
      <c r="AL3215" s="1"/>
      <c r="AR3215">
        <v>1</v>
      </c>
    </row>
    <row r="3216" spans="1:44" x14ac:dyDescent="0.2">
      <c r="A3216" t="s">
        <v>1781</v>
      </c>
      <c r="B3216" t="s">
        <v>1782</v>
      </c>
      <c r="C3216">
        <v>2011</v>
      </c>
      <c r="D3216" t="s">
        <v>44</v>
      </c>
      <c r="F3216" t="s">
        <v>81</v>
      </c>
      <c r="G3216" s="1" t="s">
        <v>91</v>
      </c>
      <c r="H3216" t="s">
        <v>96</v>
      </c>
      <c r="I3216">
        <v>2010</v>
      </c>
      <c r="K3216" t="s">
        <v>101</v>
      </c>
      <c r="L3216">
        <v>200</v>
      </c>
      <c r="M3216">
        <v>0</v>
      </c>
      <c r="N3216" t="s">
        <v>121</v>
      </c>
      <c r="O3216" t="s">
        <v>1785</v>
      </c>
      <c r="P3216" t="s">
        <v>1786</v>
      </c>
      <c r="Q3216" s="1" t="s">
        <v>2292</v>
      </c>
      <c r="R3216" s="1" t="s">
        <v>264</v>
      </c>
      <c r="S3216" s="1" t="s">
        <v>264</v>
      </c>
      <c r="X3216" t="s">
        <v>826</v>
      </c>
      <c r="Y3216" t="s">
        <v>2273</v>
      </c>
      <c r="Z3216" t="s">
        <v>249</v>
      </c>
      <c r="AA3216" t="s">
        <v>2359</v>
      </c>
      <c r="AB3216" t="s">
        <v>1419</v>
      </c>
      <c r="AC3216" s="1" t="s">
        <v>152</v>
      </c>
      <c r="AD3216" t="s">
        <v>137</v>
      </c>
      <c r="AR3216">
        <v>1</v>
      </c>
    </row>
    <row r="3217" spans="1:44" x14ac:dyDescent="0.2">
      <c r="A3217" t="s">
        <v>1781</v>
      </c>
      <c r="B3217" t="s">
        <v>1782</v>
      </c>
      <c r="C3217">
        <v>2011</v>
      </c>
      <c r="D3217" t="s">
        <v>44</v>
      </c>
      <c r="F3217" t="s">
        <v>81</v>
      </c>
      <c r="G3217" s="1" t="s">
        <v>91</v>
      </c>
      <c r="H3217" t="s">
        <v>96</v>
      </c>
      <c r="I3217">
        <v>2010</v>
      </c>
      <c r="K3217" t="s">
        <v>101</v>
      </c>
      <c r="L3217">
        <v>200</v>
      </c>
      <c r="M3217">
        <v>0.01</v>
      </c>
      <c r="N3217" t="s">
        <v>121</v>
      </c>
      <c r="O3217" t="s">
        <v>1785</v>
      </c>
      <c r="P3217" t="s">
        <v>1783</v>
      </c>
      <c r="Q3217" s="1" t="s">
        <v>2292</v>
      </c>
      <c r="R3217" s="1" t="s">
        <v>264</v>
      </c>
      <c r="S3217" s="1" t="s">
        <v>264</v>
      </c>
      <c r="T3217" t="s">
        <v>396</v>
      </c>
      <c r="U3217" t="s">
        <v>264</v>
      </c>
      <c r="X3217" t="s">
        <v>161</v>
      </c>
      <c r="Y3217" t="s">
        <v>2272</v>
      </c>
      <c r="Z3217" t="s">
        <v>2272</v>
      </c>
      <c r="AA3217" t="s">
        <v>2272</v>
      </c>
      <c r="AB3217" t="s">
        <v>2272</v>
      </c>
      <c r="AC3217" s="1" t="s">
        <v>162</v>
      </c>
      <c r="AD3217" t="s">
        <v>2272</v>
      </c>
      <c r="AF3217" s="1" t="s">
        <v>49</v>
      </c>
      <c r="AG3217" s="1" t="s">
        <v>49</v>
      </c>
      <c r="AI3217" s="1" t="s">
        <v>49</v>
      </c>
      <c r="AM3217" s="1" t="s">
        <v>368</v>
      </c>
      <c r="AN3217" s="1" t="s">
        <v>166</v>
      </c>
      <c r="AQ3217" s="5">
        <v>0</v>
      </c>
      <c r="AR3217">
        <v>1</v>
      </c>
    </row>
    <row r="3218" spans="1:44" x14ac:dyDescent="0.2">
      <c r="A3218" t="s">
        <v>1781</v>
      </c>
      <c r="B3218" t="s">
        <v>1782</v>
      </c>
      <c r="C3218">
        <v>2011</v>
      </c>
      <c r="D3218" t="s">
        <v>44</v>
      </c>
      <c r="F3218" t="s">
        <v>81</v>
      </c>
      <c r="G3218" s="1" t="s">
        <v>91</v>
      </c>
      <c r="H3218" t="s">
        <v>96</v>
      </c>
      <c r="I3218">
        <v>2010</v>
      </c>
      <c r="K3218" t="s">
        <v>101</v>
      </c>
      <c r="L3218">
        <v>200</v>
      </c>
      <c r="M3218">
        <v>0.01</v>
      </c>
      <c r="N3218" t="s">
        <v>121</v>
      </c>
      <c r="O3218" t="s">
        <v>1785</v>
      </c>
      <c r="P3218" t="s">
        <v>1784</v>
      </c>
      <c r="Q3218" s="1" t="s">
        <v>2292</v>
      </c>
      <c r="R3218" s="1" t="s">
        <v>264</v>
      </c>
      <c r="S3218" s="1" t="s">
        <v>264</v>
      </c>
      <c r="T3218" t="s">
        <v>396</v>
      </c>
      <c r="U3218" t="s">
        <v>264</v>
      </c>
      <c r="X3218" t="s">
        <v>161</v>
      </c>
      <c r="Y3218" t="s">
        <v>2272</v>
      </c>
      <c r="Z3218" t="s">
        <v>2272</v>
      </c>
      <c r="AA3218" t="s">
        <v>2272</v>
      </c>
      <c r="AB3218" t="s">
        <v>2272</v>
      </c>
      <c r="AC3218" s="1" t="s">
        <v>162</v>
      </c>
      <c r="AD3218" t="s">
        <v>2272</v>
      </c>
      <c r="AF3218" t="s">
        <v>49</v>
      </c>
      <c r="AG3218" s="1" t="s">
        <v>49</v>
      </c>
      <c r="AI3218" s="1" t="s">
        <v>49</v>
      </c>
      <c r="AM3218" s="1" t="s">
        <v>368</v>
      </c>
      <c r="AN3218" s="1" t="s">
        <v>166</v>
      </c>
      <c r="AQ3218" s="5">
        <v>0</v>
      </c>
      <c r="AR3218">
        <v>1</v>
      </c>
    </row>
    <row r="3219" spans="1:44" x14ac:dyDescent="0.2">
      <c r="A3219" t="s">
        <v>1781</v>
      </c>
      <c r="B3219" t="s">
        <v>1782</v>
      </c>
      <c r="C3219">
        <v>2011</v>
      </c>
      <c r="D3219" t="s">
        <v>44</v>
      </c>
      <c r="F3219" t="s">
        <v>81</v>
      </c>
      <c r="G3219" s="1" t="s">
        <v>91</v>
      </c>
      <c r="H3219" t="s">
        <v>96</v>
      </c>
      <c r="I3219">
        <v>2010</v>
      </c>
      <c r="K3219" t="s">
        <v>101</v>
      </c>
      <c r="L3219">
        <v>200</v>
      </c>
      <c r="M3219">
        <v>0.01</v>
      </c>
      <c r="N3219" t="s">
        <v>121</v>
      </c>
      <c r="O3219" t="s">
        <v>1785</v>
      </c>
      <c r="P3219" t="s">
        <v>1783</v>
      </c>
      <c r="Q3219" s="1" t="s">
        <v>2292</v>
      </c>
      <c r="R3219" s="1" t="s">
        <v>264</v>
      </c>
      <c r="S3219" s="1" t="s">
        <v>264</v>
      </c>
      <c r="T3219" t="s">
        <v>396</v>
      </c>
      <c r="U3219" t="s">
        <v>264</v>
      </c>
      <c r="X3219" t="s">
        <v>161</v>
      </c>
      <c r="Y3219" t="s">
        <v>2272</v>
      </c>
      <c r="Z3219" t="s">
        <v>2272</v>
      </c>
      <c r="AA3219" t="s">
        <v>2272</v>
      </c>
      <c r="AB3219" t="s">
        <v>2272</v>
      </c>
      <c r="AC3219" s="1" t="s">
        <v>162</v>
      </c>
      <c r="AD3219" t="s">
        <v>2272</v>
      </c>
      <c r="AF3219" t="s">
        <v>49</v>
      </c>
      <c r="AG3219" s="1" t="s">
        <v>49</v>
      </c>
      <c r="AI3219" s="1" t="s">
        <v>49</v>
      </c>
      <c r="AM3219" s="1" t="s">
        <v>368</v>
      </c>
      <c r="AN3219" s="1" t="s">
        <v>154</v>
      </c>
      <c r="AP3219" s="1"/>
      <c r="AQ3219" s="5">
        <v>1</v>
      </c>
      <c r="AR3219">
        <v>1</v>
      </c>
    </row>
    <row r="3220" spans="1:44" x14ac:dyDescent="0.2">
      <c r="A3220" t="s">
        <v>1781</v>
      </c>
      <c r="B3220" t="s">
        <v>1782</v>
      </c>
      <c r="C3220">
        <v>2011</v>
      </c>
      <c r="D3220" t="s">
        <v>44</v>
      </c>
      <c r="F3220" t="s">
        <v>81</v>
      </c>
      <c r="G3220" s="1" t="s">
        <v>91</v>
      </c>
      <c r="H3220" t="s">
        <v>96</v>
      </c>
      <c r="I3220">
        <v>2010</v>
      </c>
      <c r="K3220" t="s">
        <v>101</v>
      </c>
      <c r="L3220">
        <v>200</v>
      </c>
      <c r="M3220">
        <v>0.01</v>
      </c>
      <c r="N3220" t="s">
        <v>121</v>
      </c>
      <c r="O3220" t="s">
        <v>1785</v>
      </c>
      <c r="P3220" t="s">
        <v>1784</v>
      </c>
      <c r="Q3220" s="1" t="s">
        <v>2292</v>
      </c>
      <c r="R3220" s="1" t="s">
        <v>264</v>
      </c>
      <c r="S3220" s="1" t="s">
        <v>264</v>
      </c>
      <c r="T3220" t="s">
        <v>396</v>
      </c>
      <c r="U3220" t="s">
        <v>264</v>
      </c>
      <c r="X3220" t="s">
        <v>161</v>
      </c>
      <c r="Y3220" t="s">
        <v>2272</v>
      </c>
      <c r="Z3220" t="s">
        <v>2272</v>
      </c>
      <c r="AA3220" t="s">
        <v>2272</v>
      </c>
      <c r="AB3220" t="s">
        <v>2272</v>
      </c>
      <c r="AC3220" s="1" t="s">
        <v>162</v>
      </c>
      <c r="AD3220" t="s">
        <v>2272</v>
      </c>
      <c r="AF3220" t="s">
        <v>49</v>
      </c>
      <c r="AG3220" s="1" t="s">
        <v>49</v>
      </c>
      <c r="AI3220" s="1" t="s">
        <v>49</v>
      </c>
      <c r="AM3220" s="1" t="s">
        <v>368</v>
      </c>
      <c r="AN3220" s="1" t="s">
        <v>154</v>
      </c>
      <c r="AP3220" s="1"/>
      <c r="AQ3220" s="5">
        <v>2</v>
      </c>
      <c r="AR3220">
        <v>1</v>
      </c>
    </row>
    <row r="3221" spans="1:44" x14ac:dyDescent="0.2">
      <c r="A3221" t="s">
        <v>1781</v>
      </c>
      <c r="B3221" t="s">
        <v>1782</v>
      </c>
      <c r="C3221">
        <v>2011</v>
      </c>
      <c r="D3221" t="s">
        <v>44</v>
      </c>
      <c r="F3221" t="s">
        <v>81</v>
      </c>
      <c r="G3221" s="1" t="s">
        <v>91</v>
      </c>
      <c r="H3221" t="s">
        <v>96</v>
      </c>
      <c r="I3221">
        <v>2010</v>
      </c>
      <c r="K3221" t="s">
        <v>101</v>
      </c>
      <c r="L3221">
        <v>200</v>
      </c>
      <c r="M3221">
        <v>0.01</v>
      </c>
      <c r="N3221" t="s">
        <v>121</v>
      </c>
      <c r="O3221" t="s">
        <v>1785</v>
      </c>
      <c r="P3221" t="s">
        <v>1783</v>
      </c>
      <c r="Q3221" s="1" t="s">
        <v>2292</v>
      </c>
      <c r="R3221" s="1" t="s">
        <v>264</v>
      </c>
      <c r="S3221" s="1" t="s">
        <v>264</v>
      </c>
      <c r="T3221" t="s">
        <v>396</v>
      </c>
      <c r="U3221" t="s">
        <v>264</v>
      </c>
      <c r="X3221" t="s">
        <v>161</v>
      </c>
      <c r="Y3221" t="s">
        <v>2272</v>
      </c>
      <c r="Z3221" t="s">
        <v>2272</v>
      </c>
      <c r="AA3221" t="s">
        <v>2272</v>
      </c>
      <c r="AB3221" t="s">
        <v>2272</v>
      </c>
      <c r="AC3221" s="1" t="s">
        <v>162</v>
      </c>
      <c r="AD3221" t="s">
        <v>2272</v>
      </c>
      <c r="AF3221" t="s">
        <v>49</v>
      </c>
      <c r="AL3221" s="1" t="s">
        <v>49</v>
      </c>
      <c r="AM3221" s="1" t="s">
        <v>1788</v>
      </c>
      <c r="AN3221" s="1" t="s">
        <v>166</v>
      </c>
      <c r="AP3221" s="1"/>
      <c r="AQ3221" s="5">
        <v>1</v>
      </c>
      <c r="AR3221">
        <v>1</v>
      </c>
    </row>
    <row r="3222" spans="1:44" x14ac:dyDescent="0.2">
      <c r="A3222" t="s">
        <v>1781</v>
      </c>
      <c r="B3222" t="s">
        <v>1782</v>
      </c>
      <c r="C3222">
        <v>2011</v>
      </c>
      <c r="D3222" t="s">
        <v>44</v>
      </c>
      <c r="F3222" t="s">
        <v>81</v>
      </c>
      <c r="G3222" s="1" t="s">
        <v>91</v>
      </c>
      <c r="H3222" t="s">
        <v>96</v>
      </c>
      <c r="I3222">
        <v>2010</v>
      </c>
      <c r="K3222" t="s">
        <v>101</v>
      </c>
      <c r="L3222">
        <v>200</v>
      </c>
      <c r="M3222">
        <v>0.01</v>
      </c>
      <c r="N3222" t="s">
        <v>121</v>
      </c>
      <c r="O3222" t="s">
        <v>1785</v>
      </c>
      <c r="P3222" t="s">
        <v>1784</v>
      </c>
      <c r="Q3222" s="1" t="s">
        <v>2292</v>
      </c>
      <c r="R3222" s="1" t="s">
        <v>264</v>
      </c>
      <c r="S3222" s="1" t="s">
        <v>264</v>
      </c>
      <c r="T3222" t="s">
        <v>396</v>
      </c>
      <c r="U3222" t="s">
        <v>264</v>
      </c>
      <c r="X3222" t="s">
        <v>161</v>
      </c>
      <c r="Y3222" t="s">
        <v>2272</v>
      </c>
      <c r="Z3222" t="s">
        <v>2272</v>
      </c>
      <c r="AA3222" t="s">
        <v>2272</v>
      </c>
      <c r="AB3222" t="s">
        <v>2272</v>
      </c>
      <c r="AC3222" s="1" t="s">
        <v>162</v>
      </c>
      <c r="AD3222" t="s">
        <v>2272</v>
      </c>
      <c r="AF3222" t="s">
        <v>49</v>
      </c>
      <c r="AL3222" s="1" t="s">
        <v>49</v>
      </c>
      <c r="AM3222" s="1" t="s">
        <v>1788</v>
      </c>
      <c r="AN3222" s="1" t="s">
        <v>166</v>
      </c>
      <c r="AP3222" s="1"/>
      <c r="AQ3222" s="5">
        <v>2</v>
      </c>
      <c r="AR3222">
        <v>1</v>
      </c>
    </row>
    <row r="3223" spans="1:44" x14ac:dyDescent="0.2">
      <c r="A3223" t="s">
        <v>1781</v>
      </c>
      <c r="B3223" t="s">
        <v>1782</v>
      </c>
      <c r="C3223">
        <v>2011</v>
      </c>
      <c r="D3223" t="s">
        <v>44</v>
      </c>
      <c r="F3223" t="s">
        <v>81</v>
      </c>
      <c r="G3223" s="1" t="s">
        <v>91</v>
      </c>
      <c r="H3223" t="s">
        <v>96</v>
      </c>
      <c r="I3223">
        <v>2010</v>
      </c>
      <c r="K3223" t="s">
        <v>101</v>
      </c>
      <c r="L3223">
        <v>200</v>
      </c>
      <c r="M3223">
        <v>0.01</v>
      </c>
      <c r="N3223" t="s">
        <v>121</v>
      </c>
      <c r="O3223" t="s">
        <v>1785</v>
      </c>
      <c r="P3223" t="s">
        <v>1783</v>
      </c>
      <c r="Q3223" s="1" t="s">
        <v>2292</v>
      </c>
      <c r="R3223" s="1" t="s">
        <v>264</v>
      </c>
      <c r="S3223" s="1" t="s">
        <v>264</v>
      </c>
      <c r="T3223" t="s">
        <v>396</v>
      </c>
      <c r="U3223" t="s">
        <v>264</v>
      </c>
      <c r="X3223" t="s">
        <v>161</v>
      </c>
      <c r="Y3223" t="s">
        <v>2272</v>
      </c>
      <c r="Z3223" t="s">
        <v>2272</v>
      </c>
      <c r="AA3223" t="s">
        <v>2272</v>
      </c>
      <c r="AB3223" t="s">
        <v>2272</v>
      </c>
      <c r="AC3223" s="1" t="s">
        <v>162</v>
      </c>
      <c r="AD3223" t="s">
        <v>2272</v>
      </c>
      <c r="AF3223" t="s">
        <v>49</v>
      </c>
      <c r="AL3223" s="1" t="s">
        <v>49</v>
      </c>
      <c r="AM3223" s="1" t="s">
        <v>1789</v>
      </c>
      <c r="AN3223" s="1" t="s">
        <v>166</v>
      </c>
      <c r="AP3223" s="1"/>
      <c r="AQ3223" s="5">
        <v>2</v>
      </c>
      <c r="AR3223">
        <v>1</v>
      </c>
    </row>
    <row r="3224" spans="1:44" x14ac:dyDescent="0.2">
      <c r="A3224" t="s">
        <v>1781</v>
      </c>
      <c r="B3224" t="s">
        <v>1782</v>
      </c>
      <c r="C3224">
        <v>2011</v>
      </c>
      <c r="D3224" t="s">
        <v>44</v>
      </c>
      <c r="F3224" t="s">
        <v>81</v>
      </c>
      <c r="G3224" s="1" t="s">
        <v>91</v>
      </c>
      <c r="H3224" t="s">
        <v>96</v>
      </c>
      <c r="I3224">
        <v>2010</v>
      </c>
      <c r="K3224" t="s">
        <v>101</v>
      </c>
      <c r="L3224">
        <v>200</v>
      </c>
      <c r="M3224">
        <v>0.01</v>
      </c>
      <c r="N3224" t="s">
        <v>121</v>
      </c>
      <c r="O3224" t="s">
        <v>1785</v>
      </c>
      <c r="P3224" t="s">
        <v>1784</v>
      </c>
      <c r="Q3224" s="1" t="s">
        <v>2292</v>
      </c>
      <c r="R3224" s="1" t="s">
        <v>264</v>
      </c>
      <c r="S3224" s="1" t="s">
        <v>264</v>
      </c>
      <c r="T3224" t="s">
        <v>396</v>
      </c>
      <c r="U3224" t="s">
        <v>264</v>
      </c>
      <c r="X3224" t="s">
        <v>161</v>
      </c>
      <c r="Y3224" t="s">
        <v>2272</v>
      </c>
      <c r="Z3224" t="s">
        <v>2272</v>
      </c>
      <c r="AA3224" t="s">
        <v>2272</v>
      </c>
      <c r="AB3224" t="s">
        <v>2272</v>
      </c>
      <c r="AC3224" s="1" t="s">
        <v>162</v>
      </c>
      <c r="AD3224" t="s">
        <v>2272</v>
      </c>
      <c r="AF3224" t="s">
        <v>49</v>
      </c>
      <c r="AL3224" s="1" t="s">
        <v>49</v>
      </c>
      <c r="AM3224" s="1" t="s">
        <v>1789</v>
      </c>
      <c r="AN3224" s="1" t="s">
        <v>166</v>
      </c>
      <c r="AP3224" s="1"/>
      <c r="AQ3224" s="5">
        <v>1</v>
      </c>
      <c r="AR3224">
        <v>1</v>
      </c>
    </row>
    <row r="3225" spans="1:44" x14ac:dyDescent="0.2">
      <c r="A3225" t="s">
        <v>1781</v>
      </c>
      <c r="B3225" t="s">
        <v>1782</v>
      </c>
      <c r="C3225">
        <v>2011</v>
      </c>
      <c r="D3225" t="s">
        <v>44</v>
      </c>
      <c r="F3225" t="s">
        <v>81</v>
      </c>
      <c r="G3225" s="1" t="s">
        <v>91</v>
      </c>
      <c r="H3225" t="s">
        <v>96</v>
      </c>
      <c r="I3225">
        <v>2010</v>
      </c>
      <c r="K3225" t="s">
        <v>101</v>
      </c>
      <c r="L3225">
        <v>200</v>
      </c>
      <c r="M3225">
        <v>0.01</v>
      </c>
      <c r="N3225" t="s">
        <v>121</v>
      </c>
      <c r="O3225" t="s">
        <v>1785</v>
      </c>
      <c r="P3225" t="s">
        <v>1783</v>
      </c>
      <c r="Q3225" s="1" t="s">
        <v>2292</v>
      </c>
      <c r="R3225" s="1" t="s">
        <v>264</v>
      </c>
      <c r="S3225" s="1" t="s">
        <v>264</v>
      </c>
      <c r="T3225" t="s">
        <v>396</v>
      </c>
      <c r="U3225" t="s">
        <v>264</v>
      </c>
      <c r="X3225" t="s">
        <v>161</v>
      </c>
      <c r="Y3225" t="s">
        <v>2272</v>
      </c>
      <c r="Z3225" t="s">
        <v>2272</v>
      </c>
      <c r="AA3225" t="s">
        <v>2272</v>
      </c>
      <c r="AB3225" t="s">
        <v>2272</v>
      </c>
      <c r="AC3225" s="1" t="s">
        <v>162</v>
      </c>
      <c r="AD3225" t="s">
        <v>2272</v>
      </c>
      <c r="AF3225" t="s">
        <v>49</v>
      </c>
      <c r="AK3225" s="1" t="s">
        <v>49</v>
      </c>
      <c r="AM3225" s="1" t="s">
        <v>1790</v>
      </c>
      <c r="AN3225" s="1" t="s">
        <v>166</v>
      </c>
      <c r="AP3225" s="1"/>
      <c r="AQ3225" s="5">
        <v>1</v>
      </c>
      <c r="AR3225">
        <v>1</v>
      </c>
    </row>
    <row r="3226" spans="1:44" x14ac:dyDescent="0.2">
      <c r="A3226" t="s">
        <v>1781</v>
      </c>
      <c r="B3226" t="s">
        <v>1782</v>
      </c>
      <c r="C3226">
        <v>2011</v>
      </c>
      <c r="D3226" t="s">
        <v>44</v>
      </c>
      <c r="F3226" t="s">
        <v>81</v>
      </c>
      <c r="G3226" s="1" t="s">
        <v>91</v>
      </c>
      <c r="H3226" t="s">
        <v>96</v>
      </c>
      <c r="I3226">
        <v>2010</v>
      </c>
      <c r="K3226" t="s">
        <v>101</v>
      </c>
      <c r="L3226">
        <v>200</v>
      </c>
      <c r="M3226">
        <v>0.01</v>
      </c>
      <c r="N3226" t="s">
        <v>121</v>
      </c>
      <c r="O3226" t="s">
        <v>1785</v>
      </c>
      <c r="P3226" t="s">
        <v>1784</v>
      </c>
      <c r="Q3226" s="1" t="s">
        <v>2292</v>
      </c>
      <c r="R3226" s="1" t="s">
        <v>264</v>
      </c>
      <c r="S3226" s="1" t="s">
        <v>264</v>
      </c>
      <c r="T3226" t="s">
        <v>396</v>
      </c>
      <c r="U3226" t="s">
        <v>264</v>
      </c>
      <c r="X3226" t="s">
        <v>161</v>
      </c>
      <c r="Y3226" t="s">
        <v>2272</v>
      </c>
      <c r="Z3226" t="s">
        <v>2272</v>
      </c>
      <c r="AA3226" t="s">
        <v>2272</v>
      </c>
      <c r="AB3226" t="s">
        <v>2272</v>
      </c>
      <c r="AC3226" s="1" t="s">
        <v>162</v>
      </c>
      <c r="AD3226" t="s">
        <v>2272</v>
      </c>
      <c r="AF3226" t="s">
        <v>49</v>
      </c>
      <c r="AK3226" s="1" t="s">
        <v>49</v>
      </c>
      <c r="AM3226" s="1" t="s">
        <v>1790</v>
      </c>
      <c r="AN3226" s="1" t="s">
        <v>166</v>
      </c>
      <c r="AP3226" s="1"/>
      <c r="AQ3226" s="5">
        <v>2</v>
      </c>
      <c r="AR3226">
        <v>1</v>
      </c>
    </row>
    <row r="3227" spans="1:44" x14ac:dyDescent="0.2">
      <c r="A3227" t="s">
        <v>1781</v>
      </c>
      <c r="B3227" t="s">
        <v>1782</v>
      </c>
      <c r="C3227">
        <v>2011</v>
      </c>
      <c r="D3227" t="s">
        <v>44</v>
      </c>
      <c r="F3227" t="s">
        <v>81</v>
      </c>
      <c r="G3227" s="1" t="s">
        <v>91</v>
      </c>
      <c r="H3227" t="s">
        <v>96</v>
      </c>
      <c r="I3227">
        <v>2010</v>
      </c>
      <c r="K3227" t="s">
        <v>101</v>
      </c>
      <c r="L3227">
        <v>200</v>
      </c>
      <c r="M3227">
        <v>0.01</v>
      </c>
      <c r="N3227" t="s">
        <v>121</v>
      </c>
      <c r="O3227" t="s">
        <v>1785</v>
      </c>
      <c r="P3227" t="s">
        <v>1783</v>
      </c>
      <c r="Q3227" s="1" t="s">
        <v>2292</v>
      </c>
      <c r="R3227" s="1" t="s">
        <v>264</v>
      </c>
      <c r="S3227" s="1" t="s">
        <v>264</v>
      </c>
      <c r="T3227" t="s">
        <v>396</v>
      </c>
      <c r="U3227" t="s">
        <v>264</v>
      </c>
      <c r="X3227" t="s">
        <v>161</v>
      </c>
      <c r="Y3227" t="s">
        <v>2272</v>
      </c>
      <c r="Z3227" t="s">
        <v>2272</v>
      </c>
      <c r="AA3227" t="s">
        <v>2272</v>
      </c>
      <c r="AB3227" t="s">
        <v>2272</v>
      </c>
      <c r="AC3227" s="1" t="s">
        <v>162</v>
      </c>
      <c r="AD3227" t="s">
        <v>2272</v>
      </c>
      <c r="AF3227" t="s">
        <v>49</v>
      </c>
      <c r="AK3227" s="1" t="s">
        <v>49</v>
      </c>
      <c r="AM3227" s="1" t="s">
        <v>406</v>
      </c>
      <c r="AN3227" s="1" t="s">
        <v>166</v>
      </c>
      <c r="AP3227" s="1"/>
      <c r="AQ3227" s="5">
        <v>2</v>
      </c>
      <c r="AR3227">
        <v>1</v>
      </c>
    </row>
    <row r="3228" spans="1:44" x14ac:dyDescent="0.2">
      <c r="A3228" t="s">
        <v>1781</v>
      </c>
      <c r="B3228" t="s">
        <v>1782</v>
      </c>
      <c r="C3228">
        <v>2011</v>
      </c>
      <c r="D3228" t="s">
        <v>44</v>
      </c>
      <c r="F3228" t="s">
        <v>81</v>
      </c>
      <c r="G3228" s="1" t="s">
        <v>91</v>
      </c>
      <c r="H3228" t="s">
        <v>96</v>
      </c>
      <c r="I3228">
        <v>2010</v>
      </c>
      <c r="K3228" t="s">
        <v>101</v>
      </c>
      <c r="L3228">
        <v>200</v>
      </c>
      <c r="M3228">
        <v>0.01</v>
      </c>
      <c r="N3228" t="s">
        <v>121</v>
      </c>
      <c r="O3228" t="s">
        <v>1785</v>
      </c>
      <c r="P3228" t="s">
        <v>1784</v>
      </c>
      <c r="Q3228" s="1" t="s">
        <v>2292</v>
      </c>
      <c r="R3228" s="1" t="s">
        <v>264</v>
      </c>
      <c r="S3228" s="1" t="s">
        <v>264</v>
      </c>
      <c r="T3228" t="s">
        <v>396</v>
      </c>
      <c r="U3228" t="s">
        <v>264</v>
      </c>
      <c r="X3228" t="s">
        <v>161</v>
      </c>
      <c r="Y3228" t="s">
        <v>2272</v>
      </c>
      <c r="Z3228" t="s">
        <v>2272</v>
      </c>
      <c r="AA3228" t="s">
        <v>2272</v>
      </c>
      <c r="AB3228" t="s">
        <v>2272</v>
      </c>
      <c r="AC3228" s="1" t="s">
        <v>162</v>
      </c>
      <c r="AD3228" t="s">
        <v>2272</v>
      </c>
      <c r="AF3228" t="s">
        <v>49</v>
      </c>
      <c r="AK3228" s="1" t="s">
        <v>49</v>
      </c>
      <c r="AM3228" s="1" t="s">
        <v>406</v>
      </c>
      <c r="AN3228" s="1" t="s">
        <v>166</v>
      </c>
      <c r="AP3228" s="1"/>
      <c r="AQ3228" s="5">
        <v>1</v>
      </c>
      <c r="AR3228">
        <v>1</v>
      </c>
    </row>
    <row r="3229" spans="1:44" x14ac:dyDescent="0.2">
      <c r="A3229" t="s">
        <v>1781</v>
      </c>
      <c r="B3229" t="s">
        <v>1782</v>
      </c>
      <c r="C3229">
        <v>2011</v>
      </c>
      <c r="D3229" t="s">
        <v>44</v>
      </c>
      <c r="F3229" t="s">
        <v>81</v>
      </c>
      <c r="G3229" s="1" t="s">
        <v>91</v>
      </c>
      <c r="H3229" t="s">
        <v>96</v>
      </c>
      <c r="I3229">
        <v>2010</v>
      </c>
      <c r="K3229" t="s">
        <v>101</v>
      </c>
      <c r="L3229">
        <v>200</v>
      </c>
      <c r="M3229">
        <v>0.01</v>
      </c>
      <c r="N3229" t="s">
        <v>121</v>
      </c>
      <c r="O3229" t="s">
        <v>1785</v>
      </c>
      <c r="P3229" t="s">
        <v>1783</v>
      </c>
      <c r="Q3229" s="1" t="s">
        <v>2292</v>
      </c>
      <c r="R3229" s="1" t="s">
        <v>264</v>
      </c>
      <c r="S3229" s="1" t="s">
        <v>264</v>
      </c>
      <c r="T3229" t="s">
        <v>396</v>
      </c>
      <c r="U3229" t="s">
        <v>264</v>
      </c>
      <c r="X3229" t="s">
        <v>161</v>
      </c>
      <c r="Y3229" t="s">
        <v>2272</v>
      </c>
      <c r="Z3229" t="s">
        <v>2272</v>
      </c>
      <c r="AA3229" t="s">
        <v>2272</v>
      </c>
      <c r="AB3229" t="s">
        <v>2272</v>
      </c>
      <c r="AC3229" s="1" t="s">
        <v>162</v>
      </c>
      <c r="AD3229" t="s">
        <v>2272</v>
      </c>
      <c r="AF3229" t="s">
        <v>49</v>
      </c>
      <c r="AI3229" s="1" t="s">
        <v>49</v>
      </c>
      <c r="AM3229" s="1" t="s">
        <v>377</v>
      </c>
      <c r="AN3229" s="1" t="s">
        <v>191</v>
      </c>
      <c r="AP3229" s="1" t="s">
        <v>49</v>
      </c>
      <c r="AR3229">
        <v>1</v>
      </c>
    </row>
    <row r="3230" spans="1:44" x14ac:dyDescent="0.2">
      <c r="A3230" t="s">
        <v>1781</v>
      </c>
      <c r="B3230" t="s">
        <v>1782</v>
      </c>
      <c r="C3230">
        <v>2011</v>
      </c>
      <c r="D3230" t="s">
        <v>44</v>
      </c>
      <c r="F3230" t="s">
        <v>81</v>
      </c>
      <c r="G3230" s="1" t="s">
        <v>91</v>
      </c>
      <c r="H3230" t="s">
        <v>96</v>
      </c>
      <c r="I3230">
        <v>2010</v>
      </c>
      <c r="K3230" t="s">
        <v>101</v>
      </c>
      <c r="L3230">
        <v>200</v>
      </c>
      <c r="M3230">
        <v>0.01</v>
      </c>
      <c r="N3230" t="s">
        <v>121</v>
      </c>
      <c r="O3230" t="s">
        <v>1785</v>
      </c>
      <c r="P3230" t="s">
        <v>1784</v>
      </c>
      <c r="Q3230" s="1" t="s">
        <v>2292</v>
      </c>
      <c r="R3230" s="1" t="s">
        <v>264</v>
      </c>
      <c r="S3230" s="1" t="s">
        <v>264</v>
      </c>
      <c r="T3230" t="s">
        <v>396</v>
      </c>
      <c r="U3230" t="s">
        <v>264</v>
      </c>
      <c r="X3230" t="s">
        <v>161</v>
      </c>
      <c r="Y3230" t="s">
        <v>2272</v>
      </c>
      <c r="Z3230" t="s">
        <v>2272</v>
      </c>
      <c r="AA3230" t="s">
        <v>2272</v>
      </c>
      <c r="AB3230" t="s">
        <v>2272</v>
      </c>
      <c r="AC3230" s="1" t="s">
        <v>162</v>
      </c>
      <c r="AD3230" t="s">
        <v>2272</v>
      </c>
      <c r="AF3230" t="s">
        <v>49</v>
      </c>
      <c r="AI3230" s="1" t="s">
        <v>49</v>
      </c>
      <c r="AM3230" s="1" t="s">
        <v>377</v>
      </c>
      <c r="AN3230" s="1" t="s">
        <v>191</v>
      </c>
      <c r="AP3230" s="1" t="s">
        <v>49</v>
      </c>
      <c r="AR3230">
        <v>1</v>
      </c>
    </row>
    <row r="3231" spans="1:44" x14ac:dyDescent="0.2">
      <c r="A3231" t="s">
        <v>1791</v>
      </c>
      <c r="B3231" t="s">
        <v>1792</v>
      </c>
      <c r="C3231">
        <v>2011</v>
      </c>
      <c r="D3231" t="s">
        <v>811</v>
      </c>
      <c r="F3231" t="s">
        <v>1793</v>
      </c>
      <c r="G3231" s="1" t="s">
        <v>87</v>
      </c>
      <c r="H3231" t="s">
        <v>350</v>
      </c>
      <c r="I3231" t="s">
        <v>1308</v>
      </c>
      <c r="J3231">
        <v>1</v>
      </c>
      <c r="K3231" t="s">
        <v>109</v>
      </c>
      <c r="L3231">
        <v>1100</v>
      </c>
      <c r="N3231" t="s">
        <v>122</v>
      </c>
      <c r="O3231" t="s">
        <v>122</v>
      </c>
      <c r="P3231" t="s">
        <v>1794</v>
      </c>
      <c r="Q3231" s="1" t="s">
        <v>2281</v>
      </c>
      <c r="R3231" s="1" t="s">
        <v>122</v>
      </c>
      <c r="S3231" s="1" t="s">
        <v>2294</v>
      </c>
      <c r="X3231" t="s">
        <v>223</v>
      </c>
      <c r="Y3231" t="s">
        <v>2279</v>
      </c>
      <c r="Z3231" t="s">
        <v>528</v>
      </c>
      <c r="AA3231" t="s">
        <v>2360</v>
      </c>
      <c r="AB3231" t="s">
        <v>2581</v>
      </c>
      <c r="AC3231" s="1" t="s">
        <v>152</v>
      </c>
      <c r="AD3231" t="s">
        <v>2278</v>
      </c>
      <c r="AH3231" s="2" t="s">
        <v>49</v>
      </c>
      <c r="AI3231" t="s">
        <v>49</v>
      </c>
      <c r="AM3231" s="1" t="s">
        <v>233</v>
      </c>
      <c r="AN3231" s="1" t="s">
        <v>154</v>
      </c>
      <c r="AP3231" s="1" t="s">
        <v>157</v>
      </c>
      <c r="AR3231">
        <v>1</v>
      </c>
    </row>
    <row r="3232" spans="1:44" x14ac:dyDescent="0.2">
      <c r="A3232" t="s">
        <v>1791</v>
      </c>
      <c r="B3232" t="s">
        <v>1792</v>
      </c>
      <c r="C3232">
        <v>2011</v>
      </c>
      <c r="D3232" t="s">
        <v>811</v>
      </c>
      <c r="F3232" t="s">
        <v>1793</v>
      </c>
      <c r="G3232" s="1" t="s">
        <v>87</v>
      </c>
      <c r="H3232" t="s">
        <v>350</v>
      </c>
      <c r="I3232" t="s">
        <v>1308</v>
      </c>
      <c r="J3232">
        <v>1</v>
      </c>
      <c r="K3232" t="s">
        <v>109</v>
      </c>
      <c r="L3232">
        <v>1100</v>
      </c>
      <c r="N3232" t="s">
        <v>122</v>
      </c>
      <c r="O3232" t="s">
        <v>122</v>
      </c>
      <c r="P3232" t="s">
        <v>1794</v>
      </c>
      <c r="Q3232" s="1" t="s">
        <v>2281</v>
      </c>
      <c r="R3232" s="1" t="s">
        <v>122</v>
      </c>
      <c r="S3232" s="1" t="s">
        <v>2294</v>
      </c>
      <c r="X3232" t="s">
        <v>223</v>
      </c>
      <c r="Y3232" t="s">
        <v>2279</v>
      </c>
      <c r="Z3232" t="s">
        <v>528</v>
      </c>
      <c r="AA3232" t="s">
        <v>2360</v>
      </c>
      <c r="AB3232" t="s">
        <v>2581</v>
      </c>
      <c r="AC3232" s="1" t="s">
        <v>152</v>
      </c>
      <c r="AD3232" t="s">
        <v>2278</v>
      </c>
      <c r="AH3232" s="2" t="s">
        <v>49</v>
      </c>
      <c r="AI3232" t="s">
        <v>49</v>
      </c>
      <c r="AM3232" s="1" t="s">
        <v>233</v>
      </c>
      <c r="AN3232" s="1" t="s">
        <v>166</v>
      </c>
      <c r="AP3232" s="1" t="s">
        <v>51</v>
      </c>
      <c r="AR3232">
        <v>1</v>
      </c>
    </row>
    <row r="3233" spans="1:44" x14ac:dyDescent="0.2">
      <c r="A3233" t="s">
        <v>1791</v>
      </c>
      <c r="B3233" t="s">
        <v>1792</v>
      </c>
      <c r="C3233">
        <v>2011</v>
      </c>
      <c r="D3233" t="s">
        <v>811</v>
      </c>
      <c r="F3233" t="s">
        <v>1793</v>
      </c>
      <c r="G3233" s="1" t="s">
        <v>87</v>
      </c>
      <c r="H3233" t="s">
        <v>350</v>
      </c>
      <c r="I3233" t="s">
        <v>1308</v>
      </c>
      <c r="J3233">
        <v>1</v>
      </c>
      <c r="K3233" t="s">
        <v>109</v>
      </c>
      <c r="L3233">
        <v>1100</v>
      </c>
      <c r="N3233" t="s">
        <v>122</v>
      </c>
      <c r="O3233" t="s">
        <v>122</v>
      </c>
      <c r="P3233" t="s">
        <v>1795</v>
      </c>
      <c r="Q3233" s="1" t="s">
        <v>2281</v>
      </c>
      <c r="R3233" s="1" t="s">
        <v>122</v>
      </c>
      <c r="S3233" s="1" t="s">
        <v>2294</v>
      </c>
      <c r="T3233" t="s">
        <v>396</v>
      </c>
      <c r="U3233" t="s">
        <v>2342</v>
      </c>
      <c r="X3233" t="s">
        <v>161</v>
      </c>
      <c r="Y3233" t="s">
        <v>2272</v>
      </c>
      <c r="Z3233" t="s">
        <v>2272</v>
      </c>
      <c r="AA3233" t="s">
        <v>2272</v>
      </c>
      <c r="AB3233" t="s">
        <v>2272</v>
      </c>
      <c r="AC3233" s="1" t="s">
        <v>162</v>
      </c>
      <c r="AD3233" t="s">
        <v>2272</v>
      </c>
      <c r="AH3233" s="2" t="s">
        <v>49</v>
      </c>
      <c r="AI3233" t="s">
        <v>49</v>
      </c>
      <c r="AM3233" s="1" t="s">
        <v>233</v>
      </c>
      <c r="AN3233" s="1" t="s">
        <v>154</v>
      </c>
      <c r="AP3233" s="1" t="s">
        <v>49</v>
      </c>
      <c r="AR3233">
        <v>1</v>
      </c>
    </row>
    <row r="3234" spans="1:44" x14ac:dyDescent="0.2">
      <c r="A3234" t="s">
        <v>1791</v>
      </c>
      <c r="B3234" t="s">
        <v>1792</v>
      </c>
      <c r="C3234">
        <v>2011</v>
      </c>
      <c r="D3234" t="s">
        <v>811</v>
      </c>
      <c r="F3234" t="s">
        <v>1793</v>
      </c>
      <c r="G3234" s="1" t="s">
        <v>87</v>
      </c>
      <c r="H3234" t="s">
        <v>350</v>
      </c>
      <c r="I3234" t="s">
        <v>1308</v>
      </c>
      <c r="J3234">
        <v>1</v>
      </c>
      <c r="K3234" t="s">
        <v>109</v>
      </c>
      <c r="L3234">
        <v>1100</v>
      </c>
      <c r="N3234" t="s">
        <v>122</v>
      </c>
      <c r="O3234" t="s">
        <v>122</v>
      </c>
      <c r="P3234" t="s">
        <v>1796</v>
      </c>
      <c r="Q3234" s="1" t="s">
        <v>2281</v>
      </c>
      <c r="R3234" s="1" t="s">
        <v>122</v>
      </c>
      <c r="S3234" s="1" t="s">
        <v>2294</v>
      </c>
      <c r="T3234" t="s">
        <v>396</v>
      </c>
      <c r="U3234" t="s">
        <v>2342</v>
      </c>
      <c r="X3234" t="s">
        <v>161</v>
      </c>
      <c r="Y3234" t="s">
        <v>2272</v>
      </c>
      <c r="Z3234" t="s">
        <v>2272</v>
      </c>
      <c r="AA3234" t="s">
        <v>2272</v>
      </c>
      <c r="AB3234" t="s">
        <v>2272</v>
      </c>
      <c r="AC3234" s="1" t="s">
        <v>162</v>
      </c>
      <c r="AD3234" t="s">
        <v>2272</v>
      </c>
      <c r="AH3234" s="2" t="s">
        <v>49</v>
      </c>
      <c r="AI3234" t="s">
        <v>49</v>
      </c>
      <c r="AM3234" s="1" t="s">
        <v>233</v>
      </c>
      <c r="AN3234" s="1" t="s">
        <v>154</v>
      </c>
      <c r="AP3234" s="1" t="s">
        <v>49</v>
      </c>
      <c r="AR3234">
        <v>1</v>
      </c>
    </row>
    <row r="3235" spans="1:44" x14ac:dyDescent="0.2">
      <c r="A3235" t="s">
        <v>1791</v>
      </c>
      <c r="B3235" t="s">
        <v>1792</v>
      </c>
      <c r="C3235">
        <v>2011</v>
      </c>
      <c r="D3235" t="s">
        <v>811</v>
      </c>
      <c r="F3235" t="s">
        <v>1793</v>
      </c>
      <c r="G3235" s="1" t="s">
        <v>87</v>
      </c>
      <c r="H3235" t="s">
        <v>350</v>
      </c>
      <c r="I3235" t="s">
        <v>1308</v>
      </c>
      <c r="J3235">
        <v>1</v>
      </c>
      <c r="K3235" t="s">
        <v>109</v>
      </c>
      <c r="L3235">
        <v>1100</v>
      </c>
      <c r="N3235" t="s">
        <v>122</v>
      </c>
      <c r="O3235" t="s">
        <v>122</v>
      </c>
      <c r="P3235" t="s">
        <v>1797</v>
      </c>
      <c r="Q3235" s="1" t="s">
        <v>2281</v>
      </c>
      <c r="R3235" s="1" t="s">
        <v>122</v>
      </c>
      <c r="S3235" s="1" t="s">
        <v>2294</v>
      </c>
      <c r="T3235" t="s">
        <v>396</v>
      </c>
      <c r="U3235" t="s">
        <v>2342</v>
      </c>
      <c r="X3235" t="s">
        <v>161</v>
      </c>
      <c r="Y3235" t="s">
        <v>2272</v>
      </c>
      <c r="Z3235" t="s">
        <v>2272</v>
      </c>
      <c r="AA3235" t="s">
        <v>2272</v>
      </c>
      <c r="AB3235" t="s">
        <v>2272</v>
      </c>
      <c r="AC3235" s="1" t="s">
        <v>162</v>
      </c>
      <c r="AD3235" t="s">
        <v>2272</v>
      </c>
      <c r="AH3235" s="2" t="s">
        <v>49</v>
      </c>
      <c r="AI3235" t="s">
        <v>49</v>
      </c>
      <c r="AM3235" s="1" t="s">
        <v>233</v>
      </c>
      <c r="AN3235" s="1" t="s">
        <v>154</v>
      </c>
      <c r="AP3235" s="1" t="s">
        <v>49</v>
      </c>
      <c r="AR3235">
        <v>1</v>
      </c>
    </row>
    <row r="3236" spans="1:44" x14ac:dyDescent="0.2">
      <c r="A3236" t="s">
        <v>1791</v>
      </c>
      <c r="B3236" t="s">
        <v>1792</v>
      </c>
      <c r="C3236">
        <v>2011</v>
      </c>
      <c r="D3236" t="s">
        <v>811</v>
      </c>
      <c r="F3236" t="s">
        <v>1793</v>
      </c>
      <c r="G3236" s="1" t="s">
        <v>87</v>
      </c>
      <c r="H3236" t="s">
        <v>350</v>
      </c>
      <c r="I3236" t="s">
        <v>1308</v>
      </c>
      <c r="J3236">
        <v>1</v>
      </c>
      <c r="K3236" t="s">
        <v>109</v>
      </c>
      <c r="L3236">
        <v>1100</v>
      </c>
      <c r="N3236" t="s">
        <v>122</v>
      </c>
      <c r="O3236" t="s">
        <v>122</v>
      </c>
      <c r="P3236" t="s">
        <v>1798</v>
      </c>
      <c r="Q3236" s="1" t="s">
        <v>2281</v>
      </c>
      <c r="R3236" s="1" t="s">
        <v>122</v>
      </c>
      <c r="S3236" s="1" t="s">
        <v>2294</v>
      </c>
      <c r="T3236" t="s">
        <v>396</v>
      </c>
      <c r="U3236" t="s">
        <v>2342</v>
      </c>
      <c r="X3236" t="s">
        <v>161</v>
      </c>
      <c r="Y3236" t="s">
        <v>2272</v>
      </c>
      <c r="Z3236" t="s">
        <v>2272</v>
      </c>
      <c r="AA3236" t="s">
        <v>2272</v>
      </c>
      <c r="AB3236" t="s">
        <v>2272</v>
      </c>
      <c r="AC3236" s="1" t="s">
        <v>162</v>
      </c>
      <c r="AD3236" t="s">
        <v>2272</v>
      </c>
      <c r="AH3236" s="2" t="s">
        <v>49</v>
      </c>
      <c r="AI3236" t="s">
        <v>49</v>
      </c>
      <c r="AM3236" s="1" t="s">
        <v>233</v>
      </c>
      <c r="AN3236" s="1" t="s">
        <v>154</v>
      </c>
      <c r="AP3236" s="1" t="s">
        <v>49</v>
      </c>
      <c r="AR3236">
        <v>1</v>
      </c>
    </row>
    <row r="3237" spans="1:44" x14ac:dyDescent="0.2">
      <c r="A3237" t="s">
        <v>1791</v>
      </c>
      <c r="B3237" t="s">
        <v>1792</v>
      </c>
      <c r="C3237">
        <v>2011</v>
      </c>
      <c r="D3237" t="s">
        <v>811</v>
      </c>
      <c r="F3237" t="s">
        <v>1793</v>
      </c>
      <c r="G3237" s="1" t="s">
        <v>87</v>
      </c>
      <c r="H3237" t="s">
        <v>350</v>
      </c>
      <c r="I3237" t="s">
        <v>1308</v>
      </c>
      <c r="J3237">
        <v>1</v>
      </c>
      <c r="K3237" t="s">
        <v>109</v>
      </c>
      <c r="L3237">
        <v>1100</v>
      </c>
      <c r="N3237" t="s">
        <v>122</v>
      </c>
      <c r="O3237" t="s">
        <v>122</v>
      </c>
      <c r="P3237" t="s">
        <v>1799</v>
      </c>
      <c r="Q3237" s="1" t="s">
        <v>2281</v>
      </c>
      <c r="R3237" s="1" t="s">
        <v>122</v>
      </c>
      <c r="S3237" s="1" t="s">
        <v>2294</v>
      </c>
      <c r="T3237" t="s">
        <v>396</v>
      </c>
      <c r="U3237" t="s">
        <v>2342</v>
      </c>
      <c r="X3237" t="s">
        <v>161</v>
      </c>
      <c r="Y3237" t="s">
        <v>2272</v>
      </c>
      <c r="Z3237" t="s">
        <v>2272</v>
      </c>
      <c r="AA3237" t="s">
        <v>2272</v>
      </c>
      <c r="AB3237" t="s">
        <v>2272</v>
      </c>
      <c r="AC3237" s="1" t="s">
        <v>162</v>
      </c>
      <c r="AD3237" t="s">
        <v>2272</v>
      </c>
      <c r="AH3237" s="2" t="s">
        <v>49</v>
      </c>
      <c r="AI3237" t="s">
        <v>49</v>
      </c>
      <c r="AM3237" s="1" t="s">
        <v>233</v>
      </c>
      <c r="AN3237" s="1" t="s">
        <v>154</v>
      </c>
      <c r="AP3237" s="1" t="s">
        <v>49</v>
      </c>
      <c r="AR3237">
        <v>1</v>
      </c>
    </row>
    <row r="3238" spans="1:44" x14ac:dyDescent="0.2">
      <c r="A3238" t="s">
        <v>1791</v>
      </c>
      <c r="B3238" t="s">
        <v>1792</v>
      </c>
      <c r="C3238">
        <v>2011</v>
      </c>
      <c r="D3238" t="s">
        <v>811</v>
      </c>
      <c r="F3238" t="s">
        <v>1793</v>
      </c>
      <c r="G3238" s="1" t="s">
        <v>87</v>
      </c>
      <c r="H3238" t="s">
        <v>350</v>
      </c>
      <c r="I3238" t="s">
        <v>1308</v>
      </c>
      <c r="J3238">
        <v>1</v>
      </c>
      <c r="K3238" t="s">
        <v>109</v>
      </c>
      <c r="L3238">
        <v>1100</v>
      </c>
      <c r="N3238" t="s">
        <v>122</v>
      </c>
      <c r="O3238" t="s">
        <v>122</v>
      </c>
      <c r="P3238" t="s">
        <v>1800</v>
      </c>
      <c r="Q3238" s="1" t="s">
        <v>2281</v>
      </c>
      <c r="R3238" s="1" t="s">
        <v>122</v>
      </c>
      <c r="S3238" s="1" t="s">
        <v>2294</v>
      </c>
      <c r="T3238" t="s">
        <v>396</v>
      </c>
      <c r="U3238" t="s">
        <v>2342</v>
      </c>
      <c r="X3238" t="s">
        <v>161</v>
      </c>
      <c r="Y3238" t="s">
        <v>2272</v>
      </c>
      <c r="Z3238" t="s">
        <v>2272</v>
      </c>
      <c r="AA3238" t="s">
        <v>2272</v>
      </c>
      <c r="AB3238" t="s">
        <v>2272</v>
      </c>
      <c r="AC3238" s="1" t="s">
        <v>162</v>
      </c>
      <c r="AD3238" t="s">
        <v>2272</v>
      </c>
      <c r="AH3238" s="2" t="s">
        <v>49</v>
      </c>
      <c r="AI3238" t="s">
        <v>49</v>
      </c>
      <c r="AM3238" s="1" t="s">
        <v>233</v>
      </c>
      <c r="AN3238" s="1" t="s">
        <v>154</v>
      </c>
      <c r="AP3238" s="1" t="s">
        <v>49</v>
      </c>
      <c r="AR3238">
        <v>1</v>
      </c>
    </row>
    <row r="3239" spans="1:44" x14ac:dyDescent="0.2">
      <c r="A3239" t="s">
        <v>1791</v>
      </c>
      <c r="B3239" t="s">
        <v>1792</v>
      </c>
      <c r="C3239">
        <v>2011</v>
      </c>
      <c r="D3239" t="s">
        <v>811</v>
      </c>
      <c r="F3239" t="s">
        <v>1793</v>
      </c>
      <c r="G3239" s="1" t="s">
        <v>87</v>
      </c>
      <c r="H3239" t="s">
        <v>350</v>
      </c>
      <c r="I3239" t="s">
        <v>1308</v>
      </c>
      <c r="J3239">
        <v>1</v>
      </c>
      <c r="K3239" t="s">
        <v>109</v>
      </c>
      <c r="L3239">
        <v>1100</v>
      </c>
      <c r="N3239" t="s">
        <v>122</v>
      </c>
      <c r="O3239" t="s">
        <v>122</v>
      </c>
      <c r="P3239" t="s">
        <v>1795</v>
      </c>
      <c r="Q3239" s="1" t="s">
        <v>2281</v>
      </c>
      <c r="R3239" s="1" t="s">
        <v>122</v>
      </c>
      <c r="S3239" s="1" t="s">
        <v>2294</v>
      </c>
      <c r="T3239" t="s">
        <v>396</v>
      </c>
      <c r="U3239" t="s">
        <v>2342</v>
      </c>
      <c r="X3239" t="s">
        <v>161</v>
      </c>
      <c r="Y3239" t="s">
        <v>2272</v>
      </c>
      <c r="Z3239" t="s">
        <v>2272</v>
      </c>
      <c r="AA3239" t="s">
        <v>2272</v>
      </c>
      <c r="AB3239" t="s">
        <v>2272</v>
      </c>
      <c r="AC3239" s="1" t="s">
        <v>162</v>
      </c>
      <c r="AD3239" t="s">
        <v>2272</v>
      </c>
      <c r="AH3239" s="2" t="s">
        <v>49</v>
      </c>
      <c r="AI3239" t="s">
        <v>49</v>
      </c>
      <c r="AM3239" s="1" t="s">
        <v>233</v>
      </c>
      <c r="AN3239" s="1" t="s">
        <v>166</v>
      </c>
      <c r="AP3239" s="1" t="s">
        <v>49</v>
      </c>
      <c r="AR3239">
        <v>1</v>
      </c>
    </row>
    <row r="3240" spans="1:44" x14ac:dyDescent="0.2">
      <c r="A3240" t="s">
        <v>1791</v>
      </c>
      <c r="B3240" t="s">
        <v>1792</v>
      </c>
      <c r="C3240">
        <v>2011</v>
      </c>
      <c r="D3240" t="s">
        <v>811</v>
      </c>
      <c r="F3240" t="s">
        <v>1793</v>
      </c>
      <c r="G3240" s="1" t="s">
        <v>87</v>
      </c>
      <c r="H3240" t="s">
        <v>350</v>
      </c>
      <c r="I3240" t="s">
        <v>1308</v>
      </c>
      <c r="J3240">
        <v>1</v>
      </c>
      <c r="K3240" t="s">
        <v>109</v>
      </c>
      <c r="L3240">
        <v>1100</v>
      </c>
      <c r="N3240" t="s">
        <v>122</v>
      </c>
      <c r="O3240" t="s">
        <v>122</v>
      </c>
      <c r="P3240" t="s">
        <v>1796</v>
      </c>
      <c r="Q3240" s="1" t="s">
        <v>2281</v>
      </c>
      <c r="R3240" s="1" t="s">
        <v>122</v>
      </c>
      <c r="S3240" s="1" t="s">
        <v>2294</v>
      </c>
      <c r="T3240" t="s">
        <v>396</v>
      </c>
      <c r="U3240" t="s">
        <v>2342</v>
      </c>
      <c r="X3240" t="s">
        <v>161</v>
      </c>
      <c r="Y3240" t="s">
        <v>2272</v>
      </c>
      <c r="Z3240" t="s">
        <v>2272</v>
      </c>
      <c r="AA3240" t="s">
        <v>2272</v>
      </c>
      <c r="AB3240" t="s">
        <v>2272</v>
      </c>
      <c r="AC3240" s="1" t="s">
        <v>162</v>
      </c>
      <c r="AD3240" t="s">
        <v>2272</v>
      </c>
      <c r="AH3240" s="2" t="s">
        <v>49</v>
      </c>
      <c r="AI3240" t="s">
        <v>49</v>
      </c>
      <c r="AM3240" s="1" t="s">
        <v>233</v>
      </c>
      <c r="AN3240" s="1" t="s">
        <v>166</v>
      </c>
      <c r="AP3240" s="1" t="s">
        <v>49</v>
      </c>
      <c r="AR3240">
        <v>1</v>
      </c>
    </row>
    <row r="3241" spans="1:44" x14ac:dyDescent="0.2">
      <c r="A3241" t="s">
        <v>1791</v>
      </c>
      <c r="B3241" t="s">
        <v>1792</v>
      </c>
      <c r="C3241">
        <v>2011</v>
      </c>
      <c r="D3241" t="s">
        <v>811</v>
      </c>
      <c r="F3241" t="s">
        <v>1793</v>
      </c>
      <c r="G3241" s="1" t="s">
        <v>87</v>
      </c>
      <c r="H3241" t="s">
        <v>350</v>
      </c>
      <c r="I3241" t="s">
        <v>1308</v>
      </c>
      <c r="J3241">
        <v>1</v>
      </c>
      <c r="K3241" t="s">
        <v>109</v>
      </c>
      <c r="L3241">
        <v>1100</v>
      </c>
      <c r="N3241" t="s">
        <v>122</v>
      </c>
      <c r="O3241" t="s">
        <v>122</v>
      </c>
      <c r="P3241" t="s">
        <v>1797</v>
      </c>
      <c r="Q3241" s="1" t="s">
        <v>2281</v>
      </c>
      <c r="R3241" s="1" t="s">
        <v>122</v>
      </c>
      <c r="S3241" s="1" t="s">
        <v>2294</v>
      </c>
      <c r="T3241" t="s">
        <v>396</v>
      </c>
      <c r="U3241" t="s">
        <v>2342</v>
      </c>
      <c r="X3241" t="s">
        <v>161</v>
      </c>
      <c r="Y3241" t="s">
        <v>2272</v>
      </c>
      <c r="Z3241" t="s">
        <v>2272</v>
      </c>
      <c r="AA3241" t="s">
        <v>2272</v>
      </c>
      <c r="AB3241" t="s">
        <v>2272</v>
      </c>
      <c r="AC3241" s="1" t="s">
        <v>162</v>
      </c>
      <c r="AD3241" t="s">
        <v>2272</v>
      </c>
      <c r="AH3241" s="2" t="s">
        <v>49</v>
      </c>
      <c r="AI3241" t="s">
        <v>49</v>
      </c>
      <c r="AM3241" s="1" t="s">
        <v>233</v>
      </c>
      <c r="AN3241" s="1" t="s">
        <v>166</v>
      </c>
      <c r="AP3241" s="1" t="s">
        <v>49</v>
      </c>
      <c r="AR3241">
        <v>1</v>
      </c>
    </row>
    <row r="3242" spans="1:44" x14ac:dyDescent="0.2">
      <c r="A3242" t="s">
        <v>1791</v>
      </c>
      <c r="B3242" t="s">
        <v>1792</v>
      </c>
      <c r="C3242">
        <v>2011</v>
      </c>
      <c r="D3242" t="s">
        <v>811</v>
      </c>
      <c r="F3242" t="s">
        <v>1793</v>
      </c>
      <c r="G3242" s="1" t="s">
        <v>87</v>
      </c>
      <c r="H3242" t="s">
        <v>350</v>
      </c>
      <c r="I3242" t="s">
        <v>1308</v>
      </c>
      <c r="J3242">
        <v>1</v>
      </c>
      <c r="K3242" t="s">
        <v>109</v>
      </c>
      <c r="L3242">
        <v>1100</v>
      </c>
      <c r="N3242" t="s">
        <v>122</v>
      </c>
      <c r="O3242" t="s">
        <v>122</v>
      </c>
      <c r="P3242" t="s">
        <v>1798</v>
      </c>
      <c r="Q3242" s="1" t="s">
        <v>2281</v>
      </c>
      <c r="R3242" s="1" t="s">
        <v>122</v>
      </c>
      <c r="S3242" s="1" t="s">
        <v>2294</v>
      </c>
      <c r="T3242" t="s">
        <v>396</v>
      </c>
      <c r="U3242" t="s">
        <v>2342</v>
      </c>
      <c r="X3242" t="s">
        <v>161</v>
      </c>
      <c r="Y3242" t="s">
        <v>2272</v>
      </c>
      <c r="Z3242" t="s">
        <v>2272</v>
      </c>
      <c r="AA3242" t="s">
        <v>2272</v>
      </c>
      <c r="AB3242" t="s">
        <v>2272</v>
      </c>
      <c r="AC3242" s="1" t="s">
        <v>162</v>
      </c>
      <c r="AD3242" t="s">
        <v>2272</v>
      </c>
      <c r="AH3242" s="2" t="s">
        <v>49</v>
      </c>
      <c r="AI3242" t="s">
        <v>49</v>
      </c>
      <c r="AM3242" s="1" t="s">
        <v>233</v>
      </c>
      <c r="AN3242" s="1" t="s">
        <v>166</v>
      </c>
      <c r="AP3242" s="1" t="s">
        <v>49</v>
      </c>
      <c r="AR3242">
        <v>1</v>
      </c>
    </row>
    <row r="3243" spans="1:44" x14ac:dyDescent="0.2">
      <c r="A3243" t="s">
        <v>1791</v>
      </c>
      <c r="B3243" t="s">
        <v>1792</v>
      </c>
      <c r="C3243">
        <v>2011</v>
      </c>
      <c r="D3243" t="s">
        <v>811</v>
      </c>
      <c r="F3243" t="s">
        <v>1793</v>
      </c>
      <c r="G3243" s="1" t="s">
        <v>87</v>
      </c>
      <c r="H3243" t="s">
        <v>350</v>
      </c>
      <c r="I3243" t="s">
        <v>1308</v>
      </c>
      <c r="J3243">
        <v>1</v>
      </c>
      <c r="K3243" t="s">
        <v>109</v>
      </c>
      <c r="L3243">
        <v>1100</v>
      </c>
      <c r="N3243" t="s">
        <v>122</v>
      </c>
      <c r="O3243" t="s">
        <v>122</v>
      </c>
      <c r="P3243" t="s">
        <v>1799</v>
      </c>
      <c r="Q3243" s="1" t="s">
        <v>2281</v>
      </c>
      <c r="R3243" s="1" t="s">
        <v>122</v>
      </c>
      <c r="S3243" s="1" t="s">
        <v>2294</v>
      </c>
      <c r="T3243" t="s">
        <v>396</v>
      </c>
      <c r="U3243" t="s">
        <v>2342</v>
      </c>
      <c r="X3243" t="s">
        <v>161</v>
      </c>
      <c r="Y3243" t="s">
        <v>2272</v>
      </c>
      <c r="Z3243" t="s">
        <v>2272</v>
      </c>
      <c r="AA3243" t="s">
        <v>2272</v>
      </c>
      <c r="AB3243" t="s">
        <v>2272</v>
      </c>
      <c r="AC3243" s="1" t="s">
        <v>162</v>
      </c>
      <c r="AD3243" t="s">
        <v>2272</v>
      </c>
      <c r="AH3243" s="2" t="s">
        <v>49</v>
      </c>
      <c r="AI3243" t="s">
        <v>49</v>
      </c>
      <c r="AM3243" s="1" t="s">
        <v>233</v>
      </c>
      <c r="AN3243" s="1" t="s">
        <v>166</v>
      </c>
      <c r="AP3243" s="1" t="s">
        <v>49</v>
      </c>
      <c r="AR3243">
        <v>1</v>
      </c>
    </row>
    <row r="3244" spans="1:44" x14ac:dyDescent="0.2">
      <c r="A3244" t="s">
        <v>1791</v>
      </c>
      <c r="B3244" t="s">
        <v>1792</v>
      </c>
      <c r="C3244">
        <v>2011</v>
      </c>
      <c r="D3244" t="s">
        <v>811</v>
      </c>
      <c r="F3244" t="s">
        <v>1793</v>
      </c>
      <c r="G3244" s="1" t="s">
        <v>87</v>
      </c>
      <c r="H3244" t="s">
        <v>350</v>
      </c>
      <c r="I3244" t="s">
        <v>1308</v>
      </c>
      <c r="J3244">
        <v>1</v>
      </c>
      <c r="K3244" t="s">
        <v>109</v>
      </c>
      <c r="L3244">
        <v>1100</v>
      </c>
      <c r="N3244" t="s">
        <v>122</v>
      </c>
      <c r="O3244" t="s">
        <v>122</v>
      </c>
      <c r="P3244" t="s">
        <v>1800</v>
      </c>
      <c r="Q3244" s="1" t="s">
        <v>2281</v>
      </c>
      <c r="R3244" s="1" t="s">
        <v>122</v>
      </c>
      <c r="S3244" s="1" t="s">
        <v>2294</v>
      </c>
      <c r="T3244" t="s">
        <v>396</v>
      </c>
      <c r="U3244" t="s">
        <v>2342</v>
      </c>
      <c r="X3244" t="s">
        <v>161</v>
      </c>
      <c r="Y3244" t="s">
        <v>2272</v>
      </c>
      <c r="Z3244" t="s">
        <v>2272</v>
      </c>
      <c r="AA3244" t="s">
        <v>2272</v>
      </c>
      <c r="AB3244" t="s">
        <v>2272</v>
      </c>
      <c r="AC3244" s="1" t="s">
        <v>162</v>
      </c>
      <c r="AD3244" t="s">
        <v>2272</v>
      </c>
      <c r="AH3244" s="2" t="s">
        <v>49</v>
      </c>
      <c r="AI3244" t="s">
        <v>49</v>
      </c>
      <c r="AM3244" s="1" t="s">
        <v>233</v>
      </c>
      <c r="AN3244" s="1" t="s">
        <v>166</v>
      </c>
      <c r="AP3244" s="1" t="s">
        <v>49</v>
      </c>
      <c r="AR3244">
        <v>1</v>
      </c>
    </row>
    <row r="3245" spans="1:44" x14ac:dyDescent="0.2">
      <c r="A3245" t="s">
        <v>1791</v>
      </c>
      <c r="B3245" t="s">
        <v>1792</v>
      </c>
      <c r="C3245">
        <v>2011</v>
      </c>
      <c r="D3245" t="s">
        <v>811</v>
      </c>
      <c r="F3245" t="s">
        <v>1793</v>
      </c>
      <c r="G3245" s="1" t="s">
        <v>87</v>
      </c>
      <c r="H3245" t="s">
        <v>350</v>
      </c>
      <c r="I3245" t="s">
        <v>1308</v>
      </c>
      <c r="J3245">
        <v>1</v>
      </c>
      <c r="K3245" t="s">
        <v>109</v>
      </c>
      <c r="L3245">
        <v>1100</v>
      </c>
      <c r="N3245" t="s">
        <v>122</v>
      </c>
      <c r="O3245" t="s">
        <v>122</v>
      </c>
      <c r="P3245" t="s">
        <v>1795</v>
      </c>
      <c r="Q3245" s="1" t="s">
        <v>2281</v>
      </c>
      <c r="R3245" s="1" t="s">
        <v>122</v>
      </c>
      <c r="S3245" s="1" t="s">
        <v>2294</v>
      </c>
      <c r="T3245" t="s">
        <v>396</v>
      </c>
      <c r="U3245" t="s">
        <v>2342</v>
      </c>
      <c r="X3245" t="s">
        <v>161</v>
      </c>
      <c r="Y3245" t="s">
        <v>2272</v>
      </c>
      <c r="Z3245" t="s">
        <v>2272</v>
      </c>
      <c r="AA3245" t="s">
        <v>2272</v>
      </c>
      <c r="AB3245" t="s">
        <v>2272</v>
      </c>
      <c r="AC3245" s="1" t="s">
        <v>162</v>
      </c>
      <c r="AD3245" t="s">
        <v>2272</v>
      </c>
      <c r="AH3245" s="2" t="s">
        <v>49</v>
      </c>
      <c r="AI3245" t="s">
        <v>49</v>
      </c>
      <c r="AM3245" s="1" t="s">
        <v>233</v>
      </c>
      <c r="AN3245" s="1" t="s">
        <v>165</v>
      </c>
      <c r="AP3245" s="1"/>
      <c r="AR3245">
        <v>1</v>
      </c>
    </row>
    <row r="3246" spans="1:44" x14ac:dyDescent="0.2">
      <c r="A3246" t="s">
        <v>1791</v>
      </c>
      <c r="B3246" t="s">
        <v>1792</v>
      </c>
      <c r="C3246">
        <v>2011</v>
      </c>
      <c r="D3246" t="s">
        <v>811</v>
      </c>
      <c r="F3246" t="s">
        <v>1793</v>
      </c>
      <c r="G3246" s="1" t="s">
        <v>87</v>
      </c>
      <c r="H3246" t="s">
        <v>350</v>
      </c>
      <c r="I3246" t="s">
        <v>1308</v>
      </c>
      <c r="J3246">
        <v>1</v>
      </c>
      <c r="K3246" t="s">
        <v>109</v>
      </c>
      <c r="L3246">
        <v>1100</v>
      </c>
      <c r="N3246" t="s">
        <v>122</v>
      </c>
      <c r="O3246" t="s">
        <v>122</v>
      </c>
      <c r="P3246" t="s">
        <v>1796</v>
      </c>
      <c r="Q3246" s="1" t="s">
        <v>2281</v>
      </c>
      <c r="R3246" s="1" t="s">
        <v>122</v>
      </c>
      <c r="S3246" s="1" t="s">
        <v>2294</v>
      </c>
      <c r="T3246" t="s">
        <v>396</v>
      </c>
      <c r="U3246" t="s">
        <v>2342</v>
      </c>
      <c r="X3246" t="s">
        <v>161</v>
      </c>
      <c r="Y3246" t="s">
        <v>2272</v>
      </c>
      <c r="Z3246" t="s">
        <v>2272</v>
      </c>
      <c r="AA3246" t="s">
        <v>2272</v>
      </c>
      <c r="AB3246" t="s">
        <v>2272</v>
      </c>
      <c r="AC3246" s="1" t="s">
        <v>162</v>
      </c>
      <c r="AD3246" t="s">
        <v>2272</v>
      </c>
      <c r="AH3246" s="2" t="s">
        <v>49</v>
      </c>
      <c r="AI3246" t="s">
        <v>49</v>
      </c>
      <c r="AM3246" s="1" t="s">
        <v>233</v>
      </c>
      <c r="AN3246" s="1" t="s">
        <v>165</v>
      </c>
      <c r="AR3246">
        <v>1</v>
      </c>
    </row>
    <row r="3247" spans="1:44" x14ac:dyDescent="0.2">
      <c r="A3247" t="s">
        <v>1791</v>
      </c>
      <c r="B3247" t="s">
        <v>1792</v>
      </c>
      <c r="C3247">
        <v>2011</v>
      </c>
      <c r="D3247" t="s">
        <v>811</v>
      </c>
      <c r="F3247" t="s">
        <v>1793</v>
      </c>
      <c r="G3247" s="1" t="s">
        <v>87</v>
      </c>
      <c r="H3247" t="s">
        <v>350</v>
      </c>
      <c r="I3247" t="s">
        <v>1308</v>
      </c>
      <c r="J3247">
        <v>1</v>
      </c>
      <c r="K3247" t="s">
        <v>109</v>
      </c>
      <c r="L3247">
        <v>1100</v>
      </c>
      <c r="N3247" t="s">
        <v>122</v>
      </c>
      <c r="O3247" t="s">
        <v>122</v>
      </c>
      <c r="P3247" t="s">
        <v>1797</v>
      </c>
      <c r="Q3247" s="1" t="s">
        <v>2281</v>
      </c>
      <c r="R3247" s="1" t="s">
        <v>122</v>
      </c>
      <c r="S3247" s="1" t="s">
        <v>2294</v>
      </c>
      <c r="T3247" t="s">
        <v>396</v>
      </c>
      <c r="U3247" t="s">
        <v>2342</v>
      </c>
      <c r="X3247" t="s">
        <v>161</v>
      </c>
      <c r="Y3247" t="s">
        <v>2272</v>
      </c>
      <c r="Z3247" t="s">
        <v>2272</v>
      </c>
      <c r="AA3247" t="s">
        <v>2272</v>
      </c>
      <c r="AB3247" t="s">
        <v>2272</v>
      </c>
      <c r="AC3247" s="1" t="s">
        <v>162</v>
      </c>
      <c r="AD3247" t="s">
        <v>2272</v>
      </c>
      <c r="AH3247" s="2" t="s">
        <v>49</v>
      </c>
      <c r="AI3247" t="s">
        <v>49</v>
      </c>
      <c r="AM3247" s="1" t="s">
        <v>233</v>
      </c>
      <c r="AN3247" s="1" t="s">
        <v>165</v>
      </c>
      <c r="AR3247">
        <v>1</v>
      </c>
    </row>
    <row r="3248" spans="1:44" x14ac:dyDescent="0.2">
      <c r="A3248" t="s">
        <v>1791</v>
      </c>
      <c r="B3248" t="s">
        <v>1792</v>
      </c>
      <c r="C3248">
        <v>2011</v>
      </c>
      <c r="D3248" t="s">
        <v>811</v>
      </c>
      <c r="F3248" t="s">
        <v>1793</v>
      </c>
      <c r="G3248" s="1" t="s">
        <v>87</v>
      </c>
      <c r="H3248" t="s">
        <v>350</v>
      </c>
      <c r="I3248" t="s">
        <v>1308</v>
      </c>
      <c r="J3248">
        <v>1</v>
      </c>
      <c r="K3248" t="s">
        <v>109</v>
      </c>
      <c r="L3248">
        <v>1100</v>
      </c>
      <c r="N3248" t="s">
        <v>122</v>
      </c>
      <c r="O3248" t="s">
        <v>122</v>
      </c>
      <c r="P3248" t="s">
        <v>1798</v>
      </c>
      <c r="Q3248" s="1" t="s">
        <v>2281</v>
      </c>
      <c r="R3248" s="1" t="s">
        <v>122</v>
      </c>
      <c r="S3248" s="1" t="s">
        <v>2294</v>
      </c>
      <c r="T3248" t="s">
        <v>396</v>
      </c>
      <c r="U3248" t="s">
        <v>2342</v>
      </c>
      <c r="X3248" t="s">
        <v>161</v>
      </c>
      <c r="Y3248" t="s">
        <v>2272</v>
      </c>
      <c r="Z3248" t="s">
        <v>2272</v>
      </c>
      <c r="AA3248" t="s">
        <v>2272</v>
      </c>
      <c r="AB3248" t="s">
        <v>2272</v>
      </c>
      <c r="AC3248" s="1" t="s">
        <v>162</v>
      </c>
      <c r="AD3248" t="s">
        <v>2272</v>
      </c>
      <c r="AH3248" s="2" t="s">
        <v>49</v>
      </c>
      <c r="AI3248" t="s">
        <v>49</v>
      </c>
      <c r="AM3248" s="1" t="s">
        <v>233</v>
      </c>
      <c r="AN3248" s="1" t="s">
        <v>165</v>
      </c>
      <c r="AR3248">
        <v>1</v>
      </c>
    </row>
    <row r="3249" spans="1:45" x14ac:dyDescent="0.2">
      <c r="A3249" t="s">
        <v>1791</v>
      </c>
      <c r="B3249" t="s">
        <v>1792</v>
      </c>
      <c r="C3249">
        <v>2011</v>
      </c>
      <c r="D3249" t="s">
        <v>811</v>
      </c>
      <c r="F3249" t="s">
        <v>1793</v>
      </c>
      <c r="G3249" s="1" t="s">
        <v>87</v>
      </c>
      <c r="H3249" t="s">
        <v>350</v>
      </c>
      <c r="I3249" t="s">
        <v>1308</v>
      </c>
      <c r="J3249">
        <v>1</v>
      </c>
      <c r="K3249" t="s">
        <v>109</v>
      </c>
      <c r="L3249">
        <v>1100</v>
      </c>
      <c r="N3249" t="s">
        <v>122</v>
      </c>
      <c r="O3249" t="s">
        <v>122</v>
      </c>
      <c r="P3249" t="s">
        <v>1799</v>
      </c>
      <c r="Q3249" s="1" t="s">
        <v>2281</v>
      </c>
      <c r="R3249" s="1" t="s">
        <v>122</v>
      </c>
      <c r="S3249" s="1" t="s">
        <v>2294</v>
      </c>
      <c r="T3249" t="s">
        <v>396</v>
      </c>
      <c r="U3249" t="s">
        <v>2342</v>
      </c>
      <c r="X3249" t="s">
        <v>161</v>
      </c>
      <c r="Y3249" t="s">
        <v>2272</v>
      </c>
      <c r="Z3249" t="s">
        <v>2272</v>
      </c>
      <c r="AA3249" t="s">
        <v>2272</v>
      </c>
      <c r="AB3249" t="s">
        <v>2272</v>
      </c>
      <c r="AC3249" s="1" t="s">
        <v>162</v>
      </c>
      <c r="AD3249" t="s">
        <v>2272</v>
      </c>
      <c r="AH3249" s="2" t="s">
        <v>49</v>
      </c>
      <c r="AI3249" t="s">
        <v>49</v>
      </c>
      <c r="AM3249" s="1" t="s">
        <v>233</v>
      </c>
      <c r="AN3249" s="1" t="s">
        <v>165</v>
      </c>
      <c r="AR3249">
        <v>1</v>
      </c>
    </row>
    <row r="3250" spans="1:45" x14ac:dyDescent="0.2">
      <c r="A3250" t="s">
        <v>1791</v>
      </c>
      <c r="B3250" t="s">
        <v>1792</v>
      </c>
      <c r="C3250">
        <v>2011</v>
      </c>
      <c r="D3250" t="s">
        <v>811</v>
      </c>
      <c r="F3250" t="s">
        <v>1793</v>
      </c>
      <c r="G3250" s="1" t="s">
        <v>87</v>
      </c>
      <c r="H3250" t="s">
        <v>350</v>
      </c>
      <c r="I3250" t="s">
        <v>1308</v>
      </c>
      <c r="J3250">
        <v>1</v>
      </c>
      <c r="K3250" t="s">
        <v>109</v>
      </c>
      <c r="L3250">
        <v>1100</v>
      </c>
      <c r="N3250" t="s">
        <v>122</v>
      </c>
      <c r="O3250" t="s">
        <v>122</v>
      </c>
      <c r="P3250" t="s">
        <v>1800</v>
      </c>
      <c r="Q3250" s="1" t="s">
        <v>2281</v>
      </c>
      <c r="R3250" s="1" t="s">
        <v>122</v>
      </c>
      <c r="S3250" s="1" t="s">
        <v>2294</v>
      </c>
      <c r="T3250" t="s">
        <v>396</v>
      </c>
      <c r="U3250" t="s">
        <v>2342</v>
      </c>
      <c r="X3250" t="s">
        <v>161</v>
      </c>
      <c r="Y3250" t="s">
        <v>2272</v>
      </c>
      <c r="Z3250" t="s">
        <v>2272</v>
      </c>
      <c r="AA3250" t="s">
        <v>2272</v>
      </c>
      <c r="AB3250" t="s">
        <v>2272</v>
      </c>
      <c r="AC3250" s="1" t="s">
        <v>162</v>
      </c>
      <c r="AD3250" t="s">
        <v>2272</v>
      </c>
      <c r="AH3250" s="2" t="s">
        <v>49</v>
      </c>
      <c r="AI3250" t="s">
        <v>49</v>
      </c>
      <c r="AM3250" s="1" t="s">
        <v>233</v>
      </c>
      <c r="AN3250" s="1" t="s">
        <v>165</v>
      </c>
      <c r="AR3250">
        <v>1</v>
      </c>
    </row>
    <row r="3251" spans="1:45" x14ac:dyDescent="0.2">
      <c r="A3251" t="s">
        <v>1791</v>
      </c>
      <c r="B3251" t="s">
        <v>1792</v>
      </c>
      <c r="C3251">
        <v>2011</v>
      </c>
      <c r="D3251" t="s">
        <v>811</v>
      </c>
      <c r="F3251" t="s">
        <v>1793</v>
      </c>
      <c r="G3251" s="1" t="s">
        <v>87</v>
      </c>
      <c r="H3251" t="s">
        <v>350</v>
      </c>
      <c r="I3251" t="s">
        <v>1308</v>
      </c>
      <c r="J3251">
        <v>1</v>
      </c>
      <c r="K3251" t="s">
        <v>109</v>
      </c>
      <c r="L3251">
        <v>1100</v>
      </c>
      <c r="N3251" t="s">
        <v>122</v>
      </c>
      <c r="O3251" t="s">
        <v>122</v>
      </c>
      <c r="P3251" t="s">
        <v>1794</v>
      </c>
      <c r="Q3251" s="1" t="s">
        <v>2281</v>
      </c>
      <c r="R3251" s="1" t="s">
        <v>122</v>
      </c>
      <c r="S3251" s="1" t="s">
        <v>2294</v>
      </c>
      <c r="X3251" t="s">
        <v>223</v>
      </c>
      <c r="Y3251" t="s">
        <v>2279</v>
      </c>
      <c r="Z3251" t="s">
        <v>528</v>
      </c>
      <c r="AA3251" t="s">
        <v>2360</v>
      </c>
      <c r="AB3251" t="s">
        <v>2581</v>
      </c>
      <c r="AC3251" s="1" t="s">
        <v>152</v>
      </c>
      <c r="AD3251" t="s">
        <v>2278</v>
      </c>
      <c r="AH3251" s="2" t="s">
        <v>49</v>
      </c>
      <c r="AI3251" t="s">
        <v>49</v>
      </c>
      <c r="AM3251" s="1" t="s">
        <v>233</v>
      </c>
      <c r="AN3251" s="1" t="s">
        <v>165</v>
      </c>
      <c r="AP3251" s="1"/>
      <c r="AR3251">
        <v>1</v>
      </c>
    </row>
    <row r="3252" spans="1:45" x14ac:dyDescent="0.2">
      <c r="A3252" t="s">
        <v>1801</v>
      </c>
      <c r="B3252" t="s">
        <v>1802</v>
      </c>
      <c r="C3252">
        <v>2011</v>
      </c>
      <c r="D3252" t="s">
        <v>44</v>
      </c>
      <c r="F3252" t="s">
        <v>357</v>
      </c>
      <c r="G3252" s="1" t="s">
        <v>90</v>
      </c>
      <c r="N3252" t="s">
        <v>128</v>
      </c>
      <c r="O3252" t="s">
        <v>1803</v>
      </c>
      <c r="P3252" t="s">
        <v>1804</v>
      </c>
      <c r="Q3252" s="1" t="s">
        <v>2272</v>
      </c>
      <c r="R3252" s="1" t="s">
        <v>2272</v>
      </c>
      <c r="S3252" s="1" t="s">
        <v>2272</v>
      </c>
      <c r="Y3252" t="s">
        <v>2272</v>
      </c>
      <c r="Z3252" t="s">
        <v>2272</v>
      </c>
      <c r="AA3252" t="s">
        <v>2272</v>
      </c>
      <c r="AB3252" t="s">
        <v>2272</v>
      </c>
      <c r="AD3252" t="s">
        <v>2272</v>
      </c>
      <c r="AR3252" t="s">
        <v>144</v>
      </c>
      <c r="AS3252" t="s">
        <v>2583</v>
      </c>
    </row>
    <row r="3253" spans="1:45" x14ac:dyDescent="0.2">
      <c r="A3253" t="s">
        <v>1805</v>
      </c>
      <c r="B3253" t="s">
        <v>1806</v>
      </c>
      <c r="C3253">
        <v>2011</v>
      </c>
      <c r="D3253" t="s">
        <v>44</v>
      </c>
      <c r="F3253" t="s">
        <v>82</v>
      </c>
      <c r="G3253" s="1" t="s">
        <v>86</v>
      </c>
      <c r="H3253" t="s">
        <v>96</v>
      </c>
      <c r="I3253">
        <v>2006</v>
      </c>
      <c r="K3253" t="s">
        <v>101</v>
      </c>
      <c r="L3253">
        <v>7</v>
      </c>
      <c r="M3253">
        <v>0.1</v>
      </c>
      <c r="N3253" t="s">
        <v>126</v>
      </c>
      <c r="O3253" t="s">
        <v>126</v>
      </c>
      <c r="P3253" t="s">
        <v>2571</v>
      </c>
      <c r="Q3253" s="1" t="s">
        <v>2281</v>
      </c>
      <c r="R3253" s="1" t="s">
        <v>2282</v>
      </c>
      <c r="S3253" s="1" t="s">
        <v>126</v>
      </c>
      <c r="X3253" t="s">
        <v>642</v>
      </c>
      <c r="Y3253" t="s">
        <v>2279</v>
      </c>
      <c r="Z3253" t="s">
        <v>2280</v>
      </c>
      <c r="AA3253" t="s">
        <v>2358</v>
      </c>
      <c r="AB3253" t="s">
        <v>2580</v>
      </c>
      <c r="AC3253" s="1" t="s">
        <v>152</v>
      </c>
      <c r="AD3253" t="s">
        <v>2278</v>
      </c>
    </row>
    <row r="3254" spans="1:45" x14ac:dyDescent="0.2">
      <c r="A3254" t="s">
        <v>1805</v>
      </c>
      <c r="B3254" t="s">
        <v>1806</v>
      </c>
      <c r="C3254">
        <v>2011</v>
      </c>
      <c r="D3254" t="s">
        <v>44</v>
      </c>
      <c r="F3254" t="s">
        <v>82</v>
      </c>
      <c r="G3254" s="1" t="s">
        <v>86</v>
      </c>
      <c r="H3254" t="s">
        <v>96</v>
      </c>
      <c r="I3254">
        <v>2006</v>
      </c>
      <c r="K3254" t="s">
        <v>101</v>
      </c>
      <c r="L3254">
        <v>7</v>
      </c>
      <c r="M3254">
        <v>0.1</v>
      </c>
      <c r="N3254" t="s">
        <v>126</v>
      </c>
      <c r="O3254" t="s">
        <v>126</v>
      </c>
      <c r="P3254" t="s">
        <v>2571</v>
      </c>
      <c r="Q3254" s="1" t="s">
        <v>2281</v>
      </c>
      <c r="R3254" s="1" t="s">
        <v>2282</v>
      </c>
      <c r="S3254" s="1" t="s">
        <v>126</v>
      </c>
      <c r="X3254" t="s">
        <v>615</v>
      </c>
      <c r="Y3254" t="s">
        <v>2279</v>
      </c>
      <c r="Z3254" t="s">
        <v>2280</v>
      </c>
      <c r="AA3254" t="s">
        <v>2358</v>
      </c>
      <c r="AB3254" t="s">
        <v>261</v>
      </c>
      <c r="AC3254" s="1" t="s">
        <v>152</v>
      </c>
      <c r="AD3254" t="s">
        <v>2278</v>
      </c>
    </row>
    <row r="3255" spans="1:45" x14ac:dyDescent="0.2">
      <c r="A3255" t="s">
        <v>1805</v>
      </c>
      <c r="B3255" t="s">
        <v>1806</v>
      </c>
      <c r="C3255">
        <v>2011</v>
      </c>
      <c r="D3255" t="s">
        <v>44</v>
      </c>
      <c r="F3255" t="s">
        <v>82</v>
      </c>
      <c r="G3255" s="1" t="s">
        <v>86</v>
      </c>
      <c r="H3255" t="s">
        <v>96</v>
      </c>
      <c r="I3255">
        <v>2006</v>
      </c>
      <c r="K3255" t="s">
        <v>101</v>
      </c>
      <c r="L3255">
        <v>7</v>
      </c>
      <c r="M3255">
        <v>0.1</v>
      </c>
      <c r="N3255" t="s">
        <v>126</v>
      </c>
      <c r="O3255" t="s">
        <v>126</v>
      </c>
      <c r="P3255" t="s">
        <v>2571</v>
      </c>
      <c r="Q3255" s="1" t="s">
        <v>2281</v>
      </c>
      <c r="R3255" s="1" t="s">
        <v>2282</v>
      </c>
      <c r="S3255" s="1" t="s">
        <v>126</v>
      </c>
      <c r="X3255" t="s">
        <v>339</v>
      </c>
      <c r="Y3255" t="s">
        <v>2279</v>
      </c>
      <c r="Z3255" t="s">
        <v>2280</v>
      </c>
      <c r="AA3255" t="s">
        <v>2358</v>
      </c>
      <c r="AB3255" t="s">
        <v>2290</v>
      </c>
      <c r="AC3255" s="1" t="s">
        <v>152</v>
      </c>
      <c r="AD3255" t="s">
        <v>2278</v>
      </c>
    </row>
    <row r="3256" spans="1:45" x14ac:dyDescent="0.2">
      <c r="A3256" t="s">
        <v>1805</v>
      </c>
      <c r="B3256" t="s">
        <v>1806</v>
      </c>
      <c r="C3256">
        <v>2011</v>
      </c>
      <c r="D3256" t="s">
        <v>44</v>
      </c>
      <c r="F3256" t="s">
        <v>82</v>
      </c>
      <c r="G3256" s="1" t="s">
        <v>86</v>
      </c>
      <c r="H3256" t="s">
        <v>96</v>
      </c>
      <c r="I3256">
        <v>2006</v>
      </c>
      <c r="K3256" t="s">
        <v>101</v>
      </c>
      <c r="L3256">
        <v>7</v>
      </c>
      <c r="M3256">
        <v>0.1</v>
      </c>
      <c r="N3256" t="s">
        <v>126</v>
      </c>
      <c r="O3256" t="s">
        <v>126</v>
      </c>
      <c r="P3256" t="s">
        <v>2571</v>
      </c>
      <c r="Q3256" s="1" t="s">
        <v>2281</v>
      </c>
      <c r="R3256" s="1" t="s">
        <v>2282</v>
      </c>
      <c r="S3256" s="1" t="s">
        <v>126</v>
      </c>
      <c r="T3256" t="s">
        <v>421</v>
      </c>
      <c r="U3256" t="s">
        <v>421</v>
      </c>
      <c r="X3256" t="s">
        <v>161</v>
      </c>
      <c r="Y3256" t="s">
        <v>2272</v>
      </c>
      <c r="Z3256" t="s">
        <v>2272</v>
      </c>
      <c r="AA3256" t="s">
        <v>2272</v>
      </c>
      <c r="AB3256" t="s">
        <v>2272</v>
      </c>
      <c r="AC3256" s="1" t="s">
        <v>152</v>
      </c>
      <c r="AD3256" t="s">
        <v>2272</v>
      </c>
      <c r="AF3256" s="1" t="s">
        <v>49</v>
      </c>
      <c r="AG3256" s="1" t="s">
        <v>49</v>
      </c>
      <c r="AI3256" s="1" t="s">
        <v>49</v>
      </c>
      <c r="AM3256" s="1" t="s">
        <v>202</v>
      </c>
      <c r="AN3256" s="1" t="s">
        <v>166</v>
      </c>
      <c r="AP3256" s="1"/>
      <c r="AQ3256" s="5">
        <v>1</v>
      </c>
    </row>
    <row r="3257" spans="1:45" x14ac:dyDescent="0.2">
      <c r="A3257" t="s">
        <v>1805</v>
      </c>
      <c r="B3257" t="s">
        <v>1806</v>
      </c>
      <c r="C3257">
        <v>2011</v>
      </c>
      <c r="D3257" t="s">
        <v>44</v>
      </c>
      <c r="F3257" t="s">
        <v>82</v>
      </c>
      <c r="G3257" s="1" t="s">
        <v>86</v>
      </c>
      <c r="H3257" t="s">
        <v>96</v>
      </c>
      <c r="I3257">
        <v>2006</v>
      </c>
      <c r="K3257" t="s">
        <v>101</v>
      </c>
      <c r="L3257">
        <v>7</v>
      </c>
      <c r="M3257">
        <v>0.1</v>
      </c>
      <c r="N3257" t="s">
        <v>126</v>
      </c>
      <c r="O3257" t="s">
        <v>126</v>
      </c>
      <c r="P3257" t="s">
        <v>2571</v>
      </c>
      <c r="Q3257" s="1" t="s">
        <v>2281</v>
      </c>
      <c r="R3257" s="1" t="s">
        <v>2282</v>
      </c>
      <c r="S3257" s="1" t="s">
        <v>126</v>
      </c>
      <c r="T3257" t="s">
        <v>421</v>
      </c>
      <c r="U3257" t="s">
        <v>421</v>
      </c>
      <c r="X3257" t="s">
        <v>161</v>
      </c>
      <c r="Y3257" t="s">
        <v>2272</v>
      </c>
      <c r="Z3257" t="s">
        <v>2272</v>
      </c>
      <c r="AA3257" t="s">
        <v>2272</v>
      </c>
      <c r="AB3257" t="s">
        <v>2272</v>
      </c>
      <c r="AC3257" s="1" t="s">
        <v>152</v>
      </c>
      <c r="AD3257" t="s">
        <v>2272</v>
      </c>
      <c r="AF3257" s="1" t="s">
        <v>49</v>
      </c>
      <c r="AG3257" s="1" t="s">
        <v>49</v>
      </c>
      <c r="AI3257" s="1" t="s">
        <v>49</v>
      </c>
      <c r="AM3257" s="1" t="s">
        <v>202</v>
      </c>
      <c r="AN3257" s="1" t="s">
        <v>154</v>
      </c>
      <c r="AP3257" s="1"/>
      <c r="AQ3257" s="5">
        <v>1</v>
      </c>
    </row>
    <row r="3258" spans="1:45" x14ac:dyDescent="0.2">
      <c r="A3258" t="s">
        <v>1805</v>
      </c>
      <c r="B3258" t="s">
        <v>1806</v>
      </c>
      <c r="C3258">
        <v>2011</v>
      </c>
      <c r="D3258" t="s">
        <v>44</v>
      </c>
      <c r="F3258" t="s">
        <v>82</v>
      </c>
      <c r="G3258" s="1" t="s">
        <v>86</v>
      </c>
      <c r="H3258" t="s">
        <v>96</v>
      </c>
      <c r="I3258">
        <v>2006</v>
      </c>
      <c r="K3258" t="s">
        <v>101</v>
      </c>
      <c r="L3258">
        <v>7</v>
      </c>
      <c r="M3258">
        <v>0.1</v>
      </c>
      <c r="N3258" t="s">
        <v>126</v>
      </c>
      <c r="O3258" t="s">
        <v>126</v>
      </c>
      <c r="P3258" t="s">
        <v>2571</v>
      </c>
      <c r="Q3258" s="1" t="s">
        <v>2281</v>
      </c>
      <c r="R3258" s="1" t="s">
        <v>2282</v>
      </c>
      <c r="S3258" s="1" t="s">
        <v>126</v>
      </c>
      <c r="X3258" t="s">
        <v>161</v>
      </c>
      <c r="Y3258" t="s">
        <v>2272</v>
      </c>
      <c r="Z3258" t="s">
        <v>2272</v>
      </c>
      <c r="AA3258" t="s">
        <v>2272</v>
      </c>
      <c r="AB3258" t="s">
        <v>2272</v>
      </c>
      <c r="AC3258" s="1" t="s">
        <v>152</v>
      </c>
      <c r="AD3258" t="s">
        <v>2272</v>
      </c>
      <c r="AF3258" s="1" t="s">
        <v>49</v>
      </c>
      <c r="AG3258" s="1" t="s">
        <v>49</v>
      </c>
      <c r="AI3258" s="1" t="s">
        <v>49</v>
      </c>
      <c r="AM3258" s="1" t="s">
        <v>202</v>
      </c>
      <c r="AN3258" s="1" t="s">
        <v>165</v>
      </c>
      <c r="AP3258" s="1"/>
    </row>
    <row r="3259" spans="1:45" x14ac:dyDescent="0.2">
      <c r="A3259" t="s">
        <v>1805</v>
      </c>
      <c r="B3259" t="s">
        <v>1806</v>
      </c>
      <c r="C3259">
        <v>2011</v>
      </c>
      <c r="D3259" t="s">
        <v>44</v>
      </c>
      <c r="F3259" t="s">
        <v>82</v>
      </c>
      <c r="G3259" s="1" t="s">
        <v>86</v>
      </c>
      <c r="H3259" t="s">
        <v>96</v>
      </c>
      <c r="I3259">
        <v>2006</v>
      </c>
      <c r="K3259" t="s">
        <v>101</v>
      </c>
      <c r="L3259">
        <v>7</v>
      </c>
      <c r="M3259">
        <v>0.1</v>
      </c>
      <c r="N3259" t="s">
        <v>126</v>
      </c>
      <c r="O3259" t="s">
        <v>126</v>
      </c>
      <c r="P3259" t="s">
        <v>2571</v>
      </c>
      <c r="Q3259" s="1" t="s">
        <v>2281</v>
      </c>
      <c r="R3259" s="1" t="s">
        <v>2282</v>
      </c>
      <c r="S3259" s="1" t="s">
        <v>126</v>
      </c>
      <c r="T3259" t="s">
        <v>421</v>
      </c>
      <c r="U3259" t="s">
        <v>421</v>
      </c>
      <c r="X3259" t="s">
        <v>161</v>
      </c>
      <c r="Y3259" t="s">
        <v>2272</v>
      </c>
      <c r="Z3259" t="s">
        <v>2272</v>
      </c>
      <c r="AA3259" t="s">
        <v>2272</v>
      </c>
      <c r="AB3259" t="s">
        <v>2272</v>
      </c>
      <c r="AC3259" s="1" t="s">
        <v>152</v>
      </c>
      <c r="AD3259" t="s">
        <v>2272</v>
      </c>
      <c r="AF3259" s="1" t="s">
        <v>49</v>
      </c>
      <c r="AG3259" s="1" t="s">
        <v>49</v>
      </c>
      <c r="AI3259" s="1" t="s">
        <v>49</v>
      </c>
      <c r="AM3259" s="1" t="s">
        <v>202</v>
      </c>
      <c r="AN3259" s="1" t="s">
        <v>191</v>
      </c>
      <c r="AP3259" s="1"/>
    </row>
    <row r="3260" spans="1:45" x14ac:dyDescent="0.2">
      <c r="A3260" t="s">
        <v>1805</v>
      </c>
      <c r="B3260" t="s">
        <v>1806</v>
      </c>
      <c r="C3260">
        <v>2011</v>
      </c>
      <c r="D3260" t="s">
        <v>44</v>
      </c>
      <c r="F3260" t="s">
        <v>82</v>
      </c>
      <c r="G3260" s="1" t="s">
        <v>86</v>
      </c>
      <c r="H3260" t="s">
        <v>96</v>
      </c>
      <c r="I3260">
        <v>2006</v>
      </c>
      <c r="K3260" t="s">
        <v>101</v>
      </c>
      <c r="L3260">
        <v>7</v>
      </c>
      <c r="M3260">
        <v>0.1</v>
      </c>
      <c r="N3260" t="s">
        <v>126</v>
      </c>
      <c r="O3260" t="s">
        <v>126</v>
      </c>
      <c r="P3260" t="s">
        <v>2571</v>
      </c>
      <c r="Q3260" s="1" t="s">
        <v>2281</v>
      </c>
      <c r="R3260" s="1" t="s">
        <v>2282</v>
      </c>
      <c r="S3260" s="1" t="s">
        <v>126</v>
      </c>
      <c r="T3260" t="s">
        <v>421</v>
      </c>
      <c r="U3260" t="s">
        <v>421</v>
      </c>
      <c r="X3260" t="s">
        <v>161</v>
      </c>
      <c r="Y3260" t="s">
        <v>2272</v>
      </c>
      <c r="Z3260" t="s">
        <v>2272</v>
      </c>
      <c r="AA3260" t="s">
        <v>2272</v>
      </c>
      <c r="AB3260" t="s">
        <v>2272</v>
      </c>
      <c r="AC3260" s="1" t="s">
        <v>152</v>
      </c>
      <c r="AD3260" t="s">
        <v>2272</v>
      </c>
      <c r="AF3260" s="1" t="s">
        <v>49</v>
      </c>
      <c r="AG3260" s="1" t="s">
        <v>49</v>
      </c>
      <c r="AI3260" s="1" t="s">
        <v>49</v>
      </c>
      <c r="AM3260" s="1" t="s">
        <v>202</v>
      </c>
      <c r="AN3260" s="1" t="s">
        <v>171</v>
      </c>
      <c r="AP3260" s="1"/>
      <c r="AQ3260" s="5">
        <v>1</v>
      </c>
    </row>
    <row r="3261" spans="1:45" x14ac:dyDescent="0.2">
      <c r="A3261" t="s">
        <v>1807</v>
      </c>
      <c r="B3261" t="s">
        <v>1808</v>
      </c>
      <c r="C3261">
        <v>2011</v>
      </c>
      <c r="D3261" t="s">
        <v>44</v>
      </c>
      <c r="F3261" t="s">
        <v>54</v>
      </c>
      <c r="G3261" s="1" t="s">
        <v>86</v>
      </c>
      <c r="H3261" t="s">
        <v>350</v>
      </c>
      <c r="K3261" t="s">
        <v>101</v>
      </c>
      <c r="M3261">
        <f t="shared" ref="M3261:M3272" si="74">0.2*0.2</f>
        <v>4.0000000000000008E-2</v>
      </c>
      <c r="N3261" t="s">
        <v>123</v>
      </c>
      <c r="O3261" t="s">
        <v>123</v>
      </c>
      <c r="P3261" t="s">
        <v>518</v>
      </c>
      <c r="Q3261" s="1" t="s">
        <v>2281</v>
      </c>
      <c r="R3261" s="1" t="s">
        <v>2282</v>
      </c>
      <c r="S3261" s="1" t="s">
        <v>123</v>
      </c>
      <c r="X3261" t="s">
        <v>189</v>
      </c>
      <c r="Y3261" t="s">
        <v>2279</v>
      </c>
      <c r="Z3261" t="s">
        <v>2280</v>
      </c>
      <c r="AA3261" t="s">
        <v>2358</v>
      </c>
      <c r="AB3261" t="s">
        <v>189</v>
      </c>
      <c r="AC3261" s="1" t="s">
        <v>152</v>
      </c>
      <c r="AD3261" t="s">
        <v>2278</v>
      </c>
    </row>
    <row r="3262" spans="1:45" x14ac:dyDescent="0.2">
      <c r="A3262" t="s">
        <v>1807</v>
      </c>
      <c r="B3262" t="s">
        <v>1808</v>
      </c>
      <c r="C3262">
        <v>2011</v>
      </c>
      <c r="D3262" t="s">
        <v>44</v>
      </c>
      <c r="F3262" t="s">
        <v>54</v>
      </c>
      <c r="G3262" s="1" t="s">
        <v>86</v>
      </c>
      <c r="H3262" t="s">
        <v>350</v>
      </c>
      <c r="K3262" t="s">
        <v>101</v>
      </c>
      <c r="M3262">
        <f t="shared" si="74"/>
        <v>4.0000000000000008E-2</v>
      </c>
      <c r="N3262" t="s">
        <v>123</v>
      </c>
      <c r="O3262" t="s">
        <v>123</v>
      </c>
      <c r="P3262" t="s">
        <v>518</v>
      </c>
      <c r="Q3262" s="1" t="s">
        <v>2281</v>
      </c>
      <c r="R3262" s="1" t="s">
        <v>2282</v>
      </c>
      <c r="S3262" s="1" t="s">
        <v>123</v>
      </c>
      <c r="X3262" t="s">
        <v>171</v>
      </c>
      <c r="Y3262" t="s">
        <v>2279</v>
      </c>
      <c r="Z3262" t="s">
        <v>2280</v>
      </c>
      <c r="AA3262" t="s">
        <v>2358</v>
      </c>
      <c r="AB3262" t="s">
        <v>2580</v>
      </c>
      <c r="AC3262" s="1" t="s">
        <v>152</v>
      </c>
      <c r="AD3262" t="s">
        <v>2278</v>
      </c>
      <c r="AF3262" s="1" t="s">
        <v>49</v>
      </c>
      <c r="AG3262" t="s">
        <v>49</v>
      </c>
      <c r="AI3262" s="1" t="s">
        <v>49</v>
      </c>
      <c r="AM3262" s="1" t="s">
        <v>1135</v>
      </c>
      <c r="AN3262" s="1" t="s">
        <v>166</v>
      </c>
      <c r="AP3262" s="1" t="s">
        <v>157</v>
      </c>
    </row>
    <row r="3263" spans="1:45" x14ac:dyDescent="0.2">
      <c r="A3263" t="s">
        <v>1807</v>
      </c>
      <c r="B3263" t="s">
        <v>1808</v>
      </c>
      <c r="C3263">
        <v>2011</v>
      </c>
      <c r="D3263" t="s">
        <v>44</v>
      </c>
      <c r="F3263" t="s">
        <v>54</v>
      </c>
      <c r="G3263" s="1" t="s">
        <v>86</v>
      </c>
      <c r="H3263" t="s">
        <v>350</v>
      </c>
      <c r="K3263" t="s">
        <v>101</v>
      </c>
      <c r="M3263">
        <f t="shared" si="74"/>
        <v>4.0000000000000008E-2</v>
      </c>
      <c r="N3263" t="s">
        <v>123</v>
      </c>
      <c r="O3263" t="s">
        <v>123</v>
      </c>
      <c r="P3263" t="s">
        <v>518</v>
      </c>
      <c r="Q3263" s="1" t="s">
        <v>2281</v>
      </c>
      <c r="R3263" s="1" t="s">
        <v>2282</v>
      </c>
      <c r="S3263" s="1" t="s">
        <v>123</v>
      </c>
      <c r="X3263" t="s">
        <v>1809</v>
      </c>
      <c r="Y3263" t="s">
        <v>2279</v>
      </c>
      <c r="Z3263" t="s">
        <v>2361</v>
      </c>
      <c r="AA3263" t="s">
        <v>2362</v>
      </c>
      <c r="AB3263" t="s">
        <v>2296</v>
      </c>
      <c r="AC3263" s="1" t="s">
        <v>162</v>
      </c>
      <c r="AD3263" t="s">
        <v>2278</v>
      </c>
      <c r="AF3263" s="1" t="s">
        <v>49</v>
      </c>
      <c r="AG3263" t="s">
        <v>49</v>
      </c>
      <c r="AI3263" s="1" t="s">
        <v>49</v>
      </c>
      <c r="AM3263" s="1" t="s">
        <v>1135</v>
      </c>
      <c r="AN3263" s="1" t="s">
        <v>166</v>
      </c>
      <c r="AP3263" s="1" t="s">
        <v>49</v>
      </c>
    </row>
    <row r="3264" spans="1:45" x14ac:dyDescent="0.2">
      <c r="A3264" t="s">
        <v>1807</v>
      </c>
      <c r="B3264" t="s">
        <v>1808</v>
      </c>
      <c r="C3264">
        <v>2011</v>
      </c>
      <c r="D3264" t="s">
        <v>44</v>
      </c>
      <c r="F3264" t="s">
        <v>54</v>
      </c>
      <c r="G3264" s="1" t="s">
        <v>86</v>
      </c>
      <c r="H3264" t="s">
        <v>350</v>
      </c>
      <c r="K3264" t="s">
        <v>101</v>
      </c>
      <c r="M3264">
        <f t="shared" si="74"/>
        <v>4.0000000000000008E-2</v>
      </c>
      <c r="N3264" t="s">
        <v>123</v>
      </c>
      <c r="O3264" t="s">
        <v>123</v>
      </c>
      <c r="P3264" t="s">
        <v>518</v>
      </c>
      <c r="Q3264" s="1" t="s">
        <v>2281</v>
      </c>
      <c r="R3264" s="1" t="s">
        <v>2282</v>
      </c>
      <c r="S3264" s="1" t="s">
        <v>123</v>
      </c>
      <c r="X3264" t="s">
        <v>1809</v>
      </c>
      <c r="Y3264" t="s">
        <v>2279</v>
      </c>
      <c r="Z3264" t="s">
        <v>2361</v>
      </c>
      <c r="AA3264" t="s">
        <v>2362</v>
      </c>
      <c r="AB3264" t="s">
        <v>2296</v>
      </c>
      <c r="AC3264" s="1" t="s">
        <v>162</v>
      </c>
      <c r="AD3264" t="s">
        <v>2278</v>
      </c>
      <c r="AF3264" s="1" t="s">
        <v>49</v>
      </c>
      <c r="AG3264" t="s">
        <v>49</v>
      </c>
      <c r="AI3264" s="1" t="s">
        <v>49</v>
      </c>
      <c r="AM3264" s="1" t="s">
        <v>1135</v>
      </c>
      <c r="AN3264" s="1" t="s">
        <v>154</v>
      </c>
      <c r="AP3264" s="1" t="s">
        <v>49</v>
      </c>
    </row>
    <row r="3265" spans="1:42" x14ac:dyDescent="0.2">
      <c r="A3265" t="s">
        <v>1807</v>
      </c>
      <c r="B3265" t="s">
        <v>1808</v>
      </c>
      <c r="C3265">
        <v>2011</v>
      </c>
      <c r="D3265" t="s">
        <v>44</v>
      </c>
      <c r="F3265" t="s">
        <v>54</v>
      </c>
      <c r="G3265" s="1" t="s">
        <v>86</v>
      </c>
      <c r="H3265" t="s">
        <v>350</v>
      </c>
      <c r="K3265" t="s">
        <v>101</v>
      </c>
      <c r="M3265">
        <f t="shared" si="74"/>
        <v>4.0000000000000008E-2</v>
      </c>
      <c r="N3265" t="s">
        <v>123</v>
      </c>
      <c r="O3265" t="s">
        <v>123</v>
      </c>
      <c r="P3265" t="s">
        <v>518</v>
      </c>
      <c r="Q3265" s="1" t="s">
        <v>2281</v>
      </c>
      <c r="R3265" s="1" t="s">
        <v>2282</v>
      </c>
      <c r="S3265" s="1" t="s">
        <v>123</v>
      </c>
      <c r="X3265" t="s">
        <v>150</v>
      </c>
      <c r="Y3265" t="s">
        <v>2279</v>
      </c>
      <c r="Z3265" t="s">
        <v>2280</v>
      </c>
      <c r="AA3265" t="s">
        <v>2358</v>
      </c>
      <c r="AB3265" t="s">
        <v>2009</v>
      </c>
      <c r="AC3265" s="1" t="s">
        <v>152</v>
      </c>
      <c r="AD3265" t="s">
        <v>2278</v>
      </c>
      <c r="AF3265" s="1" t="s">
        <v>49</v>
      </c>
      <c r="AG3265" t="s">
        <v>49</v>
      </c>
      <c r="AI3265" s="1" t="s">
        <v>49</v>
      </c>
      <c r="AM3265" s="1" t="s">
        <v>1135</v>
      </c>
      <c r="AN3265" s="1" t="s">
        <v>166</v>
      </c>
      <c r="AP3265" s="1" t="s">
        <v>49</v>
      </c>
    </row>
    <row r="3266" spans="1:42" x14ac:dyDescent="0.2">
      <c r="A3266" t="s">
        <v>1807</v>
      </c>
      <c r="B3266" t="s">
        <v>1808</v>
      </c>
      <c r="C3266">
        <v>2011</v>
      </c>
      <c r="D3266" t="s">
        <v>44</v>
      </c>
      <c r="F3266" t="s">
        <v>54</v>
      </c>
      <c r="G3266" s="1" t="s">
        <v>86</v>
      </c>
      <c r="H3266" t="s">
        <v>350</v>
      </c>
      <c r="K3266" t="s">
        <v>101</v>
      </c>
      <c r="M3266">
        <f t="shared" si="74"/>
        <v>4.0000000000000008E-2</v>
      </c>
      <c r="N3266" t="s">
        <v>123</v>
      </c>
      <c r="O3266" t="s">
        <v>123</v>
      </c>
      <c r="P3266" t="s">
        <v>518</v>
      </c>
      <c r="Q3266" s="1" t="s">
        <v>2281</v>
      </c>
      <c r="R3266" s="1" t="s">
        <v>2282</v>
      </c>
      <c r="S3266" s="1" t="s">
        <v>123</v>
      </c>
      <c r="X3266" t="s">
        <v>150</v>
      </c>
      <c r="Y3266" t="s">
        <v>2279</v>
      </c>
      <c r="Z3266" t="s">
        <v>2280</v>
      </c>
      <c r="AA3266" t="s">
        <v>2358</v>
      </c>
      <c r="AB3266" t="s">
        <v>2009</v>
      </c>
      <c r="AC3266" s="1" t="s">
        <v>152</v>
      </c>
      <c r="AD3266" t="s">
        <v>2278</v>
      </c>
      <c r="AF3266" s="1" t="s">
        <v>49</v>
      </c>
      <c r="AG3266" t="s">
        <v>49</v>
      </c>
      <c r="AI3266" s="1" t="s">
        <v>49</v>
      </c>
      <c r="AM3266" s="1" t="s">
        <v>1135</v>
      </c>
      <c r="AN3266" s="1" t="s">
        <v>154</v>
      </c>
      <c r="AP3266" s="1" t="s">
        <v>49</v>
      </c>
    </row>
    <row r="3267" spans="1:42" x14ac:dyDescent="0.2">
      <c r="A3267" t="s">
        <v>1807</v>
      </c>
      <c r="B3267" t="s">
        <v>1808</v>
      </c>
      <c r="C3267">
        <v>2011</v>
      </c>
      <c r="D3267" t="s">
        <v>44</v>
      </c>
      <c r="F3267" t="s">
        <v>54</v>
      </c>
      <c r="G3267" s="1" t="s">
        <v>86</v>
      </c>
      <c r="H3267" t="s">
        <v>350</v>
      </c>
      <c r="K3267" t="s">
        <v>101</v>
      </c>
      <c r="M3267">
        <f t="shared" si="74"/>
        <v>4.0000000000000008E-2</v>
      </c>
      <c r="N3267" t="s">
        <v>123</v>
      </c>
      <c r="O3267" t="s">
        <v>123</v>
      </c>
      <c r="P3267" t="s">
        <v>518</v>
      </c>
      <c r="Q3267" s="1" t="s">
        <v>2281</v>
      </c>
      <c r="R3267" s="1" t="s">
        <v>2282</v>
      </c>
      <c r="S3267" s="1" t="s">
        <v>123</v>
      </c>
      <c r="X3267" t="s">
        <v>150</v>
      </c>
      <c r="Y3267" t="s">
        <v>2279</v>
      </c>
      <c r="Z3267" t="s">
        <v>2280</v>
      </c>
      <c r="AA3267" t="s">
        <v>2358</v>
      </c>
      <c r="AB3267" t="s">
        <v>2009</v>
      </c>
      <c r="AC3267" s="1" t="s">
        <v>152</v>
      </c>
      <c r="AD3267" t="s">
        <v>2278</v>
      </c>
      <c r="AF3267" t="s">
        <v>49</v>
      </c>
      <c r="AG3267" t="s">
        <v>49</v>
      </c>
      <c r="AK3267" t="s">
        <v>49</v>
      </c>
      <c r="AM3267" s="1" t="s">
        <v>424</v>
      </c>
      <c r="AN3267" s="1" t="s">
        <v>166</v>
      </c>
      <c r="AP3267" s="1" t="s">
        <v>157</v>
      </c>
    </row>
    <row r="3268" spans="1:42" x14ac:dyDescent="0.2">
      <c r="A3268" t="s">
        <v>1807</v>
      </c>
      <c r="B3268" t="s">
        <v>1808</v>
      </c>
      <c r="C3268">
        <v>2011</v>
      </c>
      <c r="D3268" t="s">
        <v>44</v>
      </c>
      <c r="F3268" t="s">
        <v>54</v>
      </c>
      <c r="G3268" s="1" t="s">
        <v>86</v>
      </c>
      <c r="H3268" t="s">
        <v>350</v>
      </c>
      <c r="K3268" t="s">
        <v>101</v>
      </c>
      <c r="M3268">
        <f t="shared" si="74"/>
        <v>4.0000000000000008E-2</v>
      </c>
      <c r="N3268" t="s">
        <v>123</v>
      </c>
      <c r="O3268" t="s">
        <v>123</v>
      </c>
      <c r="P3268" t="s">
        <v>518</v>
      </c>
      <c r="Q3268" s="1" t="s">
        <v>2281</v>
      </c>
      <c r="R3268" s="1" t="s">
        <v>2282</v>
      </c>
      <c r="S3268" s="1" t="s">
        <v>123</v>
      </c>
      <c r="X3268" t="s">
        <v>150</v>
      </c>
      <c r="Y3268" t="s">
        <v>2279</v>
      </c>
      <c r="Z3268" t="s">
        <v>2280</v>
      </c>
      <c r="AA3268" t="s">
        <v>2358</v>
      </c>
      <c r="AB3268" t="s">
        <v>2009</v>
      </c>
      <c r="AC3268" s="1" t="s">
        <v>152</v>
      </c>
      <c r="AD3268" t="s">
        <v>2278</v>
      </c>
      <c r="AG3268" t="s">
        <v>49</v>
      </c>
      <c r="AK3268" t="s">
        <v>49</v>
      </c>
      <c r="AM3268" s="1" t="s">
        <v>1570</v>
      </c>
      <c r="AN3268" s="1" t="s">
        <v>166</v>
      </c>
      <c r="AP3268" s="1" t="s">
        <v>157</v>
      </c>
    </row>
    <row r="3269" spans="1:42" x14ac:dyDescent="0.2">
      <c r="A3269" t="s">
        <v>1807</v>
      </c>
      <c r="B3269" t="s">
        <v>1808</v>
      </c>
      <c r="C3269">
        <v>2011</v>
      </c>
      <c r="D3269" t="s">
        <v>44</v>
      </c>
      <c r="F3269" t="s">
        <v>54</v>
      </c>
      <c r="G3269" s="1" t="s">
        <v>86</v>
      </c>
      <c r="H3269" t="s">
        <v>350</v>
      </c>
      <c r="K3269" t="s">
        <v>101</v>
      </c>
      <c r="M3269">
        <f t="shared" si="74"/>
        <v>4.0000000000000008E-2</v>
      </c>
      <c r="N3269" t="s">
        <v>123</v>
      </c>
      <c r="O3269" t="s">
        <v>123</v>
      </c>
      <c r="P3269" t="s">
        <v>518</v>
      </c>
      <c r="Q3269" s="1" t="s">
        <v>2281</v>
      </c>
      <c r="R3269" s="1" t="s">
        <v>2282</v>
      </c>
      <c r="S3269" s="1" t="s">
        <v>123</v>
      </c>
      <c r="X3269" t="s">
        <v>150</v>
      </c>
      <c r="Y3269" t="s">
        <v>2279</v>
      </c>
      <c r="Z3269" t="s">
        <v>2280</v>
      </c>
      <c r="AA3269" t="s">
        <v>2358</v>
      </c>
      <c r="AB3269" t="s">
        <v>2009</v>
      </c>
      <c r="AC3269" s="1" t="s">
        <v>152</v>
      </c>
      <c r="AD3269" t="s">
        <v>2278</v>
      </c>
      <c r="AF3269" t="s">
        <v>49</v>
      </c>
      <c r="AG3269" t="s">
        <v>49</v>
      </c>
      <c r="AK3269" t="s">
        <v>49</v>
      </c>
      <c r="AM3269" s="1" t="s">
        <v>1348</v>
      </c>
      <c r="AN3269" s="1" t="s">
        <v>166</v>
      </c>
      <c r="AP3269" s="1" t="s">
        <v>173</v>
      </c>
    </row>
    <row r="3270" spans="1:42" x14ac:dyDescent="0.2">
      <c r="A3270" t="s">
        <v>1807</v>
      </c>
      <c r="B3270" t="s">
        <v>1808</v>
      </c>
      <c r="C3270">
        <v>2011</v>
      </c>
      <c r="D3270" t="s">
        <v>811</v>
      </c>
      <c r="F3270" t="s">
        <v>54</v>
      </c>
      <c r="G3270" s="1" t="s">
        <v>86</v>
      </c>
      <c r="H3270" t="s">
        <v>350</v>
      </c>
      <c r="I3270">
        <v>2007</v>
      </c>
      <c r="J3270">
        <v>0.33</v>
      </c>
      <c r="K3270" t="s">
        <v>101</v>
      </c>
      <c r="M3270">
        <f t="shared" si="74"/>
        <v>4.0000000000000008E-2</v>
      </c>
      <c r="N3270" t="s">
        <v>123</v>
      </c>
      <c r="O3270" t="s">
        <v>123</v>
      </c>
      <c r="P3270" t="s">
        <v>518</v>
      </c>
      <c r="Q3270" s="1" t="s">
        <v>2281</v>
      </c>
      <c r="R3270" s="1" t="s">
        <v>2282</v>
      </c>
      <c r="S3270" s="1" t="s">
        <v>123</v>
      </c>
      <c r="X3270" t="s">
        <v>1809</v>
      </c>
      <c r="Y3270" t="s">
        <v>2279</v>
      </c>
      <c r="Z3270" t="s">
        <v>2361</v>
      </c>
      <c r="AA3270" t="s">
        <v>2362</v>
      </c>
      <c r="AB3270" t="s">
        <v>2296</v>
      </c>
      <c r="AC3270" s="1" t="s">
        <v>162</v>
      </c>
      <c r="AD3270" t="s">
        <v>2278</v>
      </c>
      <c r="AF3270" t="s">
        <v>49</v>
      </c>
      <c r="AG3270" t="s">
        <v>49</v>
      </c>
      <c r="AI3270" s="1" t="s">
        <v>49</v>
      </c>
      <c r="AM3270" s="1" t="s">
        <v>1135</v>
      </c>
      <c r="AN3270" s="1" t="s">
        <v>166</v>
      </c>
      <c r="AP3270" s="1" t="s">
        <v>49</v>
      </c>
    </row>
    <row r="3271" spans="1:42" x14ac:dyDescent="0.2">
      <c r="A3271" t="s">
        <v>1807</v>
      </c>
      <c r="B3271" t="s">
        <v>1808</v>
      </c>
      <c r="C3271">
        <v>2011</v>
      </c>
      <c r="D3271" t="s">
        <v>44</v>
      </c>
      <c r="F3271" t="s">
        <v>54</v>
      </c>
      <c r="G3271" s="1" t="s">
        <v>86</v>
      </c>
      <c r="H3271" t="s">
        <v>350</v>
      </c>
      <c r="K3271" t="s">
        <v>101</v>
      </c>
      <c r="M3271">
        <f t="shared" si="74"/>
        <v>4.0000000000000008E-2</v>
      </c>
      <c r="N3271" t="s">
        <v>123</v>
      </c>
      <c r="O3271" t="s">
        <v>123</v>
      </c>
      <c r="P3271" t="s">
        <v>518</v>
      </c>
      <c r="Q3271" s="1" t="s">
        <v>2281</v>
      </c>
      <c r="R3271" s="1" t="s">
        <v>2282</v>
      </c>
      <c r="S3271" s="1" t="s">
        <v>123</v>
      </c>
      <c r="X3271" t="s">
        <v>1809</v>
      </c>
      <c r="Y3271" t="s">
        <v>2279</v>
      </c>
      <c r="Z3271" t="s">
        <v>2361</v>
      </c>
      <c r="AA3271" t="s">
        <v>2362</v>
      </c>
      <c r="AB3271" t="s">
        <v>2296</v>
      </c>
      <c r="AC3271" s="1" t="s">
        <v>162</v>
      </c>
      <c r="AD3271" t="s">
        <v>2278</v>
      </c>
      <c r="AF3271" s="1" t="s">
        <v>49</v>
      </c>
      <c r="AG3271" t="s">
        <v>49</v>
      </c>
      <c r="AI3271" s="1" t="s">
        <v>49</v>
      </c>
      <c r="AM3271" s="1" t="s">
        <v>1135</v>
      </c>
      <c r="AN3271" s="1" t="s">
        <v>165</v>
      </c>
      <c r="AP3271" s="1" t="s">
        <v>49</v>
      </c>
    </row>
    <row r="3272" spans="1:42" x14ac:dyDescent="0.2">
      <c r="A3272" t="s">
        <v>1807</v>
      </c>
      <c r="B3272" t="s">
        <v>1808</v>
      </c>
      <c r="C3272">
        <v>2011</v>
      </c>
      <c r="D3272" t="s">
        <v>811</v>
      </c>
      <c r="F3272" t="s">
        <v>54</v>
      </c>
      <c r="G3272" s="1" t="s">
        <v>86</v>
      </c>
      <c r="H3272" t="s">
        <v>350</v>
      </c>
      <c r="I3272">
        <v>2007</v>
      </c>
      <c r="J3272">
        <v>0.33</v>
      </c>
      <c r="K3272" t="s">
        <v>101</v>
      </c>
      <c r="M3272">
        <f t="shared" si="74"/>
        <v>4.0000000000000008E-2</v>
      </c>
      <c r="N3272" t="s">
        <v>123</v>
      </c>
      <c r="O3272" t="s">
        <v>123</v>
      </c>
      <c r="P3272" t="s">
        <v>518</v>
      </c>
      <c r="Q3272" s="1" t="s">
        <v>2281</v>
      </c>
      <c r="R3272" s="1" t="s">
        <v>2282</v>
      </c>
      <c r="S3272" s="1" t="s">
        <v>123</v>
      </c>
      <c r="X3272" t="s">
        <v>1809</v>
      </c>
      <c r="Y3272" t="s">
        <v>2279</v>
      </c>
      <c r="Z3272" t="s">
        <v>2361</v>
      </c>
      <c r="AA3272" t="s">
        <v>2362</v>
      </c>
      <c r="AB3272" t="s">
        <v>2296</v>
      </c>
      <c r="AC3272" s="1" t="s">
        <v>162</v>
      </c>
      <c r="AD3272" t="s">
        <v>2278</v>
      </c>
      <c r="AF3272" t="s">
        <v>49</v>
      </c>
      <c r="AG3272" t="s">
        <v>49</v>
      </c>
      <c r="AI3272" s="1" t="s">
        <v>49</v>
      </c>
      <c r="AM3272" s="1" t="s">
        <v>1135</v>
      </c>
      <c r="AN3272" s="1" t="s">
        <v>165</v>
      </c>
      <c r="AP3272" s="1" t="s">
        <v>49</v>
      </c>
    </row>
    <row r="3273" spans="1:42" x14ac:dyDescent="0.2">
      <c r="A3273" t="s">
        <v>1810</v>
      </c>
      <c r="B3273" t="s">
        <v>1808</v>
      </c>
      <c r="C3273">
        <v>2011</v>
      </c>
      <c r="D3273" t="s">
        <v>44</v>
      </c>
      <c r="F3273" t="s">
        <v>54</v>
      </c>
      <c r="G3273" s="1" t="s">
        <v>86</v>
      </c>
      <c r="H3273" t="s">
        <v>350</v>
      </c>
      <c r="I3273">
        <v>2009</v>
      </c>
      <c r="K3273" t="s">
        <v>101</v>
      </c>
      <c r="M3273">
        <f t="shared" ref="M3273:M3281" si="75">0.1*0.1</f>
        <v>1.0000000000000002E-2</v>
      </c>
      <c r="N3273" t="s">
        <v>123</v>
      </c>
      <c r="O3273" t="s">
        <v>123</v>
      </c>
      <c r="P3273" t="s">
        <v>518</v>
      </c>
      <c r="Q3273" s="1" t="s">
        <v>2281</v>
      </c>
      <c r="R3273" s="1" t="s">
        <v>2282</v>
      </c>
      <c r="S3273" s="1" t="s">
        <v>123</v>
      </c>
      <c r="X3273" t="s">
        <v>819</v>
      </c>
      <c r="Y3273" t="s">
        <v>2279</v>
      </c>
      <c r="Z3273" t="s">
        <v>2280</v>
      </c>
      <c r="AA3273" t="s">
        <v>2358</v>
      </c>
      <c r="AB3273" t="s">
        <v>2009</v>
      </c>
      <c r="AC3273" s="1" t="s">
        <v>152</v>
      </c>
      <c r="AD3273" t="s">
        <v>2278</v>
      </c>
    </row>
    <row r="3274" spans="1:42" x14ac:dyDescent="0.2">
      <c r="A3274" t="s">
        <v>1810</v>
      </c>
      <c r="B3274" t="s">
        <v>1808</v>
      </c>
      <c r="C3274">
        <v>2011</v>
      </c>
      <c r="D3274" t="s">
        <v>44</v>
      </c>
      <c r="F3274" t="s">
        <v>54</v>
      </c>
      <c r="G3274" s="1" t="s">
        <v>86</v>
      </c>
      <c r="H3274" t="s">
        <v>350</v>
      </c>
      <c r="I3274">
        <v>2009</v>
      </c>
      <c r="K3274" t="s">
        <v>101</v>
      </c>
      <c r="M3274">
        <f t="shared" si="75"/>
        <v>1.0000000000000002E-2</v>
      </c>
      <c r="N3274" t="s">
        <v>123</v>
      </c>
      <c r="O3274" t="s">
        <v>123</v>
      </c>
      <c r="P3274" t="s">
        <v>518</v>
      </c>
      <c r="Q3274" s="1" t="s">
        <v>2281</v>
      </c>
      <c r="R3274" s="1" t="s">
        <v>2282</v>
      </c>
      <c r="S3274" s="1" t="s">
        <v>123</v>
      </c>
      <c r="X3274" t="s">
        <v>502</v>
      </c>
      <c r="Y3274" t="s">
        <v>2279</v>
      </c>
      <c r="Z3274" t="s">
        <v>2280</v>
      </c>
      <c r="AA3274" t="s">
        <v>2358</v>
      </c>
      <c r="AB3274" t="s">
        <v>2459</v>
      </c>
      <c r="AC3274" s="1" t="s">
        <v>152</v>
      </c>
      <c r="AD3274" t="s">
        <v>2278</v>
      </c>
      <c r="AF3274" t="s">
        <v>49</v>
      </c>
      <c r="AI3274" t="s">
        <v>49</v>
      </c>
      <c r="AM3274" s="1" t="s">
        <v>1135</v>
      </c>
      <c r="AN3274" s="1" t="s">
        <v>154</v>
      </c>
      <c r="AP3274" s="1" t="s">
        <v>49</v>
      </c>
    </row>
    <row r="3275" spans="1:42" x14ac:dyDescent="0.2">
      <c r="A3275" t="s">
        <v>1810</v>
      </c>
      <c r="B3275" t="s">
        <v>1808</v>
      </c>
      <c r="C3275">
        <v>2011</v>
      </c>
      <c r="D3275" t="s">
        <v>44</v>
      </c>
      <c r="F3275" t="s">
        <v>54</v>
      </c>
      <c r="G3275" s="1" t="s">
        <v>86</v>
      </c>
      <c r="H3275" t="s">
        <v>350</v>
      </c>
      <c r="I3275">
        <v>2009</v>
      </c>
      <c r="K3275" t="s">
        <v>101</v>
      </c>
      <c r="M3275">
        <f t="shared" si="75"/>
        <v>1.0000000000000002E-2</v>
      </c>
      <c r="N3275" t="s">
        <v>123</v>
      </c>
      <c r="O3275" t="s">
        <v>123</v>
      </c>
      <c r="P3275" t="s">
        <v>518</v>
      </c>
      <c r="Q3275" s="1" t="s">
        <v>2281</v>
      </c>
      <c r="R3275" s="1" t="s">
        <v>2282</v>
      </c>
      <c r="S3275" s="1" t="s">
        <v>123</v>
      </c>
      <c r="X3275" t="s">
        <v>151</v>
      </c>
      <c r="Y3275" t="s">
        <v>2273</v>
      </c>
      <c r="Z3275" t="s">
        <v>249</v>
      </c>
      <c r="AA3275" t="s">
        <v>2274</v>
      </c>
      <c r="AB3275" t="s">
        <v>2283</v>
      </c>
      <c r="AC3275" s="1" t="s">
        <v>315</v>
      </c>
      <c r="AD3275" t="s">
        <v>137</v>
      </c>
    </row>
    <row r="3276" spans="1:42" x14ac:dyDescent="0.2">
      <c r="A3276" t="s">
        <v>1810</v>
      </c>
      <c r="B3276" t="s">
        <v>1808</v>
      </c>
      <c r="C3276">
        <v>2011</v>
      </c>
      <c r="D3276" t="s">
        <v>44</v>
      </c>
      <c r="F3276" t="s">
        <v>54</v>
      </c>
      <c r="G3276" s="1" t="s">
        <v>86</v>
      </c>
      <c r="H3276" t="s">
        <v>350</v>
      </c>
      <c r="I3276">
        <v>2009</v>
      </c>
      <c r="K3276" t="s">
        <v>101</v>
      </c>
      <c r="M3276">
        <f t="shared" si="75"/>
        <v>1.0000000000000002E-2</v>
      </c>
      <c r="N3276" t="s">
        <v>123</v>
      </c>
      <c r="O3276" t="s">
        <v>123</v>
      </c>
      <c r="P3276" t="s">
        <v>518</v>
      </c>
      <c r="Q3276" s="1" t="s">
        <v>2281</v>
      </c>
      <c r="R3276" s="1" t="s">
        <v>2282</v>
      </c>
      <c r="S3276" s="1" t="s">
        <v>123</v>
      </c>
      <c r="X3276" t="s">
        <v>171</v>
      </c>
      <c r="Y3276" t="s">
        <v>2279</v>
      </c>
      <c r="Z3276" t="s">
        <v>2280</v>
      </c>
      <c r="AA3276" t="s">
        <v>2358</v>
      </c>
      <c r="AB3276" t="s">
        <v>2580</v>
      </c>
      <c r="AC3276" s="1" t="s">
        <v>152</v>
      </c>
      <c r="AD3276" t="s">
        <v>2278</v>
      </c>
      <c r="AF3276" t="s">
        <v>49</v>
      </c>
      <c r="AI3276" t="s">
        <v>49</v>
      </c>
      <c r="AM3276" s="1" t="s">
        <v>1135</v>
      </c>
      <c r="AN3276" s="1" t="s">
        <v>154</v>
      </c>
      <c r="AP3276" s="1" t="s">
        <v>49</v>
      </c>
    </row>
    <row r="3277" spans="1:42" x14ac:dyDescent="0.2">
      <c r="A3277" t="s">
        <v>1810</v>
      </c>
      <c r="B3277" t="s">
        <v>1808</v>
      </c>
      <c r="C3277">
        <v>2011</v>
      </c>
      <c r="D3277" t="s">
        <v>44</v>
      </c>
      <c r="F3277" t="s">
        <v>54</v>
      </c>
      <c r="G3277" s="1" t="s">
        <v>86</v>
      </c>
      <c r="H3277" t="s">
        <v>350</v>
      </c>
      <c r="I3277">
        <v>2009</v>
      </c>
      <c r="K3277" t="s">
        <v>101</v>
      </c>
      <c r="M3277">
        <f t="shared" si="75"/>
        <v>1.0000000000000002E-2</v>
      </c>
      <c r="N3277" t="s">
        <v>123</v>
      </c>
      <c r="O3277" t="s">
        <v>123</v>
      </c>
      <c r="P3277" t="s">
        <v>518</v>
      </c>
      <c r="Q3277" s="1" t="s">
        <v>2281</v>
      </c>
      <c r="R3277" s="1" t="s">
        <v>2282</v>
      </c>
      <c r="S3277" s="1" t="s">
        <v>123</v>
      </c>
      <c r="X3277" t="s">
        <v>490</v>
      </c>
      <c r="Y3277" t="s">
        <v>2279</v>
      </c>
      <c r="Z3277" t="s">
        <v>2280</v>
      </c>
      <c r="AA3277" t="s">
        <v>2358</v>
      </c>
      <c r="AB3277" t="s">
        <v>2290</v>
      </c>
      <c r="AC3277" s="1" t="s">
        <v>162</v>
      </c>
      <c r="AD3277" t="s">
        <v>2278</v>
      </c>
      <c r="AF3277" t="s">
        <v>49</v>
      </c>
      <c r="AI3277" t="s">
        <v>49</v>
      </c>
      <c r="AM3277" s="1" t="s">
        <v>1135</v>
      </c>
      <c r="AN3277" s="1" t="s">
        <v>154</v>
      </c>
      <c r="AP3277" s="1" t="s">
        <v>49</v>
      </c>
    </row>
    <row r="3278" spans="1:42" x14ac:dyDescent="0.2">
      <c r="A3278" t="s">
        <v>1810</v>
      </c>
      <c r="B3278" t="s">
        <v>1808</v>
      </c>
      <c r="C3278">
        <v>2011</v>
      </c>
      <c r="D3278" t="s">
        <v>44</v>
      </c>
      <c r="F3278" t="s">
        <v>54</v>
      </c>
      <c r="G3278" s="1" t="s">
        <v>86</v>
      </c>
      <c r="H3278" t="s">
        <v>350</v>
      </c>
      <c r="I3278">
        <v>2009</v>
      </c>
      <c r="K3278" t="s">
        <v>101</v>
      </c>
      <c r="M3278">
        <f t="shared" si="75"/>
        <v>1.0000000000000002E-2</v>
      </c>
      <c r="N3278" t="s">
        <v>123</v>
      </c>
      <c r="O3278" t="s">
        <v>123</v>
      </c>
      <c r="P3278" t="s">
        <v>518</v>
      </c>
      <c r="Q3278" s="1" t="s">
        <v>2281</v>
      </c>
      <c r="R3278" s="1" t="s">
        <v>2282</v>
      </c>
      <c r="S3278" s="1" t="s">
        <v>123</v>
      </c>
      <c r="X3278" t="s">
        <v>1811</v>
      </c>
      <c r="Y3278" t="s">
        <v>2279</v>
      </c>
      <c r="Z3278" t="s">
        <v>2280</v>
      </c>
      <c r="AA3278" t="s">
        <v>2286</v>
      </c>
      <c r="AB3278" t="s">
        <v>2287</v>
      </c>
      <c r="AC3278" s="1" t="s">
        <v>315</v>
      </c>
      <c r="AD3278" t="s">
        <v>2278</v>
      </c>
    </row>
    <row r="3279" spans="1:42" x14ac:dyDescent="0.2">
      <c r="A3279" t="s">
        <v>1810</v>
      </c>
      <c r="B3279" t="s">
        <v>1808</v>
      </c>
      <c r="C3279">
        <v>2011</v>
      </c>
      <c r="D3279" t="s">
        <v>44</v>
      </c>
      <c r="F3279" t="s">
        <v>54</v>
      </c>
      <c r="G3279" s="1" t="s">
        <v>86</v>
      </c>
      <c r="H3279" t="s">
        <v>350</v>
      </c>
      <c r="I3279">
        <v>2009</v>
      </c>
      <c r="K3279" t="s">
        <v>101</v>
      </c>
      <c r="M3279">
        <f t="shared" si="75"/>
        <v>1.0000000000000002E-2</v>
      </c>
      <c r="N3279" t="s">
        <v>123</v>
      </c>
      <c r="O3279" t="s">
        <v>123</v>
      </c>
      <c r="P3279" t="s">
        <v>518</v>
      </c>
      <c r="Q3279" s="1" t="s">
        <v>2281</v>
      </c>
      <c r="R3279" s="1" t="s">
        <v>2282</v>
      </c>
      <c r="S3279" s="1" t="s">
        <v>123</v>
      </c>
      <c r="X3279" t="s">
        <v>490</v>
      </c>
      <c r="Y3279" t="s">
        <v>2279</v>
      </c>
      <c r="Z3279" t="s">
        <v>2280</v>
      </c>
      <c r="AA3279" t="s">
        <v>2358</v>
      </c>
      <c r="AB3279" t="s">
        <v>2290</v>
      </c>
      <c r="AC3279" s="1" t="s">
        <v>162</v>
      </c>
      <c r="AD3279" t="s">
        <v>2278</v>
      </c>
      <c r="AF3279" t="s">
        <v>49</v>
      </c>
      <c r="AI3279" t="s">
        <v>49</v>
      </c>
      <c r="AM3279" s="1" t="s">
        <v>1135</v>
      </c>
      <c r="AN3279" s="1" t="s">
        <v>166</v>
      </c>
      <c r="AP3279" s="1" t="s">
        <v>49</v>
      </c>
    </row>
    <row r="3280" spans="1:42" x14ac:dyDescent="0.2">
      <c r="A3280" t="s">
        <v>1810</v>
      </c>
      <c r="B3280" t="s">
        <v>1808</v>
      </c>
      <c r="C3280">
        <v>2011</v>
      </c>
      <c r="D3280" t="s">
        <v>44</v>
      </c>
      <c r="F3280" t="s">
        <v>54</v>
      </c>
      <c r="G3280" s="1" t="s">
        <v>86</v>
      </c>
      <c r="H3280" t="s">
        <v>350</v>
      </c>
      <c r="I3280">
        <v>2009</v>
      </c>
      <c r="K3280" t="s">
        <v>101</v>
      </c>
      <c r="M3280">
        <f t="shared" si="75"/>
        <v>1.0000000000000002E-2</v>
      </c>
      <c r="N3280" t="s">
        <v>123</v>
      </c>
      <c r="O3280" t="s">
        <v>123</v>
      </c>
      <c r="P3280" t="s">
        <v>518</v>
      </c>
      <c r="Q3280" s="1" t="s">
        <v>2281</v>
      </c>
      <c r="R3280" s="1" t="s">
        <v>2282</v>
      </c>
      <c r="S3280" s="1" t="s">
        <v>123</v>
      </c>
      <c r="X3280" t="s">
        <v>171</v>
      </c>
      <c r="Y3280" t="s">
        <v>2279</v>
      </c>
      <c r="Z3280" t="s">
        <v>2280</v>
      </c>
      <c r="AA3280" t="s">
        <v>2358</v>
      </c>
      <c r="AB3280" t="s">
        <v>2580</v>
      </c>
      <c r="AC3280" s="1" t="s">
        <v>152</v>
      </c>
      <c r="AD3280" t="s">
        <v>2278</v>
      </c>
      <c r="AF3280" t="s">
        <v>49</v>
      </c>
      <c r="AI3280" t="s">
        <v>49</v>
      </c>
      <c r="AM3280" s="1" t="s">
        <v>1135</v>
      </c>
      <c r="AN3280" s="1" t="s">
        <v>166</v>
      </c>
      <c r="AP3280" s="1" t="s">
        <v>49</v>
      </c>
    </row>
    <row r="3281" spans="1:43" x14ac:dyDescent="0.2">
      <c r="A3281" t="s">
        <v>1810</v>
      </c>
      <c r="B3281" t="s">
        <v>1808</v>
      </c>
      <c r="C3281">
        <v>2011</v>
      </c>
      <c r="D3281" t="s">
        <v>44</v>
      </c>
      <c r="F3281" t="s">
        <v>54</v>
      </c>
      <c r="G3281" s="1" t="s">
        <v>86</v>
      </c>
      <c r="H3281" t="s">
        <v>350</v>
      </c>
      <c r="I3281">
        <v>2009</v>
      </c>
      <c r="K3281" t="s">
        <v>101</v>
      </c>
      <c r="M3281">
        <f t="shared" si="75"/>
        <v>1.0000000000000002E-2</v>
      </c>
      <c r="N3281" t="s">
        <v>123</v>
      </c>
      <c r="O3281" t="s">
        <v>123</v>
      </c>
      <c r="P3281" t="s">
        <v>518</v>
      </c>
      <c r="Q3281" s="1" t="s">
        <v>2281</v>
      </c>
      <c r="R3281" s="1" t="s">
        <v>2282</v>
      </c>
      <c r="S3281" s="1" t="s">
        <v>123</v>
      </c>
      <c r="X3281" t="s">
        <v>502</v>
      </c>
      <c r="Y3281" t="s">
        <v>2279</v>
      </c>
      <c r="Z3281" t="s">
        <v>2280</v>
      </c>
      <c r="AA3281" t="s">
        <v>2358</v>
      </c>
      <c r="AB3281" t="s">
        <v>2459</v>
      </c>
      <c r="AC3281" s="1" t="s">
        <v>152</v>
      </c>
      <c r="AD3281" t="s">
        <v>2278</v>
      </c>
      <c r="AF3281" t="s">
        <v>49</v>
      </c>
      <c r="AI3281" t="s">
        <v>49</v>
      </c>
      <c r="AM3281" s="1" t="s">
        <v>1135</v>
      </c>
      <c r="AN3281" s="1" t="s">
        <v>166</v>
      </c>
      <c r="AP3281" s="1" t="s">
        <v>49</v>
      </c>
    </row>
    <row r="3282" spans="1:43" x14ac:dyDescent="0.2">
      <c r="A3282" t="s">
        <v>1810</v>
      </c>
      <c r="B3282" t="s">
        <v>1808</v>
      </c>
      <c r="C3282">
        <v>2011</v>
      </c>
      <c r="D3282" t="s">
        <v>811</v>
      </c>
      <c r="F3282" t="s">
        <v>54</v>
      </c>
      <c r="G3282" s="1" t="s">
        <v>86</v>
      </c>
      <c r="H3282" t="s">
        <v>350</v>
      </c>
      <c r="I3282">
        <v>2008</v>
      </c>
      <c r="J3282">
        <v>0.42</v>
      </c>
      <c r="K3282" t="s">
        <v>109</v>
      </c>
      <c r="M3282">
        <f>0.2*0.2</f>
        <v>4.0000000000000008E-2</v>
      </c>
      <c r="N3282" t="s">
        <v>123</v>
      </c>
      <c r="O3282" t="s">
        <v>123</v>
      </c>
      <c r="P3282" t="s">
        <v>518</v>
      </c>
      <c r="Q3282" s="1" t="s">
        <v>2281</v>
      </c>
      <c r="R3282" s="1" t="s">
        <v>2282</v>
      </c>
      <c r="S3282" s="1" t="s">
        <v>123</v>
      </c>
      <c r="X3282" t="s">
        <v>189</v>
      </c>
      <c r="Y3282" t="s">
        <v>2279</v>
      </c>
      <c r="Z3282" t="s">
        <v>2280</v>
      </c>
      <c r="AA3282" t="s">
        <v>2358</v>
      </c>
      <c r="AB3282" t="s">
        <v>189</v>
      </c>
      <c r="AC3282" s="1" t="s">
        <v>152</v>
      </c>
      <c r="AD3282" t="s">
        <v>2278</v>
      </c>
    </row>
    <row r="3283" spans="1:43" x14ac:dyDescent="0.2">
      <c r="A3283" t="s">
        <v>1810</v>
      </c>
      <c r="B3283" t="s">
        <v>1808</v>
      </c>
      <c r="C3283">
        <v>2011</v>
      </c>
      <c r="D3283" t="s">
        <v>811</v>
      </c>
      <c r="F3283" t="s">
        <v>54</v>
      </c>
      <c r="G3283" s="1" t="s">
        <v>86</v>
      </c>
      <c r="H3283" t="s">
        <v>350</v>
      </c>
      <c r="I3283">
        <v>2008</v>
      </c>
      <c r="J3283">
        <v>0.42</v>
      </c>
      <c r="K3283" t="s">
        <v>109</v>
      </c>
      <c r="M3283">
        <f>0.2*0.2</f>
        <v>4.0000000000000008E-2</v>
      </c>
      <c r="N3283" t="s">
        <v>123</v>
      </c>
      <c r="O3283" t="s">
        <v>123</v>
      </c>
      <c r="P3283" t="s">
        <v>518</v>
      </c>
      <c r="Q3283" s="1" t="s">
        <v>2281</v>
      </c>
      <c r="R3283" s="1" t="s">
        <v>2282</v>
      </c>
      <c r="S3283" s="1" t="s">
        <v>123</v>
      </c>
      <c r="X3283" t="s">
        <v>490</v>
      </c>
      <c r="Y3283" t="s">
        <v>2279</v>
      </c>
      <c r="Z3283" t="s">
        <v>2280</v>
      </c>
      <c r="AA3283" t="s">
        <v>2358</v>
      </c>
      <c r="AB3283" t="s">
        <v>2290</v>
      </c>
      <c r="AC3283" s="1" t="s">
        <v>152</v>
      </c>
      <c r="AD3283" t="s">
        <v>2278</v>
      </c>
    </row>
    <row r="3284" spans="1:43" x14ac:dyDescent="0.2">
      <c r="A3284" t="s">
        <v>1810</v>
      </c>
      <c r="B3284" t="s">
        <v>1808</v>
      </c>
      <c r="C3284">
        <v>2011</v>
      </c>
      <c r="D3284" t="s">
        <v>811</v>
      </c>
      <c r="F3284" t="s">
        <v>54</v>
      </c>
      <c r="G3284" s="1" t="s">
        <v>86</v>
      </c>
      <c r="H3284" t="s">
        <v>350</v>
      </c>
      <c r="I3284">
        <v>2008</v>
      </c>
      <c r="J3284">
        <v>0.42</v>
      </c>
      <c r="K3284" t="s">
        <v>109</v>
      </c>
      <c r="M3284">
        <f>0.2*0.2</f>
        <v>4.0000000000000008E-2</v>
      </c>
      <c r="N3284" t="s">
        <v>123</v>
      </c>
      <c r="O3284" t="s">
        <v>123</v>
      </c>
      <c r="P3284" t="s">
        <v>518</v>
      </c>
      <c r="Q3284" s="1" t="s">
        <v>2281</v>
      </c>
      <c r="R3284" s="1" t="s">
        <v>2282</v>
      </c>
      <c r="S3284" s="1" t="s">
        <v>123</v>
      </c>
      <c r="X3284" t="s">
        <v>1812</v>
      </c>
      <c r="Y3284" t="s">
        <v>2279</v>
      </c>
      <c r="Z3284" t="s">
        <v>2280</v>
      </c>
      <c r="AA3284" t="s">
        <v>2286</v>
      </c>
      <c r="AB3284" t="s">
        <v>2287</v>
      </c>
      <c r="AC3284" s="1" t="s">
        <v>162</v>
      </c>
      <c r="AD3284" t="s">
        <v>2278</v>
      </c>
      <c r="AF3284" t="s">
        <v>49</v>
      </c>
      <c r="AI3284" t="s">
        <v>49</v>
      </c>
      <c r="AM3284" s="1" t="s">
        <v>1135</v>
      </c>
      <c r="AN3284" s="1" t="s">
        <v>166</v>
      </c>
      <c r="AP3284" s="1" t="s">
        <v>51</v>
      </c>
    </row>
    <row r="3285" spans="1:43" x14ac:dyDescent="0.2">
      <c r="A3285" t="s">
        <v>1810</v>
      </c>
      <c r="B3285" t="s">
        <v>1808</v>
      </c>
      <c r="C3285">
        <v>2011</v>
      </c>
      <c r="D3285" t="s">
        <v>811</v>
      </c>
      <c r="F3285" t="s">
        <v>54</v>
      </c>
      <c r="G3285" s="1" t="s">
        <v>86</v>
      </c>
      <c r="H3285" t="s">
        <v>350</v>
      </c>
      <c r="I3285">
        <v>2008</v>
      </c>
      <c r="J3285">
        <v>0.42</v>
      </c>
      <c r="K3285" t="s">
        <v>109</v>
      </c>
      <c r="M3285">
        <f>0.2*0.2</f>
        <v>4.0000000000000008E-2</v>
      </c>
      <c r="N3285" t="s">
        <v>123</v>
      </c>
      <c r="O3285" t="s">
        <v>123</v>
      </c>
      <c r="P3285" t="s">
        <v>518</v>
      </c>
      <c r="Q3285" s="1" t="s">
        <v>2281</v>
      </c>
      <c r="R3285" s="1" t="s">
        <v>2282</v>
      </c>
      <c r="S3285" s="1" t="s">
        <v>123</v>
      </c>
      <c r="X3285" t="s">
        <v>1812</v>
      </c>
      <c r="Y3285" t="s">
        <v>2279</v>
      </c>
      <c r="Z3285" t="s">
        <v>2280</v>
      </c>
      <c r="AA3285" t="s">
        <v>2286</v>
      </c>
      <c r="AB3285" t="s">
        <v>2287</v>
      </c>
      <c r="AC3285" s="1" t="s">
        <v>162</v>
      </c>
      <c r="AD3285" t="s">
        <v>2278</v>
      </c>
      <c r="AF3285" t="s">
        <v>49</v>
      </c>
      <c r="AI3285" t="s">
        <v>49</v>
      </c>
      <c r="AM3285" s="1" t="s">
        <v>1135</v>
      </c>
      <c r="AN3285" s="1" t="s">
        <v>154</v>
      </c>
      <c r="AP3285" s="1" t="s">
        <v>51</v>
      </c>
    </row>
    <row r="3286" spans="1:43" x14ac:dyDescent="0.2">
      <c r="A3286" t="s">
        <v>1810</v>
      </c>
      <c r="B3286" t="s">
        <v>1808</v>
      </c>
      <c r="C3286">
        <v>2011</v>
      </c>
      <c r="D3286" t="s">
        <v>811</v>
      </c>
      <c r="F3286" t="s">
        <v>54</v>
      </c>
      <c r="G3286" s="1" t="s">
        <v>86</v>
      </c>
      <c r="H3286" t="s">
        <v>350</v>
      </c>
      <c r="I3286">
        <v>2008</v>
      </c>
      <c r="J3286">
        <v>0.42</v>
      </c>
      <c r="K3286" t="s">
        <v>109</v>
      </c>
      <c r="M3286">
        <f>0.2*0.2</f>
        <v>4.0000000000000008E-2</v>
      </c>
      <c r="N3286" t="s">
        <v>123</v>
      </c>
      <c r="O3286" t="s">
        <v>123</v>
      </c>
      <c r="P3286" t="s">
        <v>518</v>
      </c>
      <c r="Q3286" s="1" t="s">
        <v>2281</v>
      </c>
      <c r="R3286" s="1" t="s">
        <v>2282</v>
      </c>
      <c r="S3286" s="1" t="s">
        <v>123</v>
      </c>
      <c r="X3286" t="s">
        <v>1812</v>
      </c>
      <c r="Y3286" t="s">
        <v>2279</v>
      </c>
      <c r="Z3286" t="s">
        <v>2280</v>
      </c>
      <c r="AA3286" t="s">
        <v>2286</v>
      </c>
      <c r="AB3286" t="s">
        <v>2287</v>
      </c>
      <c r="AC3286" s="1" t="s">
        <v>162</v>
      </c>
      <c r="AD3286" t="s">
        <v>2278</v>
      </c>
      <c r="AF3286" t="s">
        <v>49</v>
      </c>
      <c r="AI3286" t="s">
        <v>49</v>
      </c>
      <c r="AM3286" s="1" t="s">
        <v>1135</v>
      </c>
      <c r="AN3286" s="1" t="s">
        <v>165</v>
      </c>
      <c r="AP3286" s="1" t="s">
        <v>49</v>
      </c>
    </row>
    <row r="3287" spans="1:43" x14ac:dyDescent="0.2">
      <c r="A3287" t="s">
        <v>1813</v>
      </c>
      <c r="B3287" t="s">
        <v>1814</v>
      </c>
      <c r="C3287">
        <v>2011</v>
      </c>
      <c r="D3287" t="s">
        <v>44</v>
      </c>
      <c r="F3287" t="s">
        <v>1815</v>
      </c>
      <c r="G3287" s="1" t="s">
        <v>86</v>
      </c>
      <c r="H3287" t="s">
        <v>158</v>
      </c>
      <c r="I3287" t="s">
        <v>1308</v>
      </c>
      <c r="J3287">
        <v>1</v>
      </c>
      <c r="K3287" t="s">
        <v>101</v>
      </c>
      <c r="L3287">
        <v>990</v>
      </c>
      <c r="M3287">
        <v>0</v>
      </c>
      <c r="N3287" t="s">
        <v>132</v>
      </c>
      <c r="O3287" t="s">
        <v>132</v>
      </c>
      <c r="P3287" t="s">
        <v>169</v>
      </c>
      <c r="Q3287" s="1" t="s">
        <v>2276</v>
      </c>
      <c r="R3287" s="1" t="s">
        <v>669</v>
      </c>
      <c r="S3287" s="1" t="s">
        <v>168</v>
      </c>
      <c r="X3287" t="s">
        <v>161</v>
      </c>
      <c r="Y3287" t="s">
        <v>2272</v>
      </c>
      <c r="Z3287" t="s">
        <v>2272</v>
      </c>
      <c r="AA3287" t="s">
        <v>2272</v>
      </c>
      <c r="AB3287" t="s">
        <v>2272</v>
      </c>
      <c r="AC3287" s="1" t="s">
        <v>162</v>
      </c>
      <c r="AD3287" t="s">
        <v>2272</v>
      </c>
      <c r="AF3287" t="s">
        <v>49</v>
      </c>
      <c r="AJ3287" t="s">
        <v>49</v>
      </c>
      <c r="AM3287" s="1" t="s">
        <v>201</v>
      </c>
      <c r="AN3287" s="1" t="s">
        <v>154</v>
      </c>
    </row>
    <row r="3288" spans="1:43" x14ac:dyDescent="0.2">
      <c r="A3288" t="s">
        <v>1813</v>
      </c>
      <c r="B3288" t="s">
        <v>1814</v>
      </c>
      <c r="C3288">
        <v>2011</v>
      </c>
      <c r="D3288" t="s">
        <v>44</v>
      </c>
      <c r="F3288" t="s">
        <v>1815</v>
      </c>
      <c r="G3288" s="1" t="s">
        <v>86</v>
      </c>
      <c r="H3288" t="s">
        <v>158</v>
      </c>
      <c r="I3288" t="s">
        <v>1308</v>
      </c>
      <c r="J3288">
        <v>1</v>
      </c>
      <c r="K3288" t="s">
        <v>101</v>
      </c>
      <c r="L3288">
        <v>990</v>
      </c>
      <c r="M3288">
        <v>0</v>
      </c>
      <c r="N3288" t="s">
        <v>132</v>
      </c>
      <c r="O3288" t="s">
        <v>132</v>
      </c>
      <c r="P3288" t="s">
        <v>169</v>
      </c>
      <c r="Q3288" s="1" t="s">
        <v>2276</v>
      </c>
      <c r="R3288" s="1" t="s">
        <v>669</v>
      </c>
      <c r="S3288" s="1" t="s">
        <v>168</v>
      </c>
      <c r="X3288" t="s">
        <v>161</v>
      </c>
      <c r="Y3288" t="s">
        <v>2272</v>
      </c>
      <c r="Z3288" t="s">
        <v>2272</v>
      </c>
      <c r="AA3288" t="s">
        <v>2272</v>
      </c>
      <c r="AB3288" t="s">
        <v>2272</v>
      </c>
      <c r="AC3288" s="1" t="s">
        <v>162</v>
      </c>
      <c r="AD3288" t="s">
        <v>2272</v>
      </c>
      <c r="AF3288" t="s">
        <v>49</v>
      </c>
      <c r="AJ3288" t="s">
        <v>49</v>
      </c>
      <c r="AM3288" s="1" t="s">
        <v>201</v>
      </c>
      <c r="AN3288" s="1" t="s">
        <v>166</v>
      </c>
    </row>
    <row r="3289" spans="1:43" x14ac:dyDescent="0.2">
      <c r="A3289" t="s">
        <v>1816</v>
      </c>
      <c r="B3289" t="s">
        <v>1817</v>
      </c>
      <c r="C3289">
        <v>2011</v>
      </c>
      <c r="D3289" t="s">
        <v>811</v>
      </c>
      <c r="F3289" t="s">
        <v>1818</v>
      </c>
      <c r="G3289" s="1" t="s">
        <v>90</v>
      </c>
      <c r="H3289" t="s">
        <v>350</v>
      </c>
      <c r="I3289">
        <v>2008</v>
      </c>
      <c r="J3289">
        <v>0.67</v>
      </c>
      <c r="K3289" t="s">
        <v>101</v>
      </c>
      <c r="L3289">
        <v>16</v>
      </c>
      <c r="M3289">
        <v>0.5</v>
      </c>
      <c r="N3289" t="s">
        <v>120</v>
      </c>
      <c r="O3289" t="s">
        <v>1317</v>
      </c>
      <c r="P3289" t="s">
        <v>910</v>
      </c>
      <c r="Q3289" s="1" t="s">
        <v>2276</v>
      </c>
      <c r="R3289" s="1" t="s">
        <v>669</v>
      </c>
      <c r="S3289" s="1" t="s">
        <v>168</v>
      </c>
      <c r="V3289" t="s">
        <v>194</v>
      </c>
      <c r="W3289" t="s">
        <v>910</v>
      </c>
      <c r="X3289" t="s">
        <v>1819</v>
      </c>
      <c r="Y3289" t="s">
        <v>2273</v>
      </c>
      <c r="Z3289" t="s">
        <v>249</v>
      </c>
      <c r="AA3289" t="s">
        <v>2359</v>
      </c>
      <c r="AB3289" t="s">
        <v>2289</v>
      </c>
      <c r="AC3289" s="1" t="s">
        <v>152</v>
      </c>
      <c r="AD3289" t="s">
        <v>2288</v>
      </c>
    </row>
    <row r="3290" spans="1:43" x14ac:dyDescent="0.2">
      <c r="A3290" t="s">
        <v>1816</v>
      </c>
      <c r="B3290" t="s">
        <v>1817</v>
      </c>
      <c r="C3290">
        <v>2011</v>
      </c>
      <c r="D3290" t="s">
        <v>811</v>
      </c>
      <c r="F3290" t="s">
        <v>1818</v>
      </c>
      <c r="G3290" s="1" t="s">
        <v>90</v>
      </c>
      <c r="H3290" t="s">
        <v>350</v>
      </c>
      <c r="I3290">
        <v>2008</v>
      </c>
      <c r="J3290">
        <v>0.67</v>
      </c>
      <c r="K3290" t="s">
        <v>101</v>
      </c>
      <c r="L3290">
        <v>16</v>
      </c>
      <c r="M3290">
        <v>0.5</v>
      </c>
      <c r="N3290" t="s">
        <v>120</v>
      </c>
      <c r="O3290" t="s">
        <v>1317</v>
      </c>
      <c r="P3290" t="s">
        <v>910</v>
      </c>
      <c r="Q3290" s="1" t="s">
        <v>2276</v>
      </c>
      <c r="R3290" s="1" t="s">
        <v>669</v>
      </c>
      <c r="S3290" s="1" t="s">
        <v>168</v>
      </c>
      <c r="V3290" t="s">
        <v>194</v>
      </c>
      <c r="W3290" t="s">
        <v>910</v>
      </c>
      <c r="X3290" t="s">
        <v>1820</v>
      </c>
      <c r="Y3290" t="s">
        <v>2279</v>
      </c>
      <c r="Z3290" t="s">
        <v>2280</v>
      </c>
      <c r="AA3290" t="s">
        <v>2358</v>
      </c>
      <c r="AB3290" t="s">
        <v>189</v>
      </c>
      <c r="AC3290" s="1" t="s">
        <v>152</v>
      </c>
      <c r="AD3290" t="s">
        <v>2278</v>
      </c>
    </row>
    <row r="3291" spans="1:43" x14ac:dyDescent="0.2">
      <c r="A3291" t="s">
        <v>1816</v>
      </c>
      <c r="B3291" t="s">
        <v>1817</v>
      </c>
      <c r="C3291">
        <v>2011</v>
      </c>
      <c r="D3291" t="s">
        <v>811</v>
      </c>
      <c r="F3291" t="s">
        <v>1818</v>
      </c>
      <c r="G3291" s="1" t="s">
        <v>90</v>
      </c>
      <c r="H3291" t="s">
        <v>350</v>
      </c>
      <c r="I3291">
        <v>2008</v>
      </c>
      <c r="J3291">
        <v>0.67</v>
      </c>
      <c r="K3291" t="s">
        <v>101</v>
      </c>
      <c r="L3291">
        <v>16</v>
      </c>
      <c r="M3291">
        <v>0.5</v>
      </c>
      <c r="N3291" t="s">
        <v>120</v>
      </c>
      <c r="O3291" t="s">
        <v>1317</v>
      </c>
      <c r="P3291" t="s">
        <v>910</v>
      </c>
      <c r="Q3291" s="1" t="s">
        <v>2276</v>
      </c>
      <c r="R3291" s="1" t="s">
        <v>669</v>
      </c>
      <c r="S3291" s="1" t="s">
        <v>168</v>
      </c>
      <c r="V3291" t="s">
        <v>194</v>
      </c>
      <c r="W3291" t="s">
        <v>910</v>
      </c>
      <c r="X3291" t="s">
        <v>642</v>
      </c>
      <c r="Y3291" t="s">
        <v>2273</v>
      </c>
      <c r="Z3291" t="s">
        <v>249</v>
      </c>
      <c r="AA3291" t="s">
        <v>2359</v>
      </c>
      <c r="AB3291" t="s">
        <v>1979</v>
      </c>
      <c r="AC3291" s="1" t="s">
        <v>152</v>
      </c>
      <c r="AD3291" t="s">
        <v>137</v>
      </c>
    </row>
    <row r="3292" spans="1:43" x14ac:dyDescent="0.2">
      <c r="A3292" t="s">
        <v>1816</v>
      </c>
      <c r="B3292" t="s">
        <v>1817</v>
      </c>
      <c r="C3292">
        <v>2011</v>
      </c>
      <c r="D3292" t="s">
        <v>811</v>
      </c>
      <c r="F3292" t="s">
        <v>1818</v>
      </c>
      <c r="G3292" s="1" t="s">
        <v>90</v>
      </c>
      <c r="H3292" t="s">
        <v>350</v>
      </c>
      <c r="I3292">
        <v>2008</v>
      </c>
      <c r="J3292">
        <v>0.67</v>
      </c>
      <c r="K3292" t="s">
        <v>101</v>
      </c>
      <c r="L3292">
        <v>16</v>
      </c>
      <c r="M3292">
        <v>0.5</v>
      </c>
      <c r="N3292" t="s">
        <v>120</v>
      </c>
      <c r="O3292" t="s">
        <v>1317</v>
      </c>
      <c r="P3292" t="s">
        <v>910</v>
      </c>
      <c r="Q3292" s="1" t="s">
        <v>2276</v>
      </c>
      <c r="R3292" s="1" t="s">
        <v>669</v>
      </c>
      <c r="S3292" s="1" t="s">
        <v>168</v>
      </c>
      <c r="T3292" t="s">
        <v>421</v>
      </c>
      <c r="U3292" t="s">
        <v>421</v>
      </c>
      <c r="V3292" t="s">
        <v>194</v>
      </c>
      <c r="W3292" t="s">
        <v>910</v>
      </c>
      <c r="X3292" t="s">
        <v>161</v>
      </c>
      <c r="Y3292" t="s">
        <v>2272</v>
      </c>
      <c r="Z3292" t="s">
        <v>2272</v>
      </c>
      <c r="AA3292" t="s">
        <v>2272</v>
      </c>
      <c r="AB3292" t="s">
        <v>2272</v>
      </c>
      <c r="AC3292" s="1" t="s">
        <v>162</v>
      </c>
      <c r="AD3292" t="s">
        <v>2272</v>
      </c>
      <c r="AF3292" t="s">
        <v>49</v>
      </c>
      <c r="AI3292" t="s">
        <v>49</v>
      </c>
      <c r="AM3292" s="1" t="s">
        <v>201</v>
      </c>
      <c r="AN3292" s="1" t="s">
        <v>154</v>
      </c>
      <c r="AP3292" s="1" t="s">
        <v>49</v>
      </c>
    </row>
    <row r="3293" spans="1:43" x14ac:dyDescent="0.2">
      <c r="A3293" t="s">
        <v>1816</v>
      </c>
      <c r="B3293" t="s">
        <v>1817</v>
      </c>
      <c r="C3293">
        <v>2011</v>
      </c>
      <c r="D3293" t="s">
        <v>811</v>
      </c>
      <c r="F3293" t="s">
        <v>1818</v>
      </c>
      <c r="G3293" s="1" t="s">
        <v>90</v>
      </c>
      <c r="H3293" t="s">
        <v>350</v>
      </c>
      <c r="I3293">
        <v>2008</v>
      </c>
      <c r="J3293">
        <v>0.67</v>
      </c>
      <c r="K3293" t="s">
        <v>101</v>
      </c>
      <c r="L3293">
        <v>16</v>
      </c>
      <c r="M3293">
        <v>0.5</v>
      </c>
      <c r="N3293" t="s">
        <v>120</v>
      </c>
      <c r="O3293" t="s">
        <v>1317</v>
      </c>
      <c r="P3293" t="s">
        <v>910</v>
      </c>
      <c r="Q3293" s="1" t="s">
        <v>2276</v>
      </c>
      <c r="R3293" s="1" t="s">
        <v>669</v>
      </c>
      <c r="S3293" s="1" t="s">
        <v>168</v>
      </c>
      <c r="T3293" t="s">
        <v>421</v>
      </c>
      <c r="U3293" t="s">
        <v>421</v>
      </c>
      <c r="V3293" t="s">
        <v>194</v>
      </c>
      <c r="W3293" t="s">
        <v>910</v>
      </c>
      <c r="X3293" t="s">
        <v>161</v>
      </c>
      <c r="Y3293" t="s">
        <v>2272</v>
      </c>
      <c r="Z3293" t="s">
        <v>2272</v>
      </c>
      <c r="AA3293" t="s">
        <v>2272</v>
      </c>
      <c r="AB3293" t="s">
        <v>2272</v>
      </c>
      <c r="AC3293" s="1" t="s">
        <v>162</v>
      </c>
      <c r="AD3293" t="s">
        <v>2272</v>
      </c>
      <c r="AF3293" t="s">
        <v>49</v>
      </c>
      <c r="AL3293" t="s">
        <v>49</v>
      </c>
      <c r="AM3293" t="s">
        <v>2449</v>
      </c>
      <c r="AN3293" t="s">
        <v>166</v>
      </c>
      <c r="AQ3293" s="5">
        <v>1</v>
      </c>
    </row>
    <row r="3294" spans="1:43" x14ac:dyDescent="0.2">
      <c r="A3294" t="s">
        <v>1816</v>
      </c>
      <c r="B3294" t="s">
        <v>1817</v>
      </c>
      <c r="C3294">
        <v>2011</v>
      </c>
      <c r="D3294" t="s">
        <v>811</v>
      </c>
      <c r="F3294" t="s">
        <v>1818</v>
      </c>
      <c r="G3294" s="1" t="s">
        <v>90</v>
      </c>
      <c r="H3294" t="s">
        <v>350</v>
      </c>
      <c r="I3294">
        <v>2008</v>
      </c>
      <c r="J3294">
        <v>0.67</v>
      </c>
      <c r="K3294" t="s">
        <v>101</v>
      </c>
      <c r="L3294">
        <v>16</v>
      </c>
      <c r="M3294">
        <v>0.5</v>
      </c>
      <c r="N3294" t="s">
        <v>120</v>
      </c>
      <c r="O3294" t="s">
        <v>1317</v>
      </c>
      <c r="P3294" t="s">
        <v>910</v>
      </c>
      <c r="Q3294" s="1" t="s">
        <v>2276</v>
      </c>
      <c r="R3294" s="1" t="s">
        <v>669</v>
      </c>
      <c r="S3294" s="1" t="s">
        <v>168</v>
      </c>
      <c r="T3294" t="s">
        <v>421</v>
      </c>
      <c r="U3294" t="s">
        <v>421</v>
      </c>
      <c r="V3294" t="s">
        <v>194</v>
      </c>
      <c r="W3294" t="s">
        <v>910</v>
      </c>
      <c r="X3294" t="s">
        <v>161</v>
      </c>
      <c r="Y3294" t="s">
        <v>2272</v>
      </c>
      <c r="Z3294" t="s">
        <v>2272</v>
      </c>
      <c r="AA3294" t="s">
        <v>2272</v>
      </c>
      <c r="AB3294" t="s">
        <v>2272</v>
      </c>
      <c r="AC3294" s="1" t="s">
        <v>162</v>
      </c>
      <c r="AD3294" t="s">
        <v>2272</v>
      </c>
      <c r="AF3294" t="s">
        <v>49</v>
      </c>
      <c r="AL3294" t="s">
        <v>49</v>
      </c>
      <c r="AM3294" t="s">
        <v>2450</v>
      </c>
      <c r="AN3294" t="s">
        <v>166</v>
      </c>
      <c r="AQ3294" s="5">
        <v>2</v>
      </c>
    </row>
    <row r="3295" spans="1:43" x14ac:dyDescent="0.2">
      <c r="A3295" t="s">
        <v>1816</v>
      </c>
      <c r="B3295" t="s">
        <v>1817</v>
      </c>
      <c r="C3295">
        <v>2011</v>
      </c>
      <c r="D3295" t="s">
        <v>811</v>
      </c>
      <c r="F3295" t="s">
        <v>1818</v>
      </c>
      <c r="G3295" s="1" t="s">
        <v>90</v>
      </c>
      <c r="H3295" t="s">
        <v>350</v>
      </c>
      <c r="I3295">
        <v>2008</v>
      </c>
      <c r="J3295">
        <v>0.67</v>
      </c>
      <c r="K3295" t="s">
        <v>101</v>
      </c>
      <c r="L3295">
        <v>16</v>
      </c>
      <c r="M3295">
        <v>0.5</v>
      </c>
      <c r="N3295" t="s">
        <v>120</v>
      </c>
      <c r="O3295" t="s">
        <v>1317</v>
      </c>
      <c r="P3295" t="s">
        <v>910</v>
      </c>
      <c r="Q3295" s="1" t="s">
        <v>2276</v>
      </c>
      <c r="R3295" s="1" t="s">
        <v>669</v>
      </c>
      <c r="S3295" s="1" t="s">
        <v>168</v>
      </c>
      <c r="T3295" t="s">
        <v>421</v>
      </c>
      <c r="U3295" t="s">
        <v>421</v>
      </c>
      <c r="V3295" t="s">
        <v>194</v>
      </c>
      <c r="W3295" t="s">
        <v>910</v>
      </c>
      <c r="X3295" t="s">
        <v>161</v>
      </c>
      <c r="Y3295" t="s">
        <v>2272</v>
      </c>
      <c r="Z3295" t="s">
        <v>2272</v>
      </c>
      <c r="AA3295" t="s">
        <v>2272</v>
      </c>
      <c r="AB3295" t="s">
        <v>2272</v>
      </c>
      <c r="AC3295" s="1" t="s">
        <v>162</v>
      </c>
      <c r="AD3295" t="s">
        <v>2272</v>
      </c>
      <c r="AF3295" t="s">
        <v>49</v>
      </c>
      <c r="AK3295" t="s">
        <v>49</v>
      </c>
      <c r="AM3295" t="s">
        <v>2451</v>
      </c>
      <c r="AN3295" t="s">
        <v>166</v>
      </c>
      <c r="AQ3295" s="5">
        <v>1</v>
      </c>
    </row>
    <row r="3296" spans="1:43" x14ac:dyDescent="0.2">
      <c r="A3296" t="s">
        <v>1816</v>
      </c>
      <c r="B3296" t="s">
        <v>1817</v>
      </c>
      <c r="C3296">
        <v>2011</v>
      </c>
      <c r="D3296" t="s">
        <v>811</v>
      </c>
      <c r="F3296" t="s">
        <v>1818</v>
      </c>
      <c r="G3296" s="1" t="s">
        <v>90</v>
      </c>
      <c r="H3296" t="s">
        <v>350</v>
      </c>
      <c r="I3296">
        <v>2008</v>
      </c>
      <c r="J3296">
        <v>0.67</v>
      </c>
      <c r="K3296" t="s">
        <v>101</v>
      </c>
      <c r="L3296">
        <v>16</v>
      </c>
      <c r="M3296">
        <v>0.5</v>
      </c>
      <c r="N3296" t="s">
        <v>120</v>
      </c>
      <c r="O3296" t="s">
        <v>1317</v>
      </c>
      <c r="P3296" t="s">
        <v>910</v>
      </c>
      <c r="Q3296" s="1" t="s">
        <v>2276</v>
      </c>
      <c r="R3296" s="1" t="s">
        <v>669</v>
      </c>
      <c r="S3296" s="1" t="s">
        <v>168</v>
      </c>
      <c r="T3296" t="s">
        <v>421</v>
      </c>
      <c r="U3296" t="s">
        <v>421</v>
      </c>
      <c r="V3296" t="s">
        <v>194</v>
      </c>
      <c r="W3296" t="s">
        <v>910</v>
      </c>
      <c r="X3296" t="s">
        <v>161</v>
      </c>
      <c r="Y3296" t="s">
        <v>2272</v>
      </c>
      <c r="Z3296" t="s">
        <v>2272</v>
      </c>
      <c r="AA3296" t="s">
        <v>2272</v>
      </c>
      <c r="AB3296" t="s">
        <v>2272</v>
      </c>
      <c r="AC3296" s="1" t="s">
        <v>162</v>
      </c>
      <c r="AD3296" t="s">
        <v>2272</v>
      </c>
      <c r="AF3296" t="s">
        <v>49</v>
      </c>
      <c r="AK3296" t="s">
        <v>49</v>
      </c>
      <c r="AM3296" t="s">
        <v>2452</v>
      </c>
      <c r="AN3296" t="s">
        <v>166</v>
      </c>
      <c r="AQ3296" s="5">
        <v>2</v>
      </c>
    </row>
    <row r="3297" spans="1:45" x14ac:dyDescent="0.2">
      <c r="A3297" t="s">
        <v>1821</v>
      </c>
      <c r="B3297" t="s">
        <v>1822</v>
      </c>
      <c r="C3297">
        <v>2011</v>
      </c>
      <c r="D3297" t="s">
        <v>811</v>
      </c>
      <c r="F3297" t="s">
        <v>367</v>
      </c>
      <c r="G3297" s="1" t="s">
        <v>90</v>
      </c>
      <c r="H3297" t="s">
        <v>96</v>
      </c>
      <c r="I3297">
        <v>2008</v>
      </c>
      <c r="J3297">
        <f t="shared" ref="J3297:J3302" si="76">3/12</f>
        <v>0.25</v>
      </c>
      <c r="K3297" t="s">
        <v>101</v>
      </c>
      <c r="M3297">
        <f t="shared" ref="M3297:M3302" si="77">0.1*0.1</f>
        <v>1.0000000000000002E-2</v>
      </c>
      <c r="N3297" t="s">
        <v>123</v>
      </c>
      <c r="O3297" t="s">
        <v>123</v>
      </c>
      <c r="P3297" t="s">
        <v>641</v>
      </c>
      <c r="Q3297" s="1" t="s">
        <v>2281</v>
      </c>
      <c r="R3297" s="1" t="s">
        <v>2282</v>
      </c>
      <c r="S3297" s="1" t="s">
        <v>123</v>
      </c>
      <c r="X3297" t="s">
        <v>189</v>
      </c>
      <c r="Y3297" t="s">
        <v>2279</v>
      </c>
      <c r="Z3297" t="s">
        <v>2280</v>
      </c>
      <c r="AA3297" t="s">
        <v>2358</v>
      </c>
      <c r="AB3297" t="s">
        <v>189</v>
      </c>
      <c r="AC3297" s="1" t="s">
        <v>152</v>
      </c>
      <c r="AD3297" t="s">
        <v>2278</v>
      </c>
    </row>
    <row r="3298" spans="1:45" x14ac:dyDescent="0.2">
      <c r="A3298" t="s">
        <v>1821</v>
      </c>
      <c r="B3298" t="s">
        <v>1822</v>
      </c>
      <c r="C3298">
        <v>2011</v>
      </c>
      <c r="D3298" t="s">
        <v>811</v>
      </c>
      <c r="F3298" t="s">
        <v>367</v>
      </c>
      <c r="G3298" s="1" t="s">
        <v>90</v>
      </c>
      <c r="H3298" t="s">
        <v>96</v>
      </c>
      <c r="I3298">
        <v>2008</v>
      </c>
      <c r="J3298">
        <f t="shared" si="76"/>
        <v>0.25</v>
      </c>
      <c r="K3298" t="s">
        <v>101</v>
      </c>
      <c r="M3298">
        <f t="shared" si="77"/>
        <v>1.0000000000000002E-2</v>
      </c>
      <c r="N3298" t="s">
        <v>123</v>
      </c>
      <c r="O3298" t="s">
        <v>123</v>
      </c>
      <c r="P3298" t="s">
        <v>641</v>
      </c>
      <c r="Q3298" s="1" t="s">
        <v>2281</v>
      </c>
      <c r="R3298" s="1" t="s">
        <v>2282</v>
      </c>
      <c r="S3298" s="1" t="s">
        <v>123</v>
      </c>
      <c r="X3298" t="s">
        <v>1054</v>
      </c>
      <c r="Y3298" t="s">
        <v>2273</v>
      </c>
      <c r="Z3298" t="s">
        <v>249</v>
      </c>
      <c r="AA3298" t="s">
        <v>2359</v>
      </c>
      <c r="AB3298" t="s">
        <v>2289</v>
      </c>
      <c r="AC3298" s="1" t="s">
        <v>152</v>
      </c>
      <c r="AD3298" t="s">
        <v>137</v>
      </c>
    </row>
    <row r="3299" spans="1:45" x14ac:dyDescent="0.2">
      <c r="A3299" t="s">
        <v>1821</v>
      </c>
      <c r="B3299" t="s">
        <v>1822</v>
      </c>
      <c r="C3299">
        <v>2011</v>
      </c>
      <c r="D3299" t="s">
        <v>811</v>
      </c>
      <c r="F3299" t="s">
        <v>367</v>
      </c>
      <c r="G3299" s="1" t="s">
        <v>90</v>
      </c>
      <c r="H3299" t="s">
        <v>96</v>
      </c>
      <c r="I3299">
        <v>2008</v>
      </c>
      <c r="J3299">
        <f t="shared" si="76"/>
        <v>0.25</v>
      </c>
      <c r="K3299" t="s">
        <v>101</v>
      </c>
      <c r="M3299">
        <f t="shared" si="77"/>
        <v>1.0000000000000002E-2</v>
      </c>
      <c r="N3299" t="s">
        <v>123</v>
      </c>
      <c r="O3299" t="s">
        <v>123</v>
      </c>
      <c r="P3299" t="s">
        <v>641</v>
      </c>
      <c r="Q3299" s="1" t="s">
        <v>2281</v>
      </c>
      <c r="R3299" s="1" t="s">
        <v>2282</v>
      </c>
      <c r="S3299" s="1" t="s">
        <v>123</v>
      </c>
      <c r="X3299" t="s">
        <v>1823</v>
      </c>
      <c r="Y3299" t="s">
        <v>2273</v>
      </c>
      <c r="Z3299" t="s">
        <v>2356</v>
      </c>
      <c r="AA3299" t="s">
        <v>2357</v>
      </c>
      <c r="AB3299" t="s">
        <v>2306</v>
      </c>
      <c r="AC3299" s="1" t="s">
        <v>152</v>
      </c>
      <c r="AD3299" t="s">
        <v>137</v>
      </c>
    </row>
    <row r="3300" spans="1:45" x14ac:dyDescent="0.2">
      <c r="A3300" t="s">
        <v>1821</v>
      </c>
      <c r="B3300" t="s">
        <v>1822</v>
      </c>
      <c r="C3300">
        <v>2011</v>
      </c>
      <c r="D3300" t="s">
        <v>811</v>
      </c>
      <c r="F3300" t="s">
        <v>367</v>
      </c>
      <c r="G3300" s="1" t="s">
        <v>90</v>
      </c>
      <c r="H3300" t="s">
        <v>96</v>
      </c>
      <c r="I3300">
        <v>2008</v>
      </c>
      <c r="J3300">
        <f t="shared" si="76"/>
        <v>0.25</v>
      </c>
      <c r="K3300" t="s">
        <v>101</v>
      </c>
      <c r="M3300">
        <f t="shared" si="77"/>
        <v>1.0000000000000002E-2</v>
      </c>
      <c r="N3300" t="s">
        <v>123</v>
      </c>
      <c r="O3300" t="s">
        <v>123</v>
      </c>
      <c r="P3300" t="s">
        <v>641</v>
      </c>
      <c r="Q3300" s="1" t="s">
        <v>2281</v>
      </c>
      <c r="R3300" s="1" t="s">
        <v>2282</v>
      </c>
      <c r="S3300" s="1" t="s">
        <v>123</v>
      </c>
      <c r="X3300" t="s">
        <v>161</v>
      </c>
      <c r="Y3300" t="s">
        <v>2272</v>
      </c>
      <c r="Z3300" t="s">
        <v>2272</v>
      </c>
      <c r="AA3300" t="s">
        <v>2272</v>
      </c>
      <c r="AB3300" t="s">
        <v>2272</v>
      </c>
      <c r="AC3300" s="1" t="s">
        <v>162</v>
      </c>
      <c r="AD3300" t="s">
        <v>2272</v>
      </c>
      <c r="AF3300" t="s">
        <v>49</v>
      </c>
      <c r="AI3300" t="s">
        <v>49</v>
      </c>
      <c r="AM3300" s="1" t="s">
        <v>262</v>
      </c>
      <c r="AN3300" s="1" t="s">
        <v>166</v>
      </c>
    </row>
    <row r="3301" spans="1:45" x14ac:dyDescent="0.2">
      <c r="A3301" t="s">
        <v>1821</v>
      </c>
      <c r="B3301" t="s">
        <v>1822</v>
      </c>
      <c r="C3301">
        <v>2011</v>
      </c>
      <c r="D3301" t="s">
        <v>811</v>
      </c>
      <c r="F3301" t="s">
        <v>367</v>
      </c>
      <c r="G3301" s="1" t="s">
        <v>90</v>
      </c>
      <c r="H3301" t="s">
        <v>96</v>
      </c>
      <c r="I3301">
        <v>2008</v>
      </c>
      <c r="J3301">
        <f t="shared" si="76"/>
        <v>0.25</v>
      </c>
      <c r="K3301" t="s">
        <v>101</v>
      </c>
      <c r="M3301">
        <f t="shared" si="77"/>
        <v>1.0000000000000002E-2</v>
      </c>
      <c r="N3301" t="s">
        <v>123</v>
      </c>
      <c r="O3301" t="s">
        <v>123</v>
      </c>
      <c r="P3301" t="s">
        <v>641</v>
      </c>
      <c r="Q3301" s="1" t="s">
        <v>2281</v>
      </c>
      <c r="R3301" s="1" t="s">
        <v>2282</v>
      </c>
      <c r="S3301" s="1" t="s">
        <v>123</v>
      </c>
      <c r="X3301" t="s">
        <v>161</v>
      </c>
      <c r="Y3301" t="s">
        <v>2272</v>
      </c>
      <c r="Z3301" t="s">
        <v>2272</v>
      </c>
      <c r="AA3301" t="s">
        <v>2272</v>
      </c>
      <c r="AB3301" t="s">
        <v>2272</v>
      </c>
      <c r="AC3301" s="1" t="s">
        <v>162</v>
      </c>
      <c r="AD3301" t="s">
        <v>2272</v>
      </c>
      <c r="AF3301" t="s">
        <v>49</v>
      </c>
      <c r="AI3301" t="s">
        <v>49</v>
      </c>
      <c r="AM3301" s="1" t="s">
        <v>262</v>
      </c>
      <c r="AN3301" t="s">
        <v>155</v>
      </c>
    </row>
    <row r="3302" spans="1:45" x14ac:dyDescent="0.2">
      <c r="A3302" t="s">
        <v>1821</v>
      </c>
      <c r="B3302" t="s">
        <v>1822</v>
      </c>
      <c r="C3302">
        <v>2011</v>
      </c>
      <c r="D3302" t="s">
        <v>811</v>
      </c>
      <c r="F3302" t="s">
        <v>367</v>
      </c>
      <c r="G3302" s="1" t="s">
        <v>90</v>
      </c>
      <c r="H3302" t="s">
        <v>96</v>
      </c>
      <c r="I3302">
        <v>2008</v>
      </c>
      <c r="J3302">
        <f t="shared" si="76"/>
        <v>0.25</v>
      </c>
      <c r="K3302" t="s">
        <v>101</v>
      </c>
      <c r="M3302">
        <f t="shared" si="77"/>
        <v>1.0000000000000002E-2</v>
      </c>
      <c r="N3302" t="s">
        <v>123</v>
      </c>
      <c r="O3302" t="s">
        <v>123</v>
      </c>
      <c r="P3302" t="s">
        <v>641</v>
      </c>
      <c r="Q3302" s="1" t="s">
        <v>2281</v>
      </c>
      <c r="R3302" s="1" t="s">
        <v>2282</v>
      </c>
      <c r="S3302" s="1" t="s">
        <v>123</v>
      </c>
      <c r="X3302" t="s">
        <v>161</v>
      </c>
      <c r="Y3302" t="s">
        <v>2272</v>
      </c>
      <c r="Z3302" t="s">
        <v>2272</v>
      </c>
      <c r="AA3302" t="s">
        <v>2272</v>
      </c>
      <c r="AB3302" t="s">
        <v>2272</v>
      </c>
      <c r="AC3302" s="1" t="s">
        <v>162</v>
      </c>
      <c r="AD3302" t="s">
        <v>2272</v>
      </c>
      <c r="AF3302" t="s">
        <v>49</v>
      </c>
      <c r="AI3302" t="s">
        <v>49</v>
      </c>
      <c r="AM3302" s="1" t="s">
        <v>262</v>
      </c>
      <c r="AN3302" t="s">
        <v>165</v>
      </c>
    </row>
    <row r="3303" spans="1:45" x14ac:dyDescent="0.2">
      <c r="A3303" t="s">
        <v>1821</v>
      </c>
      <c r="B3303" t="s">
        <v>1822</v>
      </c>
      <c r="C3303">
        <v>2011</v>
      </c>
      <c r="D3303" t="s">
        <v>811</v>
      </c>
      <c r="F3303" t="s">
        <v>367</v>
      </c>
      <c r="G3303" s="1" t="s">
        <v>90</v>
      </c>
      <c r="H3303" t="s">
        <v>96</v>
      </c>
      <c r="I3303">
        <v>2007</v>
      </c>
      <c r="J3303">
        <v>0.22</v>
      </c>
      <c r="K3303" t="s">
        <v>101</v>
      </c>
      <c r="N3303" t="s">
        <v>123</v>
      </c>
      <c r="O3303" t="s">
        <v>123</v>
      </c>
      <c r="P3303" t="s">
        <v>641</v>
      </c>
      <c r="Q3303" s="1" t="s">
        <v>2281</v>
      </c>
      <c r="R3303" s="1" t="s">
        <v>2282</v>
      </c>
      <c r="S3303" s="1" t="s">
        <v>123</v>
      </c>
      <c r="X3303" t="s">
        <v>1824</v>
      </c>
      <c r="Y3303" t="s">
        <v>2279</v>
      </c>
      <c r="Z3303" t="s">
        <v>2280</v>
      </c>
      <c r="AA3303" t="s">
        <v>2286</v>
      </c>
      <c r="AB3303" t="s">
        <v>2299</v>
      </c>
      <c r="AC3303" s="1" t="s">
        <v>315</v>
      </c>
      <c r="AD3303" t="s">
        <v>2278</v>
      </c>
      <c r="AF3303" t="s">
        <v>49</v>
      </c>
      <c r="AI3303" t="s">
        <v>49</v>
      </c>
      <c r="AM3303" s="1" t="s">
        <v>262</v>
      </c>
    </row>
    <row r="3304" spans="1:45" x14ac:dyDescent="0.2">
      <c r="A3304" t="s">
        <v>1821</v>
      </c>
      <c r="B3304" t="s">
        <v>1822</v>
      </c>
      <c r="C3304">
        <v>2011</v>
      </c>
      <c r="D3304" t="s">
        <v>811</v>
      </c>
      <c r="F3304" t="s">
        <v>367</v>
      </c>
      <c r="G3304" s="1" t="s">
        <v>90</v>
      </c>
      <c r="H3304" t="s">
        <v>96</v>
      </c>
      <c r="I3304">
        <v>2007</v>
      </c>
      <c r="J3304">
        <v>0.22</v>
      </c>
      <c r="K3304" t="s">
        <v>101</v>
      </c>
      <c r="N3304" t="s">
        <v>123</v>
      </c>
      <c r="O3304" t="s">
        <v>123</v>
      </c>
      <c r="P3304" t="s">
        <v>641</v>
      </c>
      <c r="Q3304" s="1" t="s">
        <v>2281</v>
      </c>
      <c r="R3304" s="1" t="s">
        <v>2282</v>
      </c>
      <c r="S3304" s="1" t="s">
        <v>123</v>
      </c>
      <c r="X3304" t="s">
        <v>615</v>
      </c>
      <c r="Y3304" t="s">
        <v>2279</v>
      </c>
      <c r="Z3304" t="s">
        <v>2280</v>
      </c>
      <c r="AA3304" t="s">
        <v>2358</v>
      </c>
      <c r="AB3304" t="s">
        <v>261</v>
      </c>
      <c r="AC3304" s="1" t="s">
        <v>152</v>
      </c>
      <c r="AD3304" t="s">
        <v>2278</v>
      </c>
      <c r="AF3304" t="s">
        <v>49</v>
      </c>
      <c r="AI3304" t="s">
        <v>49</v>
      </c>
      <c r="AM3304" s="1" t="s">
        <v>262</v>
      </c>
    </row>
    <row r="3305" spans="1:45" x14ac:dyDescent="0.2">
      <c r="A3305" t="s">
        <v>1821</v>
      </c>
      <c r="B3305" t="s">
        <v>1822</v>
      </c>
      <c r="C3305">
        <v>2011</v>
      </c>
      <c r="D3305" t="s">
        <v>811</v>
      </c>
      <c r="F3305" t="s">
        <v>367</v>
      </c>
      <c r="G3305" s="1" t="s">
        <v>90</v>
      </c>
      <c r="H3305" t="s">
        <v>96</v>
      </c>
      <c r="I3305">
        <v>2007</v>
      </c>
      <c r="J3305">
        <v>0.22</v>
      </c>
      <c r="K3305" t="s">
        <v>101</v>
      </c>
      <c r="N3305" t="s">
        <v>123</v>
      </c>
      <c r="O3305" t="s">
        <v>123</v>
      </c>
      <c r="P3305" t="s">
        <v>641</v>
      </c>
      <c r="Q3305" s="1" t="s">
        <v>2281</v>
      </c>
      <c r="R3305" s="1" t="s">
        <v>2282</v>
      </c>
      <c r="S3305" s="1" t="s">
        <v>123</v>
      </c>
      <c r="X3305" t="s">
        <v>1825</v>
      </c>
      <c r="Y3305" t="s">
        <v>2273</v>
      </c>
      <c r="Z3305" t="s">
        <v>249</v>
      </c>
      <c r="AA3305" t="s">
        <v>2359</v>
      </c>
      <c r="AB3305" t="s">
        <v>2289</v>
      </c>
      <c r="AC3305" s="1" t="s">
        <v>152</v>
      </c>
      <c r="AD3305" t="s">
        <v>137</v>
      </c>
      <c r="AF3305" t="s">
        <v>49</v>
      </c>
      <c r="AI3305" t="s">
        <v>49</v>
      </c>
      <c r="AM3305" s="1" t="s">
        <v>262</v>
      </c>
    </row>
    <row r="3306" spans="1:45" x14ac:dyDescent="0.2">
      <c r="A3306" t="s">
        <v>1821</v>
      </c>
      <c r="B3306" t="s">
        <v>1822</v>
      </c>
      <c r="C3306">
        <v>2011</v>
      </c>
      <c r="D3306" t="s">
        <v>811</v>
      </c>
      <c r="F3306" t="s">
        <v>367</v>
      </c>
      <c r="G3306" s="1" t="s">
        <v>90</v>
      </c>
      <c r="H3306" t="s">
        <v>96</v>
      </c>
      <c r="I3306">
        <v>2007</v>
      </c>
      <c r="J3306">
        <v>0.22</v>
      </c>
      <c r="K3306" t="s">
        <v>101</v>
      </c>
      <c r="N3306" t="s">
        <v>123</v>
      </c>
      <c r="O3306" t="s">
        <v>123</v>
      </c>
      <c r="P3306" t="s">
        <v>641</v>
      </c>
      <c r="Q3306" s="1" t="s">
        <v>2281</v>
      </c>
      <c r="R3306" s="1" t="s">
        <v>2282</v>
      </c>
      <c r="S3306" s="1" t="s">
        <v>123</v>
      </c>
      <c r="X3306" t="s">
        <v>1826</v>
      </c>
      <c r="Y3306" t="s">
        <v>2273</v>
      </c>
      <c r="Z3306" t="s">
        <v>249</v>
      </c>
      <c r="AA3306" t="s">
        <v>2359</v>
      </c>
      <c r="AB3306" t="s">
        <v>1419</v>
      </c>
      <c r="AC3306" s="1" t="s">
        <v>152</v>
      </c>
      <c r="AD3306" t="s">
        <v>137</v>
      </c>
      <c r="AF3306" t="s">
        <v>49</v>
      </c>
      <c r="AI3306" t="s">
        <v>49</v>
      </c>
      <c r="AM3306" s="1" t="s">
        <v>262</v>
      </c>
      <c r="AN3306" s="1" t="s">
        <v>165</v>
      </c>
      <c r="AP3306" s="1" t="s">
        <v>49</v>
      </c>
    </row>
    <row r="3307" spans="1:45" x14ac:dyDescent="0.2">
      <c r="A3307" t="s">
        <v>1821</v>
      </c>
      <c r="B3307" t="s">
        <v>1822</v>
      </c>
      <c r="C3307">
        <v>2011</v>
      </c>
      <c r="D3307" t="s">
        <v>811</v>
      </c>
      <c r="F3307" t="s">
        <v>367</v>
      </c>
      <c r="G3307" s="1" t="s">
        <v>90</v>
      </c>
      <c r="H3307" t="s">
        <v>96</v>
      </c>
      <c r="I3307">
        <v>2007</v>
      </c>
      <c r="J3307">
        <v>0.22</v>
      </c>
      <c r="K3307" t="s">
        <v>101</v>
      </c>
      <c r="N3307" t="s">
        <v>123</v>
      </c>
      <c r="O3307" t="s">
        <v>123</v>
      </c>
      <c r="P3307" t="s">
        <v>641</v>
      </c>
      <c r="Q3307" s="1" t="s">
        <v>2281</v>
      </c>
      <c r="R3307" s="1" t="s">
        <v>2282</v>
      </c>
      <c r="S3307" s="1" t="s">
        <v>123</v>
      </c>
      <c r="X3307" t="s">
        <v>1826</v>
      </c>
      <c r="Y3307" t="s">
        <v>2273</v>
      </c>
      <c r="Z3307" t="s">
        <v>249</v>
      </c>
      <c r="AA3307" t="s">
        <v>2359</v>
      </c>
      <c r="AB3307" t="s">
        <v>1419</v>
      </c>
      <c r="AC3307" s="1" t="s">
        <v>152</v>
      </c>
      <c r="AD3307" t="s">
        <v>137</v>
      </c>
      <c r="AF3307" t="s">
        <v>49</v>
      </c>
      <c r="AI3307" t="s">
        <v>49</v>
      </c>
      <c r="AM3307" s="1" t="s">
        <v>262</v>
      </c>
      <c r="AN3307" t="s">
        <v>166</v>
      </c>
      <c r="AP3307" t="s">
        <v>51</v>
      </c>
    </row>
    <row r="3308" spans="1:45" x14ac:dyDescent="0.2">
      <c r="A3308" t="s">
        <v>1821</v>
      </c>
      <c r="B3308" t="s">
        <v>1822</v>
      </c>
      <c r="C3308">
        <v>2011</v>
      </c>
      <c r="D3308" t="s">
        <v>811</v>
      </c>
      <c r="F3308" t="s">
        <v>367</v>
      </c>
      <c r="G3308" s="1" t="s">
        <v>90</v>
      </c>
      <c r="H3308" t="s">
        <v>96</v>
      </c>
      <c r="I3308">
        <v>2007</v>
      </c>
      <c r="J3308">
        <v>0.22</v>
      </c>
      <c r="K3308" t="s">
        <v>101</v>
      </c>
      <c r="N3308" t="s">
        <v>123</v>
      </c>
      <c r="O3308" t="s">
        <v>123</v>
      </c>
      <c r="P3308" t="s">
        <v>641</v>
      </c>
      <c r="Q3308" s="1" t="s">
        <v>2281</v>
      </c>
      <c r="R3308" s="1" t="s">
        <v>2282</v>
      </c>
      <c r="S3308" s="1" t="s">
        <v>123</v>
      </c>
      <c r="X3308" t="s">
        <v>1826</v>
      </c>
      <c r="Y3308" t="s">
        <v>2273</v>
      </c>
      <c r="Z3308" t="s">
        <v>249</v>
      </c>
      <c r="AA3308" t="s">
        <v>2359</v>
      </c>
      <c r="AB3308" t="s">
        <v>1419</v>
      </c>
      <c r="AC3308" s="1" t="s">
        <v>152</v>
      </c>
      <c r="AD3308" t="s">
        <v>137</v>
      </c>
      <c r="AF3308" t="s">
        <v>49</v>
      </c>
      <c r="AJ3308" t="s">
        <v>49</v>
      </c>
      <c r="AM3308" s="1" t="s">
        <v>1827</v>
      </c>
      <c r="AN3308" t="s">
        <v>166</v>
      </c>
      <c r="AP3308" t="s">
        <v>173</v>
      </c>
    </row>
    <row r="3309" spans="1:45" x14ac:dyDescent="0.2">
      <c r="A3309" t="s">
        <v>1821</v>
      </c>
      <c r="B3309" t="s">
        <v>1822</v>
      </c>
      <c r="C3309">
        <v>2011</v>
      </c>
      <c r="D3309" t="s">
        <v>811</v>
      </c>
      <c r="F3309" t="s">
        <v>367</v>
      </c>
      <c r="G3309" s="1" t="s">
        <v>90</v>
      </c>
      <c r="H3309" t="s">
        <v>96</v>
      </c>
      <c r="I3309">
        <v>2007</v>
      </c>
      <c r="J3309">
        <v>0.22</v>
      </c>
      <c r="K3309" t="s">
        <v>101</v>
      </c>
      <c r="N3309" t="s">
        <v>123</v>
      </c>
      <c r="O3309" t="s">
        <v>123</v>
      </c>
      <c r="P3309" t="s">
        <v>641</v>
      </c>
      <c r="Q3309" s="1" t="s">
        <v>2281</v>
      </c>
      <c r="R3309" s="1" t="s">
        <v>2282</v>
      </c>
      <c r="S3309" s="1" t="s">
        <v>123</v>
      </c>
      <c r="X3309" t="s">
        <v>1826</v>
      </c>
      <c r="Y3309" t="s">
        <v>2273</v>
      </c>
      <c r="Z3309" t="s">
        <v>249</v>
      </c>
      <c r="AA3309" t="s">
        <v>2359</v>
      </c>
      <c r="AB3309" t="s">
        <v>1419</v>
      </c>
      <c r="AC3309" s="1" t="s">
        <v>152</v>
      </c>
      <c r="AD3309" t="s">
        <v>137</v>
      </c>
      <c r="AF3309" t="s">
        <v>49</v>
      </c>
      <c r="AJ3309" t="s">
        <v>49</v>
      </c>
      <c r="AM3309" s="1" t="s">
        <v>1828</v>
      </c>
      <c r="AN3309" t="s">
        <v>166</v>
      </c>
      <c r="AP3309" t="s">
        <v>51</v>
      </c>
    </row>
    <row r="3310" spans="1:45" x14ac:dyDescent="0.2">
      <c r="A3310" t="s">
        <v>1829</v>
      </c>
      <c r="B3310" t="s">
        <v>1830</v>
      </c>
      <c r="C3310">
        <v>2011</v>
      </c>
      <c r="Q3310" s="1" t="s">
        <v>2272</v>
      </c>
      <c r="R3310" s="1" t="s">
        <v>2272</v>
      </c>
      <c r="S3310" s="1" t="s">
        <v>2272</v>
      </c>
      <c r="Y3310" t="s">
        <v>2272</v>
      </c>
      <c r="Z3310" t="s">
        <v>2272</v>
      </c>
      <c r="AA3310" t="s">
        <v>2272</v>
      </c>
      <c r="AB3310" t="s">
        <v>2272</v>
      </c>
      <c r="AD3310" t="s">
        <v>2272</v>
      </c>
      <c r="AR3310" t="s">
        <v>144</v>
      </c>
      <c r="AS3310" t="s">
        <v>2583</v>
      </c>
    </row>
    <row r="3311" spans="1:45" x14ac:dyDescent="0.2">
      <c r="A3311" t="s">
        <v>1831</v>
      </c>
      <c r="B3311" t="s">
        <v>1832</v>
      </c>
      <c r="C3311">
        <v>2011</v>
      </c>
      <c r="D3311" t="s">
        <v>811</v>
      </c>
      <c r="F3311" t="s">
        <v>955</v>
      </c>
      <c r="G3311" s="1" t="s">
        <v>85</v>
      </c>
      <c r="H3311" t="s">
        <v>350</v>
      </c>
      <c r="I3311">
        <v>2005</v>
      </c>
      <c r="J3311">
        <f>0.079</f>
        <v>7.9000000000000001E-2</v>
      </c>
      <c r="K3311" t="s">
        <v>101</v>
      </c>
      <c r="L3311">
        <v>4</v>
      </c>
      <c r="M3311">
        <f>0.31*0.24</f>
        <v>7.4399999999999994E-2</v>
      </c>
      <c r="N3311" t="s">
        <v>120</v>
      </c>
      <c r="O3311" t="s">
        <v>120</v>
      </c>
      <c r="P3311" t="s">
        <v>1833</v>
      </c>
      <c r="Q3311" s="1" t="s">
        <v>2276</v>
      </c>
      <c r="R3311" s="1" t="s">
        <v>669</v>
      </c>
      <c r="S3311" s="1" t="s">
        <v>168</v>
      </c>
      <c r="T3311" t="s">
        <v>421</v>
      </c>
      <c r="U3311" t="s">
        <v>421</v>
      </c>
      <c r="X3311" t="s">
        <v>161</v>
      </c>
      <c r="Y3311" t="s">
        <v>2272</v>
      </c>
      <c r="Z3311" t="s">
        <v>2272</v>
      </c>
      <c r="AA3311" t="s">
        <v>2272</v>
      </c>
      <c r="AB3311" t="s">
        <v>2272</v>
      </c>
      <c r="AC3311" s="1" t="s">
        <v>162</v>
      </c>
      <c r="AD3311" t="s">
        <v>2272</v>
      </c>
      <c r="AF3311" t="s">
        <v>49</v>
      </c>
      <c r="AL3311" t="s">
        <v>49</v>
      </c>
      <c r="AM3311" t="s">
        <v>1834</v>
      </c>
      <c r="AN3311" s="1" t="s">
        <v>166</v>
      </c>
      <c r="AQ3311" s="5">
        <v>2</v>
      </c>
      <c r="AR3311">
        <v>1</v>
      </c>
    </row>
    <row r="3312" spans="1:45" x14ac:dyDescent="0.2">
      <c r="A3312" t="s">
        <v>1831</v>
      </c>
      <c r="B3312" t="s">
        <v>1832</v>
      </c>
      <c r="C3312">
        <v>2011</v>
      </c>
      <c r="D3312" t="s">
        <v>811</v>
      </c>
      <c r="F3312" t="s">
        <v>955</v>
      </c>
      <c r="G3312" s="1" t="s">
        <v>85</v>
      </c>
      <c r="H3312" t="s">
        <v>350</v>
      </c>
      <c r="I3312">
        <v>2005</v>
      </c>
      <c r="J3312">
        <v>9.6000000000000002E-2</v>
      </c>
      <c r="K3312" t="s">
        <v>109</v>
      </c>
      <c r="N3312" t="s">
        <v>120</v>
      </c>
      <c r="O3312" t="s">
        <v>120</v>
      </c>
      <c r="P3312" t="s">
        <v>1833</v>
      </c>
      <c r="Q3312" s="1" t="s">
        <v>2276</v>
      </c>
      <c r="R3312" s="1" t="s">
        <v>669</v>
      </c>
      <c r="S3312" s="1" t="s">
        <v>168</v>
      </c>
      <c r="T3312" t="s">
        <v>421</v>
      </c>
      <c r="U3312" t="s">
        <v>421</v>
      </c>
      <c r="X3312" t="s">
        <v>161</v>
      </c>
      <c r="Y3312" t="s">
        <v>2272</v>
      </c>
      <c r="Z3312" t="s">
        <v>2272</v>
      </c>
      <c r="AA3312" t="s">
        <v>2272</v>
      </c>
      <c r="AB3312" t="s">
        <v>2272</v>
      </c>
      <c r="AC3312" s="1" t="s">
        <v>162</v>
      </c>
      <c r="AD3312" t="s">
        <v>2272</v>
      </c>
      <c r="AF3312" t="s">
        <v>49</v>
      </c>
      <c r="AL3312" t="s">
        <v>49</v>
      </c>
      <c r="AM3312" t="s">
        <v>1834</v>
      </c>
      <c r="AN3312" s="1" t="s">
        <v>166</v>
      </c>
      <c r="AQ3312" s="5">
        <v>2</v>
      </c>
      <c r="AR3312">
        <v>1</v>
      </c>
    </row>
    <row r="3313" spans="1:45" x14ac:dyDescent="0.2">
      <c r="A3313" t="s">
        <v>1831</v>
      </c>
      <c r="B3313" t="s">
        <v>1832</v>
      </c>
      <c r="C3313">
        <v>2011</v>
      </c>
      <c r="D3313" t="s">
        <v>811</v>
      </c>
      <c r="F3313" t="s">
        <v>955</v>
      </c>
      <c r="G3313" s="1" t="s">
        <v>85</v>
      </c>
      <c r="H3313" t="s">
        <v>350</v>
      </c>
      <c r="I3313">
        <v>2005</v>
      </c>
      <c r="J3313">
        <v>9.6000000000000002E-2</v>
      </c>
      <c r="K3313" t="s">
        <v>109</v>
      </c>
      <c r="N3313" t="s">
        <v>120</v>
      </c>
      <c r="O3313" t="s">
        <v>120</v>
      </c>
      <c r="P3313" t="s">
        <v>1833</v>
      </c>
      <c r="Q3313" s="1" t="s">
        <v>2276</v>
      </c>
      <c r="R3313" s="1" t="s">
        <v>669</v>
      </c>
      <c r="S3313" s="1" t="s">
        <v>168</v>
      </c>
      <c r="T3313" t="s">
        <v>421</v>
      </c>
      <c r="U3313" t="s">
        <v>421</v>
      </c>
      <c r="X3313" t="s">
        <v>161</v>
      </c>
      <c r="Y3313" t="s">
        <v>2272</v>
      </c>
      <c r="Z3313" t="s">
        <v>2272</v>
      </c>
      <c r="AA3313" t="s">
        <v>2272</v>
      </c>
      <c r="AB3313" t="s">
        <v>2272</v>
      </c>
      <c r="AC3313" s="1" t="s">
        <v>162</v>
      </c>
      <c r="AD3313" t="s">
        <v>2272</v>
      </c>
      <c r="AF3313" t="s">
        <v>49</v>
      </c>
      <c r="AL3313" t="s">
        <v>49</v>
      </c>
      <c r="AM3313" t="s">
        <v>1834</v>
      </c>
      <c r="AN3313" s="1" t="s">
        <v>109</v>
      </c>
      <c r="AO3313" s="1" t="s">
        <v>293</v>
      </c>
      <c r="AQ3313" s="5">
        <v>1</v>
      </c>
      <c r="AR3313">
        <v>1</v>
      </c>
    </row>
    <row r="3314" spans="1:45" x14ac:dyDescent="0.2">
      <c r="A3314" t="s">
        <v>1835</v>
      </c>
      <c r="B3314" t="s">
        <v>1836</v>
      </c>
      <c r="C3314">
        <v>2010</v>
      </c>
      <c r="D3314" t="s">
        <v>811</v>
      </c>
      <c r="F3314" t="s">
        <v>628</v>
      </c>
      <c r="G3314" s="1" t="s">
        <v>86</v>
      </c>
      <c r="H3314" t="s">
        <v>350</v>
      </c>
      <c r="P3314" t="s">
        <v>1837</v>
      </c>
      <c r="Q3314" s="1" t="s">
        <v>2272</v>
      </c>
      <c r="R3314" s="1" t="s">
        <v>2272</v>
      </c>
      <c r="S3314" s="1" t="s">
        <v>2272</v>
      </c>
      <c r="Y3314" t="s">
        <v>2272</v>
      </c>
      <c r="Z3314" t="s">
        <v>2272</v>
      </c>
      <c r="AA3314" t="s">
        <v>2272</v>
      </c>
      <c r="AB3314" t="s">
        <v>2272</v>
      </c>
      <c r="AD3314" t="s">
        <v>2272</v>
      </c>
      <c r="AR3314" t="s">
        <v>144</v>
      </c>
      <c r="AS3314" t="s">
        <v>1942</v>
      </c>
    </row>
    <row r="3315" spans="1:45" x14ac:dyDescent="0.2">
      <c r="A3315" t="s">
        <v>1838</v>
      </c>
      <c r="B3315" t="s">
        <v>1839</v>
      </c>
      <c r="C3315">
        <v>2010</v>
      </c>
      <c r="D3315" t="s">
        <v>811</v>
      </c>
      <c r="F3315" t="s">
        <v>81</v>
      </c>
      <c r="G3315" s="1" t="s">
        <v>91</v>
      </c>
      <c r="H3315" t="s">
        <v>96</v>
      </c>
      <c r="I3315">
        <v>2007</v>
      </c>
      <c r="J3315">
        <v>0.17</v>
      </c>
      <c r="K3315" t="s">
        <v>101</v>
      </c>
      <c r="N3315" t="s">
        <v>121</v>
      </c>
      <c r="O3315" t="s">
        <v>121</v>
      </c>
      <c r="P3315" t="s">
        <v>278</v>
      </c>
      <c r="Q3315" s="1" t="s">
        <v>2292</v>
      </c>
      <c r="R3315" s="1" t="s">
        <v>264</v>
      </c>
      <c r="S3315" s="1" t="s">
        <v>264</v>
      </c>
      <c r="T3315" t="s">
        <v>421</v>
      </c>
      <c r="U3315" t="s">
        <v>421</v>
      </c>
      <c r="V3315" t="s">
        <v>194</v>
      </c>
      <c r="W3315" t="s">
        <v>278</v>
      </c>
      <c r="X3315" t="s">
        <v>161</v>
      </c>
      <c r="Y3315" t="s">
        <v>2272</v>
      </c>
      <c r="Z3315" t="s">
        <v>2272</v>
      </c>
      <c r="AA3315" t="s">
        <v>2272</v>
      </c>
      <c r="AB3315" t="s">
        <v>2272</v>
      </c>
      <c r="AC3315" s="1" t="s">
        <v>162</v>
      </c>
      <c r="AD3315" t="s">
        <v>2272</v>
      </c>
      <c r="AG3315" t="s">
        <v>49</v>
      </c>
      <c r="AL3315" t="s">
        <v>49</v>
      </c>
      <c r="AM3315" t="s">
        <v>1840</v>
      </c>
      <c r="AN3315" s="1" t="s">
        <v>109</v>
      </c>
      <c r="AO3315" s="1" t="s">
        <v>856</v>
      </c>
      <c r="AP3315" s="1" t="s">
        <v>51</v>
      </c>
      <c r="AQ3315" s="5">
        <v>0</v>
      </c>
    </row>
    <row r="3316" spans="1:45" x14ac:dyDescent="0.2">
      <c r="A3316" t="s">
        <v>1838</v>
      </c>
      <c r="B3316" t="s">
        <v>1839</v>
      </c>
      <c r="C3316">
        <v>2010</v>
      </c>
      <c r="D3316" t="s">
        <v>811</v>
      </c>
      <c r="F3316" t="s">
        <v>81</v>
      </c>
      <c r="G3316" s="1" t="s">
        <v>91</v>
      </c>
      <c r="H3316" t="s">
        <v>96</v>
      </c>
      <c r="I3316">
        <v>2007</v>
      </c>
      <c r="J3316">
        <v>0.17</v>
      </c>
      <c r="K3316" t="s">
        <v>101</v>
      </c>
      <c r="N3316" t="s">
        <v>121</v>
      </c>
      <c r="O3316" t="s">
        <v>121</v>
      </c>
      <c r="P3316" t="s">
        <v>278</v>
      </c>
      <c r="Q3316" s="1" t="s">
        <v>2292</v>
      </c>
      <c r="R3316" s="1" t="s">
        <v>264</v>
      </c>
      <c r="S3316" s="1" t="s">
        <v>264</v>
      </c>
      <c r="T3316" t="s">
        <v>421</v>
      </c>
      <c r="U3316" t="s">
        <v>421</v>
      </c>
      <c r="V3316" t="s">
        <v>194</v>
      </c>
      <c r="W3316" t="s">
        <v>278</v>
      </c>
      <c r="X3316" t="s">
        <v>161</v>
      </c>
      <c r="Y3316" t="s">
        <v>2272</v>
      </c>
      <c r="Z3316" t="s">
        <v>2272</v>
      </c>
      <c r="AA3316" t="s">
        <v>2272</v>
      </c>
      <c r="AB3316" t="s">
        <v>2272</v>
      </c>
      <c r="AC3316" s="1" t="s">
        <v>162</v>
      </c>
      <c r="AD3316" t="s">
        <v>2272</v>
      </c>
      <c r="AG3316" t="s">
        <v>49</v>
      </c>
      <c r="AL3316" t="s">
        <v>49</v>
      </c>
      <c r="AM3316" t="s">
        <v>1840</v>
      </c>
      <c r="AN3316" s="1" t="s">
        <v>109</v>
      </c>
      <c r="AO3316" t="s">
        <v>226</v>
      </c>
      <c r="AP3316" t="s">
        <v>173</v>
      </c>
      <c r="AQ3316" s="5">
        <v>2</v>
      </c>
    </row>
    <row r="3317" spans="1:45" x14ac:dyDescent="0.2">
      <c r="A3317" t="s">
        <v>1838</v>
      </c>
      <c r="B3317" t="s">
        <v>1839</v>
      </c>
      <c r="C3317">
        <v>2010</v>
      </c>
      <c r="D3317" t="s">
        <v>811</v>
      </c>
      <c r="F3317" t="s">
        <v>81</v>
      </c>
      <c r="G3317" s="1" t="s">
        <v>91</v>
      </c>
      <c r="H3317" t="s">
        <v>96</v>
      </c>
      <c r="I3317">
        <v>2007</v>
      </c>
      <c r="J3317">
        <v>0.17</v>
      </c>
      <c r="K3317" t="s">
        <v>101</v>
      </c>
      <c r="N3317" t="s">
        <v>121</v>
      </c>
      <c r="O3317" t="s">
        <v>121</v>
      </c>
      <c r="P3317" t="s">
        <v>278</v>
      </c>
      <c r="Q3317" s="1" t="s">
        <v>2292</v>
      </c>
      <c r="R3317" s="1" t="s">
        <v>264</v>
      </c>
      <c r="S3317" s="1" t="s">
        <v>264</v>
      </c>
      <c r="T3317" t="s">
        <v>421</v>
      </c>
      <c r="U3317" t="s">
        <v>421</v>
      </c>
      <c r="V3317" t="s">
        <v>194</v>
      </c>
      <c r="W3317" t="s">
        <v>278</v>
      </c>
      <c r="X3317" t="s">
        <v>161</v>
      </c>
      <c r="Y3317" t="s">
        <v>2272</v>
      </c>
      <c r="Z3317" t="s">
        <v>2272</v>
      </c>
      <c r="AA3317" t="s">
        <v>2272</v>
      </c>
      <c r="AB3317" t="s">
        <v>2272</v>
      </c>
      <c r="AC3317" s="1" t="s">
        <v>162</v>
      </c>
      <c r="AD3317" t="s">
        <v>2272</v>
      </c>
      <c r="AG3317" t="s">
        <v>49</v>
      </c>
      <c r="AL3317" t="s">
        <v>49</v>
      </c>
      <c r="AM3317" t="s">
        <v>1841</v>
      </c>
      <c r="AN3317" s="1" t="s">
        <v>166</v>
      </c>
      <c r="AQ3317" s="5">
        <v>1</v>
      </c>
    </row>
    <row r="3318" spans="1:45" x14ac:dyDescent="0.2">
      <c r="A3318" t="s">
        <v>1838</v>
      </c>
      <c r="B3318" t="s">
        <v>1839</v>
      </c>
      <c r="C3318">
        <v>2010</v>
      </c>
      <c r="D3318" t="s">
        <v>811</v>
      </c>
      <c r="F3318" t="s">
        <v>81</v>
      </c>
      <c r="G3318" s="1" t="s">
        <v>91</v>
      </c>
      <c r="H3318" t="s">
        <v>96</v>
      </c>
      <c r="I3318">
        <v>2007</v>
      </c>
      <c r="J3318">
        <v>0.08</v>
      </c>
      <c r="K3318" t="s">
        <v>111</v>
      </c>
      <c r="M3318">
        <v>9.4999999999999998E-3</v>
      </c>
      <c r="N3318" t="s">
        <v>121</v>
      </c>
      <c r="O3318" t="s">
        <v>121</v>
      </c>
      <c r="P3318" t="s">
        <v>278</v>
      </c>
      <c r="Q3318" s="1" t="s">
        <v>2292</v>
      </c>
      <c r="R3318" s="1" t="s">
        <v>264</v>
      </c>
      <c r="S3318" s="1" t="s">
        <v>264</v>
      </c>
      <c r="V3318" t="s">
        <v>194</v>
      </c>
      <c r="W3318" t="s">
        <v>278</v>
      </c>
      <c r="X3318" t="s">
        <v>1655</v>
      </c>
      <c r="Y3318" t="s">
        <v>2273</v>
      </c>
      <c r="Z3318" t="s">
        <v>2356</v>
      </c>
      <c r="AA3318" t="s">
        <v>2357</v>
      </c>
      <c r="AB3318" t="s">
        <v>449</v>
      </c>
      <c r="AC3318" s="1" t="s">
        <v>315</v>
      </c>
      <c r="AD3318" t="s">
        <v>137</v>
      </c>
      <c r="AE3318" s="1" t="s">
        <v>1215</v>
      </c>
      <c r="AF3318" s="1"/>
      <c r="AG3318" s="1"/>
      <c r="AH3318" s="2"/>
      <c r="AI3318" s="1"/>
      <c r="AJ3318" s="1"/>
      <c r="AK3318" s="1"/>
      <c r="AL3318" s="1"/>
      <c r="AN3318" s="1"/>
    </row>
    <row r="3319" spans="1:45" x14ac:dyDescent="0.2">
      <c r="A3319" t="s">
        <v>1838</v>
      </c>
      <c r="B3319" t="s">
        <v>1839</v>
      </c>
      <c r="C3319">
        <v>2010</v>
      </c>
      <c r="D3319" t="s">
        <v>811</v>
      </c>
      <c r="F3319" t="s">
        <v>81</v>
      </c>
      <c r="G3319" s="1" t="s">
        <v>91</v>
      </c>
      <c r="H3319" t="s">
        <v>96</v>
      </c>
      <c r="I3319">
        <v>2007</v>
      </c>
      <c r="J3319">
        <v>0.08</v>
      </c>
      <c r="K3319" t="s">
        <v>101</v>
      </c>
      <c r="M3319">
        <v>9.4999999999999998E-3</v>
      </c>
      <c r="N3319" t="s">
        <v>121</v>
      </c>
      <c r="O3319" t="s">
        <v>121</v>
      </c>
      <c r="P3319" t="s">
        <v>278</v>
      </c>
      <c r="Q3319" s="1" t="s">
        <v>2292</v>
      </c>
      <c r="R3319" s="1" t="s">
        <v>264</v>
      </c>
      <c r="S3319" s="1" t="s">
        <v>264</v>
      </c>
      <c r="V3319" t="s">
        <v>194</v>
      </c>
      <c r="W3319" t="s">
        <v>278</v>
      </c>
      <c r="X3319" t="s">
        <v>293</v>
      </c>
      <c r="Y3319" t="s">
        <v>2273</v>
      </c>
      <c r="Z3319" t="s">
        <v>249</v>
      </c>
      <c r="AA3319" t="s">
        <v>2359</v>
      </c>
      <c r="AB3319" t="s">
        <v>1419</v>
      </c>
      <c r="AC3319" s="1" t="s">
        <v>152</v>
      </c>
      <c r="AD3319" t="s">
        <v>137</v>
      </c>
      <c r="AN3319" s="1"/>
    </row>
    <row r="3320" spans="1:45" x14ac:dyDescent="0.2">
      <c r="A3320" t="s">
        <v>1838</v>
      </c>
      <c r="B3320" t="s">
        <v>1839</v>
      </c>
      <c r="C3320">
        <v>2010</v>
      </c>
      <c r="D3320" t="s">
        <v>811</v>
      </c>
      <c r="F3320" t="s">
        <v>81</v>
      </c>
      <c r="G3320" s="1" t="s">
        <v>91</v>
      </c>
      <c r="H3320" t="s">
        <v>96</v>
      </c>
      <c r="I3320">
        <v>2007</v>
      </c>
      <c r="J3320">
        <v>0.08</v>
      </c>
      <c r="K3320" t="s">
        <v>101</v>
      </c>
      <c r="M3320">
        <v>9.4999999999999998E-3</v>
      </c>
      <c r="N3320" t="s">
        <v>121</v>
      </c>
      <c r="O3320" t="s">
        <v>121</v>
      </c>
      <c r="P3320" t="s">
        <v>278</v>
      </c>
      <c r="Q3320" s="1" t="s">
        <v>2292</v>
      </c>
      <c r="R3320" s="1" t="s">
        <v>264</v>
      </c>
      <c r="S3320" s="1" t="s">
        <v>264</v>
      </c>
      <c r="V3320" t="s">
        <v>194</v>
      </c>
      <c r="W3320" t="s">
        <v>278</v>
      </c>
      <c r="X3320" t="s">
        <v>171</v>
      </c>
      <c r="Y3320" t="s">
        <v>2273</v>
      </c>
      <c r="Z3320" t="s">
        <v>249</v>
      </c>
      <c r="AA3320" t="s">
        <v>2359</v>
      </c>
      <c r="AB3320" t="s">
        <v>1979</v>
      </c>
      <c r="AC3320" s="1" t="s">
        <v>152</v>
      </c>
      <c r="AD3320" t="s">
        <v>137</v>
      </c>
      <c r="AN3320" s="1"/>
    </row>
    <row r="3321" spans="1:45" x14ac:dyDescent="0.2">
      <c r="A3321" t="s">
        <v>1838</v>
      </c>
      <c r="B3321" t="s">
        <v>1839</v>
      </c>
      <c r="C3321">
        <v>2010</v>
      </c>
      <c r="D3321" t="s">
        <v>811</v>
      </c>
      <c r="F3321" t="s">
        <v>81</v>
      </c>
      <c r="G3321" s="1" t="s">
        <v>91</v>
      </c>
      <c r="H3321" t="s">
        <v>96</v>
      </c>
      <c r="I3321">
        <v>2007</v>
      </c>
      <c r="J3321">
        <v>0.08</v>
      </c>
      <c r="K3321" t="s">
        <v>101</v>
      </c>
      <c r="M3321">
        <v>9.4999999999999998E-3</v>
      </c>
      <c r="N3321" t="s">
        <v>121</v>
      </c>
      <c r="O3321" t="s">
        <v>121</v>
      </c>
      <c r="P3321" t="s">
        <v>278</v>
      </c>
      <c r="Q3321" s="1" t="s">
        <v>2292</v>
      </c>
      <c r="R3321" s="1" t="s">
        <v>264</v>
      </c>
      <c r="S3321" s="1" t="s">
        <v>264</v>
      </c>
      <c r="V3321" t="s">
        <v>194</v>
      </c>
      <c r="W3321" t="s">
        <v>278</v>
      </c>
      <c r="X3321" t="s">
        <v>189</v>
      </c>
      <c r="Y3321" t="s">
        <v>2279</v>
      </c>
      <c r="Z3321" t="s">
        <v>2280</v>
      </c>
      <c r="AA3321" t="s">
        <v>2358</v>
      </c>
      <c r="AB3321" t="s">
        <v>189</v>
      </c>
      <c r="AC3321" s="1" t="s">
        <v>152</v>
      </c>
      <c r="AD3321" t="s">
        <v>2278</v>
      </c>
      <c r="AN3321" s="1"/>
    </row>
    <row r="3322" spans="1:45" x14ac:dyDescent="0.2">
      <c r="A3322" t="s">
        <v>1842</v>
      </c>
      <c r="B3322" t="s">
        <v>1843</v>
      </c>
      <c r="C3322">
        <v>2010</v>
      </c>
      <c r="D3322" t="s">
        <v>47</v>
      </c>
      <c r="Q3322" s="1" t="s">
        <v>2272</v>
      </c>
      <c r="R3322" s="1" t="s">
        <v>2272</v>
      </c>
      <c r="S3322" s="1" t="s">
        <v>2272</v>
      </c>
      <c r="Y3322" t="s">
        <v>2272</v>
      </c>
      <c r="Z3322" t="s">
        <v>2272</v>
      </c>
      <c r="AA3322" t="s">
        <v>2272</v>
      </c>
      <c r="AB3322" t="s">
        <v>2272</v>
      </c>
      <c r="AD3322" t="s">
        <v>2272</v>
      </c>
      <c r="AR3322" t="s">
        <v>144</v>
      </c>
      <c r="AS3322" t="s">
        <v>2587</v>
      </c>
    </row>
    <row r="3323" spans="1:45" x14ac:dyDescent="0.2">
      <c r="A3323" t="s">
        <v>1844</v>
      </c>
      <c r="B3323" t="s">
        <v>954</v>
      </c>
      <c r="C3323">
        <v>2010</v>
      </c>
      <c r="Q3323" s="1" t="s">
        <v>2272</v>
      </c>
      <c r="R3323" s="1" t="s">
        <v>2272</v>
      </c>
      <c r="S3323" s="1" t="s">
        <v>2272</v>
      </c>
      <c r="Y3323" t="s">
        <v>2272</v>
      </c>
      <c r="Z3323" t="s">
        <v>2272</v>
      </c>
      <c r="AA3323" t="s">
        <v>2272</v>
      </c>
      <c r="AB3323" t="s">
        <v>2272</v>
      </c>
      <c r="AD3323" t="s">
        <v>2272</v>
      </c>
      <c r="AR3323" t="s">
        <v>144</v>
      </c>
      <c r="AS3323" t="s">
        <v>2583</v>
      </c>
    </row>
    <row r="3324" spans="1:45" x14ac:dyDescent="0.2">
      <c r="A3324" t="s">
        <v>1845</v>
      </c>
      <c r="B3324" t="s">
        <v>1846</v>
      </c>
      <c r="C3324">
        <v>2010</v>
      </c>
      <c r="D3324" t="s">
        <v>44</v>
      </c>
      <c r="F3324" t="s">
        <v>1579</v>
      </c>
      <c r="G3324" s="1" t="s">
        <v>86</v>
      </c>
      <c r="H3324" t="s">
        <v>96</v>
      </c>
      <c r="I3324">
        <v>2006</v>
      </c>
      <c r="K3324" t="s">
        <v>101</v>
      </c>
      <c r="L3324">
        <v>5</v>
      </c>
      <c r="M3324">
        <v>0.25</v>
      </c>
      <c r="N3324" t="s">
        <v>126</v>
      </c>
      <c r="O3324" t="s">
        <v>126</v>
      </c>
      <c r="P3324" t="s">
        <v>941</v>
      </c>
      <c r="Q3324" s="1" t="s">
        <v>2281</v>
      </c>
      <c r="R3324" s="1" t="s">
        <v>2282</v>
      </c>
      <c r="S3324" s="1" t="s">
        <v>126</v>
      </c>
      <c r="X3324" t="s">
        <v>211</v>
      </c>
      <c r="Y3324" t="s">
        <v>2279</v>
      </c>
      <c r="Z3324" t="s">
        <v>2280</v>
      </c>
      <c r="AA3324" t="s">
        <v>2358</v>
      </c>
      <c r="AB3324" t="s">
        <v>2290</v>
      </c>
      <c r="AC3324" s="1" t="s">
        <v>152</v>
      </c>
      <c r="AD3324" t="s">
        <v>2278</v>
      </c>
    </row>
    <row r="3325" spans="1:45" x14ac:dyDescent="0.2">
      <c r="A3325" t="s">
        <v>1845</v>
      </c>
      <c r="B3325" t="s">
        <v>1846</v>
      </c>
      <c r="C3325">
        <v>2010</v>
      </c>
      <c r="D3325" t="s">
        <v>44</v>
      </c>
      <c r="F3325" t="s">
        <v>1579</v>
      </c>
      <c r="G3325" s="1" t="s">
        <v>86</v>
      </c>
      <c r="H3325" t="s">
        <v>96</v>
      </c>
      <c r="I3325">
        <v>2006</v>
      </c>
      <c r="K3325" t="s">
        <v>101</v>
      </c>
      <c r="L3325">
        <v>5</v>
      </c>
      <c r="M3325">
        <v>0.25</v>
      </c>
      <c r="N3325" t="s">
        <v>126</v>
      </c>
      <c r="O3325" t="s">
        <v>126</v>
      </c>
      <c r="P3325" t="s">
        <v>941</v>
      </c>
      <c r="Q3325" s="1" t="s">
        <v>2281</v>
      </c>
      <c r="R3325" s="1" t="s">
        <v>2282</v>
      </c>
      <c r="S3325" s="1" t="s">
        <v>126</v>
      </c>
      <c r="X3325" t="s">
        <v>150</v>
      </c>
      <c r="Y3325" t="s">
        <v>2273</v>
      </c>
      <c r="Z3325" t="s">
        <v>249</v>
      </c>
      <c r="AA3325" t="s">
        <v>2359</v>
      </c>
      <c r="AB3325" t="s">
        <v>1419</v>
      </c>
      <c r="AC3325" s="1" t="s">
        <v>152</v>
      </c>
      <c r="AD3325" t="s">
        <v>137</v>
      </c>
      <c r="AF3325" t="s">
        <v>49</v>
      </c>
      <c r="AI3325" t="s">
        <v>49</v>
      </c>
      <c r="AM3325" s="1" t="s">
        <v>342</v>
      </c>
      <c r="AN3325" s="1" t="s">
        <v>166</v>
      </c>
      <c r="AP3325" s="1" t="s">
        <v>49</v>
      </c>
    </row>
    <row r="3326" spans="1:45" x14ac:dyDescent="0.2">
      <c r="A3326" t="s">
        <v>1845</v>
      </c>
      <c r="B3326" t="s">
        <v>1846</v>
      </c>
      <c r="C3326">
        <v>2010</v>
      </c>
      <c r="D3326" t="s">
        <v>44</v>
      </c>
      <c r="F3326" t="s">
        <v>1579</v>
      </c>
      <c r="G3326" s="1" t="s">
        <v>86</v>
      </c>
      <c r="H3326" t="s">
        <v>96</v>
      </c>
      <c r="I3326">
        <v>2006</v>
      </c>
      <c r="K3326" t="s">
        <v>101</v>
      </c>
      <c r="L3326">
        <v>5</v>
      </c>
      <c r="M3326">
        <v>0.25</v>
      </c>
      <c r="N3326" t="s">
        <v>126</v>
      </c>
      <c r="O3326" t="s">
        <v>126</v>
      </c>
      <c r="P3326" t="s">
        <v>941</v>
      </c>
      <c r="Q3326" s="1" t="s">
        <v>2281</v>
      </c>
      <c r="R3326" s="1" t="s">
        <v>2282</v>
      </c>
      <c r="S3326" s="1" t="s">
        <v>126</v>
      </c>
      <c r="X3326" t="s">
        <v>150</v>
      </c>
      <c r="Y3326" t="s">
        <v>2273</v>
      </c>
      <c r="Z3326" t="s">
        <v>249</v>
      </c>
      <c r="AA3326" t="s">
        <v>2359</v>
      </c>
      <c r="AB3326" t="s">
        <v>1419</v>
      </c>
      <c r="AC3326" s="1" t="s">
        <v>152</v>
      </c>
      <c r="AD3326" t="s">
        <v>137</v>
      </c>
      <c r="AF3326" t="s">
        <v>49</v>
      </c>
      <c r="AI3326" t="s">
        <v>49</v>
      </c>
      <c r="AM3326" s="1" t="s">
        <v>342</v>
      </c>
      <c r="AN3326" s="1" t="s">
        <v>154</v>
      </c>
    </row>
    <row r="3327" spans="1:45" x14ac:dyDescent="0.2">
      <c r="A3327" t="s">
        <v>1845</v>
      </c>
      <c r="B3327" t="s">
        <v>1846</v>
      </c>
      <c r="C3327">
        <v>2010</v>
      </c>
      <c r="D3327" t="s">
        <v>44</v>
      </c>
      <c r="F3327" t="s">
        <v>1579</v>
      </c>
      <c r="G3327" s="1" t="s">
        <v>86</v>
      </c>
      <c r="H3327" t="s">
        <v>96</v>
      </c>
      <c r="I3327">
        <v>2006</v>
      </c>
      <c r="K3327" t="s">
        <v>101</v>
      </c>
      <c r="L3327">
        <v>5</v>
      </c>
      <c r="M3327">
        <v>0.25</v>
      </c>
      <c r="N3327" t="s">
        <v>126</v>
      </c>
      <c r="O3327" t="s">
        <v>126</v>
      </c>
      <c r="P3327" t="s">
        <v>941</v>
      </c>
      <c r="Q3327" s="1" t="s">
        <v>2281</v>
      </c>
      <c r="R3327" s="1" t="s">
        <v>2282</v>
      </c>
      <c r="S3327" s="1" t="s">
        <v>126</v>
      </c>
      <c r="T3327" t="s">
        <v>421</v>
      </c>
      <c r="U3327" t="s">
        <v>421</v>
      </c>
      <c r="X3327" t="s">
        <v>161</v>
      </c>
      <c r="Y3327" t="s">
        <v>2272</v>
      </c>
      <c r="Z3327" t="s">
        <v>2272</v>
      </c>
      <c r="AA3327" t="s">
        <v>2272</v>
      </c>
      <c r="AB3327" t="s">
        <v>2272</v>
      </c>
      <c r="AC3327" s="1" t="s">
        <v>162</v>
      </c>
      <c r="AD3327" t="s">
        <v>2272</v>
      </c>
      <c r="AF3327" t="s">
        <v>49</v>
      </c>
      <c r="AI3327" t="s">
        <v>49</v>
      </c>
      <c r="AM3327" s="1" t="s">
        <v>342</v>
      </c>
      <c r="AN3327" s="1" t="s">
        <v>165</v>
      </c>
      <c r="AP3327" s="1" t="s">
        <v>49</v>
      </c>
    </row>
    <row r="3328" spans="1:45" x14ac:dyDescent="0.2">
      <c r="A3328" t="s">
        <v>1847</v>
      </c>
      <c r="B3328" t="s">
        <v>1848</v>
      </c>
      <c r="C3328">
        <v>2010</v>
      </c>
      <c r="D3328" t="s">
        <v>811</v>
      </c>
      <c r="F3328" t="s">
        <v>81</v>
      </c>
      <c r="G3328" s="1" t="s">
        <v>91</v>
      </c>
      <c r="H3328" t="s">
        <v>96</v>
      </c>
      <c r="I3328" t="s">
        <v>1850</v>
      </c>
      <c r="J3328">
        <v>2</v>
      </c>
      <c r="K3328" t="s">
        <v>109</v>
      </c>
      <c r="N3328" t="s">
        <v>121</v>
      </c>
      <c r="O3328" t="s">
        <v>1785</v>
      </c>
      <c r="P3328" t="s">
        <v>1849</v>
      </c>
      <c r="Q3328" s="1" t="s">
        <v>2292</v>
      </c>
      <c r="R3328" s="1" t="s">
        <v>264</v>
      </c>
      <c r="S3328" s="1" t="s">
        <v>264</v>
      </c>
      <c r="T3328" t="s">
        <v>421</v>
      </c>
      <c r="U3328" t="s">
        <v>421</v>
      </c>
      <c r="X3328" t="s">
        <v>1851</v>
      </c>
      <c r="Y3328" t="s">
        <v>2279</v>
      </c>
      <c r="Z3328" t="s">
        <v>2280</v>
      </c>
      <c r="AA3328" t="s">
        <v>2358</v>
      </c>
      <c r="AB3328" t="s">
        <v>2290</v>
      </c>
      <c r="AC3328" s="1" t="s">
        <v>152</v>
      </c>
      <c r="AD3328" t="s">
        <v>2278</v>
      </c>
      <c r="AM3328" s="1"/>
    </row>
    <row r="3329" spans="1:43" x14ac:dyDescent="0.2">
      <c r="A3329" t="s">
        <v>1847</v>
      </c>
      <c r="B3329" t="s">
        <v>1848</v>
      </c>
      <c r="C3329">
        <v>2010</v>
      </c>
      <c r="D3329" t="s">
        <v>811</v>
      </c>
      <c r="F3329" t="s">
        <v>81</v>
      </c>
      <c r="G3329" s="1" t="s">
        <v>91</v>
      </c>
      <c r="H3329" t="s">
        <v>96</v>
      </c>
      <c r="I3329" t="s">
        <v>1850</v>
      </c>
      <c r="J3329">
        <v>2</v>
      </c>
      <c r="K3329" t="s">
        <v>109</v>
      </c>
      <c r="N3329" t="s">
        <v>121</v>
      </c>
      <c r="O3329" t="s">
        <v>1785</v>
      </c>
      <c r="P3329" t="s">
        <v>1849</v>
      </c>
      <c r="Q3329" s="1" t="s">
        <v>2292</v>
      </c>
      <c r="R3329" s="1" t="s">
        <v>264</v>
      </c>
      <c r="S3329" s="1" t="s">
        <v>264</v>
      </c>
      <c r="T3329" t="s">
        <v>421</v>
      </c>
      <c r="U3329" t="s">
        <v>421</v>
      </c>
      <c r="X3329" t="s">
        <v>1852</v>
      </c>
      <c r="Y3329" t="s">
        <v>2279</v>
      </c>
      <c r="Z3329" t="s">
        <v>2280</v>
      </c>
      <c r="AA3329" t="s">
        <v>2358</v>
      </c>
      <c r="AB3329" t="s">
        <v>2290</v>
      </c>
      <c r="AC3329" s="1" t="s">
        <v>152</v>
      </c>
      <c r="AD3329" t="s">
        <v>2278</v>
      </c>
      <c r="AM3329" s="1"/>
    </row>
    <row r="3330" spans="1:43" x14ac:dyDescent="0.2">
      <c r="A3330" t="s">
        <v>1847</v>
      </c>
      <c r="B3330" t="s">
        <v>1848</v>
      </c>
      <c r="C3330">
        <v>2010</v>
      </c>
      <c r="D3330" t="s">
        <v>811</v>
      </c>
      <c r="F3330" t="s">
        <v>81</v>
      </c>
      <c r="G3330" s="1" t="s">
        <v>91</v>
      </c>
      <c r="H3330" t="s">
        <v>96</v>
      </c>
      <c r="I3330" t="s">
        <v>1850</v>
      </c>
      <c r="J3330">
        <v>2</v>
      </c>
      <c r="K3330" t="s">
        <v>109</v>
      </c>
      <c r="N3330" t="s">
        <v>121</v>
      </c>
      <c r="O3330" t="s">
        <v>1785</v>
      </c>
      <c r="P3330" t="s">
        <v>1849</v>
      </c>
      <c r="Q3330" s="1" t="s">
        <v>2292</v>
      </c>
      <c r="R3330" s="1" t="s">
        <v>264</v>
      </c>
      <c r="S3330" s="1" t="s">
        <v>264</v>
      </c>
      <c r="T3330" t="s">
        <v>421</v>
      </c>
      <c r="U3330" t="s">
        <v>421</v>
      </c>
      <c r="X3330" t="s">
        <v>161</v>
      </c>
      <c r="Y3330" t="s">
        <v>2272</v>
      </c>
      <c r="Z3330" t="s">
        <v>2272</v>
      </c>
      <c r="AA3330" t="s">
        <v>2272</v>
      </c>
      <c r="AB3330" t="s">
        <v>2272</v>
      </c>
      <c r="AC3330" s="1" t="s">
        <v>162</v>
      </c>
      <c r="AD3330" t="s">
        <v>2272</v>
      </c>
      <c r="AF3330" t="s">
        <v>49</v>
      </c>
      <c r="AJ3330" t="s">
        <v>49</v>
      </c>
      <c r="AM3330" s="1" t="s">
        <v>970</v>
      </c>
      <c r="AN3330" s="1" t="s">
        <v>166</v>
      </c>
      <c r="AP3330" s="1"/>
      <c r="AQ3330" s="5">
        <v>0</v>
      </c>
    </row>
    <row r="3331" spans="1:43" x14ac:dyDescent="0.2">
      <c r="A3331" t="s">
        <v>1853</v>
      </c>
      <c r="B3331" t="s">
        <v>1854</v>
      </c>
      <c r="C3331">
        <v>2010</v>
      </c>
      <c r="D3331" t="s">
        <v>811</v>
      </c>
      <c r="F3331" t="s">
        <v>81</v>
      </c>
      <c r="G3331" s="1" t="s">
        <v>91</v>
      </c>
      <c r="H3331" t="s">
        <v>350</v>
      </c>
      <c r="I3331">
        <v>2005</v>
      </c>
      <c r="J3331">
        <f t="shared" ref="J3331:J3372" si="78">3/12</f>
        <v>0.25</v>
      </c>
      <c r="K3331" t="s">
        <v>101</v>
      </c>
      <c r="M3331">
        <f t="shared" ref="M3331:M3372" si="79">0.1*0.1</f>
        <v>1.0000000000000002E-2</v>
      </c>
      <c r="N3331" t="s">
        <v>127</v>
      </c>
      <c r="O3331" t="s">
        <v>639</v>
      </c>
      <c r="P3331" t="s">
        <v>1855</v>
      </c>
      <c r="Q3331" s="1" t="s">
        <v>2281</v>
      </c>
      <c r="R3331" s="1" t="s">
        <v>2291</v>
      </c>
      <c r="S3331" s="1" t="s">
        <v>2291</v>
      </c>
      <c r="V3331" t="s">
        <v>194</v>
      </c>
      <c r="W3331" t="s">
        <v>1856</v>
      </c>
      <c r="X3331" t="s">
        <v>886</v>
      </c>
      <c r="Y3331" t="s">
        <v>2279</v>
      </c>
      <c r="Z3331" t="s">
        <v>2280</v>
      </c>
      <c r="AA3331" t="s">
        <v>2358</v>
      </c>
      <c r="AB3331" t="s">
        <v>2459</v>
      </c>
      <c r="AC3331" s="1" t="s">
        <v>152</v>
      </c>
      <c r="AD3331" t="s">
        <v>2278</v>
      </c>
    </row>
    <row r="3332" spans="1:43" x14ac:dyDescent="0.2">
      <c r="A3332" t="s">
        <v>1853</v>
      </c>
      <c r="B3332" t="s">
        <v>1854</v>
      </c>
      <c r="C3332">
        <v>2010</v>
      </c>
      <c r="D3332" t="s">
        <v>811</v>
      </c>
      <c r="F3332" t="s">
        <v>81</v>
      </c>
      <c r="G3332" s="1" t="s">
        <v>91</v>
      </c>
      <c r="H3332" t="s">
        <v>350</v>
      </c>
      <c r="I3332">
        <v>2005</v>
      </c>
      <c r="J3332">
        <f t="shared" si="78"/>
        <v>0.25</v>
      </c>
      <c r="K3332" t="s">
        <v>101</v>
      </c>
      <c r="M3332">
        <f t="shared" si="79"/>
        <v>1.0000000000000002E-2</v>
      </c>
      <c r="N3332" t="s">
        <v>123</v>
      </c>
      <c r="O3332" t="s">
        <v>123</v>
      </c>
      <c r="P3332" t="s">
        <v>182</v>
      </c>
      <c r="Q3332" s="1" t="s">
        <v>2281</v>
      </c>
      <c r="R3332" s="1" t="s">
        <v>2282</v>
      </c>
      <c r="S3332" s="1" t="s">
        <v>123</v>
      </c>
      <c r="V3332" t="s">
        <v>194</v>
      </c>
      <c r="W3332" t="s">
        <v>1856</v>
      </c>
      <c r="X3332" t="s">
        <v>886</v>
      </c>
      <c r="Y3332" t="s">
        <v>2279</v>
      </c>
      <c r="Z3332" t="s">
        <v>2280</v>
      </c>
      <c r="AA3332" t="s">
        <v>2358</v>
      </c>
      <c r="AB3332" t="s">
        <v>2459</v>
      </c>
      <c r="AC3332" s="1" t="s">
        <v>152</v>
      </c>
      <c r="AD3332" t="s">
        <v>2278</v>
      </c>
    </row>
    <row r="3333" spans="1:43" x14ac:dyDescent="0.2">
      <c r="A3333" t="s">
        <v>1853</v>
      </c>
      <c r="B3333" t="s">
        <v>1854</v>
      </c>
      <c r="C3333">
        <v>2010</v>
      </c>
      <c r="D3333" t="s">
        <v>811</v>
      </c>
      <c r="F3333" t="s">
        <v>81</v>
      </c>
      <c r="G3333" s="1" t="s">
        <v>91</v>
      </c>
      <c r="H3333" t="s">
        <v>350</v>
      </c>
      <c r="I3333">
        <v>2005</v>
      </c>
      <c r="J3333">
        <f t="shared" si="78"/>
        <v>0.25</v>
      </c>
      <c r="K3333" t="s">
        <v>101</v>
      </c>
      <c r="M3333">
        <f t="shared" si="79"/>
        <v>1.0000000000000002E-2</v>
      </c>
      <c r="N3333" t="s">
        <v>127</v>
      </c>
      <c r="O3333" t="s">
        <v>1857</v>
      </c>
      <c r="P3333" t="s">
        <v>1856</v>
      </c>
      <c r="Q3333" s="1" t="s">
        <v>2281</v>
      </c>
      <c r="R3333" s="1" t="s">
        <v>2291</v>
      </c>
      <c r="S3333" s="1" t="s">
        <v>2291</v>
      </c>
      <c r="V3333" t="s">
        <v>194</v>
      </c>
      <c r="W3333" t="s">
        <v>1856</v>
      </c>
      <c r="X3333" t="s">
        <v>886</v>
      </c>
      <c r="Y3333" t="s">
        <v>2279</v>
      </c>
      <c r="Z3333" t="s">
        <v>2280</v>
      </c>
      <c r="AA3333" t="s">
        <v>2358</v>
      </c>
      <c r="AB3333" t="s">
        <v>2459</v>
      </c>
      <c r="AC3333" s="1" t="s">
        <v>152</v>
      </c>
      <c r="AD3333" t="s">
        <v>2278</v>
      </c>
    </row>
    <row r="3334" spans="1:43" x14ac:dyDescent="0.2">
      <c r="A3334" t="s">
        <v>1853</v>
      </c>
      <c r="B3334" t="s">
        <v>1854</v>
      </c>
      <c r="C3334">
        <v>2010</v>
      </c>
      <c r="D3334" t="s">
        <v>811</v>
      </c>
      <c r="F3334" t="s">
        <v>81</v>
      </c>
      <c r="G3334" s="1" t="s">
        <v>91</v>
      </c>
      <c r="H3334" t="s">
        <v>350</v>
      </c>
      <c r="I3334">
        <v>2005</v>
      </c>
      <c r="J3334">
        <f t="shared" si="78"/>
        <v>0.25</v>
      </c>
      <c r="K3334" t="s">
        <v>101</v>
      </c>
      <c r="M3334">
        <f t="shared" si="79"/>
        <v>1.0000000000000002E-2</v>
      </c>
      <c r="N3334" t="s">
        <v>127</v>
      </c>
      <c r="O3334" t="s">
        <v>639</v>
      </c>
      <c r="P3334" t="s">
        <v>1855</v>
      </c>
      <c r="Q3334" s="1" t="s">
        <v>2281</v>
      </c>
      <c r="R3334" s="1" t="s">
        <v>2291</v>
      </c>
      <c r="S3334" s="1" t="s">
        <v>2291</v>
      </c>
      <c r="T3334" t="s">
        <v>396</v>
      </c>
      <c r="U3334" t="s">
        <v>2344</v>
      </c>
      <c r="V3334" t="s">
        <v>194</v>
      </c>
      <c r="W3334" t="s">
        <v>1856</v>
      </c>
      <c r="X3334" t="s">
        <v>161</v>
      </c>
      <c r="Y3334" t="s">
        <v>2272</v>
      </c>
      <c r="Z3334" t="s">
        <v>2272</v>
      </c>
      <c r="AA3334" t="s">
        <v>2272</v>
      </c>
      <c r="AB3334" t="s">
        <v>2272</v>
      </c>
      <c r="AC3334" s="1" t="s">
        <v>162</v>
      </c>
      <c r="AD3334" t="s">
        <v>2272</v>
      </c>
      <c r="AF3334" t="s">
        <v>49</v>
      </c>
      <c r="AJ3334" t="s">
        <v>49</v>
      </c>
      <c r="AM3334" s="1" t="s">
        <v>1858</v>
      </c>
      <c r="AN3334" s="1" t="s">
        <v>154</v>
      </c>
      <c r="AQ3334" s="5">
        <v>3</v>
      </c>
    </row>
    <row r="3335" spans="1:43" x14ac:dyDescent="0.2">
      <c r="A3335" t="s">
        <v>1853</v>
      </c>
      <c r="B3335" t="s">
        <v>1854</v>
      </c>
      <c r="C3335">
        <v>2010</v>
      </c>
      <c r="D3335" t="s">
        <v>811</v>
      </c>
      <c r="F3335" t="s">
        <v>81</v>
      </c>
      <c r="G3335" s="1" t="s">
        <v>91</v>
      </c>
      <c r="H3335" t="s">
        <v>350</v>
      </c>
      <c r="I3335">
        <v>2005</v>
      </c>
      <c r="J3335">
        <f t="shared" si="78"/>
        <v>0.25</v>
      </c>
      <c r="K3335" t="s">
        <v>101</v>
      </c>
      <c r="M3335">
        <f t="shared" si="79"/>
        <v>1.0000000000000002E-2</v>
      </c>
      <c r="N3335" t="s">
        <v>123</v>
      </c>
      <c r="O3335" t="s">
        <v>123</v>
      </c>
      <c r="P3335" t="s">
        <v>182</v>
      </c>
      <c r="Q3335" s="1" t="s">
        <v>2281</v>
      </c>
      <c r="R3335" s="1" t="s">
        <v>2282</v>
      </c>
      <c r="S3335" s="1" t="s">
        <v>123</v>
      </c>
      <c r="T3335" t="s">
        <v>396</v>
      </c>
      <c r="U3335" t="s">
        <v>2343</v>
      </c>
      <c r="V3335" t="s">
        <v>194</v>
      </c>
      <c r="W3335" t="s">
        <v>1856</v>
      </c>
      <c r="X3335" t="s">
        <v>161</v>
      </c>
      <c r="Y3335" t="s">
        <v>2272</v>
      </c>
      <c r="Z3335" t="s">
        <v>2272</v>
      </c>
      <c r="AA3335" t="s">
        <v>2272</v>
      </c>
      <c r="AB3335" t="s">
        <v>2272</v>
      </c>
      <c r="AC3335" s="1" t="s">
        <v>152</v>
      </c>
      <c r="AD3335" t="s">
        <v>2272</v>
      </c>
      <c r="AF3335" t="s">
        <v>49</v>
      </c>
      <c r="AJ3335" t="s">
        <v>49</v>
      </c>
      <c r="AM3335" s="1" t="s">
        <v>1858</v>
      </c>
      <c r="AN3335" s="1" t="s">
        <v>154</v>
      </c>
      <c r="AQ3335" s="5">
        <v>2</v>
      </c>
    </row>
    <row r="3336" spans="1:43" x14ac:dyDescent="0.2">
      <c r="A3336" t="s">
        <v>1853</v>
      </c>
      <c r="B3336" t="s">
        <v>1854</v>
      </c>
      <c r="C3336">
        <v>2010</v>
      </c>
      <c r="D3336" t="s">
        <v>811</v>
      </c>
      <c r="F3336" t="s">
        <v>81</v>
      </c>
      <c r="G3336" s="1" t="s">
        <v>91</v>
      </c>
      <c r="H3336" t="s">
        <v>350</v>
      </c>
      <c r="I3336">
        <v>2005</v>
      </c>
      <c r="J3336">
        <f t="shared" si="78"/>
        <v>0.25</v>
      </c>
      <c r="K3336" t="s">
        <v>101</v>
      </c>
      <c r="M3336">
        <f t="shared" si="79"/>
        <v>1.0000000000000002E-2</v>
      </c>
      <c r="N3336" t="s">
        <v>127</v>
      </c>
      <c r="O3336" t="s">
        <v>1857</v>
      </c>
      <c r="P3336" t="s">
        <v>1856</v>
      </c>
      <c r="Q3336" s="1" t="s">
        <v>2281</v>
      </c>
      <c r="R3336" s="1" t="s">
        <v>2291</v>
      </c>
      <c r="S3336" s="1" t="s">
        <v>2291</v>
      </c>
      <c r="T3336" t="s">
        <v>396</v>
      </c>
      <c r="U3336" t="s">
        <v>2344</v>
      </c>
      <c r="V3336" t="s">
        <v>194</v>
      </c>
      <c r="W3336" t="s">
        <v>1856</v>
      </c>
      <c r="X3336" t="s">
        <v>161</v>
      </c>
      <c r="Y3336" t="s">
        <v>2272</v>
      </c>
      <c r="Z3336" t="s">
        <v>2272</v>
      </c>
      <c r="AA3336" t="s">
        <v>2272</v>
      </c>
      <c r="AB3336" t="s">
        <v>2272</v>
      </c>
      <c r="AC3336" s="1" t="s">
        <v>152</v>
      </c>
      <c r="AD3336" t="s">
        <v>2272</v>
      </c>
      <c r="AF3336" t="s">
        <v>49</v>
      </c>
      <c r="AJ3336" t="s">
        <v>49</v>
      </c>
      <c r="AM3336" s="1" t="s">
        <v>1858</v>
      </c>
      <c r="AN3336" s="1" t="s">
        <v>154</v>
      </c>
      <c r="AQ3336" s="5">
        <v>1</v>
      </c>
    </row>
    <row r="3337" spans="1:43" x14ac:dyDescent="0.2">
      <c r="A3337" t="s">
        <v>1853</v>
      </c>
      <c r="B3337" t="s">
        <v>1854</v>
      </c>
      <c r="C3337">
        <v>2010</v>
      </c>
      <c r="D3337" t="s">
        <v>811</v>
      </c>
      <c r="F3337" t="s">
        <v>81</v>
      </c>
      <c r="G3337" s="1" t="s">
        <v>91</v>
      </c>
      <c r="H3337" t="s">
        <v>350</v>
      </c>
      <c r="I3337">
        <v>2005</v>
      </c>
      <c r="J3337">
        <f t="shared" si="78"/>
        <v>0.25</v>
      </c>
      <c r="K3337" t="s">
        <v>101</v>
      </c>
      <c r="M3337">
        <f t="shared" si="79"/>
        <v>1.0000000000000002E-2</v>
      </c>
      <c r="N3337" t="s">
        <v>127</v>
      </c>
      <c r="O3337" t="s">
        <v>639</v>
      </c>
      <c r="P3337" t="s">
        <v>1855</v>
      </c>
      <c r="Q3337" s="1" t="s">
        <v>2281</v>
      </c>
      <c r="R3337" s="1" t="s">
        <v>2291</v>
      </c>
      <c r="S3337" s="1" t="s">
        <v>2291</v>
      </c>
      <c r="T3337" t="s">
        <v>396</v>
      </c>
      <c r="U3337" t="s">
        <v>2344</v>
      </c>
      <c r="V3337" t="s">
        <v>194</v>
      </c>
      <c r="W3337" t="s">
        <v>1856</v>
      </c>
      <c r="X3337" t="s">
        <v>161</v>
      </c>
      <c r="Y3337" t="s">
        <v>2272</v>
      </c>
      <c r="Z3337" t="s">
        <v>2272</v>
      </c>
      <c r="AA3337" t="s">
        <v>2272</v>
      </c>
      <c r="AB3337" t="s">
        <v>2272</v>
      </c>
      <c r="AC3337" s="1" t="s">
        <v>162</v>
      </c>
      <c r="AD3337" t="s">
        <v>2272</v>
      </c>
      <c r="AF3337" t="s">
        <v>49</v>
      </c>
      <c r="AJ3337" t="s">
        <v>49</v>
      </c>
      <c r="AM3337" s="1" t="s">
        <v>1858</v>
      </c>
      <c r="AN3337" s="1" t="s">
        <v>166</v>
      </c>
      <c r="AQ3337" s="5">
        <v>0</v>
      </c>
    </row>
    <row r="3338" spans="1:43" x14ac:dyDescent="0.2">
      <c r="A3338" t="s">
        <v>1853</v>
      </c>
      <c r="B3338" t="s">
        <v>1854</v>
      </c>
      <c r="C3338">
        <v>2010</v>
      </c>
      <c r="D3338" t="s">
        <v>811</v>
      </c>
      <c r="F3338" t="s">
        <v>81</v>
      </c>
      <c r="G3338" s="1" t="s">
        <v>91</v>
      </c>
      <c r="H3338" t="s">
        <v>350</v>
      </c>
      <c r="I3338">
        <v>2005</v>
      </c>
      <c r="J3338">
        <f t="shared" si="78"/>
        <v>0.25</v>
      </c>
      <c r="K3338" t="s">
        <v>101</v>
      </c>
      <c r="M3338">
        <f t="shared" si="79"/>
        <v>1.0000000000000002E-2</v>
      </c>
      <c r="N3338" t="s">
        <v>123</v>
      </c>
      <c r="O3338" t="s">
        <v>123</v>
      </c>
      <c r="P3338" t="s">
        <v>182</v>
      </c>
      <c r="Q3338" s="1" t="s">
        <v>2281</v>
      </c>
      <c r="R3338" s="1" t="s">
        <v>2282</v>
      </c>
      <c r="S3338" s="1" t="s">
        <v>123</v>
      </c>
      <c r="T3338" t="s">
        <v>396</v>
      </c>
      <c r="U3338" t="s">
        <v>2343</v>
      </c>
      <c r="V3338" t="s">
        <v>194</v>
      </c>
      <c r="W3338" t="s">
        <v>1856</v>
      </c>
      <c r="X3338" t="s">
        <v>161</v>
      </c>
      <c r="Y3338" t="s">
        <v>2272</v>
      </c>
      <c r="Z3338" t="s">
        <v>2272</v>
      </c>
      <c r="AA3338" t="s">
        <v>2272</v>
      </c>
      <c r="AB3338" t="s">
        <v>2272</v>
      </c>
      <c r="AC3338" s="1" t="s">
        <v>152</v>
      </c>
      <c r="AD3338" t="s">
        <v>2272</v>
      </c>
      <c r="AF3338" t="s">
        <v>49</v>
      </c>
      <c r="AJ3338" t="s">
        <v>49</v>
      </c>
      <c r="AM3338" s="1" t="s">
        <v>1858</v>
      </c>
      <c r="AN3338" s="1" t="s">
        <v>166</v>
      </c>
      <c r="AQ3338" s="5">
        <v>0</v>
      </c>
    </row>
    <row r="3339" spans="1:43" x14ac:dyDescent="0.2">
      <c r="A3339" t="s">
        <v>1853</v>
      </c>
      <c r="B3339" t="s">
        <v>1854</v>
      </c>
      <c r="C3339">
        <v>2010</v>
      </c>
      <c r="D3339" t="s">
        <v>811</v>
      </c>
      <c r="F3339" t="s">
        <v>81</v>
      </c>
      <c r="G3339" s="1" t="s">
        <v>91</v>
      </c>
      <c r="H3339" t="s">
        <v>350</v>
      </c>
      <c r="I3339">
        <v>2005</v>
      </c>
      <c r="J3339">
        <f t="shared" si="78"/>
        <v>0.25</v>
      </c>
      <c r="K3339" t="s">
        <v>101</v>
      </c>
      <c r="M3339">
        <f t="shared" si="79"/>
        <v>1.0000000000000002E-2</v>
      </c>
      <c r="N3339" t="s">
        <v>127</v>
      </c>
      <c r="O3339" t="s">
        <v>1857</v>
      </c>
      <c r="P3339" t="s">
        <v>1856</v>
      </c>
      <c r="Q3339" s="1" t="s">
        <v>2281</v>
      </c>
      <c r="R3339" s="1" t="s">
        <v>2291</v>
      </c>
      <c r="S3339" s="1" t="s">
        <v>2291</v>
      </c>
      <c r="T3339" t="s">
        <v>396</v>
      </c>
      <c r="U3339" t="s">
        <v>2344</v>
      </c>
      <c r="V3339" t="s">
        <v>194</v>
      </c>
      <c r="W3339" t="s">
        <v>1856</v>
      </c>
      <c r="X3339" t="s">
        <v>161</v>
      </c>
      <c r="Y3339" t="s">
        <v>2272</v>
      </c>
      <c r="Z3339" t="s">
        <v>2272</v>
      </c>
      <c r="AA3339" t="s">
        <v>2272</v>
      </c>
      <c r="AB3339" t="s">
        <v>2272</v>
      </c>
      <c r="AC3339" s="1" t="s">
        <v>152</v>
      </c>
      <c r="AD3339" t="s">
        <v>2272</v>
      </c>
      <c r="AF3339" t="s">
        <v>49</v>
      </c>
      <c r="AJ3339" t="s">
        <v>49</v>
      </c>
      <c r="AM3339" s="1" t="s">
        <v>1858</v>
      </c>
      <c r="AN3339" s="1" t="s">
        <v>166</v>
      </c>
      <c r="AQ3339" s="5">
        <v>0</v>
      </c>
    </row>
    <row r="3340" spans="1:43" x14ac:dyDescent="0.2">
      <c r="A3340" t="s">
        <v>1853</v>
      </c>
      <c r="B3340" t="s">
        <v>1854</v>
      </c>
      <c r="C3340">
        <v>2010</v>
      </c>
      <c r="D3340" t="s">
        <v>811</v>
      </c>
      <c r="F3340" t="s">
        <v>81</v>
      </c>
      <c r="G3340" s="1" t="s">
        <v>91</v>
      </c>
      <c r="H3340" t="s">
        <v>350</v>
      </c>
      <c r="I3340">
        <v>2005</v>
      </c>
      <c r="J3340">
        <f t="shared" si="78"/>
        <v>0.25</v>
      </c>
      <c r="K3340" t="s">
        <v>101</v>
      </c>
      <c r="M3340">
        <f t="shared" si="79"/>
        <v>1.0000000000000002E-2</v>
      </c>
      <c r="N3340" t="s">
        <v>127</v>
      </c>
      <c r="O3340" t="s">
        <v>639</v>
      </c>
      <c r="P3340" t="s">
        <v>1855</v>
      </c>
      <c r="Q3340" s="1" t="s">
        <v>2281</v>
      </c>
      <c r="R3340" s="1" t="s">
        <v>2291</v>
      </c>
      <c r="S3340" s="1" t="s">
        <v>2291</v>
      </c>
      <c r="T3340" t="s">
        <v>396</v>
      </c>
      <c r="U3340" t="s">
        <v>2344</v>
      </c>
      <c r="V3340" t="s">
        <v>194</v>
      </c>
      <c r="W3340" t="s">
        <v>1856</v>
      </c>
      <c r="X3340" t="s">
        <v>161</v>
      </c>
      <c r="Y3340" t="s">
        <v>2272</v>
      </c>
      <c r="Z3340" t="s">
        <v>2272</v>
      </c>
      <c r="AA3340" t="s">
        <v>2272</v>
      </c>
      <c r="AB3340" t="s">
        <v>2272</v>
      </c>
      <c r="AC3340" s="1" t="s">
        <v>162</v>
      </c>
      <c r="AD3340" t="s">
        <v>2272</v>
      </c>
      <c r="AF3340" t="s">
        <v>49</v>
      </c>
      <c r="AJ3340" t="s">
        <v>49</v>
      </c>
      <c r="AM3340" s="1" t="s">
        <v>1858</v>
      </c>
      <c r="AN3340" s="1" t="s">
        <v>165</v>
      </c>
      <c r="AP3340" s="1" t="s">
        <v>49</v>
      </c>
    </row>
    <row r="3341" spans="1:43" x14ac:dyDescent="0.2">
      <c r="A3341" t="s">
        <v>1853</v>
      </c>
      <c r="B3341" t="s">
        <v>1854</v>
      </c>
      <c r="C3341">
        <v>2010</v>
      </c>
      <c r="D3341" t="s">
        <v>811</v>
      </c>
      <c r="F3341" t="s">
        <v>81</v>
      </c>
      <c r="G3341" s="1" t="s">
        <v>91</v>
      </c>
      <c r="H3341" t="s">
        <v>350</v>
      </c>
      <c r="I3341">
        <v>2005</v>
      </c>
      <c r="J3341">
        <f t="shared" si="78"/>
        <v>0.25</v>
      </c>
      <c r="K3341" t="s">
        <v>101</v>
      </c>
      <c r="M3341">
        <f t="shared" si="79"/>
        <v>1.0000000000000002E-2</v>
      </c>
      <c r="N3341" t="s">
        <v>123</v>
      </c>
      <c r="O3341" t="s">
        <v>123</v>
      </c>
      <c r="P3341" t="s">
        <v>182</v>
      </c>
      <c r="Q3341" s="1" t="s">
        <v>2281</v>
      </c>
      <c r="R3341" s="1" t="s">
        <v>2282</v>
      </c>
      <c r="S3341" s="1" t="s">
        <v>123</v>
      </c>
      <c r="T3341" t="s">
        <v>396</v>
      </c>
      <c r="U3341" t="s">
        <v>2343</v>
      </c>
      <c r="V3341" t="s">
        <v>194</v>
      </c>
      <c r="W3341" t="s">
        <v>1856</v>
      </c>
      <c r="X3341" t="s">
        <v>161</v>
      </c>
      <c r="Y3341" t="s">
        <v>2272</v>
      </c>
      <c r="Z3341" t="s">
        <v>2272</v>
      </c>
      <c r="AA3341" t="s">
        <v>2272</v>
      </c>
      <c r="AB3341" t="s">
        <v>2272</v>
      </c>
      <c r="AC3341" s="1" t="s">
        <v>152</v>
      </c>
      <c r="AD3341" t="s">
        <v>2272</v>
      </c>
      <c r="AF3341" t="s">
        <v>49</v>
      </c>
      <c r="AJ3341" t="s">
        <v>49</v>
      </c>
      <c r="AM3341" s="1" t="s">
        <v>1858</v>
      </c>
      <c r="AN3341" s="1" t="s">
        <v>165</v>
      </c>
      <c r="AP3341" s="1" t="s">
        <v>49</v>
      </c>
    </row>
    <row r="3342" spans="1:43" x14ac:dyDescent="0.2">
      <c r="A3342" t="s">
        <v>1853</v>
      </c>
      <c r="B3342" t="s">
        <v>1854</v>
      </c>
      <c r="C3342">
        <v>2010</v>
      </c>
      <c r="D3342" t="s">
        <v>811</v>
      </c>
      <c r="F3342" t="s">
        <v>81</v>
      </c>
      <c r="G3342" s="1" t="s">
        <v>91</v>
      </c>
      <c r="H3342" t="s">
        <v>350</v>
      </c>
      <c r="I3342">
        <v>2005</v>
      </c>
      <c r="J3342">
        <f t="shared" si="78"/>
        <v>0.25</v>
      </c>
      <c r="K3342" t="s">
        <v>101</v>
      </c>
      <c r="M3342">
        <f t="shared" si="79"/>
        <v>1.0000000000000002E-2</v>
      </c>
      <c r="N3342" t="s">
        <v>127</v>
      </c>
      <c r="O3342" t="s">
        <v>1857</v>
      </c>
      <c r="P3342" t="s">
        <v>1856</v>
      </c>
      <c r="Q3342" s="1" t="s">
        <v>2281</v>
      </c>
      <c r="R3342" s="1" t="s">
        <v>2291</v>
      </c>
      <c r="S3342" s="1" t="s">
        <v>2291</v>
      </c>
      <c r="T3342" t="s">
        <v>396</v>
      </c>
      <c r="U3342" t="s">
        <v>2344</v>
      </c>
      <c r="V3342" t="s">
        <v>194</v>
      </c>
      <c r="W3342" t="s">
        <v>1856</v>
      </c>
      <c r="X3342" t="s">
        <v>161</v>
      </c>
      <c r="Y3342" t="s">
        <v>2272</v>
      </c>
      <c r="Z3342" t="s">
        <v>2272</v>
      </c>
      <c r="AA3342" t="s">
        <v>2272</v>
      </c>
      <c r="AB3342" t="s">
        <v>2272</v>
      </c>
      <c r="AC3342" s="1" t="s">
        <v>152</v>
      </c>
      <c r="AD3342" t="s">
        <v>2272</v>
      </c>
      <c r="AF3342" t="s">
        <v>49</v>
      </c>
      <c r="AJ3342" t="s">
        <v>49</v>
      </c>
      <c r="AM3342" s="1" t="s">
        <v>1858</v>
      </c>
      <c r="AN3342" s="1" t="s">
        <v>165</v>
      </c>
      <c r="AP3342" s="1" t="s">
        <v>49</v>
      </c>
    </row>
    <row r="3343" spans="1:43" x14ac:dyDescent="0.2">
      <c r="A3343" t="s">
        <v>1853</v>
      </c>
      <c r="B3343" t="s">
        <v>1854</v>
      </c>
      <c r="C3343">
        <v>2010</v>
      </c>
      <c r="D3343" t="s">
        <v>811</v>
      </c>
      <c r="F3343" t="s">
        <v>81</v>
      </c>
      <c r="G3343" s="1" t="s">
        <v>91</v>
      </c>
      <c r="H3343" t="s">
        <v>350</v>
      </c>
      <c r="I3343">
        <v>2005</v>
      </c>
      <c r="J3343">
        <f t="shared" si="78"/>
        <v>0.25</v>
      </c>
      <c r="K3343" t="s">
        <v>101</v>
      </c>
      <c r="M3343">
        <f t="shared" si="79"/>
        <v>1.0000000000000002E-2</v>
      </c>
      <c r="N3343" t="s">
        <v>127</v>
      </c>
      <c r="O3343" t="s">
        <v>639</v>
      </c>
      <c r="P3343" t="s">
        <v>1855</v>
      </c>
      <c r="Q3343" s="1" t="s">
        <v>2281</v>
      </c>
      <c r="R3343" s="1" t="s">
        <v>2291</v>
      </c>
      <c r="S3343" s="1" t="s">
        <v>2291</v>
      </c>
      <c r="T3343" t="s">
        <v>421</v>
      </c>
      <c r="U3343" t="s">
        <v>421</v>
      </c>
      <c r="V3343" t="s">
        <v>194</v>
      </c>
      <c r="W3343" t="s">
        <v>1856</v>
      </c>
      <c r="X3343" t="s">
        <v>161</v>
      </c>
      <c r="Y3343" t="s">
        <v>2272</v>
      </c>
      <c r="Z3343" t="s">
        <v>2272</v>
      </c>
      <c r="AA3343" t="s">
        <v>2272</v>
      </c>
      <c r="AB3343" t="s">
        <v>2272</v>
      </c>
      <c r="AC3343" s="1" t="s">
        <v>162</v>
      </c>
      <c r="AD3343" t="s">
        <v>2272</v>
      </c>
      <c r="AF3343" t="s">
        <v>49</v>
      </c>
      <c r="AJ3343" t="s">
        <v>49</v>
      </c>
      <c r="AM3343" s="1" t="s">
        <v>1858</v>
      </c>
      <c r="AN3343" s="1" t="s">
        <v>154</v>
      </c>
      <c r="AP3343" s="1"/>
      <c r="AQ3343" s="5">
        <v>0</v>
      </c>
    </row>
    <row r="3344" spans="1:43" x14ac:dyDescent="0.2">
      <c r="A3344" t="s">
        <v>1853</v>
      </c>
      <c r="B3344" t="s">
        <v>1854</v>
      </c>
      <c r="C3344">
        <v>2010</v>
      </c>
      <c r="D3344" t="s">
        <v>811</v>
      </c>
      <c r="F3344" t="s">
        <v>81</v>
      </c>
      <c r="G3344" s="1" t="s">
        <v>91</v>
      </c>
      <c r="H3344" t="s">
        <v>350</v>
      </c>
      <c r="I3344">
        <v>2005</v>
      </c>
      <c r="J3344">
        <f t="shared" si="78"/>
        <v>0.25</v>
      </c>
      <c r="K3344" t="s">
        <v>101</v>
      </c>
      <c r="M3344">
        <f t="shared" si="79"/>
        <v>1.0000000000000002E-2</v>
      </c>
      <c r="N3344" t="s">
        <v>123</v>
      </c>
      <c r="O3344" t="s">
        <v>123</v>
      </c>
      <c r="P3344" t="s">
        <v>182</v>
      </c>
      <c r="Q3344" s="1" t="s">
        <v>2281</v>
      </c>
      <c r="R3344" s="1" t="s">
        <v>2282</v>
      </c>
      <c r="S3344" s="1" t="s">
        <v>123</v>
      </c>
      <c r="T3344" t="s">
        <v>421</v>
      </c>
      <c r="U3344" t="s">
        <v>421</v>
      </c>
      <c r="V3344" t="s">
        <v>194</v>
      </c>
      <c r="W3344" t="s">
        <v>1856</v>
      </c>
      <c r="X3344" t="s">
        <v>161</v>
      </c>
      <c r="Y3344" t="s">
        <v>2272</v>
      </c>
      <c r="Z3344" t="s">
        <v>2272</v>
      </c>
      <c r="AA3344" t="s">
        <v>2272</v>
      </c>
      <c r="AB3344" t="s">
        <v>2272</v>
      </c>
      <c r="AC3344" s="1" t="s">
        <v>152</v>
      </c>
      <c r="AD3344" t="s">
        <v>2272</v>
      </c>
      <c r="AF3344" t="s">
        <v>49</v>
      </c>
      <c r="AJ3344" t="s">
        <v>49</v>
      </c>
      <c r="AM3344" s="1" t="s">
        <v>1858</v>
      </c>
      <c r="AN3344" s="1" t="s">
        <v>154</v>
      </c>
      <c r="AP3344" s="1"/>
      <c r="AQ3344" s="5">
        <v>1</v>
      </c>
    </row>
    <row r="3345" spans="1:43" x14ac:dyDescent="0.2">
      <c r="A3345" t="s">
        <v>1853</v>
      </c>
      <c r="B3345" t="s">
        <v>1854</v>
      </c>
      <c r="C3345">
        <v>2010</v>
      </c>
      <c r="D3345" t="s">
        <v>811</v>
      </c>
      <c r="F3345" t="s">
        <v>81</v>
      </c>
      <c r="G3345" s="1" t="s">
        <v>91</v>
      </c>
      <c r="H3345" t="s">
        <v>350</v>
      </c>
      <c r="I3345">
        <v>2005</v>
      </c>
      <c r="J3345">
        <f t="shared" si="78"/>
        <v>0.25</v>
      </c>
      <c r="K3345" t="s">
        <v>101</v>
      </c>
      <c r="M3345">
        <f t="shared" si="79"/>
        <v>1.0000000000000002E-2</v>
      </c>
      <c r="N3345" t="s">
        <v>127</v>
      </c>
      <c r="O3345" t="s">
        <v>1857</v>
      </c>
      <c r="P3345" t="s">
        <v>1856</v>
      </c>
      <c r="Q3345" s="1" t="s">
        <v>2281</v>
      </c>
      <c r="R3345" s="1" t="s">
        <v>2291</v>
      </c>
      <c r="S3345" s="1" t="s">
        <v>2291</v>
      </c>
      <c r="T3345" t="s">
        <v>421</v>
      </c>
      <c r="U3345" t="s">
        <v>421</v>
      </c>
      <c r="V3345" t="s">
        <v>194</v>
      </c>
      <c r="W3345" t="s">
        <v>1856</v>
      </c>
      <c r="X3345" t="s">
        <v>161</v>
      </c>
      <c r="Y3345" t="s">
        <v>2272</v>
      </c>
      <c r="Z3345" t="s">
        <v>2272</v>
      </c>
      <c r="AA3345" t="s">
        <v>2272</v>
      </c>
      <c r="AB3345" t="s">
        <v>2272</v>
      </c>
      <c r="AC3345" s="1" t="s">
        <v>152</v>
      </c>
      <c r="AD3345" t="s">
        <v>2272</v>
      </c>
      <c r="AF3345" t="s">
        <v>49</v>
      </c>
      <c r="AJ3345" t="s">
        <v>49</v>
      </c>
      <c r="AM3345" s="1" t="s">
        <v>1858</v>
      </c>
      <c r="AN3345" s="1" t="s">
        <v>154</v>
      </c>
      <c r="AP3345" s="1"/>
      <c r="AQ3345" s="5">
        <v>1</v>
      </c>
    </row>
    <row r="3346" spans="1:43" x14ac:dyDescent="0.2">
      <c r="A3346" t="s">
        <v>1853</v>
      </c>
      <c r="B3346" t="s">
        <v>1854</v>
      </c>
      <c r="C3346">
        <v>2010</v>
      </c>
      <c r="D3346" t="s">
        <v>811</v>
      </c>
      <c r="F3346" t="s">
        <v>81</v>
      </c>
      <c r="G3346" s="1" t="s">
        <v>91</v>
      </c>
      <c r="H3346" t="s">
        <v>350</v>
      </c>
      <c r="I3346">
        <v>2005</v>
      </c>
      <c r="J3346">
        <f t="shared" si="78"/>
        <v>0.25</v>
      </c>
      <c r="K3346" t="s">
        <v>101</v>
      </c>
      <c r="M3346">
        <f t="shared" si="79"/>
        <v>1.0000000000000002E-2</v>
      </c>
      <c r="N3346" t="s">
        <v>127</v>
      </c>
      <c r="O3346" t="s">
        <v>639</v>
      </c>
      <c r="P3346" t="s">
        <v>1855</v>
      </c>
      <c r="Q3346" s="1" t="s">
        <v>2281</v>
      </c>
      <c r="R3346" s="1" t="s">
        <v>2291</v>
      </c>
      <c r="S3346" s="1" t="s">
        <v>2291</v>
      </c>
      <c r="T3346" t="s">
        <v>421</v>
      </c>
      <c r="U3346" t="s">
        <v>421</v>
      </c>
      <c r="V3346" t="s">
        <v>194</v>
      </c>
      <c r="W3346" t="s">
        <v>1856</v>
      </c>
      <c r="X3346" t="s">
        <v>161</v>
      </c>
      <c r="Y3346" t="s">
        <v>2272</v>
      </c>
      <c r="Z3346" t="s">
        <v>2272</v>
      </c>
      <c r="AA3346" t="s">
        <v>2272</v>
      </c>
      <c r="AB3346" t="s">
        <v>2272</v>
      </c>
      <c r="AC3346" s="1" t="s">
        <v>162</v>
      </c>
      <c r="AD3346" t="s">
        <v>2272</v>
      </c>
      <c r="AF3346" t="s">
        <v>49</v>
      </c>
      <c r="AJ3346" t="s">
        <v>49</v>
      </c>
      <c r="AM3346" s="1" t="s">
        <v>1858</v>
      </c>
      <c r="AN3346" s="1" t="s">
        <v>166</v>
      </c>
      <c r="AP3346" s="1"/>
      <c r="AQ3346" s="5">
        <v>0</v>
      </c>
    </row>
    <row r="3347" spans="1:43" x14ac:dyDescent="0.2">
      <c r="A3347" t="s">
        <v>1853</v>
      </c>
      <c r="B3347" t="s">
        <v>1854</v>
      </c>
      <c r="C3347">
        <v>2010</v>
      </c>
      <c r="D3347" t="s">
        <v>811</v>
      </c>
      <c r="F3347" t="s">
        <v>81</v>
      </c>
      <c r="G3347" s="1" t="s">
        <v>91</v>
      </c>
      <c r="H3347" t="s">
        <v>350</v>
      </c>
      <c r="I3347">
        <v>2005</v>
      </c>
      <c r="J3347">
        <f t="shared" si="78"/>
        <v>0.25</v>
      </c>
      <c r="K3347" t="s">
        <v>101</v>
      </c>
      <c r="M3347">
        <f t="shared" si="79"/>
        <v>1.0000000000000002E-2</v>
      </c>
      <c r="N3347" t="s">
        <v>123</v>
      </c>
      <c r="O3347" t="s">
        <v>123</v>
      </c>
      <c r="P3347" t="s">
        <v>182</v>
      </c>
      <c r="Q3347" s="1" t="s">
        <v>2281</v>
      </c>
      <c r="R3347" s="1" t="s">
        <v>2282</v>
      </c>
      <c r="S3347" s="1" t="s">
        <v>123</v>
      </c>
      <c r="T3347" t="s">
        <v>421</v>
      </c>
      <c r="U3347" t="s">
        <v>421</v>
      </c>
      <c r="V3347" t="s">
        <v>194</v>
      </c>
      <c r="W3347" t="s">
        <v>1856</v>
      </c>
      <c r="X3347" t="s">
        <v>161</v>
      </c>
      <c r="Y3347" t="s">
        <v>2272</v>
      </c>
      <c r="Z3347" t="s">
        <v>2272</v>
      </c>
      <c r="AA3347" t="s">
        <v>2272</v>
      </c>
      <c r="AB3347" t="s">
        <v>2272</v>
      </c>
      <c r="AC3347" s="1" t="s">
        <v>152</v>
      </c>
      <c r="AD3347" t="s">
        <v>2272</v>
      </c>
      <c r="AF3347" t="s">
        <v>49</v>
      </c>
      <c r="AJ3347" t="s">
        <v>49</v>
      </c>
      <c r="AM3347" s="1" t="s">
        <v>1858</v>
      </c>
      <c r="AN3347" s="1" t="s">
        <v>166</v>
      </c>
      <c r="AP3347" s="1"/>
      <c r="AQ3347" s="5">
        <v>0</v>
      </c>
    </row>
    <row r="3348" spans="1:43" x14ac:dyDescent="0.2">
      <c r="A3348" t="s">
        <v>1853</v>
      </c>
      <c r="B3348" t="s">
        <v>1854</v>
      </c>
      <c r="C3348">
        <v>2010</v>
      </c>
      <c r="D3348" t="s">
        <v>811</v>
      </c>
      <c r="F3348" t="s">
        <v>81</v>
      </c>
      <c r="G3348" s="1" t="s">
        <v>91</v>
      </c>
      <c r="H3348" t="s">
        <v>350</v>
      </c>
      <c r="I3348">
        <v>2005</v>
      </c>
      <c r="J3348">
        <f t="shared" si="78"/>
        <v>0.25</v>
      </c>
      <c r="K3348" t="s">
        <v>101</v>
      </c>
      <c r="M3348">
        <f t="shared" si="79"/>
        <v>1.0000000000000002E-2</v>
      </c>
      <c r="N3348" t="s">
        <v>127</v>
      </c>
      <c r="O3348" t="s">
        <v>1857</v>
      </c>
      <c r="P3348" t="s">
        <v>1856</v>
      </c>
      <c r="Q3348" s="1" t="s">
        <v>2281</v>
      </c>
      <c r="R3348" s="1" t="s">
        <v>2291</v>
      </c>
      <c r="S3348" s="1" t="s">
        <v>2291</v>
      </c>
      <c r="T3348" t="s">
        <v>421</v>
      </c>
      <c r="U3348" t="s">
        <v>421</v>
      </c>
      <c r="V3348" t="s">
        <v>194</v>
      </c>
      <c r="W3348" t="s">
        <v>1856</v>
      </c>
      <c r="X3348" t="s">
        <v>161</v>
      </c>
      <c r="Y3348" t="s">
        <v>2272</v>
      </c>
      <c r="Z3348" t="s">
        <v>2272</v>
      </c>
      <c r="AA3348" t="s">
        <v>2272</v>
      </c>
      <c r="AB3348" t="s">
        <v>2272</v>
      </c>
      <c r="AC3348" s="1" t="s">
        <v>152</v>
      </c>
      <c r="AD3348" t="s">
        <v>2272</v>
      </c>
      <c r="AF3348" t="s">
        <v>49</v>
      </c>
      <c r="AJ3348" t="s">
        <v>49</v>
      </c>
      <c r="AM3348" s="1" t="s">
        <v>1858</v>
      </c>
      <c r="AN3348" s="1" t="s">
        <v>166</v>
      </c>
      <c r="AP3348" s="1"/>
      <c r="AQ3348" s="5">
        <v>0</v>
      </c>
    </row>
    <row r="3349" spans="1:43" x14ac:dyDescent="0.2">
      <c r="A3349" t="s">
        <v>1853</v>
      </c>
      <c r="B3349" t="s">
        <v>1854</v>
      </c>
      <c r="C3349">
        <v>2010</v>
      </c>
      <c r="D3349" t="s">
        <v>811</v>
      </c>
      <c r="F3349" t="s">
        <v>81</v>
      </c>
      <c r="G3349" s="1" t="s">
        <v>91</v>
      </c>
      <c r="H3349" t="s">
        <v>350</v>
      </c>
      <c r="I3349">
        <v>2005</v>
      </c>
      <c r="J3349">
        <f t="shared" si="78"/>
        <v>0.25</v>
      </c>
      <c r="K3349" t="s">
        <v>101</v>
      </c>
      <c r="M3349">
        <f t="shared" si="79"/>
        <v>1.0000000000000002E-2</v>
      </c>
      <c r="N3349" t="s">
        <v>127</v>
      </c>
      <c r="O3349" t="s">
        <v>639</v>
      </c>
      <c r="P3349" t="s">
        <v>1855</v>
      </c>
      <c r="Q3349" s="1" t="s">
        <v>2281</v>
      </c>
      <c r="R3349" s="1" t="s">
        <v>2291</v>
      </c>
      <c r="S3349" s="1" t="s">
        <v>2291</v>
      </c>
      <c r="T3349" t="s">
        <v>421</v>
      </c>
      <c r="U3349" t="s">
        <v>421</v>
      </c>
      <c r="V3349" t="s">
        <v>194</v>
      </c>
      <c r="W3349" t="s">
        <v>1856</v>
      </c>
      <c r="X3349" t="s">
        <v>161</v>
      </c>
      <c r="Y3349" t="s">
        <v>2272</v>
      </c>
      <c r="Z3349" t="s">
        <v>2272</v>
      </c>
      <c r="AA3349" t="s">
        <v>2272</v>
      </c>
      <c r="AB3349" t="s">
        <v>2272</v>
      </c>
      <c r="AC3349" s="1" t="s">
        <v>162</v>
      </c>
      <c r="AD3349" t="s">
        <v>2272</v>
      </c>
      <c r="AF3349" t="s">
        <v>49</v>
      </c>
      <c r="AJ3349" t="s">
        <v>49</v>
      </c>
      <c r="AM3349" s="1" t="s">
        <v>1858</v>
      </c>
      <c r="AN3349" s="1" t="s">
        <v>165</v>
      </c>
      <c r="AP3349" s="1" t="s">
        <v>49</v>
      </c>
    </row>
    <row r="3350" spans="1:43" x14ac:dyDescent="0.2">
      <c r="A3350" t="s">
        <v>1853</v>
      </c>
      <c r="B3350" t="s">
        <v>1854</v>
      </c>
      <c r="C3350">
        <v>2010</v>
      </c>
      <c r="D3350" t="s">
        <v>811</v>
      </c>
      <c r="F3350" t="s">
        <v>81</v>
      </c>
      <c r="G3350" s="1" t="s">
        <v>91</v>
      </c>
      <c r="H3350" t="s">
        <v>350</v>
      </c>
      <c r="I3350">
        <v>2005</v>
      </c>
      <c r="J3350">
        <f t="shared" si="78"/>
        <v>0.25</v>
      </c>
      <c r="K3350" t="s">
        <v>101</v>
      </c>
      <c r="M3350">
        <f t="shared" si="79"/>
        <v>1.0000000000000002E-2</v>
      </c>
      <c r="N3350" t="s">
        <v>123</v>
      </c>
      <c r="O3350" t="s">
        <v>123</v>
      </c>
      <c r="P3350" t="s">
        <v>182</v>
      </c>
      <c r="Q3350" s="1" t="s">
        <v>2281</v>
      </c>
      <c r="R3350" s="1" t="s">
        <v>2282</v>
      </c>
      <c r="S3350" s="1" t="s">
        <v>123</v>
      </c>
      <c r="T3350" t="s">
        <v>421</v>
      </c>
      <c r="U3350" t="s">
        <v>421</v>
      </c>
      <c r="V3350" t="s">
        <v>194</v>
      </c>
      <c r="W3350" t="s">
        <v>1856</v>
      </c>
      <c r="X3350" t="s">
        <v>161</v>
      </c>
      <c r="Y3350" t="s">
        <v>2272</v>
      </c>
      <c r="Z3350" t="s">
        <v>2272</v>
      </c>
      <c r="AA3350" t="s">
        <v>2272</v>
      </c>
      <c r="AB3350" t="s">
        <v>2272</v>
      </c>
      <c r="AC3350" s="1" t="s">
        <v>152</v>
      </c>
      <c r="AD3350" t="s">
        <v>2272</v>
      </c>
      <c r="AF3350" t="s">
        <v>49</v>
      </c>
      <c r="AJ3350" t="s">
        <v>49</v>
      </c>
      <c r="AM3350" s="1" t="s">
        <v>1858</v>
      </c>
      <c r="AN3350" s="1" t="s">
        <v>165</v>
      </c>
      <c r="AP3350" s="1" t="s">
        <v>49</v>
      </c>
    </row>
    <row r="3351" spans="1:43" x14ac:dyDescent="0.2">
      <c r="A3351" t="s">
        <v>1853</v>
      </c>
      <c r="B3351" t="s">
        <v>1854</v>
      </c>
      <c r="C3351">
        <v>2010</v>
      </c>
      <c r="D3351" t="s">
        <v>811</v>
      </c>
      <c r="F3351" t="s">
        <v>81</v>
      </c>
      <c r="G3351" s="1" t="s">
        <v>91</v>
      </c>
      <c r="H3351" t="s">
        <v>350</v>
      </c>
      <c r="I3351">
        <v>2005</v>
      </c>
      <c r="J3351">
        <f t="shared" si="78"/>
        <v>0.25</v>
      </c>
      <c r="K3351" t="s">
        <v>101</v>
      </c>
      <c r="M3351">
        <f t="shared" si="79"/>
        <v>1.0000000000000002E-2</v>
      </c>
      <c r="N3351" t="s">
        <v>127</v>
      </c>
      <c r="O3351" t="s">
        <v>1857</v>
      </c>
      <c r="P3351" t="s">
        <v>1856</v>
      </c>
      <c r="Q3351" s="1" t="s">
        <v>2281</v>
      </c>
      <c r="R3351" s="1" t="s">
        <v>2291</v>
      </c>
      <c r="S3351" s="1" t="s">
        <v>2291</v>
      </c>
      <c r="T3351" t="s">
        <v>421</v>
      </c>
      <c r="U3351" t="s">
        <v>421</v>
      </c>
      <c r="V3351" t="s">
        <v>194</v>
      </c>
      <c r="W3351" t="s">
        <v>1856</v>
      </c>
      <c r="X3351" t="s">
        <v>161</v>
      </c>
      <c r="Y3351" t="s">
        <v>2272</v>
      </c>
      <c r="Z3351" t="s">
        <v>2272</v>
      </c>
      <c r="AA3351" t="s">
        <v>2272</v>
      </c>
      <c r="AB3351" t="s">
        <v>2272</v>
      </c>
      <c r="AC3351" s="1" t="s">
        <v>152</v>
      </c>
      <c r="AD3351" t="s">
        <v>2272</v>
      </c>
      <c r="AF3351" t="s">
        <v>49</v>
      </c>
      <c r="AJ3351" t="s">
        <v>49</v>
      </c>
      <c r="AM3351" s="1" t="s">
        <v>1858</v>
      </c>
      <c r="AN3351" s="1" t="s">
        <v>165</v>
      </c>
      <c r="AP3351" s="1" t="s">
        <v>49</v>
      </c>
    </row>
    <row r="3352" spans="1:43" x14ac:dyDescent="0.2">
      <c r="A3352" t="s">
        <v>1853</v>
      </c>
      <c r="B3352" t="s">
        <v>1854</v>
      </c>
      <c r="C3352">
        <v>2010</v>
      </c>
      <c r="D3352" t="s">
        <v>811</v>
      </c>
      <c r="F3352" t="s">
        <v>81</v>
      </c>
      <c r="G3352" s="1" t="s">
        <v>91</v>
      </c>
      <c r="H3352" t="s">
        <v>350</v>
      </c>
      <c r="I3352">
        <v>2005</v>
      </c>
      <c r="J3352">
        <f t="shared" si="78"/>
        <v>0.25</v>
      </c>
      <c r="K3352" t="s">
        <v>101</v>
      </c>
      <c r="M3352">
        <f t="shared" si="79"/>
        <v>1.0000000000000002E-2</v>
      </c>
      <c r="N3352" t="s">
        <v>127</v>
      </c>
      <c r="O3352" t="s">
        <v>639</v>
      </c>
      <c r="P3352" t="s">
        <v>1855</v>
      </c>
      <c r="Q3352" s="1" t="s">
        <v>2281</v>
      </c>
      <c r="R3352" s="1" t="s">
        <v>2291</v>
      </c>
      <c r="S3352" s="1" t="s">
        <v>2291</v>
      </c>
      <c r="V3352" t="s">
        <v>194</v>
      </c>
      <c r="W3352" t="s">
        <v>1856</v>
      </c>
      <c r="X3352" t="s">
        <v>886</v>
      </c>
      <c r="Y3352" t="s">
        <v>2279</v>
      </c>
      <c r="Z3352" t="s">
        <v>2280</v>
      </c>
      <c r="AA3352" t="s">
        <v>2358</v>
      </c>
      <c r="AB3352" t="s">
        <v>2459</v>
      </c>
      <c r="AC3352" s="1" t="s">
        <v>152</v>
      </c>
      <c r="AD3352" t="s">
        <v>2278</v>
      </c>
    </row>
    <row r="3353" spans="1:43" x14ac:dyDescent="0.2">
      <c r="A3353" t="s">
        <v>1853</v>
      </c>
      <c r="B3353" t="s">
        <v>1854</v>
      </c>
      <c r="C3353">
        <v>2010</v>
      </c>
      <c r="D3353" t="s">
        <v>811</v>
      </c>
      <c r="F3353" t="s">
        <v>81</v>
      </c>
      <c r="G3353" s="1" t="s">
        <v>91</v>
      </c>
      <c r="H3353" t="s">
        <v>350</v>
      </c>
      <c r="I3353">
        <v>2005</v>
      </c>
      <c r="J3353">
        <f t="shared" si="78"/>
        <v>0.25</v>
      </c>
      <c r="K3353" t="s">
        <v>101</v>
      </c>
      <c r="M3353">
        <f t="shared" si="79"/>
        <v>1.0000000000000002E-2</v>
      </c>
      <c r="N3353" t="s">
        <v>123</v>
      </c>
      <c r="O3353" t="s">
        <v>123</v>
      </c>
      <c r="P3353" t="s">
        <v>182</v>
      </c>
      <c r="Q3353" s="1" t="s">
        <v>2281</v>
      </c>
      <c r="R3353" s="1" t="s">
        <v>2282</v>
      </c>
      <c r="S3353" s="1" t="s">
        <v>123</v>
      </c>
      <c r="V3353" t="s">
        <v>194</v>
      </c>
      <c r="W3353" t="s">
        <v>1856</v>
      </c>
      <c r="X3353" t="s">
        <v>886</v>
      </c>
      <c r="Y3353" t="s">
        <v>2279</v>
      </c>
      <c r="Z3353" t="s">
        <v>2280</v>
      </c>
      <c r="AA3353" t="s">
        <v>2358</v>
      </c>
      <c r="AB3353" t="s">
        <v>2459</v>
      </c>
      <c r="AC3353" s="1" t="s">
        <v>152</v>
      </c>
      <c r="AD3353" t="s">
        <v>2278</v>
      </c>
    </row>
    <row r="3354" spans="1:43" x14ac:dyDescent="0.2">
      <c r="A3354" t="s">
        <v>1853</v>
      </c>
      <c r="B3354" t="s">
        <v>1854</v>
      </c>
      <c r="C3354">
        <v>2010</v>
      </c>
      <c r="D3354" t="s">
        <v>811</v>
      </c>
      <c r="F3354" t="s">
        <v>81</v>
      </c>
      <c r="G3354" s="1" t="s">
        <v>91</v>
      </c>
      <c r="H3354" t="s">
        <v>350</v>
      </c>
      <c r="I3354">
        <v>2005</v>
      </c>
      <c r="J3354">
        <f t="shared" si="78"/>
        <v>0.25</v>
      </c>
      <c r="K3354" t="s">
        <v>101</v>
      </c>
      <c r="M3354">
        <f t="shared" si="79"/>
        <v>1.0000000000000002E-2</v>
      </c>
      <c r="N3354" t="s">
        <v>127</v>
      </c>
      <c r="O3354" t="s">
        <v>1857</v>
      </c>
      <c r="P3354" t="s">
        <v>1856</v>
      </c>
      <c r="Q3354" s="1" t="s">
        <v>2281</v>
      </c>
      <c r="R3354" s="1" t="s">
        <v>2291</v>
      </c>
      <c r="S3354" s="1" t="s">
        <v>2291</v>
      </c>
      <c r="V3354" t="s">
        <v>194</v>
      </c>
      <c r="W3354" t="s">
        <v>1856</v>
      </c>
      <c r="X3354" t="s">
        <v>886</v>
      </c>
      <c r="Y3354" t="s">
        <v>2279</v>
      </c>
      <c r="Z3354" t="s">
        <v>2280</v>
      </c>
      <c r="AA3354" t="s">
        <v>2358</v>
      </c>
      <c r="AB3354" t="s">
        <v>2459</v>
      </c>
      <c r="AC3354" s="1" t="s">
        <v>152</v>
      </c>
      <c r="AD3354" t="s">
        <v>2278</v>
      </c>
    </row>
    <row r="3355" spans="1:43" x14ac:dyDescent="0.2">
      <c r="A3355" t="s">
        <v>1853</v>
      </c>
      <c r="B3355" t="s">
        <v>1854</v>
      </c>
      <c r="C3355">
        <v>2010</v>
      </c>
      <c r="D3355" t="s">
        <v>811</v>
      </c>
      <c r="F3355" t="s">
        <v>81</v>
      </c>
      <c r="G3355" s="1" t="s">
        <v>91</v>
      </c>
      <c r="H3355" t="s">
        <v>350</v>
      </c>
      <c r="I3355">
        <v>2005</v>
      </c>
      <c r="J3355">
        <f t="shared" si="78"/>
        <v>0.25</v>
      </c>
      <c r="K3355" t="s">
        <v>101</v>
      </c>
      <c r="M3355">
        <f t="shared" si="79"/>
        <v>1.0000000000000002E-2</v>
      </c>
      <c r="N3355" t="s">
        <v>127</v>
      </c>
      <c r="O3355" t="s">
        <v>639</v>
      </c>
      <c r="P3355" t="s">
        <v>1855</v>
      </c>
      <c r="Q3355" s="1" t="s">
        <v>2281</v>
      </c>
      <c r="R3355" s="1" t="s">
        <v>2291</v>
      </c>
      <c r="S3355" s="1" t="s">
        <v>2291</v>
      </c>
      <c r="T3355" t="s">
        <v>396</v>
      </c>
      <c r="U3355" t="s">
        <v>2344</v>
      </c>
      <c r="V3355" t="s">
        <v>194</v>
      </c>
      <c r="W3355" t="s">
        <v>1856</v>
      </c>
      <c r="X3355" t="s">
        <v>161</v>
      </c>
      <c r="Y3355" t="s">
        <v>2272</v>
      </c>
      <c r="Z3355" t="s">
        <v>2272</v>
      </c>
      <c r="AA3355" t="s">
        <v>2272</v>
      </c>
      <c r="AB3355" t="s">
        <v>2272</v>
      </c>
      <c r="AC3355" s="1" t="s">
        <v>162</v>
      </c>
      <c r="AD3355" t="s">
        <v>2272</v>
      </c>
      <c r="AF3355" t="s">
        <v>49</v>
      </c>
      <c r="AJ3355" t="s">
        <v>49</v>
      </c>
      <c r="AM3355" s="1" t="s">
        <v>1859</v>
      </c>
      <c r="AN3355" s="1" t="s">
        <v>154</v>
      </c>
      <c r="AQ3355" s="5">
        <v>1</v>
      </c>
    </row>
    <row r="3356" spans="1:43" x14ac:dyDescent="0.2">
      <c r="A3356" t="s">
        <v>1853</v>
      </c>
      <c r="B3356" t="s">
        <v>1854</v>
      </c>
      <c r="C3356">
        <v>2010</v>
      </c>
      <c r="D3356" t="s">
        <v>811</v>
      </c>
      <c r="F3356" t="s">
        <v>81</v>
      </c>
      <c r="G3356" s="1" t="s">
        <v>91</v>
      </c>
      <c r="H3356" t="s">
        <v>350</v>
      </c>
      <c r="I3356">
        <v>2005</v>
      </c>
      <c r="J3356">
        <f t="shared" si="78"/>
        <v>0.25</v>
      </c>
      <c r="K3356" t="s">
        <v>101</v>
      </c>
      <c r="M3356">
        <f t="shared" si="79"/>
        <v>1.0000000000000002E-2</v>
      </c>
      <c r="N3356" t="s">
        <v>123</v>
      </c>
      <c r="O3356" t="s">
        <v>123</v>
      </c>
      <c r="P3356" t="s">
        <v>182</v>
      </c>
      <c r="Q3356" s="1" t="s">
        <v>2281</v>
      </c>
      <c r="R3356" s="1" t="s">
        <v>2282</v>
      </c>
      <c r="S3356" s="1" t="s">
        <v>123</v>
      </c>
      <c r="T3356" t="s">
        <v>396</v>
      </c>
      <c r="U3356" t="s">
        <v>2343</v>
      </c>
      <c r="V3356" t="s">
        <v>194</v>
      </c>
      <c r="W3356" t="s">
        <v>1856</v>
      </c>
      <c r="X3356" t="s">
        <v>161</v>
      </c>
      <c r="Y3356" t="s">
        <v>2272</v>
      </c>
      <c r="Z3356" t="s">
        <v>2272</v>
      </c>
      <c r="AA3356" t="s">
        <v>2272</v>
      </c>
      <c r="AB3356" t="s">
        <v>2272</v>
      </c>
      <c r="AC3356" s="1" t="s">
        <v>162</v>
      </c>
      <c r="AD3356" t="s">
        <v>2272</v>
      </c>
      <c r="AF3356" t="s">
        <v>49</v>
      </c>
      <c r="AJ3356" t="s">
        <v>49</v>
      </c>
      <c r="AM3356" s="1" t="s">
        <v>1859</v>
      </c>
      <c r="AN3356" s="1" t="s">
        <v>154</v>
      </c>
      <c r="AQ3356" s="5">
        <v>2</v>
      </c>
    </row>
    <row r="3357" spans="1:43" x14ac:dyDescent="0.2">
      <c r="A3357" t="s">
        <v>1853</v>
      </c>
      <c r="B3357" t="s">
        <v>1854</v>
      </c>
      <c r="C3357">
        <v>2010</v>
      </c>
      <c r="D3357" t="s">
        <v>811</v>
      </c>
      <c r="F3357" t="s">
        <v>81</v>
      </c>
      <c r="G3357" s="1" t="s">
        <v>91</v>
      </c>
      <c r="H3357" t="s">
        <v>350</v>
      </c>
      <c r="I3357">
        <v>2005</v>
      </c>
      <c r="J3357">
        <f t="shared" si="78"/>
        <v>0.25</v>
      </c>
      <c r="K3357" t="s">
        <v>101</v>
      </c>
      <c r="M3357">
        <f t="shared" si="79"/>
        <v>1.0000000000000002E-2</v>
      </c>
      <c r="N3357" t="s">
        <v>127</v>
      </c>
      <c r="O3357" t="s">
        <v>1857</v>
      </c>
      <c r="P3357" t="s">
        <v>1856</v>
      </c>
      <c r="Q3357" s="1" t="s">
        <v>2281</v>
      </c>
      <c r="R3357" s="1" t="s">
        <v>2291</v>
      </c>
      <c r="S3357" s="1" t="s">
        <v>2291</v>
      </c>
      <c r="T3357" t="s">
        <v>396</v>
      </c>
      <c r="U3357" t="s">
        <v>2344</v>
      </c>
      <c r="V3357" t="s">
        <v>194</v>
      </c>
      <c r="W3357" t="s">
        <v>1856</v>
      </c>
      <c r="X3357" t="s">
        <v>161</v>
      </c>
      <c r="Y3357" t="s">
        <v>2272</v>
      </c>
      <c r="Z3357" t="s">
        <v>2272</v>
      </c>
      <c r="AA3357" t="s">
        <v>2272</v>
      </c>
      <c r="AB3357" t="s">
        <v>2272</v>
      </c>
      <c r="AC3357" s="1" t="s">
        <v>162</v>
      </c>
      <c r="AD3357" t="s">
        <v>2272</v>
      </c>
      <c r="AF3357" t="s">
        <v>49</v>
      </c>
      <c r="AJ3357" t="s">
        <v>49</v>
      </c>
      <c r="AM3357" s="1" t="s">
        <v>1859</v>
      </c>
      <c r="AN3357" s="1" t="s">
        <v>154</v>
      </c>
      <c r="AQ3357" s="5">
        <v>2</v>
      </c>
    </row>
    <row r="3358" spans="1:43" x14ac:dyDescent="0.2">
      <c r="A3358" t="s">
        <v>1853</v>
      </c>
      <c r="B3358" t="s">
        <v>1854</v>
      </c>
      <c r="C3358">
        <v>2010</v>
      </c>
      <c r="D3358" t="s">
        <v>811</v>
      </c>
      <c r="F3358" t="s">
        <v>81</v>
      </c>
      <c r="G3358" s="1" t="s">
        <v>91</v>
      </c>
      <c r="H3358" t="s">
        <v>350</v>
      </c>
      <c r="I3358">
        <v>2005</v>
      </c>
      <c r="J3358">
        <f t="shared" si="78"/>
        <v>0.25</v>
      </c>
      <c r="K3358" t="s">
        <v>101</v>
      </c>
      <c r="M3358">
        <f t="shared" si="79"/>
        <v>1.0000000000000002E-2</v>
      </c>
      <c r="N3358" t="s">
        <v>127</v>
      </c>
      <c r="O3358" t="s">
        <v>639</v>
      </c>
      <c r="P3358" t="s">
        <v>1855</v>
      </c>
      <c r="Q3358" s="1" t="s">
        <v>2281</v>
      </c>
      <c r="R3358" s="1" t="s">
        <v>2291</v>
      </c>
      <c r="S3358" s="1" t="s">
        <v>2291</v>
      </c>
      <c r="T3358" t="s">
        <v>396</v>
      </c>
      <c r="U3358" t="s">
        <v>2344</v>
      </c>
      <c r="V3358" t="s">
        <v>194</v>
      </c>
      <c r="W3358" t="s">
        <v>1856</v>
      </c>
      <c r="X3358" t="s">
        <v>161</v>
      </c>
      <c r="Y3358" t="s">
        <v>2272</v>
      </c>
      <c r="Z3358" t="s">
        <v>2272</v>
      </c>
      <c r="AA3358" t="s">
        <v>2272</v>
      </c>
      <c r="AB3358" t="s">
        <v>2272</v>
      </c>
      <c r="AC3358" s="1" t="s">
        <v>162</v>
      </c>
      <c r="AD3358" t="s">
        <v>2272</v>
      </c>
      <c r="AF3358" t="s">
        <v>49</v>
      </c>
      <c r="AJ3358" t="s">
        <v>49</v>
      </c>
      <c r="AM3358" s="1" t="s">
        <v>1859</v>
      </c>
      <c r="AN3358" s="1" t="s">
        <v>166</v>
      </c>
      <c r="AQ3358" s="5">
        <v>2</v>
      </c>
    </row>
    <row r="3359" spans="1:43" x14ac:dyDescent="0.2">
      <c r="A3359" t="s">
        <v>1853</v>
      </c>
      <c r="B3359" t="s">
        <v>1854</v>
      </c>
      <c r="C3359">
        <v>2010</v>
      </c>
      <c r="D3359" t="s">
        <v>811</v>
      </c>
      <c r="F3359" t="s">
        <v>81</v>
      </c>
      <c r="G3359" s="1" t="s">
        <v>91</v>
      </c>
      <c r="H3359" t="s">
        <v>350</v>
      </c>
      <c r="I3359">
        <v>2005</v>
      </c>
      <c r="J3359">
        <f t="shared" si="78"/>
        <v>0.25</v>
      </c>
      <c r="K3359" t="s">
        <v>101</v>
      </c>
      <c r="M3359">
        <f t="shared" si="79"/>
        <v>1.0000000000000002E-2</v>
      </c>
      <c r="N3359" t="s">
        <v>123</v>
      </c>
      <c r="O3359" t="s">
        <v>123</v>
      </c>
      <c r="P3359" t="s">
        <v>182</v>
      </c>
      <c r="Q3359" s="1" t="s">
        <v>2281</v>
      </c>
      <c r="R3359" s="1" t="s">
        <v>2282</v>
      </c>
      <c r="S3359" s="1" t="s">
        <v>123</v>
      </c>
      <c r="T3359" t="s">
        <v>396</v>
      </c>
      <c r="U3359" t="s">
        <v>2343</v>
      </c>
      <c r="V3359" t="s">
        <v>194</v>
      </c>
      <c r="W3359" t="s">
        <v>1856</v>
      </c>
      <c r="X3359" t="s">
        <v>161</v>
      </c>
      <c r="Y3359" t="s">
        <v>2272</v>
      </c>
      <c r="Z3359" t="s">
        <v>2272</v>
      </c>
      <c r="AA3359" t="s">
        <v>2272</v>
      </c>
      <c r="AB3359" t="s">
        <v>2272</v>
      </c>
      <c r="AC3359" s="1" t="s">
        <v>162</v>
      </c>
      <c r="AD3359" t="s">
        <v>2272</v>
      </c>
      <c r="AF3359" t="s">
        <v>49</v>
      </c>
      <c r="AJ3359" t="s">
        <v>49</v>
      </c>
      <c r="AM3359" s="1" t="s">
        <v>1859</v>
      </c>
      <c r="AN3359" s="1" t="s">
        <v>166</v>
      </c>
      <c r="AQ3359" s="5">
        <v>2</v>
      </c>
    </row>
    <row r="3360" spans="1:43" x14ac:dyDescent="0.2">
      <c r="A3360" t="s">
        <v>1853</v>
      </c>
      <c r="B3360" t="s">
        <v>1854</v>
      </c>
      <c r="C3360">
        <v>2010</v>
      </c>
      <c r="D3360" t="s">
        <v>811</v>
      </c>
      <c r="F3360" t="s">
        <v>81</v>
      </c>
      <c r="G3360" s="1" t="s">
        <v>91</v>
      </c>
      <c r="H3360" t="s">
        <v>350</v>
      </c>
      <c r="I3360">
        <v>2005</v>
      </c>
      <c r="J3360">
        <f t="shared" si="78"/>
        <v>0.25</v>
      </c>
      <c r="K3360" t="s">
        <v>101</v>
      </c>
      <c r="M3360">
        <f t="shared" si="79"/>
        <v>1.0000000000000002E-2</v>
      </c>
      <c r="N3360" t="s">
        <v>127</v>
      </c>
      <c r="O3360" t="s">
        <v>1857</v>
      </c>
      <c r="P3360" t="s">
        <v>1856</v>
      </c>
      <c r="Q3360" s="1" t="s">
        <v>2281</v>
      </c>
      <c r="R3360" s="1" t="s">
        <v>2291</v>
      </c>
      <c r="S3360" s="1" t="s">
        <v>2291</v>
      </c>
      <c r="T3360" t="s">
        <v>396</v>
      </c>
      <c r="U3360" t="s">
        <v>2344</v>
      </c>
      <c r="V3360" t="s">
        <v>194</v>
      </c>
      <c r="W3360" t="s">
        <v>1856</v>
      </c>
      <c r="X3360" t="s">
        <v>161</v>
      </c>
      <c r="Y3360" t="s">
        <v>2272</v>
      </c>
      <c r="Z3360" t="s">
        <v>2272</v>
      </c>
      <c r="AA3360" t="s">
        <v>2272</v>
      </c>
      <c r="AB3360" t="s">
        <v>2272</v>
      </c>
      <c r="AC3360" s="1" t="s">
        <v>162</v>
      </c>
      <c r="AD3360" t="s">
        <v>2272</v>
      </c>
      <c r="AF3360" t="s">
        <v>49</v>
      </c>
      <c r="AJ3360" t="s">
        <v>49</v>
      </c>
      <c r="AM3360" s="1" t="s">
        <v>1859</v>
      </c>
      <c r="AN3360" s="1" t="s">
        <v>166</v>
      </c>
      <c r="AQ3360" s="5">
        <v>1</v>
      </c>
    </row>
    <row r="3361" spans="1:43" x14ac:dyDescent="0.2">
      <c r="A3361" t="s">
        <v>1853</v>
      </c>
      <c r="B3361" t="s">
        <v>1854</v>
      </c>
      <c r="C3361">
        <v>2010</v>
      </c>
      <c r="D3361" t="s">
        <v>811</v>
      </c>
      <c r="F3361" t="s">
        <v>81</v>
      </c>
      <c r="G3361" s="1" t="s">
        <v>91</v>
      </c>
      <c r="H3361" t="s">
        <v>350</v>
      </c>
      <c r="I3361">
        <v>2005</v>
      </c>
      <c r="J3361">
        <f t="shared" si="78"/>
        <v>0.25</v>
      </c>
      <c r="K3361" t="s">
        <v>101</v>
      </c>
      <c r="M3361">
        <f t="shared" si="79"/>
        <v>1.0000000000000002E-2</v>
      </c>
      <c r="N3361" t="s">
        <v>127</v>
      </c>
      <c r="O3361" t="s">
        <v>639</v>
      </c>
      <c r="P3361" t="s">
        <v>1855</v>
      </c>
      <c r="Q3361" s="1" t="s">
        <v>2281</v>
      </c>
      <c r="R3361" s="1" t="s">
        <v>2291</v>
      </c>
      <c r="S3361" s="1" t="s">
        <v>2291</v>
      </c>
      <c r="T3361" t="s">
        <v>396</v>
      </c>
      <c r="U3361" t="s">
        <v>2344</v>
      </c>
      <c r="V3361" t="s">
        <v>194</v>
      </c>
      <c r="W3361" t="s">
        <v>1856</v>
      </c>
      <c r="X3361" t="s">
        <v>161</v>
      </c>
      <c r="Y3361" t="s">
        <v>2272</v>
      </c>
      <c r="Z3361" t="s">
        <v>2272</v>
      </c>
      <c r="AA3361" t="s">
        <v>2272</v>
      </c>
      <c r="AB3361" t="s">
        <v>2272</v>
      </c>
      <c r="AC3361" s="1" t="s">
        <v>162</v>
      </c>
      <c r="AD3361" t="s">
        <v>2272</v>
      </c>
      <c r="AF3361" t="s">
        <v>49</v>
      </c>
      <c r="AJ3361" t="s">
        <v>49</v>
      </c>
      <c r="AM3361" s="1" t="s">
        <v>1859</v>
      </c>
      <c r="AN3361" s="1" t="s">
        <v>165</v>
      </c>
      <c r="AP3361" s="1" t="s">
        <v>49</v>
      </c>
    </row>
    <row r="3362" spans="1:43" x14ac:dyDescent="0.2">
      <c r="A3362" t="s">
        <v>1853</v>
      </c>
      <c r="B3362" t="s">
        <v>1854</v>
      </c>
      <c r="C3362">
        <v>2010</v>
      </c>
      <c r="D3362" t="s">
        <v>811</v>
      </c>
      <c r="F3362" t="s">
        <v>81</v>
      </c>
      <c r="G3362" s="1" t="s">
        <v>91</v>
      </c>
      <c r="H3362" t="s">
        <v>350</v>
      </c>
      <c r="I3362">
        <v>2005</v>
      </c>
      <c r="J3362">
        <f t="shared" si="78"/>
        <v>0.25</v>
      </c>
      <c r="K3362" t="s">
        <v>101</v>
      </c>
      <c r="M3362">
        <f t="shared" si="79"/>
        <v>1.0000000000000002E-2</v>
      </c>
      <c r="N3362" t="s">
        <v>123</v>
      </c>
      <c r="O3362" t="s">
        <v>123</v>
      </c>
      <c r="P3362" t="s">
        <v>182</v>
      </c>
      <c r="Q3362" s="1" t="s">
        <v>2281</v>
      </c>
      <c r="R3362" s="1" t="s">
        <v>2282</v>
      </c>
      <c r="S3362" s="1" t="s">
        <v>123</v>
      </c>
      <c r="T3362" t="s">
        <v>396</v>
      </c>
      <c r="U3362" t="s">
        <v>2343</v>
      </c>
      <c r="V3362" t="s">
        <v>194</v>
      </c>
      <c r="W3362" t="s">
        <v>1856</v>
      </c>
      <c r="X3362" t="s">
        <v>161</v>
      </c>
      <c r="Y3362" t="s">
        <v>2272</v>
      </c>
      <c r="Z3362" t="s">
        <v>2272</v>
      </c>
      <c r="AA3362" t="s">
        <v>2272</v>
      </c>
      <c r="AB3362" t="s">
        <v>2272</v>
      </c>
      <c r="AC3362" s="1" t="s">
        <v>162</v>
      </c>
      <c r="AD3362" t="s">
        <v>2272</v>
      </c>
      <c r="AF3362" t="s">
        <v>49</v>
      </c>
      <c r="AJ3362" t="s">
        <v>49</v>
      </c>
      <c r="AM3362" s="1" t="s">
        <v>1859</v>
      </c>
      <c r="AN3362" s="1" t="s">
        <v>165</v>
      </c>
      <c r="AP3362" s="1" t="s">
        <v>49</v>
      </c>
    </row>
    <row r="3363" spans="1:43" x14ac:dyDescent="0.2">
      <c r="A3363" t="s">
        <v>1853</v>
      </c>
      <c r="B3363" t="s">
        <v>1854</v>
      </c>
      <c r="C3363">
        <v>2010</v>
      </c>
      <c r="D3363" t="s">
        <v>811</v>
      </c>
      <c r="F3363" t="s">
        <v>81</v>
      </c>
      <c r="G3363" s="1" t="s">
        <v>91</v>
      </c>
      <c r="H3363" t="s">
        <v>350</v>
      </c>
      <c r="I3363">
        <v>2005</v>
      </c>
      <c r="J3363">
        <f t="shared" si="78"/>
        <v>0.25</v>
      </c>
      <c r="K3363" t="s">
        <v>101</v>
      </c>
      <c r="M3363">
        <f t="shared" si="79"/>
        <v>1.0000000000000002E-2</v>
      </c>
      <c r="N3363" t="s">
        <v>127</v>
      </c>
      <c r="O3363" t="s">
        <v>1857</v>
      </c>
      <c r="P3363" t="s">
        <v>1856</v>
      </c>
      <c r="Q3363" s="1" t="s">
        <v>2281</v>
      </c>
      <c r="R3363" s="1" t="s">
        <v>2291</v>
      </c>
      <c r="S3363" s="1" t="s">
        <v>2291</v>
      </c>
      <c r="T3363" t="s">
        <v>396</v>
      </c>
      <c r="U3363" t="s">
        <v>2344</v>
      </c>
      <c r="V3363" t="s">
        <v>194</v>
      </c>
      <c r="W3363" t="s">
        <v>1856</v>
      </c>
      <c r="X3363" t="s">
        <v>161</v>
      </c>
      <c r="Y3363" t="s">
        <v>2272</v>
      </c>
      <c r="Z3363" t="s">
        <v>2272</v>
      </c>
      <c r="AA3363" t="s">
        <v>2272</v>
      </c>
      <c r="AB3363" t="s">
        <v>2272</v>
      </c>
      <c r="AC3363" s="1" t="s">
        <v>162</v>
      </c>
      <c r="AD3363" t="s">
        <v>2272</v>
      </c>
      <c r="AF3363" t="s">
        <v>49</v>
      </c>
      <c r="AJ3363" t="s">
        <v>49</v>
      </c>
      <c r="AM3363" s="1" t="s">
        <v>1859</v>
      </c>
      <c r="AN3363" s="1" t="s">
        <v>165</v>
      </c>
      <c r="AP3363" s="1" t="s">
        <v>49</v>
      </c>
    </row>
    <row r="3364" spans="1:43" x14ac:dyDescent="0.2">
      <c r="A3364" t="s">
        <v>1853</v>
      </c>
      <c r="B3364" t="s">
        <v>1854</v>
      </c>
      <c r="C3364">
        <v>2010</v>
      </c>
      <c r="D3364" t="s">
        <v>811</v>
      </c>
      <c r="F3364" t="s">
        <v>81</v>
      </c>
      <c r="G3364" s="1" t="s">
        <v>91</v>
      </c>
      <c r="H3364" t="s">
        <v>350</v>
      </c>
      <c r="I3364">
        <v>2005</v>
      </c>
      <c r="J3364">
        <f t="shared" si="78"/>
        <v>0.25</v>
      </c>
      <c r="K3364" t="s">
        <v>101</v>
      </c>
      <c r="M3364">
        <f t="shared" si="79"/>
        <v>1.0000000000000002E-2</v>
      </c>
      <c r="N3364" t="s">
        <v>127</v>
      </c>
      <c r="O3364" t="s">
        <v>639</v>
      </c>
      <c r="P3364" t="s">
        <v>1855</v>
      </c>
      <c r="Q3364" s="1" t="s">
        <v>2281</v>
      </c>
      <c r="R3364" s="1" t="s">
        <v>2291</v>
      </c>
      <c r="S3364" s="1" t="s">
        <v>2291</v>
      </c>
      <c r="T3364" t="s">
        <v>421</v>
      </c>
      <c r="U3364" t="s">
        <v>421</v>
      </c>
      <c r="V3364" t="s">
        <v>194</v>
      </c>
      <c r="W3364" t="s">
        <v>1856</v>
      </c>
      <c r="X3364" t="s">
        <v>161</v>
      </c>
      <c r="Y3364" t="s">
        <v>2272</v>
      </c>
      <c r="Z3364" t="s">
        <v>2272</v>
      </c>
      <c r="AA3364" t="s">
        <v>2272</v>
      </c>
      <c r="AB3364" t="s">
        <v>2272</v>
      </c>
      <c r="AC3364" s="1" t="s">
        <v>162</v>
      </c>
      <c r="AD3364" t="s">
        <v>2272</v>
      </c>
      <c r="AF3364" t="s">
        <v>49</v>
      </c>
      <c r="AJ3364" t="s">
        <v>49</v>
      </c>
      <c r="AM3364" s="1" t="s">
        <v>1859</v>
      </c>
      <c r="AN3364" s="1" t="s">
        <v>154</v>
      </c>
      <c r="AP3364" s="1"/>
      <c r="AQ3364" s="5">
        <v>0</v>
      </c>
    </row>
    <row r="3365" spans="1:43" x14ac:dyDescent="0.2">
      <c r="A3365" t="s">
        <v>1853</v>
      </c>
      <c r="B3365" t="s">
        <v>1854</v>
      </c>
      <c r="C3365">
        <v>2010</v>
      </c>
      <c r="D3365" t="s">
        <v>811</v>
      </c>
      <c r="F3365" t="s">
        <v>81</v>
      </c>
      <c r="G3365" s="1" t="s">
        <v>91</v>
      </c>
      <c r="H3365" t="s">
        <v>350</v>
      </c>
      <c r="I3365">
        <v>2005</v>
      </c>
      <c r="J3365">
        <f t="shared" si="78"/>
        <v>0.25</v>
      </c>
      <c r="K3365" t="s">
        <v>101</v>
      </c>
      <c r="M3365">
        <f t="shared" si="79"/>
        <v>1.0000000000000002E-2</v>
      </c>
      <c r="N3365" t="s">
        <v>123</v>
      </c>
      <c r="O3365" t="s">
        <v>123</v>
      </c>
      <c r="P3365" t="s">
        <v>182</v>
      </c>
      <c r="Q3365" s="1" t="s">
        <v>2281</v>
      </c>
      <c r="R3365" s="1" t="s">
        <v>2282</v>
      </c>
      <c r="S3365" s="1" t="s">
        <v>123</v>
      </c>
      <c r="T3365" t="s">
        <v>421</v>
      </c>
      <c r="U3365" t="s">
        <v>421</v>
      </c>
      <c r="V3365" t="s">
        <v>194</v>
      </c>
      <c r="W3365" t="s">
        <v>1856</v>
      </c>
      <c r="X3365" t="s">
        <v>161</v>
      </c>
      <c r="Y3365" t="s">
        <v>2272</v>
      </c>
      <c r="Z3365" t="s">
        <v>2272</v>
      </c>
      <c r="AA3365" t="s">
        <v>2272</v>
      </c>
      <c r="AB3365" t="s">
        <v>2272</v>
      </c>
      <c r="AC3365" s="1" t="s">
        <v>162</v>
      </c>
      <c r="AD3365" t="s">
        <v>2272</v>
      </c>
      <c r="AF3365" t="s">
        <v>49</v>
      </c>
      <c r="AJ3365" t="s">
        <v>49</v>
      </c>
      <c r="AM3365" s="1" t="s">
        <v>1859</v>
      </c>
      <c r="AN3365" s="1" t="s">
        <v>154</v>
      </c>
      <c r="AP3365" s="1"/>
      <c r="AQ3365" s="5">
        <v>0</v>
      </c>
    </row>
    <row r="3366" spans="1:43" x14ac:dyDescent="0.2">
      <c r="A3366" t="s">
        <v>1853</v>
      </c>
      <c r="B3366" t="s">
        <v>1854</v>
      </c>
      <c r="C3366">
        <v>2010</v>
      </c>
      <c r="D3366" t="s">
        <v>811</v>
      </c>
      <c r="F3366" t="s">
        <v>81</v>
      </c>
      <c r="G3366" s="1" t="s">
        <v>91</v>
      </c>
      <c r="H3366" t="s">
        <v>350</v>
      </c>
      <c r="I3366">
        <v>2005</v>
      </c>
      <c r="J3366">
        <f t="shared" si="78"/>
        <v>0.25</v>
      </c>
      <c r="K3366" t="s">
        <v>101</v>
      </c>
      <c r="M3366">
        <f t="shared" si="79"/>
        <v>1.0000000000000002E-2</v>
      </c>
      <c r="N3366" t="s">
        <v>127</v>
      </c>
      <c r="O3366" t="s">
        <v>1857</v>
      </c>
      <c r="P3366" t="s">
        <v>1856</v>
      </c>
      <c r="Q3366" s="1" t="s">
        <v>2281</v>
      </c>
      <c r="R3366" s="1" t="s">
        <v>2291</v>
      </c>
      <c r="S3366" s="1" t="s">
        <v>2291</v>
      </c>
      <c r="T3366" t="s">
        <v>421</v>
      </c>
      <c r="U3366" t="s">
        <v>421</v>
      </c>
      <c r="V3366" t="s">
        <v>194</v>
      </c>
      <c r="W3366" t="s">
        <v>1856</v>
      </c>
      <c r="X3366" t="s">
        <v>161</v>
      </c>
      <c r="Y3366" t="s">
        <v>2272</v>
      </c>
      <c r="Z3366" t="s">
        <v>2272</v>
      </c>
      <c r="AA3366" t="s">
        <v>2272</v>
      </c>
      <c r="AB3366" t="s">
        <v>2272</v>
      </c>
      <c r="AC3366" s="1" t="s">
        <v>162</v>
      </c>
      <c r="AD3366" t="s">
        <v>2272</v>
      </c>
      <c r="AF3366" t="s">
        <v>49</v>
      </c>
      <c r="AJ3366" t="s">
        <v>49</v>
      </c>
      <c r="AM3366" s="1" t="s">
        <v>1859</v>
      </c>
      <c r="AN3366" s="1" t="s">
        <v>154</v>
      </c>
      <c r="AP3366" s="1"/>
      <c r="AQ3366" s="5">
        <v>0</v>
      </c>
    </row>
    <row r="3367" spans="1:43" x14ac:dyDescent="0.2">
      <c r="A3367" t="s">
        <v>1853</v>
      </c>
      <c r="B3367" t="s">
        <v>1854</v>
      </c>
      <c r="C3367">
        <v>2010</v>
      </c>
      <c r="D3367" t="s">
        <v>811</v>
      </c>
      <c r="F3367" t="s">
        <v>81</v>
      </c>
      <c r="G3367" s="1" t="s">
        <v>91</v>
      </c>
      <c r="H3367" t="s">
        <v>350</v>
      </c>
      <c r="I3367">
        <v>2005</v>
      </c>
      <c r="J3367">
        <f t="shared" si="78"/>
        <v>0.25</v>
      </c>
      <c r="K3367" t="s">
        <v>101</v>
      </c>
      <c r="M3367">
        <f t="shared" si="79"/>
        <v>1.0000000000000002E-2</v>
      </c>
      <c r="N3367" t="s">
        <v>127</v>
      </c>
      <c r="O3367" t="s">
        <v>639</v>
      </c>
      <c r="P3367" t="s">
        <v>1855</v>
      </c>
      <c r="Q3367" s="1" t="s">
        <v>2281</v>
      </c>
      <c r="R3367" s="1" t="s">
        <v>2291</v>
      </c>
      <c r="S3367" s="1" t="s">
        <v>2291</v>
      </c>
      <c r="T3367" t="s">
        <v>421</v>
      </c>
      <c r="U3367" t="s">
        <v>421</v>
      </c>
      <c r="V3367" t="s">
        <v>194</v>
      </c>
      <c r="W3367" t="s">
        <v>1856</v>
      </c>
      <c r="X3367" t="s">
        <v>161</v>
      </c>
      <c r="Y3367" t="s">
        <v>2272</v>
      </c>
      <c r="Z3367" t="s">
        <v>2272</v>
      </c>
      <c r="AA3367" t="s">
        <v>2272</v>
      </c>
      <c r="AB3367" t="s">
        <v>2272</v>
      </c>
      <c r="AC3367" s="1" t="s">
        <v>162</v>
      </c>
      <c r="AD3367" t="s">
        <v>2272</v>
      </c>
      <c r="AF3367" t="s">
        <v>49</v>
      </c>
      <c r="AJ3367" t="s">
        <v>49</v>
      </c>
      <c r="AM3367" s="1" t="s">
        <v>1859</v>
      </c>
      <c r="AN3367" s="1" t="s">
        <v>166</v>
      </c>
      <c r="AP3367" s="1"/>
      <c r="AQ3367" s="5">
        <v>1</v>
      </c>
    </row>
    <row r="3368" spans="1:43" x14ac:dyDescent="0.2">
      <c r="A3368" t="s">
        <v>1853</v>
      </c>
      <c r="B3368" t="s">
        <v>1854</v>
      </c>
      <c r="C3368">
        <v>2010</v>
      </c>
      <c r="D3368" t="s">
        <v>811</v>
      </c>
      <c r="F3368" t="s">
        <v>81</v>
      </c>
      <c r="G3368" s="1" t="s">
        <v>91</v>
      </c>
      <c r="H3368" t="s">
        <v>350</v>
      </c>
      <c r="I3368">
        <v>2005</v>
      </c>
      <c r="J3368">
        <f t="shared" si="78"/>
        <v>0.25</v>
      </c>
      <c r="K3368" t="s">
        <v>101</v>
      </c>
      <c r="M3368">
        <f t="shared" si="79"/>
        <v>1.0000000000000002E-2</v>
      </c>
      <c r="N3368" t="s">
        <v>123</v>
      </c>
      <c r="O3368" t="s">
        <v>123</v>
      </c>
      <c r="P3368" t="s">
        <v>182</v>
      </c>
      <c r="Q3368" s="1" t="s">
        <v>2281</v>
      </c>
      <c r="R3368" s="1" t="s">
        <v>2282</v>
      </c>
      <c r="S3368" s="1" t="s">
        <v>123</v>
      </c>
      <c r="T3368" t="s">
        <v>421</v>
      </c>
      <c r="U3368" t="s">
        <v>421</v>
      </c>
      <c r="V3368" t="s">
        <v>194</v>
      </c>
      <c r="W3368" t="s">
        <v>1856</v>
      </c>
      <c r="X3368" t="s">
        <v>161</v>
      </c>
      <c r="Y3368" t="s">
        <v>2272</v>
      </c>
      <c r="Z3368" t="s">
        <v>2272</v>
      </c>
      <c r="AA3368" t="s">
        <v>2272</v>
      </c>
      <c r="AB3368" t="s">
        <v>2272</v>
      </c>
      <c r="AC3368" s="1" t="s">
        <v>162</v>
      </c>
      <c r="AD3368" t="s">
        <v>2272</v>
      </c>
      <c r="AF3368" t="s">
        <v>49</v>
      </c>
      <c r="AJ3368" t="s">
        <v>49</v>
      </c>
      <c r="AM3368" s="1" t="s">
        <v>1859</v>
      </c>
      <c r="AN3368" s="1" t="s">
        <v>166</v>
      </c>
      <c r="AP3368" s="1"/>
      <c r="AQ3368" s="5">
        <v>1</v>
      </c>
    </row>
    <row r="3369" spans="1:43" x14ac:dyDescent="0.2">
      <c r="A3369" t="s">
        <v>1853</v>
      </c>
      <c r="B3369" t="s">
        <v>1854</v>
      </c>
      <c r="C3369">
        <v>2010</v>
      </c>
      <c r="D3369" t="s">
        <v>811</v>
      </c>
      <c r="F3369" t="s">
        <v>81</v>
      </c>
      <c r="G3369" s="1" t="s">
        <v>91</v>
      </c>
      <c r="H3369" t="s">
        <v>350</v>
      </c>
      <c r="I3369">
        <v>2005</v>
      </c>
      <c r="J3369">
        <f t="shared" si="78"/>
        <v>0.25</v>
      </c>
      <c r="K3369" t="s">
        <v>101</v>
      </c>
      <c r="M3369">
        <f t="shared" si="79"/>
        <v>1.0000000000000002E-2</v>
      </c>
      <c r="N3369" t="s">
        <v>127</v>
      </c>
      <c r="O3369" t="s">
        <v>1857</v>
      </c>
      <c r="P3369" t="s">
        <v>1856</v>
      </c>
      <c r="Q3369" s="1" t="s">
        <v>2281</v>
      </c>
      <c r="R3369" s="1" t="s">
        <v>2291</v>
      </c>
      <c r="S3369" s="1" t="s">
        <v>2291</v>
      </c>
      <c r="T3369" t="s">
        <v>421</v>
      </c>
      <c r="U3369" t="s">
        <v>421</v>
      </c>
      <c r="V3369" t="s">
        <v>194</v>
      </c>
      <c r="W3369" t="s">
        <v>1856</v>
      </c>
      <c r="X3369" t="s">
        <v>161</v>
      </c>
      <c r="Y3369" t="s">
        <v>2272</v>
      </c>
      <c r="Z3369" t="s">
        <v>2272</v>
      </c>
      <c r="AA3369" t="s">
        <v>2272</v>
      </c>
      <c r="AB3369" t="s">
        <v>2272</v>
      </c>
      <c r="AC3369" s="1" t="s">
        <v>162</v>
      </c>
      <c r="AD3369" t="s">
        <v>2272</v>
      </c>
      <c r="AF3369" t="s">
        <v>49</v>
      </c>
      <c r="AJ3369" t="s">
        <v>49</v>
      </c>
      <c r="AM3369" s="1" t="s">
        <v>1859</v>
      </c>
      <c r="AN3369" s="1" t="s">
        <v>166</v>
      </c>
      <c r="AP3369" s="1"/>
      <c r="AQ3369" s="5">
        <v>1</v>
      </c>
    </row>
    <row r="3370" spans="1:43" x14ac:dyDescent="0.2">
      <c r="A3370" t="s">
        <v>1853</v>
      </c>
      <c r="B3370" t="s">
        <v>1854</v>
      </c>
      <c r="C3370">
        <v>2010</v>
      </c>
      <c r="D3370" t="s">
        <v>811</v>
      </c>
      <c r="F3370" t="s">
        <v>81</v>
      </c>
      <c r="G3370" s="1" t="s">
        <v>91</v>
      </c>
      <c r="H3370" t="s">
        <v>350</v>
      </c>
      <c r="I3370">
        <v>2005</v>
      </c>
      <c r="J3370">
        <f t="shared" si="78"/>
        <v>0.25</v>
      </c>
      <c r="K3370" t="s">
        <v>101</v>
      </c>
      <c r="M3370">
        <f t="shared" si="79"/>
        <v>1.0000000000000002E-2</v>
      </c>
      <c r="N3370" t="s">
        <v>127</v>
      </c>
      <c r="O3370" t="s">
        <v>639</v>
      </c>
      <c r="P3370" t="s">
        <v>1855</v>
      </c>
      <c r="Q3370" s="1" t="s">
        <v>2281</v>
      </c>
      <c r="R3370" s="1" t="s">
        <v>2291</v>
      </c>
      <c r="S3370" s="1" t="s">
        <v>2291</v>
      </c>
      <c r="T3370" t="s">
        <v>421</v>
      </c>
      <c r="U3370" t="s">
        <v>421</v>
      </c>
      <c r="V3370" t="s">
        <v>194</v>
      </c>
      <c r="W3370" t="s">
        <v>1856</v>
      </c>
      <c r="X3370" t="s">
        <v>161</v>
      </c>
      <c r="Y3370" t="s">
        <v>2272</v>
      </c>
      <c r="Z3370" t="s">
        <v>2272</v>
      </c>
      <c r="AA3370" t="s">
        <v>2272</v>
      </c>
      <c r="AB3370" t="s">
        <v>2272</v>
      </c>
      <c r="AC3370" s="1" t="s">
        <v>162</v>
      </c>
      <c r="AD3370" t="s">
        <v>2272</v>
      </c>
      <c r="AF3370" t="s">
        <v>49</v>
      </c>
      <c r="AJ3370" t="s">
        <v>49</v>
      </c>
      <c r="AM3370" s="1" t="s">
        <v>1859</v>
      </c>
      <c r="AN3370" s="1" t="s">
        <v>165</v>
      </c>
      <c r="AP3370" s="1" t="s">
        <v>49</v>
      </c>
    </row>
    <row r="3371" spans="1:43" x14ac:dyDescent="0.2">
      <c r="A3371" t="s">
        <v>1853</v>
      </c>
      <c r="B3371" t="s">
        <v>1854</v>
      </c>
      <c r="C3371">
        <v>2010</v>
      </c>
      <c r="D3371" t="s">
        <v>811</v>
      </c>
      <c r="F3371" t="s">
        <v>81</v>
      </c>
      <c r="G3371" s="1" t="s">
        <v>91</v>
      </c>
      <c r="H3371" t="s">
        <v>350</v>
      </c>
      <c r="I3371">
        <v>2005</v>
      </c>
      <c r="J3371">
        <f t="shared" si="78"/>
        <v>0.25</v>
      </c>
      <c r="K3371" t="s">
        <v>101</v>
      </c>
      <c r="M3371">
        <f t="shared" si="79"/>
        <v>1.0000000000000002E-2</v>
      </c>
      <c r="N3371" t="s">
        <v>123</v>
      </c>
      <c r="O3371" t="s">
        <v>123</v>
      </c>
      <c r="P3371" t="s">
        <v>182</v>
      </c>
      <c r="Q3371" s="1" t="s">
        <v>2281</v>
      </c>
      <c r="R3371" s="1" t="s">
        <v>2282</v>
      </c>
      <c r="S3371" s="1" t="s">
        <v>123</v>
      </c>
      <c r="T3371" t="s">
        <v>421</v>
      </c>
      <c r="U3371" t="s">
        <v>421</v>
      </c>
      <c r="V3371" t="s">
        <v>194</v>
      </c>
      <c r="W3371" t="s">
        <v>1856</v>
      </c>
      <c r="X3371" t="s">
        <v>161</v>
      </c>
      <c r="Y3371" t="s">
        <v>2272</v>
      </c>
      <c r="Z3371" t="s">
        <v>2272</v>
      </c>
      <c r="AA3371" t="s">
        <v>2272</v>
      </c>
      <c r="AB3371" t="s">
        <v>2272</v>
      </c>
      <c r="AC3371" s="1" t="s">
        <v>162</v>
      </c>
      <c r="AD3371" t="s">
        <v>2272</v>
      </c>
      <c r="AF3371" t="s">
        <v>49</v>
      </c>
      <c r="AJ3371" t="s">
        <v>49</v>
      </c>
      <c r="AM3371" s="1" t="s">
        <v>1859</v>
      </c>
      <c r="AN3371" s="1" t="s">
        <v>165</v>
      </c>
      <c r="AP3371" s="1" t="s">
        <v>49</v>
      </c>
    </row>
    <row r="3372" spans="1:43" x14ac:dyDescent="0.2">
      <c r="A3372" t="s">
        <v>1853</v>
      </c>
      <c r="B3372" t="s">
        <v>1854</v>
      </c>
      <c r="C3372">
        <v>2010</v>
      </c>
      <c r="D3372" t="s">
        <v>811</v>
      </c>
      <c r="F3372" t="s">
        <v>81</v>
      </c>
      <c r="G3372" s="1" t="s">
        <v>91</v>
      </c>
      <c r="H3372" t="s">
        <v>350</v>
      </c>
      <c r="I3372">
        <v>2005</v>
      </c>
      <c r="J3372">
        <f t="shared" si="78"/>
        <v>0.25</v>
      </c>
      <c r="K3372" t="s">
        <v>101</v>
      </c>
      <c r="M3372">
        <f t="shared" si="79"/>
        <v>1.0000000000000002E-2</v>
      </c>
      <c r="N3372" t="s">
        <v>127</v>
      </c>
      <c r="O3372" t="s">
        <v>1857</v>
      </c>
      <c r="P3372" t="s">
        <v>1856</v>
      </c>
      <c r="Q3372" s="1" t="s">
        <v>2281</v>
      </c>
      <c r="R3372" s="1" t="s">
        <v>2291</v>
      </c>
      <c r="S3372" s="1" t="s">
        <v>2291</v>
      </c>
      <c r="T3372" t="s">
        <v>421</v>
      </c>
      <c r="U3372" t="s">
        <v>421</v>
      </c>
      <c r="V3372" t="s">
        <v>194</v>
      </c>
      <c r="W3372" t="s">
        <v>1856</v>
      </c>
      <c r="X3372" t="s">
        <v>161</v>
      </c>
      <c r="Y3372" t="s">
        <v>2272</v>
      </c>
      <c r="Z3372" t="s">
        <v>2272</v>
      </c>
      <c r="AA3372" t="s">
        <v>2272</v>
      </c>
      <c r="AB3372" t="s">
        <v>2272</v>
      </c>
      <c r="AC3372" s="1" t="s">
        <v>162</v>
      </c>
      <c r="AD3372" t="s">
        <v>2272</v>
      </c>
      <c r="AF3372" t="s">
        <v>49</v>
      </c>
      <c r="AJ3372" t="s">
        <v>49</v>
      </c>
      <c r="AM3372" s="1" t="s">
        <v>1859</v>
      </c>
      <c r="AN3372" s="1" t="s">
        <v>165</v>
      </c>
      <c r="AP3372" s="1" t="s">
        <v>49</v>
      </c>
    </row>
    <row r="3373" spans="1:43" x14ac:dyDescent="0.2">
      <c r="A3373" t="s">
        <v>1860</v>
      </c>
      <c r="B3373" t="s">
        <v>1629</v>
      </c>
      <c r="C3373">
        <v>2010</v>
      </c>
      <c r="D3373" t="s">
        <v>44</v>
      </c>
      <c r="F3373" t="s">
        <v>1861</v>
      </c>
      <c r="G3373" s="1" t="s">
        <v>86</v>
      </c>
      <c r="H3373" t="s">
        <v>96</v>
      </c>
      <c r="I3373">
        <v>2008</v>
      </c>
      <c r="J3373">
        <v>0.17</v>
      </c>
      <c r="K3373" t="s">
        <v>111</v>
      </c>
      <c r="L3373">
        <v>0.02</v>
      </c>
      <c r="N3373" t="s">
        <v>466</v>
      </c>
      <c r="O3373" t="s">
        <v>466</v>
      </c>
      <c r="P3373" t="s">
        <v>1514</v>
      </c>
      <c r="Q3373" s="1" t="s">
        <v>2281</v>
      </c>
      <c r="R3373" s="1" t="s">
        <v>2301</v>
      </c>
      <c r="S3373" s="1" t="s">
        <v>2303</v>
      </c>
      <c r="T3373" t="s">
        <v>421</v>
      </c>
      <c r="U3373" t="s">
        <v>421</v>
      </c>
      <c r="X3373" t="s">
        <v>161</v>
      </c>
      <c r="Y3373" t="s">
        <v>2272</v>
      </c>
      <c r="Z3373" t="s">
        <v>2272</v>
      </c>
      <c r="AA3373" t="s">
        <v>2272</v>
      </c>
      <c r="AB3373" t="s">
        <v>2272</v>
      </c>
      <c r="AC3373" s="1" t="s">
        <v>162</v>
      </c>
      <c r="AD3373" t="s">
        <v>2272</v>
      </c>
      <c r="AH3373" s="4" t="s">
        <v>49</v>
      </c>
      <c r="AL3373" t="s">
        <v>49</v>
      </c>
      <c r="AM3373" t="s">
        <v>1630</v>
      </c>
      <c r="AN3373" s="1" t="s">
        <v>166</v>
      </c>
      <c r="AP3373" s="1" t="s">
        <v>157</v>
      </c>
    </row>
    <row r="3374" spans="1:43" x14ac:dyDescent="0.2">
      <c r="A3374" t="s">
        <v>1862</v>
      </c>
      <c r="B3374" t="s">
        <v>1863</v>
      </c>
      <c r="C3374">
        <v>2010</v>
      </c>
      <c r="D3374" t="s">
        <v>44</v>
      </c>
      <c r="F3374" t="s">
        <v>1864</v>
      </c>
      <c r="G3374" s="1" t="s">
        <v>86</v>
      </c>
      <c r="H3374" t="s">
        <v>96</v>
      </c>
      <c r="I3374">
        <v>2005</v>
      </c>
      <c r="K3374" t="s">
        <v>101</v>
      </c>
      <c r="L3374">
        <v>0.7</v>
      </c>
      <c r="M3374">
        <v>1.77E-2</v>
      </c>
      <c r="N3374" t="s">
        <v>123</v>
      </c>
      <c r="O3374" t="s">
        <v>123</v>
      </c>
      <c r="P3374" t="s">
        <v>518</v>
      </c>
      <c r="Q3374" s="1" t="s">
        <v>2281</v>
      </c>
      <c r="R3374" s="1" t="s">
        <v>2282</v>
      </c>
      <c r="S3374" s="1" t="s">
        <v>123</v>
      </c>
      <c r="X3374" t="s">
        <v>166</v>
      </c>
      <c r="Y3374" t="s">
        <v>2279</v>
      </c>
      <c r="Z3374" t="s">
        <v>2280</v>
      </c>
      <c r="AA3374" t="s">
        <v>2358</v>
      </c>
      <c r="AB3374" t="s">
        <v>189</v>
      </c>
      <c r="AC3374" s="1" t="s">
        <v>152</v>
      </c>
      <c r="AD3374" t="s">
        <v>2278</v>
      </c>
    </row>
    <row r="3375" spans="1:43" x14ac:dyDescent="0.2">
      <c r="A3375" t="s">
        <v>1862</v>
      </c>
      <c r="B3375" t="s">
        <v>1863</v>
      </c>
      <c r="C3375">
        <v>2010</v>
      </c>
      <c r="D3375" t="s">
        <v>44</v>
      </c>
      <c r="F3375" t="s">
        <v>1864</v>
      </c>
      <c r="G3375" s="1" t="s">
        <v>86</v>
      </c>
      <c r="H3375" t="s">
        <v>96</v>
      </c>
      <c r="I3375">
        <v>2005</v>
      </c>
      <c r="K3375" t="s">
        <v>101</v>
      </c>
      <c r="L3375">
        <v>0.7</v>
      </c>
      <c r="M3375">
        <v>1.77E-2</v>
      </c>
      <c r="N3375" t="s">
        <v>126</v>
      </c>
      <c r="O3375" t="s">
        <v>126</v>
      </c>
      <c r="P3375" t="s">
        <v>2571</v>
      </c>
      <c r="Q3375" s="1" t="s">
        <v>2281</v>
      </c>
      <c r="R3375" s="1" t="s">
        <v>2282</v>
      </c>
      <c r="S3375" s="1" t="s">
        <v>126</v>
      </c>
      <c r="X3375" t="s">
        <v>166</v>
      </c>
      <c r="Y3375" t="s">
        <v>2279</v>
      </c>
      <c r="Z3375" t="s">
        <v>2280</v>
      </c>
      <c r="AA3375" t="s">
        <v>2358</v>
      </c>
      <c r="AB3375" t="s">
        <v>189</v>
      </c>
      <c r="AC3375" s="1" t="s">
        <v>152</v>
      </c>
      <c r="AD3375" t="s">
        <v>2278</v>
      </c>
    </row>
    <row r="3376" spans="1:43" x14ac:dyDescent="0.2">
      <c r="A3376" t="s">
        <v>1862</v>
      </c>
      <c r="B3376" t="s">
        <v>1863</v>
      </c>
      <c r="C3376">
        <v>2010</v>
      </c>
      <c r="D3376" t="s">
        <v>44</v>
      </c>
      <c r="F3376" t="s">
        <v>1864</v>
      </c>
      <c r="G3376" s="1" t="s">
        <v>86</v>
      </c>
      <c r="H3376" t="s">
        <v>96</v>
      </c>
      <c r="I3376">
        <v>2005</v>
      </c>
      <c r="K3376" t="s">
        <v>101</v>
      </c>
      <c r="L3376">
        <v>0.7</v>
      </c>
      <c r="M3376">
        <v>1.77E-2</v>
      </c>
      <c r="N3376" t="s">
        <v>123</v>
      </c>
      <c r="O3376" t="s">
        <v>123</v>
      </c>
      <c r="P3376" t="s">
        <v>518</v>
      </c>
      <c r="Q3376" s="1" t="s">
        <v>2281</v>
      </c>
      <c r="R3376" s="1" t="s">
        <v>2282</v>
      </c>
      <c r="S3376" s="1" t="s">
        <v>123</v>
      </c>
      <c r="X3376" t="s">
        <v>171</v>
      </c>
      <c r="Y3376" t="s">
        <v>2273</v>
      </c>
      <c r="Z3376" t="s">
        <v>249</v>
      </c>
      <c r="AA3376" t="s">
        <v>2359</v>
      </c>
      <c r="AB3376" t="s">
        <v>1979</v>
      </c>
      <c r="AC3376" s="1" t="s">
        <v>152</v>
      </c>
      <c r="AD3376" t="s">
        <v>137</v>
      </c>
    </row>
    <row r="3377" spans="1:40" x14ac:dyDescent="0.2">
      <c r="A3377" t="s">
        <v>1862</v>
      </c>
      <c r="B3377" t="s">
        <v>1863</v>
      </c>
      <c r="C3377">
        <v>2010</v>
      </c>
      <c r="D3377" t="s">
        <v>44</v>
      </c>
      <c r="F3377" t="s">
        <v>1864</v>
      </c>
      <c r="G3377" s="1" t="s">
        <v>86</v>
      </c>
      <c r="H3377" t="s">
        <v>96</v>
      </c>
      <c r="I3377">
        <v>2005</v>
      </c>
      <c r="K3377" t="s">
        <v>101</v>
      </c>
      <c r="L3377">
        <v>0.7</v>
      </c>
      <c r="M3377">
        <v>1.77E-2</v>
      </c>
      <c r="N3377" t="s">
        <v>126</v>
      </c>
      <c r="O3377" t="s">
        <v>126</v>
      </c>
      <c r="P3377" t="s">
        <v>2571</v>
      </c>
      <c r="Q3377" s="1" t="s">
        <v>2281</v>
      </c>
      <c r="R3377" s="1" t="s">
        <v>2282</v>
      </c>
      <c r="S3377" s="1" t="s">
        <v>126</v>
      </c>
      <c r="X3377" t="s">
        <v>171</v>
      </c>
      <c r="Y3377" t="s">
        <v>2273</v>
      </c>
      <c r="Z3377" t="s">
        <v>249</v>
      </c>
      <c r="AA3377" t="s">
        <v>2359</v>
      </c>
      <c r="AB3377" t="s">
        <v>1979</v>
      </c>
      <c r="AC3377" s="1" t="s">
        <v>152</v>
      </c>
      <c r="AD3377" t="s">
        <v>137</v>
      </c>
    </row>
    <row r="3378" spans="1:40" x14ac:dyDescent="0.2">
      <c r="A3378" t="s">
        <v>1862</v>
      </c>
      <c r="B3378" t="s">
        <v>1863</v>
      </c>
      <c r="C3378">
        <v>2010</v>
      </c>
      <c r="D3378" t="s">
        <v>44</v>
      </c>
      <c r="F3378" t="s">
        <v>1864</v>
      </c>
      <c r="G3378" s="1" t="s">
        <v>86</v>
      </c>
      <c r="H3378" t="s">
        <v>96</v>
      </c>
      <c r="I3378">
        <v>2005</v>
      </c>
      <c r="K3378" t="s">
        <v>101</v>
      </c>
      <c r="L3378">
        <v>0.7</v>
      </c>
      <c r="M3378">
        <v>1.77E-2</v>
      </c>
      <c r="N3378" t="s">
        <v>123</v>
      </c>
      <c r="O3378" t="s">
        <v>123</v>
      </c>
      <c r="P3378" t="s">
        <v>518</v>
      </c>
      <c r="Q3378" s="1" t="s">
        <v>2281</v>
      </c>
      <c r="R3378" s="1" t="s">
        <v>2282</v>
      </c>
      <c r="S3378" s="1" t="s">
        <v>123</v>
      </c>
      <c r="X3378" t="s">
        <v>228</v>
      </c>
      <c r="Y3378" t="s">
        <v>2273</v>
      </c>
      <c r="Z3378" t="s">
        <v>249</v>
      </c>
      <c r="AA3378" t="s">
        <v>2359</v>
      </c>
      <c r="AB3378" t="s">
        <v>1419</v>
      </c>
      <c r="AC3378" s="1" t="s">
        <v>152</v>
      </c>
      <c r="AD3378" t="s">
        <v>137</v>
      </c>
    </row>
    <row r="3379" spans="1:40" x14ac:dyDescent="0.2">
      <c r="A3379" t="s">
        <v>1862</v>
      </c>
      <c r="B3379" t="s">
        <v>1863</v>
      </c>
      <c r="C3379">
        <v>2010</v>
      </c>
      <c r="D3379" t="s">
        <v>44</v>
      </c>
      <c r="F3379" t="s">
        <v>1864</v>
      </c>
      <c r="G3379" s="1" t="s">
        <v>86</v>
      </c>
      <c r="H3379" t="s">
        <v>96</v>
      </c>
      <c r="I3379">
        <v>2005</v>
      </c>
      <c r="K3379" t="s">
        <v>101</v>
      </c>
      <c r="L3379">
        <v>0.7</v>
      </c>
      <c r="M3379">
        <v>1.77E-2</v>
      </c>
      <c r="N3379" t="s">
        <v>126</v>
      </c>
      <c r="O3379" t="s">
        <v>126</v>
      </c>
      <c r="P3379" t="s">
        <v>2571</v>
      </c>
      <c r="Q3379" s="1" t="s">
        <v>2281</v>
      </c>
      <c r="R3379" s="1" t="s">
        <v>2282</v>
      </c>
      <c r="S3379" s="1" t="s">
        <v>126</v>
      </c>
      <c r="X3379" t="s">
        <v>228</v>
      </c>
      <c r="Y3379" t="s">
        <v>2273</v>
      </c>
      <c r="Z3379" t="s">
        <v>249</v>
      </c>
      <c r="AA3379" t="s">
        <v>2359</v>
      </c>
      <c r="AB3379" t="s">
        <v>1419</v>
      </c>
      <c r="AC3379" s="1" t="s">
        <v>152</v>
      </c>
      <c r="AD3379" t="s">
        <v>137</v>
      </c>
    </row>
    <row r="3380" spans="1:40" x14ac:dyDescent="0.2">
      <c r="A3380" t="s">
        <v>1862</v>
      </c>
      <c r="B3380" t="s">
        <v>1863</v>
      </c>
      <c r="C3380">
        <v>2010</v>
      </c>
      <c r="D3380" t="s">
        <v>44</v>
      </c>
      <c r="F3380" t="s">
        <v>1864</v>
      </c>
      <c r="G3380" s="1" t="s">
        <v>86</v>
      </c>
      <c r="H3380" t="s">
        <v>96</v>
      </c>
      <c r="I3380">
        <v>2005</v>
      </c>
      <c r="K3380" t="s">
        <v>101</v>
      </c>
      <c r="L3380">
        <v>0.7</v>
      </c>
      <c r="M3380">
        <v>1.77E-2</v>
      </c>
      <c r="N3380" t="s">
        <v>123</v>
      </c>
      <c r="O3380" t="s">
        <v>123</v>
      </c>
      <c r="P3380" t="s">
        <v>518</v>
      </c>
      <c r="Q3380" s="1" t="s">
        <v>2281</v>
      </c>
      <c r="R3380" s="1" t="s">
        <v>2282</v>
      </c>
      <c r="S3380" s="1" t="s">
        <v>123</v>
      </c>
      <c r="T3380" t="s">
        <v>396</v>
      </c>
      <c r="U3380" s="1" t="s">
        <v>126</v>
      </c>
      <c r="X3380" t="s">
        <v>161</v>
      </c>
      <c r="Y3380" t="s">
        <v>2272</v>
      </c>
      <c r="Z3380" t="s">
        <v>2272</v>
      </c>
      <c r="AA3380" t="s">
        <v>2272</v>
      </c>
      <c r="AB3380" t="s">
        <v>2272</v>
      </c>
      <c r="AC3380" s="1" t="s">
        <v>162</v>
      </c>
      <c r="AD3380" t="s">
        <v>2272</v>
      </c>
      <c r="AF3380" t="s">
        <v>49</v>
      </c>
      <c r="AG3380" t="s">
        <v>49</v>
      </c>
      <c r="AI3380" t="s">
        <v>49</v>
      </c>
      <c r="AM3380" s="1" t="s">
        <v>368</v>
      </c>
      <c r="AN3380" s="1" t="s">
        <v>154</v>
      </c>
    </row>
    <row r="3381" spans="1:40" x14ac:dyDescent="0.2">
      <c r="A3381" t="s">
        <v>1862</v>
      </c>
      <c r="B3381" t="s">
        <v>1863</v>
      </c>
      <c r="C3381">
        <v>2010</v>
      </c>
      <c r="D3381" t="s">
        <v>44</v>
      </c>
      <c r="F3381" t="s">
        <v>1864</v>
      </c>
      <c r="G3381" s="1" t="s">
        <v>86</v>
      </c>
      <c r="H3381" t="s">
        <v>96</v>
      </c>
      <c r="I3381">
        <v>2005</v>
      </c>
      <c r="K3381" t="s">
        <v>101</v>
      </c>
      <c r="L3381">
        <v>0.7</v>
      </c>
      <c r="M3381">
        <v>1.77E-2</v>
      </c>
      <c r="N3381" t="s">
        <v>126</v>
      </c>
      <c r="O3381" t="s">
        <v>126</v>
      </c>
      <c r="P3381" t="s">
        <v>2571</v>
      </c>
      <c r="Q3381" s="1" t="s">
        <v>2281</v>
      </c>
      <c r="R3381" s="1" t="s">
        <v>2282</v>
      </c>
      <c r="S3381" s="1" t="s">
        <v>126</v>
      </c>
      <c r="T3381" t="s">
        <v>396</v>
      </c>
      <c r="U3381" s="1" t="s">
        <v>123</v>
      </c>
      <c r="X3381" t="s">
        <v>161</v>
      </c>
      <c r="Y3381" t="s">
        <v>2272</v>
      </c>
      <c r="Z3381" t="s">
        <v>2272</v>
      </c>
      <c r="AA3381" t="s">
        <v>2272</v>
      </c>
      <c r="AB3381" t="s">
        <v>2272</v>
      </c>
      <c r="AC3381" s="1" t="s">
        <v>162</v>
      </c>
      <c r="AD3381" t="s">
        <v>2272</v>
      </c>
      <c r="AF3381" t="s">
        <v>49</v>
      </c>
      <c r="AG3381" t="s">
        <v>49</v>
      </c>
      <c r="AI3381" t="s">
        <v>49</v>
      </c>
      <c r="AM3381" s="1" t="s">
        <v>368</v>
      </c>
      <c r="AN3381" s="1" t="s">
        <v>154</v>
      </c>
    </row>
    <row r="3382" spans="1:40" x14ac:dyDescent="0.2">
      <c r="A3382" t="s">
        <v>1862</v>
      </c>
      <c r="B3382" t="s">
        <v>1863</v>
      </c>
      <c r="C3382">
        <v>2010</v>
      </c>
      <c r="D3382" t="s">
        <v>44</v>
      </c>
      <c r="F3382" t="s">
        <v>1864</v>
      </c>
      <c r="G3382" s="1" t="s">
        <v>86</v>
      </c>
      <c r="H3382" t="s">
        <v>96</v>
      </c>
      <c r="I3382">
        <v>2005</v>
      </c>
      <c r="K3382" t="s">
        <v>101</v>
      </c>
      <c r="L3382">
        <v>0.7</v>
      </c>
      <c r="M3382">
        <v>1.77E-2</v>
      </c>
      <c r="N3382" t="s">
        <v>123</v>
      </c>
      <c r="O3382" t="s">
        <v>123</v>
      </c>
      <c r="P3382" t="s">
        <v>518</v>
      </c>
      <c r="Q3382" s="1" t="s">
        <v>2281</v>
      </c>
      <c r="R3382" s="1" t="s">
        <v>2282</v>
      </c>
      <c r="S3382" s="1" t="s">
        <v>123</v>
      </c>
      <c r="T3382" t="s">
        <v>396</v>
      </c>
      <c r="U3382" s="1" t="s">
        <v>126</v>
      </c>
      <c r="X3382" t="s">
        <v>161</v>
      </c>
      <c r="Y3382" t="s">
        <v>2272</v>
      </c>
      <c r="Z3382" t="s">
        <v>2272</v>
      </c>
      <c r="AA3382" t="s">
        <v>2272</v>
      </c>
      <c r="AB3382" t="s">
        <v>2272</v>
      </c>
      <c r="AC3382" s="1" t="s">
        <v>162</v>
      </c>
      <c r="AD3382" t="s">
        <v>2272</v>
      </c>
      <c r="AF3382" t="s">
        <v>49</v>
      </c>
      <c r="AG3382" t="s">
        <v>49</v>
      </c>
      <c r="AI3382" t="s">
        <v>49</v>
      </c>
      <c r="AM3382" s="1" t="s">
        <v>368</v>
      </c>
      <c r="AN3382" s="1" t="s">
        <v>166</v>
      </c>
    </row>
    <row r="3383" spans="1:40" x14ac:dyDescent="0.2">
      <c r="A3383" t="s">
        <v>1862</v>
      </c>
      <c r="B3383" t="s">
        <v>1863</v>
      </c>
      <c r="C3383">
        <v>2010</v>
      </c>
      <c r="D3383" t="s">
        <v>44</v>
      </c>
      <c r="F3383" t="s">
        <v>1864</v>
      </c>
      <c r="G3383" s="1" t="s">
        <v>86</v>
      </c>
      <c r="H3383" t="s">
        <v>96</v>
      </c>
      <c r="I3383">
        <v>2005</v>
      </c>
      <c r="K3383" t="s">
        <v>101</v>
      </c>
      <c r="L3383">
        <v>0.7</v>
      </c>
      <c r="M3383">
        <v>1.77E-2</v>
      </c>
      <c r="N3383" t="s">
        <v>126</v>
      </c>
      <c r="O3383" t="s">
        <v>126</v>
      </c>
      <c r="P3383" t="s">
        <v>2571</v>
      </c>
      <c r="Q3383" s="1" t="s">
        <v>2281</v>
      </c>
      <c r="R3383" s="1" t="s">
        <v>2282</v>
      </c>
      <c r="S3383" s="1" t="s">
        <v>126</v>
      </c>
      <c r="T3383" t="s">
        <v>396</v>
      </c>
      <c r="U3383" s="1" t="s">
        <v>123</v>
      </c>
      <c r="X3383" t="s">
        <v>161</v>
      </c>
      <c r="Y3383" t="s">
        <v>2272</v>
      </c>
      <c r="Z3383" t="s">
        <v>2272</v>
      </c>
      <c r="AA3383" t="s">
        <v>2272</v>
      </c>
      <c r="AB3383" t="s">
        <v>2272</v>
      </c>
      <c r="AC3383" s="1" t="s">
        <v>162</v>
      </c>
      <c r="AD3383" t="s">
        <v>2272</v>
      </c>
      <c r="AF3383" t="s">
        <v>49</v>
      </c>
      <c r="AG3383" t="s">
        <v>49</v>
      </c>
      <c r="AI3383" t="s">
        <v>49</v>
      </c>
      <c r="AM3383" s="1" t="s">
        <v>368</v>
      </c>
      <c r="AN3383" s="1" t="s">
        <v>166</v>
      </c>
    </row>
    <row r="3384" spans="1:40" x14ac:dyDescent="0.2">
      <c r="A3384" t="s">
        <v>1862</v>
      </c>
      <c r="B3384" t="s">
        <v>1863</v>
      </c>
      <c r="C3384">
        <v>2010</v>
      </c>
      <c r="D3384" t="s">
        <v>44</v>
      </c>
      <c r="F3384" t="s">
        <v>1864</v>
      </c>
      <c r="G3384" s="1" t="s">
        <v>86</v>
      </c>
      <c r="H3384" t="s">
        <v>96</v>
      </c>
      <c r="I3384">
        <v>2005</v>
      </c>
      <c r="K3384" t="s">
        <v>101</v>
      </c>
      <c r="L3384">
        <v>0.7</v>
      </c>
      <c r="M3384">
        <v>1.77E-2</v>
      </c>
      <c r="N3384" t="s">
        <v>123</v>
      </c>
      <c r="O3384" t="s">
        <v>123</v>
      </c>
      <c r="P3384" t="s">
        <v>518</v>
      </c>
      <c r="Q3384" s="1" t="s">
        <v>2281</v>
      </c>
      <c r="R3384" s="1" t="s">
        <v>2282</v>
      </c>
      <c r="S3384" s="1" t="s">
        <v>123</v>
      </c>
      <c r="T3384" t="s">
        <v>396</v>
      </c>
      <c r="U3384" s="1" t="s">
        <v>126</v>
      </c>
      <c r="X3384" t="s">
        <v>161</v>
      </c>
      <c r="Y3384" t="s">
        <v>2272</v>
      </c>
      <c r="Z3384" t="s">
        <v>2272</v>
      </c>
      <c r="AA3384" t="s">
        <v>2272</v>
      </c>
      <c r="AB3384" t="s">
        <v>2272</v>
      </c>
      <c r="AC3384" s="1" t="s">
        <v>162</v>
      </c>
      <c r="AD3384" t="s">
        <v>2272</v>
      </c>
      <c r="AF3384" t="s">
        <v>49</v>
      </c>
      <c r="AI3384" t="s">
        <v>49</v>
      </c>
      <c r="AM3384" s="1" t="s">
        <v>201</v>
      </c>
      <c r="AN3384" s="1" t="s">
        <v>165</v>
      </c>
    </row>
    <row r="3385" spans="1:40" x14ac:dyDescent="0.2">
      <c r="A3385" t="s">
        <v>1862</v>
      </c>
      <c r="B3385" t="s">
        <v>1863</v>
      </c>
      <c r="C3385">
        <v>2010</v>
      </c>
      <c r="D3385" t="s">
        <v>44</v>
      </c>
      <c r="F3385" t="s">
        <v>1864</v>
      </c>
      <c r="G3385" s="1" t="s">
        <v>86</v>
      </c>
      <c r="H3385" t="s">
        <v>96</v>
      </c>
      <c r="I3385">
        <v>2005</v>
      </c>
      <c r="K3385" t="s">
        <v>101</v>
      </c>
      <c r="L3385">
        <v>0.7</v>
      </c>
      <c r="M3385">
        <v>1.77E-2</v>
      </c>
      <c r="N3385" t="s">
        <v>126</v>
      </c>
      <c r="O3385" t="s">
        <v>126</v>
      </c>
      <c r="P3385" t="s">
        <v>2571</v>
      </c>
      <c r="Q3385" s="1" t="s">
        <v>2281</v>
      </c>
      <c r="R3385" s="1" t="s">
        <v>2282</v>
      </c>
      <c r="S3385" s="1" t="s">
        <v>126</v>
      </c>
      <c r="T3385" t="s">
        <v>396</v>
      </c>
      <c r="U3385" s="1" t="s">
        <v>123</v>
      </c>
      <c r="X3385" t="s">
        <v>161</v>
      </c>
      <c r="Y3385" t="s">
        <v>2272</v>
      </c>
      <c r="Z3385" t="s">
        <v>2272</v>
      </c>
      <c r="AA3385" t="s">
        <v>2272</v>
      </c>
      <c r="AB3385" t="s">
        <v>2272</v>
      </c>
      <c r="AC3385" s="1" t="s">
        <v>162</v>
      </c>
      <c r="AD3385" t="s">
        <v>2272</v>
      </c>
      <c r="AF3385" t="s">
        <v>49</v>
      </c>
      <c r="AI3385" t="s">
        <v>49</v>
      </c>
      <c r="AM3385" s="1" t="s">
        <v>201</v>
      </c>
      <c r="AN3385" s="1" t="s">
        <v>165</v>
      </c>
    </row>
    <row r="3386" spans="1:40" x14ac:dyDescent="0.2">
      <c r="A3386" t="s">
        <v>1862</v>
      </c>
      <c r="B3386" t="s">
        <v>1863</v>
      </c>
      <c r="C3386">
        <v>2010</v>
      </c>
      <c r="D3386" t="s">
        <v>44</v>
      </c>
      <c r="F3386" t="s">
        <v>1864</v>
      </c>
      <c r="G3386" s="1" t="s">
        <v>86</v>
      </c>
      <c r="H3386" t="s">
        <v>96</v>
      </c>
      <c r="I3386">
        <v>2005</v>
      </c>
      <c r="K3386" t="s">
        <v>101</v>
      </c>
      <c r="L3386">
        <v>0.7</v>
      </c>
      <c r="M3386">
        <v>1.77E-2</v>
      </c>
      <c r="N3386" t="s">
        <v>123</v>
      </c>
      <c r="O3386" t="s">
        <v>123</v>
      </c>
      <c r="P3386" t="s">
        <v>518</v>
      </c>
      <c r="Q3386" s="1" t="s">
        <v>2281</v>
      </c>
      <c r="R3386" s="1" t="s">
        <v>2282</v>
      </c>
      <c r="S3386" s="1" t="s">
        <v>123</v>
      </c>
      <c r="T3386" t="s">
        <v>396</v>
      </c>
      <c r="U3386" s="1" t="s">
        <v>126</v>
      </c>
      <c r="X3386" t="s">
        <v>161</v>
      </c>
      <c r="Y3386" t="s">
        <v>2272</v>
      </c>
      <c r="Z3386" t="s">
        <v>2272</v>
      </c>
      <c r="AA3386" t="s">
        <v>2272</v>
      </c>
      <c r="AB3386" t="s">
        <v>2272</v>
      </c>
      <c r="AC3386" s="1" t="s">
        <v>162</v>
      </c>
      <c r="AD3386" t="s">
        <v>2272</v>
      </c>
      <c r="AF3386" t="s">
        <v>49</v>
      </c>
      <c r="AG3386" t="s">
        <v>49</v>
      </c>
      <c r="AI3386" t="s">
        <v>49</v>
      </c>
      <c r="AM3386" s="1" t="s">
        <v>306</v>
      </c>
      <c r="AN3386" s="1" t="s">
        <v>191</v>
      </c>
    </row>
    <row r="3387" spans="1:40" x14ac:dyDescent="0.2">
      <c r="A3387" t="s">
        <v>1862</v>
      </c>
      <c r="B3387" t="s">
        <v>1863</v>
      </c>
      <c r="C3387">
        <v>2010</v>
      </c>
      <c r="D3387" t="s">
        <v>44</v>
      </c>
      <c r="F3387" t="s">
        <v>1864</v>
      </c>
      <c r="G3387" s="1" t="s">
        <v>86</v>
      </c>
      <c r="H3387" t="s">
        <v>96</v>
      </c>
      <c r="I3387">
        <v>2005</v>
      </c>
      <c r="K3387" t="s">
        <v>101</v>
      </c>
      <c r="L3387">
        <v>0.7</v>
      </c>
      <c r="M3387">
        <v>1.77E-2</v>
      </c>
      <c r="N3387" t="s">
        <v>126</v>
      </c>
      <c r="O3387" t="s">
        <v>126</v>
      </c>
      <c r="P3387" t="s">
        <v>2571</v>
      </c>
      <c r="Q3387" s="1" t="s">
        <v>2281</v>
      </c>
      <c r="R3387" s="1" t="s">
        <v>2282</v>
      </c>
      <c r="S3387" s="1" t="s">
        <v>126</v>
      </c>
      <c r="T3387" t="s">
        <v>396</v>
      </c>
      <c r="U3387" s="1" t="s">
        <v>123</v>
      </c>
      <c r="X3387" t="s">
        <v>161</v>
      </c>
      <c r="Y3387" t="s">
        <v>2272</v>
      </c>
      <c r="Z3387" t="s">
        <v>2272</v>
      </c>
      <c r="AA3387" t="s">
        <v>2272</v>
      </c>
      <c r="AB3387" t="s">
        <v>2272</v>
      </c>
      <c r="AC3387" s="1" t="s">
        <v>162</v>
      </c>
      <c r="AD3387" t="s">
        <v>2272</v>
      </c>
      <c r="AF3387" t="s">
        <v>49</v>
      </c>
      <c r="AG3387" t="s">
        <v>49</v>
      </c>
      <c r="AI3387" t="s">
        <v>49</v>
      </c>
      <c r="AM3387" s="1" t="s">
        <v>306</v>
      </c>
      <c r="AN3387" s="1" t="s">
        <v>191</v>
      </c>
    </row>
    <row r="3388" spans="1:40" x14ac:dyDescent="0.2">
      <c r="A3388" t="s">
        <v>1862</v>
      </c>
      <c r="B3388" t="s">
        <v>1863</v>
      </c>
      <c r="C3388">
        <v>2010</v>
      </c>
      <c r="D3388" t="s">
        <v>44</v>
      </c>
      <c r="F3388" t="s">
        <v>1864</v>
      </c>
      <c r="G3388" s="1" t="s">
        <v>86</v>
      </c>
      <c r="H3388" t="s">
        <v>96</v>
      </c>
      <c r="I3388">
        <v>2005</v>
      </c>
      <c r="K3388" t="s">
        <v>101</v>
      </c>
      <c r="L3388">
        <v>0.7</v>
      </c>
      <c r="M3388">
        <v>1.77E-2</v>
      </c>
      <c r="N3388" t="s">
        <v>123</v>
      </c>
      <c r="O3388" t="s">
        <v>123</v>
      </c>
      <c r="P3388" t="s">
        <v>518</v>
      </c>
      <c r="Q3388" s="1" t="s">
        <v>2281</v>
      </c>
      <c r="R3388" s="1" t="s">
        <v>2282</v>
      </c>
      <c r="S3388" s="1" t="s">
        <v>123</v>
      </c>
      <c r="T3388" t="s">
        <v>421</v>
      </c>
      <c r="X3388" t="s">
        <v>161</v>
      </c>
      <c r="Y3388" t="s">
        <v>2272</v>
      </c>
      <c r="Z3388" t="s">
        <v>2272</v>
      </c>
      <c r="AA3388" t="s">
        <v>2272</v>
      </c>
      <c r="AB3388" t="s">
        <v>2272</v>
      </c>
      <c r="AC3388" s="1" t="s">
        <v>162</v>
      </c>
      <c r="AD3388" t="s">
        <v>2272</v>
      </c>
      <c r="AF3388" t="s">
        <v>49</v>
      </c>
      <c r="AG3388" t="s">
        <v>49</v>
      </c>
      <c r="AI3388" t="s">
        <v>49</v>
      </c>
      <c r="AM3388" s="1" t="s">
        <v>368</v>
      </c>
      <c r="AN3388" s="1" t="s">
        <v>154</v>
      </c>
    </row>
    <row r="3389" spans="1:40" x14ac:dyDescent="0.2">
      <c r="A3389" t="s">
        <v>1862</v>
      </c>
      <c r="B3389" t="s">
        <v>1863</v>
      </c>
      <c r="C3389">
        <v>2010</v>
      </c>
      <c r="D3389" t="s">
        <v>44</v>
      </c>
      <c r="F3389" t="s">
        <v>1864</v>
      </c>
      <c r="G3389" s="1" t="s">
        <v>86</v>
      </c>
      <c r="H3389" t="s">
        <v>96</v>
      </c>
      <c r="I3389">
        <v>2005</v>
      </c>
      <c r="K3389" t="s">
        <v>101</v>
      </c>
      <c r="L3389">
        <v>0.7</v>
      </c>
      <c r="M3389">
        <v>1.77E-2</v>
      </c>
      <c r="N3389" t="s">
        <v>126</v>
      </c>
      <c r="O3389" t="s">
        <v>126</v>
      </c>
      <c r="P3389" t="s">
        <v>2571</v>
      </c>
      <c r="Q3389" s="1" t="s">
        <v>2281</v>
      </c>
      <c r="R3389" s="1" t="s">
        <v>2282</v>
      </c>
      <c r="S3389" s="1" t="s">
        <v>126</v>
      </c>
      <c r="T3389" t="s">
        <v>421</v>
      </c>
      <c r="X3389" t="s">
        <v>161</v>
      </c>
      <c r="Y3389" t="s">
        <v>2272</v>
      </c>
      <c r="Z3389" t="s">
        <v>2272</v>
      </c>
      <c r="AA3389" t="s">
        <v>2272</v>
      </c>
      <c r="AB3389" t="s">
        <v>2272</v>
      </c>
      <c r="AC3389" s="1" t="s">
        <v>162</v>
      </c>
      <c r="AD3389" t="s">
        <v>2272</v>
      </c>
      <c r="AF3389" t="s">
        <v>49</v>
      </c>
      <c r="AG3389" t="s">
        <v>49</v>
      </c>
      <c r="AI3389" t="s">
        <v>49</v>
      </c>
      <c r="AM3389" s="1" t="s">
        <v>368</v>
      </c>
      <c r="AN3389" s="1" t="s">
        <v>154</v>
      </c>
    </row>
    <row r="3390" spans="1:40" x14ac:dyDescent="0.2">
      <c r="A3390" t="s">
        <v>1862</v>
      </c>
      <c r="B3390" t="s">
        <v>1863</v>
      </c>
      <c r="C3390">
        <v>2010</v>
      </c>
      <c r="D3390" t="s">
        <v>44</v>
      </c>
      <c r="F3390" t="s">
        <v>1864</v>
      </c>
      <c r="G3390" s="1" t="s">
        <v>86</v>
      </c>
      <c r="H3390" t="s">
        <v>96</v>
      </c>
      <c r="I3390">
        <v>2005</v>
      </c>
      <c r="K3390" t="s">
        <v>101</v>
      </c>
      <c r="L3390">
        <v>0.7</v>
      </c>
      <c r="M3390">
        <v>1.77E-2</v>
      </c>
      <c r="N3390" t="s">
        <v>123</v>
      </c>
      <c r="O3390" t="s">
        <v>123</v>
      </c>
      <c r="P3390" t="s">
        <v>518</v>
      </c>
      <c r="Q3390" s="1" t="s">
        <v>2281</v>
      </c>
      <c r="R3390" s="1" t="s">
        <v>2282</v>
      </c>
      <c r="S3390" s="1" t="s">
        <v>123</v>
      </c>
      <c r="T3390" t="s">
        <v>421</v>
      </c>
      <c r="X3390" t="s">
        <v>161</v>
      </c>
      <c r="Y3390" t="s">
        <v>2272</v>
      </c>
      <c r="Z3390" t="s">
        <v>2272</v>
      </c>
      <c r="AA3390" t="s">
        <v>2272</v>
      </c>
      <c r="AB3390" t="s">
        <v>2272</v>
      </c>
      <c r="AC3390" s="1" t="s">
        <v>162</v>
      </c>
      <c r="AD3390" t="s">
        <v>2272</v>
      </c>
      <c r="AF3390" t="s">
        <v>49</v>
      </c>
      <c r="AG3390" t="s">
        <v>49</v>
      </c>
      <c r="AI3390" t="s">
        <v>49</v>
      </c>
      <c r="AM3390" s="1" t="s">
        <v>368</v>
      </c>
      <c r="AN3390" s="1" t="s">
        <v>166</v>
      </c>
    </row>
    <row r="3391" spans="1:40" x14ac:dyDescent="0.2">
      <c r="A3391" t="s">
        <v>1862</v>
      </c>
      <c r="B3391" t="s">
        <v>1863</v>
      </c>
      <c r="C3391">
        <v>2010</v>
      </c>
      <c r="D3391" t="s">
        <v>44</v>
      </c>
      <c r="F3391" t="s">
        <v>1864</v>
      </c>
      <c r="G3391" s="1" t="s">
        <v>86</v>
      </c>
      <c r="H3391" t="s">
        <v>96</v>
      </c>
      <c r="I3391">
        <v>2005</v>
      </c>
      <c r="K3391" t="s">
        <v>101</v>
      </c>
      <c r="L3391">
        <v>0.7</v>
      </c>
      <c r="M3391">
        <v>1.77E-2</v>
      </c>
      <c r="N3391" t="s">
        <v>126</v>
      </c>
      <c r="O3391" t="s">
        <v>126</v>
      </c>
      <c r="P3391" t="s">
        <v>2571</v>
      </c>
      <c r="Q3391" s="1" t="s">
        <v>2281</v>
      </c>
      <c r="R3391" s="1" t="s">
        <v>2282</v>
      </c>
      <c r="S3391" s="1" t="s">
        <v>126</v>
      </c>
      <c r="T3391" t="s">
        <v>421</v>
      </c>
      <c r="X3391" t="s">
        <v>161</v>
      </c>
      <c r="Y3391" t="s">
        <v>2272</v>
      </c>
      <c r="Z3391" t="s">
        <v>2272</v>
      </c>
      <c r="AA3391" t="s">
        <v>2272</v>
      </c>
      <c r="AB3391" t="s">
        <v>2272</v>
      </c>
      <c r="AC3391" s="1" t="s">
        <v>162</v>
      </c>
      <c r="AD3391" t="s">
        <v>2272</v>
      </c>
      <c r="AF3391" t="s">
        <v>49</v>
      </c>
      <c r="AG3391" t="s">
        <v>49</v>
      </c>
      <c r="AI3391" t="s">
        <v>49</v>
      </c>
      <c r="AM3391" s="1" t="s">
        <v>368</v>
      </c>
      <c r="AN3391" s="1" t="s">
        <v>166</v>
      </c>
    </row>
    <row r="3392" spans="1:40" x14ac:dyDescent="0.2">
      <c r="A3392" t="s">
        <v>1862</v>
      </c>
      <c r="B3392" t="s">
        <v>1863</v>
      </c>
      <c r="C3392">
        <v>2010</v>
      </c>
      <c r="D3392" t="s">
        <v>44</v>
      </c>
      <c r="F3392" t="s">
        <v>1864</v>
      </c>
      <c r="G3392" s="1" t="s">
        <v>86</v>
      </c>
      <c r="H3392" t="s">
        <v>96</v>
      </c>
      <c r="I3392">
        <v>2005</v>
      </c>
      <c r="K3392" t="s">
        <v>101</v>
      </c>
      <c r="L3392">
        <v>0.7</v>
      </c>
      <c r="M3392">
        <v>1.77E-2</v>
      </c>
      <c r="N3392" t="s">
        <v>123</v>
      </c>
      <c r="O3392" t="s">
        <v>123</v>
      </c>
      <c r="P3392" t="s">
        <v>518</v>
      </c>
      <c r="Q3392" s="1" t="s">
        <v>2281</v>
      </c>
      <c r="R3392" s="1" t="s">
        <v>2282</v>
      </c>
      <c r="S3392" s="1" t="s">
        <v>123</v>
      </c>
      <c r="T3392" t="s">
        <v>421</v>
      </c>
      <c r="X3392" t="s">
        <v>161</v>
      </c>
      <c r="Y3392" t="s">
        <v>2272</v>
      </c>
      <c r="Z3392" t="s">
        <v>2272</v>
      </c>
      <c r="AA3392" t="s">
        <v>2272</v>
      </c>
      <c r="AB3392" t="s">
        <v>2272</v>
      </c>
      <c r="AC3392" s="1" t="s">
        <v>162</v>
      </c>
      <c r="AD3392" t="s">
        <v>2272</v>
      </c>
      <c r="AF3392" t="s">
        <v>49</v>
      </c>
      <c r="AG3392" t="s">
        <v>49</v>
      </c>
      <c r="AJ3392" t="s">
        <v>49</v>
      </c>
      <c r="AM3392" s="1" t="s">
        <v>306</v>
      </c>
      <c r="AN3392" s="1" t="s">
        <v>191</v>
      </c>
    </row>
    <row r="3393" spans="1:43" x14ac:dyDescent="0.2">
      <c r="A3393" t="s">
        <v>1862</v>
      </c>
      <c r="B3393" t="s">
        <v>1863</v>
      </c>
      <c r="C3393">
        <v>2010</v>
      </c>
      <c r="D3393" t="s">
        <v>44</v>
      </c>
      <c r="F3393" t="s">
        <v>1864</v>
      </c>
      <c r="G3393" s="1" t="s">
        <v>86</v>
      </c>
      <c r="H3393" t="s">
        <v>96</v>
      </c>
      <c r="I3393">
        <v>2005</v>
      </c>
      <c r="K3393" t="s">
        <v>101</v>
      </c>
      <c r="L3393">
        <v>0.7</v>
      </c>
      <c r="M3393">
        <v>1.77E-2</v>
      </c>
      <c r="N3393" t="s">
        <v>126</v>
      </c>
      <c r="O3393" t="s">
        <v>126</v>
      </c>
      <c r="P3393" t="s">
        <v>2571</v>
      </c>
      <c r="Q3393" s="1" t="s">
        <v>2281</v>
      </c>
      <c r="R3393" s="1" t="s">
        <v>2282</v>
      </c>
      <c r="S3393" s="1" t="s">
        <v>126</v>
      </c>
      <c r="T3393" t="s">
        <v>421</v>
      </c>
      <c r="X3393" t="s">
        <v>161</v>
      </c>
      <c r="Y3393" t="s">
        <v>2272</v>
      </c>
      <c r="Z3393" t="s">
        <v>2272</v>
      </c>
      <c r="AA3393" t="s">
        <v>2272</v>
      </c>
      <c r="AB3393" t="s">
        <v>2272</v>
      </c>
      <c r="AC3393" s="1" t="s">
        <v>162</v>
      </c>
      <c r="AD3393" t="s">
        <v>2272</v>
      </c>
      <c r="AF3393" t="s">
        <v>49</v>
      </c>
      <c r="AG3393" t="s">
        <v>49</v>
      </c>
      <c r="AJ3393" t="s">
        <v>49</v>
      </c>
      <c r="AM3393" s="1" t="s">
        <v>306</v>
      </c>
      <c r="AN3393" s="1" t="s">
        <v>191</v>
      </c>
    </row>
    <row r="3394" spans="1:43" x14ac:dyDescent="0.2">
      <c r="A3394" t="s">
        <v>1865</v>
      </c>
      <c r="B3394" t="s">
        <v>1866</v>
      </c>
      <c r="C3394">
        <v>2010</v>
      </c>
      <c r="D3394" t="s">
        <v>44</v>
      </c>
      <c r="F3394" t="s">
        <v>1867</v>
      </c>
      <c r="G3394" s="1" t="s">
        <v>88</v>
      </c>
      <c r="H3394" t="s">
        <v>350</v>
      </c>
      <c r="K3394" t="s">
        <v>101</v>
      </c>
      <c r="M3394">
        <v>0</v>
      </c>
      <c r="N3394" t="s">
        <v>122</v>
      </c>
      <c r="O3394" t="s">
        <v>122</v>
      </c>
      <c r="P3394" t="s">
        <v>1403</v>
      </c>
      <c r="Q3394" s="1" t="s">
        <v>2281</v>
      </c>
      <c r="R3394" s="1" t="s">
        <v>122</v>
      </c>
      <c r="S3394" s="1" t="s">
        <v>2294</v>
      </c>
      <c r="X3394" t="s">
        <v>1868</v>
      </c>
      <c r="Y3394" t="s">
        <v>2273</v>
      </c>
      <c r="Z3394" t="s">
        <v>2356</v>
      </c>
      <c r="AA3394" t="s">
        <v>2357</v>
      </c>
      <c r="AB3394" t="s">
        <v>2277</v>
      </c>
      <c r="AC3394" s="1" t="s">
        <v>152</v>
      </c>
      <c r="AD3394" t="s">
        <v>137</v>
      </c>
    </row>
    <row r="3395" spans="1:43" x14ac:dyDescent="0.2">
      <c r="A3395" t="s">
        <v>1865</v>
      </c>
      <c r="B3395" t="s">
        <v>1866</v>
      </c>
      <c r="C3395">
        <v>2010</v>
      </c>
      <c r="D3395" t="s">
        <v>44</v>
      </c>
      <c r="F3395" t="s">
        <v>1867</v>
      </c>
      <c r="G3395" s="1" t="s">
        <v>88</v>
      </c>
      <c r="H3395" t="s">
        <v>350</v>
      </c>
      <c r="K3395" t="s">
        <v>101</v>
      </c>
      <c r="M3395">
        <v>0</v>
      </c>
      <c r="N3395" t="s">
        <v>122</v>
      </c>
      <c r="O3395" t="s">
        <v>122</v>
      </c>
      <c r="P3395" t="s">
        <v>1403</v>
      </c>
      <c r="Q3395" s="1" t="s">
        <v>2281</v>
      </c>
      <c r="R3395" s="1" t="s">
        <v>122</v>
      </c>
      <c r="S3395" s="1" t="s">
        <v>2294</v>
      </c>
      <c r="X3395" t="s">
        <v>1407</v>
      </c>
      <c r="Y3395" t="s">
        <v>2273</v>
      </c>
      <c r="Z3395" t="s">
        <v>249</v>
      </c>
      <c r="AA3395" t="s">
        <v>2274</v>
      </c>
      <c r="AB3395" t="s">
        <v>2300</v>
      </c>
      <c r="AC3395" s="1" t="s">
        <v>152</v>
      </c>
      <c r="AD3395" t="s">
        <v>137</v>
      </c>
    </row>
    <row r="3396" spans="1:43" x14ac:dyDescent="0.2">
      <c r="A3396" t="s">
        <v>1865</v>
      </c>
      <c r="B3396" t="s">
        <v>1866</v>
      </c>
      <c r="C3396">
        <v>2010</v>
      </c>
      <c r="D3396" t="s">
        <v>44</v>
      </c>
      <c r="F3396" t="s">
        <v>1867</v>
      </c>
      <c r="G3396" s="1" t="s">
        <v>88</v>
      </c>
      <c r="H3396" t="s">
        <v>350</v>
      </c>
      <c r="K3396" t="s">
        <v>101</v>
      </c>
      <c r="M3396">
        <v>0</v>
      </c>
      <c r="N3396" t="s">
        <v>122</v>
      </c>
      <c r="O3396" t="s">
        <v>122</v>
      </c>
      <c r="P3396" t="s">
        <v>1403</v>
      </c>
      <c r="Q3396" s="1" t="s">
        <v>2281</v>
      </c>
      <c r="R3396" s="1" t="s">
        <v>122</v>
      </c>
      <c r="S3396" s="1" t="s">
        <v>2294</v>
      </c>
      <c r="X3396" t="s">
        <v>1869</v>
      </c>
      <c r="Y3396" t="s">
        <v>2273</v>
      </c>
      <c r="Z3396" t="s">
        <v>2356</v>
      </c>
      <c r="AA3396" t="s">
        <v>2357</v>
      </c>
      <c r="AB3396" t="s">
        <v>2277</v>
      </c>
      <c r="AC3396" s="1" t="s">
        <v>152</v>
      </c>
      <c r="AD3396" t="s">
        <v>137</v>
      </c>
    </row>
    <row r="3397" spans="1:43" x14ac:dyDescent="0.2">
      <c r="A3397" t="s">
        <v>1865</v>
      </c>
      <c r="B3397" t="s">
        <v>1866</v>
      </c>
      <c r="C3397">
        <v>2010</v>
      </c>
      <c r="D3397" t="s">
        <v>44</v>
      </c>
      <c r="F3397" t="s">
        <v>1867</v>
      </c>
      <c r="G3397" s="1" t="s">
        <v>88</v>
      </c>
      <c r="H3397" t="s">
        <v>350</v>
      </c>
      <c r="K3397" t="s">
        <v>101</v>
      </c>
      <c r="M3397">
        <v>0</v>
      </c>
      <c r="N3397" t="s">
        <v>122</v>
      </c>
      <c r="O3397" t="s">
        <v>122</v>
      </c>
      <c r="P3397" t="s">
        <v>1403</v>
      </c>
      <c r="Q3397" s="1" t="s">
        <v>2281</v>
      </c>
      <c r="R3397" s="1" t="s">
        <v>122</v>
      </c>
      <c r="S3397" s="1" t="s">
        <v>2294</v>
      </c>
      <c r="X3397" t="s">
        <v>1870</v>
      </c>
      <c r="Y3397" t="s">
        <v>2273</v>
      </c>
      <c r="Z3397" t="s">
        <v>249</v>
      </c>
      <c r="AA3397" t="s">
        <v>2359</v>
      </c>
      <c r="AB3397" t="s">
        <v>1419</v>
      </c>
      <c r="AC3397" s="1" t="s">
        <v>152</v>
      </c>
      <c r="AD3397" t="s">
        <v>137</v>
      </c>
    </row>
    <row r="3398" spans="1:43" x14ac:dyDescent="0.2">
      <c r="A3398" t="s">
        <v>1865</v>
      </c>
      <c r="B3398" t="s">
        <v>1866</v>
      </c>
      <c r="C3398">
        <v>2010</v>
      </c>
      <c r="D3398" t="s">
        <v>44</v>
      </c>
      <c r="F3398" t="s">
        <v>1867</v>
      </c>
      <c r="G3398" s="1" t="s">
        <v>88</v>
      </c>
      <c r="H3398" t="s">
        <v>350</v>
      </c>
      <c r="K3398" t="s">
        <v>101</v>
      </c>
      <c r="M3398">
        <v>0</v>
      </c>
      <c r="N3398" t="s">
        <v>122</v>
      </c>
      <c r="O3398" t="s">
        <v>122</v>
      </c>
      <c r="P3398" t="s">
        <v>1403</v>
      </c>
      <c r="Q3398" s="1" t="s">
        <v>2281</v>
      </c>
      <c r="R3398" s="1" t="s">
        <v>122</v>
      </c>
      <c r="S3398" s="1" t="s">
        <v>2294</v>
      </c>
      <c r="X3398" t="s">
        <v>1871</v>
      </c>
      <c r="Y3398" t="s">
        <v>2273</v>
      </c>
      <c r="Z3398" t="s">
        <v>249</v>
      </c>
      <c r="AA3398" t="s">
        <v>2359</v>
      </c>
      <c r="AB3398" t="s">
        <v>1419</v>
      </c>
      <c r="AC3398" s="1" t="s">
        <v>152</v>
      </c>
      <c r="AD3398" t="s">
        <v>137</v>
      </c>
    </row>
    <row r="3399" spans="1:43" x14ac:dyDescent="0.2">
      <c r="A3399" t="s">
        <v>1865</v>
      </c>
      <c r="B3399" t="s">
        <v>1866</v>
      </c>
      <c r="C3399">
        <v>2010</v>
      </c>
      <c r="D3399" t="s">
        <v>44</v>
      </c>
      <c r="F3399" t="s">
        <v>1867</v>
      </c>
      <c r="G3399" s="1" t="s">
        <v>88</v>
      </c>
      <c r="H3399" t="s">
        <v>350</v>
      </c>
      <c r="K3399" t="s">
        <v>101</v>
      </c>
      <c r="M3399">
        <v>0</v>
      </c>
      <c r="N3399" t="s">
        <v>122</v>
      </c>
      <c r="O3399" t="s">
        <v>122</v>
      </c>
      <c r="P3399" t="s">
        <v>1403</v>
      </c>
      <c r="Q3399" s="1" t="s">
        <v>2281</v>
      </c>
      <c r="R3399" s="1" t="s">
        <v>122</v>
      </c>
      <c r="S3399" s="1" t="s">
        <v>2294</v>
      </c>
      <c r="X3399" t="s">
        <v>1872</v>
      </c>
      <c r="Y3399" t="s">
        <v>2279</v>
      </c>
      <c r="Z3399" t="s">
        <v>2361</v>
      </c>
      <c r="AA3399" t="s">
        <v>2362</v>
      </c>
      <c r="AB3399" t="s">
        <v>2296</v>
      </c>
      <c r="AC3399" s="1" t="s">
        <v>152</v>
      </c>
      <c r="AD3399" t="s">
        <v>2278</v>
      </c>
    </row>
    <row r="3400" spans="1:43" x14ac:dyDescent="0.2">
      <c r="A3400" t="s">
        <v>1865</v>
      </c>
      <c r="B3400" t="s">
        <v>1866</v>
      </c>
      <c r="C3400">
        <v>2010</v>
      </c>
      <c r="D3400" t="s">
        <v>44</v>
      </c>
      <c r="F3400" t="s">
        <v>1867</v>
      </c>
      <c r="G3400" s="1" t="s">
        <v>88</v>
      </c>
      <c r="H3400" t="s">
        <v>350</v>
      </c>
      <c r="K3400" t="s">
        <v>101</v>
      </c>
      <c r="M3400">
        <v>0.25</v>
      </c>
      <c r="N3400" t="s">
        <v>122</v>
      </c>
      <c r="O3400" t="s">
        <v>122</v>
      </c>
      <c r="P3400" t="s">
        <v>1403</v>
      </c>
      <c r="Q3400" s="1" t="s">
        <v>2281</v>
      </c>
      <c r="R3400" s="1" t="s">
        <v>122</v>
      </c>
      <c r="S3400" s="1" t="s">
        <v>2294</v>
      </c>
      <c r="X3400" t="s">
        <v>211</v>
      </c>
      <c r="Y3400" t="s">
        <v>2279</v>
      </c>
      <c r="Z3400" t="s">
        <v>2280</v>
      </c>
      <c r="AA3400" t="s">
        <v>2358</v>
      </c>
      <c r="AB3400" t="s">
        <v>2290</v>
      </c>
      <c r="AC3400" s="1" t="s">
        <v>152</v>
      </c>
      <c r="AD3400" t="s">
        <v>2278</v>
      </c>
    </row>
    <row r="3401" spans="1:43" x14ac:dyDescent="0.2">
      <c r="A3401" t="s">
        <v>1865</v>
      </c>
      <c r="B3401" t="s">
        <v>1866</v>
      </c>
      <c r="C3401">
        <v>2010</v>
      </c>
      <c r="D3401" t="s">
        <v>44</v>
      </c>
      <c r="F3401" t="s">
        <v>1867</v>
      </c>
      <c r="G3401" s="1" t="s">
        <v>88</v>
      </c>
      <c r="H3401" t="s">
        <v>350</v>
      </c>
      <c r="K3401" t="s">
        <v>101</v>
      </c>
      <c r="N3401" t="s">
        <v>122</v>
      </c>
      <c r="O3401" t="s">
        <v>122</v>
      </c>
      <c r="P3401" t="s">
        <v>1403</v>
      </c>
      <c r="Q3401" s="1" t="s">
        <v>2281</v>
      </c>
      <c r="R3401" s="1" t="s">
        <v>122</v>
      </c>
      <c r="S3401" s="1" t="s">
        <v>2294</v>
      </c>
      <c r="X3401" t="s">
        <v>161</v>
      </c>
      <c r="Y3401" t="s">
        <v>2272</v>
      </c>
      <c r="Z3401" t="s">
        <v>2272</v>
      </c>
      <c r="AA3401" t="s">
        <v>2272</v>
      </c>
      <c r="AB3401" t="s">
        <v>2272</v>
      </c>
      <c r="AC3401" s="1" t="s">
        <v>162</v>
      </c>
      <c r="AD3401" t="s">
        <v>2272</v>
      </c>
      <c r="AH3401" s="4" t="s">
        <v>49</v>
      </c>
      <c r="AK3401" t="s">
        <v>49</v>
      </c>
      <c r="AM3401" s="1" t="s">
        <v>737</v>
      </c>
      <c r="AN3401" s="1" t="s">
        <v>166</v>
      </c>
    </row>
    <row r="3402" spans="1:43" x14ac:dyDescent="0.2">
      <c r="A3402" t="s">
        <v>1865</v>
      </c>
      <c r="B3402" t="s">
        <v>1866</v>
      </c>
      <c r="C3402">
        <v>2010</v>
      </c>
      <c r="D3402" t="s">
        <v>44</v>
      </c>
      <c r="F3402" t="s">
        <v>1867</v>
      </c>
      <c r="G3402" s="1" t="s">
        <v>88</v>
      </c>
      <c r="H3402" t="s">
        <v>350</v>
      </c>
      <c r="K3402" t="s">
        <v>101</v>
      </c>
      <c r="N3402" t="s">
        <v>122</v>
      </c>
      <c r="O3402" t="s">
        <v>122</v>
      </c>
      <c r="P3402" t="s">
        <v>1403</v>
      </c>
      <c r="Q3402" s="1" t="s">
        <v>2281</v>
      </c>
      <c r="R3402" s="1" t="s">
        <v>122</v>
      </c>
      <c r="S3402" s="1" t="s">
        <v>2294</v>
      </c>
      <c r="X3402" t="s">
        <v>161</v>
      </c>
      <c r="Y3402" t="s">
        <v>2272</v>
      </c>
      <c r="Z3402" t="s">
        <v>2272</v>
      </c>
      <c r="AA3402" t="s">
        <v>2272</v>
      </c>
      <c r="AB3402" t="s">
        <v>2272</v>
      </c>
      <c r="AC3402" s="1" t="s">
        <v>162</v>
      </c>
      <c r="AD3402" t="s">
        <v>2272</v>
      </c>
      <c r="AF3402" t="s">
        <v>49</v>
      </c>
      <c r="AK3402" t="s">
        <v>49</v>
      </c>
      <c r="AM3402" t="s">
        <v>1873</v>
      </c>
      <c r="AN3402" s="1" t="s">
        <v>166</v>
      </c>
    </row>
    <row r="3403" spans="1:43" x14ac:dyDescent="0.2">
      <c r="A3403" t="s">
        <v>1865</v>
      </c>
      <c r="B3403" t="s">
        <v>1866</v>
      </c>
      <c r="C3403">
        <v>2010</v>
      </c>
      <c r="D3403" t="s">
        <v>44</v>
      </c>
      <c r="F3403" t="s">
        <v>1867</v>
      </c>
      <c r="G3403" s="1" t="s">
        <v>88</v>
      </c>
      <c r="H3403" t="s">
        <v>350</v>
      </c>
      <c r="K3403" t="s">
        <v>101</v>
      </c>
      <c r="N3403" t="s">
        <v>122</v>
      </c>
      <c r="O3403" t="s">
        <v>122</v>
      </c>
      <c r="P3403" t="s">
        <v>1403</v>
      </c>
      <c r="Q3403" s="1" t="s">
        <v>2281</v>
      </c>
      <c r="R3403" s="1" t="s">
        <v>122</v>
      </c>
      <c r="S3403" s="1" t="s">
        <v>2294</v>
      </c>
      <c r="X3403" t="s">
        <v>161</v>
      </c>
      <c r="Y3403" t="s">
        <v>2272</v>
      </c>
      <c r="Z3403" t="s">
        <v>2272</v>
      </c>
      <c r="AA3403" t="s">
        <v>2272</v>
      </c>
      <c r="AB3403" t="s">
        <v>2272</v>
      </c>
      <c r="AC3403" s="1" t="s">
        <v>162</v>
      </c>
      <c r="AD3403" t="s">
        <v>2272</v>
      </c>
      <c r="AF3403" t="s">
        <v>49</v>
      </c>
      <c r="AK3403" t="s">
        <v>49</v>
      </c>
      <c r="AM3403" t="s">
        <v>1873</v>
      </c>
      <c r="AN3403" t="s">
        <v>109</v>
      </c>
      <c r="AO3403" t="s">
        <v>150</v>
      </c>
    </row>
    <row r="3404" spans="1:43" x14ac:dyDescent="0.2">
      <c r="A3404" t="s">
        <v>1865</v>
      </c>
      <c r="B3404" t="s">
        <v>1866</v>
      </c>
      <c r="C3404">
        <v>2010</v>
      </c>
      <c r="D3404" t="s">
        <v>44</v>
      </c>
      <c r="F3404" t="s">
        <v>1867</v>
      </c>
      <c r="G3404" s="1" t="s">
        <v>88</v>
      </c>
      <c r="H3404" t="s">
        <v>350</v>
      </c>
      <c r="K3404" t="s">
        <v>101</v>
      </c>
      <c r="N3404" t="s">
        <v>122</v>
      </c>
      <c r="O3404" t="s">
        <v>122</v>
      </c>
      <c r="P3404" t="s">
        <v>1403</v>
      </c>
      <c r="Q3404" s="1" t="s">
        <v>2281</v>
      </c>
      <c r="R3404" s="1" t="s">
        <v>122</v>
      </c>
      <c r="S3404" s="1" t="s">
        <v>2294</v>
      </c>
      <c r="X3404" t="s">
        <v>161</v>
      </c>
      <c r="Y3404" t="s">
        <v>2272</v>
      </c>
      <c r="Z3404" t="s">
        <v>2272</v>
      </c>
      <c r="AA3404" t="s">
        <v>2272</v>
      </c>
      <c r="AB3404" t="s">
        <v>2272</v>
      </c>
      <c r="AC3404" s="1" t="s">
        <v>162</v>
      </c>
      <c r="AD3404" t="s">
        <v>2272</v>
      </c>
      <c r="AH3404" s="4" t="s">
        <v>49</v>
      </c>
      <c r="AI3404" t="s">
        <v>49</v>
      </c>
      <c r="AM3404" t="s">
        <v>1874</v>
      </c>
      <c r="AN3404" t="s">
        <v>166</v>
      </c>
    </row>
    <row r="3405" spans="1:43" x14ac:dyDescent="0.2">
      <c r="A3405" t="s">
        <v>1865</v>
      </c>
      <c r="B3405" t="s">
        <v>1866</v>
      </c>
      <c r="C3405">
        <v>2010</v>
      </c>
      <c r="D3405" t="s">
        <v>44</v>
      </c>
      <c r="F3405" t="s">
        <v>1867</v>
      </c>
      <c r="G3405" s="1" t="s">
        <v>88</v>
      </c>
      <c r="H3405" t="s">
        <v>350</v>
      </c>
      <c r="K3405" t="s">
        <v>101</v>
      </c>
      <c r="N3405" t="s">
        <v>122</v>
      </c>
      <c r="O3405" t="s">
        <v>122</v>
      </c>
      <c r="P3405" t="s">
        <v>1403</v>
      </c>
      <c r="Q3405" s="1" t="s">
        <v>2281</v>
      </c>
      <c r="R3405" s="1" t="s">
        <v>122</v>
      </c>
      <c r="S3405" s="1" t="s">
        <v>2294</v>
      </c>
      <c r="X3405" t="s">
        <v>161</v>
      </c>
      <c r="Y3405" t="s">
        <v>2272</v>
      </c>
      <c r="Z3405" t="s">
        <v>2272</v>
      </c>
      <c r="AA3405" t="s">
        <v>2272</v>
      </c>
      <c r="AB3405" t="s">
        <v>2272</v>
      </c>
      <c r="AC3405" s="1" t="s">
        <v>162</v>
      </c>
      <c r="AD3405" t="s">
        <v>2272</v>
      </c>
      <c r="AH3405" s="4" t="s">
        <v>49</v>
      </c>
      <c r="AI3405" t="s">
        <v>49</v>
      </c>
      <c r="AM3405" t="s">
        <v>1874</v>
      </c>
      <c r="AN3405" t="s">
        <v>154</v>
      </c>
    </row>
    <row r="3406" spans="1:43" x14ac:dyDescent="0.2">
      <c r="A3406" t="s">
        <v>1875</v>
      </c>
      <c r="B3406" t="s">
        <v>1876</v>
      </c>
      <c r="C3406">
        <v>2010</v>
      </c>
      <c r="D3406" t="s">
        <v>811</v>
      </c>
      <c r="F3406" t="s">
        <v>1877</v>
      </c>
      <c r="G3406" s="1" t="s">
        <v>271</v>
      </c>
      <c r="H3406" t="s">
        <v>96</v>
      </c>
      <c r="I3406">
        <v>2006</v>
      </c>
      <c r="J3406">
        <f t="shared" ref="J3406:J3417" si="80">18/12</f>
        <v>1.5</v>
      </c>
      <c r="K3406" t="s">
        <v>109</v>
      </c>
      <c r="M3406">
        <v>0.25</v>
      </c>
      <c r="N3406" t="s">
        <v>760</v>
      </c>
      <c r="O3406" t="s">
        <v>760</v>
      </c>
      <c r="P3406" t="s">
        <v>1878</v>
      </c>
      <c r="Q3406" s="1" t="s">
        <v>2292</v>
      </c>
      <c r="R3406" s="1" t="s">
        <v>760</v>
      </c>
      <c r="S3406" s="1" t="s">
        <v>760</v>
      </c>
      <c r="T3406" t="s">
        <v>421</v>
      </c>
      <c r="U3406" t="s">
        <v>421</v>
      </c>
      <c r="X3406" t="s">
        <v>161</v>
      </c>
      <c r="Y3406" t="s">
        <v>2272</v>
      </c>
      <c r="Z3406" t="s">
        <v>2272</v>
      </c>
      <c r="AA3406" t="s">
        <v>2272</v>
      </c>
      <c r="AB3406" t="s">
        <v>2272</v>
      </c>
      <c r="AC3406" s="1" t="s">
        <v>162</v>
      </c>
      <c r="AD3406" t="s">
        <v>2272</v>
      </c>
      <c r="AF3406" t="s">
        <v>49</v>
      </c>
      <c r="AI3406" t="s">
        <v>49</v>
      </c>
      <c r="AM3406" s="1" t="s">
        <v>201</v>
      </c>
      <c r="AN3406" s="1" t="s">
        <v>154</v>
      </c>
      <c r="AP3406" s="1"/>
      <c r="AQ3406" s="5">
        <v>1</v>
      </c>
    </row>
    <row r="3407" spans="1:43" x14ac:dyDescent="0.2">
      <c r="A3407" t="s">
        <v>1875</v>
      </c>
      <c r="B3407" t="s">
        <v>1876</v>
      </c>
      <c r="C3407">
        <v>2010</v>
      </c>
      <c r="D3407" t="s">
        <v>811</v>
      </c>
      <c r="F3407" t="s">
        <v>1877</v>
      </c>
      <c r="G3407" s="1" t="s">
        <v>271</v>
      </c>
      <c r="H3407" t="s">
        <v>96</v>
      </c>
      <c r="I3407">
        <v>2006</v>
      </c>
      <c r="J3407">
        <f t="shared" si="80"/>
        <v>1.5</v>
      </c>
      <c r="K3407" t="s">
        <v>109</v>
      </c>
      <c r="M3407">
        <v>0.25</v>
      </c>
      <c r="N3407" t="s">
        <v>760</v>
      </c>
      <c r="O3407" t="s">
        <v>760</v>
      </c>
      <c r="P3407" t="s">
        <v>1878</v>
      </c>
      <c r="Q3407" s="1" t="s">
        <v>2292</v>
      </c>
      <c r="R3407" s="1" t="s">
        <v>760</v>
      </c>
      <c r="S3407" s="1" t="s">
        <v>760</v>
      </c>
      <c r="T3407" t="s">
        <v>421</v>
      </c>
      <c r="U3407" t="s">
        <v>421</v>
      </c>
      <c r="X3407" t="s">
        <v>161</v>
      </c>
      <c r="Y3407" t="s">
        <v>2272</v>
      </c>
      <c r="Z3407" t="s">
        <v>2272</v>
      </c>
      <c r="AA3407" t="s">
        <v>2272</v>
      </c>
      <c r="AB3407" t="s">
        <v>2272</v>
      </c>
      <c r="AC3407" s="1" t="s">
        <v>162</v>
      </c>
      <c r="AD3407" t="s">
        <v>2272</v>
      </c>
      <c r="AF3407" t="s">
        <v>49</v>
      </c>
      <c r="AI3407" t="s">
        <v>49</v>
      </c>
      <c r="AM3407" s="1" t="s">
        <v>201</v>
      </c>
      <c r="AN3407" s="1" t="s">
        <v>166</v>
      </c>
      <c r="AP3407" s="1"/>
      <c r="AQ3407" s="5">
        <v>0</v>
      </c>
    </row>
    <row r="3408" spans="1:43" x14ac:dyDescent="0.2">
      <c r="A3408" t="s">
        <v>1875</v>
      </c>
      <c r="B3408" t="s">
        <v>1876</v>
      </c>
      <c r="C3408">
        <v>2010</v>
      </c>
      <c r="D3408" t="s">
        <v>811</v>
      </c>
      <c r="F3408" t="s">
        <v>1877</v>
      </c>
      <c r="G3408" s="1" t="s">
        <v>271</v>
      </c>
      <c r="H3408" t="s">
        <v>96</v>
      </c>
      <c r="I3408">
        <v>2006</v>
      </c>
      <c r="J3408">
        <f t="shared" si="80"/>
        <v>1.5</v>
      </c>
      <c r="K3408" t="s">
        <v>109</v>
      </c>
      <c r="M3408">
        <v>0.25</v>
      </c>
      <c r="N3408" t="s">
        <v>760</v>
      </c>
      <c r="O3408" t="s">
        <v>760</v>
      </c>
      <c r="P3408" t="s">
        <v>1878</v>
      </c>
      <c r="Q3408" s="1" t="s">
        <v>2292</v>
      </c>
      <c r="R3408" s="1" t="s">
        <v>760</v>
      </c>
      <c r="S3408" s="1" t="s">
        <v>760</v>
      </c>
      <c r="T3408" t="s">
        <v>421</v>
      </c>
      <c r="U3408" t="s">
        <v>421</v>
      </c>
      <c r="X3408" t="s">
        <v>161</v>
      </c>
      <c r="Y3408" t="s">
        <v>2272</v>
      </c>
      <c r="Z3408" t="s">
        <v>2272</v>
      </c>
      <c r="AA3408" t="s">
        <v>2272</v>
      </c>
      <c r="AB3408" t="s">
        <v>2272</v>
      </c>
      <c r="AC3408" s="1" t="s">
        <v>162</v>
      </c>
      <c r="AD3408" t="s">
        <v>2272</v>
      </c>
      <c r="AF3408" t="s">
        <v>49</v>
      </c>
      <c r="AL3408" t="s">
        <v>49</v>
      </c>
      <c r="AM3408" t="s">
        <v>1879</v>
      </c>
      <c r="AN3408" s="1" t="s">
        <v>166</v>
      </c>
      <c r="AP3408" s="1"/>
      <c r="AQ3408" s="5">
        <v>2</v>
      </c>
    </row>
    <row r="3409" spans="1:43" x14ac:dyDescent="0.2">
      <c r="A3409" t="s">
        <v>1875</v>
      </c>
      <c r="B3409" t="s">
        <v>1876</v>
      </c>
      <c r="C3409">
        <v>2010</v>
      </c>
      <c r="D3409" t="s">
        <v>811</v>
      </c>
      <c r="F3409" t="s">
        <v>1877</v>
      </c>
      <c r="G3409" s="1" t="s">
        <v>271</v>
      </c>
      <c r="H3409" t="s">
        <v>96</v>
      </c>
      <c r="I3409">
        <v>2006</v>
      </c>
      <c r="J3409">
        <f t="shared" si="80"/>
        <v>1.5</v>
      </c>
      <c r="K3409" t="s">
        <v>109</v>
      </c>
      <c r="M3409">
        <v>0.25</v>
      </c>
      <c r="N3409" t="s">
        <v>760</v>
      </c>
      <c r="O3409" t="s">
        <v>760</v>
      </c>
      <c r="P3409" t="s">
        <v>1878</v>
      </c>
      <c r="Q3409" s="1" t="s">
        <v>2292</v>
      </c>
      <c r="R3409" s="1" t="s">
        <v>760</v>
      </c>
      <c r="S3409" s="1" t="s">
        <v>760</v>
      </c>
      <c r="T3409" t="s">
        <v>421</v>
      </c>
      <c r="U3409" t="s">
        <v>421</v>
      </c>
      <c r="X3409" t="s">
        <v>161</v>
      </c>
      <c r="Y3409" t="s">
        <v>2272</v>
      </c>
      <c r="Z3409" t="s">
        <v>2272</v>
      </c>
      <c r="AA3409" t="s">
        <v>2272</v>
      </c>
      <c r="AB3409" t="s">
        <v>2272</v>
      </c>
      <c r="AC3409" s="1" t="s">
        <v>162</v>
      </c>
      <c r="AD3409" t="s">
        <v>2272</v>
      </c>
      <c r="AF3409" t="s">
        <v>49</v>
      </c>
      <c r="AL3409" t="s">
        <v>49</v>
      </c>
      <c r="AM3409" t="s">
        <v>1880</v>
      </c>
      <c r="AN3409" s="1" t="s">
        <v>166</v>
      </c>
      <c r="AP3409" s="1"/>
      <c r="AQ3409" s="5">
        <v>0</v>
      </c>
    </row>
    <row r="3410" spans="1:43" x14ac:dyDescent="0.2">
      <c r="A3410" t="s">
        <v>1875</v>
      </c>
      <c r="B3410" t="s">
        <v>1876</v>
      </c>
      <c r="C3410">
        <v>2010</v>
      </c>
      <c r="D3410" t="s">
        <v>811</v>
      </c>
      <c r="F3410" t="s">
        <v>1877</v>
      </c>
      <c r="G3410" s="1" t="s">
        <v>271</v>
      </c>
      <c r="H3410" t="s">
        <v>96</v>
      </c>
      <c r="I3410">
        <v>2006</v>
      </c>
      <c r="J3410">
        <f t="shared" si="80"/>
        <v>1.5</v>
      </c>
      <c r="K3410" t="s">
        <v>109</v>
      </c>
      <c r="M3410">
        <v>0.25</v>
      </c>
      <c r="N3410" t="s">
        <v>760</v>
      </c>
      <c r="O3410" t="s">
        <v>760</v>
      </c>
      <c r="P3410" t="s">
        <v>1878</v>
      </c>
      <c r="Q3410" s="1" t="s">
        <v>2292</v>
      </c>
      <c r="R3410" s="1" t="s">
        <v>760</v>
      </c>
      <c r="S3410" s="1" t="s">
        <v>760</v>
      </c>
      <c r="T3410" t="s">
        <v>421</v>
      </c>
      <c r="U3410" t="s">
        <v>421</v>
      </c>
      <c r="X3410" t="s">
        <v>161</v>
      </c>
      <c r="Y3410" t="s">
        <v>2272</v>
      </c>
      <c r="Z3410" t="s">
        <v>2272</v>
      </c>
      <c r="AA3410" t="s">
        <v>2272</v>
      </c>
      <c r="AB3410" t="s">
        <v>2272</v>
      </c>
      <c r="AC3410" s="1" t="s">
        <v>162</v>
      </c>
      <c r="AD3410" t="s">
        <v>2272</v>
      </c>
      <c r="AF3410" t="s">
        <v>49</v>
      </c>
      <c r="AL3410" t="s">
        <v>49</v>
      </c>
      <c r="AM3410" t="s">
        <v>1880</v>
      </c>
      <c r="AN3410" s="1" t="s">
        <v>109</v>
      </c>
      <c r="AO3410" t="s">
        <v>228</v>
      </c>
    </row>
    <row r="3411" spans="1:43" x14ac:dyDescent="0.2">
      <c r="A3411" t="s">
        <v>1875</v>
      </c>
      <c r="B3411" t="s">
        <v>1876</v>
      </c>
      <c r="C3411">
        <v>2010</v>
      </c>
      <c r="D3411" t="s">
        <v>811</v>
      </c>
      <c r="F3411" t="s">
        <v>1877</v>
      </c>
      <c r="G3411" s="1" t="s">
        <v>271</v>
      </c>
      <c r="H3411" t="s">
        <v>96</v>
      </c>
      <c r="I3411">
        <v>2006</v>
      </c>
      <c r="J3411">
        <f t="shared" si="80"/>
        <v>1.5</v>
      </c>
      <c r="K3411" t="s">
        <v>109</v>
      </c>
      <c r="M3411">
        <v>0.25</v>
      </c>
      <c r="N3411" t="s">
        <v>760</v>
      </c>
      <c r="O3411" t="s">
        <v>760</v>
      </c>
      <c r="P3411" t="s">
        <v>1878</v>
      </c>
      <c r="Q3411" s="1" t="s">
        <v>2292</v>
      </c>
      <c r="R3411" s="1" t="s">
        <v>760</v>
      </c>
      <c r="S3411" s="1" t="s">
        <v>760</v>
      </c>
      <c r="T3411" t="s">
        <v>421</v>
      </c>
      <c r="U3411" t="s">
        <v>421</v>
      </c>
      <c r="X3411" t="s">
        <v>161</v>
      </c>
      <c r="Y3411" t="s">
        <v>2272</v>
      </c>
      <c r="Z3411" t="s">
        <v>2272</v>
      </c>
      <c r="AA3411" t="s">
        <v>2272</v>
      </c>
      <c r="AB3411" t="s">
        <v>2272</v>
      </c>
      <c r="AC3411" s="1" t="s">
        <v>162</v>
      </c>
      <c r="AD3411" t="s">
        <v>2272</v>
      </c>
      <c r="AF3411" t="s">
        <v>49</v>
      </c>
      <c r="AL3411" t="s">
        <v>49</v>
      </c>
      <c r="AM3411" t="s">
        <v>1881</v>
      </c>
      <c r="AN3411" s="1" t="s">
        <v>166</v>
      </c>
      <c r="AP3411" s="1"/>
      <c r="AQ3411" s="5">
        <v>1</v>
      </c>
    </row>
    <row r="3412" spans="1:43" x14ac:dyDescent="0.2">
      <c r="A3412" t="s">
        <v>1875</v>
      </c>
      <c r="B3412" t="s">
        <v>1876</v>
      </c>
      <c r="C3412">
        <v>2010</v>
      </c>
      <c r="D3412" t="s">
        <v>811</v>
      </c>
      <c r="F3412" t="s">
        <v>1877</v>
      </c>
      <c r="G3412" s="1" t="s">
        <v>271</v>
      </c>
      <c r="H3412" t="s">
        <v>96</v>
      </c>
      <c r="I3412">
        <v>2006</v>
      </c>
      <c r="J3412">
        <f t="shared" si="80"/>
        <v>1.5</v>
      </c>
      <c r="K3412" t="s">
        <v>109</v>
      </c>
      <c r="M3412">
        <v>0.25</v>
      </c>
      <c r="N3412" t="s">
        <v>760</v>
      </c>
      <c r="O3412" t="s">
        <v>760</v>
      </c>
      <c r="P3412" t="s">
        <v>1878</v>
      </c>
      <c r="Q3412" s="1" t="s">
        <v>2292</v>
      </c>
      <c r="R3412" s="1" t="s">
        <v>760</v>
      </c>
      <c r="S3412" s="1" t="s">
        <v>760</v>
      </c>
      <c r="T3412" t="s">
        <v>421</v>
      </c>
      <c r="U3412" t="s">
        <v>421</v>
      </c>
      <c r="X3412" t="s">
        <v>161</v>
      </c>
      <c r="Y3412" t="s">
        <v>2272</v>
      </c>
      <c r="Z3412" t="s">
        <v>2272</v>
      </c>
      <c r="AA3412" t="s">
        <v>2272</v>
      </c>
      <c r="AB3412" t="s">
        <v>2272</v>
      </c>
      <c r="AC3412" s="1" t="s">
        <v>162</v>
      </c>
      <c r="AD3412" t="s">
        <v>2272</v>
      </c>
      <c r="AF3412" t="s">
        <v>49</v>
      </c>
      <c r="AL3412" t="s">
        <v>49</v>
      </c>
      <c r="AM3412" t="s">
        <v>1882</v>
      </c>
      <c r="AN3412" s="1" t="s">
        <v>166</v>
      </c>
      <c r="AP3412" s="1"/>
      <c r="AQ3412" s="5">
        <v>1</v>
      </c>
    </row>
    <row r="3413" spans="1:43" x14ac:dyDescent="0.2">
      <c r="A3413" t="s">
        <v>1875</v>
      </c>
      <c r="B3413" t="s">
        <v>1876</v>
      </c>
      <c r="C3413">
        <v>2010</v>
      </c>
      <c r="D3413" t="s">
        <v>811</v>
      </c>
      <c r="F3413" t="s">
        <v>1877</v>
      </c>
      <c r="G3413" s="1" t="s">
        <v>271</v>
      </c>
      <c r="H3413" t="s">
        <v>96</v>
      </c>
      <c r="I3413">
        <v>2006</v>
      </c>
      <c r="J3413">
        <f t="shared" si="80"/>
        <v>1.5</v>
      </c>
      <c r="K3413" t="s">
        <v>109</v>
      </c>
      <c r="M3413">
        <v>0.25</v>
      </c>
      <c r="N3413" t="s">
        <v>760</v>
      </c>
      <c r="O3413" t="s">
        <v>760</v>
      </c>
      <c r="P3413" t="s">
        <v>1878</v>
      </c>
      <c r="Q3413" s="1" t="s">
        <v>2292</v>
      </c>
      <c r="R3413" s="1" t="s">
        <v>760</v>
      </c>
      <c r="S3413" s="1" t="s">
        <v>760</v>
      </c>
      <c r="T3413" t="s">
        <v>421</v>
      </c>
      <c r="U3413" t="s">
        <v>421</v>
      </c>
      <c r="X3413" t="s">
        <v>161</v>
      </c>
      <c r="Y3413" t="s">
        <v>2272</v>
      </c>
      <c r="Z3413" t="s">
        <v>2272</v>
      </c>
      <c r="AA3413" t="s">
        <v>2272</v>
      </c>
      <c r="AB3413" t="s">
        <v>2272</v>
      </c>
      <c r="AC3413" s="1" t="s">
        <v>162</v>
      </c>
      <c r="AD3413" t="s">
        <v>2272</v>
      </c>
      <c r="AF3413" t="s">
        <v>49</v>
      </c>
      <c r="AL3413" t="s">
        <v>49</v>
      </c>
      <c r="AM3413" t="s">
        <v>1882</v>
      </c>
      <c r="AN3413" s="1" t="s">
        <v>109</v>
      </c>
      <c r="AO3413" t="s">
        <v>1883</v>
      </c>
    </row>
    <row r="3414" spans="1:43" x14ac:dyDescent="0.2">
      <c r="A3414" t="s">
        <v>1875</v>
      </c>
      <c r="B3414" t="s">
        <v>1876</v>
      </c>
      <c r="C3414">
        <v>2010</v>
      </c>
      <c r="D3414" t="s">
        <v>811</v>
      </c>
      <c r="F3414" t="s">
        <v>1877</v>
      </c>
      <c r="G3414" s="1" t="s">
        <v>271</v>
      </c>
      <c r="H3414" t="s">
        <v>96</v>
      </c>
      <c r="I3414">
        <v>2006</v>
      </c>
      <c r="J3414">
        <f t="shared" si="80"/>
        <v>1.5</v>
      </c>
      <c r="K3414" t="s">
        <v>109</v>
      </c>
      <c r="M3414">
        <v>0.25</v>
      </c>
      <c r="N3414" t="s">
        <v>760</v>
      </c>
      <c r="O3414" t="s">
        <v>760</v>
      </c>
      <c r="P3414" t="s">
        <v>1878</v>
      </c>
      <c r="Q3414" s="1" t="s">
        <v>2292</v>
      </c>
      <c r="R3414" s="1" t="s">
        <v>760</v>
      </c>
      <c r="S3414" s="1" t="s">
        <v>760</v>
      </c>
      <c r="T3414" t="s">
        <v>421</v>
      </c>
      <c r="U3414" t="s">
        <v>421</v>
      </c>
      <c r="X3414" t="s">
        <v>161</v>
      </c>
      <c r="Y3414" t="s">
        <v>2272</v>
      </c>
      <c r="Z3414" t="s">
        <v>2272</v>
      </c>
      <c r="AA3414" t="s">
        <v>2272</v>
      </c>
      <c r="AB3414" t="s">
        <v>2272</v>
      </c>
      <c r="AC3414" s="1" t="s">
        <v>162</v>
      </c>
      <c r="AD3414" t="s">
        <v>2272</v>
      </c>
      <c r="AF3414" t="s">
        <v>49</v>
      </c>
      <c r="AL3414" t="s">
        <v>49</v>
      </c>
      <c r="AM3414" t="s">
        <v>1884</v>
      </c>
      <c r="AN3414" s="1" t="s">
        <v>166</v>
      </c>
      <c r="AP3414" s="1"/>
      <c r="AQ3414" s="5">
        <v>1</v>
      </c>
    </row>
    <row r="3415" spans="1:43" x14ac:dyDescent="0.2">
      <c r="A3415" t="s">
        <v>1875</v>
      </c>
      <c r="B3415" t="s">
        <v>1876</v>
      </c>
      <c r="C3415">
        <v>2010</v>
      </c>
      <c r="D3415" t="s">
        <v>811</v>
      </c>
      <c r="F3415" t="s">
        <v>1877</v>
      </c>
      <c r="G3415" s="1" t="s">
        <v>271</v>
      </c>
      <c r="H3415" t="s">
        <v>96</v>
      </c>
      <c r="I3415">
        <v>2006</v>
      </c>
      <c r="J3415">
        <f t="shared" si="80"/>
        <v>1.5</v>
      </c>
      <c r="K3415" t="s">
        <v>109</v>
      </c>
      <c r="M3415">
        <v>0.25</v>
      </c>
      <c r="N3415" t="s">
        <v>760</v>
      </c>
      <c r="O3415" t="s">
        <v>760</v>
      </c>
      <c r="P3415" t="s">
        <v>1878</v>
      </c>
      <c r="Q3415" s="1" t="s">
        <v>2292</v>
      </c>
      <c r="R3415" s="1" t="s">
        <v>760</v>
      </c>
      <c r="S3415" s="1" t="s">
        <v>760</v>
      </c>
      <c r="T3415" t="s">
        <v>421</v>
      </c>
      <c r="U3415" t="s">
        <v>421</v>
      </c>
      <c r="X3415" t="s">
        <v>161</v>
      </c>
      <c r="Y3415" t="s">
        <v>2272</v>
      </c>
      <c r="Z3415" t="s">
        <v>2272</v>
      </c>
      <c r="AA3415" t="s">
        <v>2272</v>
      </c>
      <c r="AB3415" t="s">
        <v>2272</v>
      </c>
      <c r="AC3415" s="1" t="s">
        <v>162</v>
      </c>
      <c r="AD3415" t="s">
        <v>2272</v>
      </c>
      <c r="AG3415" t="s">
        <v>49</v>
      </c>
      <c r="AI3415" t="s">
        <v>49</v>
      </c>
      <c r="AM3415" t="s">
        <v>442</v>
      </c>
      <c r="AN3415" s="1" t="s">
        <v>154</v>
      </c>
      <c r="AP3415" s="1"/>
      <c r="AQ3415" s="5">
        <v>1</v>
      </c>
    </row>
    <row r="3416" spans="1:43" x14ac:dyDescent="0.2">
      <c r="A3416" t="s">
        <v>1875</v>
      </c>
      <c r="B3416" t="s">
        <v>1876</v>
      </c>
      <c r="C3416">
        <v>2010</v>
      </c>
      <c r="D3416" t="s">
        <v>811</v>
      </c>
      <c r="F3416" t="s">
        <v>1877</v>
      </c>
      <c r="G3416" s="1" t="s">
        <v>271</v>
      </c>
      <c r="H3416" t="s">
        <v>96</v>
      </c>
      <c r="I3416">
        <v>2006</v>
      </c>
      <c r="J3416">
        <f t="shared" si="80"/>
        <v>1.5</v>
      </c>
      <c r="K3416" t="s">
        <v>109</v>
      </c>
      <c r="M3416">
        <v>0.25</v>
      </c>
      <c r="N3416" t="s">
        <v>760</v>
      </c>
      <c r="O3416" t="s">
        <v>760</v>
      </c>
      <c r="P3416" t="s">
        <v>1878</v>
      </c>
      <c r="Q3416" s="1" t="s">
        <v>2292</v>
      </c>
      <c r="R3416" s="1" t="s">
        <v>760</v>
      </c>
      <c r="S3416" s="1" t="s">
        <v>760</v>
      </c>
      <c r="T3416" t="s">
        <v>421</v>
      </c>
      <c r="U3416" t="s">
        <v>421</v>
      </c>
      <c r="X3416" t="s">
        <v>161</v>
      </c>
      <c r="Y3416" t="s">
        <v>2272</v>
      </c>
      <c r="Z3416" t="s">
        <v>2272</v>
      </c>
      <c r="AA3416" t="s">
        <v>2272</v>
      </c>
      <c r="AB3416" t="s">
        <v>2272</v>
      </c>
      <c r="AC3416" s="1" t="s">
        <v>162</v>
      </c>
      <c r="AD3416" t="s">
        <v>2272</v>
      </c>
      <c r="AG3416" t="s">
        <v>49</v>
      </c>
      <c r="AI3416" t="s">
        <v>49</v>
      </c>
      <c r="AM3416" t="s">
        <v>442</v>
      </c>
      <c r="AN3416" s="1" t="s">
        <v>166</v>
      </c>
      <c r="AP3416" s="1"/>
      <c r="AQ3416" s="5">
        <v>1</v>
      </c>
    </row>
    <row r="3417" spans="1:43" x14ac:dyDescent="0.2">
      <c r="A3417" t="s">
        <v>1875</v>
      </c>
      <c r="B3417" t="s">
        <v>1876</v>
      </c>
      <c r="C3417">
        <v>2010</v>
      </c>
      <c r="D3417" t="s">
        <v>811</v>
      </c>
      <c r="F3417" t="s">
        <v>1877</v>
      </c>
      <c r="G3417" s="1" t="s">
        <v>271</v>
      </c>
      <c r="H3417" t="s">
        <v>96</v>
      </c>
      <c r="I3417">
        <v>2006</v>
      </c>
      <c r="J3417">
        <f t="shared" si="80"/>
        <v>1.5</v>
      </c>
      <c r="K3417" t="s">
        <v>109</v>
      </c>
      <c r="M3417">
        <v>0.25</v>
      </c>
      <c r="N3417" t="s">
        <v>760</v>
      </c>
      <c r="O3417" t="s">
        <v>760</v>
      </c>
      <c r="P3417" t="s">
        <v>1878</v>
      </c>
      <c r="Q3417" s="1" t="s">
        <v>2292</v>
      </c>
      <c r="R3417" s="1" t="s">
        <v>760</v>
      </c>
      <c r="S3417" s="1" t="s">
        <v>760</v>
      </c>
      <c r="T3417" t="s">
        <v>421</v>
      </c>
      <c r="U3417" t="s">
        <v>421</v>
      </c>
      <c r="X3417" t="s">
        <v>161</v>
      </c>
      <c r="Y3417" t="s">
        <v>2272</v>
      </c>
      <c r="Z3417" t="s">
        <v>2272</v>
      </c>
      <c r="AA3417" t="s">
        <v>2272</v>
      </c>
      <c r="AB3417" t="s">
        <v>2272</v>
      </c>
      <c r="AC3417" s="1" t="s">
        <v>162</v>
      </c>
      <c r="AD3417" t="s">
        <v>2272</v>
      </c>
      <c r="AG3417" t="s">
        <v>49</v>
      </c>
      <c r="AI3417" t="s">
        <v>49</v>
      </c>
      <c r="AM3417" t="s">
        <v>442</v>
      </c>
      <c r="AN3417" s="1" t="s">
        <v>171</v>
      </c>
      <c r="AP3417" s="1"/>
    </row>
    <row r="3418" spans="1:43" x14ac:dyDescent="0.2">
      <c r="A3418" t="s">
        <v>1875</v>
      </c>
      <c r="B3418" t="s">
        <v>1876</v>
      </c>
      <c r="C3418">
        <v>2010</v>
      </c>
      <c r="D3418" t="s">
        <v>811</v>
      </c>
      <c r="F3418" t="s">
        <v>1877</v>
      </c>
      <c r="G3418" s="1" t="s">
        <v>271</v>
      </c>
      <c r="H3418" t="s">
        <v>96</v>
      </c>
      <c r="I3418">
        <v>2006</v>
      </c>
      <c r="J3418">
        <f t="shared" ref="J3418:J3427" si="81">18/12</f>
        <v>1.5</v>
      </c>
      <c r="K3418" t="s">
        <v>109</v>
      </c>
      <c r="M3418">
        <v>0.25</v>
      </c>
      <c r="N3418" t="s">
        <v>760</v>
      </c>
      <c r="O3418" t="s">
        <v>760</v>
      </c>
      <c r="P3418" t="s">
        <v>1878</v>
      </c>
      <c r="Q3418" s="1" t="s">
        <v>2292</v>
      </c>
      <c r="R3418" s="1" t="s">
        <v>760</v>
      </c>
      <c r="S3418" s="1" t="s">
        <v>760</v>
      </c>
      <c r="T3418" t="s">
        <v>421</v>
      </c>
      <c r="U3418" t="s">
        <v>421</v>
      </c>
      <c r="X3418" t="s">
        <v>161</v>
      </c>
      <c r="Y3418" t="s">
        <v>2272</v>
      </c>
      <c r="Z3418" t="s">
        <v>2272</v>
      </c>
      <c r="AA3418" t="s">
        <v>2272</v>
      </c>
      <c r="AB3418" t="s">
        <v>2272</v>
      </c>
      <c r="AC3418" s="1" t="s">
        <v>162</v>
      </c>
      <c r="AD3418" t="s">
        <v>2272</v>
      </c>
      <c r="AF3418" t="s">
        <v>49</v>
      </c>
      <c r="AL3418" t="s">
        <v>49</v>
      </c>
      <c r="AM3418" t="s">
        <v>1882</v>
      </c>
      <c r="AN3418" s="1" t="s">
        <v>109</v>
      </c>
      <c r="AO3418" t="s">
        <v>861</v>
      </c>
    </row>
    <row r="3419" spans="1:43" x14ac:dyDescent="0.2">
      <c r="A3419" t="s">
        <v>1875</v>
      </c>
      <c r="B3419" t="s">
        <v>1876</v>
      </c>
      <c r="C3419">
        <v>2010</v>
      </c>
      <c r="D3419" t="s">
        <v>811</v>
      </c>
      <c r="F3419" t="s">
        <v>1877</v>
      </c>
      <c r="G3419" s="1" t="s">
        <v>271</v>
      </c>
      <c r="H3419" t="s">
        <v>96</v>
      </c>
      <c r="I3419">
        <v>2006</v>
      </c>
      <c r="J3419">
        <f t="shared" si="81"/>
        <v>1.5</v>
      </c>
      <c r="K3419" t="s">
        <v>109</v>
      </c>
      <c r="M3419">
        <v>0.25</v>
      </c>
      <c r="N3419" t="s">
        <v>760</v>
      </c>
      <c r="O3419" t="s">
        <v>760</v>
      </c>
      <c r="P3419" t="s">
        <v>1878</v>
      </c>
      <c r="Q3419" s="1" t="s">
        <v>2292</v>
      </c>
      <c r="R3419" s="1" t="s">
        <v>760</v>
      </c>
      <c r="S3419" s="1" t="s">
        <v>760</v>
      </c>
      <c r="T3419" t="s">
        <v>421</v>
      </c>
      <c r="U3419" t="s">
        <v>421</v>
      </c>
      <c r="X3419" t="s">
        <v>161</v>
      </c>
      <c r="Y3419" t="s">
        <v>2272</v>
      </c>
      <c r="Z3419" t="s">
        <v>2272</v>
      </c>
      <c r="AA3419" t="s">
        <v>2272</v>
      </c>
      <c r="AB3419" t="s">
        <v>2272</v>
      </c>
      <c r="AC3419" s="1" t="s">
        <v>162</v>
      </c>
      <c r="AD3419" t="s">
        <v>2272</v>
      </c>
      <c r="AF3419" t="s">
        <v>49</v>
      </c>
      <c r="AL3419" t="s">
        <v>49</v>
      </c>
      <c r="AM3419" t="s">
        <v>1882</v>
      </c>
      <c r="AN3419" s="1" t="s">
        <v>109</v>
      </c>
      <c r="AO3419" t="s">
        <v>860</v>
      </c>
    </row>
    <row r="3420" spans="1:43" x14ac:dyDescent="0.2">
      <c r="A3420" t="s">
        <v>1875</v>
      </c>
      <c r="B3420" t="s">
        <v>1876</v>
      </c>
      <c r="C3420">
        <v>2010</v>
      </c>
      <c r="D3420" t="s">
        <v>811</v>
      </c>
      <c r="F3420" t="s">
        <v>1877</v>
      </c>
      <c r="G3420" s="1" t="s">
        <v>271</v>
      </c>
      <c r="H3420" t="s">
        <v>96</v>
      </c>
      <c r="I3420">
        <v>2006</v>
      </c>
      <c r="J3420">
        <f t="shared" si="81"/>
        <v>1.5</v>
      </c>
      <c r="K3420" t="s">
        <v>109</v>
      </c>
      <c r="M3420">
        <v>0.25</v>
      </c>
      <c r="N3420" t="s">
        <v>760</v>
      </c>
      <c r="O3420" t="s">
        <v>760</v>
      </c>
      <c r="P3420" t="s">
        <v>1878</v>
      </c>
      <c r="Q3420" s="1" t="s">
        <v>2292</v>
      </c>
      <c r="R3420" s="1" t="s">
        <v>760</v>
      </c>
      <c r="S3420" s="1" t="s">
        <v>760</v>
      </c>
      <c r="T3420" t="s">
        <v>421</v>
      </c>
      <c r="U3420" t="s">
        <v>421</v>
      </c>
      <c r="X3420" t="s">
        <v>161</v>
      </c>
      <c r="Y3420" t="s">
        <v>2272</v>
      </c>
      <c r="Z3420" t="s">
        <v>2272</v>
      </c>
      <c r="AA3420" t="s">
        <v>2272</v>
      </c>
      <c r="AB3420" t="s">
        <v>2272</v>
      </c>
      <c r="AC3420" s="1" t="s">
        <v>162</v>
      </c>
      <c r="AD3420" t="s">
        <v>2272</v>
      </c>
      <c r="AF3420" t="s">
        <v>49</v>
      </c>
      <c r="AL3420" t="s">
        <v>49</v>
      </c>
      <c r="AM3420" t="s">
        <v>1884</v>
      </c>
      <c r="AN3420" s="1" t="s">
        <v>109</v>
      </c>
      <c r="AO3420" t="s">
        <v>861</v>
      </c>
      <c r="AQ3420" s="5">
        <v>2</v>
      </c>
    </row>
    <row r="3421" spans="1:43" x14ac:dyDescent="0.2">
      <c r="A3421" t="s">
        <v>1875</v>
      </c>
      <c r="B3421" t="s">
        <v>1876</v>
      </c>
      <c r="C3421">
        <v>2010</v>
      </c>
      <c r="D3421" t="s">
        <v>811</v>
      </c>
      <c r="F3421" t="s">
        <v>1877</v>
      </c>
      <c r="G3421" s="1" t="s">
        <v>271</v>
      </c>
      <c r="H3421" t="s">
        <v>96</v>
      </c>
      <c r="I3421">
        <v>2006</v>
      </c>
      <c r="J3421">
        <f t="shared" si="81"/>
        <v>1.5</v>
      </c>
      <c r="K3421" t="s">
        <v>109</v>
      </c>
      <c r="M3421">
        <v>0.25</v>
      </c>
      <c r="N3421" t="s">
        <v>760</v>
      </c>
      <c r="O3421" t="s">
        <v>760</v>
      </c>
      <c r="P3421" t="s">
        <v>1878</v>
      </c>
      <c r="Q3421" s="1" t="s">
        <v>2292</v>
      </c>
      <c r="R3421" s="1" t="s">
        <v>760</v>
      </c>
      <c r="S3421" s="1" t="s">
        <v>760</v>
      </c>
      <c r="T3421" t="s">
        <v>421</v>
      </c>
      <c r="U3421" t="s">
        <v>421</v>
      </c>
      <c r="X3421" t="s">
        <v>161</v>
      </c>
      <c r="Y3421" t="s">
        <v>2272</v>
      </c>
      <c r="Z3421" t="s">
        <v>2272</v>
      </c>
      <c r="AA3421" t="s">
        <v>2272</v>
      </c>
      <c r="AB3421" t="s">
        <v>2272</v>
      </c>
      <c r="AC3421" s="1" t="s">
        <v>162</v>
      </c>
      <c r="AD3421" t="s">
        <v>2272</v>
      </c>
      <c r="AF3421" t="s">
        <v>49</v>
      </c>
      <c r="AL3421" t="s">
        <v>49</v>
      </c>
      <c r="AM3421" t="s">
        <v>1884</v>
      </c>
      <c r="AN3421" s="1" t="s">
        <v>109</v>
      </c>
      <c r="AO3421" t="s">
        <v>860</v>
      </c>
    </row>
    <row r="3422" spans="1:43" x14ac:dyDescent="0.2">
      <c r="A3422" t="s">
        <v>1875</v>
      </c>
      <c r="B3422" t="s">
        <v>1876</v>
      </c>
      <c r="C3422">
        <v>2010</v>
      </c>
      <c r="D3422" t="s">
        <v>811</v>
      </c>
      <c r="F3422" t="s">
        <v>1877</v>
      </c>
      <c r="G3422" s="1" t="s">
        <v>271</v>
      </c>
      <c r="H3422" t="s">
        <v>96</v>
      </c>
      <c r="I3422">
        <v>2006</v>
      </c>
      <c r="J3422">
        <f t="shared" si="81"/>
        <v>1.5</v>
      </c>
      <c r="K3422" t="s">
        <v>109</v>
      </c>
      <c r="M3422">
        <v>0.25</v>
      </c>
      <c r="N3422" t="s">
        <v>760</v>
      </c>
      <c r="O3422" t="s">
        <v>760</v>
      </c>
      <c r="P3422" t="s">
        <v>1878</v>
      </c>
      <c r="Q3422" s="1" t="s">
        <v>2292</v>
      </c>
      <c r="R3422" s="1" t="s">
        <v>760</v>
      </c>
      <c r="S3422" s="1" t="s">
        <v>760</v>
      </c>
      <c r="T3422" t="s">
        <v>421</v>
      </c>
      <c r="U3422" t="s">
        <v>421</v>
      </c>
      <c r="X3422" t="s">
        <v>161</v>
      </c>
      <c r="Y3422" t="s">
        <v>2272</v>
      </c>
      <c r="Z3422" t="s">
        <v>2272</v>
      </c>
      <c r="AA3422" t="s">
        <v>2272</v>
      </c>
      <c r="AB3422" t="s">
        <v>2272</v>
      </c>
      <c r="AC3422" s="1" t="s">
        <v>162</v>
      </c>
      <c r="AD3422" t="s">
        <v>2272</v>
      </c>
      <c r="AF3422" t="s">
        <v>49</v>
      </c>
      <c r="AL3422" t="s">
        <v>49</v>
      </c>
      <c r="AM3422" t="s">
        <v>1879</v>
      </c>
      <c r="AN3422" s="1" t="s">
        <v>109</v>
      </c>
      <c r="AO3422" t="s">
        <v>861</v>
      </c>
    </row>
    <row r="3423" spans="1:43" x14ac:dyDescent="0.2">
      <c r="A3423" t="s">
        <v>1875</v>
      </c>
      <c r="B3423" t="s">
        <v>1876</v>
      </c>
      <c r="C3423">
        <v>2010</v>
      </c>
      <c r="D3423" t="s">
        <v>811</v>
      </c>
      <c r="F3423" t="s">
        <v>1877</v>
      </c>
      <c r="G3423" s="1" t="s">
        <v>271</v>
      </c>
      <c r="H3423" t="s">
        <v>96</v>
      </c>
      <c r="I3423">
        <v>2006</v>
      </c>
      <c r="J3423">
        <f t="shared" si="81"/>
        <v>1.5</v>
      </c>
      <c r="K3423" t="s">
        <v>109</v>
      </c>
      <c r="M3423">
        <v>0.25</v>
      </c>
      <c r="N3423" t="s">
        <v>760</v>
      </c>
      <c r="O3423" t="s">
        <v>760</v>
      </c>
      <c r="P3423" t="s">
        <v>1878</v>
      </c>
      <c r="Q3423" s="1" t="s">
        <v>2292</v>
      </c>
      <c r="R3423" s="1" t="s">
        <v>760</v>
      </c>
      <c r="S3423" s="1" t="s">
        <v>760</v>
      </c>
      <c r="T3423" t="s">
        <v>421</v>
      </c>
      <c r="U3423" t="s">
        <v>421</v>
      </c>
      <c r="X3423" t="s">
        <v>161</v>
      </c>
      <c r="Y3423" t="s">
        <v>2272</v>
      </c>
      <c r="Z3423" t="s">
        <v>2272</v>
      </c>
      <c r="AA3423" t="s">
        <v>2272</v>
      </c>
      <c r="AB3423" t="s">
        <v>2272</v>
      </c>
      <c r="AC3423" s="1" t="s">
        <v>162</v>
      </c>
      <c r="AD3423" t="s">
        <v>2272</v>
      </c>
      <c r="AF3423" t="s">
        <v>49</v>
      </c>
      <c r="AL3423" t="s">
        <v>49</v>
      </c>
      <c r="AM3423" t="s">
        <v>1879</v>
      </c>
      <c r="AN3423" s="1" t="s">
        <v>109</v>
      </c>
      <c r="AO3423" t="s">
        <v>860</v>
      </c>
    </row>
    <row r="3424" spans="1:43" x14ac:dyDescent="0.2">
      <c r="A3424" t="s">
        <v>1875</v>
      </c>
      <c r="B3424" t="s">
        <v>1876</v>
      </c>
      <c r="C3424">
        <v>2010</v>
      </c>
      <c r="D3424" t="s">
        <v>811</v>
      </c>
      <c r="F3424" t="s">
        <v>1877</v>
      </c>
      <c r="G3424" s="1" t="s">
        <v>271</v>
      </c>
      <c r="H3424" t="s">
        <v>96</v>
      </c>
      <c r="I3424">
        <v>2006</v>
      </c>
      <c r="J3424">
        <f t="shared" si="81"/>
        <v>1.5</v>
      </c>
      <c r="K3424" t="s">
        <v>109</v>
      </c>
      <c r="M3424">
        <v>0.25</v>
      </c>
      <c r="N3424" t="s">
        <v>760</v>
      </c>
      <c r="O3424" t="s">
        <v>760</v>
      </c>
      <c r="P3424" t="s">
        <v>1878</v>
      </c>
      <c r="Q3424" s="1" t="s">
        <v>2292</v>
      </c>
      <c r="R3424" s="1" t="s">
        <v>760</v>
      </c>
      <c r="S3424" s="1" t="s">
        <v>760</v>
      </c>
      <c r="T3424" t="s">
        <v>421</v>
      </c>
      <c r="U3424" t="s">
        <v>421</v>
      </c>
      <c r="X3424" t="s">
        <v>161</v>
      </c>
      <c r="Y3424" t="s">
        <v>2272</v>
      </c>
      <c r="Z3424" t="s">
        <v>2272</v>
      </c>
      <c r="AA3424" t="s">
        <v>2272</v>
      </c>
      <c r="AB3424" t="s">
        <v>2272</v>
      </c>
      <c r="AC3424" s="1" t="s">
        <v>162</v>
      </c>
      <c r="AD3424" t="s">
        <v>2272</v>
      </c>
      <c r="AF3424" t="s">
        <v>49</v>
      </c>
      <c r="AL3424" t="s">
        <v>49</v>
      </c>
      <c r="AM3424" t="s">
        <v>1885</v>
      </c>
      <c r="AN3424" s="1" t="s">
        <v>109</v>
      </c>
      <c r="AO3424" t="s">
        <v>861</v>
      </c>
    </row>
    <row r="3425" spans="1:43" x14ac:dyDescent="0.2">
      <c r="A3425" t="s">
        <v>1875</v>
      </c>
      <c r="B3425" t="s">
        <v>1876</v>
      </c>
      <c r="C3425">
        <v>2010</v>
      </c>
      <c r="D3425" t="s">
        <v>811</v>
      </c>
      <c r="F3425" t="s">
        <v>1877</v>
      </c>
      <c r="G3425" s="1" t="s">
        <v>271</v>
      </c>
      <c r="H3425" t="s">
        <v>96</v>
      </c>
      <c r="I3425">
        <v>2006</v>
      </c>
      <c r="J3425">
        <f t="shared" si="81"/>
        <v>1.5</v>
      </c>
      <c r="K3425" t="s">
        <v>109</v>
      </c>
      <c r="M3425">
        <v>0.25</v>
      </c>
      <c r="N3425" t="s">
        <v>760</v>
      </c>
      <c r="O3425" t="s">
        <v>760</v>
      </c>
      <c r="P3425" t="s">
        <v>1878</v>
      </c>
      <c r="Q3425" s="1" t="s">
        <v>2292</v>
      </c>
      <c r="R3425" s="1" t="s">
        <v>760</v>
      </c>
      <c r="S3425" s="1" t="s">
        <v>760</v>
      </c>
      <c r="T3425" t="s">
        <v>421</v>
      </c>
      <c r="U3425" t="s">
        <v>421</v>
      </c>
      <c r="X3425" t="s">
        <v>161</v>
      </c>
      <c r="Y3425" t="s">
        <v>2272</v>
      </c>
      <c r="Z3425" t="s">
        <v>2272</v>
      </c>
      <c r="AA3425" t="s">
        <v>2272</v>
      </c>
      <c r="AB3425" t="s">
        <v>2272</v>
      </c>
      <c r="AC3425" s="1" t="s">
        <v>162</v>
      </c>
      <c r="AD3425" t="s">
        <v>2272</v>
      </c>
      <c r="AF3425" t="s">
        <v>49</v>
      </c>
      <c r="AL3425" t="s">
        <v>49</v>
      </c>
      <c r="AM3425" t="s">
        <v>1885</v>
      </c>
      <c r="AN3425" s="1" t="s">
        <v>109</v>
      </c>
      <c r="AO3425" t="s">
        <v>860</v>
      </c>
    </row>
    <row r="3426" spans="1:43" x14ac:dyDescent="0.2">
      <c r="A3426" t="s">
        <v>1875</v>
      </c>
      <c r="B3426" t="s">
        <v>1876</v>
      </c>
      <c r="C3426">
        <v>2010</v>
      </c>
      <c r="D3426" t="s">
        <v>811</v>
      </c>
      <c r="F3426" t="s">
        <v>1877</v>
      </c>
      <c r="G3426" s="1" t="s">
        <v>271</v>
      </c>
      <c r="H3426" t="s">
        <v>96</v>
      </c>
      <c r="I3426">
        <v>2006</v>
      </c>
      <c r="J3426">
        <f t="shared" si="81"/>
        <v>1.5</v>
      </c>
      <c r="K3426" t="s">
        <v>109</v>
      </c>
      <c r="M3426">
        <v>0.25</v>
      </c>
      <c r="N3426" t="s">
        <v>760</v>
      </c>
      <c r="O3426" t="s">
        <v>760</v>
      </c>
      <c r="P3426" t="s">
        <v>1878</v>
      </c>
      <c r="Q3426" s="1" t="s">
        <v>2292</v>
      </c>
      <c r="R3426" s="1" t="s">
        <v>760</v>
      </c>
      <c r="S3426" s="1" t="s">
        <v>760</v>
      </c>
      <c r="T3426" t="s">
        <v>421</v>
      </c>
      <c r="U3426" t="s">
        <v>421</v>
      </c>
      <c r="X3426" t="s">
        <v>161</v>
      </c>
      <c r="Y3426" t="s">
        <v>2272</v>
      </c>
      <c r="Z3426" t="s">
        <v>2272</v>
      </c>
      <c r="AA3426" t="s">
        <v>2272</v>
      </c>
      <c r="AB3426" t="s">
        <v>2272</v>
      </c>
      <c r="AC3426" s="1" t="s">
        <v>162</v>
      </c>
      <c r="AD3426" t="s">
        <v>2272</v>
      </c>
      <c r="AF3426" t="s">
        <v>49</v>
      </c>
      <c r="AL3426" t="s">
        <v>49</v>
      </c>
      <c r="AM3426" t="s">
        <v>1880</v>
      </c>
      <c r="AN3426" s="1" t="s">
        <v>109</v>
      </c>
      <c r="AO3426" t="s">
        <v>861</v>
      </c>
    </row>
    <row r="3427" spans="1:43" x14ac:dyDescent="0.2">
      <c r="A3427" t="s">
        <v>1875</v>
      </c>
      <c r="B3427" t="s">
        <v>1876</v>
      </c>
      <c r="C3427">
        <v>2010</v>
      </c>
      <c r="D3427" t="s">
        <v>811</v>
      </c>
      <c r="F3427" t="s">
        <v>1877</v>
      </c>
      <c r="G3427" s="1" t="s">
        <v>271</v>
      </c>
      <c r="H3427" t="s">
        <v>96</v>
      </c>
      <c r="I3427">
        <v>2006</v>
      </c>
      <c r="J3427">
        <f t="shared" si="81"/>
        <v>1.5</v>
      </c>
      <c r="K3427" t="s">
        <v>109</v>
      </c>
      <c r="M3427">
        <v>0.25</v>
      </c>
      <c r="N3427" t="s">
        <v>760</v>
      </c>
      <c r="O3427" t="s">
        <v>760</v>
      </c>
      <c r="P3427" t="s">
        <v>1878</v>
      </c>
      <c r="Q3427" s="1" t="s">
        <v>2292</v>
      </c>
      <c r="R3427" s="1" t="s">
        <v>760</v>
      </c>
      <c r="S3427" s="1" t="s">
        <v>760</v>
      </c>
      <c r="T3427" t="s">
        <v>421</v>
      </c>
      <c r="U3427" t="s">
        <v>421</v>
      </c>
      <c r="X3427" t="s">
        <v>161</v>
      </c>
      <c r="Y3427" t="s">
        <v>2272</v>
      </c>
      <c r="Z3427" t="s">
        <v>2272</v>
      </c>
      <c r="AA3427" t="s">
        <v>2272</v>
      </c>
      <c r="AB3427" t="s">
        <v>2272</v>
      </c>
      <c r="AC3427" s="1" t="s">
        <v>162</v>
      </c>
      <c r="AD3427" t="s">
        <v>2272</v>
      </c>
      <c r="AF3427" t="s">
        <v>49</v>
      </c>
      <c r="AL3427" t="s">
        <v>49</v>
      </c>
      <c r="AM3427" t="s">
        <v>1880</v>
      </c>
      <c r="AN3427" s="1" t="s">
        <v>109</v>
      </c>
      <c r="AO3427" t="s">
        <v>860</v>
      </c>
    </row>
    <row r="3428" spans="1:43" x14ac:dyDescent="0.2">
      <c r="A3428" t="s">
        <v>1886</v>
      </c>
      <c r="B3428" t="s">
        <v>1808</v>
      </c>
      <c r="C3428">
        <v>2010</v>
      </c>
      <c r="D3428" t="s">
        <v>44</v>
      </c>
      <c r="F3428" t="s">
        <v>54</v>
      </c>
      <c r="G3428" s="1" t="s">
        <v>86</v>
      </c>
      <c r="H3428" t="s">
        <v>350</v>
      </c>
      <c r="I3428">
        <v>2007</v>
      </c>
      <c r="K3428" t="s">
        <v>101</v>
      </c>
      <c r="M3428">
        <f t="shared" ref="M3428:M3473" si="82">0.2*0.2</f>
        <v>4.0000000000000008E-2</v>
      </c>
      <c r="N3428" t="s">
        <v>123</v>
      </c>
      <c r="O3428" t="s">
        <v>123</v>
      </c>
      <c r="P3428" t="s">
        <v>518</v>
      </c>
      <c r="Q3428" s="1" t="s">
        <v>2281</v>
      </c>
      <c r="R3428" s="1" t="s">
        <v>2282</v>
      </c>
      <c r="S3428" s="1" t="s">
        <v>123</v>
      </c>
      <c r="X3428" t="s">
        <v>502</v>
      </c>
      <c r="Y3428" t="s">
        <v>2279</v>
      </c>
      <c r="Z3428" t="s">
        <v>2280</v>
      </c>
      <c r="AA3428" t="s">
        <v>2358</v>
      </c>
      <c r="AB3428" t="s">
        <v>2459</v>
      </c>
      <c r="AC3428" s="1" t="s">
        <v>162</v>
      </c>
      <c r="AD3428" t="s">
        <v>2278</v>
      </c>
      <c r="AF3428" t="s">
        <v>49</v>
      </c>
      <c r="AI3428" t="s">
        <v>49</v>
      </c>
      <c r="AM3428" s="1" t="s">
        <v>1135</v>
      </c>
      <c r="AN3428" s="1" t="s">
        <v>154</v>
      </c>
      <c r="AP3428" s="1" t="s">
        <v>157</v>
      </c>
    </row>
    <row r="3429" spans="1:43" x14ac:dyDescent="0.2">
      <c r="A3429" t="s">
        <v>1886</v>
      </c>
      <c r="B3429" t="s">
        <v>1808</v>
      </c>
      <c r="C3429">
        <v>2010</v>
      </c>
      <c r="D3429" t="s">
        <v>44</v>
      </c>
      <c r="F3429" t="s">
        <v>54</v>
      </c>
      <c r="G3429" s="1" t="s">
        <v>86</v>
      </c>
      <c r="H3429" t="s">
        <v>350</v>
      </c>
      <c r="I3429">
        <v>2007</v>
      </c>
      <c r="K3429" t="s">
        <v>101</v>
      </c>
      <c r="M3429">
        <f t="shared" si="82"/>
        <v>4.0000000000000008E-2</v>
      </c>
      <c r="N3429" t="s">
        <v>123</v>
      </c>
      <c r="O3429" t="s">
        <v>123</v>
      </c>
      <c r="P3429" t="s">
        <v>518</v>
      </c>
      <c r="Q3429" s="1" t="s">
        <v>2281</v>
      </c>
      <c r="R3429" s="1" t="s">
        <v>2282</v>
      </c>
      <c r="S3429" s="1" t="s">
        <v>123</v>
      </c>
      <c r="T3429" t="s">
        <v>396</v>
      </c>
      <c r="U3429" t="s">
        <v>168</v>
      </c>
      <c r="X3429" t="s">
        <v>161</v>
      </c>
      <c r="Y3429" t="s">
        <v>2272</v>
      </c>
      <c r="Z3429" t="s">
        <v>2272</v>
      </c>
      <c r="AA3429" t="s">
        <v>2272</v>
      </c>
      <c r="AB3429" t="s">
        <v>2272</v>
      </c>
      <c r="AC3429" s="1" t="s">
        <v>162</v>
      </c>
      <c r="AD3429" t="s">
        <v>2272</v>
      </c>
      <c r="AF3429" t="s">
        <v>49</v>
      </c>
      <c r="AI3429" t="s">
        <v>49</v>
      </c>
      <c r="AM3429" s="1" t="s">
        <v>1135</v>
      </c>
      <c r="AN3429" s="1" t="s">
        <v>154</v>
      </c>
      <c r="AP3429" s="1"/>
      <c r="AQ3429" s="5">
        <v>1</v>
      </c>
    </row>
    <row r="3430" spans="1:43" x14ac:dyDescent="0.2">
      <c r="A3430" t="s">
        <v>1886</v>
      </c>
      <c r="B3430" t="s">
        <v>1808</v>
      </c>
      <c r="C3430">
        <v>2010</v>
      </c>
      <c r="D3430" t="s">
        <v>44</v>
      </c>
      <c r="F3430" t="s">
        <v>54</v>
      </c>
      <c r="G3430" s="1" t="s">
        <v>86</v>
      </c>
      <c r="H3430" t="s">
        <v>350</v>
      </c>
      <c r="I3430">
        <v>2007</v>
      </c>
      <c r="K3430" t="s">
        <v>101</v>
      </c>
      <c r="M3430">
        <f t="shared" si="82"/>
        <v>4.0000000000000008E-2</v>
      </c>
      <c r="N3430" t="s">
        <v>132</v>
      </c>
      <c r="O3430" t="s">
        <v>132</v>
      </c>
      <c r="P3430" t="s">
        <v>169</v>
      </c>
      <c r="Q3430" s="1" t="s">
        <v>2276</v>
      </c>
      <c r="R3430" s="1" t="s">
        <v>669</v>
      </c>
      <c r="S3430" s="1" t="s">
        <v>168</v>
      </c>
      <c r="T3430" t="s">
        <v>396</v>
      </c>
      <c r="U3430" t="s">
        <v>123</v>
      </c>
      <c r="X3430" t="s">
        <v>161</v>
      </c>
      <c r="Y3430" t="s">
        <v>2272</v>
      </c>
      <c r="Z3430" t="s">
        <v>2272</v>
      </c>
      <c r="AA3430" t="s">
        <v>2272</v>
      </c>
      <c r="AB3430" t="s">
        <v>2272</v>
      </c>
      <c r="AC3430" s="1" t="s">
        <v>162</v>
      </c>
      <c r="AD3430" t="s">
        <v>2272</v>
      </c>
      <c r="AF3430" t="s">
        <v>49</v>
      </c>
      <c r="AI3430" t="s">
        <v>49</v>
      </c>
      <c r="AM3430" s="1" t="s">
        <v>1135</v>
      </c>
      <c r="AN3430" s="1" t="s">
        <v>154</v>
      </c>
      <c r="AQ3430" s="5">
        <v>2</v>
      </c>
    </row>
    <row r="3431" spans="1:43" x14ac:dyDescent="0.2">
      <c r="A3431" t="s">
        <v>1886</v>
      </c>
      <c r="B3431" t="s">
        <v>1808</v>
      </c>
      <c r="C3431">
        <v>2010</v>
      </c>
      <c r="D3431" t="s">
        <v>44</v>
      </c>
      <c r="F3431" t="s">
        <v>54</v>
      </c>
      <c r="G3431" s="1" t="s">
        <v>86</v>
      </c>
      <c r="H3431" t="s">
        <v>350</v>
      </c>
      <c r="I3431">
        <v>2007</v>
      </c>
      <c r="K3431" t="s">
        <v>101</v>
      </c>
      <c r="M3431">
        <f t="shared" si="82"/>
        <v>4.0000000000000008E-2</v>
      </c>
      <c r="N3431" t="s">
        <v>123</v>
      </c>
      <c r="O3431" t="s">
        <v>123</v>
      </c>
      <c r="P3431" t="s">
        <v>518</v>
      </c>
      <c r="Q3431" s="1" t="s">
        <v>2281</v>
      </c>
      <c r="R3431" s="1" t="s">
        <v>2282</v>
      </c>
      <c r="S3431" s="1" t="s">
        <v>123</v>
      </c>
      <c r="X3431" t="s">
        <v>502</v>
      </c>
      <c r="Y3431" t="s">
        <v>2279</v>
      </c>
      <c r="Z3431" t="s">
        <v>2280</v>
      </c>
      <c r="AA3431" t="s">
        <v>2358</v>
      </c>
      <c r="AB3431" t="s">
        <v>2459</v>
      </c>
      <c r="AC3431" s="1" t="s">
        <v>162</v>
      </c>
      <c r="AD3431" t="s">
        <v>2278</v>
      </c>
      <c r="AF3431" t="s">
        <v>49</v>
      </c>
      <c r="AI3431" t="s">
        <v>49</v>
      </c>
      <c r="AM3431" s="1" t="s">
        <v>1135</v>
      </c>
      <c r="AN3431" s="1" t="s">
        <v>166</v>
      </c>
      <c r="AP3431" s="1" t="s">
        <v>157</v>
      </c>
    </row>
    <row r="3432" spans="1:43" x14ac:dyDescent="0.2">
      <c r="A3432" t="s">
        <v>1886</v>
      </c>
      <c r="B3432" t="s">
        <v>1808</v>
      </c>
      <c r="C3432">
        <v>2010</v>
      </c>
      <c r="D3432" t="s">
        <v>44</v>
      </c>
      <c r="F3432" t="s">
        <v>54</v>
      </c>
      <c r="G3432" s="1" t="s">
        <v>86</v>
      </c>
      <c r="H3432" t="s">
        <v>350</v>
      </c>
      <c r="I3432">
        <v>2007</v>
      </c>
      <c r="K3432" t="s">
        <v>101</v>
      </c>
      <c r="M3432">
        <f t="shared" si="82"/>
        <v>4.0000000000000008E-2</v>
      </c>
      <c r="N3432" t="s">
        <v>123</v>
      </c>
      <c r="O3432" t="s">
        <v>123</v>
      </c>
      <c r="P3432" t="s">
        <v>518</v>
      </c>
      <c r="Q3432" s="1" t="s">
        <v>2281</v>
      </c>
      <c r="R3432" s="1" t="s">
        <v>2282</v>
      </c>
      <c r="S3432" s="1" t="s">
        <v>123</v>
      </c>
      <c r="T3432" t="s">
        <v>396</v>
      </c>
      <c r="U3432" t="s">
        <v>168</v>
      </c>
      <c r="X3432" t="s">
        <v>161</v>
      </c>
      <c r="Y3432" t="s">
        <v>2272</v>
      </c>
      <c r="Z3432" t="s">
        <v>2272</v>
      </c>
      <c r="AA3432" t="s">
        <v>2272</v>
      </c>
      <c r="AB3432" t="s">
        <v>2272</v>
      </c>
      <c r="AC3432" s="1" t="s">
        <v>162</v>
      </c>
      <c r="AD3432" t="s">
        <v>2272</v>
      </c>
      <c r="AF3432" t="s">
        <v>49</v>
      </c>
      <c r="AI3432" t="s">
        <v>49</v>
      </c>
      <c r="AM3432" s="1" t="s">
        <v>1135</v>
      </c>
      <c r="AN3432" s="1" t="s">
        <v>166</v>
      </c>
      <c r="AP3432" s="1"/>
      <c r="AQ3432" s="5">
        <v>1</v>
      </c>
    </row>
    <row r="3433" spans="1:43" x14ac:dyDescent="0.2">
      <c r="A3433" t="s">
        <v>1886</v>
      </c>
      <c r="B3433" t="s">
        <v>1808</v>
      </c>
      <c r="C3433">
        <v>2010</v>
      </c>
      <c r="D3433" t="s">
        <v>44</v>
      </c>
      <c r="F3433" t="s">
        <v>54</v>
      </c>
      <c r="G3433" s="1" t="s">
        <v>86</v>
      </c>
      <c r="H3433" t="s">
        <v>350</v>
      </c>
      <c r="I3433">
        <v>2007</v>
      </c>
      <c r="K3433" t="s">
        <v>101</v>
      </c>
      <c r="M3433">
        <f t="shared" si="82"/>
        <v>4.0000000000000008E-2</v>
      </c>
      <c r="N3433" t="s">
        <v>132</v>
      </c>
      <c r="O3433" t="s">
        <v>132</v>
      </c>
      <c r="P3433" t="s">
        <v>169</v>
      </c>
      <c r="Q3433" s="1" t="s">
        <v>2276</v>
      </c>
      <c r="R3433" s="1" t="s">
        <v>669</v>
      </c>
      <c r="S3433" s="1" t="s">
        <v>168</v>
      </c>
      <c r="T3433" t="s">
        <v>396</v>
      </c>
      <c r="U3433" t="s">
        <v>123</v>
      </c>
      <c r="X3433" t="s">
        <v>161</v>
      </c>
      <c r="Y3433" t="s">
        <v>2272</v>
      </c>
      <c r="Z3433" t="s">
        <v>2272</v>
      </c>
      <c r="AA3433" t="s">
        <v>2272</v>
      </c>
      <c r="AB3433" t="s">
        <v>2272</v>
      </c>
      <c r="AC3433" s="1" t="s">
        <v>162</v>
      </c>
      <c r="AD3433" t="s">
        <v>2272</v>
      </c>
      <c r="AF3433" t="s">
        <v>49</v>
      </c>
      <c r="AI3433" t="s">
        <v>49</v>
      </c>
      <c r="AM3433" s="1" t="s">
        <v>1135</v>
      </c>
      <c r="AN3433" s="1" t="s">
        <v>166</v>
      </c>
      <c r="AQ3433" s="5">
        <v>2</v>
      </c>
    </row>
    <row r="3434" spans="1:43" x14ac:dyDescent="0.2">
      <c r="A3434" t="s">
        <v>1886</v>
      </c>
      <c r="B3434" t="s">
        <v>1808</v>
      </c>
      <c r="C3434">
        <v>2010</v>
      </c>
      <c r="D3434" t="s">
        <v>811</v>
      </c>
      <c r="F3434" t="s">
        <v>54</v>
      </c>
      <c r="G3434" s="1" t="s">
        <v>86</v>
      </c>
      <c r="H3434" t="s">
        <v>350</v>
      </c>
      <c r="I3434">
        <v>2007</v>
      </c>
      <c r="J3434">
        <v>0.42</v>
      </c>
      <c r="K3434" t="s">
        <v>101</v>
      </c>
      <c r="M3434">
        <f t="shared" si="82"/>
        <v>4.0000000000000008E-2</v>
      </c>
      <c r="N3434" t="s">
        <v>123</v>
      </c>
      <c r="O3434" t="s">
        <v>123</v>
      </c>
      <c r="P3434" t="s">
        <v>518</v>
      </c>
      <c r="Q3434" s="1" t="s">
        <v>2281</v>
      </c>
      <c r="R3434" s="1" t="s">
        <v>2282</v>
      </c>
      <c r="S3434" s="1" t="s">
        <v>123</v>
      </c>
      <c r="X3434" t="s">
        <v>150</v>
      </c>
      <c r="Y3434" t="s">
        <v>2273</v>
      </c>
      <c r="Z3434" t="s">
        <v>249</v>
      </c>
      <c r="AA3434" t="s">
        <v>2359</v>
      </c>
      <c r="AB3434" t="s">
        <v>1419</v>
      </c>
      <c r="AC3434" s="1" t="s">
        <v>152</v>
      </c>
      <c r="AD3434" t="s">
        <v>137</v>
      </c>
      <c r="AF3434" t="s">
        <v>49</v>
      </c>
      <c r="AI3434" t="s">
        <v>49</v>
      </c>
      <c r="AM3434" s="1" t="s">
        <v>1135</v>
      </c>
      <c r="AN3434" s="1" t="s">
        <v>154</v>
      </c>
      <c r="AP3434" s="1" t="s">
        <v>51</v>
      </c>
    </row>
    <row r="3435" spans="1:43" x14ac:dyDescent="0.2">
      <c r="A3435" t="s">
        <v>1886</v>
      </c>
      <c r="B3435" t="s">
        <v>1808</v>
      </c>
      <c r="C3435">
        <v>2010</v>
      </c>
      <c r="D3435" t="s">
        <v>811</v>
      </c>
      <c r="F3435" t="s">
        <v>54</v>
      </c>
      <c r="G3435" s="1" t="s">
        <v>86</v>
      </c>
      <c r="H3435" t="s">
        <v>350</v>
      </c>
      <c r="I3435">
        <v>2007</v>
      </c>
      <c r="J3435">
        <v>0.42</v>
      </c>
      <c r="K3435" t="s">
        <v>101</v>
      </c>
      <c r="M3435">
        <f t="shared" si="82"/>
        <v>4.0000000000000008E-2</v>
      </c>
      <c r="N3435" t="s">
        <v>123</v>
      </c>
      <c r="O3435" t="s">
        <v>123</v>
      </c>
      <c r="P3435" t="s">
        <v>518</v>
      </c>
      <c r="Q3435" s="1" t="s">
        <v>2281</v>
      </c>
      <c r="R3435" s="1" t="s">
        <v>2282</v>
      </c>
      <c r="S3435" s="1" t="s">
        <v>123</v>
      </c>
      <c r="X3435" t="s">
        <v>490</v>
      </c>
      <c r="Y3435" t="s">
        <v>2279</v>
      </c>
      <c r="Z3435" t="s">
        <v>2280</v>
      </c>
      <c r="AA3435" t="s">
        <v>2358</v>
      </c>
      <c r="AB3435" t="s">
        <v>2459</v>
      </c>
      <c r="AC3435" s="1" t="s">
        <v>152</v>
      </c>
      <c r="AD3435" t="s">
        <v>2278</v>
      </c>
      <c r="AF3435" t="s">
        <v>49</v>
      </c>
      <c r="AI3435" t="s">
        <v>49</v>
      </c>
      <c r="AM3435" s="1" t="s">
        <v>1135</v>
      </c>
      <c r="AN3435" s="1" t="s">
        <v>154</v>
      </c>
      <c r="AP3435" s="1" t="s">
        <v>157</v>
      </c>
    </row>
    <row r="3436" spans="1:43" x14ac:dyDescent="0.2">
      <c r="A3436" t="s">
        <v>1886</v>
      </c>
      <c r="B3436" t="s">
        <v>1808</v>
      </c>
      <c r="C3436">
        <v>2010</v>
      </c>
      <c r="D3436" t="s">
        <v>811</v>
      </c>
      <c r="F3436" t="s">
        <v>54</v>
      </c>
      <c r="G3436" s="1" t="s">
        <v>86</v>
      </c>
      <c r="H3436" t="s">
        <v>350</v>
      </c>
      <c r="I3436">
        <v>2007</v>
      </c>
      <c r="J3436">
        <v>0.42</v>
      </c>
      <c r="K3436" t="s">
        <v>101</v>
      </c>
      <c r="M3436">
        <f t="shared" si="82"/>
        <v>4.0000000000000008E-2</v>
      </c>
      <c r="N3436" t="s">
        <v>123</v>
      </c>
      <c r="O3436" t="s">
        <v>123</v>
      </c>
      <c r="P3436" t="s">
        <v>518</v>
      </c>
      <c r="Q3436" s="1" t="s">
        <v>2281</v>
      </c>
      <c r="R3436" s="1" t="s">
        <v>2282</v>
      </c>
      <c r="S3436" s="1" t="s">
        <v>123</v>
      </c>
      <c r="T3436" t="s">
        <v>421</v>
      </c>
      <c r="U3436" t="s">
        <v>421</v>
      </c>
      <c r="X3436" t="s">
        <v>161</v>
      </c>
      <c r="Y3436" t="s">
        <v>2272</v>
      </c>
      <c r="Z3436" t="s">
        <v>2272</v>
      </c>
      <c r="AA3436" t="s">
        <v>2272</v>
      </c>
      <c r="AB3436" t="s">
        <v>2272</v>
      </c>
      <c r="AC3436" s="1" t="s">
        <v>162</v>
      </c>
      <c r="AD3436" t="s">
        <v>2272</v>
      </c>
      <c r="AF3436" t="s">
        <v>49</v>
      </c>
      <c r="AI3436" t="s">
        <v>49</v>
      </c>
      <c r="AM3436" s="1" t="s">
        <v>1135</v>
      </c>
      <c r="AN3436" s="1" t="s">
        <v>154</v>
      </c>
      <c r="AP3436" s="1" t="s">
        <v>157</v>
      </c>
    </row>
    <row r="3437" spans="1:43" x14ac:dyDescent="0.2">
      <c r="A3437" t="s">
        <v>1886</v>
      </c>
      <c r="B3437" t="s">
        <v>1808</v>
      </c>
      <c r="C3437">
        <v>2010</v>
      </c>
      <c r="D3437" t="s">
        <v>811</v>
      </c>
      <c r="F3437" t="s">
        <v>54</v>
      </c>
      <c r="G3437" s="1" t="s">
        <v>86</v>
      </c>
      <c r="H3437" t="s">
        <v>350</v>
      </c>
      <c r="I3437">
        <v>2007</v>
      </c>
      <c r="J3437">
        <v>0.42</v>
      </c>
      <c r="K3437" t="s">
        <v>101</v>
      </c>
      <c r="M3437">
        <f t="shared" si="82"/>
        <v>4.0000000000000008E-2</v>
      </c>
      <c r="N3437" t="s">
        <v>132</v>
      </c>
      <c r="O3437" t="s">
        <v>132</v>
      </c>
      <c r="P3437" t="s">
        <v>169</v>
      </c>
      <c r="Q3437" s="1" t="s">
        <v>2276</v>
      </c>
      <c r="R3437" s="1" t="s">
        <v>669</v>
      </c>
      <c r="S3437" s="1" t="s">
        <v>168</v>
      </c>
      <c r="T3437" t="s">
        <v>421</v>
      </c>
      <c r="U3437" t="s">
        <v>421</v>
      </c>
      <c r="X3437" t="s">
        <v>161</v>
      </c>
      <c r="Y3437" t="s">
        <v>2272</v>
      </c>
      <c r="Z3437" t="s">
        <v>2272</v>
      </c>
      <c r="AA3437" t="s">
        <v>2272</v>
      </c>
      <c r="AB3437" t="s">
        <v>2272</v>
      </c>
      <c r="AC3437" s="1" t="s">
        <v>162</v>
      </c>
      <c r="AD3437" t="s">
        <v>2272</v>
      </c>
      <c r="AF3437" t="s">
        <v>49</v>
      </c>
      <c r="AI3437" t="s">
        <v>49</v>
      </c>
      <c r="AM3437" s="1" t="s">
        <v>1135</v>
      </c>
      <c r="AN3437" s="1" t="s">
        <v>154</v>
      </c>
      <c r="AP3437" s="1" t="s">
        <v>51</v>
      </c>
    </row>
    <row r="3438" spans="1:43" x14ac:dyDescent="0.2">
      <c r="A3438" t="s">
        <v>1886</v>
      </c>
      <c r="B3438" t="s">
        <v>1808</v>
      </c>
      <c r="C3438">
        <v>2010</v>
      </c>
      <c r="D3438" t="s">
        <v>811</v>
      </c>
      <c r="F3438" t="s">
        <v>54</v>
      </c>
      <c r="G3438" s="1" t="s">
        <v>86</v>
      </c>
      <c r="H3438" t="s">
        <v>350</v>
      </c>
      <c r="I3438">
        <v>2007</v>
      </c>
      <c r="J3438">
        <v>0.42</v>
      </c>
      <c r="K3438" t="s">
        <v>101</v>
      </c>
      <c r="M3438">
        <f t="shared" si="82"/>
        <v>4.0000000000000008E-2</v>
      </c>
      <c r="N3438" t="s">
        <v>127</v>
      </c>
      <c r="O3438" t="s">
        <v>1887</v>
      </c>
      <c r="P3438" t="s">
        <v>1888</v>
      </c>
      <c r="Q3438" s="1" t="s">
        <v>2351</v>
      </c>
      <c r="R3438" s="1" t="s">
        <v>2351</v>
      </c>
      <c r="S3438" s="1" t="s">
        <v>2351</v>
      </c>
      <c r="T3438" t="s">
        <v>421</v>
      </c>
      <c r="U3438" t="s">
        <v>421</v>
      </c>
      <c r="X3438" t="s">
        <v>161</v>
      </c>
      <c r="Y3438" t="s">
        <v>2272</v>
      </c>
      <c r="Z3438" t="s">
        <v>2272</v>
      </c>
      <c r="AA3438" t="s">
        <v>2272</v>
      </c>
      <c r="AB3438" t="s">
        <v>2272</v>
      </c>
      <c r="AC3438" s="1" t="s">
        <v>162</v>
      </c>
      <c r="AD3438" t="s">
        <v>2272</v>
      </c>
      <c r="AF3438" t="s">
        <v>49</v>
      </c>
      <c r="AI3438" t="s">
        <v>49</v>
      </c>
      <c r="AM3438" s="1" t="s">
        <v>1135</v>
      </c>
      <c r="AN3438" s="1" t="s">
        <v>154</v>
      </c>
      <c r="AP3438" s="1" t="s">
        <v>157</v>
      </c>
    </row>
    <row r="3439" spans="1:43" x14ac:dyDescent="0.2">
      <c r="A3439" t="s">
        <v>1886</v>
      </c>
      <c r="B3439" t="s">
        <v>1808</v>
      </c>
      <c r="C3439">
        <v>2010</v>
      </c>
      <c r="D3439" t="s">
        <v>811</v>
      </c>
      <c r="F3439" t="s">
        <v>54</v>
      </c>
      <c r="G3439" s="1" t="s">
        <v>86</v>
      </c>
      <c r="H3439" t="s">
        <v>350</v>
      </c>
      <c r="I3439">
        <v>2007</v>
      </c>
      <c r="J3439">
        <v>0.42</v>
      </c>
      <c r="K3439" t="s">
        <v>101</v>
      </c>
      <c r="M3439">
        <f t="shared" si="82"/>
        <v>4.0000000000000008E-2</v>
      </c>
      <c r="N3439" t="s">
        <v>123</v>
      </c>
      <c r="O3439" t="s">
        <v>123</v>
      </c>
      <c r="P3439" t="s">
        <v>518</v>
      </c>
      <c r="Q3439" s="1" t="s">
        <v>2281</v>
      </c>
      <c r="R3439" s="1" t="s">
        <v>2282</v>
      </c>
      <c r="S3439" s="1" t="s">
        <v>123</v>
      </c>
      <c r="T3439" t="s">
        <v>396</v>
      </c>
      <c r="U3439" t="s">
        <v>2399</v>
      </c>
      <c r="X3439" t="s">
        <v>161</v>
      </c>
      <c r="Y3439" t="s">
        <v>2272</v>
      </c>
      <c r="Z3439" t="s">
        <v>2272</v>
      </c>
      <c r="AA3439" t="s">
        <v>2272</v>
      </c>
      <c r="AB3439" t="s">
        <v>2272</v>
      </c>
      <c r="AC3439" s="1" t="s">
        <v>162</v>
      </c>
      <c r="AD3439" t="s">
        <v>2272</v>
      </c>
      <c r="AF3439" t="s">
        <v>49</v>
      </c>
      <c r="AI3439" t="s">
        <v>49</v>
      </c>
      <c r="AM3439" s="1" t="s">
        <v>1135</v>
      </c>
      <c r="AN3439" s="1" t="s">
        <v>154</v>
      </c>
      <c r="AQ3439" s="5">
        <v>0</v>
      </c>
    </row>
    <row r="3440" spans="1:43" x14ac:dyDescent="0.2">
      <c r="A3440" t="s">
        <v>1886</v>
      </c>
      <c r="B3440" t="s">
        <v>1808</v>
      </c>
      <c r="C3440">
        <v>2010</v>
      </c>
      <c r="D3440" t="s">
        <v>811</v>
      </c>
      <c r="F3440" t="s">
        <v>54</v>
      </c>
      <c r="G3440" s="1" t="s">
        <v>86</v>
      </c>
      <c r="H3440" t="s">
        <v>350</v>
      </c>
      <c r="I3440">
        <v>2007</v>
      </c>
      <c r="J3440">
        <v>0.42</v>
      </c>
      <c r="K3440" t="s">
        <v>101</v>
      </c>
      <c r="M3440">
        <f t="shared" si="82"/>
        <v>4.0000000000000008E-2</v>
      </c>
      <c r="N3440" t="s">
        <v>132</v>
      </c>
      <c r="O3440" t="s">
        <v>132</v>
      </c>
      <c r="P3440" t="s">
        <v>169</v>
      </c>
      <c r="Q3440" s="1" t="s">
        <v>2276</v>
      </c>
      <c r="R3440" s="1" t="s">
        <v>669</v>
      </c>
      <c r="S3440" s="1" t="s">
        <v>168</v>
      </c>
      <c r="T3440" t="s">
        <v>396</v>
      </c>
      <c r="U3440" t="s">
        <v>2417</v>
      </c>
      <c r="X3440" t="s">
        <v>161</v>
      </c>
      <c r="Y3440" t="s">
        <v>2272</v>
      </c>
      <c r="Z3440" t="s">
        <v>2272</v>
      </c>
      <c r="AA3440" t="s">
        <v>2272</v>
      </c>
      <c r="AB3440" t="s">
        <v>2272</v>
      </c>
      <c r="AC3440" s="1" t="s">
        <v>162</v>
      </c>
      <c r="AD3440" t="s">
        <v>2272</v>
      </c>
      <c r="AF3440" t="s">
        <v>49</v>
      </c>
      <c r="AI3440" t="s">
        <v>49</v>
      </c>
      <c r="AM3440" s="1" t="s">
        <v>1135</v>
      </c>
      <c r="AN3440" s="1" t="s">
        <v>154</v>
      </c>
      <c r="AQ3440" s="5">
        <v>0</v>
      </c>
    </row>
    <row r="3441" spans="1:43" x14ac:dyDescent="0.2">
      <c r="A3441" t="s">
        <v>1886</v>
      </c>
      <c r="B3441" t="s">
        <v>1808</v>
      </c>
      <c r="C3441">
        <v>2010</v>
      </c>
      <c r="D3441" t="s">
        <v>811</v>
      </c>
      <c r="F3441" t="s">
        <v>54</v>
      </c>
      <c r="G3441" s="1" t="s">
        <v>86</v>
      </c>
      <c r="H3441" t="s">
        <v>350</v>
      </c>
      <c r="I3441">
        <v>2007</v>
      </c>
      <c r="J3441">
        <v>0.42</v>
      </c>
      <c r="K3441" t="s">
        <v>101</v>
      </c>
      <c r="M3441">
        <f t="shared" si="82"/>
        <v>4.0000000000000008E-2</v>
      </c>
      <c r="N3441" t="s">
        <v>127</v>
      </c>
      <c r="O3441" t="s">
        <v>1887</v>
      </c>
      <c r="P3441" t="s">
        <v>1888</v>
      </c>
      <c r="Q3441" s="1" t="s">
        <v>2351</v>
      </c>
      <c r="R3441" s="1" t="s">
        <v>2351</v>
      </c>
      <c r="S3441" s="1" t="s">
        <v>2351</v>
      </c>
      <c r="T3441" t="s">
        <v>396</v>
      </c>
      <c r="U3441" t="s">
        <v>2365</v>
      </c>
      <c r="X3441" t="s">
        <v>161</v>
      </c>
      <c r="Y3441" t="s">
        <v>2272</v>
      </c>
      <c r="Z3441" t="s">
        <v>2272</v>
      </c>
      <c r="AA3441" t="s">
        <v>2272</v>
      </c>
      <c r="AB3441" t="s">
        <v>2272</v>
      </c>
      <c r="AC3441" s="1" t="s">
        <v>162</v>
      </c>
      <c r="AD3441" t="s">
        <v>2272</v>
      </c>
      <c r="AF3441" t="s">
        <v>49</v>
      </c>
      <c r="AI3441" t="s">
        <v>49</v>
      </c>
      <c r="AM3441" s="1" t="s">
        <v>1135</v>
      </c>
      <c r="AN3441" s="1" t="s">
        <v>154</v>
      </c>
      <c r="AQ3441" s="5">
        <v>0</v>
      </c>
    </row>
    <row r="3442" spans="1:43" x14ac:dyDescent="0.2">
      <c r="A3442" t="s">
        <v>1886</v>
      </c>
      <c r="B3442" t="s">
        <v>1808</v>
      </c>
      <c r="C3442">
        <v>2010</v>
      </c>
      <c r="D3442" t="s">
        <v>811</v>
      </c>
      <c r="F3442" t="s">
        <v>54</v>
      </c>
      <c r="G3442" s="1" t="s">
        <v>86</v>
      </c>
      <c r="H3442" t="s">
        <v>350</v>
      </c>
      <c r="I3442">
        <v>2007</v>
      </c>
      <c r="J3442">
        <v>0.42</v>
      </c>
      <c r="K3442" t="s">
        <v>101</v>
      </c>
      <c r="M3442">
        <f t="shared" si="82"/>
        <v>4.0000000000000008E-2</v>
      </c>
      <c r="N3442" t="s">
        <v>123</v>
      </c>
      <c r="O3442" t="s">
        <v>123</v>
      </c>
      <c r="P3442" t="s">
        <v>518</v>
      </c>
      <c r="Q3442" s="1" t="s">
        <v>2281</v>
      </c>
      <c r="R3442" s="1" t="s">
        <v>2282</v>
      </c>
      <c r="S3442" s="1" t="s">
        <v>123</v>
      </c>
      <c r="X3442" t="s">
        <v>150</v>
      </c>
      <c r="Y3442" t="s">
        <v>2273</v>
      </c>
      <c r="Z3442" t="s">
        <v>249</v>
      </c>
      <c r="AA3442" t="s">
        <v>2359</v>
      </c>
      <c r="AB3442" t="s">
        <v>1419</v>
      </c>
      <c r="AC3442" s="1" t="s">
        <v>152</v>
      </c>
      <c r="AD3442" t="s">
        <v>137</v>
      </c>
      <c r="AF3442" t="s">
        <v>49</v>
      </c>
      <c r="AI3442" t="s">
        <v>49</v>
      </c>
      <c r="AM3442" s="1" t="s">
        <v>1135</v>
      </c>
      <c r="AN3442" s="1" t="s">
        <v>166</v>
      </c>
      <c r="AP3442" s="1" t="s">
        <v>51</v>
      </c>
    </row>
    <row r="3443" spans="1:43" x14ac:dyDescent="0.2">
      <c r="A3443" t="s">
        <v>1886</v>
      </c>
      <c r="B3443" t="s">
        <v>1808</v>
      </c>
      <c r="C3443">
        <v>2010</v>
      </c>
      <c r="D3443" t="s">
        <v>811</v>
      </c>
      <c r="F3443" t="s">
        <v>54</v>
      </c>
      <c r="G3443" s="1" t="s">
        <v>86</v>
      </c>
      <c r="H3443" t="s">
        <v>350</v>
      </c>
      <c r="I3443">
        <v>2007</v>
      </c>
      <c r="J3443">
        <v>0.42</v>
      </c>
      <c r="K3443" t="s">
        <v>101</v>
      </c>
      <c r="M3443">
        <f t="shared" si="82"/>
        <v>4.0000000000000008E-2</v>
      </c>
      <c r="N3443" t="s">
        <v>123</v>
      </c>
      <c r="O3443" t="s">
        <v>123</v>
      </c>
      <c r="P3443" t="s">
        <v>518</v>
      </c>
      <c r="Q3443" s="1" t="s">
        <v>2281</v>
      </c>
      <c r="R3443" s="1" t="s">
        <v>2282</v>
      </c>
      <c r="S3443" s="1" t="s">
        <v>123</v>
      </c>
      <c r="X3443" t="s">
        <v>490</v>
      </c>
      <c r="Y3443" t="s">
        <v>2279</v>
      </c>
      <c r="Z3443" t="s">
        <v>2280</v>
      </c>
      <c r="AA3443" t="s">
        <v>2358</v>
      </c>
      <c r="AB3443" t="s">
        <v>2459</v>
      </c>
      <c r="AC3443" s="1" t="s">
        <v>152</v>
      </c>
      <c r="AD3443" t="s">
        <v>2278</v>
      </c>
      <c r="AF3443" t="s">
        <v>49</v>
      </c>
      <c r="AI3443" t="s">
        <v>49</v>
      </c>
      <c r="AM3443" s="1" t="s">
        <v>1135</v>
      </c>
      <c r="AN3443" s="1" t="s">
        <v>166</v>
      </c>
      <c r="AP3443" s="1" t="s">
        <v>157</v>
      </c>
    </row>
    <row r="3444" spans="1:43" x14ac:dyDescent="0.2">
      <c r="A3444" t="s">
        <v>1886</v>
      </c>
      <c r="B3444" t="s">
        <v>1808</v>
      </c>
      <c r="C3444">
        <v>2010</v>
      </c>
      <c r="D3444" t="s">
        <v>811</v>
      </c>
      <c r="F3444" t="s">
        <v>54</v>
      </c>
      <c r="G3444" s="1" t="s">
        <v>86</v>
      </c>
      <c r="H3444" t="s">
        <v>350</v>
      </c>
      <c r="I3444">
        <v>2007</v>
      </c>
      <c r="J3444">
        <v>0.42</v>
      </c>
      <c r="K3444" t="s">
        <v>101</v>
      </c>
      <c r="M3444">
        <f t="shared" si="82"/>
        <v>4.0000000000000008E-2</v>
      </c>
      <c r="N3444" t="s">
        <v>123</v>
      </c>
      <c r="O3444" t="s">
        <v>123</v>
      </c>
      <c r="P3444" t="s">
        <v>518</v>
      </c>
      <c r="Q3444" s="1" t="s">
        <v>2281</v>
      </c>
      <c r="R3444" s="1" t="s">
        <v>2282</v>
      </c>
      <c r="S3444" s="1" t="s">
        <v>123</v>
      </c>
      <c r="T3444" t="s">
        <v>396</v>
      </c>
      <c r="U3444" t="s">
        <v>2399</v>
      </c>
      <c r="X3444" t="s">
        <v>161</v>
      </c>
      <c r="Y3444" t="s">
        <v>2272</v>
      </c>
      <c r="Z3444" t="s">
        <v>2272</v>
      </c>
      <c r="AA3444" t="s">
        <v>2272</v>
      </c>
      <c r="AB3444" t="s">
        <v>2272</v>
      </c>
      <c r="AC3444" s="1" t="s">
        <v>162</v>
      </c>
      <c r="AD3444" t="s">
        <v>2272</v>
      </c>
      <c r="AF3444" t="s">
        <v>49</v>
      </c>
      <c r="AI3444" t="s">
        <v>49</v>
      </c>
      <c r="AM3444" s="1" t="s">
        <v>1135</v>
      </c>
      <c r="AN3444" s="1" t="s">
        <v>166</v>
      </c>
      <c r="AQ3444" s="5">
        <v>0</v>
      </c>
    </row>
    <row r="3445" spans="1:43" x14ac:dyDescent="0.2">
      <c r="A3445" t="s">
        <v>1886</v>
      </c>
      <c r="B3445" t="s">
        <v>1808</v>
      </c>
      <c r="C3445">
        <v>2010</v>
      </c>
      <c r="D3445" t="s">
        <v>811</v>
      </c>
      <c r="F3445" t="s">
        <v>54</v>
      </c>
      <c r="G3445" s="1" t="s">
        <v>86</v>
      </c>
      <c r="H3445" t="s">
        <v>350</v>
      </c>
      <c r="I3445">
        <v>2007</v>
      </c>
      <c r="J3445">
        <v>0.42</v>
      </c>
      <c r="K3445" t="s">
        <v>101</v>
      </c>
      <c r="M3445">
        <f t="shared" si="82"/>
        <v>4.0000000000000008E-2</v>
      </c>
      <c r="N3445" t="s">
        <v>132</v>
      </c>
      <c r="O3445" t="s">
        <v>132</v>
      </c>
      <c r="P3445" t="s">
        <v>169</v>
      </c>
      <c r="Q3445" s="1" t="s">
        <v>2276</v>
      </c>
      <c r="R3445" s="1" t="s">
        <v>669</v>
      </c>
      <c r="S3445" s="1" t="s">
        <v>168</v>
      </c>
      <c r="T3445" t="s">
        <v>396</v>
      </c>
      <c r="U3445" t="s">
        <v>2417</v>
      </c>
      <c r="X3445" t="s">
        <v>161</v>
      </c>
      <c r="Y3445" t="s">
        <v>2272</v>
      </c>
      <c r="Z3445" t="s">
        <v>2272</v>
      </c>
      <c r="AA3445" t="s">
        <v>2272</v>
      </c>
      <c r="AB3445" t="s">
        <v>2272</v>
      </c>
      <c r="AC3445" s="1" t="s">
        <v>162</v>
      </c>
      <c r="AD3445" t="s">
        <v>2272</v>
      </c>
      <c r="AF3445" t="s">
        <v>49</v>
      </c>
      <c r="AI3445" t="s">
        <v>49</v>
      </c>
      <c r="AM3445" s="1" t="s">
        <v>1135</v>
      </c>
      <c r="AN3445" s="1" t="s">
        <v>166</v>
      </c>
      <c r="AQ3445" s="5">
        <v>0</v>
      </c>
    </row>
    <row r="3446" spans="1:43" x14ac:dyDescent="0.2">
      <c r="A3446" t="s">
        <v>1886</v>
      </c>
      <c r="B3446" t="s">
        <v>1808</v>
      </c>
      <c r="C3446">
        <v>2010</v>
      </c>
      <c r="D3446" t="s">
        <v>811</v>
      </c>
      <c r="F3446" t="s">
        <v>54</v>
      </c>
      <c r="G3446" s="1" t="s">
        <v>86</v>
      </c>
      <c r="H3446" t="s">
        <v>350</v>
      </c>
      <c r="I3446">
        <v>2007</v>
      </c>
      <c r="J3446">
        <v>0.42</v>
      </c>
      <c r="K3446" t="s">
        <v>101</v>
      </c>
      <c r="M3446">
        <f t="shared" si="82"/>
        <v>4.0000000000000008E-2</v>
      </c>
      <c r="N3446" t="s">
        <v>127</v>
      </c>
      <c r="O3446" t="s">
        <v>1887</v>
      </c>
      <c r="P3446" t="s">
        <v>1888</v>
      </c>
      <c r="Q3446" s="1" t="s">
        <v>2351</v>
      </c>
      <c r="R3446" s="1" t="s">
        <v>2351</v>
      </c>
      <c r="S3446" s="1" t="s">
        <v>2351</v>
      </c>
      <c r="T3446" t="s">
        <v>396</v>
      </c>
      <c r="U3446" t="s">
        <v>2365</v>
      </c>
      <c r="X3446" t="s">
        <v>161</v>
      </c>
      <c r="Y3446" t="s">
        <v>2272</v>
      </c>
      <c r="Z3446" t="s">
        <v>2272</v>
      </c>
      <c r="AA3446" t="s">
        <v>2272</v>
      </c>
      <c r="AB3446" t="s">
        <v>2272</v>
      </c>
      <c r="AC3446" s="1" t="s">
        <v>162</v>
      </c>
      <c r="AD3446" t="s">
        <v>2272</v>
      </c>
      <c r="AF3446" t="s">
        <v>49</v>
      </c>
      <c r="AI3446" t="s">
        <v>49</v>
      </c>
      <c r="AM3446" s="1" t="s">
        <v>1135</v>
      </c>
      <c r="AN3446" s="1" t="s">
        <v>166</v>
      </c>
      <c r="AQ3446" s="5">
        <v>0</v>
      </c>
    </row>
    <row r="3447" spans="1:43" x14ac:dyDescent="0.2">
      <c r="A3447" t="s">
        <v>1886</v>
      </c>
      <c r="B3447" t="s">
        <v>1808</v>
      </c>
      <c r="C3447">
        <v>2010</v>
      </c>
      <c r="D3447" t="s">
        <v>811</v>
      </c>
      <c r="F3447" t="s">
        <v>54</v>
      </c>
      <c r="G3447" s="1" t="s">
        <v>86</v>
      </c>
      <c r="H3447" t="s">
        <v>350</v>
      </c>
      <c r="I3447">
        <v>2007</v>
      </c>
      <c r="J3447">
        <v>0.42</v>
      </c>
      <c r="K3447" t="s">
        <v>101</v>
      </c>
      <c r="M3447">
        <f t="shared" si="82"/>
        <v>4.0000000000000008E-2</v>
      </c>
      <c r="N3447" t="s">
        <v>123</v>
      </c>
      <c r="O3447" t="s">
        <v>123</v>
      </c>
      <c r="P3447" t="s">
        <v>518</v>
      </c>
      <c r="Q3447" s="1" t="s">
        <v>2281</v>
      </c>
      <c r="R3447" s="1" t="s">
        <v>2282</v>
      </c>
      <c r="S3447" s="1" t="s">
        <v>123</v>
      </c>
      <c r="T3447" t="s">
        <v>421</v>
      </c>
      <c r="U3447" t="s">
        <v>421</v>
      </c>
      <c r="X3447" t="s">
        <v>161</v>
      </c>
      <c r="Y3447" t="s">
        <v>2272</v>
      </c>
      <c r="Z3447" t="s">
        <v>2272</v>
      </c>
      <c r="AA3447" t="s">
        <v>2272</v>
      </c>
      <c r="AB3447" t="s">
        <v>2272</v>
      </c>
      <c r="AC3447" s="1" t="s">
        <v>162</v>
      </c>
      <c r="AD3447" t="s">
        <v>2272</v>
      </c>
      <c r="AF3447" t="s">
        <v>49</v>
      </c>
      <c r="AI3447" t="s">
        <v>49</v>
      </c>
      <c r="AM3447" s="1" t="s">
        <v>1135</v>
      </c>
      <c r="AN3447" s="1" t="s">
        <v>166</v>
      </c>
      <c r="AP3447" s="1"/>
      <c r="AQ3447" s="5">
        <v>1</v>
      </c>
    </row>
    <row r="3448" spans="1:43" x14ac:dyDescent="0.2">
      <c r="A3448" t="s">
        <v>1886</v>
      </c>
      <c r="B3448" t="s">
        <v>1808</v>
      </c>
      <c r="C3448">
        <v>2010</v>
      </c>
      <c r="D3448" t="s">
        <v>811</v>
      </c>
      <c r="F3448" t="s">
        <v>54</v>
      </c>
      <c r="G3448" s="1" t="s">
        <v>86</v>
      </c>
      <c r="H3448" t="s">
        <v>350</v>
      </c>
      <c r="I3448">
        <v>2007</v>
      </c>
      <c r="J3448">
        <v>0.42</v>
      </c>
      <c r="K3448" t="s">
        <v>101</v>
      </c>
      <c r="M3448">
        <f t="shared" si="82"/>
        <v>4.0000000000000008E-2</v>
      </c>
      <c r="N3448" t="s">
        <v>132</v>
      </c>
      <c r="O3448" t="s">
        <v>132</v>
      </c>
      <c r="P3448" t="s">
        <v>169</v>
      </c>
      <c r="Q3448" s="1" t="s">
        <v>2276</v>
      </c>
      <c r="R3448" s="1" t="s">
        <v>669</v>
      </c>
      <c r="S3448" s="1" t="s">
        <v>168</v>
      </c>
      <c r="T3448" t="s">
        <v>421</v>
      </c>
      <c r="U3448" t="s">
        <v>421</v>
      </c>
      <c r="X3448" t="s">
        <v>161</v>
      </c>
      <c r="Y3448" t="s">
        <v>2272</v>
      </c>
      <c r="Z3448" t="s">
        <v>2272</v>
      </c>
      <c r="AA3448" t="s">
        <v>2272</v>
      </c>
      <c r="AB3448" t="s">
        <v>2272</v>
      </c>
      <c r="AC3448" s="1" t="s">
        <v>162</v>
      </c>
      <c r="AD3448" t="s">
        <v>2272</v>
      </c>
      <c r="AF3448" t="s">
        <v>49</v>
      </c>
      <c r="AI3448" t="s">
        <v>49</v>
      </c>
      <c r="AM3448" s="1" t="s">
        <v>1135</v>
      </c>
      <c r="AN3448" s="1" t="s">
        <v>166</v>
      </c>
      <c r="AP3448" s="1"/>
      <c r="AQ3448" s="5">
        <v>0</v>
      </c>
    </row>
    <row r="3449" spans="1:43" x14ac:dyDescent="0.2">
      <c r="A3449" t="s">
        <v>1886</v>
      </c>
      <c r="B3449" t="s">
        <v>1808</v>
      </c>
      <c r="C3449">
        <v>2010</v>
      </c>
      <c r="D3449" t="s">
        <v>811</v>
      </c>
      <c r="F3449" t="s">
        <v>54</v>
      </c>
      <c r="G3449" s="1" t="s">
        <v>86</v>
      </c>
      <c r="H3449" t="s">
        <v>350</v>
      </c>
      <c r="I3449">
        <v>2007</v>
      </c>
      <c r="J3449">
        <v>0.42</v>
      </c>
      <c r="K3449" t="s">
        <v>101</v>
      </c>
      <c r="M3449">
        <f t="shared" si="82"/>
        <v>4.0000000000000008E-2</v>
      </c>
      <c r="N3449" t="s">
        <v>127</v>
      </c>
      <c r="O3449" t="s">
        <v>1887</v>
      </c>
      <c r="P3449" t="s">
        <v>1888</v>
      </c>
      <c r="Q3449" s="1" t="s">
        <v>2351</v>
      </c>
      <c r="R3449" s="1" t="s">
        <v>2351</v>
      </c>
      <c r="S3449" s="1" t="s">
        <v>2351</v>
      </c>
      <c r="T3449" t="s">
        <v>421</v>
      </c>
      <c r="U3449" t="s">
        <v>421</v>
      </c>
      <c r="X3449" t="s">
        <v>161</v>
      </c>
      <c r="Y3449" t="s">
        <v>2272</v>
      </c>
      <c r="Z3449" t="s">
        <v>2272</v>
      </c>
      <c r="AA3449" t="s">
        <v>2272</v>
      </c>
      <c r="AB3449" t="s">
        <v>2272</v>
      </c>
      <c r="AC3449" s="1" t="s">
        <v>162</v>
      </c>
      <c r="AD3449" t="s">
        <v>2272</v>
      </c>
      <c r="AF3449" t="s">
        <v>49</v>
      </c>
      <c r="AI3449" t="s">
        <v>49</v>
      </c>
      <c r="AM3449" s="1" t="s">
        <v>1135</v>
      </c>
      <c r="AN3449" s="1" t="s">
        <v>166</v>
      </c>
      <c r="AP3449" s="1"/>
      <c r="AQ3449" s="5">
        <v>1</v>
      </c>
    </row>
    <row r="3450" spans="1:43" x14ac:dyDescent="0.2">
      <c r="A3450" t="s">
        <v>1886</v>
      </c>
      <c r="B3450" t="s">
        <v>1808</v>
      </c>
      <c r="C3450">
        <v>2010</v>
      </c>
      <c r="D3450" t="s">
        <v>44</v>
      </c>
      <c r="F3450" t="s">
        <v>54</v>
      </c>
      <c r="G3450" s="1" t="s">
        <v>86</v>
      </c>
      <c r="H3450" t="s">
        <v>350</v>
      </c>
      <c r="I3450">
        <v>2007</v>
      </c>
      <c r="K3450" t="s">
        <v>101</v>
      </c>
      <c r="M3450">
        <f t="shared" si="82"/>
        <v>4.0000000000000008E-2</v>
      </c>
      <c r="N3450" t="s">
        <v>123</v>
      </c>
      <c r="O3450" t="s">
        <v>123</v>
      </c>
      <c r="P3450" t="s">
        <v>518</v>
      </c>
      <c r="Q3450" s="1" t="s">
        <v>2281</v>
      </c>
      <c r="R3450" s="1" t="s">
        <v>2282</v>
      </c>
      <c r="S3450" s="1" t="s">
        <v>123</v>
      </c>
      <c r="X3450" t="s">
        <v>502</v>
      </c>
      <c r="Y3450" t="s">
        <v>2279</v>
      </c>
      <c r="Z3450" t="s">
        <v>2280</v>
      </c>
      <c r="AA3450" t="s">
        <v>2358</v>
      </c>
      <c r="AB3450" t="s">
        <v>2459</v>
      </c>
      <c r="AC3450" s="1" t="s">
        <v>162</v>
      </c>
      <c r="AD3450" t="s">
        <v>2278</v>
      </c>
      <c r="AF3450" t="s">
        <v>49</v>
      </c>
      <c r="AI3450" t="s">
        <v>49</v>
      </c>
      <c r="AM3450" s="1" t="s">
        <v>1135</v>
      </c>
      <c r="AN3450" s="1" t="s">
        <v>165</v>
      </c>
      <c r="AP3450" s="1" t="s">
        <v>49</v>
      </c>
    </row>
    <row r="3451" spans="1:43" x14ac:dyDescent="0.2">
      <c r="A3451" t="s">
        <v>1886</v>
      </c>
      <c r="B3451" t="s">
        <v>1808</v>
      </c>
      <c r="C3451">
        <v>2010</v>
      </c>
      <c r="D3451" t="s">
        <v>44</v>
      </c>
      <c r="F3451" t="s">
        <v>54</v>
      </c>
      <c r="G3451" s="1" t="s">
        <v>86</v>
      </c>
      <c r="H3451" t="s">
        <v>350</v>
      </c>
      <c r="I3451">
        <v>2007</v>
      </c>
      <c r="K3451" t="s">
        <v>101</v>
      </c>
      <c r="M3451">
        <f t="shared" si="82"/>
        <v>4.0000000000000008E-2</v>
      </c>
      <c r="N3451" t="s">
        <v>123</v>
      </c>
      <c r="O3451" t="s">
        <v>123</v>
      </c>
      <c r="P3451" t="s">
        <v>518</v>
      </c>
      <c r="Q3451" s="1" t="s">
        <v>2281</v>
      </c>
      <c r="R3451" s="1" t="s">
        <v>2282</v>
      </c>
      <c r="S3451" s="1" t="s">
        <v>123</v>
      </c>
      <c r="T3451" t="s">
        <v>396</v>
      </c>
      <c r="U3451" s="1" t="s">
        <v>168</v>
      </c>
      <c r="X3451" t="s">
        <v>161</v>
      </c>
      <c r="Y3451" t="s">
        <v>2272</v>
      </c>
      <c r="Z3451" t="s">
        <v>2272</v>
      </c>
      <c r="AA3451" t="s">
        <v>2272</v>
      </c>
      <c r="AB3451" t="s">
        <v>2272</v>
      </c>
      <c r="AC3451" s="1" t="s">
        <v>162</v>
      </c>
      <c r="AD3451" t="s">
        <v>2272</v>
      </c>
      <c r="AF3451" t="s">
        <v>49</v>
      </c>
      <c r="AI3451" t="s">
        <v>49</v>
      </c>
      <c r="AM3451" s="1" t="s">
        <v>1135</v>
      </c>
      <c r="AN3451" s="1" t="s">
        <v>165</v>
      </c>
      <c r="AP3451" s="1" t="s">
        <v>49</v>
      </c>
    </row>
    <row r="3452" spans="1:43" x14ac:dyDescent="0.2">
      <c r="A3452" t="s">
        <v>1886</v>
      </c>
      <c r="B3452" t="s">
        <v>1808</v>
      </c>
      <c r="C3452">
        <v>2010</v>
      </c>
      <c r="D3452" t="s">
        <v>44</v>
      </c>
      <c r="F3452" t="s">
        <v>54</v>
      </c>
      <c r="G3452" s="1" t="s">
        <v>86</v>
      </c>
      <c r="H3452" t="s">
        <v>350</v>
      </c>
      <c r="I3452">
        <v>2007</v>
      </c>
      <c r="K3452" t="s">
        <v>101</v>
      </c>
      <c r="M3452">
        <f t="shared" si="82"/>
        <v>4.0000000000000008E-2</v>
      </c>
      <c r="N3452" t="s">
        <v>132</v>
      </c>
      <c r="O3452" t="s">
        <v>132</v>
      </c>
      <c r="P3452" t="s">
        <v>169</v>
      </c>
      <c r="Q3452" s="1" t="s">
        <v>2276</v>
      </c>
      <c r="R3452" s="1" t="s">
        <v>669</v>
      </c>
      <c r="S3452" s="1" t="s">
        <v>168</v>
      </c>
      <c r="T3452" t="s">
        <v>396</v>
      </c>
      <c r="U3452" s="1" t="s">
        <v>123</v>
      </c>
      <c r="X3452" t="s">
        <v>161</v>
      </c>
      <c r="Y3452" t="s">
        <v>2272</v>
      </c>
      <c r="Z3452" t="s">
        <v>2272</v>
      </c>
      <c r="AA3452" t="s">
        <v>2272</v>
      </c>
      <c r="AB3452" t="s">
        <v>2272</v>
      </c>
      <c r="AC3452" s="1" t="s">
        <v>162</v>
      </c>
      <c r="AD3452" t="s">
        <v>2272</v>
      </c>
      <c r="AF3452" t="s">
        <v>49</v>
      </c>
      <c r="AI3452" t="s">
        <v>49</v>
      </c>
      <c r="AM3452" s="1" t="s">
        <v>1135</v>
      </c>
      <c r="AN3452" s="1" t="s">
        <v>165</v>
      </c>
      <c r="AP3452" s="1" t="s">
        <v>49</v>
      </c>
    </row>
    <row r="3453" spans="1:43" x14ac:dyDescent="0.2">
      <c r="A3453" t="s">
        <v>1886</v>
      </c>
      <c r="B3453" t="s">
        <v>1808</v>
      </c>
      <c r="C3453">
        <v>2010</v>
      </c>
      <c r="D3453" t="s">
        <v>811</v>
      </c>
      <c r="F3453" t="s">
        <v>54</v>
      </c>
      <c r="G3453" s="1" t="s">
        <v>86</v>
      </c>
      <c r="H3453" t="s">
        <v>350</v>
      </c>
      <c r="I3453">
        <v>2007</v>
      </c>
      <c r="J3453">
        <v>0.42</v>
      </c>
      <c r="K3453" t="s">
        <v>101</v>
      </c>
      <c r="M3453">
        <f t="shared" si="82"/>
        <v>4.0000000000000008E-2</v>
      </c>
      <c r="N3453" t="s">
        <v>123</v>
      </c>
      <c r="O3453" t="s">
        <v>123</v>
      </c>
      <c r="P3453" t="s">
        <v>518</v>
      </c>
      <c r="Q3453" s="1" t="s">
        <v>2281</v>
      </c>
      <c r="R3453" s="1" t="s">
        <v>2282</v>
      </c>
      <c r="S3453" s="1" t="s">
        <v>123</v>
      </c>
      <c r="T3453" t="s">
        <v>421</v>
      </c>
      <c r="U3453" t="s">
        <v>421</v>
      </c>
      <c r="X3453" t="s">
        <v>161</v>
      </c>
      <c r="Y3453" t="s">
        <v>2272</v>
      </c>
      <c r="Z3453" t="s">
        <v>2272</v>
      </c>
      <c r="AA3453" t="s">
        <v>2272</v>
      </c>
      <c r="AB3453" t="s">
        <v>2272</v>
      </c>
      <c r="AC3453" s="1" t="s">
        <v>162</v>
      </c>
      <c r="AD3453" t="s">
        <v>2272</v>
      </c>
      <c r="AF3453" t="s">
        <v>49</v>
      </c>
      <c r="AI3453" t="s">
        <v>49</v>
      </c>
      <c r="AM3453" s="1" t="s">
        <v>1135</v>
      </c>
      <c r="AN3453" s="1" t="s">
        <v>165</v>
      </c>
      <c r="AP3453" s="1" t="s">
        <v>49</v>
      </c>
    </row>
    <row r="3454" spans="1:43" x14ac:dyDescent="0.2">
      <c r="A3454" t="s">
        <v>1886</v>
      </c>
      <c r="B3454" t="s">
        <v>1808</v>
      </c>
      <c r="C3454">
        <v>2010</v>
      </c>
      <c r="D3454" t="s">
        <v>811</v>
      </c>
      <c r="F3454" t="s">
        <v>54</v>
      </c>
      <c r="G3454" s="1" t="s">
        <v>86</v>
      </c>
      <c r="H3454" t="s">
        <v>350</v>
      </c>
      <c r="I3454">
        <v>2007</v>
      </c>
      <c r="J3454">
        <v>0.42</v>
      </c>
      <c r="K3454" t="s">
        <v>101</v>
      </c>
      <c r="M3454">
        <f t="shared" si="82"/>
        <v>4.0000000000000008E-2</v>
      </c>
      <c r="N3454" t="s">
        <v>132</v>
      </c>
      <c r="O3454" t="s">
        <v>132</v>
      </c>
      <c r="P3454" t="s">
        <v>169</v>
      </c>
      <c r="Q3454" s="1" t="s">
        <v>2276</v>
      </c>
      <c r="R3454" s="1" t="s">
        <v>669</v>
      </c>
      <c r="S3454" s="1" t="s">
        <v>168</v>
      </c>
      <c r="T3454" t="s">
        <v>421</v>
      </c>
      <c r="U3454" t="s">
        <v>421</v>
      </c>
      <c r="X3454" t="s">
        <v>161</v>
      </c>
      <c r="Y3454" t="s">
        <v>2272</v>
      </c>
      <c r="Z3454" t="s">
        <v>2272</v>
      </c>
      <c r="AA3454" t="s">
        <v>2272</v>
      </c>
      <c r="AB3454" t="s">
        <v>2272</v>
      </c>
      <c r="AC3454" s="1" t="s">
        <v>162</v>
      </c>
      <c r="AD3454" t="s">
        <v>2272</v>
      </c>
      <c r="AF3454" t="s">
        <v>49</v>
      </c>
      <c r="AI3454" t="s">
        <v>49</v>
      </c>
      <c r="AM3454" s="1" t="s">
        <v>1135</v>
      </c>
      <c r="AN3454" s="1" t="s">
        <v>165</v>
      </c>
      <c r="AP3454" s="1" t="s">
        <v>49</v>
      </c>
    </row>
    <row r="3455" spans="1:43" x14ac:dyDescent="0.2">
      <c r="A3455" t="s">
        <v>1886</v>
      </c>
      <c r="B3455" t="s">
        <v>1808</v>
      </c>
      <c r="C3455">
        <v>2010</v>
      </c>
      <c r="D3455" t="s">
        <v>811</v>
      </c>
      <c r="F3455" t="s">
        <v>54</v>
      </c>
      <c r="G3455" s="1" t="s">
        <v>86</v>
      </c>
      <c r="H3455" t="s">
        <v>350</v>
      </c>
      <c r="I3455">
        <v>2007</v>
      </c>
      <c r="J3455">
        <v>0.42</v>
      </c>
      <c r="K3455" t="s">
        <v>101</v>
      </c>
      <c r="M3455">
        <f t="shared" si="82"/>
        <v>4.0000000000000008E-2</v>
      </c>
      <c r="N3455" t="s">
        <v>123</v>
      </c>
      <c r="O3455" t="s">
        <v>123</v>
      </c>
      <c r="P3455" t="s">
        <v>518</v>
      </c>
      <c r="Q3455" s="1" t="s">
        <v>2281</v>
      </c>
      <c r="R3455" s="1" t="s">
        <v>2282</v>
      </c>
      <c r="S3455" s="1" t="s">
        <v>123</v>
      </c>
      <c r="T3455" t="s">
        <v>396</v>
      </c>
      <c r="U3455" s="1" t="s">
        <v>168</v>
      </c>
      <c r="X3455" t="s">
        <v>161</v>
      </c>
      <c r="Y3455" t="s">
        <v>2272</v>
      </c>
      <c r="Z3455" t="s">
        <v>2272</v>
      </c>
      <c r="AA3455" t="s">
        <v>2272</v>
      </c>
      <c r="AB3455" t="s">
        <v>2272</v>
      </c>
      <c r="AC3455" s="1" t="s">
        <v>162</v>
      </c>
      <c r="AD3455" t="s">
        <v>2272</v>
      </c>
      <c r="AF3455" t="s">
        <v>49</v>
      </c>
      <c r="AI3455" t="s">
        <v>49</v>
      </c>
      <c r="AM3455" s="1" t="s">
        <v>1135</v>
      </c>
      <c r="AN3455" s="1" t="s">
        <v>165</v>
      </c>
      <c r="AP3455" s="1" t="s">
        <v>49</v>
      </c>
    </row>
    <row r="3456" spans="1:43" x14ac:dyDescent="0.2">
      <c r="A3456" t="s">
        <v>1886</v>
      </c>
      <c r="B3456" t="s">
        <v>1808</v>
      </c>
      <c r="C3456">
        <v>2010</v>
      </c>
      <c r="D3456" t="s">
        <v>811</v>
      </c>
      <c r="F3456" t="s">
        <v>54</v>
      </c>
      <c r="G3456" s="1" t="s">
        <v>86</v>
      </c>
      <c r="H3456" t="s">
        <v>350</v>
      </c>
      <c r="I3456">
        <v>2007</v>
      </c>
      <c r="J3456">
        <v>0.42</v>
      </c>
      <c r="K3456" t="s">
        <v>101</v>
      </c>
      <c r="M3456">
        <f t="shared" si="82"/>
        <v>4.0000000000000008E-2</v>
      </c>
      <c r="N3456" t="s">
        <v>132</v>
      </c>
      <c r="O3456" t="s">
        <v>132</v>
      </c>
      <c r="P3456" t="s">
        <v>169</v>
      </c>
      <c r="Q3456" s="1" t="s">
        <v>2276</v>
      </c>
      <c r="R3456" s="1" t="s">
        <v>669</v>
      </c>
      <c r="S3456" s="1" t="s">
        <v>168</v>
      </c>
      <c r="T3456" t="s">
        <v>396</v>
      </c>
      <c r="U3456" s="1" t="s">
        <v>123</v>
      </c>
      <c r="X3456" t="s">
        <v>161</v>
      </c>
      <c r="Y3456" t="s">
        <v>2272</v>
      </c>
      <c r="Z3456" t="s">
        <v>2272</v>
      </c>
      <c r="AA3456" t="s">
        <v>2272</v>
      </c>
      <c r="AB3456" t="s">
        <v>2272</v>
      </c>
      <c r="AC3456" s="1" t="s">
        <v>162</v>
      </c>
      <c r="AD3456" t="s">
        <v>2272</v>
      </c>
      <c r="AF3456" t="s">
        <v>49</v>
      </c>
      <c r="AI3456" t="s">
        <v>49</v>
      </c>
      <c r="AM3456" s="1" t="s">
        <v>1135</v>
      </c>
      <c r="AN3456" s="1" t="s">
        <v>165</v>
      </c>
      <c r="AP3456" s="1" t="s">
        <v>49</v>
      </c>
    </row>
    <row r="3457" spans="1:43" x14ac:dyDescent="0.2">
      <c r="A3457" t="s">
        <v>1886</v>
      </c>
      <c r="B3457" t="s">
        <v>1808</v>
      </c>
      <c r="C3457">
        <v>2010</v>
      </c>
      <c r="D3457" t="s">
        <v>811</v>
      </c>
      <c r="F3457" t="s">
        <v>54</v>
      </c>
      <c r="G3457" s="1" t="s">
        <v>86</v>
      </c>
      <c r="H3457" t="s">
        <v>350</v>
      </c>
      <c r="I3457">
        <v>2007</v>
      </c>
      <c r="J3457">
        <v>0.42</v>
      </c>
      <c r="K3457" t="s">
        <v>101</v>
      </c>
      <c r="M3457">
        <f t="shared" si="82"/>
        <v>4.0000000000000008E-2</v>
      </c>
      <c r="N3457" t="s">
        <v>123</v>
      </c>
      <c r="O3457" t="s">
        <v>123</v>
      </c>
      <c r="P3457" t="s">
        <v>518</v>
      </c>
      <c r="Q3457" s="1" t="s">
        <v>2281</v>
      </c>
      <c r="R3457" s="1" t="s">
        <v>2282</v>
      </c>
      <c r="S3457" s="1" t="s">
        <v>123</v>
      </c>
      <c r="T3457" t="s">
        <v>421</v>
      </c>
      <c r="U3457" t="s">
        <v>421</v>
      </c>
      <c r="X3457" t="s">
        <v>161</v>
      </c>
      <c r="Y3457" t="s">
        <v>2272</v>
      </c>
      <c r="Z3457" t="s">
        <v>2272</v>
      </c>
      <c r="AA3457" t="s">
        <v>2272</v>
      </c>
      <c r="AB3457" t="s">
        <v>2272</v>
      </c>
      <c r="AC3457" s="1" t="s">
        <v>162</v>
      </c>
      <c r="AD3457" t="s">
        <v>2272</v>
      </c>
      <c r="AF3457" t="s">
        <v>49</v>
      </c>
      <c r="AI3457" t="s">
        <v>49</v>
      </c>
      <c r="AM3457" s="1" t="s">
        <v>1135</v>
      </c>
      <c r="AN3457" s="1" t="s">
        <v>191</v>
      </c>
      <c r="AP3457" s="1" t="s">
        <v>49</v>
      </c>
    </row>
    <row r="3458" spans="1:43" x14ac:dyDescent="0.2">
      <c r="A3458" t="s">
        <v>1886</v>
      </c>
      <c r="B3458" t="s">
        <v>1808</v>
      </c>
      <c r="C3458">
        <v>2010</v>
      </c>
      <c r="D3458" t="s">
        <v>811</v>
      </c>
      <c r="F3458" t="s">
        <v>54</v>
      </c>
      <c r="G3458" s="1" t="s">
        <v>86</v>
      </c>
      <c r="H3458" t="s">
        <v>350</v>
      </c>
      <c r="I3458">
        <v>2007</v>
      </c>
      <c r="J3458">
        <v>0.42</v>
      </c>
      <c r="K3458" t="s">
        <v>101</v>
      </c>
      <c r="M3458">
        <f t="shared" si="82"/>
        <v>4.0000000000000008E-2</v>
      </c>
      <c r="N3458" t="s">
        <v>132</v>
      </c>
      <c r="O3458" t="s">
        <v>132</v>
      </c>
      <c r="P3458" t="s">
        <v>169</v>
      </c>
      <c r="Q3458" s="1" t="s">
        <v>2276</v>
      </c>
      <c r="R3458" s="1" t="s">
        <v>669</v>
      </c>
      <c r="S3458" s="1" t="s">
        <v>168</v>
      </c>
      <c r="T3458" t="s">
        <v>421</v>
      </c>
      <c r="U3458" t="s">
        <v>421</v>
      </c>
      <c r="X3458" t="s">
        <v>161</v>
      </c>
      <c r="Y3458" t="s">
        <v>2272</v>
      </c>
      <c r="Z3458" t="s">
        <v>2272</v>
      </c>
      <c r="AA3458" t="s">
        <v>2272</v>
      </c>
      <c r="AB3458" t="s">
        <v>2272</v>
      </c>
      <c r="AC3458" s="1" t="s">
        <v>162</v>
      </c>
      <c r="AD3458" t="s">
        <v>2272</v>
      </c>
      <c r="AF3458" t="s">
        <v>49</v>
      </c>
      <c r="AI3458" t="s">
        <v>49</v>
      </c>
      <c r="AM3458" s="1" t="s">
        <v>1135</v>
      </c>
      <c r="AN3458" s="1" t="s">
        <v>191</v>
      </c>
      <c r="AP3458" s="1" t="s">
        <v>49</v>
      </c>
    </row>
    <row r="3459" spans="1:43" x14ac:dyDescent="0.2">
      <c r="A3459" t="s">
        <v>1886</v>
      </c>
      <c r="B3459" t="s">
        <v>1808</v>
      </c>
      <c r="C3459">
        <v>2010</v>
      </c>
      <c r="D3459" t="s">
        <v>811</v>
      </c>
      <c r="F3459" t="s">
        <v>54</v>
      </c>
      <c r="G3459" s="1" t="s">
        <v>86</v>
      </c>
      <c r="H3459" t="s">
        <v>350</v>
      </c>
      <c r="I3459">
        <v>2007</v>
      </c>
      <c r="J3459">
        <v>0.42</v>
      </c>
      <c r="K3459" t="s">
        <v>101</v>
      </c>
      <c r="M3459">
        <f t="shared" si="82"/>
        <v>4.0000000000000008E-2</v>
      </c>
      <c r="N3459" t="s">
        <v>127</v>
      </c>
      <c r="O3459" t="s">
        <v>1887</v>
      </c>
      <c r="P3459" t="s">
        <v>1888</v>
      </c>
      <c r="Q3459" s="1" t="s">
        <v>2351</v>
      </c>
      <c r="R3459" s="1" t="s">
        <v>2351</v>
      </c>
      <c r="S3459" s="1" t="s">
        <v>2351</v>
      </c>
      <c r="T3459" t="s">
        <v>421</v>
      </c>
      <c r="U3459" t="s">
        <v>421</v>
      </c>
      <c r="X3459" t="s">
        <v>161</v>
      </c>
      <c r="Y3459" t="s">
        <v>2272</v>
      </c>
      <c r="Z3459" t="s">
        <v>2272</v>
      </c>
      <c r="AA3459" t="s">
        <v>2272</v>
      </c>
      <c r="AB3459" t="s">
        <v>2272</v>
      </c>
      <c r="AC3459" s="1" t="s">
        <v>162</v>
      </c>
      <c r="AD3459" t="s">
        <v>2272</v>
      </c>
      <c r="AF3459" t="s">
        <v>49</v>
      </c>
      <c r="AI3459" t="s">
        <v>49</v>
      </c>
      <c r="AM3459" s="1" t="s">
        <v>1135</v>
      </c>
      <c r="AN3459" s="1" t="s">
        <v>191</v>
      </c>
      <c r="AP3459" s="1" t="s">
        <v>49</v>
      </c>
    </row>
    <row r="3460" spans="1:43" x14ac:dyDescent="0.2">
      <c r="A3460" t="s">
        <v>1886</v>
      </c>
      <c r="B3460" t="s">
        <v>1808</v>
      </c>
      <c r="C3460">
        <v>2010</v>
      </c>
      <c r="D3460" t="s">
        <v>811</v>
      </c>
      <c r="F3460" t="s">
        <v>54</v>
      </c>
      <c r="G3460" s="1" t="s">
        <v>86</v>
      </c>
      <c r="H3460" t="s">
        <v>350</v>
      </c>
      <c r="I3460">
        <v>2007</v>
      </c>
      <c r="J3460">
        <v>0.42</v>
      </c>
      <c r="K3460" t="s">
        <v>101</v>
      </c>
      <c r="M3460">
        <f t="shared" si="82"/>
        <v>4.0000000000000008E-2</v>
      </c>
      <c r="N3460" t="s">
        <v>123</v>
      </c>
      <c r="O3460" t="s">
        <v>123</v>
      </c>
      <c r="P3460" t="s">
        <v>518</v>
      </c>
      <c r="Q3460" s="1" t="s">
        <v>2281</v>
      </c>
      <c r="R3460" s="1" t="s">
        <v>2282</v>
      </c>
      <c r="S3460" s="1" t="s">
        <v>123</v>
      </c>
      <c r="T3460" t="s">
        <v>396</v>
      </c>
      <c r="U3460" s="1" t="s">
        <v>2399</v>
      </c>
      <c r="X3460" t="s">
        <v>161</v>
      </c>
      <c r="Y3460" t="s">
        <v>2272</v>
      </c>
      <c r="Z3460" t="s">
        <v>2272</v>
      </c>
      <c r="AA3460" t="s">
        <v>2272</v>
      </c>
      <c r="AB3460" t="s">
        <v>2272</v>
      </c>
      <c r="AC3460" s="1" t="s">
        <v>162</v>
      </c>
      <c r="AD3460" t="s">
        <v>2272</v>
      </c>
      <c r="AF3460" t="s">
        <v>49</v>
      </c>
      <c r="AI3460" t="s">
        <v>49</v>
      </c>
      <c r="AM3460" s="1" t="s">
        <v>1135</v>
      </c>
      <c r="AN3460" s="1" t="s">
        <v>191</v>
      </c>
      <c r="AP3460" s="1" t="s">
        <v>49</v>
      </c>
    </row>
    <row r="3461" spans="1:43" x14ac:dyDescent="0.2">
      <c r="A3461" t="s">
        <v>1886</v>
      </c>
      <c r="B3461" t="s">
        <v>1808</v>
      </c>
      <c r="C3461">
        <v>2010</v>
      </c>
      <c r="D3461" t="s">
        <v>811</v>
      </c>
      <c r="F3461" t="s">
        <v>54</v>
      </c>
      <c r="G3461" s="1" t="s">
        <v>86</v>
      </c>
      <c r="H3461" t="s">
        <v>350</v>
      </c>
      <c r="I3461">
        <v>2007</v>
      </c>
      <c r="J3461">
        <v>0.42</v>
      </c>
      <c r="K3461" t="s">
        <v>101</v>
      </c>
      <c r="M3461">
        <f t="shared" si="82"/>
        <v>4.0000000000000008E-2</v>
      </c>
      <c r="N3461" t="s">
        <v>132</v>
      </c>
      <c r="O3461" t="s">
        <v>132</v>
      </c>
      <c r="P3461" t="s">
        <v>169</v>
      </c>
      <c r="Q3461" s="1" t="s">
        <v>2276</v>
      </c>
      <c r="R3461" s="1" t="s">
        <v>669</v>
      </c>
      <c r="S3461" s="1" t="s">
        <v>168</v>
      </c>
      <c r="T3461" t="s">
        <v>396</v>
      </c>
      <c r="U3461" s="1" t="s">
        <v>2417</v>
      </c>
      <c r="X3461" t="s">
        <v>161</v>
      </c>
      <c r="Y3461" t="s">
        <v>2272</v>
      </c>
      <c r="Z3461" t="s">
        <v>2272</v>
      </c>
      <c r="AA3461" t="s">
        <v>2272</v>
      </c>
      <c r="AB3461" t="s">
        <v>2272</v>
      </c>
      <c r="AC3461" s="1" t="s">
        <v>162</v>
      </c>
      <c r="AD3461" t="s">
        <v>2272</v>
      </c>
      <c r="AF3461" t="s">
        <v>49</v>
      </c>
      <c r="AI3461" t="s">
        <v>49</v>
      </c>
      <c r="AM3461" s="1" t="s">
        <v>1135</v>
      </c>
      <c r="AN3461" s="1" t="s">
        <v>191</v>
      </c>
      <c r="AP3461" s="1" t="s">
        <v>49</v>
      </c>
    </row>
    <row r="3462" spans="1:43" x14ac:dyDescent="0.2">
      <c r="A3462" t="s">
        <v>1886</v>
      </c>
      <c r="B3462" t="s">
        <v>1808</v>
      </c>
      <c r="C3462">
        <v>2010</v>
      </c>
      <c r="D3462" t="s">
        <v>811</v>
      </c>
      <c r="F3462" t="s">
        <v>54</v>
      </c>
      <c r="G3462" s="1" t="s">
        <v>86</v>
      </c>
      <c r="H3462" t="s">
        <v>350</v>
      </c>
      <c r="I3462">
        <v>2007</v>
      </c>
      <c r="J3462">
        <v>0.42</v>
      </c>
      <c r="K3462" t="s">
        <v>101</v>
      </c>
      <c r="M3462">
        <f t="shared" si="82"/>
        <v>4.0000000000000008E-2</v>
      </c>
      <c r="N3462" t="s">
        <v>127</v>
      </c>
      <c r="O3462" t="s">
        <v>1887</v>
      </c>
      <c r="P3462" t="s">
        <v>1888</v>
      </c>
      <c r="Q3462" s="1" t="s">
        <v>2351</v>
      </c>
      <c r="R3462" s="1" t="s">
        <v>2351</v>
      </c>
      <c r="S3462" s="1" t="s">
        <v>2351</v>
      </c>
      <c r="T3462" t="s">
        <v>396</v>
      </c>
      <c r="U3462" s="1" t="s">
        <v>2418</v>
      </c>
      <c r="X3462" t="s">
        <v>161</v>
      </c>
      <c r="Y3462" t="s">
        <v>2272</v>
      </c>
      <c r="Z3462" t="s">
        <v>2272</v>
      </c>
      <c r="AA3462" t="s">
        <v>2272</v>
      </c>
      <c r="AB3462" t="s">
        <v>2272</v>
      </c>
      <c r="AC3462" s="1" t="s">
        <v>162</v>
      </c>
      <c r="AD3462" t="s">
        <v>2272</v>
      </c>
      <c r="AF3462" t="s">
        <v>49</v>
      </c>
      <c r="AI3462" t="s">
        <v>49</v>
      </c>
      <c r="AM3462" s="1" t="s">
        <v>1135</v>
      </c>
      <c r="AN3462" s="1" t="s">
        <v>191</v>
      </c>
      <c r="AP3462" s="1" t="s">
        <v>49</v>
      </c>
    </row>
    <row r="3463" spans="1:43" x14ac:dyDescent="0.2">
      <c r="A3463" t="s">
        <v>1886</v>
      </c>
      <c r="B3463" t="s">
        <v>1808</v>
      </c>
      <c r="C3463">
        <v>2010</v>
      </c>
      <c r="D3463" t="s">
        <v>811</v>
      </c>
      <c r="F3463" t="s">
        <v>54</v>
      </c>
      <c r="G3463" s="1" t="s">
        <v>86</v>
      </c>
      <c r="H3463" t="s">
        <v>350</v>
      </c>
      <c r="I3463">
        <v>2007</v>
      </c>
      <c r="J3463">
        <v>0.42</v>
      </c>
      <c r="K3463" t="s">
        <v>101</v>
      </c>
      <c r="M3463">
        <f t="shared" si="82"/>
        <v>4.0000000000000008E-2</v>
      </c>
      <c r="N3463" t="s">
        <v>123</v>
      </c>
      <c r="O3463" t="s">
        <v>123</v>
      </c>
      <c r="P3463" t="s">
        <v>518</v>
      </c>
      <c r="Q3463" s="1" t="s">
        <v>2281</v>
      </c>
      <c r="R3463" s="1" t="s">
        <v>2282</v>
      </c>
      <c r="S3463" s="1" t="s">
        <v>123</v>
      </c>
      <c r="T3463" t="s">
        <v>421</v>
      </c>
      <c r="U3463" t="s">
        <v>421</v>
      </c>
      <c r="X3463" t="s">
        <v>161</v>
      </c>
      <c r="Y3463" t="s">
        <v>2272</v>
      </c>
      <c r="Z3463" t="s">
        <v>2272</v>
      </c>
      <c r="AA3463" t="s">
        <v>2272</v>
      </c>
      <c r="AB3463" t="s">
        <v>2272</v>
      </c>
      <c r="AC3463" s="1" t="s">
        <v>162</v>
      </c>
      <c r="AD3463" t="s">
        <v>2272</v>
      </c>
      <c r="AF3463" t="s">
        <v>49</v>
      </c>
      <c r="AI3463" t="s">
        <v>49</v>
      </c>
      <c r="AM3463" s="1" t="s">
        <v>1135</v>
      </c>
      <c r="AN3463" s="1" t="s">
        <v>156</v>
      </c>
      <c r="AP3463" s="1"/>
      <c r="AQ3463" s="5">
        <v>1</v>
      </c>
    </row>
    <row r="3464" spans="1:43" x14ac:dyDescent="0.2">
      <c r="A3464" t="s">
        <v>1886</v>
      </c>
      <c r="B3464" t="s">
        <v>1808</v>
      </c>
      <c r="C3464">
        <v>2010</v>
      </c>
      <c r="D3464" t="s">
        <v>811</v>
      </c>
      <c r="F3464" t="s">
        <v>54</v>
      </c>
      <c r="G3464" s="1" t="s">
        <v>86</v>
      </c>
      <c r="H3464" t="s">
        <v>350</v>
      </c>
      <c r="I3464">
        <v>2007</v>
      </c>
      <c r="J3464">
        <v>0.42</v>
      </c>
      <c r="K3464" t="s">
        <v>101</v>
      </c>
      <c r="M3464">
        <f t="shared" si="82"/>
        <v>4.0000000000000008E-2</v>
      </c>
      <c r="N3464" t="s">
        <v>132</v>
      </c>
      <c r="O3464" t="s">
        <v>132</v>
      </c>
      <c r="P3464" t="s">
        <v>169</v>
      </c>
      <c r="Q3464" s="1" t="s">
        <v>2276</v>
      </c>
      <c r="R3464" s="1" t="s">
        <v>669</v>
      </c>
      <c r="S3464" s="1" t="s">
        <v>168</v>
      </c>
      <c r="T3464" t="s">
        <v>421</v>
      </c>
      <c r="U3464" t="s">
        <v>421</v>
      </c>
      <c r="X3464" t="s">
        <v>161</v>
      </c>
      <c r="Y3464" t="s">
        <v>2272</v>
      </c>
      <c r="Z3464" t="s">
        <v>2272</v>
      </c>
      <c r="AA3464" t="s">
        <v>2272</v>
      </c>
      <c r="AB3464" t="s">
        <v>2272</v>
      </c>
      <c r="AC3464" s="1" t="s">
        <v>162</v>
      </c>
      <c r="AD3464" t="s">
        <v>2272</v>
      </c>
      <c r="AF3464" t="s">
        <v>49</v>
      </c>
      <c r="AI3464" t="s">
        <v>49</v>
      </c>
      <c r="AM3464" s="1" t="s">
        <v>1135</v>
      </c>
      <c r="AN3464" s="1" t="s">
        <v>156</v>
      </c>
      <c r="AP3464" s="1"/>
      <c r="AQ3464" s="5">
        <v>1</v>
      </c>
    </row>
    <row r="3465" spans="1:43" x14ac:dyDescent="0.2">
      <c r="A3465" t="s">
        <v>1886</v>
      </c>
      <c r="B3465" t="s">
        <v>1808</v>
      </c>
      <c r="C3465">
        <v>2010</v>
      </c>
      <c r="D3465" t="s">
        <v>811</v>
      </c>
      <c r="F3465" t="s">
        <v>54</v>
      </c>
      <c r="G3465" s="1" t="s">
        <v>86</v>
      </c>
      <c r="H3465" t="s">
        <v>350</v>
      </c>
      <c r="I3465">
        <v>2007</v>
      </c>
      <c r="J3465">
        <v>0.42</v>
      </c>
      <c r="K3465" t="s">
        <v>101</v>
      </c>
      <c r="M3465">
        <f t="shared" si="82"/>
        <v>4.0000000000000008E-2</v>
      </c>
      <c r="N3465" t="s">
        <v>127</v>
      </c>
      <c r="O3465" t="s">
        <v>1887</v>
      </c>
      <c r="P3465" t="s">
        <v>1888</v>
      </c>
      <c r="Q3465" s="1" t="s">
        <v>2351</v>
      </c>
      <c r="R3465" s="1" t="s">
        <v>2351</v>
      </c>
      <c r="S3465" s="1" t="s">
        <v>2351</v>
      </c>
      <c r="T3465" t="s">
        <v>421</v>
      </c>
      <c r="U3465" t="s">
        <v>421</v>
      </c>
      <c r="X3465" t="s">
        <v>161</v>
      </c>
      <c r="Y3465" t="s">
        <v>2272</v>
      </c>
      <c r="Z3465" t="s">
        <v>2272</v>
      </c>
      <c r="AA3465" t="s">
        <v>2272</v>
      </c>
      <c r="AB3465" t="s">
        <v>2272</v>
      </c>
      <c r="AC3465" s="1" t="s">
        <v>162</v>
      </c>
      <c r="AD3465" t="s">
        <v>2272</v>
      </c>
      <c r="AF3465" t="s">
        <v>49</v>
      </c>
      <c r="AI3465" t="s">
        <v>49</v>
      </c>
      <c r="AM3465" s="1" t="s">
        <v>1135</v>
      </c>
      <c r="AN3465" s="1" t="s">
        <v>156</v>
      </c>
      <c r="AP3465" s="1"/>
      <c r="AQ3465" s="5">
        <v>1</v>
      </c>
    </row>
    <row r="3466" spans="1:43" x14ac:dyDescent="0.2">
      <c r="A3466" t="s">
        <v>1886</v>
      </c>
      <c r="B3466" t="s">
        <v>1808</v>
      </c>
      <c r="C3466">
        <v>2010</v>
      </c>
      <c r="D3466" t="s">
        <v>811</v>
      </c>
      <c r="F3466" t="s">
        <v>54</v>
      </c>
      <c r="G3466" s="1" t="s">
        <v>86</v>
      </c>
      <c r="H3466" t="s">
        <v>350</v>
      </c>
      <c r="I3466">
        <v>2007</v>
      </c>
      <c r="J3466">
        <v>0.42</v>
      </c>
      <c r="K3466" t="s">
        <v>101</v>
      </c>
      <c r="M3466">
        <f t="shared" si="82"/>
        <v>4.0000000000000008E-2</v>
      </c>
      <c r="N3466" t="s">
        <v>123</v>
      </c>
      <c r="O3466" t="s">
        <v>123</v>
      </c>
      <c r="P3466" t="s">
        <v>518</v>
      </c>
      <c r="Q3466" s="1" t="s">
        <v>2281</v>
      </c>
      <c r="R3466" s="1" t="s">
        <v>2282</v>
      </c>
      <c r="S3466" s="1" t="s">
        <v>123</v>
      </c>
      <c r="T3466" t="s">
        <v>396</v>
      </c>
      <c r="U3466" s="1" t="s">
        <v>2399</v>
      </c>
      <c r="X3466" t="s">
        <v>161</v>
      </c>
      <c r="Y3466" t="s">
        <v>2272</v>
      </c>
      <c r="Z3466" t="s">
        <v>2272</v>
      </c>
      <c r="AA3466" t="s">
        <v>2272</v>
      </c>
      <c r="AB3466" t="s">
        <v>2272</v>
      </c>
      <c r="AC3466" s="1" t="s">
        <v>162</v>
      </c>
      <c r="AD3466" t="s">
        <v>2272</v>
      </c>
      <c r="AF3466" t="s">
        <v>49</v>
      </c>
      <c r="AI3466" t="s">
        <v>49</v>
      </c>
      <c r="AM3466" s="1" t="s">
        <v>1135</v>
      </c>
      <c r="AN3466" s="1" t="s">
        <v>156</v>
      </c>
      <c r="AP3466" s="1"/>
      <c r="AQ3466" s="5">
        <v>0</v>
      </c>
    </row>
    <row r="3467" spans="1:43" x14ac:dyDescent="0.2">
      <c r="A3467" t="s">
        <v>1886</v>
      </c>
      <c r="B3467" t="s">
        <v>1808</v>
      </c>
      <c r="C3467">
        <v>2010</v>
      </c>
      <c r="D3467" t="s">
        <v>811</v>
      </c>
      <c r="F3467" t="s">
        <v>54</v>
      </c>
      <c r="G3467" s="1" t="s">
        <v>86</v>
      </c>
      <c r="H3467" t="s">
        <v>350</v>
      </c>
      <c r="I3467">
        <v>2007</v>
      </c>
      <c r="J3467">
        <v>0.42</v>
      </c>
      <c r="K3467" t="s">
        <v>101</v>
      </c>
      <c r="M3467">
        <f t="shared" si="82"/>
        <v>4.0000000000000008E-2</v>
      </c>
      <c r="N3467" t="s">
        <v>132</v>
      </c>
      <c r="O3467" t="s">
        <v>132</v>
      </c>
      <c r="P3467" t="s">
        <v>169</v>
      </c>
      <c r="Q3467" s="1" t="s">
        <v>2276</v>
      </c>
      <c r="R3467" s="1" t="s">
        <v>669</v>
      </c>
      <c r="S3467" s="1" t="s">
        <v>168</v>
      </c>
      <c r="T3467" t="s">
        <v>396</v>
      </c>
      <c r="U3467" s="1" t="s">
        <v>2417</v>
      </c>
      <c r="X3467" t="s">
        <v>161</v>
      </c>
      <c r="Y3467" t="s">
        <v>2272</v>
      </c>
      <c r="Z3467" t="s">
        <v>2272</v>
      </c>
      <c r="AA3467" t="s">
        <v>2272</v>
      </c>
      <c r="AB3467" t="s">
        <v>2272</v>
      </c>
      <c r="AC3467" s="1" t="s">
        <v>162</v>
      </c>
      <c r="AD3467" t="s">
        <v>2272</v>
      </c>
      <c r="AF3467" t="s">
        <v>49</v>
      </c>
      <c r="AI3467" t="s">
        <v>49</v>
      </c>
      <c r="AM3467" s="1" t="s">
        <v>1135</v>
      </c>
      <c r="AN3467" s="1" t="s">
        <v>156</v>
      </c>
      <c r="AP3467" s="1"/>
      <c r="AQ3467" s="5">
        <v>0</v>
      </c>
    </row>
    <row r="3468" spans="1:43" x14ac:dyDescent="0.2">
      <c r="A3468" t="s">
        <v>1886</v>
      </c>
      <c r="B3468" t="s">
        <v>1808</v>
      </c>
      <c r="C3468">
        <v>2010</v>
      </c>
      <c r="D3468" t="s">
        <v>811</v>
      </c>
      <c r="F3468" t="s">
        <v>54</v>
      </c>
      <c r="G3468" s="1" t="s">
        <v>86</v>
      </c>
      <c r="H3468" t="s">
        <v>350</v>
      </c>
      <c r="I3468">
        <v>2007</v>
      </c>
      <c r="J3468">
        <v>0.42</v>
      </c>
      <c r="K3468" t="s">
        <v>101</v>
      </c>
      <c r="M3468">
        <f t="shared" si="82"/>
        <v>4.0000000000000008E-2</v>
      </c>
      <c r="N3468" t="s">
        <v>127</v>
      </c>
      <c r="O3468" t="s">
        <v>1887</v>
      </c>
      <c r="P3468" t="s">
        <v>1888</v>
      </c>
      <c r="Q3468" s="1" t="s">
        <v>2351</v>
      </c>
      <c r="R3468" s="1" t="s">
        <v>2351</v>
      </c>
      <c r="S3468" s="1" t="s">
        <v>2351</v>
      </c>
      <c r="T3468" t="s">
        <v>396</v>
      </c>
      <c r="U3468" s="1" t="s">
        <v>2418</v>
      </c>
      <c r="X3468" t="s">
        <v>161</v>
      </c>
      <c r="Y3468" t="s">
        <v>2272</v>
      </c>
      <c r="Z3468" t="s">
        <v>2272</v>
      </c>
      <c r="AA3468" t="s">
        <v>2272</v>
      </c>
      <c r="AB3468" t="s">
        <v>2272</v>
      </c>
      <c r="AC3468" s="1" t="s">
        <v>162</v>
      </c>
      <c r="AD3468" t="s">
        <v>2272</v>
      </c>
      <c r="AF3468" t="s">
        <v>49</v>
      </c>
      <c r="AI3468" t="s">
        <v>49</v>
      </c>
      <c r="AM3468" s="1" t="s">
        <v>1135</v>
      </c>
      <c r="AN3468" s="1" t="s">
        <v>156</v>
      </c>
      <c r="AP3468" s="1"/>
      <c r="AQ3468" s="5">
        <v>0</v>
      </c>
    </row>
    <row r="3469" spans="1:43" x14ac:dyDescent="0.2">
      <c r="A3469" t="s">
        <v>1886</v>
      </c>
      <c r="B3469" t="s">
        <v>1808</v>
      </c>
      <c r="C3469">
        <v>2010</v>
      </c>
      <c r="D3469" t="s">
        <v>44</v>
      </c>
      <c r="F3469" t="s">
        <v>54</v>
      </c>
      <c r="G3469" s="1" t="s">
        <v>86</v>
      </c>
      <c r="H3469" t="s">
        <v>350</v>
      </c>
      <c r="I3469">
        <v>2007</v>
      </c>
      <c r="K3469" t="s">
        <v>101</v>
      </c>
      <c r="M3469">
        <f t="shared" si="82"/>
        <v>4.0000000000000008E-2</v>
      </c>
      <c r="N3469" t="s">
        <v>123</v>
      </c>
      <c r="O3469" t="s">
        <v>123</v>
      </c>
      <c r="P3469" t="s">
        <v>518</v>
      </c>
      <c r="Q3469" s="1" t="s">
        <v>2281</v>
      </c>
      <c r="R3469" s="1" t="s">
        <v>2282</v>
      </c>
      <c r="S3469" s="1" t="s">
        <v>123</v>
      </c>
      <c r="X3469" t="s">
        <v>502</v>
      </c>
      <c r="Y3469" t="s">
        <v>2279</v>
      </c>
      <c r="Z3469" t="s">
        <v>2280</v>
      </c>
      <c r="AA3469" t="s">
        <v>2358</v>
      </c>
      <c r="AB3469" t="s">
        <v>2459</v>
      </c>
      <c r="AC3469" s="1" t="s">
        <v>162</v>
      </c>
      <c r="AD3469" t="s">
        <v>2278</v>
      </c>
      <c r="AF3469" t="s">
        <v>49</v>
      </c>
      <c r="AI3469" t="s">
        <v>49</v>
      </c>
      <c r="AM3469" s="1" t="s">
        <v>1135</v>
      </c>
      <c r="AN3469" s="1" t="s">
        <v>156</v>
      </c>
      <c r="AP3469" s="1" t="s">
        <v>157</v>
      </c>
    </row>
    <row r="3470" spans="1:43" x14ac:dyDescent="0.2">
      <c r="A3470" t="s">
        <v>1886</v>
      </c>
      <c r="B3470" t="s">
        <v>1808</v>
      </c>
      <c r="C3470">
        <v>2010</v>
      </c>
      <c r="D3470" t="s">
        <v>44</v>
      </c>
      <c r="F3470" t="s">
        <v>54</v>
      </c>
      <c r="G3470" s="1" t="s">
        <v>86</v>
      </c>
      <c r="H3470" t="s">
        <v>350</v>
      </c>
      <c r="I3470">
        <v>2007</v>
      </c>
      <c r="K3470" t="s">
        <v>101</v>
      </c>
      <c r="M3470">
        <f t="shared" si="82"/>
        <v>4.0000000000000008E-2</v>
      </c>
      <c r="N3470" t="s">
        <v>123</v>
      </c>
      <c r="O3470" t="s">
        <v>123</v>
      </c>
      <c r="P3470" t="s">
        <v>518</v>
      </c>
      <c r="Q3470" s="1" t="s">
        <v>2281</v>
      </c>
      <c r="R3470" s="1" t="s">
        <v>2282</v>
      </c>
      <c r="S3470" s="1" t="s">
        <v>123</v>
      </c>
      <c r="T3470" t="s">
        <v>396</v>
      </c>
      <c r="U3470" t="s">
        <v>168</v>
      </c>
      <c r="X3470" t="s">
        <v>161</v>
      </c>
      <c r="Y3470" t="s">
        <v>2272</v>
      </c>
      <c r="Z3470" t="s">
        <v>2272</v>
      </c>
      <c r="AA3470" t="s">
        <v>2272</v>
      </c>
      <c r="AB3470" t="s">
        <v>2272</v>
      </c>
      <c r="AC3470" s="1" t="s">
        <v>162</v>
      </c>
      <c r="AD3470" t="s">
        <v>2272</v>
      </c>
      <c r="AF3470" t="s">
        <v>49</v>
      </c>
      <c r="AI3470" t="s">
        <v>49</v>
      </c>
      <c r="AM3470" s="1" t="s">
        <v>1135</v>
      </c>
      <c r="AN3470" s="1" t="s">
        <v>156</v>
      </c>
      <c r="AP3470" s="1"/>
      <c r="AQ3470" s="5">
        <v>1</v>
      </c>
    </row>
    <row r="3471" spans="1:43" x14ac:dyDescent="0.2">
      <c r="A3471" t="s">
        <v>1886</v>
      </c>
      <c r="B3471" t="s">
        <v>1808</v>
      </c>
      <c r="C3471">
        <v>2010</v>
      </c>
      <c r="D3471" t="s">
        <v>44</v>
      </c>
      <c r="F3471" t="s">
        <v>54</v>
      </c>
      <c r="G3471" s="1" t="s">
        <v>86</v>
      </c>
      <c r="H3471" t="s">
        <v>350</v>
      </c>
      <c r="I3471">
        <v>2007</v>
      </c>
      <c r="K3471" t="s">
        <v>101</v>
      </c>
      <c r="M3471">
        <f t="shared" si="82"/>
        <v>4.0000000000000008E-2</v>
      </c>
      <c r="N3471" t="s">
        <v>132</v>
      </c>
      <c r="O3471" t="s">
        <v>132</v>
      </c>
      <c r="P3471" t="s">
        <v>169</v>
      </c>
      <c r="Q3471" s="1" t="s">
        <v>2276</v>
      </c>
      <c r="R3471" s="1" t="s">
        <v>669</v>
      </c>
      <c r="S3471" s="1" t="s">
        <v>168</v>
      </c>
      <c r="T3471" t="s">
        <v>396</v>
      </c>
      <c r="U3471" t="s">
        <v>123</v>
      </c>
      <c r="X3471" t="s">
        <v>161</v>
      </c>
      <c r="Y3471" t="s">
        <v>2272</v>
      </c>
      <c r="Z3471" t="s">
        <v>2272</v>
      </c>
      <c r="AA3471" t="s">
        <v>2272</v>
      </c>
      <c r="AB3471" t="s">
        <v>2272</v>
      </c>
      <c r="AC3471" s="1" t="s">
        <v>162</v>
      </c>
      <c r="AD3471" t="s">
        <v>2272</v>
      </c>
      <c r="AF3471" t="s">
        <v>49</v>
      </c>
      <c r="AI3471" t="s">
        <v>49</v>
      </c>
      <c r="AM3471" s="1" t="s">
        <v>1135</v>
      </c>
      <c r="AN3471" s="1" t="s">
        <v>156</v>
      </c>
      <c r="AQ3471" s="5">
        <v>2</v>
      </c>
    </row>
    <row r="3472" spans="1:43" x14ac:dyDescent="0.2">
      <c r="A3472" t="s">
        <v>1886</v>
      </c>
      <c r="B3472" t="s">
        <v>1808</v>
      </c>
      <c r="C3472">
        <v>2010</v>
      </c>
      <c r="D3472" t="s">
        <v>44</v>
      </c>
      <c r="F3472" t="s">
        <v>54</v>
      </c>
      <c r="G3472" s="1" t="s">
        <v>86</v>
      </c>
      <c r="H3472" t="s">
        <v>350</v>
      </c>
      <c r="I3472">
        <v>2007</v>
      </c>
      <c r="K3472" t="s">
        <v>101</v>
      </c>
      <c r="M3472">
        <f t="shared" si="82"/>
        <v>4.0000000000000008E-2</v>
      </c>
      <c r="N3472" t="s">
        <v>123</v>
      </c>
      <c r="O3472" t="s">
        <v>123</v>
      </c>
      <c r="P3472" t="s">
        <v>518</v>
      </c>
      <c r="Q3472" s="1" t="s">
        <v>2281</v>
      </c>
      <c r="R3472" s="1" t="s">
        <v>2282</v>
      </c>
      <c r="S3472" s="1" t="s">
        <v>123</v>
      </c>
      <c r="X3472" t="s">
        <v>171</v>
      </c>
      <c r="Y3472" t="s">
        <v>2279</v>
      </c>
      <c r="Z3472" t="s">
        <v>2280</v>
      </c>
      <c r="AA3472" t="s">
        <v>2358</v>
      </c>
      <c r="AB3472" t="s">
        <v>2580</v>
      </c>
      <c r="AC3472" s="1" t="s">
        <v>315</v>
      </c>
      <c r="AD3472" t="s">
        <v>2278</v>
      </c>
      <c r="AF3472" t="s">
        <v>49</v>
      </c>
      <c r="AI3472" t="s">
        <v>49</v>
      </c>
      <c r="AM3472" s="1" t="s">
        <v>1135</v>
      </c>
      <c r="AN3472" s="1" t="s">
        <v>154</v>
      </c>
      <c r="AP3472" s="1" t="s">
        <v>157</v>
      </c>
    </row>
    <row r="3473" spans="1:44" x14ac:dyDescent="0.2">
      <c r="A3473" t="s">
        <v>1886</v>
      </c>
      <c r="B3473" t="s">
        <v>1808</v>
      </c>
      <c r="C3473">
        <v>2010</v>
      </c>
      <c r="D3473" t="s">
        <v>44</v>
      </c>
      <c r="F3473" t="s">
        <v>54</v>
      </c>
      <c r="G3473" s="1" t="s">
        <v>86</v>
      </c>
      <c r="H3473" t="s">
        <v>350</v>
      </c>
      <c r="I3473">
        <v>2007</v>
      </c>
      <c r="K3473" t="s">
        <v>101</v>
      </c>
      <c r="M3473">
        <f t="shared" si="82"/>
        <v>4.0000000000000008E-2</v>
      </c>
      <c r="N3473" t="s">
        <v>123</v>
      </c>
      <c r="O3473" t="s">
        <v>123</v>
      </c>
      <c r="P3473" t="s">
        <v>518</v>
      </c>
      <c r="Q3473" s="1" t="s">
        <v>2281</v>
      </c>
      <c r="R3473" s="1" t="s">
        <v>2282</v>
      </c>
      <c r="S3473" s="1" t="s">
        <v>123</v>
      </c>
      <c r="X3473" t="s">
        <v>171</v>
      </c>
      <c r="Y3473" t="s">
        <v>2279</v>
      </c>
      <c r="Z3473" t="s">
        <v>2280</v>
      </c>
      <c r="AA3473" t="s">
        <v>2358</v>
      </c>
      <c r="AB3473" t="s">
        <v>2580</v>
      </c>
      <c r="AC3473" s="1" t="s">
        <v>315</v>
      </c>
      <c r="AD3473" t="s">
        <v>2278</v>
      </c>
      <c r="AF3473" t="s">
        <v>49</v>
      </c>
      <c r="AI3473" t="s">
        <v>49</v>
      </c>
      <c r="AM3473" s="1" t="s">
        <v>1135</v>
      </c>
      <c r="AN3473" s="1" t="s">
        <v>166</v>
      </c>
      <c r="AP3473" s="1" t="s">
        <v>157</v>
      </c>
    </row>
    <row r="3474" spans="1:44" x14ac:dyDescent="0.2">
      <c r="A3474" t="s">
        <v>1889</v>
      </c>
      <c r="B3474" t="s">
        <v>1890</v>
      </c>
      <c r="C3474">
        <v>2010</v>
      </c>
      <c r="D3474" t="s">
        <v>44</v>
      </c>
      <c r="F3474" t="s">
        <v>81</v>
      </c>
      <c r="G3474" s="1" t="s">
        <v>91</v>
      </c>
      <c r="H3474" t="s">
        <v>96</v>
      </c>
      <c r="I3474" t="s">
        <v>1619</v>
      </c>
      <c r="K3474" t="s">
        <v>101</v>
      </c>
      <c r="L3474">
        <v>200</v>
      </c>
      <c r="M3474">
        <v>1</v>
      </c>
      <c r="N3474" t="s">
        <v>120</v>
      </c>
      <c r="O3474" t="s">
        <v>252</v>
      </c>
      <c r="P3474" t="s">
        <v>1891</v>
      </c>
      <c r="Q3474" s="1" t="s">
        <v>2276</v>
      </c>
      <c r="R3474" s="1" t="s">
        <v>669</v>
      </c>
      <c r="S3474" s="1" t="s">
        <v>168</v>
      </c>
      <c r="X3474" t="s">
        <v>1892</v>
      </c>
      <c r="Y3474" t="s">
        <v>2273</v>
      </c>
      <c r="Z3474" t="s">
        <v>249</v>
      </c>
      <c r="AA3474" t="s">
        <v>2274</v>
      </c>
      <c r="AB3474" t="s">
        <v>2300</v>
      </c>
      <c r="AC3474" s="1" t="s">
        <v>152</v>
      </c>
      <c r="AD3474" t="s">
        <v>137</v>
      </c>
    </row>
    <row r="3475" spans="1:44" x14ac:dyDescent="0.2">
      <c r="A3475" t="s">
        <v>1889</v>
      </c>
      <c r="B3475" t="s">
        <v>1890</v>
      </c>
      <c r="C3475">
        <v>2010</v>
      </c>
      <c r="D3475" t="s">
        <v>44</v>
      </c>
      <c r="F3475" t="s">
        <v>81</v>
      </c>
      <c r="G3475" s="1" t="s">
        <v>91</v>
      </c>
      <c r="H3475" t="s">
        <v>96</v>
      </c>
      <c r="I3475" t="s">
        <v>1619</v>
      </c>
      <c r="J3475">
        <v>1.33</v>
      </c>
      <c r="K3475" t="s">
        <v>101</v>
      </c>
      <c r="L3475">
        <v>200</v>
      </c>
      <c r="M3475">
        <v>1</v>
      </c>
      <c r="N3475" t="s">
        <v>120</v>
      </c>
      <c r="O3475" t="s">
        <v>252</v>
      </c>
      <c r="P3475" t="s">
        <v>1891</v>
      </c>
      <c r="Q3475" s="1" t="s">
        <v>2276</v>
      </c>
      <c r="R3475" s="1" t="s">
        <v>669</v>
      </c>
      <c r="S3475" s="1" t="s">
        <v>168</v>
      </c>
      <c r="X3475" t="s">
        <v>293</v>
      </c>
      <c r="Y3475" t="s">
        <v>2273</v>
      </c>
      <c r="Z3475" t="s">
        <v>249</v>
      </c>
      <c r="AA3475" t="s">
        <v>2359</v>
      </c>
      <c r="AB3475" t="s">
        <v>1419</v>
      </c>
      <c r="AC3475" s="1" t="s">
        <v>152</v>
      </c>
      <c r="AD3475" t="s">
        <v>137</v>
      </c>
    </row>
    <row r="3476" spans="1:44" x14ac:dyDescent="0.2">
      <c r="A3476" t="s">
        <v>1889</v>
      </c>
      <c r="B3476" t="s">
        <v>1890</v>
      </c>
      <c r="C3476">
        <v>2010</v>
      </c>
      <c r="D3476" t="s">
        <v>44</v>
      </c>
      <c r="F3476" t="s">
        <v>81</v>
      </c>
      <c r="G3476" s="1" t="s">
        <v>91</v>
      </c>
      <c r="H3476" t="s">
        <v>96</v>
      </c>
      <c r="I3476" t="s">
        <v>1619</v>
      </c>
      <c r="J3476">
        <v>1.33</v>
      </c>
      <c r="K3476" t="s">
        <v>101</v>
      </c>
      <c r="L3476">
        <v>200</v>
      </c>
      <c r="M3476">
        <v>1</v>
      </c>
      <c r="N3476" t="s">
        <v>120</v>
      </c>
      <c r="O3476" t="s">
        <v>252</v>
      </c>
      <c r="P3476" t="s">
        <v>1891</v>
      </c>
      <c r="Q3476" s="1" t="s">
        <v>2276</v>
      </c>
      <c r="R3476" s="1" t="s">
        <v>669</v>
      </c>
      <c r="S3476" s="1" t="s">
        <v>168</v>
      </c>
      <c r="X3476" t="s">
        <v>1894</v>
      </c>
      <c r="Y3476" t="s">
        <v>2279</v>
      </c>
      <c r="Z3476" t="s">
        <v>2280</v>
      </c>
      <c r="AA3476" t="s">
        <v>2358</v>
      </c>
      <c r="AB3476" t="s">
        <v>189</v>
      </c>
      <c r="AC3476" t="s">
        <v>152</v>
      </c>
      <c r="AD3476" t="s">
        <v>2278</v>
      </c>
      <c r="AF3476" t="s">
        <v>49</v>
      </c>
      <c r="AL3476" t="s">
        <v>49</v>
      </c>
      <c r="AM3476" s="1" t="s">
        <v>1895</v>
      </c>
      <c r="AN3476" s="1" t="s">
        <v>166</v>
      </c>
      <c r="AP3476" t="s">
        <v>51</v>
      </c>
    </row>
    <row r="3477" spans="1:44" x14ac:dyDescent="0.2">
      <c r="A3477" t="s">
        <v>1889</v>
      </c>
      <c r="B3477" t="s">
        <v>1890</v>
      </c>
      <c r="C3477">
        <v>2010</v>
      </c>
      <c r="D3477" t="s">
        <v>44</v>
      </c>
      <c r="F3477" t="s">
        <v>81</v>
      </c>
      <c r="G3477" s="1" t="s">
        <v>91</v>
      </c>
      <c r="H3477" t="s">
        <v>96</v>
      </c>
      <c r="I3477" t="s">
        <v>1619</v>
      </c>
      <c r="J3477">
        <v>1.33</v>
      </c>
      <c r="K3477" t="s">
        <v>101</v>
      </c>
      <c r="L3477">
        <v>200</v>
      </c>
      <c r="M3477">
        <v>1</v>
      </c>
      <c r="N3477" t="s">
        <v>120</v>
      </c>
      <c r="O3477" t="s">
        <v>252</v>
      </c>
      <c r="P3477" t="s">
        <v>1891</v>
      </c>
      <c r="Q3477" s="1" t="s">
        <v>2276</v>
      </c>
      <c r="R3477" s="1" t="s">
        <v>669</v>
      </c>
      <c r="S3477" s="1" t="s">
        <v>168</v>
      </c>
      <c r="X3477" t="s">
        <v>1894</v>
      </c>
      <c r="Y3477" t="s">
        <v>2279</v>
      </c>
      <c r="Z3477" t="s">
        <v>2280</v>
      </c>
      <c r="AA3477" t="s">
        <v>2358</v>
      </c>
      <c r="AB3477" t="s">
        <v>189</v>
      </c>
      <c r="AC3477" t="s">
        <v>152</v>
      </c>
      <c r="AD3477" t="s">
        <v>2278</v>
      </c>
      <c r="AF3477" t="s">
        <v>49</v>
      </c>
      <c r="AJ3477" t="s">
        <v>49</v>
      </c>
      <c r="AM3477" s="1" t="s">
        <v>1896</v>
      </c>
      <c r="AN3477" s="1" t="s">
        <v>166</v>
      </c>
      <c r="AP3477" t="s">
        <v>157</v>
      </c>
    </row>
    <row r="3478" spans="1:44" x14ac:dyDescent="0.2">
      <c r="A3478" t="s">
        <v>1889</v>
      </c>
      <c r="B3478" t="s">
        <v>1890</v>
      </c>
      <c r="C3478">
        <v>2010</v>
      </c>
      <c r="D3478" t="s">
        <v>44</v>
      </c>
      <c r="F3478" t="s">
        <v>81</v>
      </c>
      <c r="G3478" s="1" t="s">
        <v>91</v>
      </c>
      <c r="H3478" t="s">
        <v>96</v>
      </c>
      <c r="I3478" t="s">
        <v>1619</v>
      </c>
      <c r="J3478">
        <v>1.33</v>
      </c>
      <c r="K3478" t="s">
        <v>101</v>
      </c>
      <c r="L3478">
        <v>200</v>
      </c>
      <c r="M3478">
        <v>1</v>
      </c>
      <c r="N3478" t="s">
        <v>120</v>
      </c>
      <c r="O3478" t="s">
        <v>252</v>
      </c>
      <c r="P3478" t="s">
        <v>1891</v>
      </c>
      <c r="Q3478" s="1" t="s">
        <v>2276</v>
      </c>
      <c r="R3478" s="1" t="s">
        <v>669</v>
      </c>
      <c r="S3478" s="1" t="s">
        <v>168</v>
      </c>
      <c r="X3478" t="s">
        <v>1893</v>
      </c>
      <c r="Y3478" t="s">
        <v>2279</v>
      </c>
      <c r="Z3478" t="s">
        <v>2280</v>
      </c>
      <c r="AA3478" t="s">
        <v>2286</v>
      </c>
      <c r="AB3478" t="s">
        <v>2328</v>
      </c>
      <c r="AC3478" t="s">
        <v>152</v>
      </c>
      <c r="AD3478" t="s">
        <v>2278</v>
      </c>
    </row>
    <row r="3479" spans="1:44" x14ac:dyDescent="0.2">
      <c r="A3479" t="s">
        <v>1889</v>
      </c>
      <c r="B3479" t="s">
        <v>1890</v>
      </c>
      <c r="C3479">
        <v>2010</v>
      </c>
      <c r="D3479" t="s">
        <v>811</v>
      </c>
      <c r="F3479" t="s">
        <v>81</v>
      </c>
      <c r="G3479" s="1" t="s">
        <v>91</v>
      </c>
      <c r="H3479" t="s">
        <v>96</v>
      </c>
      <c r="J3479">
        <v>1</v>
      </c>
      <c r="K3479" t="s">
        <v>109</v>
      </c>
      <c r="L3479">
        <v>97</v>
      </c>
      <c r="M3479">
        <v>1</v>
      </c>
      <c r="N3479" t="s">
        <v>120</v>
      </c>
      <c r="O3479" t="s">
        <v>252</v>
      </c>
      <c r="P3479" t="s">
        <v>1891</v>
      </c>
      <c r="Q3479" s="1" t="s">
        <v>2276</v>
      </c>
      <c r="R3479" s="1" t="s">
        <v>669</v>
      </c>
      <c r="S3479" s="1" t="s">
        <v>168</v>
      </c>
      <c r="T3479" t="s">
        <v>421</v>
      </c>
      <c r="U3479" t="s">
        <v>421</v>
      </c>
      <c r="X3479" t="s">
        <v>161</v>
      </c>
      <c r="Y3479" t="s">
        <v>2272</v>
      </c>
      <c r="Z3479" t="s">
        <v>2272</v>
      </c>
      <c r="AA3479" t="s">
        <v>2272</v>
      </c>
      <c r="AB3479" t="s">
        <v>2272</v>
      </c>
      <c r="AC3479" s="1" t="s">
        <v>162</v>
      </c>
      <c r="AD3479" t="s">
        <v>2272</v>
      </c>
    </row>
    <row r="3480" spans="1:44" x14ac:dyDescent="0.2">
      <c r="A3480" t="s">
        <v>1897</v>
      </c>
      <c r="B3480" t="s">
        <v>1898</v>
      </c>
      <c r="C3480">
        <v>2010</v>
      </c>
      <c r="D3480" t="s">
        <v>811</v>
      </c>
      <c r="F3480" t="s">
        <v>81</v>
      </c>
      <c r="G3480" s="1" t="s">
        <v>91</v>
      </c>
      <c r="H3480" t="s">
        <v>96</v>
      </c>
      <c r="J3480">
        <v>1</v>
      </c>
      <c r="K3480" t="s">
        <v>109</v>
      </c>
      <c r="M3480">
        <v>7.9000000000000008E-3</v>
      </c>
      <c r="N3480" t="s">
        <v>466</v>
      </c>
      <c r="O3480" t="s">
        <v>466</v>
      </c>
      <c r="P3480" t="s">
        <v>658</v>
      </c>
      <c r="Q3480" s="1" t="s">
        <v>2281</v>
      </c>
      <c r="R3480" s="1" t="s">
        <v>2301</v>
      </c>
      <c r="S3480" s="1" t="s">
        <v>2302</v>
      </c>
      <c r="V3480" t="s">
        <v>194</v>
      </c>
      <c r="W3480" t="s">
        <v>658</v>
      </c>
      <c r="X3480" t="s">
        <v>615</v>
      </c>
      <c r="Y3480" t="s">
        <v>2279</v>
      </c>
      <c r="Z3480" t="s">
        <v>2280</v>
      </c>
      <c r="AA3480" t="s">
        <v>2358</v>
      </c>
      <c r="AB3480" t="s">
        <v>261</v>
      </c>
      <c r="AC3480" t="s">
        <v>152</v>
      </c>
      <c r="AD3480" t="s">
        <v>2278</v>
      </c>
    </row>
    <row r="3481" spans="1:44" x14ac:dyDescent="0.2">
      <c r="A3481" t="s">
        <v>1897</v>
      </c>
      <c r="B3481" t="s">
        <v>1898</v>
      </c>
      <c r="C3481">
        <v>2010</v>
      </c>
      <c r="D3481" t="s">
        <v>811</v>
      </c>
      <c r="F3481" t="s">
        <v>81</v>
      </c>
      <c r="G3481" s="1" t="s">
        <v>91</v>
      </c>
      <c r="H3481" t="s">
        <v>96</v>
      </c>
      <c r="J3481">
        <v>1</v>
      </c>
      <c r="K3481" t="s">
        <v>109</v>
      </c>
      <c r="M3481">
        <v>7.9000000000000008E-3</v>
      </c>
      <c r="N3481" t="s">
        <v>466</v>
      </c>
      <c r="O3481" t="s">
        <v>466</v>
      </c>
      <c r="P3481" t="s">
        <v>658</v>
      </c>
      <c r="Q3481" s="1" t="s">
        <v>2281</v>
      </c>
      <c r="R3481" s="1" t="s">
        <v>2301</v>
      </c>
      <c r="S3481" s="1" t="s">
        <v>2302</v>
      </c>
      <c r="T3481" t="s">
        <v>421</v>
      </c>
      <c r="U3481" t="s">
        <v>421</v>
      </c>
      <c r="V3481" t="s">
        <v>194</v>
      </c>
      <c r="W3481" t="s">
        <v>658</v>
      </c>
      <c r="X3481" t="s">
        <v>161</v>
      </c>
      <c r="Y3481" t="s">
        <v>2272</v>
      </c>
      <c r="Z3481" t="s">
        <v>2272</v>
      </c>
      <c r="AA3481" t="s">
        <v>2272</v>
      </c>
      <c r="AB3481" t="s">
        <v>2272</v>
      </c>
      <c r="AC3481" t="s">
        <v>162</v>
      </c>
      <c r="AD3481" t="s">
        <v>2272</v>
      </c>
      <c r="AG3481" t="s">
        <v>49</v>
      </c>
      <c r="AI3481" t="s">
        <v>49</v>
      </c>
      <c r="AM3481" t="s">
        <v>442</v>
      </c>
      <c r="AN3481" t="s">
        <v>165</v>
      </c>
      <c r="AP3481" t="s">
        <v>49</v>
      </c>
    </row>
    <row r="3482" spans="1:44" x14ac:dyDescent="0.2">
      <c r="A3482" t="s">
        <v>1897</v>
      </c>
      <c r="B3482" t="s">
        <v>1898</v>
      </c>
      <c r="C3482">
        <v>2010</v>
      </c>
      <c r="D3482" t="s">
        <v>811</v>
      </c>
      <c r="F3482" t="s">
        <v>81</v>
      </c>
      <c r="G3482" s="1" t="s">
        <v>91</v>
      </c>
      <c r="H3482" t="s">
        <v>96</v>
      </c>
      <c r="J3482">
        <v>1</v>
      </c>
      <c r="K3482" t="s">
        <v>109</v>
      </c>
      <c r="M3482">
        <v>7.9000000000000008E-3</v>
      </c>
      <c r="N3482" t="s">
        <v>466</v>
      </c>
      <c r="O3482" t="s">
        <v>466</v>
      </c>
      <c r="P3482" t="s">
        <v>658</v>
      </c>
      <c r="Q3482" s="1" t="s">
        <v>2281</v>
      </c>
      <c r="R3482" s="1" t="s">
        <v>2301</v>
      </c>
      <c r="S3482" s="1" t="s">
        <v>2302</v>
      </c>
      <c r="T3482" t="s">
        <v>421</v>
      </c>
      <c r="U3482" t="s">
        <v>421</v>
      </c>
      <c r="V3482" t="s">
        <v>194</v>
      </c>
      <c r="W3482" t="s">
        <v>658</v>
      </c>
      <c r="X3482" t="s">
        <v>161</v>
      </c>
      <c r="Y3482" t="s">
        <v>2272</v>
      </c>
      <c r="Z3482" t="s">
        <v>2272</v>
      </c>
      <c r="AA3482" t="s">
        <v>2272</v>
      </c>
      <c r="AB3482" t="s">
        <v>2272</v>
      </c>
      <c r="AC3482" t="s">
        <v>162</v>
      </c>
      <c r="AD3482" t="s">
        <v>2272</v>
      </c>
      <c r="AG3482" t="s">
        <v>49</v>
      </c>
      <c r="AI3482" t="s">
        <v>49</v>
      </c>
      <c r="AM3482" t="s">
        <v>442</v>
      </c>
      <c r="AN3482" t="s">
        <v>166</v>
      </c>
      <c r="AQ3482" s="5">
        <v>2</v>
      </c>
    </row>
    <row r="3483" spans="1:44" x14ac:dyDescent="0.2">
      <c r="A3483" t="s">
        <v>1899</v>
      </c>
      <c r="B3483" t="s">
        <v>1231</v>
      </c>
      <c r="C3483">
        <v>2010</v>
      </c>
      <c r="D3483" t="s">
        <v>811</v>
      </c>
      <c r="F3483" t="s">
        <v>83</v>
      </c>
      <c r="G3483" s="1" t="s">
        <v>85</v>
      </c>
      <c r="H3483" t="s">
        <v>96</v>
      </c>
      <c r="I3483" t="s">
        <v>1481</v>
      </c>
      <c r="J3483">
        <v>0.33</v>
      </c>
      <c r="K3483" t="s">
        <v>101</v>
      </c>
      <c r="M3483">
        <f t="shared" ref="M3483:M3490" si="83">0.18*0.18</f>
        <v>3.2399999999999998E-2</v>
      </c>
      <c r="N3483" t="s">
        <v>123</v>
      </c>
      <c r="O3483" t="s">
        <v>123</v>
      </c>
      <c r="P3483" t="s">
        <v>1900</v>
      </c>
      <c r="Q3483" s="1" t="s">
        <v>2281</v>
      </c>
      <c r="R3483" s="1" t="s">
        <v>2282</v>
      </c>
      <c r="S3483" s="1" t="s">
        <v>123</v>
      </c>
      <c r="X3483" t="s">
        <v>1901</v>
      </c>
      <c r="Y3483" t="s">
        <v>2279</v>
      </c>
      <c r="Z3483" t="s">
        <v>2280</v>
      </c>
      <c r="AA3483" t="s">
        <v>2358</v>
      </c>
      <c r="AB3483" t="s">
        <v>2009</v>
      </c>
      <c r="AC3483" t="s">
        <v>152</v>
      </c>
      <c r="AD3483" t="s">
        <v>2278</v>
      </c>
      <c r="AR3483">
        <v>1</v>
      </c>
    </row>
    <row r="3484" spans="1:44" x14ac:dyDescent="0.2">
      <c r="A3484" t="s">
        <v>1899</v>
      </c>
      <c r="B3484" t="s">
        <v>1231</v>
      </c>
      <c r="C3484">
        <v>2010</v>
      </c>
      <c r="D3484" t="s">
        <v>811</v>
      </c>
      <c r="F3484" t="s">
        <v>83</v>
      </c>
      <c r="G3484" s="1" t="s">
        <v>85</v>
      </c>
      <c r="H3484" t="s">
        <v>96</v>
      </c>
      <c r="I3484" t="s">
        <v>1481</v>
      </c>
      <c r="J3484">
        <v>0.33</v>
      </c>
      <c r="K3484" t="s">
        <v>101</v>
      </c>
      <c r="M3484">
        <f t="shared" si="83"/>
        <v>3.2399999999999998E-2</v>
      </c>
      <c r="N3484" t="s">
        <v>123</v>
      </c>
      <c r="O3484" t="s">
        <v>123</v>
      </c>
      <c r="P3484" t="s">
        <v>1900</v>
      </c>
      <c r="Q3484" s="1" t="s">
        <v>2281</v>
      </c>
      <c r="R3484" s="1" t="s">
        <v>2282</v>
      </c>
      <c r="S3484" s="1" t="s">
        <v>123</v>
      </c>
      <c r="X3484" t="s">
        <v>1902</v>
      </c>
      <c r="Y3484" t="s">
        <v>2279</v>
      </c>
      <c r="Z3484" t="s">
        <v>2280</v>
      </c>
      <c r="AA3484" t="s">
        <v>2286</v>
      </c>
      <c r="AB3484" t="s">
        <v>2287</v>
      </c>
      <c r="AC3484" t="s">
        <v>162</v>
      </c>
      <c r="AD3484" t="s">
        <v>2278</v>
      </c>
      <c r="AR3484">
        <v>1</v>
      </c>
    </row>
    <row r="3485" spans="1:44" x14ac:dyDescent="0.2">
      <c r="A3485" t="s">
        <v>1899</v>
      </c>
      <c r="B3485" t="s">
        <v>1231</v>
      </c>
      <c r="C3485">
        <v>2010</v>
      </c>
      <c r="D3485" t="s">
        <v>811</v>
      </c>
      <c r="F3485" t="s">
        <v>83</v>
      </c>
      <c r="G3485" s="1" t="s">
        <v>85</v>
      </c>
      <c r="H3485" t="s">
        <v>96</v>
      </c>
      <c r="I3485" t="s">
        <v>1481</v>
      </c>
      <c r="J3485">
        <v>0.33</v>
      </c>
      <c r="K3485" t="s">
        <v>101</v>
      </c>
      <c r="M3485">
        <f t="shared" si="83"/>
        <v>3.2399999999999998E-2</v>
      </c>
      <c r="N3485" t="s">
        <v>123</v>
      </c>
      <c r="O3485" t="s">
        <v>123</v>
      </c>
      <c r="P3485" t="s">
        <v>1900</v>
      </c>
      <c r="Q3485" s="1" t="s">
        <v>2281</v>
      </c>
      <c r="R3485" s="1" t="s">
        <v>2282</v>
      </c>
      <c r="S3485" s="1" t="s">
        <v>123</v>
      </c>
      <c r="T3485" t="s">
        <v>421</v>
      </c>
      <c r="U3485" t="s">
        <v>421</v>
      </c>
      <c r="X3485" t="s">
        <v>161</v>
      </c>
      <c r="Y3485" t="s">
        <v>2272</v>
      </c>
      <c r="Z3485" t="s">
        <v>2272</v>
      </c>
      <c r="AA3485" t="s">
        <v>2272</v>
      </c>
      <c r="AB3485" t="s">
        <v>2272</v>
      </c>
      <c r="AC3485" t="s">
        <v>162</v>
      </c>
      <c r="AD3485" t="s">
        <v>2272</v>
      </c>
      <c r="AF3485" t="s">
        <v>49</v>
      </c>
      <c r="AG3485" t="s">
        <v>49</v>
      </c>
      <c r="AI3485" t="s">
        <v>49</v>
      </c>
      <c r="AM3485" t="s">
        <v>202</v>
      </c>
      <c r="AN3485" t="s">
        <v>154</v>
      </c>
      <c r="AQ3485" s="5">
        <v>1</v>
      </c>
      <c r="AR3485">
        <v>1</v>
      </c>
    </row>
    <row r="3486" spans="1:44" x14ac:dyDescent="0.2">
      <c r="A3486" t="s">
        <v>1899</v>
      </c>
      <c r="B3486" t="s">
        <v>1231</v>
      </c>
      <c r="C3486">
        <v>2010</v>
      </c>
      <c r="D3486" t="s">
        <v>811</v>
      </c>
      <c r="F3486" t="s">
        <v>83</v>
      </c>
      <c r="G3486" s="1" t="s">
        <v>85</v>
      </c>
      <c r="H3486" t="s">
        <v>96</v>
      </c>
      <c r="I3486" t="s">
        <v>1481</v>
      </c>
      <c r="J3486">
        <v>0.33</v>
      </c>
      <c r="K3486" t="s">
        <v>101</v>
      </c>
      <c r="M3486">
        <f t="shared" si="83"/>
        <v>3.2399999999999998E-2</v>
      </c>
      <c r="N3486" t="s">
        <v>123</v>
      </c>
      <c r="O3486" t="s">
        <v>123</v>
      </c>
      <c r="P3486" t="s">
        <v>1900</v>
      </c>
      <c r="Q3486" s="1" t="s">
        <v>2281</v>
      </c>
      <c r="R3486" s="1" t="s">
        <v>2282</v>
      </c>
      <c r="S3486" s="1" t="s">
        <v>123</v>
      </c>
      <c r="X3486" t="s">
        <v>1902</v>
      </c>
      <c r="Y3486" t="s">
        <v>2279</v>
      </c>
      <c r="Z3486" t="s">
        <v>2280</v>
      </c>
      <c r="AA3486" t="s">
        <v>2286</v>
      </c>
      <c r="AB3486" t="s">
        <v>2287</v>
      </c>
      <c r="AC3486" t="s">
        <v>162</v>
      </c>
      <c r="AD3486" t="s">
        <v>2278</v>
      </c>
      <c r="AF3486" t="s">
        <v>49</v>
      </c>
      <c r="AG3486" t="s">
        <v>49</v>
      </c>
      <c r="AI3486" t="s">
        <v>49</v>
      </c>
      <c r="AM3486" t="s">
        <v>202</v>
      </c>
      <c r="AN3486" t="s">
        <v>154</v>
      </c>
      <c r="AP3486" t="s">
        <v>173</v>
      </c>
      <c r="AR3486">
        <v>1</v>
      </c>
    </row>
    <row r="3487" spans="1:44" x14ac:dyDescent="0.2">
      <c r="A3487" t="s">
        <v>1899</v>
      </c>
      <c r="B3487" t="s">
        <v>1231</v>
      </c>
      <c r="C3487">
        <v>2010</v>
      </c>
      <c r="D3487" t="s">
        <v>811</v>
      </c>
      <c r="F3487" t="s">
        <v>83</v>
      </c>
      <c r="G3487" s="1" t="s">
        <v>85</v>
      </c>
      <c r="H3487" t="s">
        <v>96</v>
      </c>
      <c r="I3487" t="s">
        <v>1481</v>
      </c>
      <c r="J3487">
        <v>0.33</v>
      </c>
      <c r="K3487" t="s">
        <v>101</v>
      </c>
      <c r="M3487">
        <f t="shared" si="83"/>
        <v>3.2399999999999998E-2</v>
      </c>
      <c r="N3487" t="s">
        <v>123</v>
      </c>
      <c r="O3487" t="s">
        <v>123</v>
      </c>
      <c r="P3487" t="s">
        <v>1900</v>
      </c>
      <c r="Q3487" s="1" t="s">
        <v>2281</v>
      </c>
      <c r="R3487" s="1" t="s">
        <v>2282</v>
      </c>
      <c r="S3487" s="1" t="s">
        <v>123</v>
      </c>
      <c r="T3487" t="s">
        <v>421</v>
      </c>
      <c r="U3487" t="s">
        <v>421</v>
      </c>
      <c r="X3487" t="s">
        <v>161</v>
      </c>
      <c r="Y3487" t="s">
        <v>2272</v>
      </c>
      <c r="Z3487" t="s">
        <v>2272</v>
      </c>
      <c r="AA3487" t="s">
        <v>2272</v>
      </c>
      <c r="AB3487" t="s">
        <v>2272</v>
      </c>
      <c r="AC3487" t="s">
        <v>162</v>
      </c>
      <c r="AD3487" t="s">
        <v>2272</v>
      </c>
      <c r="AF3487" t="s">
        <v>49</v>
      </c>
      <c r="AG3487" t="s">
        <v>49</v>
      </c>
      <c r="AJ3487" t="s">
        <v>49</v>
      </c>
      <c r="AM3487" t="s">
        <v>1903</v>
      </c>
      <c r="AN3487" t="s">
        <v>166</v>
      </c>
      <c r="AQ3487" s="5">
        <v>1</v>
      </c>
      <c r="AR3487">
        <v>1</v>
      </c>
    </row>
    <row r="3488" spans="1:44" x14ac:dyDescent="0.2">
      <c r="A3488" t="s">
        <v>1899</v>
      </c>
      <c r="B3488" t="s">
        <v>1231</v>
      </c>
      <c r="C3488">
        <v>2010</v>
      </c>
      <c r="D3488" t="s">
        <v>811</v>
      </c>
      <c r="F3488" t="s">
        <v>83</v>
      </c>
      <c r="G3488" s="1" t="s">
        <v>85</v>
      </c>
      <c r="H3488" t="s">
        <v>96</v>
      </c>
      <c r="I3488" t="s">
        <v>1481</v>
      </c>
      <c r="J3488">
        <v>0.33</v>
      </c>
      <c r="K3488" t="s">
        <v>101</v>
      </c>
      <c r="M3488">
        <f t="shared" si="83"/>
        <v>3.2399999999999998E-2</v>
      </c>
      <c r="N3488" t="s">
        <v>123</v>
      </c>
      <c r="O3488" t="s">
        <v>123</v>
      </c>
      <c r="P3488" t="s">
        <v>1900</v>
      </c>
      <c r="Q3488" s="1" t="s">
        <v>2281</v>
      </c>
      <c r="R3488" s="1" t="s">
        <v>2282</v>
      </c>
      <c r="S3488" s="1" t="s">
        <v>123</v>
      </c>
      <c r="X3488" t="s">
        <v>1902</v>
      </c>
      <c r="Y3488" t="s">
        <v>2279</v>
      </c>
      <c r="Z3488" t="s">
        <v>2280</v>
      </c>
      <c r="AA3488" t="s">
        <v>2286</v>
      </c>
      <c r="AB3488" t="s">
        <v>2287</v>
      </c>
      <c r="AC3488" t="s">
        <v>162</v>
      </c>
      <c r="AD3488" t="s">
        <v>2278</v>
      </c>
      <c r="AF3488" t="s">
        <v>49</v>
      </c>
      <c r="AG3488" t="s">
        <v>49</v>
      </c>
      <c r="AJ3488" t="s">
        <v>49</v>
      </c>
      <c r="AM3488" t="s">
        <v>1903</v>
      </c>
      <c r="AN3488" t="s">
        <v>166</v>
      </c>
      <c r="AP3488" t="s">
        <v>173</v>
      </c>
      <c r="AR3488">
        <v>1</v>
      </c>
    </row>
    <row r="3489" spans="1:45" x14ac:dyDescent="0.2">
      <c r="A3489" t="s">
        <v>1899</v>
      </c>
      <c r="B3489" t="s">
        <v>1231</v>
      </c>
      <c r="C3489">
        <v>2010</v>
      </c>
      <c r="D3489" t="s">
        <v>811</v>
      </c>
      <c r="F3489" t="s">
        <v>83</v>
      </c>
      <c r="G3489" s="1" t="s">
        <v>85</v>
      </c>
      <c r="H3489" t="s">
        <v>96</v>
      </c>
      <c r="I3489" t="s">
        <v>1481</v>
      </c>
      <c r="J3489">
        <v>0.33</v>
      </c>
      <c r="K3489" t="s">
        <v>101</v>
      </c>
      <c r="M3489">
        <f t="shared" si="83"/>
        <v>3.2399999999999998E-2</v>
      </c>
      <c r="N3489" t="s">
        <v>123</v>
      </c>
      <c r="O3489" t="s">
        <v>123</v>
      </c>
      <c r="P3489" t="s">
        <v>1900</v>
      </c>
      <c r="Q3489" s="1" t="s">
        <v>2281</v>
      </c>
      <c r="R3489" s="1" t="s">
        <v>2282</v>
      </c>
      <c r="S3489" s="1" t="s">
        <v>123</v>
      </c>
      <c r="T3489" t="s">
        <v>421</v>
      </c>
      <c r="U3489" t="s">
        <v>421</v>
      </c>
      <c r="X3489" t="s">
        <v>161</v>
      </c>
      <c r="Y3489" t="s">
        <v>2272</v>
      </c>
      <c r="Z3489" t="s">
        <v>2272</v>
      </c>
      <c r="AA3489" t="s">
        <v>2272</v>
      </c>
      <c r="AB3489" t="s">
        <v>2272</v>
      </c>
      <c r="AC3489" t="s">
        <v>162</v>
      </c>
      <c r="AD3489" t="s">
        <v>2272</v>
      </c>
      <c r="AF3489" t="s">
        <v>49</v>
      </c>
      <c r="AG3489" t="s">
        <v>49</v>
      </c>
      <c r="AJ3489" t="s">
        <v>49</v>
      </c>
      <c r="AM3489" t="s">
        <v>1903</v>
      </c>
      <c r="AN3489" t="s">
        <v>165</v>
      </c>
      <c r="AP3489" t="s">
        <v>49</v>
      </c>
      <c r="AR3489">
        <v>1</v>
      </c>
    </row>
    <row r="3490" spans="1:45" x14ac:dyDescent="0.2">
      <c r="A3490" t="s">
        <v>1899</v>
      </c>
      <c r="B3490" t="s">
        <v>1231</v>
      </c>
      <c r="C3490">
        <v>2010</v>
      </c>
      <c r="D3490" t="s">
        <v>811</v>
      </c>
      <c r="F3490" t="s">
        <v>83</v>
      </c>
      <c r="G3490" s="1" t="s">
        <v>85</v>
      </c>
      <c r="H3490" t="s">
        <v>96</v>
      </c>
      <c r="I3490" t="s">
        <v>1481</v>
      </c>
      <c r="J3490">
        <v>0.33</v>
      </c>
      <c r="K3490" t="s">
        <v>101</v>
      </c>
      <c r="M3490">
        <f t="shared" si="83"/>
        <v>3.2399999999999998E-2</v>
      </c>
      <c r="N3490" t="s">
        <v>123</v>
      </c>
      <c r="O3490" t="s">
        <v>123</v>
      </c>
      <c r="P3490" t="s">
        <v>1900</v>
      </c>
      <c r="Q3490" s="1" t="s">
        <v>2281</v>
      </c>
      <c r="R3490" s="1" t="s">
        <v>2282</v>
      </c>
      <c r="S3490" s="1" t="s">
        <v>123</v>
      </c>
      <c r="X3490" t="s">
        <v>1902</v>
      </c>
      <c r="Y3490" t="s">
        <v>2279</v>
      </c>
      <c r="Z3490" t="s">
        <v>2280</v>
      </c>
      <c r="AA3490" t="s">
        <v>2286</v>
      </c>
      <c r="AB3490" t="s">
        <v>2287</v>
      </c>
      <c r="AC3490" t="s">
        <v>162</v>
      </c>
      <c r="AD3490" t="s">
        <v>2278</v>
      </c>
      <c r="AF3490" t="s">
        <v>49</v>
      </c>
      <c r="AG3490" t="s">
        <v>49</v>
      </c>
      <c r="AJ3490" t="s">
        <v>49</v>
      </c>
      <c r="AM3490" t="s">
        <v>1903</v>
      </c>
      <c r="AN3490" t="s">
        <v>165</v>
      </c>
      <c r="AP3490" t="s">
        <v>51</v>
      </c>
      <c r="AR3490">
        <v>1</v>
      </c>
    </row>
    <row r="3491" spans="1:45" x14ac:dyDescent="0.2">
      <c r="A3491" t="s">
        <v>1904</v>
      </c>
      <c r="B3491" t="s">
        <v>1905</v>
      </c>
      <c r="C3491">
        <v>2010</v>
      </c>
      <c r="D3491" t="s">
        <v>44</v>
      </c>
      <c r="F3491" t="s">
        <v>53</v>
      </c>
      <c r="G3491" s="1" t="s">
        <v>86</v>
      </c>
      <c r="H3491" t="s">
        <v>350</v>
      </c>
      <c r="I3491" t="s">
        <v>1481</v>
      </c>
      <c r="J3491">
        <f>3/12</f>
        <v>0.25</v>
      </c>
      <c r="K3491" t="s">
        <v>109</v>
      </c>
      <c r="M3491">
        <v>50</v>
      </c>
      <c r="N3491" t="s">
        <v>127</v>
      </c>
      <c r="O3491" t="s">
        <v>1906</v>
      </c>
      <c r="P3491" t="s">
        <v>1907</v>
      </c>
      <c r="Q3491" s="1" t="s">
        <v>2281</v>
      </c>
      <c r="R3491" s="1" t="s">
        <v>122</v>
      </c>
      <c r="S3491" s="1" t="s">
        <v>2293</v>
      </c>
      <c r="X3491" t="s">
        <v>177</v>
      </c>
      <c r="Y3491" t="s">
        <v>2273</v>
      </c>
      <c r="Z3491" t="s">
        <v>249</v>
      </c>
      <c r="AA3491" t="s">
        <v>2359</v>
      </c>
      <c r="AB3491" t="s">
        <v>1419</v>
      </c>
      <c r="AC3491" t="s">
        <v>152</v>
      </c>
      <c r="AD3491" t="s">
        <v>137</v>
      </c>
    </row>
    <row r="3492" spans="1:45" x14ac:dyDescent="0.2">
      <c r="A3492" t="s">
        <v>1904</v>
      </c>
      <c r="B3492" t="s">
        <v>1905</v>
      </c>
      <c r="C3492">
        <v>2010</v>
      </c>
      <c r="D3492" t="s">
        <v>44</v>
      </c>
      <c r="F3492" t="s">
        <v>53</v>
      </c>
      <c r="G3492" s="1" t="s">
        <v>86</v>
      </c>
      <c r="H3492" t="s">
        <v>350</v>
      </c>
      <c r="I3492" t="s">
        <v>1481</v>
      </c>
      <c r="J3492">
        <f>3/12</f>
        <v>0.25</v>
      </c>
      <c r="K3492" t="s">
        <v>109</v>
      </c>
      <c r="M3492">
        <v>50</v>
      </c>
      <c r="N3492" t="s">
        <v>127</v>
      </c>
      <c r="O3492" t="s">
        <v>1906</v>
      </c>
      <c r="P3492" t="s">
        <v>1907</v>
      </c>
      <c r="Q3492" s="1" t="s">
        <v>2281</v>
      </c>
      <c r="R3492" s="1" t="s">
        <v>122</v>
      </c>
      <c r="S3492" s="1" t="s">
        <v>2293</v>
      </c>
      <c r="X3492" t="s">
        <v>338</v>
      </c>
      <c r="Y3492" t="s">
        <v>2273</v>
      </c>
      <c r="Z3492" t="s">
        <v>249</v>
      </c>
      <c r="AA3492" t="s">
        <v>2359</v>
      </c>
      <c r="AB3492" t="s">
        <v>1419</v>
      </c>
      <c r="AC3492" t="s">
        <v>152</v>
      </c>
      <c r="AD3492" t="s">
        <v>137</v>
      </c>
    </row>
    <row r="3493" spans="1:45" x14ac:dyDescent="0.2">
      <c r="A3493" t="s">
        <v>1904</v>
      </c>
      <c r="B3493" t="s">
        <v>1905</v>
      </c>
      <c r="C3493">
        <v>2010</v>
      </c>
      <c r="D3493" t="s">
        <v>44</v>
      </c>
      <c r="F3493" t="s">
        <v>53</v>
      </c>
      <c r="G3493" s="1" t="s">
        <v>86</v>
      </c>
      <c r="H3493" t="s">
        <v>350</v>
      </c>
      <c r="I3493" t="s">
        <v>1481</v>
      </c>
      <c r="J3493">
        <f>3/12</f>
        <v>0.25</v>
      </c>
      <c r="K3493" t="s">
        <v>109</v>
      </c>
      <c r="M3493">
        <v>3.8E-3</v>
      </c>
      <c r="N3493" t="s">
        <v>127</v>
      </c>
      <c r="O3493" t="s">
        <v>1906</v>
      </c>
      <c r="P3493" t="s">
        <v>1907</v>
      </c>
      <c r="Q3493" s="1" t="s">
        <v>2281</v>
      </c>
      <c r="R3493" s="1" t="s">
        <v>122</v>
      </c>
      <c r="S3493" s="1" t="s">
        <v>2293</v>
      </c>
      <c r="T3493" t="s">
        <v>421</v>
      </c>
      <c r="U3493" t="s">
        <v>421</v>
      </c>
      <c r="X3493" t="s">
        <v>161</v>
      </c>
      <c r="Y3493" t="s">
        <v>2272</v>
      </c>
      <c r="Z3493" t="s">
        <v>2272</v>
      </c>
      <c r="AA3493" t="s">
        <v>2272</v>
      </c>
      <c r="AB3493" t="s">
        <v>2272</v>
      </c>
      <c r="AC3493" t="s">
        <v>162</v>
      </c>
      <c r="AD3493" t="s">
        <v>2272</v>
      </c>
      <c r="AF3493" t="s">
        <v>49</v>
      </c>
      <c r="AK3493" t="s">
        <v>49</v>
      </c>
      <c r="AM3493" t="s">
        <v>295</v>
      </c>
      <c r="AN3493" t="s">
        <v>155</v>
      </c>
      <c r="AQ3493" s="5">
        <v>0</v>
      </c>
    </row>
    <row r="3494" spans="1:45" x14ac:dyDescent="0.2">
      <c r="A3494" t="s">
        <v>1908</v>
      </c>
      <c r="B3494" t="s">
        <v>1726</v>
      </c>
      <c r="C3494">
        <v>2010</v>
      </c>
      <c r="D3494" t="s">
        <v>811</v>
      </c>
      <c r="F3494" t="s">
        <v>83</v>
      </c>
      <c r="G3494" s="1" t="s">
        <v>85</v>
      </c>
      <c r="H3494" t="s">
        <v>350</v>
      </c>
      <c r="I3494" t="s">
        <v>1308</v>
      </c>
      <c r="J3494">
        <f>3/12</f>
        <v>0.25</v>
      </c>
      <c r="K3494" t="s">
        <v>101</v>
      </c>
      <c r="M3494">
        <v>4.9099999999999998E-2</v>
      </c>
      <c r="N3494" t="s">
        <v>121</v>
      </c>
      <c r="O3494" t="s">
        <v>121</v>
      </c>
      <c r="P3494" t="s">
        <v>1373</v>
      </c>
      <c r="Q3494" s="1" t="s">
        <v>2276</v>
      </c>
      <c r="R3494" s="1" t="s">
        <v>755</v>
      </c>
      <c r="S3494" s="1" t="s">
        <v>2352</v>
      </c>
      <c r="T3494" t="s">
        <v>421</v>
      </c>
      <c r="U3494" t="s">
        <v>421</v>
      </c>
      <c r="V3494" t="s">
        <v>194</v>
      </c>
      <c r="W3494" t="s">
        <v>1373</v>
      </c>
      <c r="X3494" t="s">
        <v>161</v>
      </c>
      <c r="Y3494" t="s">
        <v>2272</v>
      </c>
      <c r="Z3494" t="s">
        <v>2272</v>
      </c>
      <c r="AA3494" t="s">
        <v>2272</v>
      </c>
      <c r="AB3494" t="s">
        <v>2272</v>
      </c>
      <c r="AC3494" t="s">
        <v>162</v>
      </c>
      <c r="AD3494" t="s">
        <v>2272</v>
      </c>
      <c r="AG3494" t="s">
        <v>49</v>
      </c>
      <c r="AL3494" t="s">
        <v>49</v>
      </c>
      <c r="AM3494" t="s">
        <v>1643</v>
      </c>
      <c r="AN3494" t="s">
        <v>109</v>
      </c>
      <c r="AO3494" t="s">
        <v>790</v>
      </c>
      <c r="AQ3494" s="5">
        <v>1</v>
      </c>
    </row>
    <row r="3495" spans="1:45" x14ac:dyDescent="0.2">
      <c r="A3495" t="s">
        <v>1908</v>
      </c>
      <c r="B3495" t="s">
        <v>1726</v>
      </c>
      <c r="C3495">
        <v>2010</v>
      </c>
      <c r="D3495" t="s">
        <v>811</v>
      </c>
      <c r="F3495" t="s">
        <v>83</v>
      </c>
      <c r="G3495" s="1" t="s">
        <v>85</v>
      </c>
      <c r="H3495" t="s">
        <v>350</v>
      </c>
      <c r="I3495">
        <v>2007</v>
      </c>
      <c r="J3495">
        <v>3.9E-2</v>
      </c>
      <c r="K3495" t="s">
        <v>101</v>
      </c>
      <c r="M3495">
        <f>0.16*0.24</f>
        <v>3.8399999999999997E-2</v>
      </c>
      <c r="N3495" t="s">
        <v>121</v>
      </c>
      <c r="O3495" t="s">
        <v>121</v>
      </c>
      <c r="P3495" t="s">
        <v>1373</v>
      </c>
      <c r="Q3495" s="1" t="s">
        <v>2276</v>
      </c>
      <c r="R3495" s="1" t="s">
        <v>755</v>
      </c>
      <c r="S3495" s="1" t="s">
        <v>2352</v>
      </c>
      <c r="T3495" t="s">
        <v>421</v>
      </c>
      <c r="U3495" t="s">
        <v>421</v>
      </c>
      <c r="V3495" t="s">
        <v>194</v>
      </c>
      <c r="W3495" t="s">
        <v>1373</v>
      </c>
      <c r="X3495" t="s">
        <v>161</v>
      </c>
      <c r="Y3495" t="s">
        <v>2272</v>
      </c>
      <c r="Z3495" t="s">
        <v>2272</v>
      </c>
      <c r="AA3495" t="s">
        <v>2272</v>
      </c>
      <c r="AB3495" t="s">
        <v>2272</v>
      </c>
      <c r="AC3495" t="s">
        <v>162</v>
      </c>
      <c r="AD3495" t="s">
        <v>2272</v>
      </c>
      <c r="AG3495" t="s">
        <v>49</v>
      </c>
      <c r="AL3495" t="s">
        <v>49</v>
      </c>
      <c r="AM3495" t="s">
        <v>1643</v>
      </c>
      <c r="AN3495" t="s">
        <v>109</v>
      </c>
      <c r="AO3495" t="s">
        <v>790</v>
      </c>
      <c r="AQ3495" s="5">
        <v>1</v>
      </c>
    </row>
    <row r="3496" spans="1:45" x14ac:dyDescent="0.2">
      <c r="A3496" t="s">
        <v>1908</v>
      </c>
      <c r="B3496" t="s">
        <v>1726</v>
      </c>
      <c r="C3496">
        <v>2010</v>
      </c>
      <c r="D3496" t="s">
        <v>811</v>
      </c>
      <c r="F3496" t="s">
        <v>83</v>
      </c>
      <c r="G3496" s="1" t="s">
        <v>85</v>
      </c>
      <c r="H3496" t="s">
        <v>350</v>
      </c>
      <c r="I3496">
        <v>2008</v>
      </c>
      <c r="J3496">
        <v>0.17</v>
      </c>
      <c r="K3496" t="s">
        <v>109</v>
      </c>
      <c r="M3496">
        <v>0.72</v>
      </c>
      <c r="N3496" t="s">
        <v>121</v>
      </c>
      <c r="O3496" t="s">
        <v>121</v>
      </c>
      <c r="P3496" t="s">
        <v>1373</v>
      </c>
      <c r="Q3496" s="1" t="s">
        <v>2276</v>
      </c>
      <c r="R3496" s="1" t="s">
        <v>755</v>
      </c>
      <c r="S3496" s="1" t="s">
        <v>2352</v>
      </c>
      <c r="T3496" t="s">
        <v>421</v>
      </c>
      <c r="U3496" t="s">
        <v>421</v>
      </c>
      <c r="V3496" t="s">
        <v>194</v>
      </c>
      <c r="W3496" t="s">
        <v>1373</v>
      </c>
      <c r="X3496" t="s">
        <v>161</v>
      </c>
      <c r="Y3496" t="s">
        <v>2272</v>
      </c>
      <c r="Z3496" t="s">
        <v>2272</v>
      </c>
      <c r="AA3496" t="s">
        <v>2272</v>
      </c>
      <c r="AB3496" t="s">
        <v>2272</v>
      </c>
      <c r="AC3496" t="s">
        <v>162</v>
      </c>
      <c r="AD3496" t="s">
        <v>2272</v>
      </c>
      <c r="AG3496" t="s">
        <v>49</v>
      </c>
      <c r="AL3496" t="s">
        <v>49</v>
      </c>
      <c r="AM3496" t="s">
        <v>1643</v>
      </c>
      <c r="AN3496" t="s">
        <v>109</v>
      </c>
      <c r="AO3496" t="s">
        <v>790</v>
      </c>
      <c r="AP3496" t="s">
        <v>49</v>
      </c>
    </row>
    <row r="3497" spans="1:45" x14ac:dyDescent="0.2">
      <c r="A3497" t="s">
        <v>1909</v>
      </c>
      <c r="B3497" t="s">
        <v>1669</v>
      </c>
      <c r="C3497">
        <v>2010</v>
      </c>
      <c r="F3497" t="s">
        <v>83</v>
      </c>
      <c r="G3497" s="1" t="s">
        <v>85</v>
      </c>
      <c r="Q3497" s="1" t="s">
        <v>2272</v>
      </c>
      <c r="R3497" s="1" t="s">
        <v>2272</v>
      </c>
      <c r="S3497" s="1" t="s">
        <v>2272</v>
      </c>
      <c r="Y3497" t="s">
        <v>2272</v>
      </c>
      <c r="Z3497" t="s">
        <v>2272</v>
      </c>
      <c r="AA3497" t="s">
        <v>2272</v>
      </c>
      <c r="AB3497" t="s">
        <v>2272</v>
      </c>
      <c r="AD3497" t="s">
        <v>2272</v>
      </c>
      <c r="AR3497" t="s">
        <v>144</v>
      </c>
      <c r="AS3497" t="s">
        <v>2583</v>
      </c>
    </row>
    <row r="3498" spans="1:45" x14ac:dyDescent="0.2">
      <c r="A3498" t="s">
        <v>1910</v>
      </c>
      <c r="B3498" t="s">
        <v>1911</v>
      </c>
      <c r="C3498">
        <v>2009</v>
      </c>
      <c r="D3498" t="s">
        <v>44</v>
      </c>
      <c r="F3498" t="s">
        <v>83</v>
      </c>
      <c r="G3498" s="1" t="s">
        <v>85</v>
      </c>
      <c r="H3498" t="s">
        <v>350</v>
      </c>
      <c r="I3498">
        <v>2006</v>
      </c>
      <c r="J3498">
        <v>0.17</v>
      </c>
      <c r="K3498" t="s">
        <v>101</v>
      </c>
      <c r="M3498">
        <v>0.38</v>
      </c>
      <c r="N3498" t="s">
        <v>121</v>
      </c>
      <c r="O3498" t="s">
        <v>121</v>
      </c>
      <c r="P3498" t="s">
        <v>1373</v>
      </c>
      <c r="Q3498" s="1" t="s">
        <v>2276</v>
      </c>
      <c r="R3498" s="1" t="s">
        <v>755</v>
      </c>
      <c r="S3498" s="1" t="s">
        <v>2352</v>
      </c>
      <c r="T3498" t="s">
        <v>396</v>
      </c>
      <c r="U3498" s="1" t="s">
        <v>2420</v>
      </c>
      <c r="V3498" t="s">
        <v>194</v>
      </c>
      <c r="W3498" t="s">
        <v>1373</v>
      </c>
      <c r="X3498" t="s">
        <v>161</v>
      </c>
      <c r="Y3498" t="s">
        <v>2272</v>
      </c>
      <c r="Z3498" t="s">
        <v>2272</v>
      </c>
      <c r="AA3498" t="s">
        <v>2272</v>
      </c>
      <c r="AB3498" t="s">
        <v>2272</v>
      </c>
      <c r="AC3498" t="s">
        <v>162</v>
      </c>
      <c r="AD3498" t="s">
        <v>2272</v>
      </c>
      <c r="AF3498" t="s">
        <v>49</v>
      </c>
      <c r="AG3498" t="s">
        <v>49</v>
      </c>
      <c r="AI3498" t="s">
        <v>49</v>
      </c>
      <c r="AM3498" t="s">
        <v>368</v>
      </c>
      <c r="AN3498" t="s">
        <v>165</v>
      </c>
      <c r="AP3498" t="s">
        <v>49</v>
      </c>
    </row>
    <row r="3499" spans="1:45" x14ac:dyDescent="0.2">
      <c r="A3499" t="s">
        <v>1910</v>
      </c>
      <c r="B3499" t="s">
        <v>1911</v>
      </c>
      <c r="C3499">
        <v>2009</v>
      </c>
      <c r="D3499" t="s">
        <v>44</v>
      </c>
      <c r="F3499" t="s">
        <v>83</v>
      </c>
      <c r="G3499" s="1" t="s">
        <v>85</v>
      </c>
      <c r="H3499" t="s">
        <v>350</v>
      </c>
      <c r="I3499">
        <v>2006</v>
      </c>
      <c r="J3499">
        <v>0.17</v>
      </c>
      <c r="K3499" t="s">
        <v>101</v>
      </c>
      <c r="M3499">
        <v>0.38</v>
      </c>
      <c r="N3499" t="s">
        <v>121</v>
      </c>
      <c r="O3499" t="s">
        <v>121</v>
      </c>
      <c r="P3499" t="s">
        <v>747</v>
      </c>
      <c r="Q3499" s="1" t="s">
        <v>2292</v>
      </c>
      <c r="R3499" s="1" t="s">
        <v>264</v>
      </c>
      <c r="S3499" s="1" t="s">
        <v>264</v>
      </c>
      <c r="T3499" t="s">
        <v>396</v>
      </c>
      <c r="U3499" s="1" t="s">
        <v>2419</v>
      </c>
      <c r="V3499" t="s">
        <v>194</v>
      </c>
      <c r="W3499" t="s">
        <v>1373</v>
      </c>
      <c r="X3499" t="s">
        <v>161</v>
      </c>
      <c r="Y3499" t="s">
        <v>2272</v>
      </c>
      <c r="Z3499" t="s">
        <v>2272</v>
      </c>
      <c r="AA3499" t="s">
        <v>2272</v>
      </c>
      <c r="AB3499" t="s">
        <v>2272</v>
      </c>
      <c r="AC3499" t="s">
        <v>162</v>
      </c>
      <c r="AD3499" t="s">
        <v>2272</v>
      </c>
      <c r="AF3499" t="s">
        <v>49</v>
      </c>
      <c r="AG3499" t="s">
        <v>49</v>
      </c>
      <c r="AI3499" t="s">
        <v>49</v>
      </c>
      <c r="AM3499" t="s">
        <v>368</v>
      </c>
      <c r="AN3499" t="s">
        <v>165</v>
      </c>
      <c r="AP3499" t="s">
        <v>49</v>
      </c>
    </row>
    <row r="3500" spans="1:45" x14ac:dyDescent="0.2">
      <c r="A3500" t="s">
        <v>1910</v>
      </c>
      <c r="B3500" t="s">
        <v>1911</v>
      </c>
      <c r="C3500">
        <v>2009</v>
      </c>
      <c r="D3500" t="s">
        <v>44</v>
      </c>
      <c r="F3500" t="s">
        <v>83</v>
      </c>
      <c r="G3500" s="1" t="s">
        <v>85</v>
      </c>
      <c r="H3500" t="s">
        <v>350</v>
      </c>
      <c r="I3500">
        <v>2006</v>
      </c>
      <c r="J3500">
        <v>0.17</v>
      </c>
      <c r="K3500" t="s">
        <v>101</v>
      </c>
      <c r="M3500">
        <v>0.38</v>
      </c>
      <c r="N3500" t="s">
        <v>121</v>
      </c>
      <c r="O3500" t="s">
        <v>121</v>
      </c>
      <c r="P3500" t="s">
        <v>1912</v>
      </c>
      <c r="Q3500" s="1" t="s">
        <v>2292</v>
      </c>
      <c r="R3500" s="1" t="s">
        <v>264</v>
      </c>
      <c r="S3500" s="1" t="s">
        <v>264</v>
      </c>
      <c r="T3500" t="s">
        <v>396</v>
      </c>
      <c r="U3500" s="1" t="s">
        <v>2419</v>
      </c>
      <c r="V3500" t="s">
        <v>194</v>
      </c>
      <c r="W3500" t="s">
        <v>1373</v>
      </c>
      <c r="X3500" t="s">
        <v>161</v>
      </c>
      <c r="Y3500" t="s">
        <v>2272</v>
      </c>
      <c r="Z3500" t="s">
        <v>2272</v>
      </c>
      <c r="AA3500" t="s">
        <v>2272</v>
      </c>
      <c r="AB3500" t="s">
        <v>2272</v>
      </c>
      <c r="AC3500" t="s">
        <v>162</v>
      </c>
      <c r="AD3500" t="s">
        <v>2272</v>
      </c>
      <c r="AF3500" t="s">
        <v>49</v>
      </c>
      <c r="AG3500" t="s">
        <v>49</v>
      </c>
      <c r="AI3500" t="s">
        <v>49</v>
      </c>
      <c r="AM3500" t="s">
        <v>368</v>
      </c>
      <c r="AN3500" t="s">
        <v>165</v>
      </c>
    </row>
    <row r="3501" spans="1:45" x14ac:dyDescent="0.2">
      <c r="A3501" t="s">
        <v>1910</v>
      </c>
      <c r="B3501" t="s">
        <v>1911</v>
      </c>
      <c r="C3501">
        <v>2009</v>
      </c>
      <c r="D3501" t="s">
        <v>44</v>
      </c>
      <c r="F3501" t="s">
        <v>83</v>
      </c>
      <c r="G3501" s="1" t="s">
        <v>85</v>
      </c>
      <c r="H3501" t="s">
        <v>350</v>
      </c>
      <c r="I3501">
        <v>2006</v>
      </c>
      <c r="J3501">
        <v>0.17</v>
      </c>
      <c r="K3501" t="s">
        <v>101</v>
      </c>
      <c r="M3501">
        <v>0.38</v>
      </c>
      <c r="N3501" t="s">
        <v>121</v>
      </c>
      <c r="O3501" t="s">
        <v>121</v>
      </c>
      <c r="P3501" t="s">
        <v>1373</v>
      </c>
      <c r="Q3501" s="1" t="s">
        <v>2276</v>
      </c>
      <c r="R3501" s="1" t="s">
        <v>755</v>
      </c>
      <c r="S3501" s="1" t="s">
        <v>2352</v>
      </c>
      <c r="T3501" t="s">
        <v>421</v>
      </c>
      <c r="U3501" t="s">
        <v>421</v>
      </c>
      <c r="V3501" t="s">
        <v>194</v>
      </c>
      <c r="W3501" t="s">
        <v>1373</v>
      </c>
      <c r="X3501" t="s">
        <v>161</v>
      </c>
      <c r="Y3501" t="s">
        <v>2272</v>
      </c>
      <c r="Z3501" t="s">
        <v>2272</v>
      </c>
      <c r="AA3501" t="s">
        <v>2272</v>
      </c>
      <c r="AB3501" t="s">
        <v>2272</v>
      </c>
      <c r="AC3501" t="s">
        <v>162</v>
      </c>
      <c r="AD3501" t="s">
        <v>2272</v>
      </c>
      <c r="AF3501" t="s">
        <v>49</v>
      </c>
      <c r="AG3501" t="s">
        <v>49</v>
      </c>
      <c r="AI3501" t="s">
        <v>49</v>
      </c>
      <c r="AM3501" t="s">
        <v>368</v>
      </c>
      <c r="AN3501" t="s">
        <v>165</v>
      </c>
      <c r="AP3501" t="s">
        <v>49</v>
      </c>
    </row>
    <row r="3502" spans="1:45" x14ac:dyDescent="0.2">
      <c r="A3502" t="s">
        <v>1910</v>
      </c>
      <c r="B3502" t="s">
        <v>1911</v>
      </c>
      <c r="C3502">
        <v>2009</v>
      </c>
      <c r="D3502" t="s">
        <v>44</v>
      </c>
      <c r="F3502" t="s">
        <v>83</v>
      </c>
      <c r="G3502" s="1" t="s">
        <v>85</v>
      </c>
      <c r="H3502" t="s">
        <v>350</v>
      </c>
      <c r="I3502">
        <v>2006</v>
      </c>
      <c r="J3502">
        <v>0.17</v>
      </c>
      <c r="K3502" t="s">
        <v>101</v>
      </c>
      <c r="M3502">
        <v>0.38</v>
      </c>
      <c r="N3502" t="s">
        <v>121</v>
      </c>
      <c r="O3502" t="s">
        <v>121</v>
      </c>
      <c r="P3502" t="s">
        <v>747</v>
      </c>
      <c r="Q3502" s="1" t="s">
        <v>2292</v>
      </c>
      <c r="R3502" s="1" t="s">
        <v>264</v>
      </c>
      <c r="S3502" s="1" t="s">
        <v>264</v>
      </c>
      <c r="T3502" t="s">
        <v>421</v>
      </c>
      <c r="U3502" t="s">
        <v>421</v>
      </c>
      <c r="V3502" t="s">
        <v>194</v>
      </c>
      <c r="W3502" t="s">
        <v>1373</v>
      </c>
      <c r="X3502" t="s">
        <v>161</v>
      </c>
      <c r="Y3502" t="s">
        <v>2272</v>
      </c>
      <c r="Z3502" t="s">
        <v>2272</v>
      </c>
      <c r="AA3502" t="s">
        <v>2272</v>
      </c>
      <c r="AB3502" t="s">
        <v>2272</v>
      </c>
      <c r="AC3502" t="s">
        <v>162</v>
      </c>
      <c r="AD3502" t="s">
        <v>2272</v>
      </c>
      <c r="AF3502" t="s">
        <v>49</v>
      </c>
      <c r="AG3502" t="s">
        <v>49</v>
      </c>
      <c r="AI3502" t="s">
        <v>49</v>
      </c>
      <c r="AM3502" t="s">
        <v>368</v>
      </c>
      <c r="AN3502" t="s">
        <v>165</v>
      </c>
      <c r="AP3502" t="s">
        <v>49</v>
      </c>
    </row>
    <row r="3503" spans="1:45" x14ac:dyDescent="0.2">
      <c r="A3503" t="s">
        <v>1910</v>
      </c>
      <c r="B3503" t="s">
        <v>1911</v>
      </c>
      <c r="C3503">
        <v>2009</v>
      </c>
      <c r="D3503" t="s">
        <v>44</v>
      </c>
      <c r="F3503" t="s">
        <v>83</v>
      </c>
      <c r="G3503" s="1" t="s">
        <v>85</v>
      </c>
      <c r="H3503" t="s">
        <v>350</v>
      </c>
      <c r="I3503">
        <v>2006</v>
      </c>
      <c r="J3503">
        <v>0.17</v>
      </c>
      <c r="K3503" t="s">
        <v>101</v>
      </c>
      <c r="M3503">
        <v>0.38</v>
      </c>
      <c r="N3503" t="s">
        <v>121</v>
      </c>
      <c r="O3503" t="s">
        <v>121</v>
      </c>
      <c r="P3503" t="s">
        <v>1373</v>
      </c>
      <c r="Q3503" s="1" t="s">
        <v>2276</v>
      </c>
      <c r="R3503" s="1" t="s">
        <v>755</v>
      </c>
      <c r="S3503" s="1" t="s">
        <v>2352</v>
      </c>
      <c r="T3503" t="s">
        <v>396</v>
      </c>
      <c r="U3503" s="1" t="s">
        <v>264</v>
      </c>
      <c r="V3503" t="s">
        <v>194</v>
      </c>
      <c r="W3503" t="s">
        <v>1373</v>
      </c>
      <c r="X3503" t="s">
        <v>161</v>
      </c>
      <c r="Y3503" t="s">
        <v>2272</v>
      </c>
      <c r="Z3503" t="s">
        <v>2272</v>
      </c>
      <c r="AA3503" t="s">
        <v>2272</v>
      </c>
      <c r="AB3503" t="s">
        <v>2272</v>
      </c>
      <c r="AC3503" t="s">
        <v>162</v>
      </c>
      <c r="AD3503" t="s">
        <v>2272</v>
      </c>
      <c r="AG3503" t="s">
        <v>49</v>
      </c>
      <c r="AL3503" t="s">
        <v>49</v>
      </c>
      <c r="AM3503" t="s">
        <v>1643</v>
      </c>
      <c r="AN3503" t="s">
        <v>166</v>
      </c>
      <c r="AQ3503" s="5">
        <v>0</v>
      </c>
    </row>
    <row r="3504" spans="1:45" x14ac:dyDescent="0.2">
      <c r="A3504" t="s">
        <v>1910</v>
      </c>
      <c r="B3504" t="s">
        <v>1911</v>
      </c>
      <c r="C3504">
        <v>2009</v>
      </c>
      <c r="D3504" t="s">
        <v>44</v>
      </c>
      <c r="F3504" t="s">
        <v>83</v>
      </c>
      <c r="G3504" s="1" t="s">
        <v>85</v>
      </c>
      <c r="H3504" t="s">
        <v>350</v>
      </c>
      <c r="I3504">
        <v>2006</v>
      </c>
      <c r="J3504">
        <v>0.17</v>
      </c>
      <c r="K3504" t="s">
        <v>101</v>
      </c>
      <c r="M3504">
        <v>0.38</v>
      </c>
      <c r="N3504" t="s">
        <v>121</v>
      </c>
      <c r="O3504" t="s">
        <v>121</v>
      </c>
      <c r="P3504" t="s">
        <v>747</v>
      </c>
      <c r="Q3504" s="1" t="s">
        <v>2292</v>
      </c>
      <c r="R3504" s="1" t="s">
        <v>264</v>
      </c>
      <c r="S3504" s="1" t="s">
        <v>264</v>
      </c>
      <c r="T3504" t="s">
        <v>396</v>
      </c>
      <c r="U3504" s="1" t="s">
        <v>2352</v>
      </c>
      <c r="V3504" t="s">
        <v>194</v>
      </c>
      <c r="W3504" t="s">
        <v>1373</v>
      </c>
      <c r="X3504" t="s">
        <v>161</v>
      </c>
      <c r="Y3504" t="s">
        <v>2272</v>
      </c>
      <c r="Z3504" t="s">
        <v>2272</v>
      </c>
      <c r="AA3504" t="s">
        <v>2272</v>
      </c>
      <c r="AB3504" t="s">
        <v>2272</v>
      </c>
      <c r="AC3504" t="s">
        <v>162</v>
      </c>
      <c r="AD3504" t="s">
        <v>2272</v>
      </c>
      <c r="AG3504" t="s">
        <v>49</v>
      </c>
      <c r="AL3504" t="s">
        <v>49</v>
      </c>
      <c r="AM3504" t="s">
        <v>1643</v>
      </c>
      <c r="AN3504" t="s">
        <v>166</v>
      </c>
      <c r="AQ3504" s="5">
        <v>0</v>
      </c>
    </row>
    <row r="3505" spans="1:43" x14ac:dyDescent="0.2">
      <c r="A3505" t="s">
        <v>1910</v>
      </c>
      <c r="B3505" t="s">
        <v>1911</v>
      </c>
      <c r="C3505">
        <v>2009</v>
      </c>
      <c r="D3505" t="s">
        <v>44</v>
      </c>
      <c r="F3505" t="s">
        <v>83</v>
      </c>
      <c r="G3505" s="1" t="s">
        <v>85</v>
      </c>
      <c r="H3505" t="s">
        <v>350</v>
      </c>
      <c r="I3505">
        <v>2006</v>
      </c>
      <c r="J3505">
        <v>0.17</v>
      </c>
      <c r="K3505" t="s">
        <v>101</v>
      </c>
      <c r="M3505">
        <v>0.38</v>
      </c>
      <c r="N3505" t="s">
        <v>121</v>
      </c>
      <c r="O3505" t="s">
        <v>121</v>
      </c>
      <c r="P3505" t="s">
        <v>1373</v>
      </c>
      <c r="Q3505" s="1" t="s">
        <v>2276</v>
      </c>
      <c r="R3505" s="1" t="s">
        <v>755</v>
      </c>
      <c r="S3505" s="1" t="s">
        <v>2352</v>
      </c>
      <c r="T3505" t="s">
        <v>421</v>
      </c>
      <c r="U3505" t="s">
        <v>421</v>
      </c>
      <c r="V3505" t="s">
        <v>194</v>
      </c>
      <c r="W3505" t="s">
        <v>1373</v>
      </c>
      <c r="X3505" t="s">
        <v>161</v>
      </c>
      <c r="Y3505" t="s">
        <v>2272</v>
      </c>
      <c r="Z3505" t="s">
        <v>2272</v>
      </c>
      <c r="AA3505" t="s">
        <v>2272</v>
      </c>
      <c r="AB3505" t="s">
        <v>2272</v>
      </c>
      <c r="AC3505" t="s">
        <v>162</v>
      </c>
      <c r="AD3505" t="s">
        <v>2272</v>
      </c>
      <c r="AG3505" t="s">
        <v>49</v>
      </c>
      <c r="AL3505" t="s">
        <v>49</v>
      </c>
      <c r="AM3505" t="s">
        <v>1643</v>
      </c>
      <c r="AN3505" t="s">
        <v>166</v>
      </c>
      <c r="AQ3505" s="5">
        <v>0</v>
      </c>
    </row>
    <row r="3506" spans="1:43" x14ac:dyDescent="0.2">
      <c r="A3506" t="s">
        <v>1910</v>
      </c>
      <c r="B3506" t="s">
        <v>1911</v>
      </c>
      <c r="C3506">
        <v>2009</v>
      </c>
      <c r="D3506" t="s">
        <v>44</v>
      </c>
      <c r="F3506" t="s">
        <v>83</v>
      </c>
      <c r="G3506" s="1" t="s">
        <v>85</v>
      </c>
      <c r="H3506" t="s">
        <v>350</v>
      </c>
      <c r="I3506">
        <v>2006</v>
      </c>
      <c r="J3506">
        <v>0.17</v>
      </c>
      <c r="K3506" t="s">
        <v>101</v>
      </c>
      <c r="M3506">
        <v>0.38</v>
      </c>
      <c r="N3506" t="s">
        <v>121</v>
      </c>
      <c r="O3506" t="s">
        <v>121</v>
      </c>
      <c r="P3506" t="s">
        <v>747</v>
      </c>
      <c r="Q3506" s="1" t="s">
        <v>2292</v>
      </c>
      <c r="R3506" s="1" t="s">
        <v>264</v>
      </c>
      <c r="S3506" s="1" t="s">
        <v>264</v>
      </c>
      <c r="T3506" t="s">
        <v>421</v>
      </c>
      <c r="U3506" t="s">
        <v>421</v>
      </c>
      <c r="V3506" t="s">
        <v>194</v>
      </c>
      <c r="W3506" t="s">
        <v>1373</v>
      </c>
      <c r="X3506" t="s">
        <v>161</v>
      </c>
      <c r="Y3506" t="s">
        <v>2272</v>
      </c>
      <c r="Z3506" t="s">
        <v>2272</v>
      </c>
      <c r="AA3506" t="s">
        <v>2272</v>
      </c>
      <c r="AB3506" t="s">
        <v>2272</v>
      </c>
      <c r="AC3506" t="s">
        <v>162</v>
      </c>
      <c r="AD3506" t="s">
        <v>2272</v>
      </c>
      <c r="AG3506" t="s">
        <v>49</v>
      </c>
      <c r="AL3506" t="s">
        <v>49</v>
      </c>
      <c r="AM3506" t="s">
        <v>1643</v>
      </c>
      <c r="AN3506" t="s">
        <v>166</v>
      </c>
      <c r="AQ3506" s="5">
        <v>0</v>
      </c>
    </row>
    <row r="3507" spans="1:43" x14ac:dyDescent="0.2">
      <c r="A3507" t="s">
        <v>1910</v>
      </c>
      <c r="B3507" t="s">
        <v>1911</v>
      </c>
      <c r="C3507">
        <v>2009</v>
      </c>
      <c r="D3507" t="s">
        <v>44</v>
      </c>
      <c r="F3507" t="s">
        <v>83</v>
      </c>
      <c r="G3507" s="1" t="s">
        <v>85</v>
      </c>
      <c r="H3507" t="s">
        <v>350</v>
      </c>
      <c r="I3507">
        <v>2006</v>
      </c>
      <c r="J3507">
        <v>0.17</v>
      </c>
      <c r="K3507" t="s">
        <v>101</v>
      </c>
      <c r="M3507">
        <v>0.38</v>
      </c>
      <c r="N3507" t="s">
        <v>121</v>
      </c>
      <c r="O3507" t="s">
        <v>121</v>
      </c>
      <c r="P3507" t="s">
        <v>1373</v>
      </c>
      <c r="Q3507" s="1" t="s">
        <v>2276</v>
      </c>
      <c r="R3507" s="1" t="s">
        <v>755</v>
      </c>
      <c r="S3507" s="1" t="s">
        <v>2352</v>
      </c>
      <c r="T3507" t="s">
        <v>396</v>
      </c>
      <c r="U3507" s="1" t="s">
        <v>264</v>
      </c>
      <c r="V3507" t="s">
        <v>194</v>
      </c>
      <c r="W3507" t="s">
        <v>1373</v>
      </c>
      <c r="X3507" t="s">
        <v>161</v>
      </c>
      <c r="Y3507" t="s">
        <v>2272</v>
      </c>
      <c r="Z3507" t="s">
        <v>2272</v>
      </c>
      <c r="AA3507" t="s">
        <v>2272</v>
      </c>
      <c r="AB3507" t="s">
        <v>2272</v>
      </c>
      <c r="AC3507" t="s">
        <v>162</v>
      </c>
      <c r="AD3507" t="s">
        <v>2272</v>
      </c>
      <c r="AF3507" t="s">
        <v>49</v>
      </c>
      <c r="AL3507" t="s">
        <v>49</v>
      </c>
      <c r="AM3507" t="s">
        <v>1611</v>
      </c>
      <c r="AN3507" t="s">
        <v>166</v>
      </c>
      <c r="AQ3507" s="5">
        <v>0</v>
      </c>
    </row>
    <row r="3508" spans="1:43" x14ac:dyDescent="0.2">
      <c r="A3508" t="s">
        <v>1910</v>
      </c>
      <c r="B3508" t="s">
        <v>1911</v>
      </c>
      <c r="C3508">
        <v>2009</v>
      </c>
      <c r="D3508" t="s">
        <v>44</v>
      </c>
      <c r="F3508" t="s">
        <v>83</v>
      </c>
      <c r="G3508" s="1" t="s">
        <v>85</v>
      </c>
      <c r="H3508" t="s">
        <v>350</v>
      </c>
      <c r="I3508">
        <v>2006</v>
      </c>
      <c r="J3508">
        <v>0.17</v>
      </c>
      <c r="K3508" t="s">
        <v>101</v>
      </c>
      <c r="M3508">
        <v>0.38</v>
      </c>
      <c r="N3508" t="s">
        <v>121</v>
      </c>
      <c r="O3508" t="s">
        <v>121</v>
      </c>
      <c r="P3508" t="s">
        <v>747</v>
      </c>
      <c r="Q3508" s="1" t="s">
        <v>2292</v>
      </c>
      <c r="R3508" s="1" t="s">
        <v>264</v>
      </c>
      <c r="S3508" s="1" t="s">
        <v>264</v>
      </c>
      <c r="T3508" t="s">
        <v>396</v>
      </c>
      <c r="U3508" s="1" t="s">
        <v>2352</v>
      </c>
      <c r="V3508" t="s">
        <v>194</v>
      </c>
      <c r="W3508" t="s">
        <v>1373</v>
      </c>
      <c r="X3508" t="s">
        <v>161</v>
      </c>
      <c r="Y3508" t="s">
        <v>2272</v>
      </c>
      <c r="Z3508" t="s">
        <v>2272</v>
      </c>
      <c r="AA3508" t="s">
        <v>2272</v>
      </c>
      <c r="AB3508" t="s">
        <v>2272</v>
      </c>
      <c r="AC3508" t="s">
        <v>162</v>
      </c>
      <c r="AD3508" t="s">
        <v>2272</v>
      </c>
      <c r="AF3508" t="s">
        <v>49</v>
      </c>
      <c r="AL3508" t="s">
        <v>49</v>
      </c>
      <c r="AM3508" t="s">
        <v>1611</v>
      </c>
      <c r="AN3508" t="s">
        <v>166</v>
      </c>
      <c r="AQ3508" s="5">
        <v>0</v>
      </c>
    </row>
    <row r="3509" spans="1:43" x14ac:dyDescent="0.2">
      <c r="A3509" t="s">
        <v>1910</v>
      </c>
      <c r="B3509" t="s">
        <v>1911</v>
      </c>
      <c r="C3509">
        <v>2009</v>
      </c>
      <c r="D3509" t="s">
        <v>44</v>
      </c>
      <c r="F3509" t="s">
        <v>83</v>
      </c>
      <c r="G3509" s="1" t="s">
        <v>85</v>
      </c>
      <c r="H3509" t="s">
        <v>350</v>
      </c>
      <c r="I3509">
        <v>2006</v>
      </c>
      <c r="J3509">
        <v>0.17</v>
      </c>
      <c r="K3509" t="s">
        <v>101</v>
      </c>
      <c r="M3509">
        <v>0.38</v>
      </c>
      <c r="N3509" t="s">
        <v>121</v>
      </c>
      <c r="O3509" t="s">
        <v>121</v>
      </c>
      <c r="P3509" t="s">
        <v>1373</v>
      </c>
      <c r="Q3509" s="1" t="s">
        <v>2276</v>
      </c>
      <c r="R3509" s="1" t="s">
        <v>755</v>
      </c>
      <c r="S3509" s="1" t="s">
        <v>2352</v>
      </c>
      <c r="T3509" t="s">
        <v>421</v>
      </c>
      <c r="U3509" t="s">
        <v>421</v>
      </c>
      <c r="V3509" t="s">
        <v>194</v>
      </c>
      <c r="W3509" t="s">
        <v>1373</v>
      </c>
      <c r="X3509" t="s">
        <v>161</v>
      </c>
      <c r="Y3509" t="s">
        <v>2272</v>
      </c>
      <c r="Z3509" t="s">
        <v>2272</v>
      </c>
      <c r="AA3509" t="s">
        <v>2272</v>
      </c>
      <c r="AB3509" t="s">
        <v>2272</v>
      </c>
      <c r="AC3509" t="s">
        <v>162</v>
      </c>
      <c r="AD3509" t="s">
        <v>2272</v>
      </c>
      <c r="AF3509" t="s">
        <v>49</v>
      </c>
      <c r="AL3509" t="s">
        <v>49</v>
      </c>
      <c r="AM3509" t="s">
        <v>1611</v>
      </c>
      <c r="AN3509" t="s">
        <v>166</v>
      </c>
      <c r="AQ3509" s="5">
        <v>1</v>
      </c>
    </row>
    <row r="3510" spans="1:43" x14ac:dyDescent="0.2">
      <c r="A3510" t="s">
        <v>1910</v>
      </c>
      <c r="B3510" t="s">
        <v>1911</v>
      </c>
      <c r="C3510">
        <v>2009</v>
      </c>
      <c r="D3510" t="s">
        <v>44</v>
      </c>
      <c r="F3510" t="s">
        <v>83</v>
      </c>
      <c r="G3510" s="1" t="s">
        <v>85</v>
      </c>
      <c r="H3510" t="s">
        <v>350</v>
      </c>
      <c r="I3510">
        <v>2006</v>
      </c>
      <c r="J3510">
        <v>0.17</v>
      </c>
      <c r="K3510" t="s">
        <v>101</v>
      </c>
      <c r="M3510">
        <v>0.38</v>
      </c>
      <c r="N3510" t="s">
        <v>121</v>
      </c>
      <c r="O3510" t="s">
        <v>121</v>
      </c>
      <c r="P3510" t="s">
        <v>747</v>
      </c>
      <c r="Q3510" s="1" t="s">
        <v>2292</v>
      </c>
      <c r="R3510" s="1" t="s">
        <v>264</v>
      </c>
      <c r="S3510" s="1" t="s">
        <v>264</v>
      </c>
      <c r="T3510" t="s">
        <v>421</v>
      </c>
      <c r="U3510" t="s">
        <v>421</v>
      </c>
      <c r="V3510" t="s">
        <v>194</v>
      </c>
      <c r="W3510" t="s">
        <v>1373</v>
      </c>
      <c r="X3510" t="s">
        <v>161</v>
      </c>
      <c r="Y3510" t="s">
        <v>2272</v>
      </c>
      <c r="Z3510" t="s">
        <v>2272</v>
      </c>
      <c r="AA3510" t="s">
        <v>2272</v>
      </c>
      <c r="AB3510" t="s">
        <v>2272</v>
      </c>
      <c r="AC3510" t="s">
        <v>162</v>
      </c>
      <c r="AD3510" t="s">
        <v>2272</v>
      </c>
      <c r="AF3510" t="s">
        <v>49</v>
      </c>
      <c r="AL3510" t="s">
        <v>49</v>
      </c>
      <c r="AM3510" t="s">
        <v>1611</v>
      </c>
      <c r="AN3510" t="s">
        <v>166</v>
      </c>
      <c r="AQ3510" s="5">
        <v>1</v>
      </c>
    </row>
    <row r="3511" spans="1:43" x14ac:dyDescent="0.2">
      <c r="A3511" t="s">
        <v>1910</v>
      </c>
      <c r="B3511" t="s">
        <v>1911</v>
      </c>
      <c r="C3511">
        <v>2009</v>
      </c>
      <c r="D3511" t="s">
        <v>44</v>
      </c>
      <c r="F3511" t="s">
        <v>83</v>
      </c>
      <c r="G3511" s="1" t="s">
        <v>85</v>
      </c>
      <c r="H3511" t="s">
        <v>350</v>
      </c>
      <c r="I3511">
        <v>2006</v>
      </c>
      <c r="J3511">
        <v>0.17</v>
      </c>
      <c r="K3511" t="s">
        <v>101</v>
      </c>
      <c r="M3511">
        <v>0.38</v>
      </c>
      <c r="N3511" t="s">
        <v>121</v>
      </c>
      <c r="O3511" t="s">
        <v>121</v>
      </c>
      <c r="P3511" t="s">
        <v>1373</v>
      </c>
      <c r="Q3511" s="1" t="s">
        <v>2276</v>
      </c>
      <c r="R3511" s="1" t="s">
        <v>755</v>
      </c>
      <c r="S3511" s="1" t="s">
        <v>2352</v>
      </c>
      <c r="T3511" t="s">
        <v>396</v>
      </c>
      <c r="U3511" s="1" t="s">
        <v>264</v>
      </c>
      <c r="V3511" t="s">
        <v>194</v>
      </c>
      <c r="W3511" t="s">
        <v>1373</v>
      </c>
      <c r="X3511" t="s">
        <v>161</v>
      </c>
      <c r="Y3511" t="s">
        <v>2272</v>
      </c>
      <c r="Z3511" t="s">
        <v>2272</v>
      </c>
      <c r="AA3511" t="s">
        <v>2272</v>
      </c>
      <c r="AB3511" t="s">
        <v>2272</v>
      </c>
      <c r="AC3511" t="s">
        <v>162</v>
      </c>
      <c r="AD3511" t="s">
        <v>2272</v>
      </c>
      <c r="AF3511" t="s">
        <v>49</v>
      </c>
      <c r="AL3511" t="s">
        <v>49</v>
      </c>
      <c r="AM3511" t="s">
        <v>1913</v>
      </c>
      <c r="AN3511" t="s">
        <v>166</v>
      </c>
      <c r="AQ3511" s="5">
        <v>0</v>
      </c>
    </row>
    <row r="3512" spans="1:43" x14ac:dyDescent="0.2">
      <c r="A3512" t="s">
        <v>1910</v>
      </c>
      <c r="B3512" t="s">
        <v>1911</v>
      </c>
      <c r="C3512">
        <v>2009</v>
      </c>
      <c r="D3512" t="s">
        <v>44</v>
      </c>
      <c r="F3512" t="s">
        <v>83</v>
      </c>
      <c r="G3512" s="1" t="s">
        <v>85</v>
      </c>
      <c r="H3512" t="s">
        <v>350</v>
      </c>
      <c r="I3512">
        <v>2006</v>
      </c>
      <c r="J3512">
        <v>0.17</v>
      </c>
      <c r="K3512" t="s">
        <v>101</v>
      </c>
      <c r="M3512">
        <v>0.38</v>
      </c>
      <c r="N3512" t="s">
        <v>121</v>
      </c>
      <c r="O3512" t="s">
        <v>121</v>
      </c>
      <c r="P3512" t="s">
        <v>747</v>
      </c>
      <c r="Q3512" s="1" t="s">
        <v>2292</v>
      </c>
      <c r="R3512" s="1" t="s">
        <v>264</v>
      </c>
      <c r="S3512" s="1" t="s">
        <v>264</v>
      </c>
      <c r="T3512" t="s">
        <v>396</v>
      </c>
      <c r="U3512" s="1" t="s">
        <v>2352</v>
      </c>
      <c r="V3512" t="s">
        <v>194</v>
      </c>
      <c r="W3512" t="s">
        <v>1373</v>
      </c>
      <c r="X3512" t="s">
        <v>161</v>
      </c>
      <c r="Y3512" t="s">
        <v>2272</v>
      </c>
      <c r="Z3512" t="s">
        <v>2272</v>
      </c>
      <c r="AA3512" t="s">
        <v>2272</v>
      </c>
      <c r="AB3512" t="s">
        <v>2272</v>
      </c>
      <c r="AC3512" t="s">
        <v>162</v>
      </c>
      <c r="AD3512" t="s">
        <v>2272</v>
      </c>
      <c r="AF3512" t="s">
        <v>49</v>
      </c>
      <c r="AL3512" t="s">
        <v>49</v>
      </c>
      <c r="AM3512" t="s">
        <v>1913</v>
      </c>
      <c r="AN3512" t="s">
        <v>166</v>
      </c>
      <c r="AQ3512" s="5">
        <v>0</v>
      </c>
    </row>
    <row r="3513" spans="1:43" x14ac:dyDescent="0.2">
      <c r="A3513" t="s">
        <v>1910</v>
      </c>
      <c r="B3513" t="s">
        <v>1911</v>
      </c>
      <c r="C3513">
        <v>2009</v>
      </c>
      <c r="D3513" t="s">
        <v>44</v>
      </c>
      <c r="F3513" t="s">
        <v>83</v>
      </c>
      <c r="G3513" s="1" t="s">
        <v>85</v>
      </c>
      <c r="H3513" t="s">
        <v>350</v>
      </c>
      <c r="I3513">
        <v>2006</v>
      </c>
      <c r="J3513">
        <v>0.17</v>
      </c>
      <c r="K3513" t="s">
        <v>101</v>
      </c>
      <c r="M3513">
        <v>0.38</v>
      </c>
      <c r="N3513" t="s">
        <v>121</v>
      </c>
      <c r="O3513" t="s">
        <v>121</v>
      </c>
      <c r="P3513" t="s">
        <v>1373</v>
      </c>
      <c r="Q3513" s="1" t="s">
        <v>2276</v>
      </c>
      <c r="R3513" s="1" t="s">
        <v>755</v>
      </c>
      <c r="S3513" s="1" t="s">
        <v>2352</v>
      </c>
      <c r="T3513" t="s">
        <v>421</v>
      </c>
      <c r="U3513" t="s">
        <v>421</v>
      </c>
      <c r="V3513" t="s">
        <v>194</v>
      </c>
      <c r="W3513" t="s">
        <v>1373</v>
      </c>
      <c r="X3513" t="s">
        <v>161</v>
      </c>
      <c r="Y3513" t="s">
        <v>2272</v>
      </c>
      <c r="Z3513" t="s">
        <v>2272</v>
      </c>
      <c r="AA3513" t="s">
        <v>2272</v>
      </c>
      <c r="AB3513" t="s">
        <v>2272</v>
      </c>
      <c r="AC3513" t="s">
        <v>162</v>
      </c>
      <c r="AD3513" t="s">
        <v>2272</v>
      </c>
      <c r="AF3513" t="s">
        <v>49</v>
      </c>
      <c r="AL3513" t="s">
        <v>49</v>
      </c>
      <c r="AM3513" t="s">
        <v>1913</v>
      </c>
      <c r="AN3513" t="s">
        <v>166</v>
      </c>
      <c r="AQ3513" s="5">
        <v>1</v>
      </c>
    </row>
    <row r="3514" spans="1:43" x14ac:dyDescent="0.2">
      <c r="A3514" t="s">
        <v>1910</v>
      </c>
      <c r="B3514" t="s">
        <v>1911</v>
      </c>
      <c r="C3514">
        <v>2009</v>
      </c>
      <c r="D3514" t="s">
        <v>44</v>
      </c>
      <c r="F3514" t="s">
        <v>83</v>
      </c>
      <c r="G3514" s="1" t="s">
        <v>85</v>
      </c>
      <c r="H3514" t="s">
        <v>350</v>
      </c>
      <c r="I3514">
        <v>2006</v>
      </c>
      <c r="J3514">
        <v>0.17</v>
      </c>
      <c r="K3514" t="s">
        <v>101</v>
      </c>
      <c r="M3514">
        <v>0.38</v>
      </c>
      <c r="N3514" t="s">
        <v>121</v>
      </c>
      <c r="O3514" t="s">
        <v>121</v>
      </c>
      <c r="P3514" t="s">
        <v>747</v>
      </c>
      <c r="Q3514" s="1" t="s">
        <v>2292</v>
      </c>
      <c r="R3514" s="1" t="s">
        <v>264</v>
      </c>
      <c r="S3514" s="1" t="s">
        <v>264</v>
      </c>
      <c r="T3514" t="s">
        <v>421</v>
      </c>
      <c r="U3514" t="s">
        <v>421</v>
      </c>
      <c r="V3514" t="s">
        <v>194</v>
      </c>
      <c r="W3514" t="s">
        <v>1373</v>
      </c>
      <c r="X3514" t="s">
        <v>161</v>
      </c>
      <c r="Y3514" t="s">
        <v>2272</v>
      </c>
      <c r="Z3514" t="s">
        <v>2272</v>
      </c>
      <c r="AA3514" t="s">
        <v>2272</v>
      </c>
      <c r="AB3514" t="s">
        <v>2272</v>
      </c>
      <c r="AC3514" t="s">
        <v>162</v>
      </c>
      <c r="AD3514" t="s">
        <v>2272</v>
      </c>
      <c r="AF3514" t="s">
        <v>49</v>
      </c>
      <c r="AL3514" t="s">
        <v>49</v>
      </c>
      <c r="AM3514" t="s">
        <v>1913</v>
      </c>
      <c r="AN3514" t="s">
        <v>166</v>
      </c>
      <c r="AQ3514" s="5">
        <v>1</v>
      </c>
    </row>
    <row r="3515" spans="1:43" x14ac:dyDescent="0.2">
      <c r="A3515" t="s">
        <v>1910</v>
      </c>
      <c r="B3515" t="s">
        <v>1911</v>
      </c>
      <c r="C3515">
        <v>2009</v>
      </c>
      <c r="D3515" t="s">
        <v>44</v>
      </c>
      <c r="F3515" t="s">
        <v>83</v>
      </c>
      <c r="G3515" s="1" t="s">
        <v>85</v>
      </c>
      <c r="H3515" t="s">
        <v>350</v>
      </c>
      <c r="I3515">
        <v>2006</v>
      </c>
      <c r="J3515">
        <v>0.17</v>
      </c>
      <c r="K3515" t="s">
        <v>101</v>
      </c>
      <c r="M3515">
        <v>0.38</v>
      </c>
      <c r="N3515" t="s">
        <v>121</v>
      </c>
      <c r="O3515" t="s">
        <v>121</v>
      </c>
      <c r="P3515" t="s">
        <v>1373</v>
      </c>
      <c r="Q3515" s="1" t="s">
        <v>2276</v>
      </c>
      <c r="R3515" s="1" t="s">
        <v>755</v>
      </c>
      <c r="S3515" s="1" t="s">
        <v>2352</v>
      </c>
      <c r="T3515" t="s">
        <v>396</v>
      </c>
      <c r="U3515" s="1" t="s">
        <v>264</v>
      </c>
      <c r="V3515" t="s">
        <v>194</v>
      </c>
      <c r="W3515" t="s">
        <v>1373</v>
      </c>
      <c r="X3515" t="s">
        <v>161</v>
      </c>
      <c r="Y3515" t="s">
        <v>2272</v>
      </c>
      <c r="Z3515" t="s">
        <v>2272</v>
      </c>
      <c r="AA3515" t="s">
        <v>2272</v>
      </c>
      <c r="AB3515" t="s">
        <v>2272</v>
      </c>
      <c r="AC3515" t="s">
        <v>162</v>
      </c>
      <c r="AD3515" t="s">
        <v>2272</v>
      </c>
      <c r="AG3515" t="s">
        <v>49</v>
      </c>
      <c r="AK3515" t="s">
        <v>49</v>
      </c>
      <c r="AM3515" t="s">
        <v>1914</v>
      </c>
      <c r="AN3515" t="s">
        <v>166</v>
      </c>
      <c r="AQ3515" s="5">
        <v>2</v>
      </c>
    </row>
    <row r="3516" spans="1:43" x14ac:dyDescent="0.2">
      <c r="A3516" t="s">
        <v>1910</v>
      </c>
      <c r="B3516" t="s">
        <v>1911</v>
      </c>
      <c r="C3516">
        <v>2009</v>
      </c>
      <c r="D3516" t="s">
        <v>44</v>
      </c>
      <c r="F3516" t="s">
        <v>83</v>
      </c>
      <c r="G3516" s="1" t="s">
        <v>85</v>
      </c>
      <c r="H3516" t="s">
        <v>350</v>
      </c>
      <c r="I3516">
        <v>2006</v>
      </c>
      <c r="J3516">
        <v>0.17</v>
      </c>
      <c r="K3516" t="s">
        <v>101</v>
      </c>
      <c r="M3516">
        <v>0.38</v>
      </c>
      <c r="N3516" t="s">
        <v>121</v>
      </c>
      <c r="O3516" t="s">
        <v>121</v>
      </c>
      <c r="P3516" t="s">
        <v>747</v>
      </c>
      <c r="Q3516" s="1" t="s">
        <v>2292</v>
      </c>
      <c r="R3516" s="1" t="s">
        <v>264</v>
      </c>
      <c r="S3516" s="1" t="s">
        <v>264</v>
      </c>
      <c r="T3516" t="s">
        <v>396</v>
      </c>
      <c r="U3516" s="1" t="s">
        <v>2352</v>
      </c>
      <c r="V3516" t="s">
        <v>194</v>
      </c>
      <c r="W3516" t="s">
        <v>1373</v>
      </c>
      <c r="X3516" t="s">
        <v>161</v>
      </c>
      <c r="Y3516" t="s">
        <v>2272</v>
      </c>
      <c r="Z3516" t="s">
        <v>2272</v>
      </c>
      <c r="AA3516" t="s">
        <v>2272</v>
      </c>
      <c r="AB3516" t="s">
        <v>2272</v>
      </c>
      <c r="AC3516" t="s">
        <v>162</v>
      </c>
      <c r="AD3516" t="s">
        <v>2272</v>
      </c>
      <c r="AG3516" t="s">
        <v>49</v>
      </c>
      <c r="AK3516" t="s">
        <v>49</v>
      </c>
      <c r="AM3516" t="s">
        <v>1914</v>
      </c>
      <c r="AN3516" t="s">
        <v>166</v>
      </c>
      <c r="AQ3516" s="5">
        <v>1</v>
      </c>
    </row>
    <row r="3517" spans="1:43" x14ac:dyDescent="0.2">
      <c r="A3517" t="s">
        <v>1910</v>
      </c>
      <c r="B3517" t="s">
        <v>1911</v>
      </c>
      <c r="C3517">
        <v>2009</v>
      </c>
      <c r="D3517" t="s">
        <v>44</v>
      </c>
      <c r="F3517" t="s">
        <v>83</v>
      </c>
      <c r="G3517" s="1" t="s">
        <v>85</v>
      </c>
      <c r="H3517" t="s">
        <v>350</v>
      </c>
      <c r="I3517">
        <v>2006</v>
      </c>
      <c r="J3517">
        <v>0.17</v>
      </c>
      <c r="K3517" t="s">
        <v>101</v>
      </c>
      <c r="M3517">
        <v>0.38</v>
      </c>
      <c r="N3517" t="s">
        <v>121</v>
      </c>
      <c r="O3517" t="s">
        <v>121</v>
      </c>
      <c r="P3517" t="s">
        <v>1373</v>
      </c>
      <c r="Q3517" s="1" t="s">
        <v>2276</v>
      </c>
      <c r="R3517" s="1" t="s">
        <v>755</v>
      </c>
      <c r="S3517" s="1" t="s">
        <v>2352</v>
      </c>
      <c r="T3517" t="s">
        <v>421</v>
      </c>
      <c r="U3517" t="s">
        <v>421</v>
      </c>
      <c r="V3517" t="s">
        <v>194</v>
      </c>
      <c r="W3517" t="s">
        <v>1373</v>
      </c>
      <c r="X3517" t="s">
        <v>161</v>
      </c>
      <c r="Y3517" t="s">
        <v>2272</v>
      </c>
      <c r="Z3517" t="s">
        <v>2272</v>
      </c>
      <c r="AA3517" t="s">
        <v>2272</v>
      </c>
      <c r="AB3517" t="s">
        <v>2272</v>
      </c>
      <c r="AC3517" t="s">
        <v>162</v>
      </c>
      <c r="AD3517" t="s">
        <v>2272</v>
      </c>
      <c r="AG3517" t="s">
        <v>49</v>
      </c>
      <c r="AK3517" t="s">
        <v>49</v>
      </c>
      <c r="AM3517" t="s">
        <v>1914</v>
      </c>
      <c r="AN3517" t="s">
        <v>166</v>
      </c>
      <c r="AQ3517" s="5">
        <v>0</v>
      </c>
    </row>
    <row r="3518" spans="1:43" x14ac:dyDescent="0.2">
      <c r="A3518" t="s">
        <v>1910</v>
      </c>
      <c r="B3518" t="s">
        <v>1911</v>
      </c>
      <c r="C3518">
        <v>2009</v>
      </c>
      <c r="D3518" t="s">
        <v>44</v>
      </c>
      <c r="F3518" t="s">
        <v>83</v>
      </c>
      <c r="G3518" s="1" t="s">
        <v>85</v>
      </c>
      <c r="H3518" t="s">
        <v>350</v>
      </c>
      <c r="I3518">
        <v>2006</v>
      </c>
      <c r="J3518">
        <v>0.17</v>
      </c>
      <c r="K3518" t="s">
        <v>101</v>
      </c>
      <c r="M3518">
        <v>0.38</v>
      </c>
      <c r="N3518" t="s">
        <v>121</v>
      </c>
      <c r="O3518" t="s">
        <v>121</v>
      </c>
      <c r="P3518" t="s">
        <v>747</v>
      </c>
      <c r="Q3518" s="1" t="s">
        <v>2292</v>
      </c>
      <c r="R3518" s="1" t="s">
        <v>264</v>
      </c>
      <c r="S3518" s="1" t="s">
        <v>264</v>
      </c>
      <c r="T3518" t="s">
        <v>421</v>
      </c>
      <c r="U3518" t="s">
        <v>421</v>
      </c>
      <c r="V3518" t="s">
        <v>194</v>
      </c>
      <c r="W3518" t="s">
        <v>1373</v>
      </c>
      <c r="X3518" t="s">
        <v>161</v>
      </c>
      <c r="Y3518" t="s">
        <v>2272</v>
      </c>
      <c r="Z3518" t="s">
        <v>2272</v>
      </c>
      <c r="AA3518" t="s">
        <v>2272</v>
      </c>
      <c r="AB3518" t="s">
        <v>2272</v>
      </c>
      <c r="AC3518" t="s">
        <v>162</v>
      </c>
      <c r="AD3518" t="s">
        <v>2272</v>
      </c>
      <c r="AG3518" t="s">
        <v>49</v>
      </c>
      <c r="AK3518" t="s">
        <v>49</v>
      </c>
      <c r="AM3518" t="s">
        <v>1914</v>
      </c>
      <c r="AN3518" t="s">
        <v>166</v>
      </c>
      <c r="AQ3518" s="5">
        <v>1</v>
      </c>
    </row>
    <row r="3519" spans="1:43" x14ac:dyDescent="0.2">
      <c r="A3519" t="s">
        <v>1910</v>
      </c>
      <c r="B3519" t="s">
        <v>1911</v>
      </c>
      <c r="C3519">
        <v>2009</v>
      </c>
      <c r="D3519" t="s">
        <v>44</v>
      </c>
      <c r="F3519" t="s">
        <v>83</v>
      </c>
      <c r="G3519" s="1" t="s">
        <v>85</v>
      </c>
      <c r="H3519" t="s">
        <v>350</v>
      </c>
      <c r="I3519">
        <v>2006</v>
      </c>
      <c r="J3519">
        <v>0.17</v>
      </c>
      <c r="K3519" t="s">
        <v>101</v>
      </c>
      <c r="M3519">
        <v>0.38</v>
      </c>
      <c r="N3519" t="s">
        <v>121</v>
      </c>
      <c r="O3519" t="s">
        <v>121</v>
      </c>
      <c r="P3519" t="s">
        <v>1373</v>
      </c>
      <c r="Q3519" s="1" t="s">
        <v>2276</v>
      </c>
      <c r="R3519" s="1" t="s">
        <v>755</v>
      </c>
      <c r="S3519" s="1" t="s">
        <v>2352</v>
      </c>
      <c r="T3519" t="s">
        <v>396</v>
      </c>
      <c r="U3519" s="1" t="s">
        <v>264</v>
      </c>
      <c r="V3519" t="s">
        <v>194</v>
      </c>
      <c r="W3519" t="s">
        <v>1373</v>
      </c>
      <c r="X3519" t="s">
        <v>161</v>
      </c>
      <c r="Y3519" t="s">
        <v>2272</v>
      </c>
      <c r="Z3519" t="s">
        <v>2272</v>
      </c>
      <c r="AA3519" t="s">
        <v>2272</v>
      </c>
      <c r="AB3519" t="s">
        <v>2272</v>
      </c>
      <c r="AC3519" t="s">
        <v>162</v>
      </c>
      <c r="AD3519" t="s">
        <v>2272</v>
      </c>
      <c r="AG3519" t="s">
        <v>49</v>
      </c>
      <c r="AK3519" t="s">
        <v>49</v>
      </c>
      <c r="AM3519" t="s">
        <v>1915</v>
      </c>
      <c r="AN3519" t="s">
        <v>166</v>
      </c>
      <c r="AQ3519" s="5">
        <v>2</v>
      </c>
    </row>
    <row r="3520" spans="1:43" x14ac:dyDescent="0.2">
      <c r="A3520" t="s">
        <v>1910</v>
      </c>
      <c r="B3520" t="s">
        <v>1911</v>
      </c>
      <c r="C3520">
        <v>2009</v>
      </c>
      <c r="D3520" t="s">
        <v>44</v>
      </c>
      <c r="F3520" t="s">
        <v>83</v>
      </c>
      <c r="G3520" s="1" t="s">
        <v>85</v>
      </c>
      <c r="H3520" t="s">
        <v>350</v>
      </c>
      <c r="I3520">
        <v>2006</v>
      </c>
      <c r="J3520">
        <v>0.17</v>
      </c>
      <c r="K3520" t="s">
        <v>101</v>
      </c>
      <c r="M3520">
        <v>0.38</v>
      </c>
      <c r="N3520" t="s">
        <v>121</v>
      </c>
      <c r="O3520" t="s">
        <v>121</v>
      </c>
      <c r="P3520" t="s">
        <v>747</v>
      </c>
      <c r="Q3520" s="1" t="s">
        <v>2292</v>
      </c>
      <c r="R3520" s="1" t="s">
        <v>264</v>
      </c>
      <c r="S3520" s="1" t="s">
        <v>264</v>
      </c>
      <c r="T3520" t="s">
        <v>396</v>
      </c>
      <c r="U3520" s="1" t="s">
        <v>2352</v>
      </c>
      <c r="V3520" t="s">
        <v>194</v>
      </c>
      <c r="W3520" t="s">
        <v>1373</v>
      </c>
      <c r="X3520" t="s">
        <v>161</v>
      </c>
      <c r="Y3520" t="s">
        <v>2272</v>
      </c>
      <c r="Z3520" t="s">
        <v>2272</v>
      </c>
      <c r="AA3520" t="s">
        <v>2272</v>
      </c>
      <c r="AB3520" t="s">
        <v>2272</v>
      </c>
      <c r="AC3520" t="s">
        <v>162</v>
      </c>
      <c r="AD3520" t="s">
        <v>2272</v>
      </c>
      <c r="AG3520" t="s">
        <v>49</v>
      </c>
      <c r="AK3520" t="s">
        <v>49</v>
      </c>
      <c r="AM3520" t="s">
        <v>1915</v>
      </c>
      <c r="AN3520" t="s">
        <v>166</v>
      </c>
      <c r="AQ3520" s="5">
        <v>1</v>
      </c>
    </row>
    <row r="3521" spans="1:43" x14ac:dyDescent="0.2">
      <c r="A3521" t="s">
        <v>1910</v>
      </c>
      <c r="B3521" t="s">
        <v>1911</v>
      </c>
      <c r="C3521">
        <v>2009</v>
      </c>
      <c r="D3521" t="s">
        <v>44</v>
      </c>
      <c r="F3521" t="s">
        <v>83</v>
      </c>
      <c r="G3521" s="1" t="s">
        <v>85</v>
      </c>
      <c r="H3521" t="s">
        <v>350</v>
      </c>
      <c r="I3521">
        <v>2006</v>
      </c>
      <c r="J3521">
        <v>0.17</v>
      </c>
      <c r="K3521" t="s">
        <v>101</v>
      </c>
      <c r="M3521">
        <v>0.38</v>
      </c>
      <c r="N3521" t="s">
        <v>121</v>
      </c>
      <c r="O3521" t="s">
        <v>121</v>
      </c>
      <c r="P3521" t="s">
        <v>1373</v>
      </c>
      <c r="Q3521" s="1" t="s">
        <v>2276</v>
      </c>
      <c r="R3521" s="1" t="s">
        <v>755</v>
      </c>
      <c r="S3521" s="1" t="s">
        <v>2352</v>
      </c>
      <c r="T3521" t="s">
        <v>421</v>
      </c>
      <c r="U3521" t="s">
        <v>421</v>
      </c>
      <c r="V3521" t="s">
        <v>194</v>
      </c>
      <c r="W3521" t="s">
        <v>1373</v>
      </c>
      <c r="X3521" t="s">
        <v>161</v>
      </c>
      <c r="Y3521" t="s">
        <v>2272</v>
      </c>
      <c r="Z3521" t="s">
        <v>2272</v>
      </c>
      <c r="AA3521" t="s">
        <v>2272</v>
      </c>
      <c r="AB3521" t="s">
        <v>2272</v>
      </c>
      <c r="AC3521" t="s">
        <v>162</v>
      </c>
      <c r="AD3521" t="s">
        <v>2272</v>
      </c>
      <c r="AG3521" t="s">
        <v>49</v>
      </c>
      <c r="AK3521" t="s">
        <v>49</v>
      </c>
      <c r="AM3521" t="s">
        <v>1915</v>
      </c>
      <c r="AN3521" t="s">
        <v>166</v>
      </c>
      <c r="AQ3521" s="5">
        <v>2</v>
      </c>
    </row>
    <row r="3522" spans="1:43" x14ac:dyDescent="0.2">
      <c r="A3522" t="s">
        <v>1910</v>
      </c>
      <c r="B3522" t="s">
        <v>1911</v>
      </c>
      <c r="C3522">
        <v>2009</v>
      </c>
      <c r="D3522" t="s">
        <v>44</v>
      </c>
      <c r="F3522" t="s">
        <v>83</v>
      </c>
      <c r="G3522" s="1" t="s">
        <v>85</v>
      </c>
      <c r="H3522" t="s">
        <v>350</v>
      </c>
      <c r="I3522">
        <v>2006</v>
      </c>
      <c r="J3522">
        <v>0.17</v>
      </c>
      <c r="K3522" t="s">
        <v>101</v>
      </c>
      <c r="M3522">
        <v>0.38</v>
      </c>
      <c r="N3522" t="s">
        <v>121</v>
      </c>
      <c r="O3522" t="s">
        <v>121</v>
      </c>
      <c r="P3522" t="s">
        <v>747</v>
      </c>
      <c r="Q3522" s="1" t="s">
        <v>2292</v>
      </c>
      <c r="R3522" s="1" t="s">
        <v>264</v>
      </c>
      <c r="S3522" s="1" t="s">
        <v>264</v>
      </c>
      <c r="T3522" t="s">
        <v>421</v>
      </c>
      <c r="U3522" t="s">
        <v>421</v>
      </c>
      <c r="V3522" t="s">
        <v>194</v>
      </c>
      <c r="W3522" t="s">
        <v>1373</v>
      </c>
      <c r="X3522" t="s">
        <v>161</v>
      </c>
      <c r="Y3522" t="s">
        <v>2272</v>
      </c>
      <c r="Z3522" t="s">
        <v>2272</v>
      </c>
      <c r="AA3522" t="s">
        <v>2272</v>
      </c>
      <c r="AB3522" t="s">
        <v>2272</v>
      </c>
      <c r="AC3522" t="s">
        <v>162</v>
      </c>
      <c r="AD3522" t="s">
        <v>2272</v>
      </c>
      <c r="AG3522" t="s">
        <v>49</v>
      </c>
      <c r="AK3522" t="s">
        <v>49</v>
      </c>
      <c r="AM3522" t="s">
        <v>1915</v>
      </c>
      <c r="AN3522" t="s">
        <v>166</v>
      </c>
      <c r="AQ3522" s="5">
        <v>0</v>
      </c>
    </row>
    <row r="3523" spans="1:43" x14ac:dyDescent="0.2">
      <c r="A3523" t="s">
        <v>1910</v>
      </c>
      <c r="B3523" t="s">
        <v>1911</v>
      </c>
      <c r="C3523">
        <v>2009</v>
      </c>
      <c r="D3523" t="s">
        <v>44</v>
      </c>
      <c r="F3523" t="s">
        <v>83</v>
      </c>
      <c r="G3523" s="1" t="s">
        <v>85</v>
      </c>
      <c r="H3523" t="s">
        <v>350</v>
      </c>
      <c r="I3523">
        <v>2006</v>
      </c>
      <c r="J3523">
        <v>0.17</v>
      </c>
      <c r="K3523" t="s">
        <v>101</v>
      </c>
      <c r="M3523">
        <v>0.38</v>
      </c>
      <c r="N3523" t="s">
        <v>121</v>
      </c>
      <c r="O3523" t="s">
        <v>121</v>
      </c>
      <c r="P3523" t="s">
        <v>1373</v>
      </c>
      <c r="Q3523" s="1" t="s">
        <v>2276</v>
      </c>
      <c r="R3523" s="1" t="s">
        <v>755</v>
      </c>
      <c r="S3523" s="1" t="s">
        <v>2352</v>
      </c>
      <c r="T3523" t="s">
        <v>396</v>
      </c>
      <c r="U3523" s="1" t="s">
        <v>264</v>
      </c>
      <c r="V3523" t="s">
        <v>194</v>
      </c>
      <c r="W3523" t="s">
        <v>1373</v>
      </c>
      <c r="X3523" t="s">
        <v>161</v>
      </c>
      <c r="Y3523" t="s">
        <v>2272</v>
      </c>
      <c r="Z3523" t="s">
        <v>2272</v>
      </c>
      <c r="AA3523" t="s">
        <v>2272</v>
      </c>
      <c r="AB3523" t="s">
        <v>2272</v>
      </c>
      <c r="AC3523" t="s">
        <v>162</v>
      </c>
      <c r="AD3523" t="s">
        <v>2272</v>
      </c>
      <c r="AG3523" t="s">
        <v>49</v>
      </c>
      <c r="AK3523" t="s">
        <v>49</v>
      </c>
      <c r="AM3523" t="s">
        <v>1916</v>
      </c>
      <c r="AN3523" t="s">
        <v>166</v>
      </c>
      <c r="AQ3523" s="5">
        <v>2</v>
      </c>
    </row>
    <row r="3524" spans="1:43" x14ac:dyDescent="0.2">
      <c r="A3524" t="s">
        <v>1910</v>
      </c>
      <c r="B3524" t="s">
        <v>1911</v>
      </c>
      <c r="C3524">
        <v>2009</v>
      </c>
      <c r="D3524" t="s">
        <v>44</v>
      </c>
      <c r="F3524" t="s">
        <v>83</v>
      </c>
      <c r="G3524" s="1" t="s">
        <v>85</v>
      </c>
      <c r="H3524" t="s">
        <v>350</v>
      </c>
      <c r="I3524">
        <v>2006</v>
      </c>
      <c r="J3524">
        <v>0.17</v>
      </c>
      <c r="K3524" t="s">
        <v>101</v>
      </c>
      <c r="M3524">
        <v>0.38</v>
      </c>
      <c r="N3524" t="s">
        <v>121</v>
      </c>
      <c r="O3524" t="s">
        <v>121</v>
      </c>
      <c r="P3524" t="s">
        <v>747</v>
      </c>
      <c r="Q3524" s="1" t="s">
        <v>2292</v>
      </c>
      <c r="R3524" s="1" t="s">
        <v>264</v>
      </c>
      <c r="S3524" s="1" t="s">
        <v>264</v>
      </c>
      <c r="T3524" t="s">
        <v>396</v>
      </c>
      <c r="U3524" s="1" t="s">
        <v>2352</v>
      </c>
      <c r="V3524" t="s">
        <v>194</v>
      </c>
      <c r="W3524" t="s">
        <v>1373</v>
      </c>
      <c r="X3524" t="s">
        <v>161</v>
      </c>
      <c r="Y3524" t="s">
        <v>2272</v>
      </c>
      <c r="Z3524" t="s">
        <v>2272</v>
      </c>
      <c r="AA3524" t="s">
        <v>2272</v>
      </c>
      <c r="AB3524" t="s">
        <v>2272</v>
      </c>
      <c r="AC3524" t="s">
        <v>162</v>
      </c>
      <c r="AD3524" t="s">
        <v>2272</v>
      </c>
      <c r="AG3524" t="s">
        <v>49</v>
      </c>
      <c r="AK3524" t="s">
        <v>49</v>
      </c>
      <c r="AM3524" t="s">
        <v>1916</v>
      </c>
      <c r="AN3524" t="s">
        <v>166</v>
      </c>
      <c r="AQ3524" s="5">
        <v>1</v>
      </c>
    </row>
    <row r="3525" spans="1:43" x14ac:dyDescent="0.2">
      <c r="A3525" t="s">
        <v>1910</v>
      </c>
      <c r="B3525" t="s">
        <v>1911</v>
      </c>
      <c r="C3525">
        <v>2009</v>
      </c>
      <c r="D3525" t="s">
        <v>44</v>
      </c>
      <c r="F3525" t="s">
        <v>83</v>
      </c>
      <c r="G3525" s="1" t="s">
        <v>85</v>
      </c>
      <c r="H3525" t="s">
        <v>350</v>
      </c>
      <c r="I3525">
        <v>2006</v>
      </c>
      <c r="J3525">
        <v>0.17</v>
      </c>
      <c r="K3525" t="s">
        <v>101</v>
      </c>
      <c r="M3525">
        <v>0.38</v>
      </c>
      <c r="N3525" t="s">
        <v>121</v>
      </c>
      <c r="O3525" t="s">
        <v>121</v>
      </c>
      <c r="P3525" t="s">
        <v>1373</v>
      </c>
      <c r="Q3525" s="1" t="s">
        <v>2276</v>
      </c>
      <c r="R3525" s="1" t="s">
        <v>755</v>
      </c>
      <c r="S3525" s="1" t="s">
        <v>2352</v>
      </c>
      <c r="T3525" t="s">
        <v>421</v>
      </c>
      <c r="U3525" t="s">
        <v>421</v>
      </c>
      <c r="V3525" t="s">
        <v>194</v>
      </c>
      <c r="W3525" t="s">
        <v>1373</v>
      </c>
      <c r="X3525" t="s">
        <v>161</v>
      </c>
      <c r="Y3525" t="s">
        <v>2272</v>
      </c>
      <c r="Z3525" t="s">
        <v>2272</v>
      </c>
      <c r="AA3525" t="s">
        <v>2272</v>
      </c>
      <c r="AB3525" t="s">
        <v>2272</v>
      </c>
      <c r="AC3525" t="s">
        <v>162</v>
      </c>
      <c r="AD3525" t="s">
        <v>2272</v>
      </c>
      <c r="AG3525" t="s">
        <v>49</v>
      </c>
      <c r="AK3525" t="s">
        <v>49</v>
      </c>
      <c r="AM3525" t="s">
        <v>1916</v>
      </c>
      <c r="AN3525" t="s">
        <v>166</v>
      </c>
      <c r="AQ3525" s="5">
        <v>2</v>
      </c>
    </row>
    <row r="3526" spans="1:43" x14ac:dyDescent="0.2">
      <c r="A3526" t="s">
        <v>1910</v>
      </c>
      <c r="B3526" t="s">
        <v>1911</v>
      </c>
      <c r="C3526">
        <v>2009</v>
      </c>
      <c r="D3526" t="s">
        <v>44</v>
      </c>
      <c r="F3526" t="s">
        <v>83</v>
      </c>
      <c r="G3526" s="1" t="s">
        <v>85</v>
      </c>
      <c r="H3526" t="s">
        <v>350</v>
      </c>
      <c r="I3526">
        <v>2006</v>
      </c>
      <c r="J3526">
        <v>0.17</v>
      </c>
      <c r="K3526" t="s">
        <v>101</v>
      </c>
      <c r="M3526">
        <v>0.38</v>
      </c>
      <c r="N3526" t="s">
        <v>121</v>
      </c>
      <c r="O3526" t="s">
        <v>121</v>
      </c>
      <c r="P3526" t="s">
        <v>747</v>
      </c>
      <c r="Q3526" s="1" t="s">
        <v>2292</v>
      </c>
      <c r="R3526" s="1" t="s">
        <v>264</v>
      </c>
      <c r="S3526" s="1" t="s">
        <v>264</v>
      </c>
      <c r="T3526" t="s">
        <v>421</v>
      </c>
      <c r="U3526" t="s">
        <v>421</v>
      </c>
      <c r="V3526" t="s">
        <v>194</v>
      </c>
      <c r="W3526" t="s">
        <v>1373</v>
      </c>
      <c r="X3526" t="s">
        <v>161</v>
      </c>
      <c r="Y3526" t="s">
        <v>2272</v>
      </c>
      <c r="Z3526" t="s">
        <v>2272</v>
      </c>
      <c r="AA3526" t="s">
        <v>2272</v>
      </c>
      <c r="AB3526" t="s">
        <v>2272</v>
      </c>
      <c r="AC3526" t="s">
        <v>162</v>
      </c>
      <c r="AD3526" t="s">
        <v>2272</v>
      </c>
      <c r="AG3526" t="s">
        <v>49</v>
      </c>
      <c r="AK3526" t="s">
        <v>49</v>
      </c>
      <c r="AM3526" t="s">
        <v>1916</v>
      </c>
      <c r="AN3526" t="s">
        <v>166</v>
      </c>
      <c r="AQ3526" s="5">
        <v>1</v>
      </c>
    </row>
    <row r="3527" spans="1:43" x14ac:dyDescent="0.2">
      <c r="A3527" t="s">
        <v>1910</v>
      </c>
      <c r="B3527" t="s">
        <v>1911</v>
      </c>
      <c r="C3527">
        <v>2009</v>
      </c>
      <c r="D3527" t="s">
        <v>44</v>
      </c>
      <c r="F3527" t="s">
        <v>83</v>
      </c>
      <c r="G3527" s="1" t="s">
        <v>85</v>
      </c>
      <c r="H3527" t="s">
        <v>350</v>
      </c>
      <c r="I3527">
        <v>2006</v>
      </c>
      <c r="J3527">
        <v>0.17</v>
      </c>
      <c r="K3527" t="s">
        <v>101</v>
      </c>
      <c r="M3527">
        <v>0.38</v>
      </c>
      <c r="N3527" t="s">
        <v>121</v>
      </c>
      <c r="O3527" t="s">
        <v>121</v>
      </c>
      <c r="P3527" t="s">
        <v>1373</v>
      </c>
      <c r="Q3527" s="1" t="s">
        <v>2276</v>
      </c>
      <c r="R3527" s="1" t="s">
        <v>755</v>
      </c>
      <c r="S3527" s="1" t="s">
        <v>2352</v>
      </c>
      <c r="T3527" t="s">
        <v>396</v>
      </c>
      <c r="U3527" s="1" t="s">
        <v>264</v>
      </c>
      <c r="V3527" t="s">
        <v>194</v>
      </c>
      <c r="W3527" t="s">
        <v>1373</v>
      </c>
      <c r="X3527" t="s">
        <v>161</v>
      </c>
      <c r="Y3527" t="s">
        <v>2272</v>
      </c>
      <c r="Z3527" t="s">
        <v>2272</v>
      </c>
      <c r="AA3527" t="s">
        <v>2272</v>
      </c>
      <c r="AB3527" t="s">
        <v>2272</v>
      </c>
      <c r="AC3527" t="s">
        <v>162</v>
      </c>
      <c r="AD3527" t="s">
        <v>2272</v>
      </c>
      <c r="AG3527" t="s">
        <v>49</v>
      </c>
      <c r="AL3527" t="s">
        <v>49</v>
      </c>
      <c r="AM3527" t="s">
        <v>1643</v>
      </c>
      <c r="AN3527" t="s">
        <v>166</v>
      </c>
      <c r="AQ3527" s="5">
        <v>2</v>
      </c>
    </row>
    <row r="3528" spans="1:43" x14ac:dyDescent="0.2">
      <c r="A3528" t="s">
        <v>1910</v>
      </c>
      <c r="B3528" t="s">
        <v>1911</v>
      </c>
      <c r="C3528">
        <v>2009</v>
      </c>
      <c r="D3528" t="s">
        <v>44</v>
      </c>
      <c r="F3528" t="s">
        <v>83</v>
      </c>
      <c r="G3528" s="1" t="s">
        <v>85</v>
      </c>
      <c r="H3528" t="s">
        <v>350</v>
      </c>
      <c r="I3528">
        <v>2006</v>
      </c>
      <c r="J3528">
        <v>0.17</v>
      </c>
      <c r="K3528" t="s">
        <v>101</v>
      </c>
      <c r="M3528">
        <v>0.38</v>
      </c>
      <c r="N3528" t="s">
        <v>121</v>
      </c>
      <c r="O3528" t="s">
        <v>121</v>
      </c>
      <c r="P3528" t="s">
        <v>1912</v>
      </c>
      <c r="Q3528" s="1" t="s">
        <v>2292</v>
      </c>
      <c r="R3528" s="1" t="s">
        <v>264</v>
      </c>
      <c r="S3528" s="1" t="s">
        <v>264</v>
      </c>
      <c r="T3528" t="s">
        <v>396</v>
      </c>
      <c r="U3528" s="1" t="s">
        <v>2352</v>
      </c>
      <c r="V3528" t="s">
        <v>194</v>
      </c>
      <c r="W3528" t="s">
        <v>1373</v>
      </c>
      <c r="X3528" t="s">
        <v>161</v>
      </c>
      <c r="Y3528" t="s">
        <v>2272</v>
      </c>
      <c r="Z3528" t="s">
        <v>2272</v>
      </c>
      <c r="AA3528" t="s">
        <v>2272</v>
      </c>
      <c r="AB3528" t="s">
        <v>2272</v>
      </c>
      <c r="AC3528" t="s">
        <v>162</v>
      </c>
      <c r="AD3528" t="s">
        <v>2272</v>
      </c>
      <c r="AG3528" t="s">
        <v>49</v>
      </c>
      <c r="AL3528" t="s">
        <v>49</v>
      </c>
      <c r="AM3528" t="s">
        <v>1643</v>
      </c>
      <c r="AN3528" t="s">
        <v>166</v>
      </c>
      <c r="AQ3528" s="5">
        <v>1</v>
      </c>
    </row>
    <row r="3529" spans="1:43" x14ac:dyDescent="0.2">
      <c r="A3529" t="s">
        <v>1910</v>
      </c>
      <c r="B3529" t="s">
        <v>1911</v>
      </c>
      <c r="C3529">
        <v>2009</v>
      </c>
      <c r="D3529" t="s">
        <v>44</v>
      </c>
      <c r="F3529" t="s">
        <v>83</v>
      </c>
      <c r="G3529" s="1" t="s">
        <v>85</v>
      </c>
      <c r="H3529" t="s">
        <v>350</v>
      </c>
      <c r="I3529">
        <v>2006</v>
      </c>
      <c r="J3529">
        <v>0.17</v>
      </c>
      <c r="K3529" t="s">
        <v>101</v>
      </c>
      <c r="M3529">
        <v>0.38</v>
      </c>
      <c r="N3529" t="s">
        <v>121</v>
      </c>
      <c r="O3529" t="s">
        <v>121</v>
      </c>
      <c r="P3529" t="s">
        <v>1373</v>
      </c>
      <c r="Q3529" s="1" t="s">
        <v>2276</v>
      </c>
      <c r="R3529" s="1" t="s">
        <v>755</v>
      </c>
      <c r="S3529" s="1" t="s">
        <v>2352</v>
      </c>
      <c r="T3529" t="s">
        <v>396</v>
      </c>
      <c r="U3529" s="1" t="s">
        <v>264</v>
      </c>
      <c r="V3529" t="s">
        <v>194</v>
      </c>
      <c r="W3529" t="s">
        <v>1373</v>
      </c>
      <c r="X3529" t="s">
        <v>161</v>
      </c>
      <c r="Y3529" t="s">
        <v>2272</v>
      </c>
      <c r="Z3529" t="s">
        <v>2272</v>
      </c>
      <c r="AA3529" t="s">
        <v>2272</v>
      </c>
      <c r="AB3529" t="s">
        <v>2272</v>
      </c>
      <c r="AC3529" t="s">
        <v>162</v>
      </c>
      <c r="AD3529" t="s">
        <v>2272</v>
      </c>
      <c r="AG3529" t="s">
        <v>49</v>
      </c>
      <c r="AL3529" t="s">
        <v>49</v>
      </c>
      <c r="AM3529" t="s">
        <v>1611</v>
      </c>
      <c r="AN3529" t="s">
        <v>166</v>
      </c>
      <c r="AQ3529" s="5">
        <v>2</v>
      </c>
    </row>
    <row r="3530" spans="1:43" x14ac:dyDescent="0.2">
      <c r="A3530" t="s">
        <v>1910</v>
      </c>
      <c r="B3530" t="s">
        <v>1911</v>
      </c>
      <c r="C3530">
        <v>2009</v>
      </c>
      <c r="D3530" t="s">
        <v>44</v>
      </c>
      <c r="F3530" t="s">
        <v>83</v>
      </c>
      <c r="G3530" s="1" t="s">
        <v>85</v>
      </c>
      <c r="H3530" t="s">
        <v>350</v>
      </c>
      <c r="I3530">
        <v>2006</v>
      </c>
      <c r="J3530">
        <v>0.17</v>
      </c>
      <c r="K3530" t="s">
        <v>101</v>
      </c>
      <c r="M3530">
        <v>0.38</v>
      </c>
      <c r="N3530" t="s">
        <v>121</v>
      </c>
      <c r="O3530" t="s">
        <v>121</v>
      </c>
      <c r="P3530" t="s">
        <v>1912</v>
      </c>
      <c r="Q3530" s="1" t="s">
        <v>2292</v>
      </c>
      <c r="R3530" s="1" t="s">
        <v>264</v>
      </c>
      <c r="S3530" s="1" t="s">
        <v>264</v>
      </c>
      <c r="T3530" t="s">
        <v>396</v>
      </c>
      <c r="U3530" s="1" t="s">
        <v>2352</v>
      </c>
      <c r="V3530" t="s">
        <v>194</v>
      </c>
      <c r="W3530" t="s">
        <v>1373</v>
      </c>
      <c r="X3530" t="s">
        <v>161</v>
      </c>
      <c r="Y3530" t="s">
        <v>2272</v>
      </c>
      <c r="Z3530" t="s">
        <v>2272</v>
      </c>
      <c r="AA3530" t="s">
        <v>2272</v>
      </c>
      <c r="AB3530" t="s">
        <v>2272</v>
      </c>
      <c r="AC3530" t="s">
        <v>162</v>
      </c>
      <c r="AD3530" t="s">
        <v>2272</v>
      </c>
      <c r="AG3530" t="s">
        <v>49</v>
      </c>
      <c r="AL3530" t="s">
        <v>49</v>
      </c>
      <c r="AM3530" t="s">
        <v>1611</v>
      </c>
      <c r="AN3530" t="s">
        <v>166</v>
      </c>
      <c r="AQ3530" s="5">
        <v>1</v>
      </c>
    </row>
    <row r="3531" spans="1:43" x14ac:dyDescent="0.2">
      <c r="A3531" t="s">
        <v>1910</v>
      </c>
      <c r="B3531" t="s">
        <v>1911</v>
      </c>
      <c r="C3531">
        <v>2009</v>
      </c>
      <c r="D3531" t="s">
        <v>44</v>
      </c>
      <c r="F3531" t="s">
        <v>83</v>
      </c>
      <c r="G3531" s="1" t="s">
        <v>85</v>
      </c>
      <c r="H3531" t="s">
        <v>350</v>
      </c>
      <c r="I3531">
        <v>2006</v>
      </c>
      <c r="J3531">
        <v>0.17</v>
      </c>
      <c r="K3531" t="s">
        <v>101</v>
      </c>
      <c r="M3531">
        <v>0.38</v>
      </c>
      <c r="N3531" t="s">
        <v>121</v>
      </c>
      <c r="O3531" t="s">
        <v>121</v>
      </c>
      <c r="P3531" t="s">
        <v>1373</v>
      </c>
      <c r="Q3531" s="1" t="s">
        <v>2276</v>
      </c>
      <c r="R3531" s="1" t="s">
        <v>755</v>
      </c>
      <c r="S3531" s="1" t="s">
        <v>2352</v>
      </c>
      <c r="T3531" t="s">
        <v>396</v>
      </c>
      <c r="U3531" s="1" t="s">
        <v>264</v>
      </c>
      <c r="V3531" t="s">
        <v>194</v>
      </c>
      <c r="W3531" t="s">
        <v>1373</v>
      </c>
      <c r="X3531" t="s">
        <v>161</v>
      </c>
      <c r="Y3531" t="s">
        <v>2272</v>
      </c>
      <c r="Z3531" t="s">
        <v>2272</v>
      </c>
      <c r="AA3531" t="s">
        <v>2272</v>
      </c>
      <c r="AB3531" t="s">
        <v>2272</v>
      </c>
      <c r="AC3531" t="s">
        <v>162</v>
      </c>
      <c r="AD3531" t="s">
        <v>2272</v>
      </c>
      <c r="AG3531" t="s">
        <v>49</v>
      </c>
      <c r="AL3531" t="s">
        <v>49</v>
      </c>
      <c r="AM3531" t="s">
        <v>1913</v>
      </c>
      <c r="AN3531" t="s">
        <v>166</v>
      </c>
      <c r="AQ3531" s="5">
        <v>2</v>
      </c>
    </row>
    <row r="3532" spans="1:43" x14ac:dyDescent="0.2">
      <c r="A3532" t="s">
        <v>1910</v>
      </c>
      <c r="B3532" t="s">
        <v>1911</v>
      </c>
      <c r="C3532">
        <v>2009</v>
      </c>
      <c r="D3532" t="s">
        <v>44</v>
      </c>
      <c r="F3532" t="s">
        <v>83</v>
      </c>
      <c r="G3532" s="1" t="s">
        <v>85</v>
      </c>
      <c r="H3532" t="s">
        <v>350</v>
      </c>
      <c r="I3532">
        <v>2006</v>
      </c>
      <c r="J3532">
        <v>0.17</v>
      </c>
      <c r="K3532" t="s">
        <v>101</v>
      </c>
      <c r="M3532">
        <v>0.38</v>
      </c>
      <c r="N3532" t="s">
        <v>121</v>
      </c>
      <c r="O3532" t="s">
        <v>121</v>
      </c>
      <c r="P3532" t="s">
        <v>1912</v>
      </c>
      <c r="Q3532" s="1" t="s">
        <v>2292</v>
      </c>
      <c r="R3532" s="1" t="s">
        <v>264</v>
      </c>
      <c r="S3532" s="1" t="s">
        <v>264</v>
      </c>
      <c r="T3532" t="s">
        <v>396</v>
      </c>
      <c r="U3532" s="1" t="s">
        <v>2352</v>
      </c>
      <c r="V3532" t="s">
        <v>194</v>
      </c>
      <c r="W3532" t="s">
        <v>1373</v>
      </c>
      <c r="X3532" t="s">
        <v>161</v>
      </c>
      <c r="Y3532" t="s">
        <v>2272</v>
      </c>
      <c r="Z3532" t="s">
        <v>2272</v>
      </c>
      <c r="AA3532" t="s">
        <v>2272</v>
      </c>
      <c r="AB3532" t="s">
        <v>2272</v>
      </c>
      <c r="AC3532" t="s">
        <v>162</v>
      </c>
      <c r="AD3532" t="s">
        <v>2272</v>
      </c>
      <c r="AG3532" t="s">
        <v>49</v>
      </c>
      <c r="AL3532" t="s">
        <v>49</v>
      </c>
      <c r="AM3532" t="s">
        <v>1913</v>
      </c>
      <c r="AN3532" t="s">
        <v>166</v>
      </c>
      <c r="AQ3532" s="5">
        <v>1</v>
      </c>
    </row>
    <row r="3533" spans="1:43" x14ac:dyDescent="0.2">
      <c r="A3533" t="s">
        <v>1910</v>
      </c>
      <c r="B3533" t="s">
        <v>1911</v>
      </c>
      <c r="C3533">
        <v>2009</v>
      </c>
      <c r="D3533" t="s">
        <v>44</v>
      </c>
      <c r="F3533" t="s">
        <v>83</v>
      </c>
      <c r="G3533" s="1" t="s">
        <v>85</v>
      </c>
      <c r="H3533" t="s">
        <v>350</v>
      </c>
      <c r="I3533">
        <v>2006</v>
      </c>
      <c r="J3533">
        <v>0.17</v>
      </c>
      <c r="K3533" t="s">
        <v>101</v>
      </c>
      <c r="M3533">
        <v>0.38</v>
      </c>
      <c r="N3533" t="s">
        <v>121</v>
      </c>
      <c r="O3533" t="s">
        <v>121</v>
      </c>
      <c r="P3533" t="s">
        <v>1373</v>
      </c>
      <c r="Q3533" s="1" t="s">
        <v>2276</v>
      </c>
      <c r="R3533" s="1" t="s">
        <v>755</v>
      </c>
      <c r="S3533" s="1" t="s">
        <v>2352</v>
      </c>
      <c r="T3533" t="s">
        <v>396</v>
      </c>
      <c r="U3533" s="1" t="s">
        <v>264</v>
      </c>
      <c r="V3533" t="s">
        <v>194</v>
      </c>
      <c r="W3533" t="s">
        <v>1373</v>
      </c>
      <c r="X3533" t="s">
        <v>161</v>
      </c>
      <c r="Y3533" t="s">
        <v>2272</v>
      </c>
      <c r="Z3533" t="s">
        <v>2272</v>
      </c>
      <c r="AA3533" t="s">
        <v>2272</v>
      </c>
      <c r="AB3533" t="s">
        <v>2272</v>
      </c>
      <c r="AC3533" t="s">
        <v>162</v>
      </c>
      <c r="AD3533" t="s">
        <v>2272</v>
      </c>
      <c r="AG3533" t="s">
        <v>49</v>
      </c>
      <c r="AL3533" t="s">
        <v>49</v>
      </c>
      <c r="AM3533" t="s">
        <v>1917</v>
      </c>
      <c r="AN3533" t="s">
        <v>166</v>
      </c>
      <c r="AQ3533" s="5">
        <v>2</v>
      </c>
    </row>
    <row r="3534" spans="1:43" x14ac:dyDescent="0.2">
      <c r="A3534" t="s">
        <v>1910</v>
      </c>
      <c r="B3534" t="s">
        <v>1911</v>
      </c>
      <c r="C3534">
        <v>2009</v>
      </c>
      <c r="D3534" t="s">
        <v>44</v>
      </c>
      <c r="F3534" t="s">
        <v>83</v>
      </c>
      <c r="G3534" s="1" t="s">
        <v>85</v>
      </c>
      <c r="H3534" t="s">
        <v>350</v>
      </c>
      <c r="I3534">
        <v>2006</v>
      </c>
      <c r="J3534">
        <v>0.17</v>
      </c>
      <c r="K3534" t="s">
        <v>101</v>
      </c>
      <c r="M3534">
        <v>0.38</v>
      </c>
      <c r="N3534" t="s">
        <v>121</v>
      </c>
      <c r="O3534" t="s">
        <v>121</v>
      </c>
      <c r="P3534" t="s">
        <v>1912</v>
      </c>
      <c r="Q3534" s="1" t="s">
        <v>2292</v>
      </c>
      <c r="R3534" s="1" t="s">
        <v>264</v>
      </c>
      <c r="S3534" s="1" t="s">
        <v>264</v>
      </c>
      <c r="T3534" t="s">
        <v>396</v>
      </c>
      <c r="U3534" s="1" t="s">
        <v>2352</v>
      </c>
      <c r="V3534" t="s">
        <v>194</v>
      </c>
      <c r="W3534" t="s">
        <v>1373</v>
      </c>
      <c r="X3534" t="s">
        <v>161</v>
      </c>
      <c r="Y3534" t="s">
        <v>2272</v>
      </c>
      <c r="Z3534" t="s">
        <v>2272</v>
      </c>
      <c r="AA3534" t="s">
        <v>2272</v>
      </c>
      <c r="AB3534" t="s">
        <v>2272</v>
      </c>
      <c r="AC3534" t="s">
        <v>162</v>
      </c>
      <c r="AD3534" t="s">
        <v>2272</v>
      </c>
      <c r="AG3534" t="s">
        <v>49</v>
      </c>
      <c r="AL3534" t="s">
        <v>49</v>
      </c>
      <c r="AM3534" t="s">
        <v>1917</v>
      </c>
      <c r="AN3534" t="s">
        <v>166</v>
      </c>
      <c r="AQ3534" s="5">
        <v>1</v>
      </c>
    </row>
    <row r="3535" spans="1:43" x14ac:dyDescent="0.2">
      <c r="A3535" t="s">
        <v>1910</v>
      </c>
      <c r="B3535" t="s">
        <v>1911</v>
      </c>
      <c r="C3535">
        <v>2009</v>
      </c>
      <c r="D3535" t="s">
        <v>44</v>
      </c>
      <c r="F3535" t="s">
        <v>83</v>
      </c>
      <c r="G3535" s="1" t="s">
        <v>85</v>
      </c>
      <c r="H3535" t="s">
        <v>350</v>
      </c>
      <c r="I3535">
        <v>2006</v>
      </c>
      <c r="J3535">
        <v>0.17</v>
      </c>
      <c r="K3535" t="s">
        <v>101</v>
      </c>
      <c r="M3535">
        <v>0.38</v>
      </c>
      <c r="N3535" t="s">
        <v>121</v>
      </c>
      <c r="O3535" t="s">
        <v>121</v>
      </c>
      <c r="P3535" t="s">
        <v>1373</v>
      </c>
      <c r="Q3535" s="1" t="s">
        <v>2276</v>
      </c>
      <c r="R3535" s="1" t="s">
        <v>755</v>
      </c>
      <c r="S3535" s="1" t="s">
        <v>2352</v>
      </c>
      <c r="T3535" t="s">
        <v>396</v>
      </c>
      <c r="U3535" s="1" t="s">
        <v>264</v>
      </c>
      <c r="V3535" t="s">
        <v>194</v>
      </c>
      <c r="W3535" t="s">
        <v>1373</v>
      </c>
      <c r="X3535" t="s">
        <v>161</v>
      </c>
      <c r="Y3535" t="s">
        <v>2272</v>
      </c>
      <c r="Z3535" t="s">
        <v>2272</v>
      </c>
      <c r="AA3535" t="s">
        <v>2272</v>
      </c>
      <c r="AB3535" t="s">
        <v>2272</v>
      </c>
      <c r="AC3535" t="s">
        <v>162</v>
      </c>
      <c r="AD3535" t="s">
        <v>2272</v>
      </c>
      <c r="AF3535" t="s">
        <v>49</v>
      </c>
      <c r="AG3535" t="s">
        <v>49</v>
      </c>
      <c r="AI3535" t="s">
        <v>49</v>
      </c>
      <c r="AM3535" t="s">
        <v>202</v>
      </c>
      <c r="AN3535" t="s">
        <v>166</v>
      </c>
      <c r="AQ3535" s="5">
        <v>0</v>
      </c>
    </row>
    <row r="3536" spans="1:43" x14ac:dyDescent="0.2">
      <c r="A3536" t="s">
        <v>1910</v>
      </c>
      <c r="B3536" t="s">
        <v>1911</v>
      </c>
      <c r="C3536">
        <v>2009</v>
      </c>
      <c r="D3536" t="s">
        <v>44</v>
      </c>
      <c r="F3536" t="s">
        <v>83</v>
      </c>
      <c r="G3536" s="1" t="s">
        <v>85</v>
      </c>
      <c r="H3536" t="s">
        <v>350</v>
      </c>
      <c r="I3536">
        <v>2006</v>
      </c>
      <c r="J3536">
        <v>0.17</v>
      </c>
      <c r="K3536" t="s">
        <v>101</v>
      </c>
      <c r="M3536">
        <v>0.38</v>
      </c>
      <c r="N3536" t="s">
        <v>121</v>
      </c>
      <c r="O3536" t="s">
        <v>121</v>
      </c>
      <c r="P3536" t="s">
        <v>747</v>
      </c>
      <c r="Q3536" s="1" t="s">
        <v>2292</v>
      </c>
      <c r="R3536" s="1" t="s">
        <v>264</v>
      </c>
      <c r="S3536" s="1" t="s">
        <v>264</v>
      </c>
      <c r="T3536" t="s">
        <v>396</v>
      </c>
      <c r="U3536" s="1" t="s">
        <v>2352</v>
      </c>
      <c r="V3536" t="s">
        <v>194</v>
      </c>
      <c r="W3536" t="s">
        <v>1373</v>
      </c>
      <c r="X3536" t="s">
        <v>161</v>
      </c>
      <c r="Y3536" t="s">
        <v>2272</v>
      </c>
      <c r="Z3536" t="s">
        <v>2272</v>
      </c>
      <c r="AA3536" t="s">
        <v>2272</v>
      </c>
      <c r="AB3536" t="s">
        <v>2272</v>
      </c>
      <c r="AC3536" t="s">
        <v>162</v>
      </c>
      <c r="AD3536" t="s">
        <v>2272</v>
      </c>
      <c r="AF3536" t="s">
        <v>49</v>
      </c>
      <c r="AG3536" t="s">
        <v>49</v>
      </c>
      <c r="AI3536" t="s">
        <v>49</v>
      </c>
      <c r="AM3536" t="s">
        <v>202</v>
      </c>
      <c r="AN3536" t="s">
        <v>166</v>
      </c>
      <c r="AQ3536" s="5">
        <v>0</v>
      </c>
    </row>
    <row r="3537" spans="1:43" x14ac:dyDescent="0.2">
      <c r="A3537" t="s">
        <v>1910</v>
      </c>
      <c r="B3537" t="s">
        <v>1911</v>
      </c>
      <c r="C3537">
        <v>2009</v>
      </c>
      <c r="D3537" t="s">
        <v>44</v>
      </c>
      <c r="F3537" t="s">
        <v>83</v>
      </c>
      <c r="G3537" s="1" t="s">
        <v>85</v>
      </c>
      <c r="H3537" t="s">
        <v>350</v>
      </c>
      <c r="I3537">
        <v>2006</v>
      </c>
      <c r="J3537">
        <v>0.17</v>
      </c>
      <c r="K3537" t="s">
        <v>101</v>
      </c>
      <c r="M3537">
        <v>0.38</v>
      </c>
      <c r="N3537" t="s">
        <v>121</v>
      </c>
      <c r="O3537" t="s">
        <v>121</v>
      </c>
      <c r="P3537" t="s">
        <v>1373</v>
      </c>
      <c r="Q3537" s="1" t="s">
        <v>2276</v>
      </c>
      <c r="R3537" s="1" t="s">
        <v>755</v>
      </c>
      <c r="S3537" s="1" t="s">
        <v>2352</v>
      </c>
      <c r="T3537" t="s">
        <v>421</v>
      </c>
      <c r="U3537" t="s">
        <v>421</v>
      </c>
      <c r="V3537" t="s">
        <v>194</v>
      </c>
      <c r="W3537" t="s">
        <v>1373</v>
      </c>
      <c r="X3537" t="s">
        <v>161</v>
      </c>
      <c r="Y3537" t="s">
        <v>2272</v>
      </c>
      <c r="Z3537" t="s">
        <v>2272</v>
      </c>
      <c r="AA3537" t="s">
        <v>2272</v>
      </c>
      <c r="AB3537" t="s">
        <v>2272</v>
      </c>
      <c r="AC3537" t="s">
        <v>162</v>
      </c>
      <c r="AD3537" t="s">
        <v>2272</v>
      </c>
      <c r="AF3537" t="s">
        <v>49</v>
      </c>
      <c r="AG3537" t="s">
        <v>49</v>
      </c>
      <c r="AI3537" t="s">
        <v>49</v>
      </c>
      <c r="AM3537" t="s">
        <v>202</v>
      </c>
      <c r="AN3537" t="s">
        <v>166</v>
      </c>
      <c r="AQ3537" s="5">
        <v>1</v>
      </c>
    </row>
    <row r="3538" spans="1:43" x14ac:dyDescent="0.2">
      <c r="A3538" t="s">
        <v>1910</v>
      </c>
      <c r="B3538" t="s">
        <v>1911</v>
      </c>
      <c r="C3538">
        <v>2009</v>
      </c>
      <c r="D3538" t="s">
        <v>44</v>
      </c>
      <c r="F3538" t="s">
        <v>83</v>
      </c>
      <c r="G3538" s="1" t="s">
        <v>85</v>
      </c>
      <c r="H3538" t="s">
        <v>350</v>
      </c>
      <c r="I3538">
        <v>2006</v>
      </c>
      <c r="J3538">
        <v>0.17</v>
      </c>
      <c r="K3538" t="s">
        <v>101</v>
      </c>
      <c r="M3538">
        <v>0.38</v>
      </c>
      <c r="N3538" t="s">
        <v>121</v>
      </c>
      <c r="O3538" t="s">
        <v>121</v>
      </c>
      <c r="P3538" t="s">
        <v>747</v>
      </c>
      <c r="Q3538" s="1" t="s">
        <v>2292</v>
      </c>
      <c r="R3538" s="1" t="s">
        <v>264</v>
      </c>
      <c r="S3538" s="1" t="s">
        <v>264</v>
      </c>
      <c r="T3538" t="s">
        <v>421</v>
      </c>
      <c r="U3538" t="s">
        <v>421</v>
      </c>
      <c r="V3538" t="s">
        <v>194</v>
      </c>
      <c r="W3538" t="s">
        <v>1373</v>
      </c>
      <c r="X3538" t="s">
        <v>161</v>
      </c>
      <c r="Y3538" t="s">
        <v>2272</v>
      </c>
      <c r="Z3538" t="s">
        <v>2272</v>
      </c>
      <c r="AA3538" t="s">
        <v>2272</v>
      </c>
      <c r="AB3538" t="s">
        <v>2272</v>
      </c>
      <c r="AC3538" t="s">
        <v>162</v>
      </c>
      <c r="AD3538" t="s">
        <v>2272</v>
      </c>
      <c r="AF3538" t="s">
        <v>49</v>
      </c>
      <c r="AG3538" t="s">
        <v>49</v>
      </c>
      <c r="AI3538" t="s">
        <v>49</v>
      </c>
      <c r="AM3538" t="s">
        <v>202</v>
      </c>
      <c r="AN3538" t="s">
        <v>166</v>
      </c>
      <c r="AQ3538" s="5">
        <v>1</v>
      </c>
    </row>
    <row r="3539" spans="1:43" x14ac:dyDescent="0.2">
      <c r="A3539" t="s">
        <v>1910</v>
      </c>
      <c r="B3539" t="s">
        <v>1911</v>
      </c>
      <c r="C3539">
        <v>2009</v>
      </c>
      <c r="D3539" t="s">
        <v>44</v>
      </c>
      <c r="F3539" t="s">
        <v>83</v>
      </c>
      <c r="G3539" s="1" t="s">
        <v>85</v>
      </c>
      <c r="H3539" t="s">
        <v>350</v>
      </c>
      <c r="I3539">
        <v>2006</v>
      </c>
      <c r="J3539">
        <v>0.17</v>
      </c>
      <c r="K3539" t="s">
        <v>101</v>
      </c>
      <c r="M3539">
        <v>0.38</v>
      </c>
      <c r="N3539" t="s">
        <v>121</v>
      </c>
      <c r="O3539" t="s">
        <v>121</v>
      </c>
      <c r="P3539" t="s">
        <v>1373</v>
      </c>
      <c r="Q3539" s="1" t="s">
        <v>2276</v>
      </c>
      <c r="R3539" s="1" t="s">
        <v>755</v>
      </c>
      <c r="S3539" s="1" t="s">
        <v>2352</v>
      </c>
      <c r="T3539" t="s">
        <v>396</v>
      </c>
      <c r="U3539" s="1" t="s">
        <v>264</v>
      </c>
      <c r="V3539" t="s">
        <v>194</v>
      </c>
      <c r="W3539" t="s">
        <v>1373</v>
      </c>
      <c r="X3539" t="s">
        <v>161</v>
      </c>
      <c r="Y3539" t="s">
        <v>2272</v>
      </c>
      <c r="Z3539" t="s">
        <v>2272</v>
      </c>
      <c r="AA3539" t="s">
        <v>2272</v>
      </c>
      <c r="AB3539" t="s">
        <v>2272</v>
      </c>
      <c r="AC3539" t="s">
        <v>162</v>
      </c>
      <c r="AD3539" t="s">
        <v>2272</v>
      </c>
      <c r="AF3539" t="s">
        <v>49</v>
      </c>
      <c r="AG3539" t="s">
        <v>49</v>
      </c>
      <c r="AI3539" t="s">
        <v>49</v>
      </c>
      <c r="AM3539" t="s">
        <v>202</v>
      </c>
      <c r="AN3539" t="s">
        <v>154</v>
      </c>
      <c r="AQ3539" s="5">
        <v>2</v>
      </c>
    </row>
    <row r="3540" spans="1:43" x14ac:dyDescent="0.2">
      <c r="A3540" t="s">
        <v>1910</v>
      </c>
      <c r="B3540" t="s">
        <v>1911</v>
      </c>
      <c r="C3540">
        <v>2009</v>
      </c>
      <c r="D3540" t="s">
        <v>44</v>
      </c>
      <c r="F3540" t="s">
        <v>83</v>
      </c>
      <c r="G3540" s="1" t="s">
        <v>85</v>
      </c>
      <c r="H3540" t="s">
        <v>350</v>
      </c>
      <c r="I3540">
        <v>2006</v>
      </c>
      <c r="J3540">
        <v>0.17</v>
      </c>
      <c r="K3540" t="s">
        <v>101</v>
      </c>
      <c r="M3540">
        <v>0.38</v>
      </c>
      <c r="N3540" t="s">
        <v>121</v>
      </c>
      <c r="O3540" t="s">
        <v>121</v>
      </c>
      <c r="P3540" t="s">
        <v>747</v>
      </c>
      <c r="Q3540" s="1" t="s">
        <v>2292</v>
      </c>
      <c r="R3540" s="1" t="s">
        <v>264</v>
      </c>
      <c r="S3540" s="1" t="s">
        <v>264</v>
      </c>
      <c r="T3540" t="s">
        <v>396</v>
      </c>
      <c r="U3540" s="1" t="s">
        <v>2352</v>
      </c>
      <c r="V3540" t="s">
        <v>194</v>
      </c>
      <c r="W3540" t="s">
        <v>1373</v>
      </c>
      <c r="X3540" t="s">
        <v>161</v>
      </c>
      <c r="Y3540" t="s">
        <v>2272</v>
      </c>
      <c r="Z3540" t="s">
        <v>2272</v>
      </c>
      <c r="AA3540" t="s">
        <v>2272</v>
      </c>
      <c r="AB3540" t="s">
        <v>2272</v>
      </c>
      <c r="AC3540" t="s">
        <v>162</v>
      </c>
      <c r="AD3540" t="s">
        <v>2272</v>
      </c>
      <c r="AF3540" t="s">
        <v>49</v>
      </c>
      <c r="AG3540" t="s">
        <v>49</v>
      </c>
      <c r="AI3540" t="s">
        <v>49</v>
      </c>
      <c r="AM3540" t="s">
        <v>202</v>
      </c>
      <c r="AN3540" t="s">
        <v>154</v>
      </c>
      <c r="AQ3540" s="5">
        <v>1</v>
      </c>
    </row>
    <row r="3541" spans="1:43" x14ac:dyDescent="0.2">
      <c r="A3541" t="s">
        <v>1910</v>
      </c>
      <c r="B3541" t="s">
        <v>1911</v>
      </c>
      <c r="C3541">
        <v>2009</v>
      </c>
      <c r="D3541" t="s">
        <v>44</v>
      </c>
      <c r="F3541" t="s">
        <v>83</v>
      </c>
      <c r="G3541" s="1" t="s">
        <v>85</v>
      </c>
      <c r="H3541" t="s">
        <v>350</v>
      </c>
      <c r="I3541">
        <v>2006</v>
      </c>
      <c r="J3541">
        <v>0.17</v>
      </c>
      <c r="K3541" t="s">
        <v>101</v>
      </c>
      <c r="M3541">
        <v>0.38</v>
      </c>
      <c r="N3541" t="s">
        <v>121</v>
      </c>
      <c r="O3541" t="s">
        <v>121</v>
      </c>
      <c r="P3541" t="s">
        <v>1373</v>
      </c>
      <c r="Q3541" s="1" t="s">
        <v>2276</v>
      </c>
      <c r="R3541" s="1" t="s">
        <v>755</v>
      </c>
      <c r="S3541" s="1" t="s">
        <v>2352</v>
      </c>
      <c r="T3541" t="s">
        <v>421</v>
      </c>
      <c r="U3541" t="s">
        <v>421</v>
      </c>
      <c r="V3541" t="s">
        <v>194</v>
      </c>
      <c r="W3541" t="s">
        <v>1373</v>
      </c>
      <c r="X3541" t="s">
        <v>161</v>
      </c>
      <c r="Y3541" t="s">
        <v>2272</v>
      </c>
      <c r="Z3541" t="s">
        <v>2272</v>
      </c>
      <c r="AA3541" t="s">
        <v>2272</v>
      </c>
      <c r="AB3541" t="s">
        <v>2272</v>
      </c>
      <c r="AC3541" t="s">
        <v>162</v>
      </c>
      <c r="AD3541" t="s">
        <v>2272</v>
      </c>
      <c r="AF3541" t="s">
        <v>49</v>
      </c>
      <c r="AG3541" t="s">
        <v>49</v>
      </c>
      <c r="AI3541" t="s">
        <v>49</v>
      </c>
      <c r="AM3541" t="s">
        <v>202</v>
      </c>
      <c r="AN3541" t="s">
        <v>154</v>
      </c>
      <c r="AQ3541" s="5">
        <v>0</v>
      </c>
    </row>
    <row r="3542" spans="1:43" x14ac:dyDescent="0.2">
      <c r="A3542" t="s">
        <v>1910</v>
      </c>
      <c r="B3542" t="s">
        <v>1911</v>
      </c>
      <c r="C3542">
        <v>2009</v>
      </c>
      <c r="D3542" t="s">
        <v>44</v>
      </c>
      <c r="F3542" t="s">
        <v>83</v>
      </c>
      <c r="G3542" s="1" t="s">
        <v>85</v>
      </c>
      <c r="H3542" t="s">
        <v>350</v>
      </c>
      <c r="I3542">
        <v>2006</v>
      </c>
      <c r="J3542">
        <v>0.17</v>
      </c>
      <c r="K3542" t="s">
        <v>101</v>
      </c>
      <c r="M3542">
        <v>0.38</v>
      </c>
      <c r="N3542" t="s">
        <v>121</v>
      </c>
      <c r="O3542" t="s">
        <v>121</v>
      </c>
      <c r="P3542" t="s">
        <v>747</v>
      </c>
      <c r="Q3542" s="1" t="s">
        <v>2292</v>
      </c>
      <c r="R3542" s="1" t="s">
        <v>264</v>
      </c>
      <c r="S3542" s="1" t="s">
        <v>264</v>
      </c>
      <c r="T3542" t="s">
        <v>421</v>
      </c>
      <c r="U3542" t="s">
        <v>421</v>
      </c>
      <c r="V3542" t="s">
        <v>194</v>
      </c>
      <c r="W3542" t="s">
        <v>1373</v>
      </c>
      <c r="X3542" t="s">
        <v>161</v>
      </c>
      <c r="Y3542" t="s">
        <v>2272</v>
      </c>
      <c r="Z3542" t="s">
        <v>2272</v>
      </c>
      <c r="AA3542" t="s">
        <v>2272</v>
      </c>
      <c r="AB3542" t="s">
        <v>2272</v>
      </c>
      <c r="AC3542" t="s">
        <v>162</v>
      </c>
      <c r="AD3542" t="s">
        <v>2272</v>
      </c>
      <c r="AF3542" t="s">
        <v>49</v>
      </c>
      <c r="AG3542" t="s">
        <v>49</v>
      </c>
      <c r="AI3542" t="s">
        <v>49</v>
      </c>
      <c r="AM3542" t="s">
        <v>202</v>
      </c>
      <c r="AN3542" t="s">
        <v>154</v>
      </c>
      <c r="AQ3542" s="5">
        <v>1</v>
      </c>
    </row>
    <row r="3543" spans="1:43" x14ac:dyDescent="0.2">
      <c r="A3543" t="s">
        <v>1910</v>
      </c>
      <c r="B3543" t="s">
        <v>1911</v>
      </c>
      <c r="C3543">
        <v>2009</v>
      </c>
      <c r="D3543" t="s">
        <v>44</v>
      </c>
      <c r="F3543" t="s">
        <v>83</v>
      </c>
      <c r="G3543" s="1" t="s">
        <v>85</v>
      </c>
      <c r="H3543" t="s">
        <v>350</v>
      </c>
      <c r="I3543">
        <v>2006</v>
      </c>
      <c r="J3543">
        <v>0.17</v>
      </c>
      <c r="K3543" t="s">
        <v>101</v>
      </c>
      <c r="M3543">
        <v>0.38</v>
      </c>
      <c r="N3543" t="s">
        <v>121</v>
      </c>
      <c r="O3543" t="s">
        <v>121</v>
      </c>
      <c r="P3543" t="s">
        <v>1373</v>
      </c>
      <c r="Q3543" s="1" t="s">
        <v>2276</v>
      </c>
      <c r="R3543" s="1" t="s">
        <v>755</v>
      </c>
      <c r="S3543" s="1" t="s">
        <v>2352</v>
      </c>
      <c r="T3543" t="s">
        <v>396</v>
      </c>
      <c r="U3543" s="1" t="s">
        <v>264</v>
      </c>
      <c r="V3543" t="s">
        <v>194</v>
      </c>
      <c r="W3543" t="s">
        <v>1373</v>
      </c>
      <c r="X3543" t="s">
        <v>161</v>
      </c>
      <c r="Y3543" t="s">
        <v>2272</v>
      </c>
      <c r="Z3543" t="s">
        <v>2272</v>
      </c>
      <c r="AA3543" t="s">
        <v>2272</v>
      </c>
      <c r="AB3543" t="s">
        <v>2272</v>
      </c>
      <c r="AC3543" t="s">
        <v>162</v>
      </c>
      <c r="AD3543" t="s">
        <v>2272</v>
      </c>
      <c r="AG3543" t="s">
        <v>49</v>
      </c>
      <c r="AI3543" t="s">
        <v>49</v>
      </c>
      <c r="AM3543" t="s">
        <v>442</v>
      </c>
      <c r="AN3543" t="s">
        <v>166</v>
      </c>
      <c r="AQ3543" s="5">
        <v>2</v>
      </c>
    </row>
    <row r="3544" spans="1:43" x14ac:dyDescent="0.2">
      <c r="A3544" t="s">
        <v>1910</v>
      </c>
      <c r="B3544" t="s">
        <v>1911</v>
      </c>
      <c r="C3544">
        <v>2009</v>
      </c>
      <c r="D3544" t="s">
        <v>44</v>
      </c>
      <c r="F3544" t="s">
        <v>83</v>
      </c>
      <c r="G3544" s="1" t="s">
        <v>85</v>
      </c>
      <c r="H3544" t="s">
        <v>350</v>
      </c>
      <c r="I3544">
        <v>2006</v>
      </c>
      <c r="J3544">
        <v>0.17</v>
      </c>
      <c r="K3544" t="s">
        <v>101</v>
      </c>
      <c r="M3544">
        <v>0.38</v>
      </c>
      <c r="N3544" t="s">
        <v>121</v>
      </c>
      <c r="O3544" t="s">
        <v>121</v>
      </c>
      <c r="P3544" t="s">
        <v>747</v>
      </c>
      <c r="Q3544" s="1" t="s">
        <v>2292</v>
      </c>
      <c r="R3544" s="1" t="s">
        <v>264</v>
      </c>
      <c r="S3544" s="1" t="s">
        <v>264</v>
      </c>
      <c r="T3544" t="s">
        <v>396</v>
      </c>
      <c r="U3544" s="1" t="s">
        <v>2352</v>
      </c>
      <c r="V3544" t="s">
        <v>194</v>
      </c>
      <c r="W3544" t="s">
        <v>1373</v>
      </c>
      <c r="X3544" t="s">
        <v>161</v>
      </c>
      <c r="Y3544" t="s">
        <v>2272</v>
      </c>
      <c r="Z3544" t="s">
        <v>2272</v>
      </c>
      <c r="AA3544" t="s">
        <v>2272</v>
      </c>
      <c r="AB3544" t="s">
        <v>2272</v>
      </c>
      <c r="AC3544" t="s">
        <v>162</v>
      </c>
      <c r="AD3544" t="s">
        <v>2272</v>
      </c>
      <c r="AG3544" t="s">
        <v>49</v>
      </c>
      <c r="AI3544" t="s">
        <v>49</v>
      </c>
      <c r="AM3544" t="s">
        <v>442</v>
      </c>
      <c r="AN3544" t="s">
        <v>166</v>
      </c>
      <c r="AQ3544" s="5">
        <v>1</v>
      </c>
    </row>
    <row r="3545" spans="1:43" x14ac:dyDescent="0.2">
      <c r="A3545" t="s">
        <v>1910</v>
      </c>
      <c r="B3545" t="s">
        <v>1911</v>
      </c>
      <c r="C3545">
        <v>2009</v>
      </c>
      <c r="D3545" t="s">
        <v>44</v>
      </c>
      <c r="F3545" t="s">
        <v>83</v>
      </c>
      <c r="G3545" s="1" t="s">
        <v>85</v>
      </c>
      <c r="H3545" t="s">
        <v>350</v>
      </c>
      <c r="I3545">
        <v>2006</v>
      </c>
      <c r="J3545">
        <v>0.17</v>
      </c>
      <c r="K3545" t="s">
        <v>101</v>
      </c>
      <c r="M3545">
        <v>0.38</v>
      </c>
      <c r="N3545" t="s">
        <v>121</v>
      </c>
      <c r="O3545" t="s">
        <v>121</v>
      </c>
      <c r="P3545" t="s">
        <v>1373</v>
      </c>
      <c r="Q3545" s="1" t="s">
        <v>2276</v>
      </c>
      <c r="R3545" s="1" t="s">
        <v>755</v>
      </c>
      <c r="S3545" s="1" t="s">
        <v>2352</v>
      </c>
      <c r="T3545" t="s">
        <v>421</v>
      </c>
      <c r="U3545" t="s">
        <v>421</v>
      </c>
      <c r="V3545" t="s">
        <v>194</v>
      </c>
      <c r="W3545" t="s">
        <v>1373</v>
      </c>
      <c r="X3545" t="s">
        <v>161</v>
      </c>
      <c r="Y3545" t="s">
        <v>2272</v>
      </c>
      <c r="Z3545" t="s">
        <v>2272</v>
      </c>
      <c r="AA3545" t="s">
        <v>2272</v>
      </c>
      <c r="AB3545" t="s">
        <v>2272</v>
      </c>
      <c r="AC3545" t="s">
        <v>162</v>
      </c>
      <c r="AD3545" t="s">
        <v>2272</v>
      </c>
      <c r="AG3545" t="s">
        <v>49</v>
      </c>
      <c r="AI3545" t="s">
        <v>49</v>
      </c>
      <c r="AM3545" t="s">
        <v>442</v>
      </c>
      <c r="AN3545" t="s">
        <v>166</v>
      </c>
      <c r="AQ3545" s="5">
        <v>2</v>
      </c>
    </row>
    <row r="3546" spans="1:43" x14ac:dyDescent="0.2">
      <c r="A3546" t="s">
        <v>1910</v>
      </c>
      <c r="B3546" t="s">
        <v>1911</v>
      </c>
      <c r="C3546">
        <v>2009</v>
      </c>
      <c r="D3546" t="s">
        <v>44</v>
      </c>
      <c r="F3546" t="s">
        <v>83</v>
      </c>
      <c r="G3546" s="1" t="s">
        <v>85</v>
      </c>
      <c r="H3546" t="s">
        <v>350</v>
      </c>
      <c r="I3546">
        <v>2006</v>
      </c>
      <c r="J3546">
        <v>0.17</v>
      </c>
      <c r="K3546" t="s">
        <v>101</v>
      </c>
      <c r="M3546">
        <v>0.38</v>
      </c>
      <c r="N3546" t="s">
        <v>121</v>
      </c>
      <c r="O3546" t="s">
        <v>121</v>
      </c>
      <c r="P3546" t="s">
        <v>747</v>
      </c>
      <c r="Q3546" s="1" t="s">
        <v>2292</v>
      </c>
      <c r="R3546" s="1" t="s">
        <v>264</v>
      </c>
      <c r="S3546" s="1" t="s">
        <v>264</v>
      </c>
      <c r="T3546" t="s">
        <v>421</v>
      </c>
      <c r="U3546" t="s">
        <v>421</v>
      </c>
      <c r="V3546" t="s">
        <v>194</v>
      </c>
      <c r="W3546" t="s">
        <v>1373</v>
      </c>
      <c r="X3546" t="s">
        <v>161</v>
      </c>
      <c r="Y3546" t="s">
        <v>2272</v>
      </c>
      <c r="Z3546" t="s">
        <v>2272</v>
      </c>
      <c r="AA3546" t="s">
        <v>2272</v>
      </c>
      <c r="AB3546" t="s">
        <v>2272</v>
      </c>
      <c r="AC3546" t="s">
        <v>162</v>
      </c>
      <c r="AD3546" t="s">
        <v>2272</v>
      </c>
      <c r="AG3546" t="s">
        <v>49</v>
      </c>
      <c r="AI3546" t="s">
        <v>49</v>
      </c>
      <c r="AM3546" t="s">
        <v>442</v>
      </c>
      <c r="AN3546" t="s">
        <v>166</v>
      </c>
      <c r="AQ3546" s="5">
        <v>2</v>
      </c>
    </row>
    <row r="3547" spans="1:43" x14ac:dyDescent="0.2">
      <c r="A3547" t="s">
        <v>1910</v>
      </c>
      <c r="B3547" t="s">
        <v>1911</v>
      </c>
      <c r="C3547">
        <v>2009</v>
      </c>
      <c r="D3547" t="s">
        <v>44</v>
      </c>
      <c r="F3547" t="s">
        <v>83</v>
      </c>
      <c r="G3547" s="1" t="s">
        <v>85</v>
      </c>
      <c r="H3547" t="s">
        <v>350</v>
      </c>
      <c r="I3547">
        <v>2006</v>
      </c>
      <c r="J3547">
        <v>0.17</v>
      </c>
      <c r="K3547" t="s">
        <v>101</v>
      </c>
      <c r="M3547">
        <v>0.38</v>
      </c>
      <c r="N3547" t="s">
        <v>121</v>
      </c>
      <c r="O3547" t="s">
        <v>121</v>
      </c>
      <c r="P3547" t="s">
        <v>1373</v>
      </c>
      <c r="Q3547" s="1" t="s">
        <v>2276</v>
      </c>
      <c r="R3547" s="1" t="s">
        <v>755</v>
      </c>
      <c r="S3547" s="1" t="s">
        <v>2352</v>
      </c>
      <c r="T3547" t="s">
        <v>396</v>
      </c>
      <c r="U3547" s="1" t="s">
        <v>264</v>
      </c>
      <c r="V3547" t="s">
        <v>194</v>
      </c>
      <c r="W3547" t="s">
        <v>1373</v>
      </c>
      <c r="X3547" t="s">
        <v>161</v>
      </c>
      <c r="Y3547" t="s">
        <v>2272</v>
      </c>
      <c r="Z3547" t="s">
        <v>2272</v>
      </c>
      <c r="AA3547" t="s">
        <v>2272</v>
      </c>
      <c r="AB3547" t="s">
        <v>2272</v>
      </c>
      <c r="AC3547" t="s">
        <v>162</v>
      </c>
      <c r="AD3547" t="s">
        <v>2272</v>
      </c>
      <c r="AF3547" t="s">
        <v>49</v>
      </c>
      <c r="AI3547" t="s">
        <v>49</v>
      </c>
      <c r="AM3547" t="s">
        <v>201</v>
      </c>
      <c r="AN3547" t="s">
        <v>166</v>
      </c>
      <c r="AQ3547" s="5">
        <v>1</v>
      </c>
    </row>
    <row r="3548" spans="1:43" x14ac:dyDescent="0.2">
      <c r="A3548" t="s">
        <v>1910</v>
      </c>
      <c r="B3548" t="s">
        <v>1911</v>
      </c>
      <c r="C3548">
        <v>2009</v>
      </c>
      <c r="D3548" t="s">
        <v>44</v>
      </c>
      <c r="F3548" t="s">
        <v>83</v>
      </c>
      <c r="G3548" s="1" t="s">
        <v>85</v>
      </c>
      <c r="H3548" t="s">
        <v>350</v>
      </c>
      <c r="I3548">
        <v>2006</v>
      </c>
      <c r="J3548">
        <v>0.17</v>
      </c>
      <c r="K3548" t="s">
        <v>101</v>
      </c>
      <c r="M3548">
        <v>0.38</v>
      </c>
      <c r="N3548" t="s">
        <v>121</v>
      </c>
      <c r="O3548" t="s">
        <v>121</v>
      </c>
      <c r="P3548" t="s">
        <v>747</v>
      </c>
      <c r="Q3548" s="1" t="s">
        <v>2292</v>
      </c>
      <c r="R3548" s="1" t="s">
        <v>264</v>
      </c>
      <c r="S3548" s="1" t="s">
        <v>264</v>
      </c>
      <c r="T3548" t="s">
        <v>396</v>
      </c>
      <c r="U3548" s="1" t="s">
        <v>2352</v>
      </c>
      <c r="V3548" t="s">
        <v>194</v>
      </c>
      <c r="W3548" t="s">
        <v>1373</v>
      </c>
      <c r="X3548" t="s">
        <v>161</v>
      </c>
      <c r="Y3548" t="s">
        <v>2272</v>
      </c>
      <c r="Z3548" t="s">
        <v>2272</v>
      </c>
      <c r="AA3548" t="s">
        <v>2272</v>
      </c>
      <c r="AB3548" t="s">
        <v>2272</v>
      </c>
      <c r="AC3548" t="s">
        <v>162</v>
      </c>
      <c r="AD3548" t="s">
        <v>2272</v>
      </c>
      <c r="AF3548" t="s">
        <v>49</v>
      </c>
      <c r="AI3548" t="s">
        <v>49</v>
      </c>
      <c r="AM3548" t="s">
        <v>201</v>
      </c>
      <c r="AN3548" t="s">
        <v>166</v>
      </c>
      <c r="AQ3548" s="5">
        <v>2</v>
      </c>
    </row>
    <row r="3549" spans="1:43" x14ac:dyDescent="0.2">
      <c r="A3549" t="s">
        <v>1910</v>
      </c>
      <c r="B3549" t="s">
        <v>1911</v>
      </c>
      <c r="C3549">
        <v>2009</v>
      </c>
      <c r="D3549" t="s">
        <v>44</v>
      </c>
      <c r="F3549" t="s">
        <v>83</v>
      </c>
      <c r="G3549" s="1" t="s">
        <v>85</v>
      </c>
      <c r="H3549" t="s">
        <v>350</v>
      </c>
      <c r="I3549">
        <v>2006</v>
      </c>
      <c r="J3549">
        <v>0.17</v>
      </c>
      <c r="K3549" t="s">
        <v>101</v>
      </c>
      <c r="M3549">
        <v>0.38</v>
      </c>
      <c r="N3549" t="s">
        <v>121</v>
      </c>
      <c r="O3549" t="s">
        <v>121</v>
      </c>
      <c r="P3549" t="s">
        <v>1373</v>
      </c>
      <c r="Q3549" s="1" t="s">
        <v>2276</v>
      </c>
      <c r="R3549" s="1" t="s">
        <v>755</v>
      </c>
      <c r="S3549" s="1" t="s">
        <v>2352</v>
      </c>
      <c r="T3549" t="s">
        <v>421</v>
      </c>
      <c r="U3549" t="s">
        <v>421</v>
      </c>
      <c r="V3549" t="s">
        <v>194</v>
      </c>
      <c r="W3549" t="s">
        <v>1373</v>
      </c>
      <c r="X3549" t="s">
        <v>161</v>
      </c>
      <c r="Y3549" t="s">
        <v>2272</v>
      </c>
      <c r="Z3549" t="s">
        <v>2272</v>
      </c>
      <c r="AA3549" t="s">
        <v>2272</v>
      </c>
      <c r="AB3549" t="s">
        <v>2272</v>
      </c>
      <c r="AC3549" t="s">
        <v>162</v>
      </c>
      <c r="AD3549" t="s">
        <v>2272</v>
      </c>
      <c r="AF3549" t="s">
        <v>49</v>
      </c>
      <c r="AI3549" t="s">
        <v>49</v>
      </c>
      <c r="AM3549" t="s">
        <v>201</v>
      </c>
      <c r="AN3549" t="s">
        <v>166</v>
      </c>
      <c r="AQ3549" s="5">
        <v>1</v>
      </c>
    </row>
    <row r="3550" spans="1:43" x14ac:dyDescent="0.2">
      <c r="A3550" t="s">
        <v>1910</v>
      </c>
      <c r="B3550" t="s">
        <v>1911</v>
      </c>
      <c r="C3550">
        <v>2009</v>
      </c>
      <c r="D3550" t="s">
        <v>44</v>
      </c>
      <c r="F3550" t="s">
        <v>83</v>
      </c>
      <c r="G3550" s="1" t="s">
        <v>85</v>
      </c>
      <c r="H3550" t="s">
        <v>350</v>
      </c>
      <c r="I3550">
        <v>2006</v>
      </c>
      <c r="J3550">
        <v>0.17</v>
      </c>
      <c r="K3550" t="s">
        <v>101</v>
      </c>
      <c r="M3550">
        <v>0.38</v>
      </c>
      <c r="N3550" t="s">
        <v>121</v>
      </c>
      <c r="O3550" t="s">
        <v>121</v>
      </c>
      <c r="P3550" t="s">
        <v>747</v>
      </c>
      <c r="Q3550" s="1" t="s">
        <v>2292</v>
      </c>
      <c r="R3550" s="1" t="s">
        <v>264</v>
      </c>
      <c r="S3550" s="1" t="s">
        <v>264</v>
      </c>
      <c r="T3550" t="s">
        <v>421</v>
      </c>
      <c r="U3550" t="s">
        <v>421</v>
      </c>
      <c r="V3550" t="s">
        <v>194</v>
      </c>
      <c r="W3550" t="s">
        <v>1373</v>
      </c>
      <c r="X3550" t="s">
        <v>161</v>
      </c>
      <c r="Y3550" t="s">
        <v>2272</v>
      </c>
      <c r="Z3550" t="s">
        <v>2272</v>
      </c>
      <c r="AA3550" t="s">
        <v>2272</v>
      </c>
      <c r="AB3550" t="s">
        <v>2272</v>
      </c>
      <c r="AC3550" t="s">
        <v>162</v>
      </c>
      <c r="AD3550" t="s">
        <v>2272</v>
      </c>
      <c r="AF3550" t="s">
        <v>49</v>
      </c>
      <c r="AI3550" t="s">
        <v>49</v>
      </c>
      <c r="AM3550" t="s">
        <v>201</v>
      </c>
      <c r="AN3550" t="s">
        <v>166</v>
      </c>
      <c r="AQ3550" s="5">
        <v>1</v>
      </c>
    </row>
    <row r="3551" spans="1:43" x14ac:dyDescent="0.2">
      <c r="A3551" t="s">
        <v>1910</v>
      </c>
      <c r="B3551" t="s">
        <v>1911</v>
      </c>
      <c r="C3551">
        <v>2009</v>
      </c>
      <c r="D3551" t="s">
        <v>44</v>
      </c>
      <c r="F3551" t="s">
        <v>83</v>
      </c>
      <c r="G3551" s="1" t="s">
        <v>85</v>
      </c>
      <c r="H3551" t="s">
        <v>350</v>
      </c>
      <c r="I3551">
        <v>2006</v>
      </c>
      <c r="J3551">
        <v>0.17</v>
      </c>
      <c r="K3551" t="s">
        <v>101</v>
      </c>
      <c r="M3551">
        <v>0.38</v>
      </c>
      <c r="N3551" t="s">
        <v>121</v>
      </c>
      <c r="O3551" t="s">
        <v>121</v>
      </c>
      <c r="P3551" t="s">
        <v>1373</v>
      </c>
      <c r="Q3551" s="1" t="s">
        <v>2276</v>
      </c>
      <c r="R3551" s="1" t="s">
        <v>755</v>
      </c>
      <c r="S3551" s="1" t="s">
        <v>2352</v>
      </c>
      <c r="T3551" t="s">
        <v>396</v>
      </c>
      <c r="U3551" s="1" t="s">
        <v>264</v>
      </c>
      <c r="V3551" t="s">
        <v>194</v>
      </c>
      <c r="W3551" t="s">
        <v>1373</v>
      </c>
      <c r="X3551" t="s">
        <v>161</v>
      </c>
      <c r="Y3551" t="s">
        <v>2272</v>
      </c>
      <c r="Z3551" t="s">
        <v>2272</v>
      </c>
      <c r="AA3551" t="s">
        <v>2272</v>
      </c>
      <c r="AB3551" t="s">
        <v>2272</v>
      </c>
      <c r="AC3551" t="s">
        <v>162</v>
      </c>
      <c r="AD3551" t="s">
        <v>2272</v>
      </c>
      <c r="AG3551" t="s">
        <v>49</v>
      </c>
      <c r="AI3551" t="s">
        <v>49</v>
      </c>
      <c r="AM3551" t="s">
        <v>202</v>
      </c>
      <c r="AN3551" t="s">
        <v>166</v>
      </c>
      <c r="AQ3551" s="5">
        <v>0</v>
      </c>
    </row>
    <row r="3552" spans="1:43" x14ac:dyDescent="0.2">
      <c r="A3552" t="s">
        <v>1910</v>
      </c>
      <c r="B3552" t="s">
        <v>1911</v>
      </c>
      <c r="C3552">
        <v>2009</v>
      </c>
      <c r="D3552" t="s">
        <v>44</v>
      </c>
      <c r="F3552" t="s">
        <v>83</v>
      </c>
      <c r="G3552" s="1" t="s">
        <v>85</v>
      </c>
      <c r="H3552" t="s">
        <v>350</v>
      </c>
      <c r="I3552">
        <v>2006</v>
      </c>
      <c r="J3552">
        <v>0.17</v>
      </c>
      <c r="K3552" t="s">
        <v>101</v>
      </c>
      <c r="M3552">
        <v>0.38</v>
      </c>
      <c r="N3552" t="s">
        <v>121</v>
      </c>
      <c r="O3552" t="s">
        <v>121</v>
      </c>
      <c r="P3552" t="s">
        <v>1912</v>
      </c>
      <c r="Q3552" s="1" t="s">
        <v>2292</v>
      </c>
      <c r="R3552" s="1" t="s">
        <v>264</v>
      </c>
      <c r="S3552" s="1" t="s">
        <v>264</v>
      </c>
      <c r="T3552" t="s">
        <v>396</v>
      </c>
      <c r="U3552" s="1" t="s">
        <v>2352</v>
      </c>
      <c r="V3552" t="s">
        <v>194</v>
      </c>
      <c r="W3552" t="s">
        <v>1373</v>
      </c>
      <c r="X3552" t="s">
        <v>161</v>
      </c>
      <c r="Y3552" t="s">
        <v>2272</v>
      </c>
      <c r="Z3552" t="s">
        <v>2272</v>
      </c>
      <c r="AA3552" t="s">
        <v>2272</v>
      </c>
      <c r="AB3552" t="s">
        <v>2272</v>
      </c>
      <c r="AC3552" t="s">
        <v>162</v>
      </c>
      <c r="AD3552" t="s">
        <v>2272</v>
      </c>
      <c r="AG3552" t="s">
        <v>49</v>
      </c>
      <c r="AI3552" t="s">
        <v>49</v>
      </c>
      <c r="AM3552" t="s">
        <v>202</v>
      </c>
      <c r="AN3552" t="s">
        <v>166</v>
      </c>
      <c r="AQ3552" s="5">
        <v>0</v>
      </c>
    </row>
    <row r="3553" spans="1:43" x14ac:dyDescent="0.2">
      <c r="A3553" t="s">
        <v>1910</v>
      </c>
      <c r="B3553" t="s">
        <v>1911</v>
      </c>
      <c r="C3553">
        <v>2009</v>
      </c>
      <c r="D3553" t="s">
        <v>44</v>
      </c>
      <c r="F3553" t="s">
        <v>83</v>
      </c>
      <c r="G3553" s="1" t="s">
        <v>85</v>
      </c>
      <c r="H3553" t="s">
        <v>350</v>
      </c>
      <c r="I3553">
        <v>2006</v>
      </c>
      <c r="J3553">
        <v>0.17</v>
      </c>
      <c r="K3553" t="s">
        <v>101</v>
      </c>
      <c r="M3553">
        <v>0.38</v>
      </c>
      <c r="N3553" t="s">
        <v>121</v>
      </c>
      <c r="O3553" t="s">
        <v>121</v>
      </c>
      <c r="P3553" t="s">
        <v>1373</v>
      </c>
      <c r="Q3553" s="1" t="s">
        <v>2276</v>
      </c>
      <c r="R3553" s="1" t="s">
        <v>755</v>
      </c>
      <c r="S3553" s="1" t="s">
        <v>2352</v>
      </c>
      <c r="T3553" t="s">
        <v>396</v>
      </c>
      <c r="U3553" s="1" t="s">
        <v>264</v>
      </c>
      <c r="V3553" t="s">
        <v>194</v>
      </c>
      <c r="W3553" t="s">
        <v>1373</v>
      </c>
      <c r="X3553" t="s">
        <v>161</v>
      </c>
      <c r="Y3553" t="s">
        <v>2272</v>
      </c>
      <c r="Z3553" t="s">
        <v>2272</v>
      </c>
      <c r="AA3553" t="s">
        <v>2272</v>
      </c>
      <c r="AB3553" t="s">
        <v>2272</v>
      </c>
      <c r="AC3553" t="s">
        <v>162</v>
      </c>
      <c r="AD3553" t="s">
        <v>2272</v>
      </c>
      <c r="AG3553" t="s">
        <v>49</v>
      </c>
      <c r="AI3553" t="s">
        <v>49</v>
      </c>
      <c r="AM3553" t="s">
        <v>202</v>
      </c>
      <c r="AN3553" t="s">
        <v>154</v>
      </c>
      <c r="AQ3553" s="5">
        <v>2</v>
      </c>
    </row>
    <row r="3554" spans="1:43" x14ac:dyDescent="0.2">
      <c r="A3554" t="s">
        <v>1910</v>
      </c>
      <c r="B3554" t="s">
        <v>1911</v>
      </c>
      <c r="C3554">
        <v>2009</v>
      </c>
      <c r="D3554" t="s">
        <v>44</v>
      </c>
      <c r="F3554" t="s">
        <v>83</v>
      </c>
      <c r="G3554" s="1" t="s">
        <v>85</v>
      </c>
      <c r="H3554" t="s">
        <v>350</v>
      </c>
      <c r="I3554">
        <v>2006</v>
      </c>
      <c r="J3554">
        <v>0.17</v>
      </c>
      <c r="K3554" t="s">
        <v>101</v>
      </c>
      <c r="M3554">
        <v>0.38</v>
      </c>
      <c r="N3554" t="s">
        <v>121</v>
      </c>
      <c r="O3554" t="s">
        <v>121</v>
      </c>
      <c r="P3554" t="s">
        <v>1912</v>
      </c>
      <c r="Q3554" s="1" t="s">
        <v>2292</v>
      </c>
      <c r="R3554" s="1" t="s">
        <v>264</v>
      </c>
      <c r="S3554" s="1" t="s">
        <v>264</v>
      </c>
      <c r="T3554" t="s">
        <v>396</v>
      </c>
      <c r="U3554" s="1" t="s">
        <v>2352</v>
      </c>
      <c r="V3554" t="s">
        <v>194</v>
      </c>
      <c r="W3554" t="s">
        <v>1373</v>
      </c>
      <c r="X3554" t="s">
        <v>161</v>
      </c>
      <c r="Y3554" t="s">
        <v>2272</v>
      </c>
      <c r="Z3554" t="s">
        <v>2272</v>
      </c>
      <c r="AA3554" t="s">
        <v>2272</v>
      </c>
      <c r="AB3554" t="s">
        <v>2272</v>
      </c>
      <c r="AC3554" t="s">
        <v>162</v>
      </c>
      <c r="AD3554" t="s">
        <v>2272</v>
      </c>
      <c r="AG3554" t="s">
        <v>49</v>
      </c>
      <c r="AI3554" t="s">
        <v>49</v>
      </c>
      <c r="AM3554" t="s">
        <v>202</v>
      </c>
      <c r="AN3554" t="s">
        <v>154</v>
      </c>
      <c r="AQ3554" s="5">
        <v>1</v>
      </c>
    </row>
    <row r="3555" spans="1:43" x14ac:dyDescent="0.2">
      <c r="A3555" t="s">
        <v>1910</v>
      </c>
      <c r="B3555" t="s">
        <v>1911</v>
      </c>
      <c r="C3555">
        <v>2009</v>
      </c>
      <c r="D3555" t="s">
        <v>44</v>
      </c>
      <c r="F3555" t="s">
        <v>83</v>
      </c>
      <c r="G3555" s="1" t="s">
        <v>85</v>
      </c>
      <c r="H3555" t="s">
        <v>350</v>
      </c>
      <c r="I3555">
        <v>2006</v>
      </c>
      <c r="J3555">
        <v>0.17</v>
      </c>
      <c r="K3555" t="s">
        <v>101</v>
      </c>
      <c r="M3555">
        <v>0.38</v>
      </c>
      <c r="N3555" t="s">
        <v>121</v>
      </c>
      <c r="O3555" t="s">
        <v>121</v>
      </c>
      <c r="P3555" t="s">
        <v>1373</v>
      </c>
      <c r="Q3555" s="1" t="s">
        <v>2276</v>
      </c>
      <c r="R3555" s="1" t="s">
        <v>755</v>
      </c>
      <c r="S3555" s="1" t="s">
        <v>2352</v>
      </c>
      <c r="T3555" t="s">
        <v>396</v>
      </c>
      <c r="U3555" s="1" t="s">
        <v>264</v>
      </c>
      <c r="V3555" t="s">
        <v>194</v>
      </c>
      <c r="W3555" t="s">
        <v>1373</v>
      </c>
      <c r="X3555" t="s">
        <v>161</v>
      </c>
      <c r="Y3555" t="s">
        <v>2272</v>
      </c>
      <c r="Z3555" t="s">
        <v>2272</v>
      </c>
      <c r="AA3555" t="s">
        <v>2272</v>
      </c>
      <c r="AB3555" t="s">
        <v>2272</v>
      </c>
      <c r="AC3555" t="s">
        <v>162</v>
      </c>
      <c r="AD3555" t="s">
        <v>2272</v>
      </c>
      <c r="AG3555" t="s">
        <v>49</v>
      </c>
      <c r="AI3555" t="s">
        <v>49</v>
      </c>
      <c r="AM3555" t="s">
        <v>442</v>
      </c>
      <c r="AN3555" t="s">
        <v>166</v>
      </c>
      <c r="AQ3555" s="5">
        <v>2</v>
      </c>
    </row>
    <row r="3556" spans="1:43" x14ac:dyDescent="0.2">
      <c r="A3556" t="s">
        <v>1910</v>
      </c>
      <c r="B3556" t="s">
        <v>1911</v>
      </c>
      <c r="C3556">
        <v>2009</v>
      </c>
      <c r="D3556" t="s">
        <v>44</v>
      </c>
      <c r="F3556" t="s">
        <v>83</v>
      </c>
      <c r="G3556" s="1" t="s">
        <v>85</v>
      </c>
      <c r="H3556" t="s">
        <v>350</v>
      </c>
      <c r="I3556">
        <v>2006</v>
      </c>
      <c r="J3556">
        <v>0.17</v>
      </c>
      <c r="K3556" t="s">
        <v>101</v>
      </c>
      <c r="M3556">
        <v>0.38</v>
      </c>
      <c r="N3556" t="s">
        <v>121</v>
      </c>
      <c r="O3556" t="s">
        <v>121</v>
      </c>
      <c r="P3556" t="s">
        <v>1912</v>
      </c>
      <c r="Q3556" s="1" t="s">
        <v>2292</v>
      </c>
      <c r="R3556" s="1" t="s">
        <v>264</v>
      </c>
      <c r="S3556" s="1" t="s">
        <v>264</v>
      </c>
      <c r="T3556" t="s">
        <v>396</v>
      </c>
      <c r="U3556" s="1" t="s">
        <v>2352</v>
      </c>
      <c r="V3556" t="s">
        <v>194</v>
      </c>
      <c r="W3556" t="s">
        <v>1373</v>
      </c>
      <c r="X3556" t="s">
        <v>161</v>
      </c>
      <c r="Y3556" t="s">
        <v>2272</v>
      </c>
      <c r="Z3556" t="s">
        <v>2272</v>
      </c>
      <c r="AA3556" t="s">
        <v>2272</v>
      </c>
      <c r="AB3556" t="s">
        <v>2272</v>
      </c>
      <c r="AC3556" t="s">
        <v>162</v>
      </c>
      <c r="AD3556" t="s">
        <v>2272</v>
      </c>
      <c r="AG3556" t="s">
        <v>49</v>
      </c>
      <c r="AI3556" t="s">
        <v>49</v>
      </c>
      <c r="AM3556" t="s">
        <v>442</v>
      </c>
      <c r="AN3556" t="s">
        <v>166</v>
      </c>
      <c r="AQ3556" s="5">
        <v>1</v>
      </c>
    </row>
    <row r="3557" spans="1:43" x14ac:dyDescent="0.2">
      <c r="A3557" t="s">
        <v>1910</v>
      </c>
      <c r="B3557" t="s">
        <v>1911</v>
      </c>
      <c r="C3557">
        <v>2009</v>
      </c>
      <c r="D3557" t="s">
        <v>44</v>
      </c>
      <c r="F3557" t="s">
        <v>83</v>
      </c>
      <c r="G3557" s="1" t="s">
        <v>85</v>
      </c>
      <c r="H3557" t="s">
        <v>350</v>
      </c>
      <c r="I3557">
        <v>2006</v>
      </c>
      <c r="J3557">
        <v>0.17</v>
      </c>
      <c r="K3557" t="s">
        <v>101</v>
      </c>
      <c r="M3557">
        <v>0.38</v>
      </c>
      <c r="N3557" t="s">
        <v>121</v>
      </c>
      <c r="O3557" t="s">
        <v>121</v>
      </c>
      <c r="P3557" t="s">
        <v>1373</v>
      </c>
      <c r="Q3557" s="1" t="s">
        <v>2276</v>
      </c>
      <c r="R3557" s="1" t="s">
        <v>755</v>
      </c>
      <c r="S3557" s="1" t="s">
        <v>2352</v>
      </c>
      <c r="T3557" t="s">
        <v>396</v>
      </c>
      <c r="U3557" s="1" t="s">
        <v>264</v>
      </c>
      <c r="V3557" t="s">
        <v>194</v>
      </c>
      <c r="W3557" t="s">
        <v>1373</v>
      </c>
      <c r="X3557" t="s">
        <v>161</v>
      </c>
      <c r="Y3557" t="s">
        <v>2272</v>
      </c>
      <c r="Z3557" t="s">
        <v>2272</v>
      </c>
      <c r="AA3557" t="s">
        <v>2272</v>
      </c>
      <c r="AB3557" t="s">
        <v>2272</v>
      </c>
      <c r="AC3557" t="s">
        <v>162</v>
      </c>
      <c r="AD3557" t="s">
        <v>2272</v>
      </c>
      <c r="AF3557" t="s">
        <v>49</v>
      </c>
      <c r="AI3557" t="s">
        <v>49</v>
      </c>
      <c r="AM3557" t="s">
        <v>201</v>
      </c>
      <c r="AN3557" t="s">
        <v>166</v>
      </c>
      <c r="AQ3557" s="5">
        <v>2</v>
      </c>
    </row>
    <row r="3558" spans="1:43" x14ac:dyDescent="0.2">
      <c r="A3558" t="s">
        <v>1910</v>
      </c>
      <c r="B3558" t="s">
        <v>1911</v>
      </c>
      <c r="C3558">
        <v>2009</v>
      </c>
      <c r="D3558" t="s">
        <v>44</v>
      </c>
      <c r="F3558" t="s">
        <v>83</v>
      </c>
      <c r="G3558" s="1" t="s">
        <v>85</v>
      </c>
      <c r="H3558" t="s">
        <v>350</v>
      </c>
      <c r="I3558">
        <v>2006</v>
      </c>
      <c r="J3558">
        <v>0.17</v>
      </c>
      <c r="K3558" t="s">
        <v>101</v>
      </c>
      <c r="M3558">
        <v>0.38</v>
      </c>
      <c r="N3558" t="s">
        <v>121</v>
      </c>
      <c r="O3558" t="s">
        <v>121</v>
      </c>
      <c r="P3558" t="s">
        <v>1912</v>
      </c>
      <c r="Q3558" s="1" t="s">
        <v>2292</v>
      </c>
      <c r="R3558" s="1" t="s">
        <v>264</v>
      </c>
      <c r="S3558" s="1" t="s">
        <v>264</v>
      </c>
      <c r="T3558" t="s">
        <v>396</v>
      </c>
      <c r="U3558" s="1" t="s">
        <v>2352</v>
      </c>
      <c r="V3558" t="s">
        <v>194</v>
      </c>
      <c r="W3558" t="s">
        <v>1373</v>
      </c>
      <c r="X3558" t="s">
        <v>161</v>
      </c>
      <c r="Y3558" t="s">
        <v>2272</v>
      </c>
      <c r="Z3558" t="s">
        <v>2272</v>
      </c>
      <c r="AA3558" t="s">
        <v>2272</v>
      </c>
      <c r="AB3558" t="s">
        <v>2272</v>
      </c>
      <c r="AC3558" t="s">
        <v>162</v>
      </c>
      <c r="AD3558" t="s">
        <v>2272</v>
      </c>
      <c r="AF3558" t="s">
        <v>49</v>
      </c>
      <c r="AI3558" t="s">
        <v>49</v>
      </c>
      <c r="AM3558" t="s">
        <v>201</v>
      </c>
      <c r="AN3558" t="s">
        <v>166</v>
      </c>
      <c r="AQ3558" s="5">
        <v>1</v>
      </c>
    </row>
    <row r="3559" spans="1:43" x14ac:dyDescent="0.2">
      <c r="A3559" t="s">
        <v>1910</v>
      </c>
      <c r="B3559" t="s">
        <v>1911</v>
      </c>
      <c r="C3559">
        <v>2009</v>
      </c>
      <c r="D3559" t="s">
        <v>44</v>
      </c>
      <c r="F3559" t="s">
        <v>83</v>
      </c>
      <c r="G3559" s="1" t="s">
        <v>85</v>
      </c>
      <c r="H3559" t="s">
        <v>350</v>
      </c>
      <c r="I3559">
        <v>2006</v>
      </c>
      <c r="J3559">
        <v>0.17</v>
      </c>
      <c r="K3559" t="s">
        <v>101</v>
      </c>
      <c r="M3559">
        <v>0.38</v>
      </c>
      <c r="N3559" t="s">
        <v>121</v>
      </c>
      <c r="O3559" t="s">
        <v>121</v>
      </c>
      <c r="P3559" t="s">
        <v>1373</v>
      </c>
      <c r="Q3559" s="1" t="s">
        <v>2276</v>
      </c>
      <c r="R3559" s="1" t="s">
        <v>755</v>
      </c>
      <c r="S3559" s="1" t="s">
        <v>2352</v>
      </c>
      <c r="T3559" t="s">
        <v>396</v>
      </c>
      <c r="U3559" s="1" t="s">
        <v>264</v>
      </c>
      <c r="V3559" t="s">
        <v>194</v>
      </c>
      <c r="W3559" t="s">
        <v>1373</v>
      </c>
      <c r="X3559" t="s">
        <v>161</v>
      </c>
      <c r="Y3559" t="s">
        <v>2272</v>
      </c>
      <c r="Z3559" t="s">
        <v>2272</v>
      </c>
      <c r="AA3559" t="s">
        <v>2272</v>
      </c>
      <c r="AB3559" t="s">
        <v>2272</v>
      </c>
      <c r="AC3559" t="s">
        <v>162</v>
      </c>
      <c r="AD3559" t="s">
        <v>2272</v>
      </c>
      <c r="AF3559" t="s">
        <v>49</v>
      </c>
      <c r="AG3559" t="s">
        <v>49</v>
      </c>
      <c r="AJ3559" t="s">
        <v>49</v>
      </c>
      <c r="AM3559" t="s">
        <v>1918</v>
      </c>
      <c r="AN3559" t="s">
        <v>166</v>
      </c>
      <c r="AQ3559" s="5">
        <v>0</v>
      </c>
    </row>
    <row r="3560" spans="1:43" x14ac:dyDescent="0.2">
      <c r="A3560" t="s">
        <v>1910</v>
      </c>
      <c r="B3560" t="s">
        <v>1911</v>
      </c>
      <c r="C3560">
        <v>2009</v>
      </c>
      <c r="D3560" t="s">
        <v>44</v>
      </c>
      <c r="F3560" t="s">
        <v>83</v>
      </c>
      <c r="G3560" s="1" t="s">
        <v>85</v>
      </c>
      <c r="H3560" t="s">
        <v>350</v>
      </c>
      <c r="I3560">
        <v>2006</v>
      </c>
      <c r="J3560">
        <v>0.17</v>
      </c>
      <c r="K3560" t="s">
        <v>101</v>
      </c>
      <c r="M3560">
        <v>0.38</v>
      </c>
      <c r="N3560" t="s">
        <v>121</v>
      </c>
      <c r="O3560" t="s">
        <v>121</v>
      </c>
      <c r="P3560" t="s">
        <v>747</v>
      </c>
      <c r="Q3560" s="1" t="s">
        <v>2292</v>
      </c>
      <c r="R3560" s="1" t="s">
        <v>264</v>
      </c>
      <c r="S3560" s="1" t="s">
        <v>264</v>
      </c>
      <c r="T3560" t="s">
        <v>396</v>
      </c>
      <c r="U3560" s="1" t="s">
        <v>2352</v>
      </c>
      <c r="V3560" t="s">
        <v>194</v>
      </c>
      <c r="W3560" t="s">
        <v>1373</v>
      </c>
      <c r="X3560" t="s">
        <v>161</v>
      </c>
      <c r="Y3560" t="s">
        <v>2272</v>
      </c>
      <c r="Z3560" t="s">
        <v>2272</v>
      </c>
      <c r="AA3560" t="s">
        <v>2272</v>
      </c>
      <c r="AB3560" t="s">
        <v>2272</v>
      </c>
      <c r="AC3560" t="s">
        <v>162</v>
      </c>
      <c r="AD3560" t="s">
        <v>2272</v>
      </c>
      <c r="AF3560" t="s">
        <v>49</v>
      </c>
      <c r="AG3560" t="s">
        <v>49</v>
      </c>
      <c r="AJ3560" t="s">
        <v>49</v>
      </c>
      <c r="AM3560" t="s">
        <v>1918</v>
      </c>
      <c r="AN3560" t="s">
        <v>166</v>
      </c>
      <c r="AQ3560" s="5">
        <v>0</v>
      </c>
    </row>
    <row r="3561" spans="1:43" x14ac:dyDescent="0.2">
      <c r="A3561" t="s">
        <v>1910</v>
      </c>
      <c r="B3561" t="s">
        <v>1911</v>
      </c>
      <c r="C3561">
        <v>2009</v>
      </c>
      <c r="D3561" t="s">
        <v>44</v>
      </c>
      <c r="F3561" t="s">
        <v>83</v>
      </c>
      <c r="G3561" s="1" t="s">
        <v>85</v>
      </c>
      <c r="H3561" t="s">
        <v>350</v>
      </c>
      <c r="I3561">
        <v>2006</v>
      </c>
      <c r="J3561">
        <v>0.17</v>
      </c>
      <c r="K3561" t="s">
        <v>101</v>
      </c>
      <c r="M3561">
        <v>0.38</v>
      </c>
      <c r="N3561" t="s">
        <v>121</v>
      </c>
      <c r="O3561" t="s">
        <v>121</v>
      </c>
      <c r="P3561" t="s">
        <v>1373</v>
      </c>
      <c r="Q3561" s="1" t="s">
        <v>2276</v>
      </c>
      <c r="R3561" s="1" t="s">
        <v>755</v>
      </c>
      <c r="S3561" s="1" t="s">
        <v>2352</v>
      </c>
      <c r="T3561" t="s">
        <v>421</v>
      </c>
      <c r="U3561" t="s">
        <v>421</v>
      </c>
      <c r="V3561" t="s">
        <v>194</v>
      </c>
      <c r="W3561" t="s">
        <v>1373</v>
      </c>
      <c r="X3561" t="s">
        <v>161</v>
      </c>
      <c r="Y3561" t="s">
        <v>2272</v>
      </c>
      <c r="Z3561" t="s">
        <v>2272</v>
      </c>
      <c r="AA3561" t="s">
        <v>2272</v>
      </c>
      <c r="AB3561" t="s">
        <v>2272</v>
      </c>
      <c r="AC3561" t="s">
        <v>162</v>
      </c>
      <c r="AD3561" t="s">
        <v>2272</v>
      </c>
      <c r="AF3561" t="s">
        <v>49</v>
      </c>
      <c r="AG3561" t="s">
        <v>49</v>
      </c>
      <c r="AJ3561" t="s">
        <v>49</v>
      </c>
      <c r="AM3561" t="s">
        <v>1918</v>
      </c>
      <c r="AN3561" t="s">
        <v>166</v>
      </c>
      <c r="AQ3561" s="5">
        <v>1</v>
      </c>
    </row>
    <row r="3562" spans="1:43" x14ac:dyDescent="0.2">
      <c r="A3562" t="s">
        <v>1910</v>
      </c>
      <c r="B3562" t="s">
        <v>1911</v>
      </c>
      <c r="C3562">
        <v>2009</v>
      </c>
      <c r="D3562" t="s">
        <v>44</v>
      </c>
      <c r="F3562" t="s">
        <v>83</v>
      </c>
      <c r="G3562" s="1" t="s">
        <v>85</v>
      </c>
      <c r="H3562" t="s">
        <v>350</v>
      </c>
      <c r="I3562">
        <v>2006</v>
      </c>
      <c r="J3562">
        <v>0.17</v>
      </c>
      <c r="K3562" t="s">
        <v>101</v>
      </c>
      <c r="M3562">
        <v>0.38</v>
      </c>
      <c r="N3562" t="s">
        <v>121</v>
      </c>
      <c r="O3562" t="s">
        <v>121</v>
      </c>
      <c r="P3562" t="s">
        <v>747</v>
      </c>
      <c r="Q3562" s="1" t="s">
        <v>2292</v>
      </c>
      <c r="R3562" s="1" t="s">
        <v>264</v>
      </c>
      <c r="S3562" s="1" t="s">
        <v>264</v>
      </c>
      <c r="T3562" t="s">
        <v>421</v>
      </c>
      <c r="U3562" t="s">
        <v>421</v>
      </c>
      <c r="V3562" t="s">
        <v>194</v>
      </c>
      <c r="W3562" t="s">
        <v>1373</v>
      </c>
      <c r="X3562" t="s">
        <v>161</v>
      </c>
      <c r="Y3562" t="s">
        <v>2272</v>
      </c>
      <c r="Z3562" t="s">
        <v>2272</v>
      </c>
      <c r="AA3562" t="s">
        <v>2272</v>
      </c>
      <c r="AB3562" t="s">
        <v>2272</v>
      </c>
      <c r="AC3562" t="s">
        <v>162</v>
      </c>
      <c r="AD3562" t="s">
        <v>2272</v>
      </c>
      <c r="AF3562" t="s">
        <v>49</v>
      </c>
      <c r="AG3562" t="s">
        <v>49</v>
      </c>
      <c r="AJ3562" t="s">
        <v>49</v>
      </c>
      <c r="AM3562" t="s">
        <v>1918</v>
      </c>
      <c r="AN3562" t="s">
        <v>166</v>
      </c>
      <c r="AQ3562" s="5">
        <v>1</v>
      </c>
    </row>
    <row r="3563" spans="1:43" x14ac:dyDescent="0.2">
      <c r="A3563" t="s">
        <v>1910</v>
      </c>
      <c r="B3563" t="s">
        <v>1911</v>
      </c>
      <c r="C3563">
        <v>2009</v>
      </c>
      <c r="D3563" t="s">
        <v>44</v>
      </c>
      <c r="F3563" t="s">
        <v>83</v>
      </c>
      <c r="G3563" s="1" t="s">
        <v>85</v>
      </c>
      <c r="H3563" t="s">
        <v>350</v>
      </c>
      <c r="I3563">
        <v>2006</v>
      </c>
      <c r="J3563">
        <v>0.17</v>
      </c>
      <c r="K3563" t="s">
        <v>101</v>
      </c>
      <c r="M3563">
        <v>0.38</v>
      </c>
      <c r="N3563" t="s">
        <v>121</v>
      </c>
      <c r="O3563" t="s">
        <v>121</v>
      </c>
      <c r="P3563" t="s">
        <v>1373</v>
      </c>
      <c r="Q3563" s="1" t="s">
        <v>2276</v>
      </c>
      <c r="R3563" s="1" t="s">
        <v>755</v>
      </c>
      <c r="S3563" s="1" t="s">
        <v>2352</v>
      </c>
      <c r="T3563" t="s">
        <v>396</v>
      </c>
      <c r="U3563" s="1" t="s">
        <v>264</v>
      </c>
      <c r="V3563" t="s">
        <v>194</v>
      </c>
      <c r="W3563" t="s">
        <v>1373</v>
      </c>
      <c r="X3563" t="s">
        <v>161</v>
      </c>
      <c r="Y3563" t="s">
        <v>2272</v>
      </c>
      <c r="Z3563" t="s">
        <v>2272</v>
      </c>
      <c r="AA3563" t="s">
        <v>2272</v>
      </c>
      <c r="AB3563" t="s">
        <v>2272</v>
      </c>
      <c r="AC3563" t="s">
        <v>162</v>
      </c>
      <c r="AD3563" t="s">
        <v>2272</v>
      </c>
      <c r="AF3563" t="s">
        <v>49</v>
      </c>
      <c r="AG3563" t="s">
        <v>49</v>
      </c>
      <c r="AJ3563" t="s">
        <v>49</v>
      </c>
      <c r="AM3563" t="s">
        <v>1919</v>
      </c>
      <c r="AN3563" t="s">
        <v>166</v>
      </c>
      <c r="AQ3563" s="5">
        <v>0</v>
      </c>
    </row>
    <row r="3564" spans="1:43" x14ac:dyDescent="0.2">
      <c r="A3564" t="s">
        <v>1910</v>
      </c>
      <c r="B3564" t="s">
        <v>1911</v>
      </c>
      <c r="C3564">
        <v>2009</v>
      </c>
      <c r="D3564" t="s">
        <v>44</v>
      </c>
      <c r="F3564" t="s">
        <v>83</v>
      </c>
      <c r="G3564" s="1" t="s">
        <v>85</v>
      </c>
      <c r="H3564" t="s">
        <v>350</v>
      </c>
      <c r="I3564">
        <v>2006</v>
      </c>
      <c r="J3564">
        <v>0.17</v>
      </c>
      <c r="K3564" t="s">
        <v>101</v>
      </c>
      <c r="M3564">
        <v>0.38</v>
      </c>
      <c r="N3564" t="s">
        <v>121</v>
      </c>
      <c r="O3564" t="s">
        <v>121</v>
      </c>
      <c r="P3564" t="s">
        <v>747</v>
      </c>
      <c r="Q3564" s="1" t="s">
        <v>2292</v>
      </c>
      <c r="R3564" s="1" t="s">
        <v>264</v>
      </c>
      <c r="S3564" s="1" t="s">
        <v>264</v>
      </c>
      <c r="T3564" t="s">
        <v>396</v>
      </c>
      <c r="U3564" s="1" t="s">
        <v>2352</v>
      </c>
      <c r="V3564" t="s">
        <v>194</v>
      </c>
      <c r="W3564" t="s">
        <v>1373</v>
      </c>
      <c r="X3564" t="s">
        <v>161</v>
      </c>
      <c r="Y3564" t="s">
        <v>2272</v>
      </c>
      <c r="Z3564" t="s">
        <v>2272</v>
      </c>
      <c r="AA3564" t="s">
        <v>2272</v>
      </c>
      <c r="AB3564" t="s">
        <v>2272</v>
      </c>
      <c r="AC3564" t="s">
        <v>162</v>
      </c>
      <c r="AD3564" t="s">
        <v>2272</v>
      </c>
      <c r="AF3564" t="s">
        <v>49</v>
      </c>
      <c r="AG3564" t="s">
        <v>49</v>
      </c>
      <c r="AJ3564" t="s">
        <v>49</v>
      </c>
      <c r="AM3564" t="s">
        <v>1919</v>
      </c>
      <c r="AN3564" t="s">
        <v>166</v>
      </c>
      <c r="AQ3564" s="5">
        <v>0</v>
      </c>
    </row>
    <row r="3565" spans="1:43" x14ac:dyDescent="0.2">
      <c r="A3565" t="s">
        <v>1910</v>
      </c>
      <c r="B3565" t="s">
        <v>1911</v>
      </c>
      <c r="C3565">
        <v>2009</v>
      </c>
      <c r="D3565" t="s">
        <v>44</v>
      </c>
      <c r="F3565" t="s">
        <v>83</v>
      </c>
      <c r="G3565" s="1" t="s">
        <v>85</v>
      </c>
      <c r="H3565" t="s">
        <v>350</v>
      </c>
      <c r="I3565">
        <v>2006</v>
      </c>
      <c r="J3565">
        <v>0.17</v>
      </c>
      <c r="K3565" t="s">
        <v>101</v>
      </c>
      <c r="M3565">
        <v>0.38</v>
      </c>
      <c r="N3565" t="s">
        <v>121</v>
      </c>
      <c r="O3565" t="s">
        <v>121</v>
      </c>
      <c r="P3565" t="s">
        <v>1373</v>
      </c>
      <c r="Q3565" s="1" t="s">
        <v>2276</v>
      </c>
      <c r="R3565" s="1" t="s">
        <v>755</v>
      </c>
      <c r="S3565" s="1" t="s">
        <v>2352</v>
      </c>
      <c r="T3565" t="s">
        <v>421</v>
      </c>
      <c r="U3565" t="s">
        <v>421</v>
      </c>
      <c r="V3565" t="s">
        <v>194</v>
      </c>
      <c r="W3565" t="s">
        <v>1373</v>
      </c>
      <c r="X3565" t="s">
        <v>161</v>
      </c>
      <c r="Y3565" t="s">
        <v>2272</v>
      </c>
      <c r="Z3565" t="s">
        <v>2272</v>
      </c>
      <c r="AA3565" t="s">
        <v>2272</v>
      </c>
      <c r="AB3565" t="s">
        <v>2272</v>
      </c>
      <c r="AC3565" t="s">
        <v>162</v>
      </c>
      <c r="AD3565" t="s">
        <v>2272</v>
      </c>
      <c r="AF3565" t="s">
        <v>49</v>
      </c>
      <c r="AG3565" t="s">
        <v>49</v>
      </c>
      <c r="AJ3565" t="s">
        <v>49</v>
      </c>
      <c r="AM3565" t="s">
        <v>1919</v>
      </c>
      <c r="AN3565" t="s">
        <v>166</v>
      </c>
      <c r="AQ3565" s="5">
        <v>0</v>
      </c>
    </row>
    <row r="3566" spans="1:43" x14ac:dyDescent="0.2">
      <c r="A3566" t="s">
        <v>1910</v>
      </c>
      <c r="B3566" t="s">
        <v>1911</v>
      </c>
      <c r="C3566">
        <v>2009</v>
      </c>
      <c r="D3566" t="s">
        <v>44</v>
      </c>
      <c r="F3566" t="s">
        <v>83</v>
      </c>
      <c r="G3566" s="1" t="s">
        <v>85</v>
      </c>
      <c r="H3566" t="s">
        <v>350</v>
      </c>
      <c r="I3566">
        <v>2006</v>
      </c>
      <c r="J3566">
        <v>0.17</v>
      </c>
      <c r="K3566" t="s">
        <v>101</v>
      </c>
      <c r="M3566">
        <v>0.38</v>
      </c>
      <c r="N3566" t="s">
        <v>121</v>
      </c>
      <c r="O3566" t="s">
        <v>121</v>
      </c>
      <c r="P3566" t="s">
        <v>747</v>
      </c>
      <c r="Q3566" s="1" t="s">
        <v>2292</v>
      </c>
      <c r="R3566" s="1" t="s">
        <v>264</v>
      </c>
      <c r="S3566" s="1" t="s">
        <v>264</v>
      </c>
      <c r="T3566" t="s">
        <v>421</v>
      </c>
      <c r="U3566" t="s">
        <v>421</v>
      </c>
      <c r="V3566" t="s">
        <v>194</v>
      </c>
      <c r="W3566" t="s">
        <v>1373</v>
      </c>
      <c r="X3566" t="s">
        <v>161</v>
      </c>
      <c r="Y3566" t="s">
        <v>2272</v>
      </c>
      <c r="Z3566" t="s">
        <v>2272</v>
      </c>
      <c r="AA3566" t="s">
        <v>2272</v>
      </c>
      <c r="AB3566" t="s">
        <v>2272</v>
      </c>
      <c r="AC3566" t="s">
        <v>162</v>
      </c>
      <c r="AD3566" t="s">
        <v>2272</v>
      </c>
      <c r="AF3566" t="s">
        <v>49</v>
      </c>
      <c r="AG3566" t="s">
        <v>49</v>
      </c>
      <c r="AJ3566" t="s">
        <v>49</v>
      </c>
      <c r="AM3566" t="s">
        <v>1919</v>
      </c>
      <c r="AN3566" t="s">
        <v>166</v>
      </c>
      <c r="AQ3566" s="5">
        <v>0</v>
      </c>
    </row>
    <row r="3567" spans="1:43" x14ac:dyDescent="0.2">
      <c r="A3567" t="s">
        <v>1910</v>
      </c>
      <c r="B3567" t="s">
        <v>1911</v>
      </c>
      <c r="C3567">
        <v>2009</v>
      </c>
      <c r="D3567" t="s">
        <v>44</v>
      </c>
      <c r="F3567" t="s">
        <v>83</v>
      </c>
      <c r="G3567" s="1" t="s">
        <v>85</v>
      </c>
      <c r="H3567" t="s">
        <v>350</v>
      </c>
      <c r="I3567">
        <v>2006</v>
      </c>
      <c r="J3567">
        <v>0.17</v>
      </c>
      <c r="K3567" t="s">
        <v>101</v>
      </c>
      <c r="M3567">
        <v>0.38</v>
      </c>
      <c r="N3567" t="s">
        <v>121</v>
      </c>
      <c r="O3567" t="s">
        <v>121</v>
      </c>
      <c r="P3567" t="s">
        <v>1373</v>
      </c>
      <c r="Q3567" s="1" t="s">
        <v>2276</v>
      </c>
      <c r="R3567" s="1" t="s">
        <v>755</v>
      </c>
      <c r="S3567" s="1" t="s">
        <v>2352</v>
      </c>
      <c r="T3567" t="s">
        <v>396</v>
      </c>
      <c r="U3567" s="1" t="s">
        <v>264</v>
      </c>
      <c r="V3567" t="s">
        <v>194</v>
      </c>
      <c r="W3567" t="s">
        <v>1373</v>
      </c>
      <c r="X3567" t="s">
        <v>161</v>
      </c>
      <c r="Y3567" t="s">
        <v>2272</v>
      </c>
      <c r="Z3567" t="s">
        <v>2272</v>
      </c>
      <c r="AA3567" t="s">
        <v>2272</v>
      </c>
      <c r="AB3567" t="s">
        <v>2272</v>
      </c>
      <c r="AC3567" t="s">
        <v>162</v>
      </c>
      <c r="AD3567" t="s">
        <v>2272</v>
      </c>
      <c r="AG3567" t="s">
        <v>49</v>
      </c>
      <c r="AJ3567" t="s">
        <v>49</v>
      </c>
      <c r="AM3567" t="s">
        <v>1920</v>
      </c>
      <c r="AN3567" t="s">
        <v>166</v>
      </c>
      <c r="AQ3567" s="5">
        <v>0</v>
      </c>
    </row>
    <row r="3568" spans="1:43" x14ac:dyDescent="0.2">
      <c r="A3568" t="s">
        <v>1910</v>
      </c>
      <c r="B3568" t="s">
        <v>1911</v>
      </c>
      <c r="C3568">
        <v>2009</v>
      </c>
      <c r="D3568" t="s">
        <v>44</v>
      </c>
      <c r="F3568" t="s">
        <v>83</v>
      </c>
      <c r="G3568" s="1" t="s">
        <v>85</v>
      </c>
      <c r="H3568" t="s">
        <v>350</v>
      </c>
      <c r="I3568">
        <v>2006</v>
      </c>
      <c r="J3568">
        <v>0.17</v>
      </c>
      <c r="K3568" t="s">
        <v>101</v>
      </c>
      <c r="M3568">
        <v>0.38</v>
      </c>
      <c r="N3568" t="s">
        <v>121</v>
      </c>
      <c r="O3568" t="s">
        <v>121</v>
      </c>
      <c r="P3568" t="s">
        <v>747</v>
      </c>
      <c r="Q3568" s="1" t="s">
        <v>2292</v>
      </c>
      <c r="R3568" s="1" t="s">
        <v>264</v>
      </c>
      <c r="S3568" s="1" t="s">
        <v>264</v>
      </c>
      <c r="T3568" t="s">
        <v>396</v>
      </c>
      <c r="U3568" s="1" t="s">
        <v>2352</v>
      </c>
      <c r="V3568" t="s">
        <v>194</v>
      </c>
      <c r="W3568" t="s">
        <v>1373</v>
      </c>
      <c r="X3568" t="s">
        <v>161</v>
      </c>
      <c r="Y3568" t="s">
        <v>2272</v>
      </c>
      <c r="Z3568" t="s">
        <v>2272</v>
      </c>
      <c r="AA3568" t="s">
        <v>2272</v>
      </c>
      <c r="AB3568" t="s">
        <v>2272</v>
      </c>
      <c r="AC3568" t="s">
        <v>162</v>
      </c>
      <c r="AD3568" t="s">
        <v>2272</v>
      </c>
      <c r="AG3568" t="s">
        <v>49</v>
      </c>
      <c r="AJ3568" t="s">
        <v>49</v>
      </c>
      <c r="AM3568" t="s">
        <v>1920</v>
      </c>
      <c r="AN3568" t="s">
        <v>166</v>
      </c>
      <c r="AQ3568" s="5">
        <v>0</v>
      </c>
    </row>
    <row r="3569" spans="1:43" x14ac:dyDescent="0.2">
      <c r="A3569" t="s">
        <v>1910</v>
      </c>
      <c r="B3569" t="s">
        <v>1911</v>
      </c>
      <c r="C3569">
        <v>2009</v>
      </c>
      <c r="D3569" t="s">
        <v>44</v>
      </c>
      <c r="F3569" t="s">
        <v>83</v>
      </c>
      <c r="G3569" s="1" t="s">
        <v>85</v>
      </c>
      <c r="H3569" t="s">
        <v>350</v>
      </c>
      <c r="I3569">
        <v>2006</v>
      </c>
      <c r="J3569">
        <v>0.17</v>
      </c>
      <c r="K3569" t="s">
        <v>101</v>
      </c>
      <c r="M3569">
        <v>0.38</v>
      </c>
      <c r="N3569" t="s">
        <v>121</v>
      </c>
      <c r="O3569" t="s">
        <v>121</v>
      </c>
      <c r="P3569" t="s">
        <v>1373</v>
      </c>
      <c r="Q3569" s="1" t="s">
        <v>2276</v>
      </c>
      <c r="R3569" s="1" t="s">
        <v>755</v>
      </c>
      <c r="S3569" s="1" t="s">
        <v>2352</v>
      </c>
      <c r="T3569" t="s">
        <v>421</v>
      </c>
      <c r="U3569" t="s">
        <v>421</v>
      </c>
      <c r="V3569" t="s">
        <v>194</v>
      </c>
      <c r="W3569" t="s">
        <v>1373</v>
      </c>
      <c r="X3569" t="s">
        <v>161</v>
      </c>
      <c r="Y3569" t="s">
        <v>2272</v>
      </c>
      <c r="Z3569" t="s">
        <v>2272</v>
      </c>
      <c r="AA3569" t="s">
        <v>2272</v>
      </c>
      <c r="AB3569" t="s">
        <v>2272</v>
      </c>
      <c r="AC3569" t="s">
        <v>162</v>
      </c>
      <c r="AD3569" t="s">
        <v>2272</v>
      </c>
      <c r="AG3569" t="s">
        <v>49</v>
      </c>
      <c r="AJ3569" t="s">
        <v>49</v>
      </c>
      <c r="AM3569" t="s">
        <v>1920</v>
      </c>
      <c r="AN3569" t="s">
        <v>166</v>
      </c>
      <c r="AQ3569" s="5">
        <v>0</v>
      </c>
    </row>
    <row r="3570" spans="1:43" x14ac:dyDescent="0.2">
      <c r="A3570" t="s">
        <v>1910</v>
      </c>
      <c r="B3570" t="s">
        <v>1911</v>
      </c>
      <c r="C3570">
        <v>2009</v>
      </c>
      <c r="D3570" t="s">
        <v>44</v>
      </c>
      <c r="F3570" t="s">
        <v>83</v>
      </c>
      <c r="G3570" s="1" t="s">
        <v>85</v>
      </c>
      <c r="H3570" t="s">
        <v>350</v>
      </c>
      <c r="I3570">
        <v>2006</v>
      </c>
      <c r="J3570">
        <v>0.17</v>
      </c>
      <c r="K3570" t="s">
        <v>101</v>
      </c>
      <c r="M3570">
        <v>0.38</v>
      </c>
      <c r="N3570" t="s">
        <v>121</v>
      </c>
      <c r="O3570" t="s">
        <v>121</v>
      </c>
      <c r="P3570" t="s">
        <v>747</v>
      </c>
      <c r="Q3570" s="1" t="s">
        <v>2292</v>
      </c>
      <c r="R3570" s="1" t="s">
        <v>264</v>
      </c>
      <c r="S3570" s="1" t="s">
        <v>264</v>
      </c>
      <c r="T3570" t="s">
        <v>421</v>
      </c>
      <c r="U3570" t="s">
        <v>421</v>
      </c>
      <c r="V3570" t="s">
        <v>194</v>
      </c>
      <c r="W3570" t="s">
        <v>1373</v>
      </c>
      <c r="X3570" t="s">
        <v>161</v>
      </c>
      <c r="Y3570" t="s">
        <v>2272</v>
      </c>
      <c r="Z3570" t="s">
        <v>2272</v>
      </c>
      <c r="AA3570" t="s">
        <v>2272</v>
      </c>
      <c r="AB3570" t="s">
        <v>2272</v>
      </c>
      <c r="AC3570" t="s">
        <v>162</v>
      </c>
      <c r="AD3570" t="s">
        <v>2272</v>
      </c>
      <c r="AG3570" t="s">
        <v>49</v>
      </c>
      <c r="AJ3570" t="s">
        <v>49</v>
      </c>
      <c r="AM3570" t="s">
        <v>1920</v>
      </c>
      <c r="AN3570" t="s">
        <v>166</v>
      </c>
      <c r="AQ3570" s="5">
        <v>0</v>
      </c>
    </row>
    <row r="3571" spans="1:43" x14ac:dyDescent="0.2">
      <c r="A3571" t="s">
        <v>1910</v>
      </c>
      <c r="B3571" t="s">
        <v>1911</v>
      </c>
      <c r="C3571">
        <v>2009</v>
      </c>
      <c r="D3571" t="s">
        <v>44</v>
      </c>
      <c r="F3571" t="s">
        <v>83</v>
      </c>
      <c r="G3571" s="1" t="s">
        <v>85</v>
      </c>
      <c r="H3571" t="s">
        <v>350</v>
      </c>
      <c r="I3571">
        <v>2006</v>
      </c>
      <c r="J3571">
        <v>0.17</v>
      </c>
      <c r="K3571" t="s">
        <v>101</v>
      </c>
      <c r="M3571">
        <v>0.38</v>
      </c>
      <c r="N3571" t="s">
        <v>121</v>
      </c>
      <c r="O3571" t="s">
        <v>121</v>
      </c>
      <c r="P3571" t="s">
        <v>1373</v>
      </c>
      <c r="Q3571" s="1" t="s">
        <v>2276</v>
      </c>
      <c r="R3571" s="1" t="s">
        <v>755</v>
      </c>
      <c r="S3571" s="1" t="s">
        <v>2352</v>
      </c>
      <c r="T3571" t="s">
        <v>396</v>
      </c>
      <c r="U3571" s="1" t="s">
        <v>264</v>
      </c>
      <c r="V3571" t="s">
        <v>194</v>
      </c>
      <c r="W3571" t="s">
        <v>1373</v>
      </c>
      <c r="X3571" t="s">
        <v>161</v>
      </c>
      <c r="Y3571" t="s">
        <v>2272</v>
      </c>
      <c r="Z3571" t="s">
        <v>2272</v>
      </c>
      <c r="AA3571" t="s">
        <v>2272</v>
      </c>
      <c r="AB3571" t="s">
        <v>2272</v>
      </c>
      <c r="AC3571" t="s">
        <v>162</v>
      </c>
      <c r="AD3571" t="s">
        <v>2272</v>
      </c>
      <c r="AF3571" t="s">
        <v>49</v>
      </c>
      <c r="AG3571" t="s">
        <v>49</v>
      </c>
      <c r="AJ3571" t="s">
        <v>49</v>
      </c>
      <c r="AM3571" t="s">
        <v>1921</v>
      </c>
      <c r="AN3571" t="s">
        <v>166</v>
      </c>
      <c r="AQ3571" s="5">
        <v>0</v>
      </c>
    </row>
    <row r="3572" spans="1:43" x14ac:dyDescent="0.2">
      <c r="A3572" t="s">
        <v>1910</v>
      </c>
      <c r="B3572" t="s">
        <v>1911</v>
      </c>
      <c r="C3572">
        <v>2009</v>
      </c>
      <c r="D3572" t="s">
        <v>44</v>
      </c>
      <c r="F3572" t="s">
        <v>83</v>
      </c>
      <c r="G3572" s="1" t="s">
        <v>85</v>
      </c>
      <c r="H3572" t="s">
        <v>350</v>
      </c>
      <c r="I3572">
        <v>2006</v>
      </c>
      <c r="J3572">
        <v>0.17</v>
      </c>
      <c r="K3572" t="s">
        <v>101</v>
      </c>
      <c r="M3572">
        <v>0.38</v>
      </c>
      <c r="N3572" t="s">
        <v>121</v>
      </c>
      <c r="O3572" t="s">
        <v>121</v>
      </c>
      <c r="P3572" t="s">
        <v>747</v>
      </c>
      <c r="Q3572" s="1" t="s">
        <v>2292</v>
      </c>
      <c r="R3572" s="1" t="s">
        <v>264</v>
      </c>
      <c r="S3572" s="1" t="s">
        <v>264</v>
      </c>
      <c r="T3572" t="s">
        <v>396</v>
      </c>
      <c r="U3572" s="1" t="s">
        <v>2352</v>
      </c>
      <c r="V3572" t="s">
        <v>194</v>
      </c>
      <c r="W3572" t="s">
        <v>1373</v>
      </c>
      <c r="X3572" t="s">
        <v>161</v>
      </c>
      <c r="Y3572" t="s">
        <v>2272</v>
      </c>
      <c r="Z3572" t="s">
        <v>2272</v>
      </c>
      <c r="AA3572" t="s">
        <v>2272</v>
      </c>
      <c r="AB3572" t="s">
        <v>2272</v>
      </c>
      <c r="AC3572" t="s">
        <v>162</v>
      </c>
      <c r="AD3572" t="s">
        <v>2272</v>
      </c>
      <c r="AF3572" t="s">
        <v>49</v>
      </c>
      <c r="AG3572" t="s">
        <v>49</v>
      </c>
      <c r="AJ3572" t="s">
        <v>49</v>
      </c>
      <c r="AM3572" t="s">
        <v>1921</v>
      </c>
      <c r="AN3572" t="s">
        <v>166</v>
      </c>
      <c r="AQ3572" s="5">
        <v>0</v>
      </c>
    </row>
    <row r="3573" spans="1:43" x14ac:dyDescent="0.2">
      <c r="A3573" t="s">
        <v>1910</v>
      </c>
      <c r="B3573" t="s">
        <v>1911</v>
      </c>
      <c r="C3573">
        <v>2009</v>
      </c>
      <c r="D3573" t="s">
        <v>44</v>
      </c>
      <c r="F3573" t="s">
        <v>83</v>
      </c>
      <c r="G3573" s="1" t="s">
        <v>85</v>
      </c>
      <c r="H3573" t="s">
        <v>350</v>
      </c>
      <c r="I3573">
        <v>2006</v>
      </c>
      <c r="J3573">
        <v>0.17</v>
      </c>
      <c r="K3573" t="s">
        <v>101</v>
      </c>
      <c r="M3573">
        <v>0.38</v>
      </c>
      <c r="N3573" t="s">
        <v>121</v>
      </c>
      <c r="O3573" t="s">
        <v>121</v>
      </c>
      <c r="P3573" t="s">
        <v>1373</v>
      </c>
      <c r="Q3573" s="1" t="s">
        <v>2276</v>
      </c>
      <c r="R3573" s="1" t="s">
        <v>755</v>
      </c>
      <c r="S3573" s="1" t="s">
        <v>2352</v>
      </c>
      <c r="T3573" t="s">
        <v>421</v>
      </c>
      <c r="U3573" t="s">
        <v>421</v>
      </c>
      <c r="V3573" t="s">
        <v>194</v>
      </c>
      <c r="W3573" t="s">
        <v>1373</v>
      </c>
      <c r="X3573" t="s">
        <v>161</v>
      </c>
      <c r="Y3573" t="s">
        <v>2272</v>
      </c>
      <c r="Z3573" t="s">
        <v>2272</v>
      </c>
      <c r="AA3573" t="s">
        <v>2272</v>
      </c>
      <c r="AB3573" t="s">
        <v>2272</v>
      </c>
      <c r="AC3573" t="s">
        <v>162</v>
      </c>
      <c r="AD3573" t="s">
        <v>2272</v>
      </c>
      <c r="AF3573" t="s">
        <v>49</v>
      </c>
      <c r="AG3573" t="s">
        <v>49</v>
      </c>
      <c r="AJ3573" t="s">
        <v>49</v>
      </c>
      <c r="AM3573" t="s">
        <v>1921</v>
      </c>
      <c r="AN3573" t="s">
        <v>166</v>
      </c>
      <c r="AQ3573" s="5">
        <v>0</v>
      </c>
    </row>
    <row r="3574" spans="1:43" x14ac:dyDescent="0.2">
      <c r="A3574" t="s">
        <v>1910</v>
      </c>
      <c r="B3574" t="s">
        <v>1911</v>
      </c>
      <c r="C3574">
        <v>2009</v>
      </c>
      <c r="D3574" t="s">
        <v>44</v>
      </c>
      <c r="F3574" t="s">
        <v>83</v>
      </c>
      <c r="G3574" s="1" t="s">
        <v>85</v>
      </c>
      <c r="H3574" t="s">
        <v>350</v>
      </c>
      <c r="I3574">
        <v>2006</v>
      </c>
      <c r="J3574">
        <v>0.17</v>
      </c>
      <c r="K3574" t="s">
        <v>101</v>
      </c>
      <c r="M3574">
        <v>0.38</v>
      </c>
      <c r="N3574" t="s">
        <v>121</v>
      </c>
      <c r="O3574" t="s">
        <v>121</v>
      </c>
      <c r="P3574" t="s">
        <v>747</v>
      </c>
      <c r="Q3574" s="1" t="s">
        <v>2292</v>
      </c>
      <c r="R3574" s="1" t="s">
        <v>264</v>
      </c>
      <c r="S3574" s="1" t="s">
        <v>264</v>
      </c>
      <c r="T3574" t="s">
        <v>421</v>
      </c>
      <c r="U3574" t="s">
        <v>421</v>
      </c>
      <c r="V3574" t="s">
        <v>194</v>
      </c>
      <c r="W3574" t="s">
        <v>1373</v>
      </c>
      <c r="X3574" t="s">
        <v>161</v>
      </c>
      <c r="Y3574" t="s">
        <v>2272</v>
      </c>
      <c r="Z3574" t="s">
        <v>2272</v>
      </c>
      <c r="AA3574" t="s">
        <v>2272</v>
      </c>
      <c r="AB3574" t="s">
        <v>2272</v>
      </c>
      <c r="AC3574" t="s">
        <v>162</v>
      </c>
      <c r="AD3574" t="s">
        <v>2272</v>
      </c>
      <c r="AF3574" t="s">
        <v>49</v>
      </c>
      <c r="AG3574" t="s">
        <v>49</v>
      </c>
      <c r="AJ3574" t="s">
        <v>49</v>
      </c>
      <c r="AM3574" t="s">
        <v>1921</v>
      </c>
      <c r="AN3574" t="s">
        <v>166</v>
      </c>
      <c r="AQ3574" s="5">
        <v>0</v>
      </c>
    </row>
    <row r="3575" spans="1:43" x14ac:dyDescent="0.2">
      <c r="A3575" t="s">
        <v>1910</v>
      </c>
      <c r="B3575" t="s">
        <v>1911</v>
      </c>
      <c r="C3575">
        <v>2009</v>
      </c>
      <c r="D3575" t="s">
        <v>44</v>
      </c>
      <c r="F3575" t="s">
        <v>83</v>
      </c>
      <c r="G3575" s="1" t="s">
        <v>85</v>
      </c>
      <c r="H3575" t="s">
        <v>350</v>
      </c>
      <c r="I3575">
        <v>2006</v>
      </c>
      <c r="J3575">
        <v>0.17</v>
      </c>
      <c r="K3575" t="s">
        <v>101</v>
      </c>
      <c r="M3575">
        <v>0.38</v>
      </c>
      <c r="N3575" t="s">
        <v>121</v>
      </c>
      <c r="O3575" t="s">
        <v>121</v>
      </c>
      <c r="P3575" t="s">
        <v>1373</v>
      </c>
      <c r="Q3575" s="1" t="s">
        <v>2276</v>
      </c>
      <c r="R3575" s="1" t="s">
        <v>755</v>
      </c>
      <c r="S3575" s="1" t="s">
        <v>2352</v>
      </c>
      <c r="T3575" t="s">
        <v>396</v>
      </c>
      <c r="U3575" s="1" t="s">
        <v>264</v>
      </c>
      <c r="V3575" t="s">
        <v>194</v>
      </c>
      <c r="W3575" t="s">
        <v>1373</v>
      </c>
      <c r="X3575" t="s">
        <v>161</v>
      </c>
      <c r="Y3575" t="s">
        <v>2272</v>
      </c>
      <c r="Z3575" t="s">
        <v>2272</v>
      </c>
      <c r="AA3575" t="s">
        <v>2272</v>
      </c>
      <c r="AB3575" t="s">
        <v>2272</v>
      </c>
      <c r="AC3575" t="s">
        <v>162</v>
      </c>
      <c r="AD3575" t="s">
        <v>2272</v>
      </c>
      <c r="AF3575" t="s">
        <v>49</v>
      </c>
      <c r="AG3575" t="s">
        <v>49</v>
      </c>
      <c r="AJ3575" t="s">
        <v>49</v>
      </c>
      <c r="AM3575" t="s">
        <v>1918</v>
      </c>
      <c r="AN3575" t="s">
        <v>166</v>
      </c>
      <c r="AQ3575" s="5">
        <v>0</v>
      </c>
    </row>
    <row r="3576" spans="1:43" x14ac:dyDescent="0.2">
      <c r="A3576" t="s">
        <v>1910</v>
      </c>
      <c r="B3576" t="s">
        <v>1911</v>
      </c>
      <c r="C3576">
        <v>2009</v>
      </c>
      <c r="D3576" t="s">
        <v>44</v>
      </c>
      <c r="F3576" t="s">
        <v>83</v>
      </c>
      <c r="G3576" s="1" t="s">
        <v>85</v>
      </c>
      <c r="H3576" t="s">
        <v>350</v>
      </c>
      <c r="I3576">
        <v>2006</v>
      </c>
      <c r="J3576">
        <v>0.17</v>
      </c>
      <c r="K3576" t="s">
        <v>101</v>
      </c>
      <c r="M3576">
        <v>0.38</v>
      </c>
      <c r="N3576" t="s">
        <v>121</v>
      </c>
      <c r="O3576" t="s">
        <v>121</v>
      </c>
      <c r="P3576" t="s">
        <v>1912</v>
      </c>
      <c r="Q3576" s="1" t="s">
        <v>2292</v>
      </c>
      <c r="R3576" s="1" t="s">
        <v>264</v>
      </c>
      <c r="S3576" s="1" t="s">
        <v>264</v>
      </c>
      <c r="T3576" t="s">
        <v>396</v>
      </c>
      <c r="U3576" s="1" t="s">
        <v>2352</v>
      </c>
      <c r="V3576" t="s">
        <v>194</v>
      </c>
      <c r="W3576" t="s">
        <v>1373</v>
      </c>
      <c r="X3576" t="s">
        <v>161</v>
      </c>
      <c r="Y3576" t="s">
        <v>2272</v>
      </c>
      <c r="Z3576" t="s">
        <v>2272</v>
      </c>
      <c r="AA3576" t="s">
        <v>2272</v>
      </c>
      <c r="AB3576" t="s">
        <v>2272</v>
      </c>
      <c r="AC3576" t="s">
        <v>162</v>
      </c>
      <c r="AD3576" t="s">
        <v>2272</v>
      </c>
      <c r="AF3576" t="s">
        <v>49</v>
      </c>
      <c r="AG3576" t="s">
        <v>49</v>
      </c>
      <c r="AJ3576" t="s">
        <v>49</v>
      </c>
      <c r="AM3576" t="s">
        <v>1918</v>
      </c>
      <c r="AN3576" t="s">
        <v>166</v>
      </c>
      <c r="AQ3576" s="5">
        <v>0</v>
      </c>
    </row>
    <row r="3577" spans="1:43" x14ac:dyDescent="0.2">
      <c r="A3577" t="s">
        <v>1910</v>
      </c>
      <c r="B3577" t="s">
        <v>1911</v>
      </c>
      <c r="C3577">
        <v>2009</v>
      </c>
      <c r="D3577" t="s">
        <v>44</v>
      </c>
      <c r="F3577" t="s">
        <v>83</v>
      </c>
      <c r="G3577" s="1" t="s">
        <v>85</v>
      </c>
      <c r="H3577" t="s">
        <v>350</v>
      </c>
      <c r="I3577">
        <v>2006</v>
      </c>
      <c r="J3577">
        <v>0.17</v>
      </c>
      <c r="K3577" t="s">
        <v>101</v>
      </c>
      <c r="M3577">
        <v>0.38</v>
      </c>
      <c r="N3577" t="s">
        <v>121</v>
      </c>
      <c r="O3577" t="s">
        <v>121</v>
      </c>
      <c r="P3577" t="s">
        <v>1373</v>
      </c>
      <c r="Q3577" s="1" t="s">
        <v>2276</v>
      </c>
      <c r="R3577" s="1" t="s">
        <v>755</v>
      </c>
      <c r="S3577" s="1" t="s">
        <v>2352</v>
      </c>
      <c r="T3577" t="s">
        <v>396</v>
      </c>
      <c r="U3577" s="1" t="s">
        <v>264</v>
      </c>
      <c r="V3577" t="s">
        <v>194</v>
      </c>
      <c r="W3577" t="s">
        <v>1373</v>
      </c>
      <c r="X3577" t="s">
        <v>161</v>
      </c>
      <c r="Y3577" t="s">
        <v>2272</v>
      </c>
      <c r="Z3577" t="s">
        <v>2272</v>
      </c>
      <c r="AA3577" t="s">
        <v>2272</v>
      </c>
      <c r="AB3577" t="s">
        <v>2272</v>
      </c>
      <c r="AC3577" t="s">
        <v>162</v>
      </c>
      <c r="AD3577" t="s">
        <v>2272</v>
      </c>
      <c r="AF3577" t="s">
        <v>49</v>
      </c>
      <c r="AG3577" t="s">
        <v>49</v>
      </c>
      <c r="AJ3577" t="s">
        <v>49</v>
      </c>
      <c r="AM3577" t="s">
        <v>1919</v>
      </c>
      <c r="AN3577" t="s">
        <v>166</v>
      </c>
      <c r="AQ3577" s="5">
        <v>0</v>
      </c>
    </row>
    <row r="3578" spans="1:43" x14ac:dyDescent="0.2">
      <c r="A3578" t="s">
        <v>1910</v>
      </c>
      <c r="B3578" t="s">
        <v>1911</v>
      </c>
      <c r="C3578">
        <v>2009</v>
      </c>
      <c r="D3578" t="s">
        <v>44</v>
      </c>
      <c r="F3578" t="s">
        <v>83</v>
      </c>
      <c r="G3578" s="1" t="s">
        <v>85</v>
      </c>
      <c r="H3578" t="s">
        <v>350</v>
      </c>
      <c r="I3578">
        <v>2006</v>
      </c>
      <c r="J3578">
        <v>0.17</v>
      </c>
      <c r="K3578" t="s">
        <v>101</v>
      </c>
      <c r="M3578">
        <v>0.38</v>
      </c>
      <c r="N3578" t="s">
        <v>121</v>
      </c>
      <c r="O3578" t="s">
        <v>121</v>
      </c>
      <c r="P3578" t="s">
        <v>1912</v>
      </c>
      <c r="Q3578" s="1" t="s">
        <v>2292</v>
      </c>
      <c r="R3578" s="1" t="s">
        <v>264</v>
      </c>
      <c r="S3578" s="1" t="s">
        <v>264</v>
      </c>
      <c r="T3578" t="s">
        <v>396</v>
      </c>
      <c r="U3578" s="1" t="s">
        <v>2352</v>
      </c>
      <c r="V3578" t="s">
        <v>194</v>
      </c>
      <c r="W3578" t="s">
        <v>1373</v>
      </c>
      <c r="X3578" t="s">
        <v>161</v>
      </c>
      <c r="Y3578" t="s">
        <v>2272</v>
      </c>
      <c r="Z3578" t="s">
        <v>2272</v>
      </c>
      <c r="AA3578" t="s">
        <v>2272</v>
      </c>
      <c r="AB3578" t="s">
        <v>2272</v>
      </c>
      <c r="AC3578" t="s">
        <v>162</v>
      </c>
      <c r="AD3578" t="s">
        <v>2272</v>
      </c>
      <c r="AF3578" t="s">
        <v>49</v>
      </c>
      <c r="AG3578" t="s">
        <v>49</v>
      </c>
      <c r="AJ3578" t="s">
        <v>49</v>
      </c>
      <c r="AM3578" t="s">
        <v>1919</v>
      </c>
      <c r="AN3578" t="s">
        <v>166</v>
      </c>
      <c r="AQ3578" s="5">
        <v>0</v>
      </c>
    </row>
    <row r="3579" spans="1:43" x14ac:dyDescent="0.2">
      <c r="A3579" t="s">
        <v>1910</v>
      </c>
      <c r="B3579" t="s">
        <v>1911</v>
      </c>
      <c r="C3579">
        <v>2009</v>
      </c>
      <c r="D3579" t="s">
        <v>44</v>
      </c>
      <c r="F3579" t="s">
        <v>83</v>
      </c>
      <c r="G3579" s="1" t="s">
        <v>85</v>
      </c>
      <c r="H3579" t="s">
        <v>350</v>
      </c>
      <c r="I3579">
        <v>2006</v>
      </c>
      <c r="J3579">
        <v>0.17</v>
      </c>
      <c r="K3579" t="s">
        <v>101</v>
      </c>
      <c r="M3579">
        <v>0.38</v>
      </c>
      <c r="N3579" t="s">
        <v>121</v>
      </c>
      <c r="O3579" t="s">
        <v>121</v>
      </c>
      <c r="P3579" t="s">
        <v>1373</v>
      </c>
      <c r="Q3579" s="1" t="s">
        <v>2276</v>
      </c>
      <c r="R3579" s="1" t="s">
        <v>755</v>
      </c>
      <c r="S3579" s="1" t="s">
        <v>2352</v>
      </c>
      <c r="T3579" t="s">
        <v>396</v>
      </c>
      <c r="U3579" s="1" t="s">
        <v>264</v>
      </c>
      <c r="V3579" t="s">
        <v>194</v>
      </c>
      <c r="W3579" t="s">
        <v>1373</v>
      </c>
      <c r="X3579" t="s">
        <v>161</v>
      </c>
      <c r="Y3579" t="s">
        <v>2272</v>
      </c>
      <c r="Z3579" t="s">
        <v>2272</v>
      </c>
      <c r="AA3579" t="s">
        <v>2272</v>
      </c>
      <c r="AB3579" t="s">
        <v>2272</v>
      </c>
      <c r="AC3579" t="s">
        <v>162</v>
      </c>
      <c r="AD3579" t="s">
        <v>2272</v>
      </c>
      <c r="AG3579" t="s">
        <v>49</v>
      </c>
      <c r="AJ3579" t="s">
        <v>49</v>
      </c>
      <c r="AM3579" t="s">
        <v>1920</v>
      </c>
      <c r="AN3579" t="s">
        <v>166</v>
      </c>
      <c r="AQ3579" s="5">
        <v>0</v>
      </c>
    </row>
    <row r="3580" spans="1:43" x14ac:dyDescent="0.2">
      <c r="A3580" t="s">
        <v>1910</v>
      </c>
      <c r="B3580" t="s">
        <v>1911</v>
      </c>
      <c r="C3580">
        <v>2009</v>
      </c>
      <c r="D3580" t="s">
        <v>44</v>
      </c>
      <c r="F3580" t="s">
        <v>83</v>
      </c>
      <c r="G3580" s="1" t="s">
        <v>85</v>
      </c>
      <c r="H3580" t="s">
        <v>350</v>
      </c>
      <c r="I3580">
        <v>2006</v>
      </c>
      <c r="J3580">
        <v>0.17</v>
      </c>
      <c r="K3580" t="s">
        <v>101</v>
      </c>
      <c r="M3580">
        <v>0.38</v>
      </c>
      <c r="N3580" t="s">
        <v>121</v>
      </c>
      <c r="O3580" t="s">
        <v>121</v>
      </c>
      <c r="P3580" t="s">
        <v>1912</v>
      </c>
      <c r="Q3580" s="1" t="s">
        <v>2292</v>
      </c>
      <c r="R3580" s="1" t="s">
        <v>264</v>
      </c>
      <c r="S3580" s="1" t="s">
        <v>264</v>
      </c>
      <c r="T3580" t="s">
        <v>396</v>
      </c>
      <c r="U3580" s="1" t="s">
        <v>2352</v>
      </c>
      <c r="V3580" t="s">
        <v>194</v>
      </c>
      <c r="W3580" t="s">
        <v>1373</v>
      </c>
      <c r="X3580" t="s">
        <v>161</v>
      </c>
      <c r="Y3580" t="s">
        <v>2272</v>
      </c>
      <c r="Z3580" t="s">
        <v>2272</v>
      </c>
      <c r="AA3580" t="s">
        <v>2272</v>
      </c>
      <c r="AB3580" t="s">
        <v>2272</v>
      </c>
      <c r="AC3580" t="s">
        <v>162</v>
      </c>
      <c r="AD3580" t="s">
        <v>2272</v>
      </c>
      <c r="AG3580" t="s">
        <v>49</v>
      </c>
      <c r="AJ3580" t="s">
        <v>49</v>
      </c>
      <c r="AM3580" t="s">
        <v>1920</v>
      </c>
      <c r="AN3580" t="s">
        <v>166</v>
      </c>
      <c r="AQ3580" s="5">
        <v>0</v>
      </c>
    </row>
    <row r="3581" spans="1:43" x14ac:dyDescent="0.2">
      <c r="A3581" t="s">
        <v>1910</v>
      </c>
      <c r="B3581" t="s">
        <v>1911</v>
      </c>
      <c r="C3581">
        <v>2009</v>
      </c>
      <c r="D3581" t="s">
        <v>44</v>
      </c>
      <c r="F3581" t="s">
        <v>83</v>
      </c>
      <c r="G3581" s="1" t="s">
        <v>85</v>
      </c>
      <c r="H3581" t="s">
        <v>350</v>
      </c>
      <c r="I3581">
        <v>2006</v>
      </c>
      <c r="J3581">
        <v>0.17</v>
      </c>
      <c r="K3581" t="s">
        <v>101</v>
      </c>
      <c r="M3581">
        <v>0.38</v>
      </c>
      <c r="N3581" t="s">
        <v>121</v>
      </c>
      <c r="O3581" t="s">
        <v>121</v>
      </c>
      <c r="P3581" t="s">
        <v>1373</v>
      </c>
      <c r="Q3581" s="1" t="s">
        <v>2276</v>
      </c>
      <c r="R3581" s="1" t="s">
        <v>755</v>
      </c>
      <c r="S3581" s="1" t="s">
        <v>2352</v>
      </c>
      <c r="T3581" t="s">
        <v>396</v>
      </c>
      <c r="U3581" s="1" t="s">
        <v>264</v>
      </c>
      <c r="V3581" t="s">
        <v>194</v>
      </c>
      <c r="W3581" t="s">
        <v>1373</v>
      </c>
      <c r="X3581" t="s">
        <v>161</v>
      </c>
      <c r="Y3581" t="s">
        <v>2272</v>
      </c>
      <c r="Z3581" t="s">
        <v>2272</v>
      </c>
      <c r="AA3581" t="s">
        <v>2272</v>
      </c>
      <c r="AB3581" t="s">
        <v>2272</v>
      </c>
      <c r="AC3581" t="s">
        <v>162</v>
      </c>
      <c r="AD3581" t="s">
        <v>2272</v>
      </c>
      <c r="AF3581" t="s">
        <v>49</v>
      </c>
      <c r="AG3581" t="s">
        <v>49</v>
      </c>
      <c r="AJ3581" t="s">
        <v>49</v>
      </c>
      <c r="AM3581" t="s">
        <v>1921</v>
      </c>
      <c r="AN3581" t="s">
        <v>166</v>
      </c>
      <c r="AQ3581" s="5">
        <v>0</v>
      </c>
    </row>
    <row r="3582" spans="1:43" x14ac:dyDescent="0.2">
      <c r="A3582" t="s">
        <v>1910</v>
      </c>
      <c r="B3582" t="s">
        <v>1911</v>
      </c>
      <c r="C3582">
        <v>2009</v>
      </c>
      <c r="D3582" t="s">
        <v>44</v>
      </c>
      <c r="F3582" t="s">
        <v>83</v>
      </c>
      <c r="G3582" s="1" t="s">
        <v>85</v>
      </c>
      <c r="H3582" t="s">
        <v>350</v>
      </c>
      <c r="I3582">
        <v>2006</v>
      </c>
      <c r="J3582">
        <v>0.17</v>
      </c>
      <c r="K3582" t="s">
        <v>101</v>
      </c>
      <c r="M3582">
        <v>0.38</v>
      </c>
      <c r="N3582" t="s">
        <v>121</v>
      </c>
      <c r="O3582" t="s">
        <v>121</v>
      </c>
      <c r="P3582" t="s">
        <v>1912</v>
      </c>
      <c r="Q3582" s="1" t="s">
        <v>2292</v>
      </c>
      <c r="R3582" s="1" t="s">
        <v>264</v>
      </c>
      <c r="S3582" s="1" t="s">
        <v>264</v>
      </c>
      <c r="T3582" t="s">
        <v>396</v>
      </c>
      <c r="U3582" s="1" t="s">
        <v>2352</v>
      </c>
      <c r="V3582" t="s">
        <v>194</v>
      </c>
      <c r="W3582" t="s">
        <v>1373</v>
      </c>
      <c r="X3582" t="s">
        <v>161</v>
      </c>
      <c r="Y3582" t="s">
        <v>2272</v>
      </c>
      <c r="Z3582" t="s">
        <v>2272</v>
      </c>
      <c r="AA3582" t="s">
        <v>2272</v>
      </c>
      <c r="AB3582" t="s">
        <v>2272</v>
      </c>
      <c r="AC3582" t="s">
        <v>162</v>
      </c>
      <c r="AD3582" t="s">
        <v>2272</v>
      </c>
      <c r="AF3582" t="s">
        <v>49</v>
      </c>
      <c r="AG3582" t="s">
        <v>49</v>
      </c>
      <c r="AJ3582" t="s">
        <v>49</v>
      </c>
      <c r="AM3582" t="s">
        <v>1921</v>
      </c>
      <c r="AN3582" t="s">
        <v>166</v>
      </c>
      <c r="AQ3582" s="5">
        <v>0</v>
      </c>
    </row>
    <row r="3583" spans="1:43" x14ac:dyDescent="0.2">
      <c r="A3583" t="s">
        <v>1922</v>
      </c>
      <c r="B3583" t="s">
        <v>1923</v>
      </c>
      <c r="C3583">
        <v>2009</v>
      </c>
      <c r="D3583" t="s">
        <v>811</v>
      </c>
      <c r="F3583" t="s">
        <v>53</v>
      </c>
      <c r="G3583" s="1" t="s">
        <v>86</v>
      </c>
      <c r="H3583" t="s">
        <v>350</v>
      </c>
      <c r="I3583" t="s">
        <v>1590</v>
      </c>
      <c r="J3583">
        <v>2.17</v>
      </c>
      <c r="K3583" t="s">
        <v>102</v>
      </c>
      <c r="L3583">
        <v>1</v>
      </c>
      <c r="M3583">
        <f t="shared" ref="M3583:M3598" si="84">0.3*0.3</f>
        <v>0.09</v>
      </c>
      <c r="N3583" t="s">
        <v>128</v>
      </c>
      <c r="O3583" t="s">
        <v>1553</v>
      </c>
      <c r="P3583" t="s">
        <v>832</v>
      </c>
      <c r="Q3583" s="1" t="s">
        <v>2276</v>
      </c>
      <c r="R3583" s="1" t="s">
        <v>669</v>
      </c>
      <c r="S3583" s="1" t="s">
        <v>168</v>
      </c>
      <c r="X3583" t="s">
        <v>211</v>
      </c>
      <c r="Y3583" t="s">
        <v>2279</v>
      </c>
      <c r="Z3583" t="s">
        <v>2280</v>
      </c>
      <c r="AA3583" t="s">
        <v>2358</v>
      </c>
      <c r="AB3583" t="s">
        <v>2290</v>
      </c>
      <c r="AC3583" t="s">
        <v>152</v>
      </c>
      <c r="AD3583" t="s">
        <v>2278</v>
      </c>
      <c r="AF3583" t="s">
        <v>49</v>
      </c>
      <c r="AL3583" t="s">
        <v>49</v>
      </c>
      <c r="AM3583" t="s">
        <v>2545</v>
      </c>
      <c r="AN3583" t="s">
        <v>166</v>
      </c>
    </row>
    <row r="3584" spans="1:43" x14ac:dyDescent="0.2">
      <c r="A3584" t="s">
        <v>1922</v>
      </c>
      <c r="B3584" t="s">
        <v>1923</v>
      </c>
      <c r="C3584">
        <v>2009</v>
      </c>
      <c r="D3584" t="s">
        <v>811</v>
      </c>
      <c r="F3584" t="s">
        <v>53</v>
      </c>
      <c r="G3584" s="1" t="s">
        <v>86</v>
      </c>
      <c r="H3584" t="s">
        <v>350</v>
      </c>
      <c r="I3584" t="s">
        <v>1590</v>
      </c>
      <c r="J3584">
        <v>2.17</v>
      </c>
      <c r="K3584" t="s">
        <v>102</v>
      </c>
      <c r="L3584">
        <v>1</v>
      </c>
      <c r="M3584">
        <f t="shared" si="84"/>
        <v>0.09</v>
      </c>
      <c r="N3584" t="s">
        <v>123</v>
      </c>
      <c r="O3584" t="s">
        <v>123</v>
      </c>
      <c r="P3584" t="s">
        <v>182</v>
      </c>
      <c r="Q3584" s="1" t="s">
        <v>2281</v>
      </c>
      <c r="R3584" s="1" t="s">
        <v>2282</v>
      </c>
      <c r="S3584" s="1" t="s">
        <v>123</v>
      </c>
      <c r="X3584" t="s">
        <v>211</v>
      </c>
      <c r="Y3584" t="s">
        <v>2279</v>
      </c>
      <c r="Z3584" t="s">
        <v>2280</v>
      </c>
      <c r="AA3584" t="s">
        <v>2358</v>
      </c>
      <c r="AB3584" t="s">
        <v>2290</v>
      </c>
      <c r="AC3584" t="s">
        <v>152</v>
      </c>
      <c r="AD3584" t="s">
        <v>2278</v>
      </c>
      <c r="AF3584" t="s">
        <v>49</v>
      </c>
      <c r="AL3584" t="s">
        <v>49</v>
      </c>
      <c r="AM3584" t="s">
        <v>2545</v>
      </c>
      <c r="AN3584" t="s">
        <v>166</v>
      </c>
    </row>
    <row r="3585" spans="1:45" x14ac:dyDescent="0.2">
      <c r="A3585" t="s">
        <v>1922</v>
      </c>
      <c r="B3585" t="s">
        <v>1923</v>
      </c>
      <c r="C3585">
        <v>2009</v>
      </c>
      <c r="D3585" t="s">
        <v>811</v>
      </c>
      <c r="F3585" t="s">
        <v>53</v>
      </c>
      <c r="G3585" s="1" t="s">
        <v>86</v>
      </c>
      <c r="H3585" t="s">
        <v>350</v>
      </c>
      <c r="I3585" t="s">
        <v>1590</v>
      </c>
      <c r="J3585">
        <v>2.17</v>
      </c>
      <c r="K3585" t="s">
        <v>102</v>
      </c>
      <c r="L3585">
        <v>1</v>
      </c>
      <c r="M3585">
        <f t="shared" si="84"/>
        <v>0.09</v>
      </c>
      <c r="N3585" t="s">
        <v>127</v>
      </c>
      <c r="O3585" t="s">
        <v>2544</v>
      </c>
      <c r="P3585" t="s">
        <v>2543</v>
      </c>
      <c r="Q3585" t="s">
        <v>2351</v>
      </c>
      <c r="R3585" t="s">
        <v>2351</v>
      </c>
      <c r="S3585" t="s">
        <v>2351</v>
      </c>
      <c r="T3585" t="s">
        <v>396</v>
      </c>
      <c r="U3585" s="1" t="s">
        <v>2418</v>
      </c>
      <c r="X3585" t="s">
        <v>161</v>
      </c>
      <c r="Y3585" t="s">
        <v>2272</v>
      </c>
      <c r="Z3585" t="s">
        <v>2272</v>
      </c>
      <c r="AA3585" t="s">
        <v>2272</v>
      </c>
      <c r="AB3585" t="s">
        <v>2272</v>
      </c>
      <c r="AC3585" t="s">
        <v>162</v>
      </c>
      <c r="AD3585" t="s">
        <v>2272</v>
      </c>
      <c r="AF3585" t="s">
        <v>49</v>
      </c>
      <c r="AL3585" t="s">
        <v>49</v>
      </c>
      <c r="AM3585" t="s">
        <v>2545</v>
      </c>
      <c r="AN3585" t="s">
        <v>166</v>
      </c>
    </row>
    <row r="3586" spans="1:45" x14ac:dyDescent="0.2">
      <c r="A3586" t="s">
        <v>1922</v>
      </c>
      <c r="B3586" t="s">
        <v>1923</v>
      </c>
      <c r="C3586">
        <v>2009</v>
      </c>
      <c r="D3586" t="s">
        <v>811</v>
      </c>
      <c r="F3586" t="s">
        <v>53</v>
      </c>
      <c r="G3586" s="1" t="s">
        <v>86</v>
      </c>
      <c r="H3586" t="s">
        <v>350</v>
      </c>
      <c r="I3586" t="s">
        <v>1590</v>
      </c>
      <c r="J3586">
        <v>2.17</v>
      </c>
      <c r="K3586" t="s">
        <v>102</v>
      </c>
      <c r="L3586">
        <v>1</v>
      </c>
      <c r="M3586">
        <f t="shared" si="84"/>
        <v>0.09</v>
      </c>
      <c r="N3586" t="s">
        <v>128</v>
      </c>
      <c r="O3586" t="s">
        <v>1553</v>
      </c>
      <c r="P3586" t="s">
        <v>832</v>
      </c>
      <c r="Q3586" s="1" t="s">
        <v>2276</v>
      </c>
      <c r="R3586" s="1" t="s">
        <v>669</v>
      </c>
      <c r="S3586" s="1" t="s">
        <v>168</v>
      </c>
      <c r="T3586" t="s">
        <v>396</v>
      </c>
      <c r="U3586" s="1" t="s">
        <v>2417</v>
      </c>
      <c r="X3586" t="s">
        <v>161</v>
      </c>
      <c r="Y3586" t="s">
        <v>2272</v>
      </c>
      <c r="Z3586" t="s">
        <v>2272</v>
      </c>
      <c r="AA3586" t="s">
        <v>2272</v>
      </c>
      <c r="AB3586" t="s">
        <v>2272</v>
      </c>
      <c r="AC3586" t="s">
        <v>162</v>
      </c>
      <c r="AD3586" t="s">
        <v>2272</v>
      </c>
      <c r="AF3586" t="s">
        <v>49</v>
      </c>
      <c r="AL3586" t="s">
        <v>49</v>
      </c>
      <c r="AM3586" t="s">
        <v>2545</v>
      </c>
      <c r="AN3586" t="s">
        <v>166</v>
      </c>
    </row>
    <row r="3587" spans="1:45" x14ac:dyDescent="0.2">
      <c r="A3587" t="s">
        <v>1922</v>
      </c>
      <c r="B3587" t="s">
        <v>1923</v>
      </c>
      <c r="C3587">
        <v>2009</v>
      </c>
      <c r="D3587" t="s">
        <v>811</v>
      </c>
      <c r="F3587" t="s">
        <v>53</v>
      </c>
      <c r="G3587" s="1" t="s">
        <v>86</v>
      </c>
      <c r="H3587" t="s">
        <v>350</v>
      </c>
      <c r="I3587" t="s">
        <v>1590</v>
      </c>
      <c r="J3587">
        <v>2.17</v>
      </c>
      <c r="K3587" t="s">
        <v>102</v>
      </c>
      <c r="L3587">
        <v>1</v>
      </c>
      <c r="M3587">
        <f t="shared" si="84"/>
        <v>0.09</v>
      </c>
      <c r="N3587" t="s">
        <v>123</v>
      </c>
      <c r="O3587" t="s">
        <v>123</v>
      </c>
      <c r="P3587" t="s">
        <v>182</v>
      </c>
      <c r="Q3587" s="1" t="s">
        <v>2281</v>
      </c>
      <c r="R3587" s="1" t="s">
        <v>2282</v>
      </c>
      <c r="S3587" s="1" t="s">
        <v>123</v>
      </c>
      <c r="T3587" t="s">
        <v>396</v>
      </c>
      <c r="U3587" s="1" t="s">
        <v>2399</v>
      </c>
      <c r="X3587" t="s">
        <v>161</v>
      </c>
      <c r="Y3587" t="s">
        <v>2272</v>
      </c>
      <c r="Z3587" t="s">
        <v>2272</v>
      </c>
      <c r="AA3587" t="s">
        <v>2272</v>
      </c>
      <c r="AB3587" t="s">
        <v>2272</v>
      </c>
      <c r="AC3587" t="s">
        <v>162</v>
      </c>
      <c r="AD3587" t="s">
        <v>2272</v>
      </c>
      <c r="AF3587" t="s">
        <v>49</v>
      </c>
      <c r="AL3587" t="s">
        <v>49</v>
      </c>
      <c r="AM3587" t="s">
        <v>2545</v>
      </c>
      <c r="AN3587" t="s">
        <v>166</v>
      </c>
    </row>
    <row r="3588" spans="1:45" x14ac:dyDescent="0.2">
      <c r="A3588" t="s">
        <v>1922</v>
      </c>
      <c r="B3588" t="s">
        <v>1923</v>
      </c>
      <c r="C3588">
        <v>2009</v>
      </c>
      <c r="D3588" t="s">
        <v>811</v>
      </c>
      <c r="F3588" t="s">
        <v>53</v>
      </c>
      <c r="G3588" s="1" t="s">
        <v>86</v>
      </c>
      <c r="H3588" t="s">
        <v>350</v>
      </c>
      <c r="I3588" t="s">
        <v>1590</v>
      </c>
      <c r="J3588">
        <v>2.17</v>
      </c>
      <c r="K3588" t="s">
        <v>102</v>
      </c>
      <c r="L3588">
        <v>1</v>
      </c>
      <c r="M3588">
        <f t="shared" si="84"/>
        <v>0.09</v>
      </c>
      <c r="N3588" t="s">
        <v>127</v>
      </c>
      <c r="O3588" t="s">
        <v>2544</v>
      </c>
      <c r="P3588" t="s">
        <v>2543</v>
      </c>
      <c r="Q3588" t="s">
        <v>2351</v>
      </c>
      <c r="R3588" t="s">
        <v>2351</v>
      </c>
      <c r="S3588" t="s">
        <v>2351</v>
      </c>
      <c r="T3588" t="s">
        <v>421</v>
      </c>
      <c r="U3588" t="s">
        <v>421</v>
      </c>
      <c r="X3588" t="s">
        <v>161</v>
      </c>
      <c r="Y3588" t="s">
        <v>2272</v>
      </c>
      <c r="Z3588" t="s">
        <v>2272</v>
      </c>
      <c r="AA3588" t="s">
        <v>2272</v>
      </c>
      <c r="AB3588" t="s">
        <v>2272</v>
      </c>
      <c r="AC3588" t="s">
        <v>162</v>
      </c>
      <c r="AD3588" t="s">
        <v>2272</v>
      </c>
      <c r="AF3588" t="s">
        <v>49</v>
      </c>
      <c r="AL3588" t="s">
        <v>49</v>
      </c>
      <c r="AM3588" t="s">
        <v>2545</v>
      </c>
      <c r="AN3588" t="s">
        <v>166</v>
      </c>
    </row>
    <row r="3589" spans="1:45" x14ac:dyDescent="0.2">
      <c r="A3589" t="s">
        <v>1922</v>
      </c>
      <c r="B3589" t="s">
        <v>1923</v>
      </c>
      <c r="C3589">
        <v>2009</v>
      </c>
      <c r="D3589" t="s">
        <v>811</v>
      </c>
      <c r="F3589" t="s">
        <v>53</v>
      </c>
      <c r="G3589" s="1" t="s">
        <v>86</v>
      </c>
      <c r="H3589" t="s">
        <v>350</v>
      </c>
      <c r="I3589" t="s">
        <v>1590</v>
      </c>
      <c r="J3589">
        <v>2.17</v>
      </c>
      <c r="K3589" t="s">
        <v>102</v>
      </c>
      <c r="L3589">
        <v>1</v>
      </c>
      <c r="M3589">
        <f t="shared" si="84"/>
        <v>0.09</v>
      </c>
      <c r="N3589" t="s">
        <v>128</v>
      </c>
      <c r="O3589" t="s">
        <v>1553</v>
      </c>
      <c r="P3589" t="s">
        <v>832</v>
      </c>
      <c r="Q3589" s="1" t="s">
        <v>2276</v>
      </c>
      <c r="R3589" s="1" t="s">
        <v>669</v>
      </c>
      <c r="S3589" s="1" t="s">
        <v>168</v>
      </c>
      <c r="T3589" t="s">
        <v>421</v>
      </c>
      <c r="U3589" t="s">
        <v>421</v>
      </c>
      <c r="X3589" t="s">
        <v>161</v>
      </c>
      <c r="Y3589" t="s">
        <v>2272</v>
      </c>
      <c r="Z3589" t="s">
        <v>2272</v>
      </c>
      <c r="AA3589" t="s">
        <v>2272</v>
      </c>
      <c r="AB3589" t="s">
        <v>2272</v>
      </c>
      <c r="AC3589" t="s">
        <v>162</v>
      </c>
      <c r="AD3589" t="s">
        <v>2272</v>
      </c>
      <c r="AF3589" t="s">
        <v>49</v>
      </c>
      <c r="AL3589" t="s">
        <v>49</v>
      </c>
      <c r="AM3589" t="s">
        <v>2545</v>
      </c>
      <c r="AN3589" t="s">
        <v>166</v>
      </c>
    </row>
    <row r="3590" spans="1:45" x14ac:dyDescent="0.2">
      <c r="A3590" t="s">
        <v>1922</v>
      </c>
      <c r="B3590" t="s">
        <v>1923</v>
      </c>
      <c r="C3590">
        <v>2009</v>
      </c>
      <c r="D3590" t="s">
        <v>811</v>
      </c>
      <c r="F3590" t="s">
        <v>53</v>
      </c>
      <c r="G3590" s="1" t="s">
        <v>86</v>
      </c>
      <c r="H3590" t="s">
        <v>350</v>
      </c>
      <c r="I3590" t="s">
        <v>1590</v>
      </c>
      <c r="J3590">
        <v>2.17</v>
      </c>
      <c r="K3590" t="s">
        <v>102</v>
      </c>
      <c r="L3590">
        <v>1</v>
      </c>
      <c r="M3590">
        <f t="shared" si="84"/>
        <v>0.09</v>
      </c>
      <c r="N3590" t="s">
        <v>123</v>
      </c>
      <c r="O3590" t="s">
        <v>123</v>
      </c>
      <c r="P3590" t="s">
        <v>182</v>
      </c>
      <c r="Q3590" s="1" t="s">
        <v>2281</v>
      </c>
      <c r="R3590" s="1" t="s">
        <v>2282</v>
      </c>
      <c r="S3590" s="1" t="s">
        <v>123</v>
      </c>
      <c r="T3590" t="s">
        <v>421</v>
      </c>
      <c r="U3590" t="s">
        <v>421</v>
      </c>
      <c r="X3590" t="s">
        <v>161</v>
      </c>
      <c r="Y3590" t="s">
        <v>2272</v>
      </c>
      <c r="Z3590" t="s">
        <v>2272</v>
      </c>
      <c r="AA3590" t="s">
        <v>2272</v>
      </c>
      <c r="AB3590" t="s">
        <v>2272</v>
      </c>
      <c r="AC3590" t="s">
        <v>162</v>
      </c>
      <c r="AD3590" t="s">
        <v>2272</v>
      </c>
      <c r="AF3590" t="s">
        <v>49</v>
      </c>
      <c r="AL3590" t="s">
        <v>49</v>
      </c>
      <c r="AM3590" t="s">
        <v>2545</v>
      </c>
      <c r="AN3590" t="s">
        <v>166</v>
      </c>
    </row>
    <row r="3591" spans="1:45" x14ac:dyDescent="0.2">
      <c r="A3591" t="s">
        <v>1922</v>
      </c>
      <c r="B3591" t="s">
        <v>1923</v>
      </c>
      <c r="C3591">
        <v>2009</v>
      </c>
      <c r="D3591" t="s">
        <v>811</v>
      </c>
      <c r="F3591" t="s">
        <v>53</v>
      </c>
      <c r="G3591" s="1" t="s">
        <v>86</v>
      </c>
      <c r="H3591" t="s">
        <v>350</v>
      </c>
      <c r="I3591" t="s">
        <v>1590</v>
      </c>
      <c r="J3591">
        <v>2.17</v>
      </c>
      <c r="K3591" t="s">
        <v>102</v>
      </c>
      <c r="L3591">
        <v>1</v>
      </c>
      <c r="M3591">
        <f t="shared" si="84"/>
        <v>0.09</v>
      </c>
      <c r="N3591" t="s">
        <v>128</v>
      </c>
      <c r="O3591" t="s">
        <v>1553</v>
      </c>
      <c r="P3591" t="s">
        <v>832</v>
      </c>
      <c r="Q3591" s="1" t="s">
        <v>2276</v>
      </c>
      <c r="R3591" s="1" t="s">
        <v>669</v>
      </c>
      <c r="S3591" s="1" t="s">
        <v>168</v>
      </c>
      <c r="X3591" t="s">
        <v>211</v>
      </c>
      <c r="Y3591" t="s">
        <v>2279</v>
      </c>
      <c r="Z3591" t="s">
        <v>2280</v>
      </c>
      <c r="AA3591" t="s">
        <v>2358</v>
      </c>
      <c r="AB3591" t="s">
        <v>2290</v>
      </c>
      <c r="AC3591" t="s">
        <v>152</v>
      </c>
      <c r="AD3591" t="s">
        <v>2278</v>
      </c>
      <c r="AF3591" t="s">
        <v>49</v>
      </c>
      <c r="AL3591" t="s">
        <v>49</v>
      </c>
      <c r="AM3591" t="s">
        <v>2546</v>
      </c>
      <c r="AN3591" t="s">
        <v>166</v>
      </c>
    </row>
    <row r="3592" spans="1:45" x14ac:dyDescent="0.2">
      <c r="A3592" t="s">
        <v>1922</v>
      </c>
      <c r="B3592" t="s">
        <v>1923</v>
      </c>
      <c r="C3592">
        <v>2009</v>
      </c>
      <c r="D3592" t="s">
        <v>811</v>
      </c>
      <c r="F3592" t="s">
        <v>53</v>
      </c>
      <c r="G3592" s="1" t="s">
        <v>86</v>
      </c>
      <c r="H3592" t="s">
        <v>350</v>
      </c>
      <c r="I3592" t="s">
        <v>1590</v>
      </c>
      <c r="J3592">
        <v>2.17</v>
      </c>
      <c r="K3592" t="s">
        <v>102</v>
      </c>
      <c r="L3592">
        <v>1</v>
      </c>
      <c r="M3592">
        <f t="shared" si="84"/>
        <v>0.09</v>
      </c>
      <c r="N3592" t="s">
        <v>123</v>
      </c>
      <c r="O3592" t="s">
        <v>123</v>
      </c>
      <c r="P3592" t="s">
        <v>182</v>
      </c>
      <c r="Q3592" s="1" t="s">
        <v>2281</v>
      </c>
      <c r="R3592" s="1" t="s">
        <v>2282</v>
      </c>
      <c r="S3592" s="1" t="s">
        <v>123</v>
      </c>
      <c r="X3592" t="s">
        <v>211</v>
      </c>
      <c r="Y3592" t="s">
        <v>2279</v>
      </c>
      <c r="Z3592" t="s">
        <v>2280</v>
      </c>
      <c r="AA3592" t="s">
        <v>2358</v>
      </c>
      <c r="AB3592" t="s">
        <v>2290</v>
      </c>
      <c r="AC3592" t="s">
        <v>152</v>
      </c>
      <c r="AD3592" t="s">
        <v>2278</v>
      </c>
      <c r="AF3592" t="s">
        <v>49</v>
      </c>
      <c r="AL3592" t="s">
        <v>49</v>
      </c>
      <c r="AM3592" t="s">
        <v>2546</v>
      </c>
      <c r="AN3592" t="s">
        <v>166</v>
      </c>
    </row>
    <row r="3593" spans="1:45" x14ac:dyDescent="0.2">
      <c r="A3593" t="s">
        <v>1922</v>
      </c>
      <c r="B3593" t="s">
        <v>1923</v>
      </c>
      <c r="C3593">
        <v>2009</v>
      </c>
      <c r="D3593" t="s">
        <v>811</v>
      </c>
      <c r="F3593" t="s">
        <v>53</v>
      </c>
      <c r="G3593" s="1" t="s">
        <v>86</v>
      </c>
      <c r="H3593" t="s">
        <v>350</v>
      </c>
      <c r="I3593" t="s">
        <v>1590</v>
      </c>
      <c r="J3593">
        <v>2.17</v>
      </c>
      <c r="K3593" t="s">
        <v>102</v>
      </c>
      <c r="L3593">
        <v>1</v>
      </c>
      <c r="M3593">
        <f t="shared" si="84"/>
        <v>0.09</v>
      </c>
      <c r="N3593" t="s">
        <v>127</v>
      </c>
      <c r="O3593" t="s">
        <v>2544</v>
      </c>
      <c r="P3593" t="s">
        <v>2543</v>
      </c>
      <c r="Q3593" t="s">
        <v>2351</v>
      </c>
      <c r="R3593" t="s">
        <v>2351</v>
      </c>
      <c r="S3593" t="s">
        <v>2351</v>
      </c>
      <c r="T3593" t="s">
        <v>396</v>
      </c>
      <c r="U3593" s="1" t="s">
        <v>2418</v>
      </c>
      <c r="X3593" t="s">
        <v>161</v>
      </c>
      <c r="Y3593" t="s">
        <v>2272</v>
      </c>
      <c r="Z3593" t="s">
        <v>2272</v>
      </c>
      <c r="AA3593" t="s">
        <v>2272</v>
      </c>
      <c r="AB3593" t="s">
        <v>2272</v>
      </c>
      <c r="AC3593" t="s">
        <v>162</v>
      </c>
      <c r="AD3593" t="s">
        <v>2272</v>
      </c>
      <c r="AF3593" t="s">
        <v>49</v>
      </c>
      <c r="AL3593" t="s">
        <v>49</v>
      </c>
      <c r="AM3593" t="s">
        <v>2546</v>
      </c>
      <c r="AN3593" t="s">
        <v>166</v>
      </c>
    </row>
    <row r="3594" spans="1:45" x14ac:dyDescent="0.2">
      <c r="A3594" t="s">
        <v>1922</v>
      </c>
      <c r="B3594" t="s">
        <v>1923</v>
      </c>
      <c r="C3594">
        <v>2009</v>
      </c>
      <c r="D3594" t="s">
        <v>811</v>
      </c>
      <c r="F3594" t="s">
        <v>53</v>
      </c>
      <c r="G3594" s="1" t="s">
        <v>86</v>
      </c>
      <c r="H3594" t="s">
        <v>350</v>
      </c>
      <c r="I3594" t="s">
        <v>1590</v>
      </c>
      <c r="J3594">
        <v>2.17</v>
      </c>
      <c r="K3594" t="s">
        <v>102</v>
      </c>
      <c r="L3594">
        <v>1</v>
      </c>
      <c r="M3594">
        <f t="shared" si="84"/>
        <v>0.09</v>
      </c>
      <c r="N3594" t="s">
        <v>128</v>
      </c>
      <c r="O3594" t="s">
        <v>1553</v>
      </c>
      <c r="P3594" t="s">
        <v>832</v>
      </c>
      <c r="Q3594" s="1" t="s">
        <v>2276</v>
      </c>
      <c r="R3594" s="1" t="s">
        <v>669</v>
      </c>
      <c r="S3594" s="1" t="s">
        <v>168</v>
      </c>
      <c r="T3594" t="s">
        <v>396</v>
      </c>
      <c r="U3594" s="1" t="s">
        <v>2417</v>
      </c>
      <c r="X3594" t="s">
        <v>161</v>
      </c>
      <c r="Y3594" t="s">
        <v>2272</v>
      </c>
      <c r="Z3594" t="s">
        <v>2272</v>
      </c>
      <c r="AA3594" t="s">
        <v>2272</v>
      </c>
      <c r="AB3594" t="s">
        <v>2272</v>
      </c>
      <c r="AC3594" t="s">
        <v>162</v>
      </c>
      <c r="AD3594" t="s">
        <v>2272</v>
      </c>
      <c r="AF3594" t="s">
        <v>49</v>
      </c>
      <c r="AL3594" t="s">
        <v>49</v>
      </c>
      <c r="AM3594" t="s">
        <v>2546</v>
      </c>
      <c r="AN3594" t="s">
        <v>166</v>
      </c>
    </row>
    <row r="3595" spans="1:45" x14ac:dyDescent="0.2">
      <c r="A3595" t="s">
        <v>1922</v>
      </c>
      <c r="B3595" t="s">
        <v>1923</v>
      </c>
      <c r="C3595">
        <v>2009</v>
      </c>
      <c r="D3595" t="s">
        <v>811</v>
      </c>
      <c r="F3595" t="s">
        <v>53</v>
      </c>
      <c r="G3595" s="1" t="s">
        <v>86</v>
      </c>
      <c r="H3595" t="s">
        <v>350</v>
      </c>
      <c r="I3595" t="s">
        <v>1590</v>
      </c>
      <c r="J3595">
        <v>2.17</v>
      </c>
      <c r="K3595" t="s">
        <v>102</v>
      </c>
      <c r="L3595">
        <v>1</v>
      </c>
      <c r="M3595">
        <f t="shared" si="84"/>
        <v>0.09</v>
      </c>
      <c r="N3595" t="s">
        <v>123</v>
      </c>
      <c r="O3595" t="s">
        <v>123</v>
      </c>
      <c r="P3595" t="s">
        <v>182</v>
      </c>
      <c r="Q3595" s="1" t="s">
        <v>2281</v>
      </c>
      <c r="R3595" s="1" t="s">
        <v>2282</v>
      </c>
      <c r="S3595" s="1" t="s">
        <v>123</v>
      </c>
      <c r="T3595" t="s">
        <v>396</v>
      </c>
      <c r="U3595" s="1" t="s">
        <v>2399</v>
      </c>
      <c r="X3595" t="s">
        <v>161</v>
      </c>
      <c r="Y3595" t="s">
        <v>2272</v>
      </c>
      <c r="Z3595" t="s">
        <v>2272</v>
      </c>
      <c r="AA3595" t="s">
        <v>2272</v>
      </c>
      <c r="AB3595" t="s">
        <v>2272</v>
      </c>
      <c r="AC3595" t="s">
        <v>162</v>
      </c>
      <c r="AD3595" t="s">
        <v>2272</v>
      </c>
      <c r="AF3595" t="s">
        <v>49</v>
      </c>
      <c r="AL3595" t="s">
        <v>49</v>
      </c>
      <c r="AM3595" t="s">
        <v>2546</v>
      </c>
      <c r="AN3595" t="s">
        <v>166</v>
      </c>
    </row>
    <row r="3596" spans="1:45" x14ac:dyDescent="0.2">
      <c r="A3596" t="s">
        <v>1922</v>
      </c>
      <c r="B3596" t="s">
        <v>1923</v>
      </c>
      <c r="C3596">
        <v>2009</v>
      </c>
      <c r="D3596" t="s">
        <v>811</v>
      </c>
      <c r="F3596" t="s">
        <v>53</v>
      </c>
      <c r="G3596" s="1" t="s">
        <v>86</v>
      </c>
      <c r="H3596" t="s">
        <v>350</v>
      </c>
      <c r="I3596" t="s">
        <v>1590</v>
      </c>
      <c r="J3596">
        <v>2.17</v>
      </c>
      <c r="K3596" t="s">
        <v>102</v>
      </c>
      <c r="L3596">
        <v>1</v>
      </c>
      <c r="M3596">
        <f t="shared" si="84"/>
        <v>0.09</v>
      </c>
      <c r="N3596" t="s">
        <v>127</v>
      </c>
      <c r="O3596" t="s">
        <v>2544</v>
      </c>
      <c r="P3596" t="s">
        <v>2543</v>
      </c>
      <c r="Q3596" t="s">
        <v>2351</v>
      </c>
      <c r="R3596" t="s">
        <v>2351</v>
      </c>
      <c r="S3596" t="s">
        <v>2351</v>
      </c>
      <c r="T3596" t="s">
        <v>421</v>
      </c>
      <c r="U3596" t="s">
        <v>421</v>
      </c>
      <c r="X3596" t="s">
        <v>161</v>
      </c>
      <c r="Y3596" t="s">
        <v>2272</v>
      </c>
      <c r="Z3596" t="s">
        <v>2272</v>
      </c>
      <c r="AA3596" t="s">
        <v>2272</v>
      </c>
      <c r="AB3596" t="s">
        <v>2272</v>
      </c>
      <c r="AC3596" t="s">
        <v>162</v>
      </c>
      <c r="AD3596" t="s">
        <v>2272</v>
      </c>
      <c r="AF3596" t="s">
        <v>49</v>
      </c>
      <c r="AL3596" t="s">
        <v>49</v>
      </c>
      <c r="AM3596" t="s">
        <v>2546</v>
      </c>
      <c r="AN3596" t="s">
        <v>166</v>
      </c>
    </row>
    <row r="3597" spans="1:45" x14ac:dyDescent="0.2">
      <c r="A3597" t="s">
        <v>1922</v>
      </c>
      <c r="B3597" t="s">
        <v>1923</v>
      </c>
      <c r="C3597">
        <v>2009</v>
      </c>
      <c r="D3597" t="s">
        <v>811</v>
      </c>
      <c r="F3597" t="s">
        <v>53</v>
      </c>
      <c r="G3597" s="1" t="s">
        <v>86</v>
      </c>
      <c r="H3597" t="s">
        <v>350</v>
      </c>
      <c r="I3597" t="s">
        <v>1590</v>
      </c>
      <c r="J3597">
        <v>2.17</v>
      </c>
      <c r="K3597" t="s">
        <v>102</v>
      </c>
      <c r="L3597">
        <v>1</v>
      </c>
      <c r="M3597">
        <f t="shared" si="84"/>
        <v>0.09</v>
      </c>
      <c r="N3597" t="s">
        <v>128</v>
      </c>
      <c r="O3597" t="s">
        <v>1553</v>
      </c>
      <c r="P3597" t="s">
        <v>832</v>
      </c>
      <c r="Q3597" s="1" t="s">
        <v>2276</v>
      </c>
      <c r="R3597" s="1" t="s">
        <v>669</v>
      </c>
      <c r="S3597" s="1" t="s">
        <v>168</v>
      </c>
      <c r="T3597" t="s">
        <v>421</v>
      </c>
      <c r="U3597" t="s">
        <v>421</v>
      </c>
      <c r="X3597" t="s">
        <v>161</v>
      </c>
      <c r="Y3597" t="s">
        <v>2272</v>
      </c>
      <c r="Z3597" t="s">
        <v>2272</v>
      </c>
      <c r="AA3597" t="s">
        <v>2272</v>
      </c>
      <c r="AB3597" t="s">
        <v>2272</v>
      </c>
      <c r="AC3597" t="s">
        <v>162</v>
      </c>
      <c r="AD3597" t="s">
        <v>2272</v>
      </c>
      <c r="AF3597" t="s">
        <v>49</v>
      </c>
      <c r="AL3597" t="s">
        <v>49</v>
      </c>
      <c r="AM3597" t="s">
        <v>2546</v>
      </c>
      <c r="AN3597" t="s">
        <v>166</v>
      </c>
    </row>
    <row r="3598" spans="1:45" x14ac:dyDescent="0.2">
      <c r="A3598" t="s">
        <v>1922</v>
      </c>
      <c r="B3598" t="s">
        <v>1923</v>
      </c>
      <c r="C3598">
        <v>2009</v>
      </c>
      <c r="D3598" t="s">
        <v>811</v>
      </c>
      <c r="F3598" t="s">
        <v>53</v>
      </c>
      <c r="G3598" s="1" t="s">
        <v>86</v>
      </c>
      <c r="H3598" t="s">
        <v>350</v>
      </c>
      <c r="I3598" t="s">
        <v>1590</v>
      </c>
      <c r="J3598">
        <v>2.17</v>
      </c>
      <c r="K3598" t="s">
        <v>102</v>
      </c>
      <c r="L3598">
        <v>1</v>
      </c>
      <c r="M3598">
        <f t="shared" si="84"/>
        <v>0.09</v>
      </c>
      <c r="N3598" t="s">
        <v>123</v>
      </c>
      <c r="O3598" t="s">
        <v>123</v>
      </c>
      <c r="P3598" t="s">
        <v>182</v>
      </c>
      <c r="Q3598" s="1" t="s">
        <v>2281</v>
      </c>
      <c r="R3598" s="1" t="s">
        <v>2282</v>
      </c>
      <c r="S3598" s="1" t="s">
        <v>123</v>
      </c>
      <c r="T3598" t="s">
        <v>421</v>
      </c>
      <c r="U3598" t="s">
        <v>421</v>
      </c>
      <c r="X3598" t="s">
        <v>161</v>
      </c>
      <c r="Y3598" t="s">
        <v>2272</v>
      </c>
      <c r="Z3598" t="s">
        <v>2272</v>
      </c>
      <c r="AA3598" t="s">
        <v>2272</v>
      </c>
      <c r="AB3598" t="s">
        <v>2272</v>
      </c>
      <c r="AC3598" t="s">
        <v>162</v>
      </c>
      <c r="AD3598" t="s">
        <v>2272</v>
      </c>
      <c r="AF3598" t="s">
        <v>49</v>
      </c>
      <c r="AL3598" t="s">
        <v>49</v>
      </c>
      <c r="AM3598" t="s">
        <v>2546</v>
      </c>
      <c r="AN3598" t="s">
        <v>166</v>
      </c>
    </row>
    <row r="3599" spans="1:45" x14ac:dyDescent="0.2">
      <c r="A3599" t="s">
        <v>1924</v>
      </c>
      <c r="B3599" t="s">
        <v>1925</v>
      </c>
      <c r="C3599">
        <v>2009</v>
      </c>
      <c r="D3599" t="s">
        <v>47</v>
      </c>
      <c r="Q3599" s="1" t="s">
        <v>2272</v>
      </c>
      <c r="R3599" s="1" t="s">
        <v>2272</v>
      </c>
      <c r="S3599" s="1" t="s">
        <v>2272</v>
      </c>
      <c r="Y3599" t="s">
        <v>2272</v>
      </c>
      <c r="Z3599" t="s">
        <v>2272</v>
      </c>
      <c r="AA3599" t="s">
        <v>2272</v>
      </c>
      <c r="AB3599" t="s">
        <v>2272</v>
      </c>
      <c r="AD3599" t="s">
        <v>2272</v>
      </c>
      <c r="AR3599" t="s">
        <v>144</v>
      </c>
      <c r="AS3599" t="s">
        <v>2583</v>
      </c>
    </row>
    <row r="3600" spans="1:45" x14ac:dyDescent="0.2">
      <c r="A3600" t="s">
        <v>1926</v>
      </c>
      <c r="B3600" t="s">
        <v>1927</v>
      </c>
      <c r="C3600">
        <v>2009</v>
      </c>
      <c r="D3600" t="s">
        <v>44</v>
      </c>
      <c r="F3600" t="s">
        <v>1877</v>
      </c>
      <c r="G3600" s="1" t="s">
        <v>87</v>
      </c>
      <c r="H3600" t="s">
        <v>350</v>
      </c>
      <c r="I3600">
        <v>2006</v>
      </c>
      <c r="K3600" t="s">
        <v>101</v>
      </c>
      <c r="L3600">
        <v>250</v>
      </c>
      <c r="M3600">
        <v>10000</v>
      </c>
      <c r="N3600" t="s">
        <v>121</v>
      </c>
      <c r="O3600" t="s">
        <v>121</v>
      </c>
      <c r="P3600" t="s">
        <v>1934</v>
      </c>
      <c r="Q3600" s="1" t="s">
        <v>2292</v>
      </c>
      <c r="R3600" s="1" t="s">
        <v>264</v>
      </c>
      <c r="S3600" s="1" t="s">
        <v>264</v>
      </c>
      <c r="X3600" t="s">
        <v>1928</v>
      </c>
      <c r="Y3600" t="s">
        <v>2279</v>
      </c>
      <c r="Z3600" t="s">
        <v>2280</v>
      </c>
      <c r="AA3600" t="s">
        <v>2272</v>
      </c>
      <c r="AB3600" t="s">
        <v>2272</v>
      </c>
      <c r="AC3600" t="s">
        <v>162</v>
      </c>
      <c r="AD3600" t="s">
        <v>2278</v>
      </c>
    </row>
    <row r="3601" spans="1:41" x14ac:dyDescent="0.2">
      <c r="A3601" t="s">
        <v>1926</v>
      </c>
      <c r="B3601" t="s">
        <v>1927</v>
      </c>
      <c r="C3601">
        <v>2009</v>
      </c>
      <c r="D3601" t="s">
        <v>44</v>
      </c>
      <c r="F3601" t="s">
        <v>1877</v>
      </c>
      <c r="G3601" s="1" t="s">
        <v>87</v>
      </c>
      <c r="H3601" t="s">
        <v>350</v>
      </c>
      <c r="I3601">
        <v>2006</v>
      </c>
      <c r="K3601" t="s">
        <v>101</v>
      </c>
      <c r="L3601">
        <v>250</v>
      </c>
      <c r="M3601">
        <v>0.5</v>
      </c>
      <c r="N3601" t="s">
        <v>121</v>
      </c>
      <c r="O3601" t="s">
        <v>121</v>
      </c>
      <c r="P3601" t="s">
        <v>1934</v>
      </c>
      <c r="Q3601" s="1" t="s">
        <v>2292</v>
      </c>
      <c r="R3601" s="1" t="s">
        <v>264</v>
      </c>
      <c r="S3601" s="1" t="s">
        <v>264</v>
      </c>
      <c r="X3601" t="s">
        <v>1929</v>
      </c>
      <c r="Y3601" t="s">
        <v>2279</v>
      </c>
      <c r="Z3601" t="s">
        <v>528</v>
      </c>
      <c r="AA3601" t="s">
        <v>2360</v>
      </c>
      <c r="AB3601" t="s">
        <v>2581</v>
      </c>
      <c r="AC3601" t="s">
        <v>152</v>
      </c>
      <c r="AD3601" t="s">
        <v>2278</v>
      </c>
      <c r="AH3601" t="s">
        <v>49</v>
      </c>
      <c r="AI3601" t="s">
        <v>49</v>
      </c>
      <c r="AM3601" t="s">
        <v>233</v>
      </c>
      <c r="AN3601" t="s">
        <v>171</v>
      </c>
    </row>
    <row r="3602" spans="1:41" x14ac:dyDescent="0.2">
      <c r="A3602" t="s">
        <v>1926</v>
      </c>
      <c r="B3602" t="s">
        <v>1927</v>
      </c>
      <c r="C3602">
        <v>2009</v>
      </c>
      <c r="D3602" t="s">
        <v>44</v>
      </c>
      <c r="F3602" t="s">
        <v>1877</v>
      </c>
      <c r="G3602" s="1" t="s">
        <v>87</v>
      </c>
      <c r="H3602" t="s">
        <v>350</v>
      </c>
      <c r="I3602">
        <v>2006</v>
      </c>
      <c r="K3602" t="s">
        <v>101</v>
      </c>
      <c r="L3602">
        <v>250</v>
      </c>
      <c r="M3602">
        <v>0.5</v>
      </c>
      <c r="N3602" t="s">
        <v>121</v>
      </c>
      <c r="O3602" t="s">
        <v>121</v>
      </c>
      <c r="P3602" t="s">
        <v>1934</v>
      </c>
      <c r="Q3602" s="1" t="s">
        <v>2292</v>
      </c>
      <c r="R3602" s="1" t="s">
        <v>264</v>
      </c>
      <c r="S3602" s="1" t="s">
        <v>264</v>
      </c>
      <c r="X3602" t="s">
        <v>305</v>
      </c>
      <c r="Y3602" t="s">
        <v>2279</v>
      </c>
      <c r="Z3602" t="s">
        <v>2280</v>
      </c>
      <c r="AA3602" t="s">
        <v>2358</v>
      </c>
      <c r="AB3602" t="s">
        <v>2580</v>
      </c>
      <c r="AC3602" t="s">
        <v>152</v>
      </c>
      <c r="AD3602" t="s">
        <v>2278</v>
      </c>
      <c r="AH3602" t="s">
        <v>49</v>
      </c>
      <c r="AI3602" t="s">
        <v>49</v>
      </c>
      <c r="AM3602" t="s">
        <v>233</v>
      </c>
      <c r="AN3602" t="s">
        <v>171</v>
      </c>
    </row>
    <row r="3603" spans="1:41" x14ac:dyDescent="0.2">
      <c r="A3603" t="s">
        <v>1926</v>
      </c>
      <c r="B3603" t="s">
        <v>1927</v>
      </c>
      <c r="C3603">
        <v>2009</v>
      </c>
      <c r="D3603" t="s">
        <v>44</v>
      </c>
      <c r="F3603" t="s">
        <v>1877</v>
      </c>
      <c r="G3603" s="1" t="s">
        <v>87</v>
      </c>
      <c r="H3603" t="s">
        <v>350</v>
      </c>
      <c r="I3603">
        <v>2006</v>
      </c>
      <c r="K3603" t="s">
        <v>101</v>
      </c>
      <c r="L3603">
        <v>250</v>
      </c>
      <c r="M3603">
        <v>0.5</v>
      </c>
      <c r="N3603" t="s">
        <v>121</v>
      </c>
      <c r="O3603" t="s">
        <v>121</v>
      </c>
      <c r="P3603" t="s">
        <v>1934</v>
      </c>
      <c r="Q3603" s="1" t="s">
        <v>2292</v>
      </c>
      <c r="R3603" s="1" t="s">
        <v>264</v>
      </c>
      <c r="S3603" s="1" t="s">
        <v>264</v>
      </c>
      <c r="X3603" t="s">
        <v>1930</v>
      </c>
      <c r="Y3603" t="s">
        <v>2279</v>
      </c>
      <c r="Z3603" t="s">
        <v>2280</v>
      </c>
      <c r="AA3603" t="s">
        <v>2286</v>
      </c>
      <c r="AB3603" t="s">
        <v>2287</v>
      </c>
      <c r="AC3603" t="s">
        <v>315</v>
      </c>
      <c r="AD3603" t="s">
        <v>2278</v>
      </c>
      <c r="AH3603" t="s">
        <v>49</v>
      </c>
      <c r="AI3603" t="s">
        <v>49</v>
      </c>
      <c r="AM3603" t="s">
        <v>233</v>
      </c>
      <c r="AN3603" t="s">
        <v>171</v>
      </c>
    </row>
    <row r="3604" spans="1:41" x14ac:dyDescent="0.2">
      <c r="A3604" t="s">
        <v>1926</v>
      </c>
      <c r="B3604" t="s">
        <v>1927</v>
      </c>
      <c r="C3604">
        <v>2009</v>
      </c>
      <c r="D3604" t="s">
        <v>44</v>
      </c>
      <c r="F3604" t="s">
        <v>1877</v>
      </c>
      <c r="G3604" s="1" t="s">
        <v>87</v>
      </c>
      <c r="H3604" t="s">
        <v>350</v>
      </c>
      <c r="I3604">
        <v>2006</v>
      </c>
      <c r="K3604" t="s">
        <v>101</v>
      </c>
      <c r="L3604">
        <v>250</v>
      </c>
      <c r="M3604">
        <v>0.5</v>
      </c>
      <c r="N3604" t="s">
        <v>121</v>
      </c>
      <c r="O3604" t="s">
        <v>121</v>
      </c>
      <c r="P3604" t="s">
        <v>1934</v>
      </c>
      <c r="Q3604" s="1" t="s">
        <v>2292</v>
      </c>
      <c r="R3604" s="1" t="s">
        <v>264</v>
      </c>
      <c r="S3604" s="1" t="s">
        <v>264</v>
      </c>
      <c r="X3604" t="s">
        <v>1931</v>
      </c>
      <c r="Y3604" t="s">
        <v>2273</v>
      </c>
      <c r="Z3604" t="s">
        <v>249</v>
      </c>
      <c r="AA3604" t="s">
        <v>2359</v>
      </c>
      <c r="AB3604" t="s">
        <v>1419</v>
      </c>
      <c r="AC3604" t="s">
        <v>152</v>
      </c>
      <c r="AD3604" t="s">
        <v>137</v>
      </c>
    </row>
    <row r="3605" spans="1:41" x14ac:dyDescent="0.2">
      <c r="A3605" t="s">
        <v>1926</v>
      </c>
      <c r="B3605" t="s">
        <v>1927</v>
      </c>
      <c r="C3605">
        <v>2009</v>
      </c>
      <c r="D3605" t="s">
        <v>44</v>
      </c>
      <c r="F3605" t="s">
        <v>1877</v>
      </c>
      <c r="G3605" s="1" t="s">
        <v>87</v>
      </c>
      <c r="H3605" t="s">
        <v>350</v>
      </c>
      <c r="I3605">
        <v>2006</v>
      </c>
      <c r="K3605" t="s">
        <v>101</v>
      </c>
      <c r="L3605">
        <v>250</v>
      </c>
      <c r="M3605">
        <v>0.5</v>
      </c>
      <c r="N3605" t="s">
        <v>121</v>
      </c>
      <c r="O3605" t="s">
        <v>121</v>
      </c>
      <c r="P3605" t="s">
        <v>1934</v>
      </c>
      <c r="Q3605" s="1" t="s">
        <v>2292</v>
      </c>
      <c r="R3605" s="1" t="s">
        <v>264</v>
      </c>
      <c r="S3605" s="1" t="s">
        <v>264</v>
      </c>
      <c r="X3605" t="s">
        <v>1932</v>
      </c>
      <c r="Y3605" t="s">
        <v>2273</v>
      </c>
      <c r="Z3605" t="s">
        <v>249</v>
      </c>
      <c r="AA3605" t="s">
        <v>2274</v>
      </c>
      <c r="AB3605" t="s">
        <v>2283</v>
      </c>
      <c r="AC3605" t="s">
        <v>162</v>
      </c>
      <c r="AD3605" t="s">
        <v>2288</v>
      </c>
    </row>
    <row r="3606" spans="1:41" x14ac:dyDescent="0.2">
      <c r="A3606" t="s">
        <v>1926</v>
      </c>
      <c r="B3606" t="s">
        <v>1927</v>
      </c>
      <c r="C3606">
        <v>2009</v>
      </c>
      <c r="D3606" t="s">
        <v>44</v>
      </c>
      <c r="F3606" t="s">
        <v>1877</v>
      </c>
      <c r="G3606" s="1" t="s">
        <v>87</v>
      </c>
      <c r="H3606" t="s">
        <v>350</v>
      </c>
      <c r="I3606">
        <v>2006</v>
      </c>
      <c r="K3606" t="s">
        <v>101</v>
      </c>
      <c r="L3606">
        <v>250</v>
      </c>
      <c r="M3606">
        <v>0.5</v>
      </c>
      <c r="N3606" t="s">
        <v>121</v>
      </c>
      <c r="O3606" t="s">
        <v>121</v>
      </c>
      <c r="P3606" t="s">
        <v>1934</v>
      </c>
      <c r="Q3606" s="1" t="s">
        <v>2292</v>
      </c>
      <c r="R3606" s="1" t="s">
        <v>264</v>
      </c>
      <c r="S3606" s="1" t="s">
        <v>264</v>
      </c>
      <c r="X3606" t="s">
        <v>1933</v>
      </c>
      <c r="Y3606" t="s">
        <v>2273</v>
      </c>
      <c r="Z3606" t="s">
        <v>249</v>
      </c>
      <c r="AA3606" t="s">
        <v>2274</v>
      </c>
      <c r="AB3606" t="s">
        <v>2283</v>
      </c>
      <c r="AC3606" t="s">
        <v>152</v>
      </c>
      <c r="AD3606" t="s">
        <v>137</v>
      </c>
    </row>
    <row r="3607" spans="1:41" x14ac:dyDescent="0.2">
      <c r="A3607" t="s">
        <v>1926</v>
      </c>
      <c r="B3607" t="s">
        <v>1927</v>
      </c>
      <c r="C3607">
        <v>2009</v>
      </c>
      <c r="D3607" t="s">
        <v>44</v>
      </c>
      <c r="F3607" t="s">
        <v>1877</v>
      </c>
      <c r="G3607" s="1" t="s">
        <v>87</v>
      </c>
      <c r="H3607" t="s">
        <v>350</v>
      </c>
      <c r="I3607">
        <v>2006</v>
      </c>
      <c r="K3607" t="s">
        <v>101</v>
      </c>
      <c r="L3607">
        <v>250</v>
      </c>
      <c r="M3607">
        <v>0.5</v>
      </c>
      <c r="N3607" t="s">
        <v>121</v>
      </c>
      <c r="O3607" t="s">
        <v>121</v>
      </c>
      <c r="P3607" t="s">
        <v>1934</v>
      </c>
      <c r="Q3607" s="1" t="s">
        <v>2292</v>
      </c>
      <c r="R3607" s="1" t="s">
        <v>264</v>
      </c>
      <c r="S3607" s="1" t="s">
        <v>264</v>
      </c>
      <c r="X3607" t="s">
        <v>161</v>
      </c>
      <c r="Y3607" t="s">
        <v>2272</v>
      </c>
      <c r="Z3607" t="s">
        <v>2272</v>
      </c>
      <c r="AA3607" t="s">
        <v>2272</v>
      </c>
      <c r="AB3607" t="s">
        <v>2272</v>
      </c>
      <c r="AC3607" t="s">
        <v>162</v>
      </c>
      <c r="AD3607" t="s">
        <v>2272</v>
      </c>
      <c r="AH3607" t="s">
        <v>49</v>
      </c>
      <c r="AI3607" t="s">
        <v>49</v>
      </c>
      <c r="AM3607" t="s">
        <v>233</v>
      </c>
      <c r="AN3607" t="s">
        <v>154</v>
      </c>
    </row>
    <row r="3608" spans="1:41" x14ac:dyDescent="0.2">
      <c r="A3608" t="s">
        <v>1926</v>
      </c>
      <c r="B3608" t="s">
        <v>1927</v>
      </c>
      <c r="C3608">
        <v>2009</v>
      </c>
      <c r="D3608" t="s">
        <v>44</v>
      </c>
      <c r="F3608" t="s">
        <v>1877</v>
      </c>
      <c r="G3608" s="1" t="s">
        <v>87</v>
      </c>
      <c r="H3608" t="s">
        <v>350</v>
      </c>
      <c r="I3608">
        <v>2006</v>
      </c>
      <c r="K3608" t="s">
        <v>101</v>
      </c>
      <c r="L3608">
        <v>250</v>
      </c>
      <c r="M3608">
        <v>0.5</v>
      </c>
      <c r="N3608" t="s">
        <v>121</v>
      </c>
      <c r="O3608" t="s">
        <v>121</v>
      </c>
      <c r="P3608" t="s">
        <v>1934</v>
      </c>
      <c r="Q3608" s="1" t="s">
        <v>2292</v>
      </c>
      <c r="R3608" s="1" t="s">
        <v>264</v>
      </c>
      <c r="S3608" s="1" t="s">
        <v>264</v>
      </c>
      <c r="X3608" t="s">
        <v>161</v>
      </c>
      <c r="Y3608" t="s">
        <v>2272</v>
      </c>
      <c r="Z3608" t="s">
        <v>2272</v>
      </c>
      <c r="AA3608" t="s">
        <v>2272</v>
      </c>
      <c r="AB3608" t="s">
        <v>2272</v>
      </c>
      <c r="AC3608" t="s">
        <v>162</v>
      </c>
      <c r="AD3608" t="s">
        <v>2272</v>
      </c>
      <c r="AH3608" t="s">
        <v>49</v>
      </c>
      <c r="AI3608" t="s">
        <v>49</v>
      </c>
      <c r="AM3608" t="s">
        <v>233</v>
      </c>
      <c r="AN3608" t="s">
        <v>166</v>
      </c>
    </row>
    <row r="3609" spans="1:41" x14ac:dyDescent="0.2">
      <c r="A3609" t="s">
        <v>1926</v>
      </c>
      <c r="B3609" t="s">
        <v>1927</v>
      </c>
      <c r="C3609">
        <v>2009</v>
      </c>
      <c r="D3609" t="s">
        <v>44</v>
      </c>
      <c r="F3609" t="s">
        <v>1877</v>
      </c>
      <c r="G3609" s="1" t="s">
        <v>87</v>
      </c>
      <c r="H3609" t="s">
        <v>350</v>
      </c>
      <c r="I3609">
        <v>2006</v>
      </c>
      <c r="K3609" t="s">
        <v>101</v>
      </c>
      <c r="L3609">
        <v>250</v>
      </c>
      <c r="M3609">
        <v>0.5</v>
      </c>
      <c r="N3609" t="s">
        <v>121</v>
      </c>
      <c r="O3609" t="s">
        <v>121</v>
      </c>
      <c r="P3609" t="s">
        <v>1934</v>
      </c>
      <c r="Q3609" s="1" t="s">
        <v>2292</v>
      </c>
      <c r="R3609" s="1" t="s">
        <v>264</v>
      </c>
      <c r="S3609" s="1" t="s">
        <v>264</v>
      </c>
      <c r="X3609" t="s">
        <v>161</v>
      </c>
      <c r="Y3609" t="s">
        <v>2272</v>
      </c>
      <c r="Z3609" t="s">
        <v>2272</v>
      </c>
      <c r="AA3609" t="s">
        <v>2272</v>
      </c>
      <c r="AB3609" t="s">
        <v>2272</v>
      </c>
      <c r="AC3609" t="s">
        <v>162</v>
      </c>
      <c r="AD3609" t="s">
        <v>2272</v>
      </c>
      <c r="AH3609" t="s">
        <v>49</v>
      </c>
      <c r="AI3609" t="s">
        <v>49</v>
      </c>
      <c r="AM3609" t="s">
        <v>233</v>
      </c>
      <c r="AN3609" t="s">
        <v>171</v>
      </c>
    </row>
    <row r="3610" spans="1:41" x14ac:dyDescent="0.2">
      <c r="A3610" t="s">
        <v>1926</v>
      </c>
      <c r="B3610" t="s">
        <v>1927</v>
      </c>
      <c r="C3610">
        <v>2009</v>
      </c>
      <c r="D3610" t="s">
        <v>44</v>
      </c>
      <c r="F3610" t="s">
        <v>1877</v>
      </c>
      <c r="G3610" s="1" t="s">
        <v>87</v>
      </c>
      <c r="H3610" t="s">
        <v>350</v>
      </c>
      <c r="I3610">
        <v>2006</v>
      </c>
      <c r="K3610" t="s">
        <v>101</v>
      </c>
      <c r="L3610">
        <v>250</v>
      </c>
      <c r="M3610">
        <v>0.5</v>
      </c>
      <c r="N3610" t="s">
        <v>121</v>
      </c>
      <c r="O3610" t="s">
        <v>121</v>
      </c>
      <c r="P3610" t="s">
        <v>1934</v>
      </c>
      <c r="Q3610" s="1" t="s">
        <v>2292</v>
      </c>
      <c r="R3610" s="1" t="s">
        <v>264</v>
      </c>
      <c r="S3610" s="1" t="s">
        <v>264</v>
      </c>
      <c r="X3610" t="s">
        <v>161</v>
      </c>
      <c r="Y3610" t="s">
        <v>2272</v>
      </c>
      <c r="Z3610" t="s">
        <v>2272</v>
      </c>
      <c r="AA3610" t="s">
        <v>2272</v>
      </c>
      <c r="AB3610" t="s">
        <v>2272</v>
      </c>
      <c r="AC3610" t="s">
        <v>162</v>
      </c>
      <c r="AD3610" t="s">
        <v>2272</v>
      </c>
      <c r="AH3610" t="s">
        <v>49</v>
      </c>
      <c r="AI3610" t="s">
        <v>49</v>
      </c>
      <c r="AM3610" t="s">
        <v>233</v>
      </c>
      <c r="AN3610" t="s">
        <v>109</v>
      </c>
      <c r="AO3610" t="s">
        <v>150</v>
      </c>
    </row>
    <row r="3611" spans="1:41" x14ac:dyDescent="0.2">
      <c r="A3611" t="s">
        <v>1926</v>
      </c>
      <c r="B3611" t="s">
        <v>1927</v>
      </c>
      <c r="C3611">
        <v>2009</v>
      </c>
      <c r="D3611" t="s">
        <v>44</v>
      </c>
      <c r="F3611" t="s">
        <v>1877</v>
      </c>
      <c r="G3611" s="1" t="s">
        <v>87</v>
      </c>
      <c r="H3611" t="s">
        <v>350</v>
      </c>
      <c r="I3611">
        <v>2006</v>
      </c>
      <c r="K3611" t="s">
        <v>101</v>
      </c>
      <c r="L3611">
        <v>250</v>
      </c>
      <c r="M3611">
        <v>0.5</v>
      </c>
      <c r="N3611" t="s">
        <v>121</v>
      </c>
      <c r="O3611" t="s">
        <v>121</v>
      </c>
      <c r="P3611" t="s">
        <v>1934</v>
      </c>
      <c r="Q3611" s="1" t="s">
        <v>2292</v>
      </c>
      <c r="R3611" s="1" t="s">
        <v>264</v>
      </c>
      <c r="S3611" s="1" t="s">
        <v>264</v>
      </c>
      <c r="X3611" t="s">
        <v>1929</v>
      </c>
      <c r="Y3611" t="s">
        <v>2279</v>
      </c>
      <c r="Z3611" t="s">
        <v>528</v>
      </c>
      <c r="AA3611" t="s">
        <v>2360</v>
      </c>
      <c r="AB3611" t="s">
        <v>2581</v>
      </c>
      <c r="AC3611" t="s">
        <v>152</v>
      </c>
      <c r="AD3611" t="s">
        <v>2278</v>
      </c>
      <c r="AH3611" t="s">
        <v>49</v>
      </c>
      <c r="AJ3611" t="s">
        <v>49</v>
      </c>
      <c r="AM3611" t="s">
        <v>1935</v>
      </c>
      <c r="AN3611" t="s">
        <v>171</v>
      </c>
    </row>
    <row r="3612" spans="1:41" x14ac:dyDescent="0.2">
      <c r="A3612" t="s">
        <v>1926</v>
      </c>
      <c r="B3612" t="s">
        <v>1927</v>
      </c>
      <c r="C3612">
        <v>2009</v>
      </c>
      <c r="D3612" t="s">
        <v>44</v>
      </c>
      <c r="F3612" t="s">
        <v>1877</v>
      </c>
      <c r="G3612" s="1" t="s">
        <v>87</v>
      </c>
      <c r="H3612" t="s">
        <v>350</v>
      </c>
      <c r="I3612">
        <v>2006</v>
      </c>
      <c r="K3612" t="s">
        <v>101</v>
      </c>
      <c r="L3612">
        <v>250</v>
      </c>
      <c r="M3612">
        <v>0.5</v>
      </c>
      <c r="N3612" t="s">
        <v>121</v>
      </c>
      <c r="O3612" t="s">
        <v>121</v>
      </c>
      <c r="P3612" t="s">
        <v>1934</v>
      </c>
      <c r="Q3612" s="1" t="s">
        <v>2292</v>
      </c>
      <c r="R3612" s="1" t="s">
        <v>264</v>
      </c>
      <c r="S3612" s="1" t="s">
        <v>264</v>
      </c>
      <c r="X3612" t="s">
        <v>305</v>
      </c>
      <c r="Y3612" t="s">
        <v>2279</v>
      </c>
      <c r="Z3612" t="s">
        <v>2280</v>
      </c>
      <c r="AA3612" t="s">
        <v>2358</v>
      </c>
      <c r="AB3612" t="s">
        <v>2580</v>
      </c>
      <c r="AC3612" t="s">
        <v>152</v>
      </c>
      <c r="AD3612" t="s">
        <v>2278</v>
      </c>
      <c r="AH3612" t="s">
        <v>49</v>
      </c>
      <c r="AJ3612" t="s">
        <v>49</v>
      </c>
      <c r="AM3612" t="s">
        <v>1935</v>
      </c>
      <c r="AN3612" t="s">
        <v>171</v>
      </c>
    </row>
    <row r="3613" spans="1:41" x14ac:dyDescent="0.2">
      <c r="A3613" t="s">
        <v>1926</v>
      </c>
      <c r="B3613" t="s">
        <v>1927</v>
      </c>
      <c r="C3613">
        <v>2009</v>
      </c>
      <c r="D3613" t="s">
        <v>44</v>
      </c>
      <c r="F3613" t="s">
        <v>1877</v>
      </c>
      <c r="G3613" s="1" t="s">
        <v>87</v>
      </c>
      <c r="H3613" t="s">
        <v>350</v>
      </c>
      <c r="I3613">
        <v>2006</v>
      </c>
      <c r="K3613" t="s">
        <v>101</v>
      </c>
      <c r="L3613">
        <v>250</v>
      </c>
      <c r="M3613">
        <v>0.5</v>
      </c>
      <c r="N3613" t="s">
        <v>121</v>
      </c>
      <c r="O3613" t="s">
        <v>121</v>
      </c>
      <c r="P3613" t="s">
        <v>1934</v>
      </c>
      <c r="Q3613" s="1" t="s">
        <v>2292</v>
      </c>
      <c r="R3613" s="1" t="s">
        <v>264</v>
      </c>
      <c r="S3613" s="1" t="s">
        <v>264</v>
      </c>
      <c r="X3613" t="s">
        <v>1930</v>
      </c>
      <c r="Y3613" t="s">
        <v>2279</v>
      </c>
      <c r="Z3613" t="s">
        <v>2280</v>
      </c>
      <c r="AA3613" t="s">
        <v>2286</v>
      </c>
      <c r="AB3613" t="s">
        <v>2287</v>
      </c>
      <c r="AC3613" t="s">
        <v>315</v>
      </c>
      <c r="AD3613" t="s">
        <v>2278</v>
      </c>
      <c r="AH3613" t="s">
        <v>49</v>
      </c>
      <c r="AJ3613" t="s">
        <v>49</v>
      </c>
      <c r="AM3613" t="s">
        <v>1935</v>
      </c>
      <c r="AN3613" t="s">
        <v>171</v>
      </c>
    </row>
    <row r="3614" spans="1:41" x14ac:dyDescent="0.2">
      <c r="A3614" t="s">
        <v>1926</v>
      </c>
      <c r="B3614" t="s">
        <v>1927</v>
      </c>
      <c r="C3614">
        <v>2009</v>
      </c>
      <c r="D3614" t="s">
        <v>44</v>
      </c>
      <c r="F3614" t="s">
        <v>1877</v>
      </c>
      <c r="G3614" s="1" t="s">
        <v>87</v>
      </c>
      <c r="H3614" t="s">
        <v>350</v>
      </c>
      <c r="I3614">
        <v>2006</v>
      </c>
      <c r="K3614" t="s">
        <v>101</v>
      </c>
      <c r="L3614">
        <v>250</v>
      </c>
      <c r="M3614">
        <v>0.5</v>
      </c>
      <c r="N3614" t="s">
        <v>121</v>
      </c>
      <c r="O3614" t="s">
        <v>121</v>
      </c>
      <c r="P3614" t="s">
        <v>1934</v>
      </c>
      <c r="Q3614" s="1" t="s">
        <v>2292</v>
      </c>
      <c r="R3614" s="1" t="s">
        <v>264</v>
      </c>
      <c r="S3614" s="1" t="s">
        <v>264</v>
      </c>
      <c r="X3614" t="s">
        <v>1929</v>
      </c>
      <c r="Y3614" t="s">
        <v>2279</v>
      </c>
      <c r="Z3614" t="s">
        <v>528</v>
      </c>
      <c r="AA3614" t="s">
        <v>2360</v>
      </c>
      <c r="AB3614" t="s">
        <v>2581</v>
      </c>
      <c r="AC3614" t="s">
        <v>152</v>
      </c>
      <c r="AD3614" t="s">
        <v>2278</v>
      </c>
      <c r="AH3614" t="s">
        <v>49</v>
      </c>
      <c r="AJ3614" t="s">
        <v>49</v>
      </c>
      <c r="AM3614" t="s">
        <v>1936</v>
      </c>
      <c r="AN3614" t="s">
        <v>171</v>
      </c>
    </row>
    <row r="3615" spans="1:41" x14ac:dyDescent="0.2">
      <c r="A3615" t="s">
        <v>1926</v>
      </c>
      <c r="B3615" t="s">
        <v>1927</v>
      </c>
      <c r="C3615">
        <v>2009</v>
      </c>
      <c r="D3615" t="s">
        <v>44</v>
      </c>
      <c r="F3615" t="s">
        <v>1877</v>
      </c>
      <c r="G3615" s="1" t="s">
        <v>87</v>
      </c>
      <c r="H3615" t="s">
        <v>350</v>
      </c>
      <c r="I3615">
        <v>2006</v>
      </c>
      <c r="K3615" t="s">
        <v>101</v>
      </c>
      <c r="L3615">
        <v>250</v>
      </c>
      <c r="M3615">
        <v>0.5</v>
      </c>
      <c r="N3615" t="s">
        <v>121</v>
      </c>
      <c r="O3615" t="s">
        <v>121</v>
      </c>
      <c r="P3615" t="s">
        <v>1934</v>
      </c>
      <c r="Q3615" s="1" t="s">
        <v>2292</v>
      </c>
      <c r="R3615" s="1" t="s">
        <v>264</v>
      </c>
      <c r="S3615" s="1" t="s">
        <v>264</v>
      </c>
      <c r="X3615" t="s">
        <v>305</v>
      </c>
      <c r="Y3615" t="s">
        <v>2279</v>
      </c>
      <c r="Z3615" t="s">
        <v>2280</v>
      </c>
      <c r="AA3615" t="s">
        <v>2358</v>
      </c>
      <c r="AB3615" t="s">
        <v>2580</v>
      </c>
      <c r="AC3615" t="s">
        <v>152</v>
      </c>
      <c r="AD3615" t="s">
        <v>2278</v>
      </c>
      <c r="AH3615" t="s">
        <v>49</v>
      </c>
      <c r="AJ3615" t="s">
        <v>49</v>
      </c>
      <c r="AM3615" t="s">
        <v>1937</v>
      </c>
      <c r="AN3615" t="s">
        <v>171</v>
      </c>
    </row>
    <row r="3616" spans="1:41" x14ac:dyDescent="0.2">
      <c r="A3616" t="s">
        <v>1926</v>
      </c>
      <c r="B3616" t="s">
        <v>1927</v>
      </c>
      <c r="C3616">
        <v>2009</v>
      </c>
      <c r="D3616" t="s">
        <v>44</v>
      </c>
      <c r="F3616" t="s">
        <v>1877</v>
      </c>
      <c r="G3616" s="1" t="s">
        <v>87</v>
      </c>
      <c r="H3616" t="s">
        <v>350</v>
      </c>
      <c r="I3616">
        <v>2006</v>
      </c>
      <c r="K3616" t="s">
        <v>101</v>
      </c>
      <c r="L3616">
        <v>250</v>
      </c>
      <c r="M3616">
        <v>0.5</v>
      </c>
      <c r="N3616" t="s">
        <v>121</v>
      </c>
      <c r="O3616" t="s">
        <v>121</v>
      </c>
      <c r="P3616" t="s">
        <v>1934</v>
      </c>
      <c r="Q3616" s="1" t="s">
        <v>2292</v>
      </c>
      <c r="R3616" s="1" t="s">
        <v>264</v>
      </c>
      <c r="S3616" s="1" t="s">
        <v>264</v>
      </c>
      <c r="X3616" t="s">
        <v>1930</v>
      </c>
      <c r="Y3616" t="s">
        <v>2279</v>
      </c>
      <c r="Z3616" t="s">
        <v>2280</v>
      </c>
      <c r="AA3616" t="s">
        <v>2286</v>
      </c>
      <c r="AB3616" t="s">
        <v>2287</v>
      </c>
      <c r="AC3616" t="s">
        <v>315</v>
      </c>
      <c r="AD3616" t="s">
        <v>2278</v>
      </c>
      <c r="AH3616" t="s">
        <v>49</v>
      </c>
      <c r="AJ3616" t="s">
        <v>49</v>
      </c>
      <c r="AM3616" t="s">
        <v>275</v>
      </c>
      <c r="AN3616" t="s">
        <v>171</v>
      </c>
    </row>
    <row r="3617" spans="1:45" x14ac:dyDescent="0.2">
      <c r="A3617" t="s">
        <v>1938</v>
      </c>
      <c r="B3617" t="s">
        <v>690</v>
      </c>
      <c r="C3617">
        <v>2009</v>
      </c>
      <c r="Q3617" s="1" t="s">
        <v>2272</v>
      </c>
      <c r="R3617" s="1" t="s">
        <v>2272</v>
      </c>
      <c r="S3617" s="1" t="s">
        <v>2272</v>
      </c>
      <c r="Y3617" t="s">
        <v>2272</v>
      </c>
      <c r="Z3617" t="s">
        <v>2272</v>
      </c>
      <c r="AA3617" t="s">
        <v>2272</v>
      </c>
      <c r="AB3617" t="s">
        <v>2272</v>
      </c>
      <c r="AD3617" t="s">
        <v>2272</v>
      </c>
      <c r="AR3617" t="s">
        <v>144</v>
      </c>
      <c r="AS3617" t="s">
        <v>2583</v>
      </c>
    </row>
    <row r="3618" spans="1:45" x14ac:dyDescent="0.2">
      <c r="A3618" t="s">
        <v>1939</v>
      </c>
      <c r="B3618" t="s">
        <v>1940</v>
      </c>
      <c r="C3618">
        <v>2009</v>
      </c>
      <c r="D3618" t="s">
        <v>44</v>
      </c>
      <c r="F3618" t="s">
        <v>645</v>
      </c>
      <c r="G3618" s="1" t="s">
        <v>86</v>
      </c>
      <c r="H3618" t="s">
        <v>350</v>
      </c>
      <c r="I3618" t="s">
        <v>1941</v>
      </c>
      <c r="L3618">
        <v>1000</v>
      </c>
      <c r="Q3618" s="1" t="s">
        <v>2272</v>
      </c>
      <c r="R3618" s="1" t="s">
        <v>2272</v>
      </c>
      <c r="S3618" s="1" t="s">
        <v>2272</v>
      </c>
      <c r="Y3618" t="s">
        <v>2272</v>
      </c>
      <c r="Z3618" t="s">
        <v>2272</v>
      </c>
      <c r="AA3618" t="s">
        <v>2272</v>
      </c>
      <c r="AB3618" t="s">
        <v>2272</v>
      </c>
      <c r="AD3618" t="s">
        <v>2272</v>
      </c>
      <c r="AR3618" t="s">
        <v>144</v>
      </c>
      <c r="AS3618" t="s">
        <v>1942</v>
      </c>
    </row>
    <row r="3619" spans="1:45" x14ac:dyDescent="0.2">
      <c r="A3619" t="s">
        <v>1943</v>
      </c>
      <c r="B3619" t="s">
        <v>1375</v>
      </c>
      <c r="C3619">
        <v>2009</v>
      </c>
      <c r="D3619" t="s">
        <v>44</v>
      </c>
      <c r="F3619" t="s">
        <v>1864</v>
      </c>
      <c r="G3619" s="1" t="s">
        <v>1949</v>
      </c>
      <c r="H3619" t="s">
        <v>96</v>
      </c>
      <c r="I3619" t="s">
        <v>1951</v>
      </c>
      <c r="J3619">
        <f>57/12</f>
        <v>4.75</v>
      </c>
      <c r="K3619" t="s">
        <v>101</v>
      </c>
      <c r="L3619" t="s">
        <v>1264</v>
      </c>
      <c r="M3619">
        <v>8.5000000000000006E-3</v>
      </c>
      <c r="N3619" t="s">
        <v>123</v>
      </c>
      <c r="O3619" t="s">
        <v>123</v>
      </c>
      <c r="P3619" t="s">
        <v>1950</v>
      </c>
      <c r="Q3619" s="1" t="s">
        <v>2281</v>
      </c>
      <c r="R3619" s="1" t="s">
        <v>2282</v>
      </c>
      <c r="S3619" s="1" t="s">
        <v>123</v>
      </c>
      <c r="X3619" t="s">
        <v>189</v>
      </c>
      <c r="Y3619" t="s">
        <v>2279</v>
      </c>
      <c r="Z3619" t="s">
        <v>2280</v>
      </c>
      <c r="AA3619" t="s">
        <v>2358</v>
      </c>
      <c r="AB3619" t="s">
        <v>189</v>
      </c>
      <c r="AC3619" t="s">
        <v>152</v>
      </c>
      <c r="AD3619" t="s">
        <v>2278</v>
      </c>
    </row>
    <row r="3620" spans="1:45" x14ac:dyDescent="0.2">
      <c r="A3620" t="s">
        <v>1943</v>
      </c>
      <c r="B3620" t="s">
        <v>1375</v>
      </c>
      <c r="C3620">
        <v>2009</v>
      </c>
      <c r="D3620" t="s">
        <v>44</v>
      </c>
      <c r="F3620" t="s">
        <v>1864</v>
      </c>
      <c r="G3620" s="1" t="s">
        <v>1949</v>
      </c>
      <c r="H3620" t="s">
        <v>96</v>
      </c>
      <c r="I3620" t="s">
        <v>1951</v>
      </c>
      <c r="J3620">
        <f>57/12</f>
        <v>4.75</v>
      </c>
      <c r="K3620" t="s">
        <v>101</v>
      </c>
      <c r="L3620" t="s">
        <v>1264</v>
      </c>
      <c r="M3620">
        <v>8.5000000000000006E-3</v>
      </c>
      <c r="N3620" t="s">
        <v>123</v>
      </c>
      <c r="O3620" t="s">
        <v>123</v>
      </c>
      <c r="P3620" t="s">
        <v>1950</v>
      </c>
      <c r="Q3620" s="1" t="s">
        <v>2281</v>
      </c>
      <c r="R3620" s="1" t="s">
        <v>2282</v>
      </c>
      <c r="S3620" s="1" t="s">
        <v>123</v>
      </c>
      <c r="X3620" t="s">
        <v>228</v>
      </c>
      <c r="Y3620" t="s">
        <v>2273</v>
      </c>
      <c r="Z3620" t="s">
        <v>249</v>
      </c>
      <c r="AA3620" t="s">
        <v>2359</v>
      </c>
      <c r="AB3620" t="s">
        <v>1419</v>
      </c>
      <c r="AC3620" t="s">
        <v>152</v>
      </c>
      <c r="AD3620" t="s">
        <v>137</v>
      </c>
    </row>
    <row r="3621" spans="1:45" x14ac:dyDescent="0.2">
      <c r="A3621" t="s">
        <v>1943</v>
      </c>
      <c r="B3621" t="s">
        <v>1375</v>
      </c>
      <c r="C3621">
        <v>2009</v>
      </c>
      <c r="D3621" t="s">
        <v>44</v>
      </c>
      <c r="F3621" t="s">
        <v>1864</v>
      </c>
      <c r="G3621" s="1" t="s">
        <v>86</v>
      </c>
      <c r="H3621" t="s">
        <v>96</v>
      </c>
      <c r="I3621">
        <v>2002</v>
      </c>
      <c r="K3621" t="s">
        <v>101</v>
      </c>
      <c r="M3621">
        <v>8.5000000000000006E-3</v>
      </c>
      <c r="N3621" t="s">
        <v>123</v>
      </c>
      <c r="O3621" t="s">
        <v>123</v>
      </c>
      <c r="P3621" t="s">
        <v>518</v>
      </c>
      <c r="Q3621" s="1" t="s">
        <v>2281</v>
      </c>
      <c r="R3621" s="1" t="s">
        <v>2282</v>
      </c>
      <c r="S3621" s="1" t="s">
        <v>123</v>
      </c>
      <c r="T3621" t="s">
        <v>421</v>
      </c>
      <c r="U3621" t="s">
        <v>421</v>
      </c>
      <c r="X3621" t="s">
        <v>161</v>
      </c>
      <c r="Y3621" t="s">
        <v>2272</v>
      </c>
      <c r="Z3621" t="s">
        <v>2272</v>
      </c>
      <c r="AA3621" t="s">
        <v>2272</v>
      </c>
      <c r="AB3621" t="s">
        <v>2272</v>
      </c>
      <c r="AC3621" t="s">
        <v>162</v>
      </c>
      <c r="AD3621" t="s">
        <v>2272</v>
      </c>
      <c r="AF3621" t="s">
        <v>49</v>
      </c>
      <c r="AG3621" t="s">
        <v>49</v>
      </c>
      <c r="AI3621" t="s">
        <v>49</v>
      </c>
      <c r="AM3621" t="s">
        <v>1952</v>
      </c>
      <c r="AN3621" t="s">
        <v>165</v>
      </c>
      <c r="AP3621" t="s">
        <v>49</v>
      </c>
    </row>
    <row r="3622" spans="1:45" x14ac:dyDescent="0.2">
      <c r="A3622" t="s">
        <v>1943</v>
      </c>
      <c r="B3622" t="s">
        <v>1375</v>
      </c>
      <c r="C3622">
        <v>2009</v>
      </c>
      <c r="D3622" t="s">
        <v>44</v>
      </c>
      <c r="F3622" t="s">
        <v>638</v>
      </c>
      <c r="G3622" s="1" t="s">
        <v>90</v>
      </c>
      <c r="H3622" t="s">
        <v>96</v>
      </c>
      <c r="I3622">
        <v>2003</v>
      </c>
      <c r="K3622" t="s">
        <v>101</v>
      </c>
      <c r="M3622">
        <v>8.5000000000000006E-3</v>
      </c>
      <c r="N3622" t="s">
        <v>123</v>
      </c>
      <c r="O3622" t="s">
        <v>123</v>
      </c>
      <c r="P3622" t="s">
        <v>1946</v>
      </c>
      <c r="Q3622" s="1" t="s">
        <v>2281</v>
      </c>
      <c r="R3622" s="1" t="s">
        <v>2282</v>
      </c>
      <c r="S3622" s="1" t="s">
        <v>123</v>
      </c>
      <c r="T3622" t="s">
        <v>421</v>
      </c>
      <c r="U3622" t="s">
        <v>421</v>
      </c>
      <c r="X3622" t="s">
        <v>161</v>
      </c>
      <c r="Y3622" t="s">
        <v>2272</v>
      </c>
      <c r="Z3622" t="s">
        <v>2272</v>
      </c>
      <c r="AA3622" t="s">
        <v>2272</v>
      </c>
      <c r="AB3622" t="s">
        <v>2272</v>
      </c>
      <c r="AC3622" t="s">
        <v>162</v>
      </c>
      <c r="AD3622" t="s">
        <v>2272</v>
      </c>
      <c r="AF3622" t="s">
        <v>49</v>
      </c>
      <c r="AG3622" t="s">
        <v>49</v>
      </c>
      <c r="AI3622" t="s">
        <v>49</v>
      </c>
      <c r="AM3622" t="s">
        <v>1952</v>
      </c>
      <c r="AN3622" t="s">
        <v>165</v>
      </c>
      <c r="AP3622" t="s">
        <v>49</v>
      </c>
    </row>
    <row r="3623" spans="1:45" x14ac:dyDescent="0.2">
      <c r="A3623" t="s">
        <v>1943</v>
      </c>
      <c r="B3623" t="s">
        <v>1375</v>
      </c>
      <c r="C3623">
        <v>2009</v>
      </c>
      <c r="D3623" t="s">
        <v>44</v>
      </c>
      <c r="F3623" t="s">
        <v>1945</v>
      </c>
      <c r="G3623" s="1" t="s">
        <v>91</v>
      </c>
      <c r="H3623" t="s">
        <v>96</v>
      </c>
      <c r="I3623">
        <v>2002</v>
      </c>
      <c r="K3623" t="s">
        <v>101</v>
      </c>
      <c r="M3623">
        <v>8.5000000000000006E-3</v>
      </c>
      <c r="N3623" t="s">
        <v>123</v>
      </c>
      <c r="O3623" t="s">
        <v>123</v>
      </c>
      <c r="P3623" t="s">
        <v>1947</v>
      </c>
      <c r="Q3623" s="1" t="s">
        <v>2281</v>
      </c>
      <c r="R3623" s="1" t="s">
        <v>2282</v>
      </c>
      <c r="S3623" s="1" t="s">
        <v>123</v>
      </c>
      <c r="T3623" t="s">
        <v>421</v>
      </c>
      <c r="U3623" t="s">
        <v>421</v>
      </c>
      <c r="X3623" t="s">
        <v>161</v>
      </c>
      <c r="Y3623" t="s">
        <v>2272</v>
      </c>
      <c r="Z3623" t="s">
        <v>2272</v>
      </c>
      <c r="AA3623" t="s">
        <v>2272</v>
      </c>
      <c r="AB3623" t="s">
        <v>2272</v>
      </c>
      <c r="AC3623" t="s">
        <v>162</v>
      </c>
      <c r="AD3623" t="s">
        <v>2272</v>
      </c>
      <c r="AF3623" t="s">
        <v>49</v>
      </c>
      <c r="AG3623" t="s">
        <v>49</v>
      </c>
      <c r="AI3623" t="s">
        <v>49</v>
      </c>
      <c r="AM3623" t="s">
        <v>1952</v>
      </c>
      <c r="AN3623" t="s">
        <v>165</v>
      </c>
      <c r="AP3623" t="s">
        <v>49</v>
      </c>
    </row>
    <row r="3624" spans="1:45" x14ac:dyDescent="0.2">
      <c r="A3624" t="s">
        <v>1943</v>
      </c>
      <c r="B3624" t="s">
        <v>1375</v>
      </c>
      <c r="C3624">
        <v>2009</v>
      </c>
      <c r="D3624" t="s">
        <v>44</v>
      </c>
      <c r="F3624" t="s">
        <v>83</v>
      </c>
      <c r="G3624" s="1" t="s">
        <v>85</v>
      </c>
      <c r="H3624" t="s">
        <v>96</v>
      </c>
      <c r="I3624">
        <v>2007</v>
      </c>
      <c r="K3624" t="s">
        <v>101</v>
      </c>
      <c r="M3624">
        <v>8.5000000000000006E-3</v>
      </c>
      <c r="N3624" t="s">
        <v>123</v>
      </c>
      <c r="O3624" t="s">
        <v>123</v>
      </c>
      <c r="P3624" t="s">
        <v>1948</v>
      </c>
      <c r="Q3624" s="1" t="s">
        <v>2281</v>
      </c>
      <c r="R3624" s="1" t="s">
        <v>2282</v>
      </c>
      <c r="S3624" s="1" t="s">
        <v>123</v>
      </c>
      <c r="T3624" t="s">
        <v>421</v>
      </c>
      <c r="U3624" t="s">
        <v>421</v>
      </c>
      <c r="X3624" t="s">
        <v>161</v>
      </c>
      <c r="Y3624" t="s">
        <v>2272</v>
      </c>
      <c r="Z3624" t="s">
        <v>2272</v>
      </c>
      <c r="AA3624" t="s">
        <v>2272</v>
      </c>
      <c r="AB3624" t="s">
        <v>2272</v>
      </c>
      <c r="AC3624" t="s">
        <v>162</v>
      </c>
      <c r="AD3624" t="s">
        <v>2272</v>
      </c>
      <c r="AF3624" t="s">
        <v>49</v>
      </c>
      <c r="AG3624" t="s">
        <v>49</v>
      </c>
      <c r="AI3624" t="s">
        <v>49</v>
      </c>
      <c r="AM3624" t="s">
        <v>1952</v>
      </c>
      <c r="AN3624" t="s">
        <v>165</v>
      </c>
      <c r="AP3624" t="s">
        <v>49</v>
      </c>
    </row>
    <row r="3625" spans="1:45" x14ac:dyDescent="0.2">
      <c r="A3625" t="s">
        <v>1943</v>
      </c>
      <c r="B3625" t="s">
        <v>1375</v>
      </c>
      <c r="C3625">
        <v>2009</v>
      </c>
      <c r="D3625" t="s">
        <v>44</v>
      </c>
      <c r="F3625" t="s">
        <v>1864</v>
      </c>
      <c r="G3625" s="1" t="s">
        <v>86</v>
      </c>
      <c r="H3625" t="s">
        <v>96</v>
      </c>
      <c r="I3625">
        <v>2002</v>
      </c>
      <c r="K3625" t="s">
        <v>101</v>
      </c>
      <c r="M3625">
        <v>8.5000000000000006E-3</v>
      </c>
      <c r="N3625" t="s">
        <v>123</v>
      </c>
      <c r="O3625" t="s">
        <v>123</v>
      </c>
      <c r="P3625" t="s">
        <v>518</v>
      </c>
      <c r="Q3625" s="1" t="s">
        <v>2281</v>
      </c>
      <c r="R3625" s="1" t="s">
        <v>2282</v>
      </c>
      <c r="S3625" s="1" t="s">
        <v>123</v>
      </c>
      <c r="T3625" t="s">
        <v>421</v>
      </c>
      <c r="U3625" t="s">
        <v>421</v>
      </c>
      <c r="X3625" t="s">
        <v>161</v>
      </c>
      <c r="Y3625" t="s">
        <v>2272</v>
      </c>
      <c r="Z3625" t="s">
        <v>2272</v>
      </c>
      <c r="AA3625" t="s">
        <v>2272</v>
      </c>
      <c r="AB3625" t="s">
        <v>2272</v>
      </c>
      <c r="AC3625" t="s">
        <v>162</v>
      </c>
      <c r="AD3625" t="s">
        <v>2272</v>
      </c>
      <c r="AF3625" t="s">
        <v>49</v>
      </c>
      <c r="AG3625" t="s">
        <v>49</v>
      </c>
      <c r="AI3625" t="s">
        <v>49</v>
      </c>
      <c r="AM3625" t="s">
        <v>1952</v>
      </c>
      <c r="AN3625" t="s">
        <v>154</v>
      </c>
      <c r="AQ3625" s="5">
        <v>1</v>
      </c>
    </row>
    <row r="3626" spans="1:45" x14ac:dyDescent="0.2">
      <c r="A3626" t="s">
        <v>1943</v>
      </c>
      <c r="B3626" t="s">
        <v>1375</v>
      </c>
      <c r="C3626">
        <v>2009</v>
      </c>
      <c r="D3626" t="s">
        <v>44</v>
      </c>
      <c r="F3626" t="s">
        <v>638</v>
      </c>
      <c r="G3626" s="1" t="s">
        <v>90</v>
      </c>
      <c r="H3626" t="s">
        <v>96</v>
      </c>
      <c r="I3626">
        <v>2003</v>
      </c>
      <c r="K3626" t="s">
        <v>101</v>
      </c>
      <c r="M3626">
        <v>8.5000000000000006E-3</v>
      </c>
      <c r="N3626" t="s">
        <v>123</v>
      </c>
      <c r="O3626" t="s">
        <v>123</v>
      </c>
      <c r="P3626" t="s">
        <v>1946</v>
      </c>
      <c r="Q3626" s="1" t="s">
        <v>2281</v>
      </c>
      <c r="R3626" s="1" t="s">
        <v>2282</v>
      </c>
      <c r="S3626" s="1" t="s">
        <v>123</v>
      </c>
      <c r="T3626" t="s">
        <v>421</v>
      </c>
      <c r="U3626" t="s">
        <v>421</v>
      </c>
      <c r="X3626" t="s">
        <v>161</v>
      </c>
      <c r="Y3626" t="s">
        <v>2272</v>
      </c>
      <c r="Z3626" t="s">
        <v>2272</v>
      </c>
      <c r="AA3626" t="s">
        <v>2272</v>
      </c>
      <c r="AB3626" t="s">
        <v>2272</v>
      </c>
      <c r="AC3626" t="s">
        <v>162</v>
      </c>
      <c r="AD3626" t="s">
        <v>2272</v>
      </c>
      <c r="AF3626" t="s">
        <v>49</v>
      </c>
      <c r="AG3626" t="s">
        <v>49</v>
      </c>
      <c r="AI3626" t="s">
        <v>49</v>
      </c>
      <c r="AM3626" t="s">
        <v>1952</v>
      </c>
      <c r="AN3626" t="s">
        <v>154</v>
      </c>
      <c r="AQ3626" s="5">
        <v>1</v>
      </c>
    </row>
    <row r="3627" spans="1:45" x14ac:dyDescent="0.2">
      <c r="A3627" t="s">
        <v>1943</v>
      </c>
      <c r="B3627" t="s">
        <v>1375</v>
      </c>
      <c r="C3627">
        <v>2009</v>
      </c>
      <c r="D3627" t="s">
        <v>44</v>
      </c>
      <c r="F3627" t="s">
        <v>1945</v>
      </c>
      <c r="G3627" s="1" t="s">
        <v>91</v>
      </c>
      <c r="H3627" t="s">
        <v>96</v>
      </c>
      <c r="I3627">
        <v>2002</v>
      </c>
      <c r="K3627" t="s">
        <v>101</v>
      </c>
      <c r="M3627">
        <v>8.5000000000000006E-3</v>
      </c>
      <c r="N3627" t="s">
        <v>123</v>
      </c>
      <c r="O3627" t="s">
        <v>123</v>
      </c>
      <c r="P3627" t="s">
        <v>1947</v>
      </c>
      <c r="Q3627" s="1" t="s">
        <v>2281</v>
      </c>
      <c r="R3627" s="1" t="s">
        <v>2282</v>
      </c>
      <c r="S3627" s="1" t="s">
        <v>123</v>
      </c>
      <c r="T3627" t="s">
        <v>421</v>
      </c>
      <c r="U3627" t="s">
        <v>421</v>
      </c>
      <c r="X3627" t="s">
        <v>161</v>
      </c>
      <c r="Y3627" t="s">
        <v>2272</v>
      </c>
      <c r="Z3627" t="s">
        <v>2272</v>
      </c>
      <c r="AA3627" t="s">
        <v>2272</v>
      </c>
      <c r="AB3627" t="s">
        <v>2272</v>
      </c>
      <c r="AC3627" t="s">
        <v>162</v>
      </c>
      <c r="AD3627" t="s">
        <v>2272</v>
      </c>
      <c r="AF3627" t="s">
        <v>49</v>
      </c>
      <c r="AG3627" t="s">
        <v>49</v>
      </c>
      <c r="AI3627" t="s">
        <v>49</v>
      </c>
      <c r="AM3627" t="s">
        <v>1952</v>
      </c>
      <c r="AN3627" t="s">
        <v>154</v>
      </c>
      <c r="AQ3627" s="5">
        <v>2</v>
      </c>
    </row>
    <row r="3628" spans="1:45" x14ac:dyDescent="0.2">
      <c r="A3628" t="s">
        <v>1943</v>
      </c>
      <c r="B3628" t="s">
        <v>1375</v>
      </c>
      <c r="C3628">
        <v>2009</v>
      </c>
      <c r="D3628" t="s">
        <v>44</v>
      </c>
      <c r="F3628" t="s">
        <v>83</v>
      </c>
      <c r="G3628" s="1" t="s">
        <v>85</v>
      </c>
      <c r="H3628" t="s">
        <v>96</v>
      </c>
      <c r="I3628">
        <v>2007</v>
      </c>
      <c r="K3628" t="s">
        <v>101</v>
      </c>
      <c r="M3628">
        <v>8.5000000000000006E-3</v>
      </c>
      <c r="N3628" t="s">
        <v>123</v>
      </c>
      <c r="O3628" t="s">
        <v>123</v>
      </c>
      <c r="P3628" t="s">
        <v>1948</v>
      </c>
      <c r="Q3628" s="1" t="s">
        <v>2281</v>
      </c>
      <c r="R3628" s="1" t="s">
        <v>2282</v>
      </c>
      <c r="S3628" s="1" t="s">
        <v>123</v>
      </c>
      <c r="T3628" t="s">
        <v>421</v>
      </c>
      <c r="U3628" t="s">
        <v>421</v>
      </c>
      <c r="X3628" t="s">
        <v>161</v>
      </c>
      <c r="Y3628" t="s">
        <v>2272</v>
      </c>
      <c r="Z3628" t="s">
        <v>2272</v>
      </c>
      <c r="AA3628" t="s">
        <v>2272</v>
      </c>
      <c r="AB3628" t="s">
        <v>2272</v>
      </c>
      <c r="AC3628" t="s">
        <v>162</v>
      </c>
      <c r="AD3628" t="s">
        <v>2272</v>
      </c>
      <c r="AF3628" t="s">
        <v>49</v>
      </c>
      <c r="AG3628" t="s">
        <v>49</v>
      </c>
      <c r="AI3628" t="s">
        <v>49</v>
      </c>
      <c r="AM3628" t="s">
        <v>1952</v>
      </c>
      <c r="AN3628" t="s">
        <v>154</v>
      </c>
      <c r="AQ3628" s="5">
        <v>1</v>
      </c>
    </row>
    <row r="3629" spans="1:45" x14ac:dyDescent="0.2">
      <c r="A3629" t="s">
        <v>1943</v>
      </c>
      <c r="B3629" t="s">
        <v>1375</v>
      </c>
      <c r="C3629">
        <v>2009</v>
      </c>
      <c r="D3629" t="s">
        <v>44</v>
      </c>
      <c r="F3629" t="s">
        <v>1864</v>
      </c>
      <c r="G3629" s="1" t="s">
        <v>86</v>
      </c>
      <c r="H3629" t="s">
        <v>96</v>
      </c>
      <c r="I3629">
        <v>2002</v>
      </c>
      <c r="K3629" t="s">
        <v>101</v>
      </c>
      <c r="M3629">
        <v>8.5000000000000006E-3</v>
      </c>
      <c r="N3629" t="s">
        <v>123</v>
      </c>
      <c r="O3629" t="s">
        <v>123</v>
      </c>
      <c r="P3629" t="s">
        <v>518</v>
      </c>
      <c r="Q3629" s="1" t="s">
        <v>2281</v>
      </c>
      <c r="R3629" s="1" t="s">
        <v>2282</v>
      </c>
      <c r="S3629" s="1" t="s">
        <v>123</v>
      </c>
      <c r="T3629" t="s">
        <v>421</v>
      </c>
      <c r="U3629" t="s">
        <v>421</v>
      </c>
      <c r="X3629" t="s">
        <v>161</v>
      </c>
      <c r="Y3629" t="s">
        <v>2272</v>
      </c>
      <c r="Z3629" t="s">
        <v>2272</v>
      </c>
      <c r="AA3629" t="s">
        <v>2272</v>
      </c>
      <c r="AB3629" t="s">
        <v>2272</v>
      </c>
      <c r="AC3629" t="s">
        <v>162</v>
      </c>
      <c r="AD3629" t="s">
        <v>2272</v>
      </c>
      <c r="AF3629" t="s">
        <v>49</v>
      </c>
      <c r="AI3629" t="s">
        <v>49</v>
      </c>
      <c r="AM3629" t="s">
        <v>885</v>
      </c>
      <c r="AN3629" t="s">
        <v>166</v>
      </c>
      <c r="AQ3629" s="5">
        <v>1</v>
      </c>
    </row>
    <row r="3630" spans="1:45" x14ac:dyDescent="0.2">
      <c r="A3630" t="s">
        <v>1943</v>
      </c>
      <c r="B3630" t="s">
        <v>1375</v>
      </c>
      <c r="C3630">
        <v>2009</v>
      </c>
      <c r="D3630" t="s">
        <v>44</v>
      </c>
      <c r="F3630" t="s">
        <v>638</v>
      </c>
      <c r="G3630" s="1" t="s">
        <v>90</v>
      </c>
      <c r="H3630" t="s">
        <v>96</v>
      </c>
      <c r="I3630">
        <v>2003</v>
      </c>
      <c r="K3630" t="s">
        <v>101</v>
      </c>
      <c r="M3630">
        <v>8.5000000000000006E-3</v>
      </c>
      <c r="N3630" t="s">
        <v>123</v>
      </c>
      <c r="O3630" t="s">
        <v>123</v>
      </c>
      <c r="P3630" t="s">
        <v>1946</v>
      </c>
      <c r="Q3630" s="1" t="s">
        <v>2281</v>
      </c>
      <c r="R3630" s="1" t="s">
        <v>2282</v>
      </c>
      <c r="S3630" s="1" t="s">
        <v>123</v>
      </c>
      <c r="T3630" t="s">
        <v>421</v>
      </c>
      <c r="U3630" t="s">
        <v>421</v>
      </c>
      <c r="X3630" t="s">
        <v>161</v>
      </c>
      <c r="Y3630" t="s">
        <v>2272</v>
      </c>
      <c r="Z3630" t="s">
        <v>2272</v>
      </c>
      <c r="AA3630" t="s">
        <v>2272</v>
      </c>
      <c r="AB3630" t="s">
        <v>2272</v>
      </c>
      <c r="AC3630" t="s">
        <v>162</v>
      </c>
      <c r="AD3630" t="s">
        <v>2272</v>
      </c>
      <c r="AF3630" t="s">
        <v>49</v>
      </c>
      <c r="AI3630" t="s">
        <v>49</v>
      </c>
      <c r="AM3630" t="s">
        <v>885</v>
      </c>
      <c r="AN3630" t="s">
        <v>166</v>
      </c>
      <c r="AQ3630" s="5">
        <v>1</v>
      </c>
    </row>
    <row r="3631" spans="1:45" x14ac:dyDescent="0.2">
      <c r="A3631" t="s">
        <v>1943</v>
      </c>
      <c r="B3631" t="s">
        <v>1375</v>
      </c>
      <c r="C3631">
        <v>2009</v>
      </c>
      <c r="D3631" t="s">
        <v>44</v>
      </c>
      <c r="F3631" t="s">
        <v>1945</v>
      </c>
      <c r="G3631" s="1" t="s">
        <v>91</v>
      </c>
      <c r="H3631" t="s">
        <v>96</v>
      </c>
      <c r="I3631">
        <v>2002</v>
      </c>
      <c r="K3631" t="s">
        <v>101</v>
      </c>
      <c r="M3631">
        <v>8.5000000000000006E-3</v>
      </c>
      <c r="N3631" t="s">
        <v>123</v>
      </c>
      <c r="O3631" t="s">
        <v>123</v>
      </c>
      <c r="P3631" t="s">
        <v>1947</v>
      </c>
      <c r="Q3631" s="1" t="s">
        <v>2281</v>
      </c>
      <c r="R3631" s="1" t="s">
        <v>2282</v>
      </c>
      <c r="S3631" s="1" t="s">
        <v>123</v>
      </c>
      <c r="T3631" t="s">
        <v>421</v>
      </c>
      <c r="U3631" t="s">
        <v>421</v>
      </c>
      <c r="X3631" t="s">
        <v>161</v>
      </c>
      <c r="Y3631" t="s">
        <v>2272</v>
      </c>
      <c r="Z3631" t="s">
        <v>2272</v>
      </c>
      <c r="AA3631" t="s">
        <v>2272</v>
      </c>
      <c r="AB3631" t="s">
        <v>2272</v>
      </c>
      <c r="AC3631" t="s">
        <v>162</v>
      </c>
      <c r="AD3631" t="s">
        <v>2272</v>
      </c>
      <c r="AF3631" t="s">
        <v>49</v>
      </c>
      <c r="AI3631" t="s">
        <v>49</v>
      </c>
      <c r="AM3631" t="s">
        <v>885</v>
      </c>
      <c r="AN3631" t="s">
        <v>166</v>
      </c>
      <c r="AQ3631" s="5">
        <v>0</v>
      </c>
    </row>
    <row r="3632" spans="1:45" x14ac:dyDescent="0.2">
      <c r="A3632" t="s">
        <v>1943</v>
      </c>
      <c r="B3632" t="s">
        <v>1375</v>
      </c>
      <c r="C3632">
        <v>2009</v>
      </c>
      <c r="D3632" t="s">
        <v>44</v>
      </c>
      <c r="F3632" t="s">
        <v>83</v>
      </c>
      <c r="G3632" s="1" t="s">
        <v>85</v>
      </c>
      <c r="H3632" t="s">
        <v>96</v>
      </c>
      <c r="I3632">
        <v>2007</v>
      </c>
      <c r="K3632" t="s">
        <v>101</v>
      </c>
      <c r="M3632">
        <v>8.5000000000000006E-3</v>
      </c>
      <c r="N3632" t="s">
        <v>123</v>
      </c>
      <c r="O3632" t="s">
        <v>123</v>
      </c>
      <c r="P3632" t="s">
        <v>1948</v>
      </c>
      <c r="Q3632" s="1" t="s">
        <v>2281</v>
      </c>
      <c r="R3632" s="1" t="s">
        <v>2282</v>
      </c>
      <c r="S3632" s="1" t="s">
        <v>123</v>
      </c>
      <c r="T3632" t="s">
        <v>421</v>
      </c>
      <c r="U3632" t="s">
        <v>421</v>
      </c>
      <c r="X3632" t="s">
        <v>161</v>
      </c>
      <c r="Y3632" t="s">
        <v>2272</v>
      </c>
      <c r="Z3632" t="s">
        <v>2272</v>
      </c>
      <c r="AA3632" t="s">
        <v>2272</v>
      </c>
      <c r="AB3632" t="s">
        <v>2272</v>
      </c>
      <c r="AC3632" t="s">
        <v>162</v>
      </c>
      <c r="AD3632" t="s">
        <v>2272</v>
      </c>
      <c r="AF3632" t="s">
        <v>49</v>
      </c>
      <c r="AI3632" t="s">
        <v>49</v>
      </c>
      <c r="AM3632" t="s">
        <v>885</v>
      </c>
      <c r="AN3632" t="s">
        <v>166</v>
      </c>
      <c r="AQ3632" s="5">
        <v>0</v>
      </c>
    </row>
    <row r="3633" spans="1:43" x14ac:dyDescent="0.2">
      <c r="A3633" t="s">
        <v>1943</v>
      </c>
      <c r="B3633" t="s">
        <v>1375</v>
      </c>
      <c r="C3633">
        <v>2009</v>
      </c>
      <c r="D3633" t="s">
        <v>44</v>
      </c>
      <c r="F3633" t="s">
        <v>1864</v>
      </c>
      <c r="G3633" s="1" t="s">
        <v>86</v>
      </c>
      <c r="H3633" t="s">
        <v>96</v>
      </c>
      <c r="I3633">
        <v>2002</v>
      </c>
      <c r="K3633" t="s">
        <v>101</v>
      </c>
      <c r="M3633">
        <v>8.5000000000000006E-3</v>
      </c>
      <c r="N3633" t="s">
        <v>123</v>
      </c>
      <c r="O3633" t="s">
        <v>123</v>
      </c>
      <c r="P3633" t="s">
        <v>518</v>
      </c>
      <c r="Q3633" s="1" t="s">
        <v>2281</v>
      </c>
      <c r="R3633" s="1" t="s">
        <v>2282</v>
      </c>
      <c r="S3633" s="1" t="s">
        <v>123</v>
      </c>
      <c r="T3633" t="s">
        <v>421</v>
      </c>
      <c r="U3633" t="s">
        <v>421</v>
      </c>
      <c r="X3633" t="s">
        <v>161</v>
      </c>
      <c r="Y3633" t="s">
        <v>2272</v>
      </c>
      <c r="Z3633" t="s">
        <v>2272</v>
      </c>
      <c r="AA3633" t="s">
        <v>2272</v>
      </c>
      <c r="AB3633" t="s">
        <v>2272</v>
      </c>
      <c r="AC3633" t="s">
        <v>162</v>
      </c>
      <c r="AD3633" t="s">
        <v>2272</v>
      </c>
      <c r="AG3633" t="s">
        <v>49</v>
      </c>
      <c r="AI3633" t="s">
        <v>49</v>
      </c>
      <c r="AM3633" t="s">
        <v>1953</v>
      </c>
      <c r="AN3633" t="s">
        <v>166</v>
      </c>
      <c r="AQ3633" s="5">
        <v>0</v>
      </c>
    </row>
    <row r="3634" spans="1:43" x14ac:dyDescent="0.2">
      <c r="A3634" t="s">
        <v>1943</v>
      </c>
      <c r="B3634" t="s">
        <v>1375</v>
      </c>
      <c r="C3634">
        <v>2009</v>
      </c>
      <c r="D3634" t="s">
        <v>44</v>
      </c>
      <c r="F3634" t="s">
        <v>638</v>
      </c>
      <c r="G3634" s="1" t="s">
        <v>90</v>
      </c>
      <c r="H3634" t="s">
        <v>96</v>
      </c>
      <c r="I3634">
        <v>2003</v>
      </c>
      <c r="K3634" t="s">
        <v>101</v>
      </c>
      <c r="M3634">
        <v>8.5000000000000006E-3</v>
      </c>
      <c r="N3634" t="s">
        <v>123</v>
      </c>
      <c r="O3634" t="s">
        <v>123</v>
      </c>
      <c r="P3634" t="s">
        <v>1946</v>
      </c>
      <c r="Q3634" s="1" t="s">
        <v>2281</v>
      </c>
      <c r="R3634" s="1" t="s">
        <v>2282</v>
      </c>
      <c r="S3634" s="1" t="s">
        <v>123</v>
      </c>
      <c r="T3634" t="s">
        <v>421</v>
      </c>
      <c r="U3634" t="s">
        <v>421</v>
      </c>
      <c r="X3634" t="s">
        <v>161</v>
      </c>
      <c r="Y3634" t="s">
        <v>2272</v>
      </c>
      <c r="Z3634" t="s">
        <v>2272</v>
      </c>
      <c r="AA3634" t="s">
        <v>2272</v>
      </c>
      <c r="AB3634" t="s">
        <v>2272</v>
      </c>
      <c r="AC3634" t="s">
        <v>162</v>
      </c>
      <c r="AD3634" t="s">
        <v>2272</v>
      </c>
      <c r="AG3634" t="s">
        <v>49</v>
      </c>
      <c r="AI3634" t="s">
        <v>49</v>
      </c>
      <c r="AM3634" t="s">
        <v>1953</v>
      </c>
      <c r="AN3634" t="s">
        <v>166</v>
      </c>
      <c r="AQ3634" s="5">
        <v>0</v>
      </c>
    </row>
    <row r="3635" spans="1:43" x14ac:dyDescent="0.2">
      <c r="A3635" t="s">
        <v>1943</v>
      </c>
      <c r="B3635" t="s">
        <v>1375</v>
      </c>
      <c r="C3635">
        <v>2009</v>
      </c>
      <c r="D3635" t="s">
        <v>44</v>
      </c>
      <c r="F3635" t="s">
        <v>1945</v>
      </c>
      <c r="G3635" s="1" t="s">
        <v>91</v>
      </c>
      <c r="H3635" t="s">
        <v>96</v>
      </c>
      <c r="I3635">
        <v>2002</v>
      </c>
      <c r="K3635" t="s">
        <v>101</v>
      </c>
      <c r="M3635">
        <v>8.5000000000000006E-3</v>
      </c>
      <c r="N3635" t="s">
        <v>123</v>
      </c>
      <c r="O3635" t="s">
        <v>123</v>
      </c>
      <c r="P3635" t="s">
        <v>1947</v>
      </c>
      <c r="Q3635" s="1" t="s">
        <v>2281</v>
      </c>
      <c r="R3635" s="1" t="s">
        <v>2282</v>
      </c>
      <c r="S3635" s="1" t="s">
        <v>123</v>
      </c>
      <c r="T3635" t="s">
        <v>421</v>
      </c>
      <c r="U3635" t="s">
        <v>421</v>
      </c>
      <c r="X3635" t="s">
        <v>161</v>
      </c>
      <c r="Y3635" t="s">
        <v>2272</v>
      </c>
      <c r="Z3635" t="s">
        <v>2272</v>
      </c>
      <c r="AA3635" t="s">
        <v>2272</v>
      </c>
      <c r="AB3635" t="s">
        <v>2272</v>
      </c>
      <c r="AC3635" t="s">
        <v>162</v>
      </c>
      <c r="AD3635" t="s">
        <v>2272</v>
      </c>
      <c r="AG3635" t="s">
        <v>49</v>
      </c>
      <c r="AI3635" t="s">
        <v>49</v>
      </c>
      <c r="AM3635" t="s">
        <v>1953</v>
      </c>
      <c r="AN3635" t="s">
        <v>166</v>
      </c>
      <c r="AQ3635" s="5">
        <v>0</v>
      </c>
    </row>
    <row r="3636" spans="1:43" x14ac:dyDescent="0.2">
      <c r="A3636" t="s">
        <v>1943</v>
      </c>
      <c r="B3636" t="s">
        <v>1375</v>
      </c>
      <c r="C3636">
        <v>2009</v>
      </c>
      <c r="D3636" t="s">
        <v>44</v>
      </c>
      <c r="F3636" t="s">
        <v>83</v>
      </c>
      <c r="G3636" s="1" t="s">
        <v>85</v>
      </c>
      <c r="H3636" t="s">
        <v>96</v>
      </c>
      <c r="I3636">
        <v>2007</v>
      </c>
      <c r="K3636" t="s">
        <v>101</v>
      </c>
      <c r="M3636">
        <v>8.5000000000000006E-3</v>
      </c>
      <c r="N3636" t="s">
        <v>123</v>
      </c>
      <c r="O3636" t="s">
        <v>123</v>
      </c>
      <c r="P3636" t="s">
        <v>1948</v>
      </c>
      <c r="Q3636" s="1" t="s">
        <v>2281</v>
      </c>
      <c r="R3636" s="1" t="s">
        <v>2282</v>
      </c>
      <c r="S3636" s="1" t="s">
        <v>123</v>
      </c>
      <c r="T3636" t="s">
        <v>421</v>
      </c>
      <c r="U3636" t="s">
        <v>421</v>
      </c>
      <c r="X3636" t="s">
        <v>161</v>
      </c>
      <c r="Y3636" t="s">
        <v>2272</v>
      </c>
      <c r="Z3636" t="s">
        <v>2272</v>
      </c>
      <c r="AA3636" t="s">
        <v>2272</v>
      </c>
      <c r="AB3636" t="s">
        <v>2272</v>
      </c>
      <c r="AC3636" t="s">
        <v>162</v>
      </c>
      <c r="AD3636" t="s">
        <v>2272</v>
      </c>
      <c r="AG3636" t="s">
        <v>49</v>
      </c>
      <c r="AI3636" t="s">
        <v>49</v>
      </c>
      <c r="AM3636" t="s">
        <v>1953</v>
      </c>
      <c r="AN3636" t="s">
        <v>166</v>
      </c>
      <c r="AQ3636" s="5">
        <v>1</v>
      </c>
    </row>
    <row r="3637" spans="1:43" x14ac:dyDescent="0.2">
      <c r="A3637" t="s">
        <v>1954</v>
      </c>
      <c r="B3637" t="s">
        <v>1955</v>
      </c>
      <c r="C3637">
        <v>2009</v>
      </c>
      <c r="D3637" t="s">
        <v>44</v>
      </c>
      <c r="E3637" t="s">
        <v>49</v>
      </c>
      <c r="F3637" t="s">
        <v>1503</v>
      </c>
      <c r="G3637" s="1" t="s">
        <v>86</v>
      </c>
      <c r="H3637" t="s">
        <v>96</v>
      </c>
      <c r="I3637">
        <v>2004</v>
      </c>
      <c r="J3637">
        <v>0.05</v>
      </c>
      <c r="K3637" t="s">
        <v>101</v>
      </c>
      <c r="L3637">
        <v>0.06</v>
      </c>
      <c r="M3637">
        <v>1</v>
      </c>
      <c r="N3637" t="s">
        <v>121</v>
      </c>
      <c r="O3637" t="s">
        <v>121</v>
      </c>
      <c r="P3637" t="s">
        <v>1504</v>
      </c>
      <c r="Q3637" s="1" t="s">
        <v>2292</v>
      </c>
      <c r="R3637" s="1" t="s">
        <v>264</v>
      </c>
      <c r="S3637" s="1" t="s">
        <v>264</v>
      </c>
      <c r="X3637" t="s">
        <v>293</v>
      </c>
      <c r="Y3637" t="s">
        <v>2273</v>
      </c>
      <c r="Z3637" t="s">
        <v>249</v>
      </c>
      <c r="AA3637" t="s">
        <v>2359</v>
      </c>
      <c r="AB3637" t="s">
        <v>1419</v>
      </c>
      <c r="AC3637" t="s">
        <v>152</v>
      </c>
      <c r="AD3637" t="s">
        <v>137</v>
      </c>
    </row>
    <row r="3638" spans="1:43" x14ac:dyDescent="0.2">
      <c r="A3638" t="s">
        <v>1954</v>
      </c>
      <c r="B3638" t="s">
        <v>1955</v>
      </c>
      <c r="C3638">
        <v>2009</v>
      </c>
      <c r="D3638" t="s">
        <v>44</v>
      </c>
      <c r="E3638" t="s">
        <v>49</v>
      </c>
      <c r="F3638" t="s">
        <v>1503</v>
      </c>
      <c r="G3638" s="1" t="s">
        <v>86</v>
      </c>
      <c r="H3638" t="s">
        <v>96</v>
      </c>
      <c r="I3638">
        <v>2004</v>
      </c>
      <c r="J3638">
        <v>0.05</v>
      </c>
      <c r="K3638" t="s">
        <v>101</v>
      </c>
      <c r="L3638">
        <v>0.06</v>
      </c>
      <c r="M3638">
        <v>1</v>
      </c>
      <c r="N3638" t="s">
        <v>124</v>
      </c>
      <c r="O3638" t="s">
        <v>124</v>
      </c>
      <c r="P3638" t="s">
        <v>1956</v>
      </c>
      <c r="Q3638" s="1" t="s">
        <v>2292</v>
      </c>
      <c r="R3638" s="1" t="s">
        <v>124</v>
      </c>
      <c r="S3638" s="1" t="s">
        <v>124</v>
      </c>
      <c r="X3638" t="s">
        <v>293</v>
      </c>
      <c r="Y3638" t="s">
        <v>2273</v>
      </c>
      <c r="Z3638" t="s">
        <v>249</v>
      </c>
      <c r="AA3638" t="s">
        <v>2359</v>
      </c>
      <c r="AB3638" t="s">
        <v>1419</v>
      </c>
      <c r="AC3638" t="s">
        <v>152</v>
      </c>
      <c r="AD3638" t="s">
        <v>137</v>
      </c>
    </row>
    <row r="3639" spans="1:43" x14ac:dyDescent="0.2">
      <c r="A3639" t="s">
        <v>1954</v>
      </c>
      <c r="B3639" t="s">
        <v>1955</v>
      </c>
      <c r="C3639">
        <v>2009</v>
      </c>
      <c r="D3639" t="s">
        <v>44</v>
      </c>
      <c r="E3639" t="s">
        <v>49</v>
      </c>
      <c r="F3639" t="s">
        <v>1503</v>
      </c>
      <c r="G3639" s="1" t="s">
        <v>86</v>
      </c>
      <c r="H3639" t="s">
        <v>96</v>
      </c>
      <c r="I3639">
        <v>2004</v>
      </c>
      <c r="J3639">
        <v>0.05</v>
      </c>
      <c r="K3639" t="s">
        <v>101</v>
      </c>
      <c r="L3639">
        <v>0.06</v>
      </c>
      <c r="M3639">
        <v>1</v>
      </c>
      <c r="N3639" t="s">
        <v>121</v>
      </c>
      <c r="O3639" t="s">
        <v>121</v>
      </c>
      <c r="P3639" t="s">
        <v>1504</v>
      </c>
      <c r="Q3639" s="1" t="s">
        <v>2292</v>
      </c>
      <c r="R3639" s="1" t="s">
        <v>264</v>
      </c>
      <c r="S3639" s="1" t="s">
        <v>264</v>
      </c>
      <c r="X3639" t="s">
        <v>642</v>
      </c>
      <c r="Y3639" t="s">
        <v>2273</v>
      </c>
      <c r="Z3639" t="s">
        <v>249</v>
      </c>
      <c r="AA3639" t="s">
        <v>2359</v>
      </c>
      <c r="AB3639" t="s">
        <v>1979</v>
      </c>
      <c r="AC3639" t="s">
        <v>152</v>
      </c>
      <c r="AD3639" t="s">
        <v>137</v>
      </c>
    </row>
    <row r="3640" spans="1:43" x14ac:dyDescent="0.2">
      <c r="A3640" t="s">
        <v>1954</v>
      </c>
      <c r="B3640" t="s">
        <v>1955</v>
      </c>
      <c r="C3640">
        <v>2009</v>
      </c>
      <c r="D3640" t="s">
        <v>44</v>
      </c>
      <c r="E3640" t="s">
        <v>49</v>
      </c>
      <c r="F3640" t="s">
        <v>1503</v>
      </c>
      <c r="G3640" s="1" t="s">
        <v>86</v>
      </c>
      <c r="H3640" t="s">
        <v>96</v>
      </c>
      <c r="I3640">
        <v>2004</v>
      </c>
      <c r="J3640">
        <v>0.05</v>
      </c>
      <c r="K3640" t="s">
        <v>101</v>
      </c>
      <c r="L3640">
        <v>0.06</v>
      </c>
      <c r="M3640">
        <v>1</v>
      </c>
      <c r="N3640" t="s">
        <v>124</v>
      </c>
      <c r="O3640" t="s">
        <v>124</v>
      </c>
      <c r="P3640" t="s">
        <v>1956</v>
      </c>
      <c r="Q3640" s="1" t="s">
        <v>2292</v>
      </c>
      <c r="R3640" s="1" t="s">
        <v>124</v>
      </c>
      <c r="S3640" s="1" t="s">
        <v>124</v>
      </c>
      <c r="X3640" t="s">
        <v>642</v>
      </c>
      <c r="Y3640" t="s">
        <v>2273</v>
      </c>
      <c r="Z3640" t="s">
        <v>249</v>
      </c>
      <c r="AA3640" t="s">
        <v>2359</v>
      </c>
      <c r="AB3640" t="s">
        <v>1979</v>
      </c>
      <c r="AC3640" t="s">
        <v>152</v>
      </c>
      <c r="AD3640" t="s">
        <v>137</v>
      </c>
    </row>
    <row r="3641" spans="1:43" x14ac:dyDescent="0.2">
      <c r="A3641" t="s">
        <v>1954</v>
      </c>
      <c r="B3641" t="s">
        <v>1955</v>
      </c>
      <c r="C3641">
        <v>2009</v>
      </c>
      <c r="D3641" t="s">
        <v>44</v>
      </c>
      <c r="E3641" t="s">
        <v>49</v>
      </c>
      <c r="F3641" t="s">
        <v>1503</v>
      </c>
      <c r="G3641" s="1" t="s">
        <v>86</v>
      </c>
      <c r="H3641" t="s">
        <v>96</v>
      </c>
      <c r="I3641">
        <v>2004</v>
      </c>
      <c r="J3641">
        <v>0.05</v>
      </c>
      <c r="K3641" t="s">
        <v>101</v>
      </c>
      <c r="L3641">
        <v>0.06</v>
      </c>
      <c r="M3641">
        <v>1</v>
      </c>
      <c r="N3641" t="s">
        <v>121</v>
      </c>
      <c r="O3641" t="s">
        <v>121</v>
      </c>
      <c r="P3641" t="s">
        <v>1504</v>
      </c>
      <c r="Q3641" s="1" t="s">
        <v>2292</v>
      </c>
      <c r="R3641" s="1" t="s">
        <v>264</v>
      </c>
      <c r="S3641" s="1" t="s">
        <v>264</v>
      </c>
      <c r="X3641" t="s">
        <v>437</v>
      </c>
      <c r="Y3641" t="s">
        <v>2273</v>
      </c>
      <c r="Z3641" t="s">
        <v>249</v>
      </c>
      <c r="AA3641" t="s">
        <v>2359</v>
      </c>
      <c r="AB3641" t="s">
        <v>1979</v>
      </c>
      <c r="AC3641" t="s">
        <v>152</v>
      </c>
      <c r="AD3641" t="s">
        <v>2288</v>
      </c>
    </row>
    <row r="3642" spans="1:43" x14ac:dyDescent="0.2">
      <c r="A3642" t="s">
        <v>1954</v>
      </c>
      <c r="B3642" t="s">
        <v>1955</v>
      </c>
      <c r="C3642">
        <v>2009</v>
      </c>
      <c r="D3642" t="s">
        <v>44</v>
      </c>
      <c r="E3642" t="s">
        <v>49</v>
      </c>
      <c r="F3642" t="s">
        <v>1503</v>
      </c>
      <c r="G3642" s="1" t="s">
        <v>86</v>
      </c>
      <c r="H3642" t="s">
        <v>96</v>
      </c>
      <c r="I3642">
        <v>2004</v>
      </c>
      <c r="J3642">
        <v>0.05</v>
      </c>
      <c r="K3642" t="s">
        <v>101</v>
      </c>
      <c r="L3642">
        <v>0.06</v>
      </c>
      <c r="M3642">
        <v>1</v>
      </c>
      <c r="N3642" t="s">
        <v>124</v>
      </c>
      <c r="O3642" t="s">
        <v>124</v>
      </c>
      <c r="P3642" t="s">
        <v>1956</v>
      </c>
      <c r="Q3642" s="1" t="s">
        <v>2292</v>
      </c>
      <c r="R3642" s="1" t="s">
        <v>124</v>
      </c>
      <c r="S3642" s="1" t="s">
        <v>124</v>
      </c>
      <c r="X3642" t="s">
        <v>437</v>
      </c>
      <c r="Y3642" t="s">
        <v>2273</v>
      </c>
      <c r="Z3642" t="s">
        <v>249</v>
      </c>
      <c r="AA3642" t="s">
        <v>2359</v>
      </c>
      <c r="AB3642" t="s">
        <v>1979</v>
      </c>
      <c r="AC3642" t="s">
        <v>152</v>
      </c>
      <c r="AD3642" t="s">
        <v>2288</v>
      </c>
    </row>
    <row r="3643" spans="1:43" x14ac:dyDescent="0.2">
      <c r="A3643" t="s">
        <v>1954</v>
      </c>
      <c r="B3643" t="s">
        <v>1955</v>
      </c>
      <c r="C3643">
        <v>2009</v>
      </c>
      <c r="D3643" t="s">
        <v>44</v>
      </c>
      <c r="E3643" t="s">
        <v>49</v>
      </c>
      <c r="F3643" t="s">
        <v>1503</v>
      </c>
      <c r="G3643" s="1" t="s">
        <v>86</v>
      </c>
      <c r="H3643" t="s">
        <v>96</v>
      </c>
      <c r="I3643">
        <v>2004</v>
      </c>
      <c r="J3643">
        <v>0.05</v>
      </c>
      <c r="K3643" t="s">
        <v>101</v>
      </c>
      <c r="L3643">
        <v>0.06</v>
      </c>
      <c r="M3643">
        <v>1</v>
      </c>
      <c r="N3643" t="s">
        <v>121</v>
      </c>
      <c r="O3643" t="s">
        <v>121</v>
      </c>
      <c r="P3643" t="s">
        <v>1504</v>
      </c>
      <c r="Q3643" s="1" t="s">
        <v>2292</v>
      </c>
      <c r="R3643" s="1" t="s">
        <v>264</v>
      </c>
      <c r="S3643" s="1" t="s">
        <v>264</v>
      </c>
      <c r="X3643" t="s">
        <v>189</v>
      </c>
      <c r="Y3643" t="s">
        <v>2279</v>
      </c>
      <c r="Z3643" t="s">
        <v>2280</v>
      </c>
      <c r="AA3643" t="s">
        <v>2358</v>
      </c>
      <c r="AB3643" t="s">
        <v>189</v>
      </c>
      <c r="AC3643" t="s">
        <v>152</v>
      </c>
      <c r="AD3643" t="s">
        <v>2278</v>
      </c>
    </row>
    <row r="3644" spans="1:43" x14ac:dyDescent="0.2">
      <c r="A3644" t="s">
        <v>1954</v>
      </c>
      <c r="B3644" t="s">
        <v>1955</v>
      </c>
      <c r="C3644">
        <v>2009</v>
      </c>
      <c r="D3644" t="s">
        <v>44</v>
      </c>
      <c r="E3644" t="s">
        <v>49</v>
      </c>
      <c r="F3644" t="s">
        <v>1503</v>
      </c>
      <c r="G3644" s="1" t="s">
        <v>86</v>
      </c>
      <c r="H3644" t="s">
        <v>96</v>
      </c>
      <c r="I3644">
        <v>2004</v>
      </c>
      <c r="J3644">
        <v>0.05</v>
      </c>
      <c r="K3644" t="s">
        <v>101</v>
      </c>
      <c r="L3644">
        <v>0.06</v>
      </c>
      <c r="M3644">
        <v>1</v>
      </c>
      <c r="N3644" t="s">
        <v>124</v>
      </c>
      <c r="O3644" t="s">
        <v>124</v>
      </c>
      <c r="P3644" t="s">
        <v>1956</v>
      </c>
      <c r="Q3644" s="1" t="s">
        <v>2292</v>
      </c>
      <c r="R3644" s="1" t="s">
        <v>124</v>
      </c>
      <c r="S3644" s="1" t="s">
        <v>124</v>
      </c>
      <c r="X3644" t="s">
        <v>189</v>
      </c>
      <c r="Y3644" t="s">
        <v>2279</v>
      </c>
      <c r="Z3644" t="s">
        <v>2280</v>
      </c>
      <c r="AA3644" t="s">
        <v>2358</v>
      </c>
      <c r="AB3644" t="s">
        <v>189</v>
      </c>
      <c r="AC3644" t="s">
        <v>152</v>
      </c>
      <c r="AD3644" t="s">
        <v>2278</v>
      </c>
    </row>
    <row r="3645" spans="1:43" x14ac:dyDescent="0.2">
      <c r="A3645" t="s">
        <v>1954</v>
      </c>
      <c r="B3645" t="s">
        <v>1955</v>
      </c>
      <c r="C3645">
        <v>2009</v>
      </c>
      <c r="D3645" t="s">
        <v>44</v>
      </c>
      <c r="E3645" t="s">
        <v>49</v>
      </c>
      <c r="F3645" t="s">
        <v>1503</v>
      </c>
      <c r="G3645" s="1" t="s">
        <v>86</v>
      </c>
      <c r="H3645" t="s">
        <v>96</v>
      </c>
      <c r="I3645">
        <v>2004</v>
      </c>
      <c r="J3645">
        <v>0.05</v>
      </c>
      <c r="K3645" t="s">
        <v>101</v>
      </c>
      <c r="L3645">
        <v>0.06</v>
      </c>
      <c r="M3645">
        <v>1</v>
      </c>
      <c r="N3645" t="s">
        <v>124</v>
      </c>
      <c r="O3645" t="s">
        <v>124</v>
      </c>
      <c r="P3645" t="s">
        <v>1956</v>
      </c>
      <c r="Q3645" s="1" t="s">
        <v>2292</v>
      </c>
      <c r="R3645" s="1" t="s">
        <v>124</v>
      </c>
      <c r="S3645" s="1" t="s">
        <v>124</v>
      </c>
      <c r="X3645" t="s">
        <v>490</v>
      </c>
      <c r="Y3645" t="s">
        <v>2279</v>
      </c>
      <c r="Z3645" t="s">
        <v>2280</v>
      </c>
      <c r="AA3645" t="s">
        <v>2358</v>
      </c>
      <c r="AB3645" t="s">
        <v>2009</v>
      </c>
      <c r="AC3645" t="s">
        <v>162</v>
      </c>
      <c r="AD3645" t="s">
        <v>2278</v>
      </c>
      <c r="AF3645" t="s">
        <v>49</v>
      </c>
      <c r="AG3645" t="s">
        <v>49</v>
      </c>
      <c r="AI3645" t="s">
        <v>49</v>
      </c>
      <c r="AM3645" t="s">
        <v>202</v>
      </c>
      <c r="AN3645" t="s">
        <v>165</v>
      </c>
      <c r="AP3645" t="s">
        <v>49</v>
      </c>
    </row>
    <row r="3646" spans="1:43" x14ac:dyDescent="0.2">
      <c r="A3646" t="s">
        <v>1954</v>
      </c>
      <c r="B3646" t="s">
        <v>1955</v>
      </c>
      <c r="C3646">
        <v>2009</v>
      </c>
      <c r="D3646" t="s">
        <v>44</v>
      </c>
      <c r="E3646" t="s">
        <v>49</v>
      </c>
      <c r="F3646" t="s">
        <v>1503</v>
      </c>
      <c r="G3646" s="1" t="s">
        <v>86</v>
      </c>
      <c r="H3646" t="s">
        <v>96</v>
      </c>
      <c r="I3646">
        <v>2004</v>
      </c>
      <c r="J3646">
        <v>0.05</v>
      </c>
      <c r="K3646" t="s">
        <v>101</v>
      </c>
      <c r="L3646">
        <v>0.06</v>
      </c>
      <c r="M3646">
        <v>1</v>
      </c>
      <c r="N3646" t="s">
        <v>121</v>
      </c>
      <c r="O3646" t="s">
        <v>121</v>
      </c>
      <c r="P3646" t="s">
        <v>1504</v>
      </c>
      <c r="Q3646" s="1" t="s">
        <v>2292</v>
      </c>
      <c r="R3646" s="1" t="s">
        <v>264</v>
      </c>
      <c r="S3646" s="1" t="s">
        <v>264</v>
      </c>
      <c r="T3646" t="s">
        <v>421</v>
      </c>
      <c r="U3646" t="s">
        <v>421</v>
      </c>
      <c r="X3646" t="s">
        <v>161</v>
      </c>
      <c r="Y3646" t="s">
        <v>2272</v>
      </c>
      <c r="Z3646" t="s">
        <v>2272</v>
      </c>
      <c r="AA3646" t="s">
        <v>2272</v>
      </c>
      <c r="AB3646" t="s">
        <v>2272</v>
      </c>
      <c r="AC3646" t="s">
        <v>162</v>
      </c>
      <c r="AD3646" t="s">
        <v>2272</v>
      </c>
      <c r="AF3646" t="s">
        <v>49</v>
      </c>
      <c r="AG3646" t="s">
        <v>49</v>
      </c>
      <c r="AI3646" t="s">
        <v>49</v>
      </c>
      <c r="AM3646" t="s">
        <v>202</v>
      </c>
      <c r="AN3646" t="s">
        <v>165</v>
      </c>
      <c r="AP3646" t="s">
        <v>49</v>
      </c>
    </row>
    <row r="3647" spans="1:43" x14ac:dyDescent="0.2">
      <c r="A3647" t="s">
        <v>1954</v>
      </c>
      <c r="B3647" t="s">
        <v>1955</v>
      </c>
      <c r="C3647">
        <v>2009</v>
      </c>
      <c r="D3647" t="s">
        <v>44</v>
      </c>
      <c r="E3647" t="s">
        <v>49</v>
      </c>
      <c r="F3647" t="s">
        <v>1503</v>
      </c>
      <c r="G3647" s="1" t="s">
        <v>86</v>
      </c>
      <c r="H3647" t="s">
        <v>96</v>
      </c>
      <c r="I3647">
        <v>2004</v>
      </c>
      <c r="J3647">
        <v>0.05</v>
      </c>
      <c r="K3647" t="s">
        <v>101</v>
      </c>
      <c r="L3647">
        <v>0.06</v>
      </c>
      <c r="M3647">
        <v>1</v>
      </c>
      <c r="N3647" t="s">
        <v>124</v>
      </c>
      <c r="O3647" t="s">
        <v>124</v>
      </c>
      <c r="P3647" t="s">
        <v>1956</v>
      </c>
      <c r="Q3647" s="1" t="s">
        <v>2292</v>
      </c>
      <c r="R3647" s="1" t="s">
        <v>124</v>
      </c>
      <c r="S3647" s="1" t="s">
        <v>124</v>
      </c>
      <c r="T3647" t="s">
        <v>421</v>
      </c>
      <c r="U3647" t="s">
        <v>421</v>
      </c>
      <c r="X3647" t="s">
        <v>161</v>
      </c>
      <c r="Y3647" t="s">
        <v>2272</v>
      </c>
      <c r="Z3647" t="s">
        <v>2272</v>
      </c>
      <c r="AA3647" t="s">
        <v>2272</v>
      </c>
      <c r="AB3647" t="s">
        <v>2272</v>
      </c>
      <c r="AC3647" t="s">
        <v>162</v>
      </c>
      <c r="AD3647" t="s">
        <v>2272</v>
      </c>
      <c r="AF3647" t="s">
        <v>49</v>
      </c>
      <c r="AG3647" t="s">
        <v>49</v>
      </c>
      <c r="AI3647" t="s">
        <v>49</v>
      </c>
      <c r="AM3647" t="s">
        <v>202</v>
      </c>
      <c r="AN3647" t="s">
        <v>165</v>
      </c>
      <c r="AP3647" t="s">
        <v>49</v>
      </c>
    </row>
    <row r="3648" spans="1:43" x14ac:dyDescent="0.2">
      <c r="A3648" t="s">
        <v>1954</v>
      </c>
      <c r="B3648" t="s">
        <v>1955</v>
      </c>
      <c r="C3648">
        <v>2009</v>
      </c>
      <c r="D3648" t="s">
        <v>44</v>
      </c>
      <c r="E3648" t="s">
        <v>49</v>
      </c>
      <c r="F3648" t="s">
        <v>1503</v>
      </c>
      <c r="G3648" s="1" t="s">
        <v>86</v>
      </c>
      <c r="H3648" t="s">
        <v>96</v>
      </c>
      <c r="I3648">
        <v>2004</v>
      </c>
      <c r="J3648">
        <v>0.05</v>
      </c>
      <c r="K3648" t="s">
        <v>101</v>
      </c>
      <c r="L3648">
        <v>0.06</v>
      </c>
      <c r="M3648">
        <v>1</v>
      </c>
      <c r="N3648" t="s">
        <v>121</v>
      </c>
      <c r="O3648" t="s">
        <v>121</v>
      </c>
      <c r="P3648" t="s">
        <v>1504</v>
      </c>
      <c r="Q3648" s="1" t="s">
        <v>2292</v>
      </c>
      <c r="R3648" s="1" t="s">
        <v>264</v>
      </c>
      <c r="S3648" s="1" t="s">
        <v>264</v>
      </c>
      <c r="T3648" t="s">
        <v>396</v>
      </c>
      <c r="U3648" s="1" t="s">
        <v>124</v>
      </c>
      <c r="X3648" t="s">
        <v>161</v>
      </c>
      <c r="Y3648" t="s">
        <v>2272</v>
      </c>
      <c r="Z3648" t="s">
        <v>2272</v>
      </c>
      <c r="AA3648" t="s">
        <v>2272</v>
      </c>
      <c r="AB3648" t="s">
        <v>2272</v>
      </c>
      <c r="AC3648" t="s">
        <v>162</v>
      </c>
      <c r="AD3648" t="s">
        <v>2272</v>
      </c>
      <c r="AF3648" t="s">
        <v>49</v>
      </c>
      <c r="AG3648" t="s">
        <v>49</v>
      </c>
      <c r="AI3648" t="s">
        <v>49</v>
      </c>
      <c r="AM3648" t="s">
        <v>202</v>
      </c>
      <c r="AN3648" t="s">
        <v>165</v>
      </c>
      <c r="AP3648" t="s">
        <v>49</v>
      </c>
    </row>
    <row r="3649" spans="1:43" x14ac:dyDescent="0.2">
      <c r="A3649" t="s">
        <v>1954</v>
      </c>
      <c r="B3649" t="s">
        <v>1955</v>
      </c>
      <c r="C3649">
        <v>2009</v>
      </c>
      <c r="D3649" t="s">
        <v>44</v>
      </c>
      <c r="E3649" t="s">
        <v>49</v>
      </c>
      <c r="F3649" t="s">
        <v>1503</v>
      </c>
      <c r="G3649" s="1" t="s">
        <v>86</v>
      </c>
      <c r="H3649" t="s">
        <v>96</v>
      </c>
      <c r="I3649">
        <v>2004</v>
      </c>
      <c r="J3649">
        <v>0.05</v>
      </c>
      <c r="K3649" t="s">
        <v>101</v>
      </c>
      <c r="L3649">
        <v>0.06</v>
      </c>
      <c r="M3649">
        <v>1</v>
      </c>
      <c r="N3649" t="s">
        <v>124</v>
      </c>
      <c r="O3649" t="s">
        <v>124</v>
      </c>
      <c r="P3649" t="s">
        <v>1956</v>
      </c>
      <c r="Q3649" s="1" t="s">
        <v>2292</v>
      </c>
      <c r="R3649" s="1" t="s">
        <v>124</v>
      </c>
      <c r="S3649" s="1" t="s">
        <v>124</v>
      </c>
      <c r="T3649" t="s">
        <v>396</v>
      </c>
      <c r="U3649" s="1" t="s">
        <v>264</v>
      </c>
      <c r="X3649" t="s">
        <v>161</v>
      </c>
      <c r="Y3649" t="s">
        <v>2272</v>
      </c>
      <c r="Z3649" t="s">
        <v>2272</v>
      </c>
      <c r="AA3649" t="s">
        <v>2272</v>
      </c>
      <c r="AB3649" t="s">
        <v>2272</v>
      </c>
      <c r="AC3649" t="s">
        <v>162</v>
      </c>
      <c r="AD3649" t="s">
        <v>2272</v>
      </c>
      <c r="AF3649" t="s">
        <v>49</v>
      </c>
      <c r="AG3649" t="s">
        <v>49</v>
      </c>
      <c r="AI3649" t="s">
        <v>49</v>
      </c>
      <c r="AM3649" t="s">
        <v>202</v>
      </c>
      <c r="AN3649" t="s">
        <v>165</v>
      </c>
      <c r="AP3649" t="s">
        <v>49</v>
      </c>
    </row>
    <row r="3650" spans="1:43" x14ac:dyDescent="0.2">
      <c r="A3650" t="s">
        <v>1954</v>
      </c>
      <c r="B3650" t="s">
        <v>1955</v>
      </c>
      <c r="C3650">
        <v>2009</v>
      </c>
      <c r="D3650" t="s">
        <v>44</v>
      </c>
      <c r="E3650" t="s">
        <v>49</v>
      </c>
      <c r="F3650" t="s">
        <v>1503</v>
      </c>
      <c r="G3650" s="1" t="s">
        <v>86</v>
      </c>
      <c r="H3650" t="s">
        <v>96</v>
      </c>
      <c r="I3650">
        <v>2004</v>
      </c>
      <c r="J3650">
        <v>0.05</v>
      </c>
      <c r="K3650" t="s">
        <v>101</v>
      </c>
      <c r="L3650">
        <v>0.06</v>
      </c>
      <c r="M3650">
        <v>1</v>
      </c>
      <c r="N3650" t="s">
        <v>124</v>
      </c>
      <c r="O3650" t="s">
        <v>124</v>
      </c>
      <c r="P3650" t="s">
        <v>1956</v>
      </c>
      <c r="Q3650" s="1" t="s">
        <v>2292</v>
      </c>
      <c r="R3650" s="1" t="s">
        <v>124</v>
      </c>
      <c r="S3650" s="1" t="s">
        <v>124</v>
      </c>
      <c r="X3650" t="s">
        <v>490</v>
      </c>
      <c r="Y3650" t="s">
        <v>2279</v>
      </c>
      <c r="Z3650" t="s">
        <v>2280</v>
      </c>
      <c r="AA3650" t="s">
        <v>2358</v>
      </c>
      <c r="AB3650" t="s">
        <v>2009</v>
      </c>
      <c r="AC3650" t="s">
        <v>162</v>
      </c>
      <c r="AD3650" t="s">
        <v>2278</v>
      </c>
      <c r="AG3650" t="s">
        <v>49</v>
      </c>
      <c r="AI3650" t="s">
        <v>49</v>
      </c>
      <c r="AM3650" t="s">
        <v>442</v>
      </c>
      <c r="AN3650" t="s">
        <v>154</v>
      </c>
      <c r="AP3650" t="s">
        <v>157</v>
      </c>
    </row>
    <row r="3651" spans="1:43" x14ac:dyDescent="0.2">
      <c r="A3651" t="s">
        <v>1954</v>
      </c>
      <c r="B3651" t="s">
        <v>1955</v>
      </c>
      <c r="C3651">
        <v>2009</v>
      </c>
      <c r="D3651" t="s">
        <v>44</v>
      </c>
      <c r="E3651" t="s">
        <v>49</v>
      </c>
      <c r="F3651" t="s">
        <v>1503</v>
      </c>
      <c r="G3651" s="1" t="s">
        <v>86</v>
      </c>
      <c r="H3651" t="s">
        <v>96</v>
      </c>
      <c r="I3651">
        <v>2004</v>
      </c>
      <c r="J3651">
        <v>0.05</v>
      </c>
      <c r="K3651" t="s">
        <v>101</v>
      </c>
      <c r="L3651">
        <v>0.06</v>
      </c>
      <c r="M3651">
        <v>1</v>
      </c>
      <c r="N3651" t="s">
        <v>121</v>
      </c>
      <c r="O3651" t="s">
        <v>121</v>
      </c>
      <c r="P3651" t="s">
        <v>1504</v>
      </c>
      <c r="Q3651" s="1" t="s">
        <v>2292</v>
      </c>
      <c r="R3651" s="1" t="s">
        <v>264</v>
      </c>
      <c r="S3651" s="1" t="s">
        <v>264</v>
      </c>
      <c r="T3651" t="s">
        <v>421</v>
      </c>
      <c r="U3651" t="s">
        <v>421</v>
      </c>
      <c r="X3651" t="s">
        <v>161</v>
      </c>
      <c r="Y3651" t="s">
        <v>2272</v>
      </c>
      <c r="Z3651" t="s">
        <v>2272</v>
      </c>
      <c r="AA3651" t="s">
        <v>2272</v>
      </c>
      <c r="AB3651" t="s">
        <v>2272</v>
      </c>
      <c r="AC3651" t="s">
        <v>162</v>
      </c>
      <c r="AD3651" t="s">
        <v>2272</v>
      </c>
      <c r="AG3651" t="s">
        <v>49</v>
      </c>
      <c r="AI3651" t="s">
        <v>49</v>
      </c>
      <c r="AM3651" t="s">
        <v>442</v>
      </c>
      <c r="AN3651" t="s">
        <v>154</v>
      </c>
      <c r="AQ3651" s="5">
        <v>0</v>
      </c>
    </row>
    <row r="3652" spans="1:43" x14ac:dyDescent="0.2">
      <c r="A3652" t="s">
        <v>1954</v>
      </c>
      <c r="B3652" t="s">
        <v>1955</v>
      </c>
      <c r="C3652">
        <v>2009</v>
      </c>
      <c r="D3652" t="s">
        <v>44</v>
      </c>
      <c r="E3652" t="s">
        <v>49</v>
      </c>
      <c r="F3652" t="s">
        <v>1503</v>
      </c>
      <c r="G3652" s="1" t="s">
        <v>86</v>
      </c>
      <c r="H3652" t="s">
        <v>96</v>
      </c>
      <c r="I3652">
        <v>2004</v>
      </c>
      <c r="J3652">
        <v>0.05</v>
      </c>
      <c r="K3652" t="s">
        <v>101</v>
      </c>
      <c r="L3652">
        <v>0.06</v>
      </c>
      <c r="M3652">
        <v>1</v>
      </c>
      <c r="N3652" t="s">
        <v>124</v>
      </c>
      <c r="O3652" t="s">
        <v>124</v>
      </c>
      <c r="P3652" t="s">
        <v>1956</v>
      </c>
      <c r="Q3652" s="1" t="s">
        <v>2292</v>
      </c>
      <c r="R3652" s="1" t="s">
        <v>124</v>
      </c>
      <c r="S3652" s="1" t="s">
        <v>124</v>
      </c>
      <c r="T3652" t="s">
        <v>421</v>
      </c>
      <c r="U3652" t="s">
        <v>421</v>
      </c>
      <c r="X3652" t="s">
        <v>161</v>
      </c>
      <c r="Y3652" t="s">
        <v>2272</v>
      </c>
      <c r="Z3652" t="s">
        <v>2272</v>
      </c>
      <c r="AA3652" t="s">
        <v>2272</v>
      </c>
      <c r="AB3652" t="s">
        <v>2272</v>
      </c>
      <c r="AC3652" t="s">
        <v>162</v>
      </c>
      <c r="AD3652" t="s">
        <v>2272</v>
      </c>
      <c r="AG3652" t="s">
        <v>49</v>
      </c>
      <c r="AI3652" t="s">
        <v>49</v>
      </c>
      <c r="AM3652" t="s">
        <v>442</v>
      </c>
      <c r="AN3652" t="s">
        <v>154</v>
      </c>
      <c r="AQ3652" s="5">
        <v>2</v>
      </c>
    </row>
    <row r="3653" spans="1:43" x14ac:dyDescent="0.2">
      <c r="A3653" t="s">
        <v>1954</v>
      </c>
      <c r="B3653" t="s">
        <v>1955</v>
      </c>
      <c r="C3653">
        <v>2009</v>
      </c>
      <c r="D3653" t="s">
        <v>44</v>
      </c>
      <c r="E3653" t="s">
        <v>49</v>
      </c>
      <c r="F3653" t="s">
        <v>1503</v>
      </c>
      <c r="G3653" s="1" t="s">
        <v>86</v>
      </c>
      <c r="H3653" t="s">
        <v>96</v>
      </c>
      <c r="I3653">
        <v>2004</v>
      </c>
      <c r="J3653">
        <v>0.05</v>
      </c>
      <c r="K3653" t="s">
        <v>101</v>
      </c>
      <c r="L3653">
        <v>0.06</v>
      </c>
      <c r="M3653">
        <v>1</v>
      </c>
      <c r="N3653" t="s">
        <v>121</v>
      </c>
      <c r="O3653" t="s">
        <v>121</v>
      </c>
      <c r="P3653" t="s">
        <v>1504</v>
      </c>
      <c r="Q3653" s="1" t="s">
        <v>2292</v>
      </c>
      <c r="R3653" s="1" t="s">
        <v>264</v>
      </c>
      <c r="S3653" s="1" t="s">
        <v>264</v>
      </c>
      <c r="T3653" t="s">
        <v>396</v>
      </c>
      <c r="U3653" t="s">
        <v>124</v>
      </c>
      <c r="X3653" t="s">
        <v>161</v>
      </c>
      <c r="Y3653" t="s">
        <v>2272</v>
      </c>
      <c r="Z3653" t="s">
        <v>2272</v>
      </c>
      <c r="AA3653" t="s">
        <v>2272</v>
      </c>
      <c r="AB3653" t="s">
        <v>2272</v>
      </c>
      <c r="AC3653" t="s">
        <v>162</v>
      </c>
      <c r="AD3653" t="s">
        <v>2272</v>
      </c>
      <c r="AG3653" t="s">
        <v>49</v>
      </c>
      <c r="AI3653" t="s">
        <v>49</v>
      </c>
      <c r="AM3653" t="s">
        <v>442</v>
      </c>
      <c r="AN3653" t="s">
        <v>154</v>
      </c>
      <c r="AQ3653" s="5">
        <v>1</v>
      </c>
    </row>
    <row r="3654" spans="1:43" x14ac:dyDescent="0.2">
      <c r="A3654" t="s">
        <v>1954</v>
      </c>
      <c r="B3654" t="s">
        <v>1955</v>
      </c>
      <c r="C3654">
        <v>2009</v>
      </c>
      <c r="D3654" t="s">
        <v>44</v>
      </c>
      <c r="E3654" t="s">
        <v>49</v>
      </c>
      <c r="F3654" t="s">
        <v>1503</v>
      </c>
      <c r="G3654" s="1" t="s">
        <v>86</v>
      </c>
      <c r="H3654" t="s">
        <v>96</v>
      </c>
      <c r="I3654">
        <v>2004</v>
      </c>
      <c r="J3654">
        <v>0.05</v>
      </c>
      <c r="K3654" t="s">
        <v>101</v>
      </c>
      <c r="L3654">
        <v>0.06</v>
      </c>
      <c r="M3654">
        <v>1</v>
      </c>
      <c r="N3654" t="s">
        <v>124</v>
      </c>
      <c r="O3654" t="s">
        <v>124</v>
      </c>
      <c r="P3654" t="s">
        <v>1956</v>
      </c>
      <c r="Q3654" s="1" t="s">
        <v>2292</v>
      </c>
      <c r="R3654" s="1" t="s">
        <v>124</v>
      </c>
      <c r="S3654" s="1" t="s">
        <v>124</v>
      </c>
      <c r="T3654" t="s">
        <v>396</v>
      </c>
      <c r="U3654" t="s">
        <v>264</v>
      </c>
      <c r="X3654" t="s">
        <v>161</v>
      </c>
      <c r="Y3654" t="s">
        <v>2272</v>
      </c>
      <c r="Z3654" t="s">
        <v>2272</v>
      </c>
      <c r="AA3654" t="s">
        <v>2272</v>
      </c>
      <c r="AB3654" t="s">
        <v>2272</v>
      </c>
      <c r="AC3654" t="s">
        <v>162</v>
      </c>
      <c r="AD3654" t="s">
        <v>2272</v>
      </c>
      <c r="AG3654" t="s">
        <v>49</v>
      </c>
      <c r="AI3654" t="s">
        <v>49</v>
      </c>
      <c r="AM3654" t="s">
        <v>442</v>
      </c>
      <c r="AN3654" t="s">
        <v>154</v>
      </c>
      <c r="AQ3654" s="5">
        <v>2</v>
      </c>
    </row>
    <row r="3655" spans="1:43" x14ac:dyDescent="0.2">
      <c r="A3655" t="s">
        <v>1954</v>
      </c>
      <c r="B3655" t="s">
        <v>1955</v>
      </c>
      <c r="C3655">
        <v>2009</v>
      </c>
      <c r="D3655" t="s">
        <v>44</v>
      </c>
      <c r="E3655" t="s">
        <v>49</v>
      </c>
      <c r="F3655" t="s">
        <v>1503</v>
      </c>
      <c r="G3655" s="1" t="s">
        <v>86</v>
      </c>
      <c r="H3655" t="s">
        <v>96</v>
      </c>
      <c r="I3655">
        <v>2004</v>
      </c>
      <c r="J3655">
        <v>0.05</v>
      </c>
      <c r="K3655" t="s">
        <v>101</v>
      </c>
      <c r="L3655">
        <v>0.06</v>
      </c>
      <c r="M3655">
        <v>1</v>
      </c>
      <c r="N3655" t="s">
        <v>124</v>
      </c>
      <c r="O3655" t="s">
        <v>124</v>
      </c>
      <c r="P3655" t="s">
        <v>1956</v>
      </c>
      <c r="Q3655" s="1" t="s">
        <v>2292</v>
      </c>
      <c r="R3655" s="1" t="s">
        <v>124</v>
      </c>
      <c r="S3655" s="1" t="s">
        <v>124</v>
      </c>
      <c r="X3655" t="s">
        <v>490</v>
      </c>
      <c r="Y3655" t="s">
        <v>2279</v>
      </c>
      <c r="Z3655" t="s">
        <v>2280</v>
      </c>
      <c r="AA3655" t="s">
        <v>2358</v>
      </c>
      <c r="AB3655" t="s">
        <v>2009</v>
      </c>
      <c r="AC3655" t="s">
        <v>162</v>
      </c>
      <c r="AD3655" t="s">
        <v>2278</v>
      </c>
      <c r="AF3655" t="s">
        <v>49</v>
      </c>
      <c r="AI3655" t="s">
        <v>49</v>
      </c>
      <c r="AM3655" t="s">
        <v>201</v>
      </c>
      <c r="AN3655" t="s">
        <v>154</v>
      </c>
      <c r="AP3655" t="s">
        <v>51</v>
      </c>
    </row>
    <row r="3656" spans="1:43" x14ac:dyDescent="0.2">
      <c r="A3656" t="s">
        <v>1954</v>
      </c>
      <c r="B3656" t="s">
        <v>1955</v>
      </c>
      <c r="C3656">
        <v>2009</v>
      </c>
      <c r="D3656" t="s">
        <v>44</v>
      </c>
      <c r="E3656" t="s">
        <v>49</v>
      </c>
      <c r="F3656" t="s">
        <v>1503</v>
      </c>
      <c r="G3656" s="1" t="s">
        <v>86</v>
      </c>
      <c r="H3656" t="s">
        <v>96</v>
      </c>
      <c r="I3656">
        <v>2004</v>
      </c>
      <c r="J3656">
        <v>0.05</v>
      </c>
      <c r="K3656" t="s">
        <v>101</v>
      </c>
      <c r="L3656">
        <v>0.06</v>
      </c>
      <c r="M3656">
        <v>1</v>
      </c>
      <c r="N3656" t="s">
        <v>121</v>
      </c>
      <c r="O3656" t="s">
        <v>121</v>
      </c>
      <c r="P3656" t="s">
        <v>1504</v>
      </c>
      <c r="Q3656" s="1" t="s">
        <v>2292</v>
      </c>
      <c r="R3656" s="1" t="s">
        <v>264</v>
      </c>
      <c r="S3656" s="1" t="s">
        <v>264</v>
      </c>
      <c r="T3656" t="s">
        <v>421</v>
      </c>
      <c r="U3656" t="s">
        <v>421</v>
      </c>
      <c r="X3656" t="s">
        <v>161</v>
      </c>
      <c r="Y3656" t="s">
        <v>2272</v>
      </c>
      <c r="Z3656" t="s">
        <v>2272</v>
      </c>
      <c r="AA3656" t="s">
        <v>2272</v>
      </c>
      <c r="AB3656" t="s">
        <v>2272</v>
      </c>
      <c r="AC3656" t="s">
        <v>162</v>
      </c>
      <c r="AD3656" t="s">
        <v>2272</v>
      </c>
      <c r="AF3656" t="s">
        <v>49</v>
      </c>
      <c r="AI3656" t="s">
        <v>49</v>
      </c>
      <c r="AM3656" t="s">
        <v>201</v>
      </c>
      <c r="AN3656" t="s">
        <v>154</v>
      </c>
      <c r="AQ3656" s="5">
        <v>2</v>
      </c>
    </row>
    <row r="3657" spans="1:43" x14ac:dyDescent="0.2">
      <c r="A3657" t="s">
        <v>1954</v>
      </c>
      <c r="B3657" t="s">
        <v>1955</v>
      </c>
      <c r="C3657">
        <v>2009</v>
      </c>
      <c r="D3657" t="s">
        <v>44</v>
      </c>
      <c r="E3657" t="s">
        <v>49</v>
      </c>
      <c r="F3657" t="s">
        <v>1503</v>
      </c>
      <c r="G3657" s="1" t="s">
        <v>86</v>
      </c>
      <c r="H3657" t="s">
        <v>96</v>
      </c>
      <c r="I3657">
        <v>2004</v>
      </c>
      <c r="J3657">
        <v>0.05</v>
      </c>
      <c r="K3657" t="s">
        <v>101</v>
      </c>
      <c r="L3657">
        <v>0.06</v>
      </c>
      <c r="M3657">
        <v>1</v>
      </c>
      <c r="N3657" t="s">
        <v>124</v>
      </c>
      <c r="O3657" t="s">
        <v>124</v>
      </c>
      <c r="P3657" t="s">
        <v>1956</v>
      </c>
      <c r="Q3657" s="1" t="s">
        <v>2292</v>
      </c>
      <c r="R3657" s="1" t="s">
        <v>124</v>
      </c>
      <c r="S3657" s="1" t="s">
        <v>124</v>
      </c>
      <c r="T3657" t="s">
        <v>421</v>
      </c>
      <c r="U3657" t="s">
        <v>421</v>
      </c>
      <c r="X3657" t="s">
        <v>161</v>
      </c>
      <c r="Y3657" t="s">
        <v>2272</v>
      </c>
      <c r="Z3657" t="s">
        <v>2272</v>
      </c>
      <c r="AA3657" t="s">
        <v>2272</v>
      </c>
      <c r="AB3657" t="s">
        <v>2272</v>
      </c>
      <c r="AC3657" t="s">
        <v>162</v>
      </c>
      <c r="AD3657" t="s">
        <v>2272</v>
      </c>
      <c r="AF3657" t="s">
        <v>49</v>
      </c>
      <c r="AI3657" t="s">
        <v>49</v>
      </c>
      <c r="AM3657" t="s">
        <v>201</v>
      </c>
      <c r="AN3657" t="s">
        <v>154</v>
      </c>
      <c r="AQ3657" s="5">
        <v>1</v>
      </c>
    </row>
    <row r="3658" spans="1:43" x14ac:dyDescent="0.2">
      <c r="A3658" t="s">
        <v>1954</v>
      </c>
      <c r="B3658" t="s">
        <v>1955</v>
      </c>
      <c r="C3658">
        <v>2009</v>
      </c>
      <c r="D3658" t="s">
        <v>44</v>
      </c>
      <c r="E3658" t="s">
        <v>49</v>
      </c>
      <c r="F3658" t="s">
        <v>1503</v>
      </c>
      <c r="G3658" s="1" t="s">
        <v>86</v>
      </c>
      <c r="H3658" t="s">
        <v>96</v>
      </c>
      <c r="I3658">
        <v>2004</v>
      </c>
      <c r="J3658">
        <v>0.05</v>
      </c>
      <c r="K3658" t="s">
        <v>101</v>
      </c>
      <c r="L3658">
        <v>0.06</v>
      </c>
      <c r="M3658">
        <v>1</v>
      </c>
      <c r="N3658" t="s">
        <v>121</v>
      </c>
      <c r="O3658" t="s">
        <v>121</v>
      </c>
      <c r="P3658" t="s">
        <v>1504</v>
      </c>
      <c r="Q3658" s="1" t="s">
        <v>2292</v>
      </c>
      <c r="R3658" s="1" t="s">
        <v>264</v>
      </c>
      <c r="S3658" s="1" t="s">
        <v>264</v>
      </c>
      <c r="T3658" t="s">
        <v>396</v>
      </c>
      <c r="U3658" t="s">
        <v>124</v>
      </c>
      <c r="X3658" t="s">
        <v>161</v>
      </c>
      <c r="Y3658" t="s">
        <v>2272</v>
      </c>
      <c r="Z3658" t="s">
        <v>2272</v>
      </c>
      <c r="AA3658" t="s">
        <v>2272</v>
      </c>
      <c r="AB3658" t="s">
        <v>2272</v>
      </c>
      <c r="AC3658" t="s">
        <v>162</v>
      </c>
      <c r="AD3658" t="s">
        <v>2272</v>
      </c>
      <c r="AF3658" t="s">
        <v>49</v>
      </c>
      <c r="AI3658" t="s">
        <v>49</v>
      </c>
      <c r="AM3658" t="s">
        <v>201</v>
      </c>
      <c r="AN3658" t="s">
        <v>154</v>
      </c>
      <c r="AQ3658" s="5">
        <v>2</v>
      </c>
    </row>
    <row r="3659" spans="1:43" x14ac:dyDescent="0.2">
      <c r="A3659" t="s">
        <v>1954</v>
      </c>
      <c r="B3659" t="s">
        <v>1955</v>
      </c>
      <c r="C3659">
        <v>2009</v>
      </c>
      <c r="D3659" t="s">
        <v>44</v>
      </c>
      <c r="E3659" t="s">
        <v>49</v>
      </c>
      <c r="F3659" t="s">
        <v>1503</v>
      </c>
      <c r="G3659" s="1" t="s">
        <v>86</v>
      </c>
      <c r="H3659" t="s">
        <v>96</v>
      </c>
      <c r="I3659">
        <v>2004</v>
      </c>
      <c r="J3659">
        <v>0.05</v>
      </c>
      <c r="K3659" t="s">
        <v>101</v>
      </c>
      <c r="L3659">
        <v>0.06</v>
      </c>
      <c r="M3659">
        <v>1</v>
      </c>
      <c r="N3659" t="s">
        <v>124</v>
      </c>
      <c r="O3659" t="s">
        <v>124</v>
      </c>
      <c r="P3659" t="s">
        <v>1956</v>
      </c>
      <c r="Q3659" s="1" t="s">
        <v>2292</v>
      </c>
      <c r="R3659" s="1" t="s">
        <v>124</v>
      </c>
      <c r="S3659" s="1" t="s">
        <v>124</v>
      </c>
      <c r="T3659" t="s">
        <v>396</v>
      </c>
      <c r="U3659" t="s">
        <v>264</v>
      </c>
      <c r="X3659" t="s">
        <v>161</v>
      </c>
      <c r="Y3659" t="s">
        <v>2272</v>
      </c>
      <c r="Z3659" t="s">
        <v>2272</v>
      </c>
      <c r="AA3659" t="s">
        <v>2272</v>
      </c>
      <c r="AB3659" t="s">
        <v>2272</v>
      </c>
      <c r="AC3659" t="s">
        <v>162</v>
      </c>
      <c r="AD3659" t="s">
        <v>2272</v>
      </c>
      <c r="AF3659" t="s">
        <v>49</v>
      </c>
      <c r="AI3659" t="s">
        <v>49</v>
      </c>
      <c r="AM3659" t="s">
        <v>201</v>
      </c>
      <c r="AN3659" t="s">
        <v>154</v>
      </c>
      <c r="AQ3659" s="5">
        <v>1</v>
      </c>
    </row>
    <row r="3660" spans="1:43" x14ac:dyDescent="0.2">
      <c r="A3660" t="s">
        <v>1954</v>
      </c>
      <c r="B3660" t="s">
        <v>1955</v>
      </c>
      <c r="C3660">
        <v>2009</v>
      </c>
      <c r="D3660" t="s">
        <v>44</v>
      </c>
      <c r="E3660" t="s">
        <v>49</v>
      </c>
      <c r="F3660" t="s">
        <v>1503</v>
      </c>
      <c r="G3660" s="1" t="s">
        <v>86</v>
      </c>
      <c r="H3660" t="s">
        <v>96</v>
      </c>
      <c r="I3660">
        <v>2004</v>
      </c>
      <c r="J3660">
        <v>0.05</v>
      </c>
      <c r="K3660" t="s">
        <v>101</v>
      </c>
      <c r="L3660">
        <v>0.06</v>
      </c>
      <c r="M3660">
        <v>1</v>
      </c>
      <c r="N3660" t="s">
        <v>124</v>
      </c>
      <c r="O3660" t="s">
        <v>124</v>
      </c>
      <c r="P3660" t="s">
        <v>1956</v>
      </c>
      <c r="Q3660" s="1" t="s">
        <v>2292</v>
      </c>
      <c r="R3660" s="1" t="s">
        <v>124</v>
      </c>
      <c r="S3660" s="1" t="s">
        <v>124</v>
      </c>
      <c r="X3660" t="s">
        <v>490</v>
      </c>
      <c r="Y3660" t="s">
        <v>2279</v>
      </c>
      <c r="Z3660" t="s">
        <v>2280</v>
      </c>
      <c r="AA3660" t="s">
        <v>2358</v>
      </c>
      <c r="AB3660" t="s">
        <v>2009</v>
      </c>
      <c r="AC3660" t="s">
        <v>162</v>
      </c>
      <c r="AD3660" t="s">
        <v>2278</v>
      </c>
      <c r="AF3660" t="s">
        <v>49</v>
      </c>
      <c r="AG3660" t="s">
        <v>49</v>
      </c>
      <c r="AI3660" t="s">
        <v>49</v>
      </c>
      <c r="AM3660" t="s">
        <v>202</v>
      </c>
      <c r="AN3660" t="s">
        <v>154</v>
      </c>
      <c r="AP3660" t="s">
        <v>157</v>
      </c>
    </row>
    <row r="3661" spans="1:43" x14ac:dyDescent="0.2">
      <c r="A3661" t="s">
        <v>1954</v>
      </c>
      <c r="B3661" t="s">
        <v>1955</v>
      </c>
      <c r="C3661">
        <v>2009</v>
      </c>
      <c r="D3661" t="s">
        <v>44</v>
      </c>
      <c r="E3661" t="s">
        <v>49</v>
      </c>
      <c r="F3661" t="s">
        <v>1503</v>
      </c>
      <c r="G3661" s="1" t="s">
        <v>86</v>
      </c>
      <c r="H3661" t="s">
        <v>96</v>
      </c>
      <c r="I3661">
        <v>2004</v>
      </c>
      <c r="J3661">
        <v>0.05</v>
      </c>
      <c r="K3661" t="s">
        <v>101</v>
      </c>
      <c r="L3661">
        <v>0.06</v>
      </c>
      <c r="M3661">
        <v>1</v>
      </c>
      <c r="N3661" t="s">
        <v>121</v>
      </c>
      <c r="O3661" t="s">
        <v>121</v>
      </c>
      <c r="P3661" t="s">
        <v>1504</v>
      </c>
      <c r="Q3661" s="1" t="s">
        <v>2292</v>
      </c>
      <c r="R3661" s="1" t="s">
        <v>264</v>
      </c>
      <c r="S3661" s="1" t="s">
        <v>264</v>
      </c>
      <c r="T3661" t="s">
        <v>421</v>
      </c>
      <c r="U3661" t="s">
        <v>421</v>
      </c>
      <c r="X3661" t="s">
        <v>161</v>
      </c>
      <c r="Y3661" t="s">
        <v>2272</v>
      </c>
      <c r="Z3661" t="s">
        <v>2272</v>
      </c>
      <c r="AA3661" t="s">
        <v>2272</v>
      </c>
      <c r="AB3661" t="s">
        <v>2272</v>
      </c>
      <c r="AC3661" t="s">
        <v>162</v>
      </c>
      <c r="AD3661" t="s">
        <v>2272</v>
      </c>
      <c r="AF3661" t="s">
        <v>49</v>
      </c>
      <c r="AG3661" t="s">
        <v>49</v>
      </c>
      <c r="AI3661" t="s">
        <v>49</v>
      </c>
      <c r="AM3661" t="s">
        <v>202</v>
      </c>
      <c r="AN3661" t="s">
        <v>154</v>
      </c>
      <c r="AQ3661" s="5">
        <v>0</v>
      </c>
    </row>
    <row r="3662" spans="1:43" x14ac:dyDescent="0.2">
      <c r="A3662" t="s">
        <v>1954</v>
      </c>
      <c r="B3662" t="s">
        <v>1955</v>
      </c>
      <c r="C3662">
        <v>2009</v>
      </c>
      <c r="D3662" t="s">
        <v>44</v>
      </c>
      <c r="E3662" t="s">
        <v>49</v>
      </c>
      <c r="F3662" t="s">
        <v>1503</v>
      </c>
      <c r="G3662" s="1" t="s">
        <v>86</v>
      </c>
      <c r="H3662" t="s">
        <v>96</v>
      </c>
      <c r="I3662">
        <v>2004</v>
      </c>
      <c r="J3662">
        <v>0.05</v>
      </c>
      <c r="K3662" t="s">
        <v>101</v>
      </c>
      <c r="L3662">
        <v>0.06</v>
      </c>
      <c r="M3662">
        <v>1</v>
      </c>
      <c r="N3662" t="s">
        <v>124</v>
      </c>
      <c r="O3662" t="s">
        <v>124</v>
      </c>
      <c r="P3662" t="s">
        <v>1956</v>
      </c>
      <c r="Q3662" s="1" t="s">
        <v>2292</v>
      </c>
      <c r="R3662" s="1" t="s">
        <v>124</v>
      </c>
      <c r="S3662" s="1" t="s">
        <v>124</v>
      </c>
      <c r="T3662" t="s">
        <v>421</v>
      </c>
      <c r="U3662" t="s">
        <v>421</v>
      </c>
      <c r="X3662" t="s">
        <v>161</v>
      </c>
      <c r="Y3662" t="s">
        <v>2272</v>
      </c>
      <c r="Z3662" t="s">
        <v>2272</v>
      </c>
      <c r="AA3662" t="s">
        <v>2272</v>
      </c>
      <c r="AB3662" t="s">
        <v>2272</v>
      </c>
      <c r="AC3662" t="s">
        <v>162</v>
      </c>
      <c r="AD3662" t="s">
        <v>2272</v>
      </c>
      <c r="AF3662" t="s">
        <v>49</v>
      </c>
      <c r="AG3662" t="s">
        <v>49</v>
      </c>
      <c r="AI3662" t="s">
        <v>49</v>
      </c>
      <c r="AM3662" t="s">
        <v>202</v>
      </c>
      <c r="AN3662" t="s">
        <v>154</v>
      </c>
      <c r="AQ3662" s="5">
        <v>2</v>
      </c>
    </row>
    <row r="3663" spans="1:43" x14ac:dyDescent="0.2">
      <c r="A3663" t="s">
        <v>1954</v>
      </c>
      <c r="B3663" t="s">
        <v>1955</v>
      </c>
      <c r="C3663">
        <v>2009</v>
      </c>
      <c r="D3663" t="s">
        <v>44</v>
      </c>
      <c r="E3663" t="s">
        <v>49</v>
      </c>
      <c r="F3663" t="s">
        <v>1503</v>
      </c>
      <c r="G3663" s="1" t="s">
        <v>86</v>
      </c>
      <c r="H3663" t="s">
        <v>96</v>
      </c>
      <c r="I3663">
        <v>2004</v>
      </c>
      <c r="J3663">
        <v>0.05</v>
      </c>
      <c r="K3663" t="s">
        <v>101</v>
      </c>
      <c r="L3663">
        <v>0.06</v>
      </c>
      <c r="M3663">
        <v>1</v>
      </c>
      <c r="N3663" t="s">
        <v>121</v>
      </c>
      <c r="O3663" t="s">
        <v>121</v>
      </c>
      <c r="P3663" t="s">
        <v>1504</v>
      </c>
      <c r="Q3663" s="1" t="s">
        <v>2292</v>
      </c>
      <c r="R3663" s="1" t="s">
        <v>264</v>
      </c>
      <c r="S3663" s="1" t="s">
        <v>264</v>
      </c>
      <c r="T3663" t="s">
        <v>396</v>
      </c>
      <c r="U3663" t="s">
        <v>124</v>
      </c>
      <c r="X3663" t="s">
        <v>161</v>
      </c>
      <c r="Y3663" t="s">
        <v>2272</v>
      </c>
      <c r="Z3663" t="s">
        <v>2272</v>
      </c>
      <c r="AA3663" t="s">
        <v>2272</v>
      </c>
      <c r="AB3663" t="s">
        <v>2272</v>
      </c>
      <c r="AC3663" t="s">
        <v>162</v>
      </c>
      <c r="AD3663" t="s">
        <v>2272</v>
      </c>
      <c r="AF3663" t="s">
        <v>49</v>
      </c>
      <c r="AG3663" t="s">
        <v>49</v>
      </c>
      <c r="AI3663" t="s">
        <v>49</v>
      </c>
      <c r="AM3663" t="s">
        <v>202</v>
      </c>
      <c r="AN3663" t="s">
        <v>154</v>
      </c>
      <c r="AQ3663" s="5">
        <v>1</v>
      </c>
    </row>
    <row r="3664" spans="1:43" x14ac:dyDescent="0.2">
      <c r="A3664" t="s">
        <v>1954</v>
      </c>
      <c r="B3664" t="s">
        <v>1955</v>
      </c>
      <c r="C3664">
        <v>2009</v>
      </c>
      <c r="D3664" t="s">
        <v>44</v>
      </c>
      <c r="E3664" t="s">
        <v>49</v>
      </c>
      <c r="F3664" t="s">
        <v>1503</v>
      </c>
      <c r="G3664" s="1" t="s">
        <v>86</v>
      </c>
      <c r="H3664" t="s">
        <v>96</v>
      </c>
      <c r="I3664">
        <v>2004</v>
      </c>
      <c r="J3664">
        <v>0.05</v>
      </c>
      <c r="K3664" t="s">
        <v>101</v>
      </c>
      <c r="L3664">
        <v>0.06</v>
      </c>
      <c r="M3664">
        <v>1</v>
      </c>
      <c r="N3664" t="s">
        <v>124</v>
      </c>
      <c r="O3664" t="s">
        <v>124</v>
      </c>
      <c r="P3664" t="s">
        <v>1956</v>
      </c>
      <c r="Q3664" s="1" t="s">
        <v>2292</v>
      </c>
      <c r="R3664" s="1" t="s">
        <v>124</v>
      </c>
      <c r="S3664" s="1" t="s">
        <v>124</v>
      </c>
      <c r="T3664" t="s">
        <v>396</v>
      </c>
      <c r="U3664" t="s">
        <v>264</v>
      </c>
      <c r="X3664" t="s">
        <v>161</v>
      </c>
      <c r="Y3664" t="s">
        <v>2272</v>
      </c>
      <c r="Z3664" t="s">
        <v>2272</v>
      </c>
      <c r="AA3664" t="s">
        <v>2272</v>
      </c>
      <c r="AB3664" t="s">
        <v>2272</v>
      </c>
      <c r="AC3664" t="s">
        <v>162</v>
      </c>
      <c r="AD3664" t="s">
        <v>2272</v>
      </c>
      <c r="AF3664" t="s">
        <v>49</v>
      </c>
      <c r="AG3664" t="s">
        <v>49</v>
      </c>
      <c r="AI3664" t="s">
        <v>49</v>
      </c>
      <c r="AM3664" t="s">
        <v>202</v>
      </c>
      <c r="AN3664" t="s">
        <v>154</v>
      </c>
      <c r="AQ3664" s="5">
        <v>2</v>
      </c>
    </row>
    <row r="3665" spans="1:43" x14ac:dyDescent="0.2">
      <c r="A3665" t="s">
        <v>1954</v>
      </c>
      <c r="B3665" t="s">
        <v>1955</v>
      </c>
      <c r="C3665">
        <v>2009</v>
      </c>
      <c r="D3665" t="s">
        <v>44</v>
      </c>
      <c r="E3665" t="s">
        <v>49</v>
      </c>
      <c r="F3665" t="s">
        <v>1503</v>
      </c>
      <c r="G3665" s="1" t="s">
        <v>86</v>
      </c>
      <c r="H3665" t="s">
        <v>96</v>
      </c>
      <c r="I3665">
        <v>2004</v>
      </c>
      <c r="J3665">
        <v>0.05</v>
      </c>
      <c r="K3665" t="s">
        <v>101</v>
      </c>
      <c r="L3665">
        <v>0.06</v>
      </c>
      <c r="M3665">
        <v>1</v>
      </c>
      <c r="N3665" t="s">
        <v>124</v>
      </c>
      <c r="O3665" t="s">
        <v>124</v>
      </c>
      <c r="P3665" t="s">
        <v>1956</v>
      </c>
      <c r="Q3665" s="1" t="s">
        <v>2292</v>
      </c>
      <c r="R3665" s="1" t="s">
        <v>124</v>
      </c>
      <c r="S3665" s="1" t="s">
        <v>124</v>
      </c>
      <c r="X3665" t="s">
        <v>490</v>
      </c>
      <c r="Y3665" t="s">
        <v>2279</v>
      </c>
      <c r="Z3665" t="s">
        <v>2280</v>
      </c>
      <c r="AA3665" t="s">
        <v>2358</v>
      </c>
      <c r="AB3665" t="s">
        <v>2009</v>
      </c>
      <c r="AC3665" t="s">
        <v>162</v>
      </c>
      <c r="AD3665" t="s">
        <v>2278</v>
      </c>
      <c r="AG3665" t="s">
        <v>49</v>
      </c>
      <c r="AI3665" t="s">
        <v>49</v>
      </c>
      <c r="AM3665" t="s">
        <v>442</v>
      </c>
      <c r="AN3665" t="s">
        <v>166</v>
      </c>
      <c r="AP3665" t="s">
        <v>157</v>
      </c>
    </row>
    <row r="3666" spans="1:43" x14ac:dyDescent="0.2">
      <c r="A3666" t="s">
        <v>1954</v>
      </c>
      <c r="B3666" t="s">
        <v>1955</v>
      </c>
      <c r="C3666">
        <v>2009</v>
      </c>
      <c r="D3666" t="s">
        <v>44</v>
      </c>
      <c r="E3666" t="s">
        <v>49</v>
      </c>
      <c r="F3666" t="s">
        <v>1503</v>
      </c>
      <c r="G3666" s="1" t="s">
        <v>86</v>
      </c>
      <c r="H3666" t="s">
        <v>96</v>
      </c>
      <c r="I3666">
        <v>2004</v>
      </c>
      <c r="J3666">
        <v>0.05</v>
      </c>
      <c r="K3666" t="s">
        <v>101</v>
      </c>
      <c r="L3666">
        <v>0.06</v>
      </c>
      <c r="M3666">
        <v>1</v>
      </c>
      <c r="N3666" t="s">
        <v>121</v>
      </c>
      <c r="O3666" t="s">
        <v>121</v>
      </c>
      <c r="P3666" t="s">
        <v>1504</v>
      </c>
      <c r="Q3666" s="1" t="s">
        <v>2292</v>
      </c>
      <c r="R3666" s="1" t="s">
        <v>264</v>
      </c>
      <c r="S3666" s="1" t="s">
        <v>264</v>
      </c>
      <c r="T3666" t="s">
        <v>421</v>
      </c>
      <c r="U3666" t="s">
        <v>421</v>
      </c>
      <c r="X3666" t="s">
        <v>161</v>
      </c>
      <c r="Y3666" t="s">
        <v>2272</v>
      </c>
      <c r="Z3666" t="s">
        <v>2272</v>
      </c>
      <c r="AA3666" t="s">
        <v>2272</v>
      </c>
      <c r="AB3666" t="s">
        <v>2272</v>
      </c>
      <c r="AC3666" t="s">
        <v>162</v>
      </c>
      <c r="AD3666" t="s">
        <v>2272</v>
      </c>
      <c r="AG3666" t="s">
        <v>49</v>
      </c>
      <c r="AI3666" t="s">
        <v>49</v>
      </c>
      <c r="AM3666" t="s">
        <v>442</v>
      </c>
      <c r="AN3666" t="s">
        <v>166</v>
      </c>
      <c r="AQ3666" s="5">
        <v>1</v>
      </c>
    </row>
    <row r="3667" spans="1:43" x14ac:dyDescent="0.2">
      <c r="A3667" t="s">
        <v>1954</v>
      </c>
      <c r="B3667" t="s">
        <v>1955</v>
      </c>
      <c r="C3667">
        <v>2009</v>
      </c>
      <c r="D3667" t="s">
        <v>44</v>
      </c>
      <c r="E3667" t="s">
        <v>49</v>
      </c>
      <c r="F3667" t="s">
        <v>1503</v>
      </c>
      <c r="G3667" s="1" t="s">
        <v>86</v>
      </c>
      <c r="H3667" t="s">
        <v>96</v>
      </c>
      <c r="I3667">
        <v>2004</v>
      </c>
      <c r="J3667">
        <v>0.05</v>
      </c>
      <c r="K3667" t="s">
        <v>101</v>
      </c>
      <c r="L3667">
        <v>0.06</v>
      </c>
      <c r="M3667">
        <v>1</v>
      </c>
      <c r="N3667" t="s">
        <v>124</v>
      </c>
      <c r="O3667" t="s">
        <v>124</v>
      </c>
      <c r="P3667" t="s">
        <v>1956</v>
      </c>
      <c r="Q3667" s="1" t="s">
        <v>2292</v>
      </c>
      <c r="R3667" s="1" t="s">
        <v>124</v>
      </c>
      <c r="S3667" s="1" t="s">
        <v>124</v>
      </c>
      <c r="T3667" t="s">
        <v>421</v>
      </c>
      <c r="U3667" t="s">
        <v>421</v>
      </c>
      <c r="X3667" t="s">
        <v>161</v>
      </c>
      <c r="Y3667" t="s">
        <v>2272</v>
      </c>
      <c r="Z3667" t="s">
        <v>2272</v>
      </c>
      <c r="AA3667" t="s">
        <v>2272</v>
      </c>
      <c r="AB3667" t="s">
        <v>2272</v>
      </c>
      <c r="AC3667" t="s">
        <v>162</v>
      </c>
      <c r="AD3667" t="s">
        <v>2272</v>
      </c>
      <c r="AG3667" t="s">
        <v>49</v>
      </c>
      <c r="AI3667" t="s">
        <v>49</v>
      </c>
      <c r="AM3667" t="s">
        <v>442</v>
      </c>
      <c r="AN3667" t="s">
        <v>166</v>
      </c>
      <c r="AQ3667" s="5">
        <v>1</v>
      </c>
    </row>
    <row r="3668" spans="1:43" x14ac:dyDescent="0.2">
      <c r="A3668" t="s">
        <v>1954</v>
      </c>
      <c r="B3668" t="s">
        <v>1955</v>
      </c>
      <c r="C3668">
        <v>2009</v>
      </c>
      <c r="D3668" t="s">
        <v>44</v>
      </c>
      <c r="E3668" t="s">
        <v>49</v>
      </c>
      <c r="F3668" t="s">
        <v>1503</v>
      </c>
      <c r="G3668" s="1" t="s">
        <v>86</v>
      </c>
      <c r="H3668" t="s">
        <v>96</v>
      </c>
      <c r="I3668">
        <v>2004</v>
      </c>
      <c r="J3668">
        <v>0.05</v>
      </c>
      <c r="K3668" t="s">
        <v>101</v>
      </c>
      <c r="L3668">
        <v>0.06</v>
      </c>
      <c r="M3668">
        <v>1</v>
      </c>
      <c r="N3668" t="s">
        <v>121</v>
      </c>
      <c r="O3668" t="s">
        <v>121</v>
      </c>
      <c r="P3668" t="s">
        <v>1504</v>
      </c>
      <c r="Q3668" s="1" t="s">
        <v>2292</v>
      </c>
      <c r="R3668" s="1" t="s">
        <v>264</v>
      </c>
      <c r="S3668" s="1" t="s">
        <v>264</v>
      </c>
      <c r="T3668" t="s">
        <v>396</v>
      </c>
      <c r="U3668" t="s">
        <v>124</v>
      </c>
      <c r="X3668" t="s">
        <v>161</v>
      </c>
      <c r="Y3668" t="s">
        <v>2272</v>
      </c>
      <c r="Z3668" t="s">
        <v>2272</v>
      </c>
      <c r="AA3668" t="s">
        <v>2272</v>
      </c>
      <c r="AB3668" t="s">
        <v>2272</v>
      </c>
      <c r="AC3668" t="s">
        <v>162</v>
      </c>
      <c r="AD3668" t="s">
        <v>2272</v>
      </c>
      <c r="AG3668" t="s">
        <v>49</v>
      </c>
      <c r="AI3668" t="s">
        <v>49</v>
      </c>
      <c r="AM3668" t="s">
        <v>442</v>
      </c>
      <c r="AN3668" t="s">
        <v>166</v>
      </c>
      <c r="AQ3668" s="5">
        <v>2</v>
      </c>
    </row>
    <row r="3669" spans="1:43" x14ac:dyDescent="0.2">
      <c r="A3669" t="s">
        <v>1954</v>
      </c>
      <c r="B3669" t="s">
        <v>1955</v>
      </c>
      <c r="C3669">
        <v>2009</v>
      </c>
      <c r="D3669" t="s">
        <v>44</v>
      </c>
      <c r="E3669" t="s">
        <v>49</v>
      </c>
      <c r="F3669" t="s">
        <v>1503</v>
      </c>
      <c r="G3669" s="1" t="s">
        <v>86</v>
      </c>
      <c r="H3669" t="s">
        <v>96</v>
      </c>
      <c r="I3669">
        <v>2004</v>
      </c>
      <c r="J3669">
        <v>0.05</v>
      </c>
      <c r="K3669" t="s">
        <v>101</v>
      </c>
      <c r="L3669">
        <v>0.06</v>
      </c>
      <c r="M3669">
        <v>1</v>
      </c>
      <c r="N3669" t="s">
        <v>124</v>
      </c>
      <c r="O3669" t="s">
        <v>124</v>
      </c>
      <c r="P3669" t="s">
        <v>1956</v>
      </c>
      <c r="Q3669" s="1" t="s">
        <v>2292</v>
      </c>
      <c r="R3669" s="1" t="s">
        <v>124</v>
      </c>
      <c r="S3669" s="1" t="s">
        <v>124</v>
      </c>
      <c r="T3669" t="s">
        <v>396</v>
      </c>
      <c r="U3669" t="s">
        <v>264</v>
      </c>
      <c r="X3669" t="s">
        <v>161</v>
      </c>
      <c r="Y3669" t="s">
        <v>2272</v>
      </c>
      <c r="Z3669" t="s">
        <v>2272</v>
      </c>
      <c r="AA3669" t="s">
        <v>2272</v>
      </c>
      <c r="AB3669" t="s">
        <v>2272</v>
      </c>
      <c r="AC3669" t="s">
        <v>162</v>
      </c>
      <c r="AD3669" t="s">
        <v>2272</v>
      </c>
      <c r="AG3669" t="s">
        <v>49</v>
      </c>
      <c r="AI3669" t="s">
        <v>49</v>
      </c>
      <c r="AM3669" t="s">
        <v>442</v>
      </c>
      <c r="AN3669" t="s">
        <v>166</v>
      </c>
      <c r="AQ3669" s="5">
        <v>1</v>
      </c>
    </row>
    <row r="3670" spans="1:43" x14ac:dyDescent="0.2">
      <c r="A3670" t="s">
        <v>1954</v>
      </c>
      <c r="B3670" t="s">
        <v>1955</v>
      </c>
      <c r="C3670">
        <v>2009</v>
      </c>
      <c r="D3670" t="s">
        <v>44</v>
      </c>
      <c r="E3670" t="s">
        <v>49</v>
      </c>
      <c r="F3670" t="s">
        <v>1503</v>
      </c>
      <c r="G3670" s="1" t="s">
        <v>86</v>
      </c>
      <c r="H3670" t="s">
        <v>96</v>
      </c>
      <c r="I3670">
        <v>2004</v>
      </c>
      <c r="J3670">
        <v>0.05</v>
      </c>
      <c r="K3670" t="s">
        <v>101</v>
      </c>
      <c r="L3670">
        <v>0.06</v>
      </c>
      <c r="M3670">
        <v>1</v>
      </c>
      <c r="N3670" t="s">
        <v>124</v>
      </c>
      <c r="O3670" t="s">
        <v>124</v>
      </c>
      <c r="P3670" t="s">
        <v>1956</v>
      </c>
      <c r="Q3670" s="1" t="s">
        <v>2292</v>
      </c>
      <c r="R3670" s="1" t="s">
        <v>124</v>
      </c>
      <c r="S3670" s="1" t="s">
        <v>124</v>
      </c>
      <c r="X3670" t="s">
        <v>490</v>
      </c>
      <c r="Y3670" t="s">
        <v>2279</v>
      </c>
      <c r="Z3670" t="s">
        <v>2280</v>
      </c>
      <c r="AA3670" t="s">
        <v>2358</v>
      </c>
      <c r="AB3670" t="s">
        <v>2009</v>
      </c>
      <c r="AC3670" t="s">
        <v>162</v>
      </c>
      <c r="AD3670" t="s">
        <v>2278</v>
      </c>
      <c r="AF3670" t="s">
        <v>49</v>
      </c>
      <c r="AI3670" t="s">
        <v>49</v>
      </c>
      <c r="AM3670" t="s">
        <v>201</v>
      </c>
      <c r="AN3670" t="s">
        <v>166</v>
      </c>
      <c r="AP3670" t="s">
        <v>51</v>
      </c>
    </row>
    <row r="3671" spans="1:43" x14ac:dyDescent="0.2">
      <c r="A3671" t="s">
        <v>1954</v>
      </c>
      <c r="B3671" t="s">
        <v>1955</v>
      </c>
      <c r="C3671">
        <v>2009</v>
      </c>
      <c r="D3671" t="s">
        <v>44</v>
      </c>
      <c r="E3671" t="s">
        <v>49</v>
      </c>
      <c r="F3671" t="s">
        <v>1503</v>
      </c>
      <c r="G3671" s="1" t="s">
        <v>86</v>
      </c>
      <c r="H3671" t="s">
        <v>96</v>
      </c>
      <c r="I3671">
        <v>2004</v>
      </c>
      <c r="J3671">
        <v>0.05</v>
      </c>
      <c r="K3671" t="s">
        <v>101</v>
      </c>
      <c r="L3671">
        <v>0.06</v>
      </c>
      <c r="M3671">
        <v>1</v>
      </c>
      <c r="N3671" t="s">
        <v>121</v>
      </c>
      <c r="O3671" t="s">
        <v>121</v>
      </c>
      <c r="P3671" t="s">
        <v>1504</v>
      </c>
      <c r="Q3671" s="1" t="s">
        <v>2292</v>
      </c>
      <c r="R3671" s="1" t="s">
        <v>264</v>
      </c>
      <c r="S3671" s="1" t="s">
        <v>264</v>
      </c>
      <c r="T3671" t="s">
        <v>421</v>
      </c>
      <c r="U3671" t="s">
        <v>421</v>
      </c>
      <c r="X3671" t="s">
        <v>161</v>
      </c>
      <c r="Y3671" t="s">
        <v>2272</v>
      </c>
      <c r="Z3671" t="s">
        <v>2272</v>
      </c>
      <c r="AA3671" t="s">
        <v>2272</v>
      </c>
      <c r="AB3671" t="s">
        <v>2272</v>
      </c>
      <c r="AC3671" t="s">
        <v>162</v>
      </c>
      <c r="AD3671" t="s">
        <v>2272</v>
      </c>
      <c r="AF3671" t="s">
        <v>49</v>
      </c>
      <c r="AI3671" t="s">
        <v>49</v>
      </c>
      <c r="AM3671" t="s">
        <v>201</v>
      </c>
      <c r="AN3671" t="s">
        <v>166</v>
      </c>
      <c r="AQ3671" s="5">
        <v>0</v>
      </c>
    </row>
    <row r="3672" spans="1:43" x14ac:dyDescent="0.2">
      <c r="A3672" t="s">
        <v>1954</v>
      </c>
      <c r="B3672" t="s">
        <v>1955</v>
      </c>
      <c r="C3672">
        <v>2009</v>
      </c>
      <c r="D3672" t="s">
        <v>44</v>
      </c>
      <c r="E3672" t="s">
        <v>49</v>
      </c>
      <c r="F3672" t="s">
        <v>1503</v>
      </c>
      <c r="G3672" s="1" t="s">
        <v>86</v>
      </c>
      <c r="H3672" t="s">
        <v>96</v>
      </c>
      <c r="I3672">
        <v>2004</v>
      </c>
      <c r="J3672">
        <v>0.05</v>
      </c>
      <c r="K3672" t="s">
        <v>101</v>
      </c>
      <c r="L3672">
        <v>0.06</v>
      </c>
      <c r="M3672">
        <v>1</v>
      </c>
      <c r="N3672" t="s">
        <v>124</v>
      </c>
      <c r="O3672" t="s">
        <v>124</v>
      </c>
      <c r="P3672" t="s">
        <v>1956</v>
      </c>
      <c r="Q3672" s="1" t="s">
        <v>2292</v>
      </c>
      <c r="R3672" s="1" t="s">
        <v>124</v>
      </c>
      <c r="S3672" s="1" t="s">
        <v>124</v>
      </c>
      <c r="T3672" t="s">
        <v>421</v>
      </c>
      <c r="U3672" t="s">
        <v>421</v>
      </c>
      <c r="X3672" t="s">
        <v>161</v>
      </c>
      <c r="Y3672" t="s">
        <v>2272</v>
      </c>
      <c r="Z3672" t="s">
        <v>2272</v>
      </c>
      <c r="AA3672" t="s">
        <v>2272</v>
      </c>
      <c r="AB3672" t="s">
        <v>2272</v>
      </c>
      <c r="AC3672" t="s">
        <v>162</v>
      </c>
      <c r="AD3672" t="s">
        <v>2272</v>
      </c>
      <c r="AF3672" t="s">
        <v>49</v>
      </c>
      <c r="AI3672" t="s">
        <v>49</v>
      </c>
      <c r="AM3672" t="s">
        <v>201</v>
      </c>
      <c r="AN3672" t="s">
        <v>166</v>
      </c>
      <c r="AQ3672" s="5">
        <v>1</v>
      </c>
    </row>
    <row r="3673" spans="1:43" x14ac:dyDescent="0.2">
      <c r="A3673" t="s">
        <v>1954</v>
      </c>
      <c r="B3673" t="s">
        <v>1955</v>
      </c>
      <c r="C3673">
        <v>2009</v>
      </c>
      <c r="D3673" t="s">
        <v>44</v>
      </c>
      <c r="E3673" t="s">
        <v>49</v>
      </c>
      <c r="F3673" t="s">
        <v>1503</v>
      </c>
      <c r="G3673" s="1" t="s">
        <v>86</v>
      </c>
      <c r="H3673" t="s">
        <v>96</v>
      </c>
      <c r="I3673">
        <v>2004</v>
      </c>
      <c r="J3673">
        <v>0.05</v>
      </c>
      <c r="K3673" t="s">
        <v>101</v>
      </c>
      <c r="L3673">
        <v>0.06</v>
      </c>
      <c r="M3673">
        <v>1</v>
      </c>
      <c r="N3673" t="s">
        <v>121</v>
      </c>
      <c r="O3673" t="s">
        <v>121</v>
      </c>
      <c r="P3673" t="s">
        <v>1504</v>
      </c>
      <c r="Q3673" s="1" t="s">
        <v>2292</v>
      </c>
      <c r="R3673" s="1" t="s">
        <v>264</v>
      </c>
      <c r="S3673" s="1" t="s">
        <v>264</v>
      </c>
      <c r="T3673" t="s">
        <v>396</v>
      </c>
      <c r="U3673" t="s">
        <v>124</v>
      </c>
      <c r="X3673" t="s">
        <v>161</v>
      </c>
      <c r="Y3673" t="s">
        <v>2272</v>
      </c>
      <c r="Z3673" t="s">
        <v>2272</v>
      </c>
      <c r="AA3673" t="s">
        <v>2272</v>
      </c>
      <c r="AB3673" t="s">
        <v>2272</v>
      </c>
      <c r="AC3673" t="s">
        <v>162</v>
      </c>
      <c r="AD3673" t="s">
        <v>2272</v>
      </c>
      <c r="AF3673" t="s">
        <v>49</v>
      </c>
      <c r="AI3673" t="s">
        <v>49</v>
      </c>
      <c r="AM3673" t="s">
        <v>201</v>
      </c>
      <c r="AN3673" t="s">
        <v>166</v>
      </c>
      <c r="AQ3673" s="5">
        <v>2</v>
      </c>
    </row>
    <row r="3674" spans="1:43" x14ac:dyDescent="0.2">
      <c r="A3674" t="s">
        <v>1954</v>
      </c>
      <c r="B3674" t="s">
        <v>1955</v>
      </c>
      <c r="C3674">
        <v>2009</v>
      </c>
      <c r="D3674" t="s">
        <v>44</v>
      </c>
      <c r="E3674" t="s">
        <v>49</v>
      </c>
      <c r="F3674" t="s">
        <v>1503</v>
      </c>
      <c r="G3674" s="1" t="s">
        <v>86</v>
      </c>
      <c r="H3674" t="s">
        <v>96</v>
      </c>
      <c r="I3674">
        <v>2004</v>
      </c>
      <c r="J3674">
        <v>0.05</v>
      </c>
      <c r="K3674" t="s">
        <v>101</v>
      </c>
      <c r="L3674">
        <v>0.06</v>
      </c>
      <c r="M3674">
        <v>1</v>
      </c>
      <c r="N3674" t="s">
        <v>124</v>
      </c>
      <c r="O3674" t="s">
        <v>124</v>
      </c>
      <c r="P3674" t="s">
        <v>1956</v>
      </c>
      <c r="Q3674" s="1" t="s">
        <v>2292</v>
      </c>
      <c r="R3674" s="1" t="s">
        <v>124</v>
      </c>
      <c r="S3674" s="1" t="s">
        <v>124</v>
      </c>
      <c r="T3674" t="s">
        <v>396</v>
      </c>
      <c r="U3674" t="s">
        <v>264</v>
      </c>
      <c r="X3674" t="s">
        <v>161</v>
      </c>
      <c r="Y3674" t="s">
        <v>2272</v>
      </c>
      <c r="Z3674" t="s">
        <v>2272</v>
      </c>
      <c r="AA3674" t="s">
        <v>2272</v>
      </c>
      <c r="AB3674" t="s">
        <v>2272</v>
      </c>
      <c r="AC3674" t="s">
        <v>162</v>
      </c>
      <c r="AD3674" t="s">
        <v>2272</v>
      </c>
      <c r="AF3674" t="s">
        <v>49</v>
      </c>
      <c r="AI3674" t="s">
        <v>49</v>
      </c>
      <c r="AM3674" t="s">
        <v>201</v>
      </c>
      <c r="AN3674" t="s">
        <v>166</v>
      </c>
      <c r="AQ3674" s="5">
        <v>1</v>
      </c>
    </row>
    <row r="3675" spans="1:43" x14ac:dyDescent="0.2">
      <c r="A3675" t="s">
        <v>1954</v>
      </c>
      <c r="B3675" t="s">
        <v>1955</v>
      </c>
      <c r="C3675">
        <v>2009</v>
      </c>
      <c r="D3675" t="s">
        <v>44</v>
      </c>
      <c r="E3675" t="s">
        <v>49</v>
      </c>
      <c r="F3675" t="s">
        <v>1503</v>
      </c>
      <c r="G3675" s="1" t="s">
        <v>86</v>
      </c>
      <c r="H3675" t="s">
        <v>96</v>
      </c>
      <c r="I3675">
        <v>2004</v>
      </c>
      <c r="J3675">
        <v>0.05</v>
      </c>
      <c r="K3675" t="s">
        <v>101</v>
      </c>
      <c r="L3675">
        <v>0.06</v>
      </c>
      <c r="M3675">
        <v>1</v>
      </c>
      <c r="N3675" t="s">
        <v>124</v>
      </c>
      <c r="O3675" t="s">
        <v>124</v>
      </c>
      <c r="P3675" t="s">
        <v>1956</v>
      </c>
      <c r="Q3675" s="1" t="s">
        <v>2292</v>
      </c>
      <c r="R3675" s="1" t="s">
        <v>124</v>
      </c>
      <c r="S3675" s="1" t="s">
        <v>124</v>
      </c>
      <c r="X3675" t="s">
        <v>490</v>
      </c>
      <c r="Y3675" t="s">
        <v>2279</v>
      </c>
      <c r="Z3675" t="s">
        <v>2280</v>
      </c>
      <c r="AA3675" t="s">
        <v>2358</v>
      </c>
      <c r="AB3675" t="s">
        <v>2009</v>
      </c>
      <c r="AC3675" t="s">
        <v>162</v>
      </c>
      <c r="AD3675" t="s">
        <v>2278</v>
      </c>
      <c r="AF3675" t="s">
        <v>49</v>
      </c>
      <c r="AG3675" t="s">
        <v>49</v>
      </c>
      <c r="AI3675" t="s">
        <v>49</v>
      </c>
      <c r="AM3675" t="s">
        <v>202</v>
      </c>
      <c r="AN3675" t="s">
        <v>166</v>
      </c>
      <c r="AP3675" t="s">
        <v>51</v>
      </c>
    </row>
    <row r="3676" spans="1:43" x14ac:dyDescent="0.2">
      <c r="A3676" t="s">
        <v>1954</v>
      </c>
      <c r="B3676" t="s">
        <v>1955</v>
      </c>
      <c r="C3676">
        <v>2009</v>
      </c>
      <c r="D3676" t="s">
        <v>44</v>
      </c>
      <c r="E3676" t="s">
        <v>49</v>
      </c>
      <c r="F3676" t="s">
        <v>1503</v>
      </c>
      <c r="G3676" s="1" t="s">
        <v>86</v>
      </c>
      <c r="H3676" t="s">
        <v>96</v>
      </c>
      <c r="I3676">
        <v>2004</v>
      </c>
      <c r="J3676">
        <v>0.05</v>
      </c>
      <c r="K3676" t="s">
        <v>101</v>
      </c>
      <c r="L3676">
        <v>0.06</v>
      </c>
      <c r="M3676">
        <v>1</v>
      </c>
      <c r="N3676" t="s">
        <v>121</v>
      </c>
      <c r="O3676" t="s">
        <v>121</v>
      </c>
      <c r="P3676" t="s">
        <v>1504</v>
      </c>
      <c r="Q3676" s="1" t="s">
        <v>2292</v>
      </c>
      <c r="R3676" s="1" t="s">
        <v>264</v>
      </c>
      <c r="S3676" s="1" t="s">
        <v>264</v>
      </c>
      <c r="T3676" t="s">
        <v>421</v>
      </c>
      <c r="U3676" t="s">
        <v>421</v>
      </c>
      <c r="X3676" t="s">
        <v>161</v>
      </c>
      <c r="Y3676" t="s">
        <v>2272</v>
      </c>
      <c r="Z3676" t="s">
        <v>2272</v>
      </c>
      <c r="AA3676" t="s">
        <v>2272</v>
      </c>
      <c r="AB3676" t="s">
        <v>2272</v>
      </c>
      <c r="AC3676" t="s">
        <v>162</v>
      </c>
      <c r="AD3676" t="s">
        <v>2272</v>
      </c>
      <c r="AF3676" t="s">
        <v>49</v>
      </c>
      <c r="AG3676" t="s">
        <v>49</v>
      </c>
      <c r="AI3676" t="s">
        <v>49</v>
      </c>
      <c r="AM3676" t="s">
        <v>202</v>
      </c>
      <c r="AN3676" t="s">
        <v>166</v>
      </c>
      <c r="AQ3676" s="5">
        <v>0</v>
      </c>
    </row>
    <row r="3677" spans="1:43" x14ac:dyDescent="0.2">
      <c r="A3677" t="s">
        <v>1954</v>
      </c>
      <c r="B3677" t="s">
        <v>1955</v>
      </c>
      <c r="C3677">
        <v>2009</v>
      </c>
      <c r="D3677" t="s">
        <v>44</v>
      </c>
      <c r="E3677" t="s">
        <v>49</v>
      </c>
      <c r="F3677" t="s">
        <v>1503</v>
      </c>
      <c r="G3677" s="1" t="s">
        <v>86</v>
      </c>
      <c r="H3677" t="s">
        <v>96</v>
      </c>
      <c r="I3677">
        <v>2004</v>
      </c>
      <c r="J3677">
        <v>0.05</v>
      </c>
      <c r="K3677" t="s">
        <v>101</v>
      </c>
      <c r="L3677">
        <v>0.06</v>
      </c>
      <c r="M3677">
        <v>1</v>
      </c>
      <c r="N3677" t="s">
        <v>124</v>
      </c>
      <c r="O3677" t="s">
        <v>124</v>
      </c>
      <c r="P3677" t="s">
        <v>1956</v>
      </c>
      <c r="Q3677" s="1" t="s">
        <v>2292</v>
      </c>
      <c r="R3677" s="1" t="s">
        <v>124</v>
      </c>
      <c r="S3677" s="1" t="s">
        <v>124</v>
      </c>
      <c r="T3677" t="s">
        <v>421</v>
      </c>
      <c r="U3677" t="s">
        <v>421</v>
      </c>
      <c r="X3677" t="s">
        <v>161</v>
      </c>
      <c r="Y3677" t="s">
        <v>2272</v>
      </c>
      <c r="Z3677" t="s">
        <v>2272</v>
      </c>
      <c r="AA3677" t="s">
        <v>2272</v>
      </c>
      <c r="AB3677" t="s">
        <v>2272</v>
      </c>
      <c r="AC3677" t="s">
        <v>162</v>
      </c>
      <c r="AD3677" t="s">
        <v>2272</v>
      </c>
      <c r="AF3677" t="s">
        <v>49</v>
      </c>
      <c r="AG3677" t="s">
        <v>49</v>
      </c>
      <c r="AI3677" t="s">
        <v>49</v>
      </c>
      <c r="AM3677" t="s">
        <v>202</v>
      </c>
      <c r="AN3677" t="s">
        <v>166</v>
      </c>
      <c r="AQ3677" s="5">
        <v>1</v>
      </c>
    </row>
    <row r="3678" spans="1:43" x14ac:dyDescent="0.2">
      <c r="A3678" t="s">
        <v>1954</v>
      </c>
      <c r="B3678" t="s">
        <v>1955</v>
      </c>
      <c r="C3678">
        <v>2009</v>
      </c>
      <c r="D3678" t="s">
        <v>44</v>
      </c>
      <c r="E3678" t="s">
        <v>49</v>
      </c>
      <c r="F3678" t="s">
        <v>1503</v>
      </c>
      <c r="G3678" s="1" t="s">
        <v>86</v>
      </c>
      <c r="H3678" t="s">
        <v>96</v>
      </c>
      <c r="I3678">
        <v>2004</v>
      </c>
      <c r="J3678">
        <v>0.05</v>
      </c>
      <c r="K3678" t="s">
        <v>101</v>
      </c>
      <c r="L3678">
        <v>0.06</v>
      </c>
      <c r="M3678">
        <v>1</v>
      </c>
      <c r="N3678" t="s">
        <v>121</v>
      </c>
      <c r="O3678" t="s">
        <v>121</v>
      </c>
      <c r="P3678" t="s">
        <v>1504</v>
      </c>
      <c r="Q3678" s="1" t="s">
        <v>2292</v>
      </c>
      <c r="R3678" s="1" t="s">
        <v>264</v>
      </c>
      <c r="S3678" s="1" t="s">
        <v>264</v>
      </c>
      <c r="T3678" t="s">
        <v>396</v>
      </c>
      <c r="U3678" t="s">
        <v>124</v>
      </c>
      <c r="X3678" t="s">
        <v>161</v>
      </c>
      <c r="Y3678" t="s">
        <v>2272</v>
      </c>
      <c r="Z3678" t="s">
        <v>2272</v>
      </c>
      <c r="AA3678" t="s">
        <v>2272</v>
      </c>
      <c r="AB3678" t="s">
        <v>2272</v>
      </c>
      <c r="AC3678" t="s">
        <v>162</v>
      </c>
      <c r="AD3678" t="s">
        <v>2272</v>
      </c>
      <c r="AF3678" t="s">
        <v>49</v>
      </c>
      <c r="AG3678" t="s">
        <v>49</v>
      </c>
      <c r="AI3678" t="s">
        <v>49</v>
      </c>
      <c r="AM3678" t="s">
        <v>202</v>
      </c>
      <c r="AN3678" t="s">
        <v>166</v>
      </c>
      <c r="AQ3678" s="5">
        <v>2</v>
      </c>
    </row>
    <row r="3679" spans="1:43" x14ac:dyDescent="0.2">
      <c r="A3679" t="s">
        <v>1954</v>
      </c>
      <c r="B3679" t="s">
        <v>1955</v>
      </c>
      <c r="C3679">
        <v>2009</v>
      </c>
      <c r="D3679" t="s">
        <v>44</v>
      </c>
      <c r="E3679" t="s">
        <v>49</v>
      </c>
      <c r="F3679" t="s">
        <v>1503</v>
      </c>
      <c r="G3679" s="1" t="s">
        <v>86</v>
      </c>
      <c r="H3679" t="s">
        <v>96</v>
      </c>
      <c r="I3679">
        <v>2004</v>
      </c>
      <c r="J3679">
        <v>0.05</v>
      </c>
      <c r="K3679" t="s">
        <v>101</v>
      </c>
      <c r="L3679">
        <v>0.06</v>
      </c>
      <c r="M3679">
        <v>1</v>
      </c>
      <c r="N3679" t="s">
        <v>124</v>
      </c>
      <c r="O3679" t="s">
        <v>124</v>
      </c>
      <c r="P3679" t="s">
        <v>1956</v>
      </c>
      <c r="Q3679" s="1" t="s">
        <v>2292</v>
      </c>
      <c r="R3679" s="1" t="s">
        <v>124</v>
      </c>
      <c r="S3679" s="1" t="s">
        <v>124</v>
      </c>
      <c r="T3679" t="s">
        <v>396</v>
      </c>
      <c r="U3679" t="s">
        <v>264</v>
      </c>
      <c r="X3679" t="s">
        <v>161</v>
      </c>
      <c r="Y3679" t="s">
        <v>2272</v>
      </c>
      <c r="Z3679" t="s">
        <v>2272</v>
      </c>
      <c r="AA3679" t="s">
        <v>2272</v>
      </c>
      <c r="AB3679" t="s">
        <v>2272</v>
      </c>
      <c r="AC3679" t="s">
        <v>162</v>
      </c>
      <c r="AD3679" t="s">
        <v>2272</v>
      </c>
      <c r="AF3679" t="s">
        <v>49</v>
      </c>
      <c r="AG3679" t="s">
        <v>49</v>
      </c>
      <c r="AI3679" t="s">
        <v>49</v>
      </c>
      <c r="AM3679" t="s">
        <v>202</v>
      </c>
      <c r="AN3679" t="s">
        <v>166</v>
      </c>
      <c r="AQ3679" s="5">
        <v>1</v>
      </c>
    </row>
    <row r="3680" spans="1:43" x14ac:dyDescent="0.2">
      <c r="A3680" t="s">
        <v>1954</v>
      </c>
      <c r="B3680" t="s">
        <v>1955</v>
      </c>
      <c r="C3680">
        <v>2009</v>
      </c>
      <c r="D3680" t="s">
        <v>44</v>
      </c>
      <c r="E3680" t="s">
        <v>49</v>
      </c>
      <c r="F3680" t="s">
        <v>1503</v>
      </c>
      <c r="G3680" s="1" t="s">
        <v>86</v>
      </c>
      <c r="H3680" t="s">
        <v>96</v>
      </c>
      <c r="I3680">
        <v>2004</v>
      </c>
      <c r="J3680">
        <v>0.05</v>
      </c>
      <c r="K3680" t="s">
        <v>101</v>
      </c>
      <c r="L3680">
        <v>0.06</v>
      </c>
      <c r="M3680">
        <v>1</v>
      </c>
      <c r="N3680" t="s">
        <v>124</v>
      </c>
      <c r="O3680" t="s">
        <v>124</v>
      </c>
      <c r="P3680" t="s">
        <v>1956</v>
      </c>
      <c r="Q3680" s="1" t="s">
        <v>2292</v>
      </c>
      <c r="R3680" s="1" t="s">
        <v>124</v>
      </c>
      <c r="S3680" s="1" t="s">
        <v>124</v>
      </c>
      <c r="X3680" t="s">
        <v>490</v>
      </c>
      <c r="Y3680" t="s">
        <v>2279</v>
      </c>
      <c r="Z3680" t="s">
        <v>2280</v>
      </c>
      <c r="AA3680" t="s">
        <v>2358</v>
      </c>
      <c r="AB3680" t="s">
        <v>2009</v>
      </c>
      <c r="AC3680" t="s">
        <v>162</v>
      </c>
      <c r="AD3680" t="s">
        <v>2278</v>
      </c>
      <c r="AG3680" t="s">
        <v>49</v>
      </c>
      <c r="AI3680" t="s">
        <v>49</v>
      </c>
      <c r="AM3680" t="s">
        <v>442</v>
      </c>
      <c r="AN3680" t="s">
        <v>171</v>
      </c>
      <c r="AP3680" t="s">
        <v>157</v>
      </c>
    </row>
    <row r="3681" spans="1:45" x14ac:dyDescent="0.2">
      <c r="A3681" t="s">
        <v>1954</v>
      </c>
      <c r="B3681" t="s">
        <v>1955</v>
      </c>
      <c r="C3681">
        <v>2009</v>
      </c>
      <c r="D3681" t="s">
        <v>44</v>
      </c>
      <c r="E3681" t="s">
        <v>49</v>
      </c>
      <c r="F3681" t="s">
        <v>1503</v>
      </c>
      <c r="G3681" s="1" t="s">
        <v>86</v>
      </c>
      <c r="H3681" t="s">
        <v>96</v>
      </c>
      <c r="I3681">
        <v>2004</v>
      </c>
      <c r="J3681">
        <v>0.05</v>
      </c>
      <c r="K3681" t="s">
        <v>101</v>
      </c>
      <c r="L3681">
        <v>0.06</v>
      </c>
      <c r="M3681">
        <v>1</v>
      </c>
      <c r="N3681" t="s">
        <v>121</v>
      </c>
      <c r="O3681" t="s">
        <v>121</v>
      </c>
      <c r="P3681" t="s">
        <v>1504</v>
      </c>
      <c r="Q3681" s="1" t="s">
        <v>2292</v>
      </c>
      <c r="R3681" s="1" t="s">
        <v>264</v>
      </c>
      <c r="S3681" s="1" t="s">
        <v>264</v>
      </c>
      <c r="T3681" t="s">
        <v>421</v>
      </c>
      <c r="U3681" t="s">
        <v>421</v>
      </c>
      <c r="X3681" t="s">
        <v>161</v>
      </c>
      <c r="Y3681" t="s">
        <v>2272</v>
      </c>
      <c r="Z3681" t="s">
        <v>2272</v>
      </c>
      <c r="AA3681" t="s">
        <v>2272</v>
      </c>
      <c r="AB3681" t="s">
        <v>2272</v>
      </c>
      <c r="AC3681" t="s">
        <v>162</v>
      </c>
      <c r="AD3681" t="s">
        <v>2272</v>
      </c>
      <c r="AG3681" t="s">
        <v>49</v>
      </c>
      <c r="AI3681" t="s">
        <v>49</v>
      </c>
      <c r="AM3681" t="s">
        <v>442</v>
      </c>
      <c r="AN3681" t="s">
        <v>171</v>
      </c>
      <c r="AQ3681" s="5">
        <v>2</v>
      </c>
    </row>
    <row r="3682" spans="1:45" x14ac:dyDescent="0.2">
      <c r="A3682" t="s">
        <v>1954</v>
      </c>
      <c r="B3682" t="s">
        <v>1955</v>
      </c>
      <c r="C3682">
        <v>2009</v>
      </c>
      <c r="D3682" t="s">
        <v>44</v>
      </c>
      <c r="E3682" t="s">
        <v>49</v>
      </c>
      <c r="F3682" t="s">
        <v>1503</v>
      </c>
      <c r="G3682" s="1" t="s">
        <v>86</v>
      </c>
      <c r="H3682" t="s">
        <v>96</v>
      </c>
      <c r="I3682">
        <v>2004</v>
      </c>
      <c r="J3682">
        <v>0.05</v>
      </c>
      <c r="K3682" t="s">
        <v>101</v>
      </c>
      <c r="L3682">
        <v>0.06</v>
      </c>
      <c r="M3682">
        <v>1</v>
      </c>
      <c r="N3682" t="s">
        <v>124</v>
      </c>
      <c r="O3682" t="s">
        <v>124</v>
      </c>
      <c r="P3682" t="s">
        <v>1956</v>
      </c>
      <c r="Q3682" s="1" t="s">
        <v>2292</v>
      </c>
      <c r="R3682" s="1" t="s">
        <v>124</v>
      </c>
      <c r="S3682" s="1" t="s">
        <v>124</v>
      </c>
      <c r="T3682" t="s">
        <v>421</v>
      </c>
      <c r="U3682" t="s">
        <v>421</v>
      </c>
      <c r="X3682" t="s">
        <v>161</v>
      </c>
      <c r="Y3682" t="s">
        <v>2272</v>
      </c>
      <c r="Z3682" t="s">
        <v>2272</v>
      </c>
      <c r="AA3682" t="s">
        <v>2272</v>
      </c>
      <c r="AB3682" t="s">
        <v>2272</v>
      </c>
      <c r="AC3682" t="s">
        <v>162</v>
      </c>
      <c r="AD3682" t="s">
        <v>2272</v>
      </c>
      <c r="AG3682" t="s">
        <v>49</v>
      </c>
      <c r="AI3682" t="s">
        <v>49</v>
      </c>
      <c r="AM3682" t="s">
        <v>442</v>
      </c>
      <c r="AN3682" t="s">
        <v>171</v>
      </c>
      <c r="AQ3682" s="5">
        <v>0</v>
      </c>
    </row>
    <row r="3683" spans="1:45" x14ac:dyDescent="0.2">
      <c r="A3683" t="s">
        <v>1954</v>
      </c>
      <c r="B3683" t="s">
        <v>1955</v>
      </c>
      <c r="C3683">
        <v>2009</v>
      </c>
      <c r="D3683" t="s">
        <v>44</v>
      </c>
      <c r="E3683" t="s">
        <v>49</v>
      </c>
      <c r="F3683" t="s">
        <v>1503</v>
      </c>
      <c r="G3683" s="1" t="s">
        <v>86</v>
      </c>
      <c r="H3683" t="s">
        <v>96</v>
      </c>
      <c r="I3683">
        <v>2004</v>
      </c>
      <c r="J3683">
        <v>0.05</v>
      </c>
      <c r="K3683" t="s">
        <v>101</v>
      </c>
      <c r="L3683">
        <v>0.06</v>
      </c>
      <c r="M3683">
        <v>1</v>
      </c>
      <c r="N3683" t="s">
        <v>121</v>
      </c>
      <c r="O3683" t="s">
        <v>121</v>
      </c>
      <c r="P3683" t="s">
        <v>1504</v>
      </c>
      <c r="Q3683" s="1" t="s">
        <v>2292</v>
      </c>
      <c r="R3683" s="1" t="s">
        <v>264</v>
      </c>
      <c r="S3683" s="1" t="s">
        <v>264</v>
      </c>
      <c r="T3683" t="s">
        <v>396</v>
      </c>
      <c r="U3683" t="s">
        <v>124</v>
      </c>
      <c r="X3683" t="s">
        <v>161</v>
      </c>
      <c r="Y3683" t="s">
        <v>2272</v>
      </c>
      <c r="Z3683" t="s">
        <v>2272</v>
      </c>
      <c r="AA3683" t="s">
        <v>2272</v>
      </c>
      <c r="AB3683" t="s">
        <v>2272</v>
      </c>
      <c r="AC3683" t="s">
        <v>162</v>
      </c>
      <c r="AD3683" t="s">
        <v>2272</v>
      </c>
      <c r="AG3683" t="s">
        <v>49</v>
      </c>
      <c r="AI3683" t="s">
        <v>49</v>
      </c>
      <c r="AM3683" t="s">
        <v>442</v>
      </c>
      <c r="AN3683" t="s">
        <v>171</v>
      </c>
      <c r="AQ3683" s="5">
        <v>2</v>
      </c>
    </row>
    <row r="3684" spans="1:45" x14ac:dyDescent="0.2">
      <c r="A3684" t="s">
        <v>1954</v>
      </c>
      <c r="B3684" t="s">
        <v>1955</v>
      </c>
      <c r="C3684">
        <v>2009</v>
      </c>
      <c r="D3684" t="s">
        <v>44</v>
      </c>
      <c r="E3684" t="s">
        <v>49</v>
      </c>
      <c r="F3684" t="s">
        <v>1503</v>
      </c>
      <c r="G3684" s="1" t="s">
        <v>86</v>
      </c>
      <c r="H3684" t="s">
        <v>96</v>
      </c>
      <c r="I3684">
        <v>2004</v>
      </c>
      <c r="J3684">
        <v>0.05</v>
      </c>
      <c r="K3684" t="s">
        <v>101</v>
      </c>
      <c r="L3684">
        <v>0.06</v>
      </c>
      <c r="M3684">
        <v>1</v>
      </c>
      <c r="N3684" t="s">
        <v>124</v>
      </c>
      <c r="O3684" t="s">
        <v>124</v>
      </c>
      <c r="P3684" t="s">
        <v>1956</v>
      </c>
      <c r="Q3684" s="1" t="s">
        <v>2292</v>
      </c>
      <c r="R3684" s="1" t="s">
        <v>124</v>
      </c>
      <c r="S3684" s="1" t="s">
        <v>124</v>
      </c>
      <c r="T3684" t="s">
        <v>396</v>
      </c>
      <c r="U3684" t="s">
        <v>264</v>
      </c>
      <c r="X3684" t="s">
        <v>161</v>
      </c>
      <c r="Y3684" t="s">
        <v>2272</v>
      </c>
      <c r="Z3684" t="s">
        <v>2272</v>
      </c>
      <c r="AA3684" t="s">
        <v>2272</v>
      </c>
      <c r="AB3684" t="s">
        <v>2272</v>
      </c>
      <c r="AC3684" t="s">
        <v>162</v>
      </c>
      <c r="AD3684" t="s">
        <v>2272</v>
      </c>
      <c r="AG3684" t="s">
        <v>49</v>
      </c>
      <c r="AI3684" t="s">
        <v>49</v>
      </c>
      <c r="AM3684" t="s">
        <v>442</v>
      </c>
      <c r="AN3684" t="s">
        <v>171</v>
      </c>
      <c r="AQ3684" s="5">
        <v>1</v>
      </c>
    </row>
    <row r="3685" spans="1:45" x14ac:dyDescent="0.2">
      <c r="A3685" t="s">
        <v>1954</v>
      </c>
      <c r="B3685" t="s">
        <v>1955</v>
      </c>
      <c r="C3685">
        <v>2009</v>
      </c>
      <c r="D3685" t="s">
        <v>44</v>
      </c>
      <c r="E3685" t="s">
        <v>49</v>
      </c>
      <c r="F3685" t="s">
        <v>1503</v>
      </c>
      <c r="G3685" s="1" t="s">
        <v>86</v>
      </c>
      <c r="H3685" t="s">
        <v>96</v>
      </c>
      <c r="I3685">
        <v>2004</v>
      </c>
      <c r="J3685">
        <v>0.05</v>
      </c>
      <c r="K3685" t="s">
        <v>101</v>
      </c>
      <c r="L3685">
        <v>0.06</v>
      </c>
      <c r="M3685">
        <v>1</v>
      </c>
      <c r="N3685" t="s">
        <v>124</v>
      </c>
      <c r="O3685" t="s">
        <v>124</v>
      </c>
      <c r="P3685" t="s">
        <v>1956</v>
      </c>
      <c r="Q3685" s="1" t="s">
        <v>2292</v>
      </c>
      <c r="R3685" s="1" t="s">
        <v>124</v>
      </c>
      <c r="S3685" s="1" t="s">
        <v>124</v>
      </c>
      <c r="X3685" t="s">
        <v>490</v>
      </c>
      <c r="Y3685" t="s">
        <v>2279</v>
      </c>
      <c r="Z3685" t="s">
        <v>2280</v>
      </c>
      <c r="AA3685" t="s">
        <v>2358</v>
      </c>
      <c r="AB3685" t="s">
        <v>2009</v>
      </c>
      <c r="AC3685" t="s">
        <v>162</v>
      </c>
      <c r="AD3685" t="s">
        <v>2278</v>
      </c>
      <c r="AF3685" t="s">
        <v>49</v>
      </c>
      <c r="AI3685" t="s">
        <v>49</v>
      </c>
      <c r="AM3685" t="s">
        <v>201</v>
      </c>
      <c r="AN3685" t="s">
        <v>171</v>
      </c>
      <c r="AP3685" t="s">
        <v>173</v>
      </c>
    </row>
    <row r="3686" spans="1:45" x14ac:dyDescent="0.2">
      <c r="A3686" t="s">
        <v>1954</v>
      </c>
      <c r="B3686" t="s">
        <v>1955</v>
      </c>
      <c r="C3686">
        <v>2009</v>
      </c>
      <c r="D3686" t="s">
        <v>44</v>
      </c>
      <c r="E3686" t="s">
        <v>49</v>
      </c>
      <c r="F3686" t="s">
        <v>1503</v>
      </c>
      <c r="G3686" s="1" t="s">
        <v>86</v>
      </c>
      <c r="H3686" t="s">
        <v>96</v>
      </c>
      <c r="I3686">
        <v>2004</v>
      </c>
      <c r="J3686">
        <v>0.05</v>
      </c>
      <c r="K3686" t="s">
        <v>101</v>
      </c>
      <c r="L3686">
        <v>0.06</v>
      </c>
      <c r="M3686">
        <v>1</v>
      </c>
      <c r="N3686" t="s">
        <v>121</v>
      </c>
      <c r="O3686" t="s">
        <v>121</v>
      </c>
      <c r="P3686" t="s">
        <v>1504</v>
      </c>
      <c r="Q3686" s="1" t="s">
        <v>2292</v>
      </c>
      <c r="R3686" s="1" t="s">
        <v>264</v>
      </c>
      <c r="S3686" s="1" t="s">
        <v>264</v>
      </c>
      <c r="T3686" t="s">
        <v>421</v>
      </c>
      <c r="U3686" t="s">
        <v>421</v>
      </c>
      <c r="X3686" t="s">
        <v>161</v>
      </c>
      <c r="Y3686" t="s">
        <v>2272</v>
      </c>
      <c r="Z3686" t="s">
        <v>2272</v>
      </c>
      <c r="AA3686" t="s">
        <v>2272</v>
      </c>
      <c r="AB3686" t="s">
        <v>2272</v>
      </c>
      <c r="AC3686" t="s">
        <v>162</v>
      </c>
      <c r="AD3686" t="s">
        <v>2272</v>
      </c>
      <c r="AF3686" t="s">
        <v>49</v>
      </c>
      <c r="AI3686" t="s">
        <v>49</v>
      </c>
      <c r="AM3686" t="s">
        <v>201</v>
      </c>
      <c r="AN3686" t="s">
        <v>171</v>
      </c>
      <c r="AQ3686" s="5">
        <v>1</v>
      </c>
    </row>
    <row r="3687" spans="1:45" x14ac:dyDescent="0.2">
      <c r="A3687" t="s">
        <v>1954</v>
      </c>
      <c r="B3687" t="s">
        <v>1955</v>
      </c>
      <c r="C3687">
        <v>2009</v>
      </c>
      <c r="D3687" t="s">
        <v>44</v>
      </c>
      <c r="E3687" t="s">
        <v>49</v>
      </c>
      <c r="F3687" t="s">
        <v>1503</v>
      </c>
      <c r="G3687" s="1" t="s">
        <v>86</v>
      </c>
      <c r="H3687" t="s">
        <v>96</v>
      </c>
      <c r="I3687">
        <v>2004</v>
      </c>
      <c r="J3687">
        <v>0.05</v>
      </c>
      <c r="K3687" t="s">
        <v>101</v>
      </c>
      <c r="L3687">
        <v>0.06</v>
      </c>
      <c r="M3687">
        <v>1</v>
      </c>
      <c r="N3687" t="s">
        <v>124</v>
      </c>
      <c r="O3687" t="s">
        <v>124</v>
      </c>
      <c r="P3687" t="s">
        <v>1956</v>
      </c>
      <c r="Q3687" s="1" t="s">
        <v>2292</v>
      </c>
      <c r="R3687" s="1" t="s">
        <v>124</v>
      </c>
      <c r="S3687" s="1" t="s">
        <v>124</v>
      </c>
      <c r="T3687" t="s">
        <v>421</v>
      </c>
      <c r="U3687" t="s">
        <v>421</v>
      </c>
      <c r="X3687" t="s">
        <v>161</v>
      </c>
      <c r="Y3687" t="s">
        <v>2272</v>
      </c>
      <c r="Z3687" t="s">
        <v>2272</v>
      </c>
      <c r="AA3687" t="s">
        <v>2272</v>
      </c>
      <c r="AB3687" t="s">
        <v>2272</v>
      </c>
      <c r="AC3687" t="s">
        <v>162</v>
      </c>
      <c r="AD3687" t="s">
        <v>2272</v>
      </c>
      <c r="AF3687" t="s">
        <v>49</v>
      </c>
      <c r="AI3687" t="s">
        <v>49</v>
      </c>
      <c r="AM3687" t="s">
        <v>201</v>
      </c>
      <c r="AN3687" t="s">
        <v>171</v>
      </c>
      <c r="AQ3687" s="5">
        <v>1</v>
      </c>
    </row>
    <row r="3688" spans="1:45" x14ac:dyDescent="0.2">
      <c r="A3688" t="s">
        <v>1954</v>
      </c>
      <c r="B3688" t="s">
        <v>1955</v>
      </c>
      <c r="C3688">
        <v>2009</v>
      </c>
      <c r="D3688" t="s">
        <v>44</v>
      </c>
      <c r="E3688" t="s">
        <v>49</v>
      </c>
      <c r="F3688" t="s">
        <v>1503</v>
      </c>
      <c r="G3688" s="1" t="s">
        <v>86</v>
      </c>
      <c r="H3688" t="s">
        <v>96</v>
      </c>
      <c r="I3688">
        <v>2004</v>
      </c>
      <c r="J3688">
        <v>0.05</v>
      </c>
      <c r="K3688" t="s">
        <v>101</v>
      </c>
      <c r="L3688">
        <v>0.06</v>
      </c>
      <c r="M3688">
        <v>1</v>
      </c>
      <c r="N3688" t="s">
        <v>121</v>
      </c>
      <c r="O3688" t="s">
        <v>121</v>
      </c>
      <c r="P3688" t="s">
        <v>1504</v>
      </c>
      <c r="Q3688" s="1" t="s">
        <v>2292</v>
      </c>
      <c r="R3688" s="1" t="s">
        <v>264</v>
      </c>
      <c r="S3688" s="1" t="s">
        <v>264</v>
      </c>
      <c r="T3688" t="s">
        <v>396</v>
      </c>
      <c r="U3688" t="s">
        <v>124</v>
      </c>
      <c r="X3688" t="s">
        <v>161</v>
      </c>
      <c r="Y3688" t="s">
        <v>2272</v>
      </c>
      <c r="Z3688" t="s">
        <v>2272</v>
      </c>
      <c r="AA3688" t="s">
        <v>2272</v>
      </c>
      <c r="AB3688" t="s">
        <v>2272</v>
      </c>
      <c r="AC3688" t="s">
        <v>162</v>
      </c>
      <c r="AD3688" t="s">
        <v>2272</v>
      </c>
      <c r="AF3688" t="s">
        <v>49</v>
      </c>
      <c r="AI3688" t="s">
        <v>49</v>
      </c>
      <c r="AM3688" t="s">
        <v>201</v>
      </c>
      <c r="AN3688" t="s">
        <v>171</v>
      </c>
      <c r="AQ3688" s="5">
        <v>2</v>
      </c>
    </row>
    <row r="3689" spans="1:45" x14ac:dyDescent="0.2">
      <c r="A3689" t="s">
        <v>1954</v>
      </c>
      <c r="B3689" t="s">
        <v>1955</v>
      </c>
      <c r="C3689">
        <v>2009</v>
      </c>
      <c r="D3689" t="s">
        <v>44</v>
      </c>
      <c r="E3689" t="s">
        <v>49</v>
      </c>
      <c r="F3689" t="s">
        <v>1503</v>
      </c>
      <c r="G3689" s="1" t="s">
        <v>86</v>
      </c>
      <c r="H3689" t="s">
        <v>96</v>
      </c>
      <c r="I3689">
        <v>2004</v>
      </c>
      <c r="J3689">
        <v>0.05</v>
      </c>
      <c r="K3689" t="s">
        <v>101</v>
      </c>
      <c r="L3689">
        <v>0.06</v>
      </c>
      <c r="M3689">
        <v>1</v>
      </c>
      <c r="N3689" t="s">
        <v>124</v>
      </c>
      <c r="O3689" t="s">
        <v>124</v>
      </c>
      <c r="P3689" t="s">
        <v>1956</v>
      </c>
      <c r="Q3689" s="1" t="s">
        <v>2292</v>
      </c>
      <c r="R3689" s="1" t="s">
        <v>124</v>
      </c>
      <c r="S3689" s="1" t="s">
        <v>124</v>
      </c>
      <c r="T3689" t="s">
        <v>396</v>
      </c>
      <c r="U3689" t="s">
        <v>264</v>
      </c>
      <c r="X3689" t="s">
        <v>161</v>
      </c>
      <c r="Y3689" t="s">
        <v>2272</v>
      </c>
      <c r="Z3689" t="s">
        <v>2272</v>
      </c>
      <c r="AA3689" t="s">
        <v>2272</v>
      </c>
      <c r="AB3689" t="s">
        <v>2272</v>
      </c>
      <c r="AC3689" t="s">
        <v>162</v>
      </c>
      <c r="AD3689" t="s">
        <v>2272</v>
      </c>
      <c r="AF3689" t="s">
        <v>49</v>
      </c>
      <c r="AI3689" t="s">
        <v>49</v>
      </c>
      <c r="AM3689" t="s">
        <v>201</v>
      </c>
      <c r="AN3689" t="s">
        <v>171</v>
      </c>
      <c r="AQ3689" s="5">
        <v>1</v>
      </c>
    </row>
    <row r="3690" spans="1:45" x14ac:dyDescent="0.2">
      <c r="A3690" t="s">
        <v>1954</v>
      </c>
      <c r="B3690" t="s">
        <v>1955</v>
      </c>
      <c r="C3690">
        <v>2009</v>
      </c>
      <c r="D3690" t="s">
        <v>44</v>
      </c>
      <c r="E3690" t="s">
        <v>49</v>
      </c>
      <c r="F3690" t="s">
        <v>1503</v>
      </c>
      <c r="G3690" s="1" t="s">
        <v>86</v>
      </c>
      <c r="H3690" t="s">
        <v>96</v>
      </c>
      <c r="I3690">
        <v>2004</v>
      </c>
      <c r="J3690">
        <v>0.05</v>
      </c>
      <c r="K3690" t="s">
        <v>101</v>
      </c>
      <c r="L3690">
        <v>0.06</v>
      </c>
      <c r="M3690">
        <v>1</v>
      </c>
      <c r="N3690" t="s">
        <v>124</v>
      </c>
      <c r="O3690" t="s">
        <v>124</v>
      </c>
      <c r="P3690" t="s">
        <v>1956</v>
      </c>
      <c r="Q3690" s="1" t="s">
        <v>2292</v>
      </c>
      <c r="R3690" s="1" t="s">
        <v>124</v>
      </c>
      <c r="S3690" s="1" t="s">
        <v>124</v>
      </c>
      <c r="X3690" t="s">
        <v>490</v>
      </c>
      <c r="Y3690" t="s">
        <v>2279</v>
      </c>
      <c r="Z3690" t="s">
        <v>2280</v>
      </c>
      <c r="AA3690" t="s">
        <v>2358</v>
      </c>
      <c r="AB3690" t="s">
        <v>2009</v>
      </c>
      <c r="AC3690" t="s">
        <v>162</v>
      </c>
      <c r="AD3690" t="s">
        <v>2278</v>
      </c>
      <c r="AF3690" t="s">
        <v>49</v>
      </c>
      <c r="AG3690" t="s">
        <v>49</v>
      </c>
      <c r="AI3690" t="s">
        <v>49</v>
      </c>
      <c r="AM3690" t="s">
        <v>202</v>
      </c>
      <c r="AN3690" t="s">
        <v>171</v>
      </c>
      <c r="AP3690" t="s">
        <v>51</v>
      </c>
    </row>
    <row r="3691" spans="1:45" x14ac:dyDescent="0.2">
      <c r="A3691" t="s">
        <v>1954</v>
      </c>
      <c r="B3691" t="s">
        <v>1955</v>
      </c>
      <c r="C3691">
        <v>2009</v>
      </c>
      <c r="D3691" t="s">
        <v>44</v>
      </c>
      <c r="E3691" t="s">
        <v>49</v>
      </c>
      <c r="F3691" t="s">
        <v>1503</v>
      </c>
      <c r="G3691" s="1" t="s">
        <v>86</v>
      </c>
      <c r="H3691" t="s">
        <v>96</v>
      </c>
      <c r="I3691">
        <v>2004</v>
      </c>
      <c r="J3691">
        <v>0.05</v>
      </c>
      <c r="K3691" t="s">
        <v>101</v>
      </c>
      <c r="L3691">
        <v>0.06</v>
      </c>
      <c r="M3691">
        <v>1</v>
      </c>
      <c r="N3691" t="s">
        <v>121</v>
      </c>
      <c r="O3691" t="s">
        <v>121</v>
      </c>
      <c r="P3691" t="s">
        <v>1504</v>
      </c>
      <c r="Q3691" s="1" t="s">
        <v>2292</v>
      </c>
      <c r="R3691" s="1" t="s">
        <v>264</v>
      </c>
      <c r="S3691" s="1" t="s">
        <v>264</v>
      </c>
      <c r="T3691" t="s">
        <v>421</v>
      </c>
      <c r="U3691" t="s">
        <v>421</v>
      </c>
      <c r="X3691" t="s">
        <v>161</v>
      </c>
      <c r="Y3691" t="s">
        <v>2272</v>
      </c>
      <c r="Z3691" t="s">
        <v>2272</v>
      </c>
      <c r="AA3691" t="s">
        <v>2272</v>
      </c>
      <c r="AB3691" t="s">
        <v>2272</v>
      </c>
      <c r="AC3691" t="s">
        <v>162</v>
      </c>
      <c r="AD3691" t="s">
        <v>2272</v>
      </c>
      <c r="AF3691" t="s">
        <v>49</v>
      </c>
      <c r="AG3691" t="s">
        <v>49</v>
      </c>
      <c r="AI3691" t="s">
        <v>49</v>
      </c>
      <c r="AM3691" t="s">
        <v>202</v>
      </c>
      <c r="AN3691" t="s">
        <v>171</v>
      </c>
      <c r="AQ3691" s="5">
        <v>0</v>
      </c>
    </row>
    <row r="3692" spans="1:45" x14ac:dyDescent="0.2">
      <c r="A3692" t="s">
        <v>1954</v>
      </c>
      <c r="B3692" t="s">
        <v>1955</v>
      </c>
      <c r="C3692">
        <v>2009</v>
      </c>
      <c r="D3692" t="s">
        <v>44</v>
      </c>
      <c r="E3692" t="s">
        <v>49</v>
      </c>
      <c r="F3692" t="s">
        <v>1503</v>
      </c>
      <c r="G3692" s="1" t="s">
        <v>86</v>
      </c>
      <c r="H3692" t="s">
        <v>96</v>
      </c>
      <c r="I3692">
        <v>2004</v>
      </c>
      <c r="J3692">
        <v>0.05</v>
      </c>
      <c r="K3692" t="s">
        <v>101</v>
      </c>
      <c r="L3692">
        <v>0.06</v>
      </c>
      <c r="M3692">
        <v>1</v>
      </c>
      <c r="N3692" t="s">
        <v>124</v>
      </c>
      <c r="O3692" t="s">
        <v>124</v>
      </c>
      <c r="P3692" t="s">
        <v>1956</v>
      </c>
      <c r="Q3692" s="1" t="s">
        <v>2292</v>
      </c>
      <c r="R3692" s="1" t="s">
        <v>124</v>
      </c>
      <c r="S3692" s="1" t="s">
        <v>124</v>
      </c>
      <c r="T3692" t="s">
        <v>421</v>
      </c>
      <c r="U3692" t="s">
        <v>421</v>
      </c>
      <c r="X3692" t="s">
        <v>161</v>
      </c>
      <c r="Y3692" t="s">
        <v>2272</v>
      </c>
      <c r="Z3692" t="s">
        <v>2272</v>
      </c>
      <c r="AA3692" t="s">
        <v>2272</v>
      </c>
      <c r="AB3692" t="s">
        <v>2272</v>
      </c>
      <c r="AC3692" t="s">
        <v>162</v>
      </c>
      <c r="AD3692" t="s">
        <v>2272</v>
      </c>
      <c r="AF3692" t="s">
        <v>49</v>
      </c>
      <c r="AG3692" t="s">
        <v>49</v>
      </c>
      <c r="AI3692" t="s">
        <v>49</v>
      </c>
      <c r="AM3692" t="s">
        <v>202</v>
      </c>
      <c r="AN3692" t="s">
        <v>171</v>
      </c>
      <c r="AQ3692" s="5">
        <v>1</v>
      </c>
    </row>
    <row r="3693" spans="1:45" x14ac:dyDescent="0.2">
      <c r="A3693" t="s">
        <v>1954</v>
      </c>
      <c r="B3693" t="s">
        <v>1955</v>
      </c>
      <c r="C3693">
        <v>2009</v>
      </c>
      <c r="D3693" t="s">
        <v>44</v>
      </c>
      <c r="E3693" t="s">
        <v>49</v>
      </c>
      <c r="F3693" t="s">
        <v>1503</v>
      </c>
      <c r="G3693" s="1" t="s">
        <v>86</v>
      </c>
      <c r="H3693" t="s">
        <v>96</v>
      </c>
      <c r="I3693">
        <v>2004</v>
      </c>
      <c r="J3693">
        <v>0.05</v>
      </c>
      <c r="K3693" t="s">
        <v>101</v>
      </c>
      <c r="L3693">
        <v>0.06</v>
      </c>
      <c r="M3693">
        <v>1</v>
      </c>
      <c r="N3693" t="s">
        <v>121</v>
      </c>
      <c r="O3693" t="s">
        <v>121</v>
      </c>
      <c r="P3693" t="s">
        <v>1504</v>
      </c>
      <c r="Q3693" s="1" t="s">
        <v>2292</v>
      </c>
      <c r="R3693" s="1" t="s">
        <v>264</v>
      </c>
      <c r="S3693" s="1" t="s">
        <v>264</v>
      </c>
      <c r="T3693" t="s">
        <v>396</v>
      </c>
      <c r="U3693" t="s">
        <v>124</v>
      </c>
      <c r="X3693" t="s">
        <v>161</v>
      </c>
      <c r="Y3693" t="s">
        <v>2272</v>
      </c>
      <c r="Z3693" t="s">
        <v>2272</v>
      </c>
      <c r="AA3693" t="s">
        <v>2272</v>
      </c>
      <c r="AB3693" t="s">
        <v>2272</v>
      </c>
      <c r="AC3693" t="s">
        <v>162</v>
      </c>
      <c r="AD3693" t="s">
        <v>2272</v>
      </c>
      <c r="AF3693" t="s">
        <v>49</v>
      </c>
      <c r="AG3693" t="s">
        <v>49</v>
      </c>
      <c r="AI3693" t="s">
        <v>49</v>
      </c>
      <c r="AM3693" t="s">
        <v>202</v>
      </c>
      <c r="AN3693" t="s">
        <v>171</v>
      </c>
      <c r="AQ3693" s="5">
        <v>2</v>
      </c>
    </row>
    <row r="3694" spans="1:45" x14ac:dyDescent="0.2">
      <c r="A3694" t="s">
        <v>1954</v>
      </c>
      <c r="B3694" t="s">
        <v>1955</v>
      </c>
      <c r="C3694">
        <v>2009</v>
      </c>
      <c r="D3694" t="s">
        <v>44</v>
      </c>
      <c r="E3694" t="s">
        <v>49</v>
      </c>
      <c r="F3694" t="s">
        <v>1503</v>
      </c>
      <c r="G3694" s="1" t="s">
        <v>86</v>
      </c>
      <c r="H3694" t="s">
        <v>96</v>
      </c>
      <c r="I3694">
        <v>2004</v>
      </c>
      <c r="J3694">
        <v>0.05</v>
      </c>
      <c r="K3694" t="s">
        <v>101</v>
      </c>
      <c r="L3694">
        <v>0.06</v>
      </c>
      <c r="M3694">
        <v>1</v>
      </c>
      <c r="N3694" t="s">
        <v>124</v>
      </c>
      <c r="O3694" t="s">
        <v>124</v>
      </c>
      <c r="P3694" t="s">
        <v>1956</v>
      </c>
      <c r="Q3694" s="1" t="s">
        <v>2292</v>
      </c>
      <c r="R3694" s="1" t="s">
        <v>124</v>
      </c>
      <c r="S3694" s="1" t="s">
        <v>124</v>
      </c>
      <c r="T3694" t="s">
        <v>396</v>
      </c>
      <c r="U3694" t="s">
        <v>264</v>
      </c>
      <c r="X3694" t="s">
        <v>161</v>
      </c>
      <c r="Y3694" t="s">
        <v>2272</v>
      </c>
      <c r="Z3694" t="s">
        <v>2272</v>
      </c>
      <c r="AA3694" t="s">
        <v>2272</v>
      </c>
      <c r="AB3694" t="s">
        <v>2272</v>
      </c>
      <c r="AC3694" t="s">
        <v>162</v>
      </c>
      <c r="AD3694" t="s">
        <v>2272</v>
      </c>
      <c r="AF3694" t="s">
        <v>49</v>
      </c>
      <c r="AG3694" t="s">
        <v>49</v>
      </c>
      <c r="AI3694" t="s">
        <v>49</v>
      </c>
      <c r="AM3694" t="s">
        <v>202</v>
      </c>
      <c r="AN3694" t="s">
        <v>171</v>
      </c>
      <c r="AQ3694" s="5">
        <v>1</v>
      </c>
    </row>
    <row r="3695" spans="1:45" x14ac:dyDescent="0.2">
      <c r="A3695" t="s">
        <v>1957</v>
      </c>
      <c r="B3695" t="s">
        <v>1669</v>
      </c>
      <c r="C3695">
        <v>2009</v>
      </c>
      <c r="Q3695" s="1" t="s">
        <v>2272</v>
      </c>
      <c r="R3695" s="1" t="s">
        <v>2272</v>
      </c>
      <c r="S3695" s="1" t="s">
        <v>2272</v>
      </c>
      <c r="Y3695" t="s">
        <v>2272</v>
      </c>
      <c r="Z3695" t="s">
        <v>2272</v>
      </c>
      <c r="AA3695" t="s">
        <v>2272</v>
      </c>
      <c r="AB3695" t="s">
        <v>2272</v>
      </c>
      <c r="AD3695" t="s">
        <v>2272</v>
      </c>
      <c r="AR3695" t="s">
        <v>144</v>
      </c>
      <c r="AS3695" t="s">
        <v>2583</v>
      </c>
    </row>
    <row r="3696" spans="1:45" x14ac:dyDescent="0.2">
      <c r="A3696" t="s">
        <v>1958</v>
      </c>
      <c r="B3696" t="s">
        <v>1959</v>
      </c>
      <c r="C3696">
        <v>2009</v>
      </c>
      <c r="D3696" t="s">
        <v>44</v>
      </c>
      <c r="E3696" t="s">
        <v>49</v>
      </c>
      <c r="F3696" t="s">
        <v>81</v>
      </c>
      <c r="G3696" s="1" t="s">
        <v>91</v>
      </c>
      <c r="H3696" t="s">
        <v>350</v>
      </c>
      <c r="I3696" t="s">
        <v>1961</v>
      </c>
      <c r="J3696">
        <v>8</v>
      </c>
      <c r="K3696" t="s">
        <v>42</v>
      </c>
      <c r="M3696">
        <f>40*2</f>
        <v>80</v>
      </c>
      <c r="N3696" t="s">
        <v>120</v>
      </c>
      <c r="O3696" t="s">
        <v>120</v>
      </c>
      <c r="P3696" t="s">
        <v>581</v>
      </c>
      <c r="Q3696" s="1" t="s">
        <v>2276</v>
      </c>
      <c r="R3696" s="1" t="s">
        <v>669</v>
      </c>
      <c r="S3696" s="1" t="s">
        <v>168</v>
      </c>
      <c r="X3696" t="s">
        <v>1962</v>
      </c>
      <c r="Y3696" t="s">
        <v>2279</v>
      </c>
      <c r="Z3696" t="s">
        <v>2280</v>
      </c>
      <c r="AA3696" t="s">
        <v>2358</v>
      </c>
      <c r="AB3696" t="s">
        <v>189</v>
      </c>
      <c r="AC3696" t="s">
        <v>152</v>
      </c>
      <c r="AD3696" t="s">
        <v>2278</v>
      </c>
      <c r="AF3696" t="s">
        <v>49</v>
      </c>
      <c r="AJ3696" t="s">
        <v>49</v>
      </c>
      <c r="AM3696" t="s">
        <v>257</v>
      </c>
      <c r="AN3696" t="s">
        <v>166</v>
      </c>
      <c r="AP3696" t="s">
        <v>51</v>
      </c>
      <c r="AR3696">
        <v>1</v>
      </c>
    </row>
    <row r="3697" spans="1:45" x14ac:dyDescent="0.2">
      <c r="A3697" t="s">
        <v>1958</v>
      </c>
      <c r="B3697" t="s">
        <v>1959</v>
      </c>
      <c r="C3697">
        <v>2009</v>
      </c>
      <c r="D3697" t="s">
        <v>44</v>
      </c>
      <c r="E3697" t="s">
        <v>49</v>
      </c>
      <c r="F3697" t="s">
        <v>81</v>
      </c>
      <c r="G3697" s="1" t="s">
        <v>91</v>
      </c>
      <c r="H3697" t="s">
        <v>350</v>
      </c>
      <c r="I3697" t="s">
        <v>1961</v>
      </c>
      <c r="J3697">
        <v>8</v>
      </c>
      <c r="K3697" t="s">
        <v>42</v>
      </c>
      <c r="M3697">
        <f>40*2</f>
        <v>80</v>
      </c>
      <c r="N3697" t="s">
        <v>120</v>
      </c>
      <c r="O3697" t="s">
        <v>120</v>
      </c>
      <c r="P3697" t="s">
        <v>581</v>
      </c>
      <c r="Q3697" s="1" t="s">
        <v>2276</v>
      </c>
      <c r="R3697" s="1" t="s">
        <v>669</v>
      </c>
      <c r="S3697" s="1" t="s">
        <v>168</v>
      </c>
      <c r="X3697" t="s">
        <v>1963</v>
      </c>
      <c r="Y3697" t="s">
        <v>2279</v>
      </c>
      <c r="Z3697" t="s">
        <v>2280</v>
      </c>
      <c r="AA3697" t="s">
        <v>2358</v>
      </c>
      <c r="AB3697" t="s">
        <v>2290</v>
      </c>
      <c r="AC3697" t="s">
        <v>152</v>
      </c>
      <c r="AD3697" t="s">
        <v>2278</v>
      </c>
      <c r="AF3697" t="s">
        <v>49</v>
      </c>
      <c r="AJ3697" t="s">
        <v>49</v>
      </c>
      <c r="AM3697" t="s">
        <v>257</v>
      </c>
      <c r="AN3697" t="s">
        <v>166</v>
      </c>
      <c r="AP3697" t="s">
        <v>51</v>
      </c>
      <c r="AR3697">
        <v>1</v>
      </c>
    </row>
    <row r="3698" spans="1:45" x14ac:dyDescent="0.2">
      <c r="A3698" t="s">
        <v>1964</v>
      </c>
      <c r="B3698" t="s">
        <v>1965</v>
      </c>
      <c r="C3698">
        <v>2009</v>
      </c>
      <c r="D3698" t="s">
        <v>44</v>
      </c>
      <c r="F3698" t="s">
        <v>357</v>
      </c>
      <c r="G3698" s="1" t="s">
        <v>90</v>
      </c>
      <c r="H3698" t="s">
        <v>350</v>
      </c>
      <c r="I3698" t="s">
        <v>1623</v>
      </c>
      <c r="J3698">
        <v>1.3</v>
      </c>
      <c r="K3698" t="s">
        <v>104</v>
      </c>
      <c r="N3698" t="s">
        <v>127</v>
      </c>
      <c r="O3698" t="s">
        <v>1270</v>
      </c>
      <c r="P3698" t="s">
        <v>1966</v>
      </c>
      <c r="Q3698" s="1" t="s">
        <v>2281</v>
      </c>
      <c r="R3698" s="1" t="s">
        <v>2301</v>
      </c>
      <c r="S3698" s="1" t="s">
        <v>2303</v>
      </c>
      <c r="X3698" t="s">
        <v>189</v>
      </c>
      <c r="Y3698" t="s">
        <v>2279</v>
      </c>
      <c r="Z3698" t="s">
        <v>2280</v>
      </c>
      <c r="AA3698" t="s">
        <v>2358</v>
      </c>
      <c r="AB3698" t="s">
        <v>189</v>
      </c>
      <c r="AC3698" t="s">
        <v>152</v>
      </c>
      <c r="AD3698" t="s">
        <v>2278</v>
      </c>
    </row>
    <row r="3699" spans="1:45" x14ac:dyDescent="0.2">
      <c r="A3699" t="s">
        <v>1964</v>
      </c>
      <c r="B3699" t="s">
        <v>1965</v>
      </c>
      <c r="C3699">
        <v>2009</v>
      </c>
      <c r="D3699" t="s">
        <v>44</v>
      </c>
      <c r="F3699" t="s">
        <v>357</v>
      </c>
      <c r="G3699" s="1" t="s">
        <v>90</v>
      </c>
      <c r="H3699" t="s">
        <v>350</v>
      </c>
      <c r="I3699" t="s">
        <v>1623</v>
      </c>
      <c r="J3699">
        <v>1.3</v>
      </c>
      <c r="K3699" t="s">
        <v>104</v>
      </c>
      <c r="N3699" t="s">
        <v>127</v>
      </c>
      <c r="O3699" t="s">
        <v>1270</v>
      </c>
      <c r="P3699" t="s">
        <v>1966</v>
      </c>
      <c r="Q3699" s="1" t="s">
        <v>2281</v>
      </c>
      <c r="R3699" s="1" t="s">
        <v>2301</v>
      </c>
      <c r="S3699" s="1" t="s">
        <v>2303</v>
      </c>
      <c r="X3699" t="s">
        <v>161</v>
      </c>
      <c r="Y3699" t="s">
        <v>2272</v>
      </c>
      <c r="Z3699" t="s">
        <v>2272</v>
      </c>
      <c r="AA3699" t="s">
        <v>2272</v>
      </c>
      <c r="AB3699" t="s">
        <v>2272</v>
      </c>
      <c r="AC3699" t="s">
        <v>162</v>
      </c>
      <c r="AD3699" t="s">
        <v>2272</v>
      </c>
      <c r="AF3699" t="s">
        <v>49</v>
      </c>
      <c r="AI3699" t="s">
        <v>49</v>
      </c>
      <c r="AM3699" t="s">
        <v>202</v>
      </c>
      <c r="AN3699" t="s">
        <v>166</v>
      </c>
    </row>
    <row r="3700" spans="1:45" x14ac:dyDescent="0.2">
      <c r="A3700" t="s">
        <v>1964</v>
      </c>
      <c r="B3700" t="s">
        <v>1965</v>
      </c>
      <c r="C3700">
        <v>2009</v>
      </c>
      <c r="D3700" t="s">
        <v>44</v>
      </c>
      <c r="F3700" t="s">
        <v>357</v>
      </c>
      <c r="G3700" s="1" t="s">
        <v>90</v>
      </c>
      <c r="H3700" t="s">
        <v>350</v>
      </c>
      <c r="I3700" t="s">
        <v>1623</v>
      </c>
      <c r="J3700">
        <v>1.3</v>
      </c>
      <c r="K3700" t="s">
        <v>104</v>
      </c>
      <c r="N3700" t="s">
        <v>127</v>
      </c>
      <c r="O3700" t="s">
        <v>1270</v>
      </c>
      <c r="P3700" t="s">
        <v>1966</v>
      </c>
      <c r="Q3700" s="1" t="s">
        <v>2281</v>
      </c>
      <c r="R3700" s="1" t="s">
        <v>2301</v>
      </c>
      <c r="S3700" s="1" t="s">
        <v>2303</v>
      </c>
      <c r="X3700" t="s">
        <v>161</v>
      </c>
      <c r="Y3700" t="s">
        <v>2272</v>
      </c>
      <c r="Z3700" t="s">
        <v>2272</v>
      </c>
      <c r="AA3700" t="s">
        <v>2272</v>
      </c>
      <c r="AB3700" t="s">
        <v>2272</v>
      </c>
      <c r="AC3700" t="s">
        <v>162</v>
      </c>
      <c r="AD3700" t="s">
        <v>2272</v>
      </c>
      <c r="AF3700" t="s">
        <v>49</v>
      </c>
      <c r="AI3700" t="s">
        <v>49</v>
      </c>
      <c r="AM3700" t="s">
        <v>202</v>
      </c>
      <c r="AN3700" t="s">
        <v>154</v>
      </c>
    </row>
    <row r="3701" spans="1:45" x14ac:dyDescent="0.2">
      <c r="A3701" t="s">
        <v>1964</v>
      </c>
      <c r="B3701" t="s">
        <v>1965</v>
      </c>
      <c r="C3701">
        <v>2009</v>
      </c>
      <c r="D3701" t="s">
        <v>44</v>
      </c>
      <c r="F3701" t="s">
        <v>357</v>
      </c>
      <c r="G3701" s="1" t="s">
        <v>90</v>
      </c>
      <c r="H3701" t="s">
        <v>350</v>
      </c>
      <c r="I3701" t="s">
        <v>1623</v>
      </c>
      <c r="J3701">
        <v>1.3</v>
      </c>
      <c r="K3701" t="s">
        <v>104</v>
      </c>
      <c r="N3701" t="s">
        <v>127</v>
      </c>
      <c r="O3701" t="s">
        <v>1270</v>
      </c>
      <c r="P3701" t="s">
        <v>1966</v>
      </c>
      <c r="Q3701" s="1" t="s">
        <v>2281</v>
      </c>
      <c r="R3701" s="1" t="s">
        <v>2301</v>
      </c>
      <c r="S3701" s="1" t="s">
        <v>2303</v>
      </c>
      <c r="X3701" t="s">
        <v>161</v>
      </c>
      <c r="Y3701" t="s">
        <v>2272</v>
      </c>
      <c r="Z3701" t="s">
        <v>2272</v>
      </c>
      <c r="AA3701" t="s">
        <v>2272</v>
      </c>
      <c r="AB3701" t="s">
        <v>2272</v>
      </c>
      <c r="AC3701" t="s">
        <v>162</v>
      </c>
      <c r="AD3701" t="s">
        <v>2272</v>
      </c>
      <c r="AF3701" t="s">
        <v>49</v>
      </c>
      <c r="AI3701" t="s">
        <v>49</v>
      </c>
      <c r="AM3701" t="s">
        <v>202</v>
      </c>
      <c r="AN3701" t="s">
        <v>165</v>
      </c>
    </row>
    <row r="3702" spans="1:45" x14ac:dyDescent="0.2">
      <c r="A3702" t="s">
        <v>1964</v>
      </c>
      <c r="B3702" t="s">
        <v>1965</v>
      </c>
      <c r="C3702">
        <v>2009</v>
      </c>
      <c r="D3702" t="s">
        <v>44</v>
      </c>
      <c r="F3702" t="s">
        <v>357</v>
      </c>
      <c r="G3702" s="1" t="s">
        <v>90</v>
      </c>
      <c r="H3702" t="s">
        <v>350</v>
      </c>
      <c r="I3702" t="s">
        <v>1623</v>
      </c>
      <c r="J3702">
        <v>1.3</v>
      </c>
      <c r="K3702" t="s">
        <v>104</v>
      </c>
      <c r="N3702" t="s">
        <v>127</v>
      </c>
      <c r="O3702" t="s">
        <v>1270</v>
      </c>
      <c r="P3702" t="s">
        <v>1966</v>
      </c>
      <c r="Q3702" s="1" t="s">
        <v>2281</v>
      </c>
      <c r="R3702" s="1" t="s">
        <v>2301</v>
      </c>
      <c r="S3702" s="1" t="s">
        <v>2303</v>
      </c>
      <c r="X3702" t="s">
        <v>161</v>
      </c>
      <c r="Y3702" t="s">
        <v>2272</v>
      </c>
      <c r="Z3702" t="s">
        <v>2272</v>
      </c>
      <c r="AA3702" t="s">
        <v>2272</v>
      </c>
      <c r="AB3702" t="s">
        <v>2272</v>
      </c>
      <c r="AC3702" t="s">
        <v>162</v>
      </c>
      <c r="AD3702" t="s">
        <v>2272</v>
      </c>
      <c r="AF3702" t="s">
        <v>49</v>
      </c>
      <c r="AI3702" t="s">
        <v>49</v>
      </c>
      <c r="AM3702" t="s">
        <v>202</v>
      </c>
      <c r="AN3702" t="s">
        <v>191</v>
      </c>
    </row>
    <row r="3703" spans="1:45" x14ac:dyDescent="0.2">
      <c r="A3703" t="s">
        <v>1967</v>
      </c>
      <c r="B3703" t="s">
        <v>1968</v>
      </c>
      <c r="C3703">
        <v>2008</v>
      </c>
      <c r="D3703" t="s">
        <v>44</v>
      </c>
      <c r="F3703" t="s">
        <v>1969</v>
      </c>
      <c r="G3703" t="s">
        <v>516</v>
      </c>
      <c r="H3703" t="s">
        <v>350</v>
      </c>
      <c r="I3703" t="s">
        <v>1970</v>
      </c>
      <c r="J3703">
        <v>4.3</v>
      </c>
      <c r="K3703" t="s">
        <v>42</v>
      </c>
      <c r="L3703">
        <v>1.82</v>
      </c>
      <c r="M3703">
        <v>1</v>
      </c>
      <c r="N3703" t="s">
        <v>127</v>
      </c>
      <c r="O3703" t="s">
        <v>1971</v>
      </c>
      <c r="P3703" t="s">
        <v>1972</v>
      </c>
      <c r="Q3703" s="1" t="s">
        <v>2281</v>
      </c>
      <c r="R3703" s="1" t="s">
        <v>2291</v>
      </c>
      <c r="S3703" s="1" t="s">
        <v>2291</v>
      </c>
      <c r="Y3703" t="s">
        <v>2272</v>
      </c>
      <c r="Z3703" t="s">
        <v>2272</v>
      </c>
      <c r="AA3703" t="s">
        <v>2272</v>
      </c>
      <c r="AB3703" t="s">
        <v>2272</v>
      </c>
      <c r="AD3703" t="s">
        <v>2272</v>
      </c>
      <c r="AR3703" t="s">
        <v>144</v>
      </c>
      <c r="AS3703" t="s">
        <v>2460</v>
      </c>
    </row>
    <row r="3704" spans="1:45" x14ac:dyDescent="0.2">
      <c r="A3704" t="s">
        <v>1967</v>
      </c>
      <c r="B3704" t="s">
        <v>1968</v>
      </c>
      <c r="C3704">
        <v>2008</v>
      </c>
      <c r="D3704" t="s">
        <v>44</v>
      </c>
      <c r="F3704" t="s">
        <v>1969</v>
      </c>
      <c r="G3704" t="s">
        <v>516</v>
      </c>
      <c r="H3704" t="s">
        <v>350</v>
      </c>
      <c r="I3704" t="s">
        <v>1970</v>
      </c>
      <c r="J3704">
        <v>4.3</v>
      </c>
      <c r="K3704" t="s">
        <v>42</v>
      </c>
      <c r="L3704">
        <v>1.82</v>
      </c>
      <c r="M3704">
        <v>1</v>
      </c>
      <c r="N3704" t="s">
        <v>127</v>
      </c>
      <c r="O3704" t="s">
        <v>639</v>
      </c>
      <c r="Q3704" s="1" t="s">
        <v>2281</v>
      </c>
      <c r="R3704" s="1" t="s">
        <v>2291</v>
      </c>
      <c r="S3704" s="1" t="s">
        <v>2291</v>
      </c>
      <c r="Y3704" t="s">
        <v>2272</v>
      </c>
      <c r="Z3704" t="s">
        <v>2272</v>
      </c>
      <c r="AA3704" t="s">
        <v>2272</v>
      </c>
      <c r="AB3704" t="s">
        <v>2272</v>
      </c>
      <c r="AD3704" t="s">
        <v>2272</v>
      </c>
      <c r="AR3704" t="s">
        <v>144</v>
      </c>
      <c r="AS3704" t="s">
        <v>2460</v>
      </c>
    </row>
    <row r="3705" spans="1:45" x14ac:dyDescent="0.2">
      <c r="A3705" t="s">
        <v>1967</v>
      </c>
      <c r="B3705" t="s">
        <v>1968</v>
      </c>
      <c r="C3705">
        <v>2008</v>
      </c>
      <c r="D3705" t="s">
        <v>44</v>
      </c>
      <c r="F3705" t="s">
        <v>1969</v>
      </c>
      <c r="G3705" t="s">
        <v>516</v>
      </c>
      <c r="H3705" t="s">
        <v>350</v>
      </c>
      <c r="I3705" t="s">
        <v>1970</v>
      </c>
      <c r="J3705">
        <v>4.3</v>
      </c>
      <c r="K3705" t="s">
        <v>42</v>
      </c>
      <c r="L3705">
        <v>1.82</v>
      </c>
      <c r="M3705">
        <v>1</v>
      </c>
      <c r="N3705" t="s">
        <v>128</v>
      </c>
      <c r="O3705" t="s">
        <v>751</v>
      </c>
      <c r="Q3705" s="1" t="s">
        <v>2276</v>
      </c>
      <c r="R3705" s="1" t="s">
        <v>751</v>
      </c>
      <c r="S3705" s="1" t="s">
        <v>2354</v>
      </c>
      <c r="Y3705" t="s">
        <v>2272</v>
      </c>
      <c r="Z3705" t="s">
        <v>2272</v>
      </c>
      <c r="AA3705" t="s">
        <v>2272</v>
      </c>
      <c r="AB3705" t="s">
        <v>2272</v>
      </c>
      <c r="AD3705" t="s">
        <v>2272</v>
      </c>
    </row>
    <row r="3706" spans="1:45" x14ac:dyDescent="0.2">
      <c r="A3706" t="s">
        <v>1973</v>
      </c>
      <c r="B3706" t="s">
        <v>1974</v>
      </c>
      <c r="C3706">
        <v>2008</v>
      </c>
      <c r="D3706" t="s">
        <v>44</v>
      </c>
      <c r="F3706" t="s">
        <v>1975</v>
      </c>
      <c r="G3706" t="s">
        <v>91</v>
      </c>
      <c r="H3706" t="s">
        <v>96</v>
      </c>
      <c r="I3706">
        <v>2006</v>
      </c>
      <c r="J3706">
        <v>0.08</v>
      </c>
      <c r="K3706" t="s">
        <v>101</v>
      </c>
      <c r="M3706">
        <v>0.25</v>
      </c>
      <c r="N3706" t="s">
        <v>124</v>
      </c>
      <c r="O3706" t="s">
        <v>124</v>
      </c>
      <c r="P3706" t="s">
        <v>279</v>
      </c>
      <c r="Q3706" s="1" t="s">
        <v>2292</v>
      </c>
      <c r="R3706" s="1" t="s">
        <v>124</v>
      </c>
      <c r="S3706" s="1" t="s">
        <v>124</v>
      </c>
      <c r="X3706" t="s">
        <v>338</v>
      </c>
      <c r="Y3706" t="s">
        <v>2273</v>
      </c>
      <c r="Z3706" t="s">
        <v>249</v>
      </c>
      <c r="AA3706" t="s">
        <v>2359</v>
      </c>
      <c r="AB3706" t="s">
        <v>1419</v>
      </c>
      <c r="AC3706" t="s">
        <v>152</v>
      </c>
      <c r="AD3706" t="s">
        <v>2288</v>
      </c>
    </row>
    <row r="3707" spans="1:45" x14ac:dyDescent="0.2">
      <c r="A3707" t="s">
        <v>1973</v>
      </c>
      <c r="B3707" t="s">
        <v>1974</v>
      </c>
      <c r="C3707">
        <v>2008</v>
      </c>
      <c r="D3707" t="s">
        <v>44</v>
      </c>
      <c r="F3707" t="s">
        <v>1975</v>
      </c>
      <c r="G3707" t="s">
        <v>91</v>
      </c>
      <c r="H3707" t="s">
        <v>96</v>
      </c>
      <c r="I3707">
        <v>2006</v>
      </c>
      <c r="J3707">
        <v>0.08</v>
      </c>
      <c r="K3707" t="s">
        <v>101</v>
      </c>
      <c r="M3707">
        <v>0.25</v>
      </c>
      <c r="N3707" t="s">
        <v>124</v>
      </c>
      <c r="O3707" t="s">
        <v>124</v>
      </c>
      <c r="P3707" t="s">
        <v>1976</v>
      </c>
      <c r="Q3707" s="1" t="s">
        <v>2292</v>
      </c>
      <c r="R3707" s="1" t="s">
        <v>124</v>
      </c>
      <c r="S3707" s="1" t="s">
        <v>124</v>
      </c>
      <c r="X3707" t="s">
        <v>338</v>
      </c>
      <c r="Y3707" t="s">
        <v>2273</v>
      </c>
      <c r="Z3707" t="s">
        <v>249</v>
      </c>
      <c r="AA3707" t="s">
        <v>2359</v>
      </c>
      <c r="AB3707" t="s">
        <v>1419</v>
      </c>
      <c r="AC3707" t="s">
        <v>152</v>
      </c>
      <c r="AD3707" t="s">
        <v>2288</v>
      </c>
    </row>
    <row r="3708" spans="1:45" x14ac:dyDescent="0.2">
      <c r="A3708" t="s">
        <v>1973</v>
      </c>
      <c r="B3708" t="s">
        <v>1974</v>
      </c>
      <c r="C3708">
        <v>2008</v>
      </c>
      <c r="D3708" t="s">
        <v>44</v>
      </c>
      <c r="F3708" t="s">
        <v>1975</v>
      </c>
      <c r="G3708" t="s">
        <v>91</v>
      </c>
      <c r="H3708" t="s">
        <v>96</v>
      </c>
      <c r="I3708">
        <v>2006</v>
      </c>
      <c r="J3708">
        <v>0.08</v>
      </c>
      <c r="K3708" t="s">
        <v>101</v>
      </c>
      <c r="M3708">
        <v>0.25</v>
      </c>
      <c r="N3708" t="s">
        <v>124</v>
      </c>
      <c r="O3708" t="s">
        <v>124</v>
      </c>
      <c r="P3708" t="s">
        <v>279</v>
      </c>
      <c r="Q3708" s="1" t="s">
        <v>2292</v>
      </c>
      <c r="R3708" s="1" t="s">
        <v>124</v>
      </c>
      <c r="S3708" s="1" t="s">
        <v>124</v>
      </c>
      <c r="X3708" t="s">
        <v>189</v>
      </c>
      <c r="Y3708" t="s">
        <v>2279</v>
      </c>
      <c r="Z3708" t="s">
        <v>2280</v>
      </c>
      <c r="AA3708" t="s">
        <v>2358</v>
      </c>
      <c r="AB3708" t="s">
        <v>189</v>
      </c>
      <c r="AC3708" t="s">
        <v>152</v>
      </c>
      <c r="AD3708" t="s">
        <v>2278</v>
      </c>
    </row>
    <row r="3709" spans="1:45" x14ac:dyDescent="0.2">
      <c r="A3709" t="s">
        <v>1973</v>
      </c>
      <c r="B3709" t="s">
        <v>1974</v>
      </c>
      <c r="C3709">
        <v>2008</v>
      </c>
      <c r="D3709" t="s">
        <v>44</v>
      </c>
      <c r="F3709" t="s">
        <v>1975</v>
      </c>
      <c r="G3709" t="s">
        <v>91</v>
      </c>
      <c r="H3709" t="s">
        <v>96</v>
      </c>
      <c r="I3709">
        <v>2006</v>
      </c>
      <c r="J3709">
        <v>0.08</v>
      </c>
      <c r="K3709" t="s">
        <v>101</v>
      </c>
      <c r="M3709">
        <v>0.25</v>
      </c>
      <c r="N3709" t="s">
        <v>124</v>
      </c>
      <c r="O3709" t="s">
        <v>124</v>
      </c>
      <c r="P3709" t="s">
        <v>1976</v>
      </c>
      <c r="Q3709" s="1" t="s">
        <v>2292</v>
      </c>
      <c r="R3709" s="1" t="s">
        <v>124</v>
      </c>
      <c r="S3709" s="1" t="s">
        <v>124</v>
      </c>
      <c r="X3709" t="s">
        <v>189</v>
      </c>
      <c r="Y3709" t="s">
        <v>2279</v>
      </c>
      <c r="Z3709" t="s">
        <v>2280</v>
      </c>
      <c r="AA3709" t="s">
        <v>2358</v>
      </c>
      <c r="AB3709" t="s">
        <v>189</v>
      </c>
      <c r="AC3709" t="s">
        <v>152</v>
      </c>
      <c r="AD3709" t="s">
        <v>2278</v>
      </c>
    </row>
    <row r="3710" spans="1:45" x14ac:dyDescent="0.2">
      <c r="A3710" t="s">
        <v>1973</v>
      </c>
      <c r="B3710" t="s">
        <v>1974</v>
      </c>
      <c r="C3710">
        <v>2008</v>
      </c>
      <c r="D3710" t="s">
        <v>44</v>
      </c>
      <c r="F3710" t="s">
        <v>1975</v>
      </c>
      <c r="G3710" t="s">
        <v>91</v>
      </c>
      <c r="H3710" t="s">
        <v>96</v>
      </c>
      <c r="I3710">
        <v>2006</v>
      </c>
      <c r="J3710">
        <v>0.08</v>
      </c>
      <c r="K3710" t="s">
        <v>101</v>
      </c>
      <c r="M3710">
        <v>0.25</v>
      </c>
      <c r="N3710" t="s">
        <v>124</v>
      </c>
      <c r="O3710" t="s">
        <v>124</v>
      </c>
      <c r="P3710" t="s">
        <v>279</v>
      </c>
      <c r="Q3710" s="1" t="s">
        <v>2292</v>
      </c>
      <c r="R3710" s="1" t="s">
        <v>124</v>
      </c>
      <c r="S3710" s="1" t="s">
        <v>124</v>
      </c>
      <c r="X3710" t="s">
        <v>305</v>
      </c>
      <c r="Y3710" t="s">
        <v>2273</v>
      </c>
      <c r="Z3710" t="s">
        <v>249</v>
      </c>
      <c r="AA3710" t="s">
        <v>2359</v>
      </c>
      <c r="AB3710" t="s">
        <v>1979</v>
      </c>
      <c r="AC3710" t="s">
        <v>152</v>
      </c>
      <c r="AD3710" t="s">
        <v>2288</v>
      </c>
    </row>
    <row r="3711" spans="1:45" x14ac:dyDescent="0.2">
      <c r="A3711" t="s">
        <v>1973</v>
      </c>
      <c r="B3711" t="s">
        <v>1974</v>
      </c>
      <c r="C3711">
        <v>2008</v>
      </c>
      <c r="D3711" t="s">
        <v>44</v>
      </c>
      <c r="F3711" t="s">
        <v>1975</v>
      </c>
      <c r="G3711" t="s">
        <v>91</v>
      </c>
      <c r="H3711" t="s">
        <v>96</v>
      </c>
      <c r="I3711">
        <v>2006</v>
      </c>
      <c r="J3711">
        <v>0.08</v>
      </c>
      <c r="K3711" t="s">
        <v>101</v>
      </c>
      <c r="M3711">
        <v>0.25</v>
      </c>
      <c r="N3711" t="s">
        <v>124</v>
      </c>
      <c r="O3711" t="s">
        <v>124</v>
      </c>
      <c r="P3711" t="s">
        <v>1976</v>
      </c>
      <c r="Q3711" s="1" t="s">
        <v>2292</v>
      </c>
      <c r="R3711" s="1" t="s">
        <v>124</v>
      </c>
      <c r="S3711" s="1" t="s">
        <v>124</v>
      </c>
      <c r="X3711" t="s">
        <v>305</v>
      </c>
      <c r="Y3711" t="s">
        <v>2273</v>
      </c>
      <c r="Z3711" t="s">
        <v>249</v>
      </c>
      <c r="AA3711" t="s">
        <v>2359</v>
      </c>
      <c r="AB3711" t="s">
        <v>1979</v>
      </c>
      <c r="AC3711" t="s">
        <v>152</v>
      </c>
      <c r="AD3711" t="s">
        <v>2288</v>
      </c>
    </row>
    <row r="3712" spans="1:45" x14ac:dyDescent="0.2">
      <c r="A3712" t="s">
        <v>1973</v>
      </c>
      <c r="B3712" t="s">
        <v>1974</v>
      </c>
      <c r="C3712">
        <v>2008</v>
      </c>
      <c r="D3712" t="s">
        <v>44</v>
      </c>
      <c r="F3712" t="s">
        <v>1975</v>
      </c>
      <c r="G3712" t="s">
        <v>91</v>
      </c>
      <c r="H3712" t="s">
        <v>96</v>
      </c>
      <c r="I3712">
        <v>2006</v>
      </c>
      <c r="J3712">
        <v>0.08</v>
      </c>
      <c r="K3712" t="s">
        <v>101</v>
      </c>
      <c r="M3712">
        <v>0.25</v>
      </c>
      <c r="N3712" t="s">
        <v>124</v>
      </c>
      <c r="O3712" t="s">
        <v>124</v>
      </c>
      <c r="P3712" t="s">
        <v>279</v>
      </c>
      <c r="Q3712" s="1" t="s">
        <v>2292</v>
      </c>
      <c r="R3712" s="1" t="s">
        <v>124</v>
      </c>
      <c r="S3712" s="1" t="s">
        <v>124</v>
      </c>
      <c r="X3712" t="s">
        <v>1977</v>
      </c>
      <c r="Y3712" t="s">
        <v>2273</v>
      </c>
      <c r="Z3712" t="s">
        <v>2356</v>
      </c>
      <c r="AA3712" t="s">
        <v>2357</v>
      </c>
      <c r="AB3712" t="s">
        <v>2306</v>
      </c>
      <c r="AC3712" t="s">
        <v>152</v>
      </c>
      <c r="AD3712" t="s">
        <v>137</v>
      </c>
    </row>
    <row r="3713" spans="1:43" x14ac:dyDescent="0.2">
      <c r="A3713" t="s">
        <v>1973</v>
      </c>
      <c r="B3713" t="s">
        <v>1974</v>
      </c>
      <c r="C3713">
        <v>2008</v>
      </c>
      <c r="D3713" t="s">
        <v>44</v>
      </c>
      <c r="F3713" t="s">
        <v>1975</v>
      </c>
      <c r="G3713" t="s">
        <v>91</v>
      </c>
      <c r="H3713" t="s">
        <v>96</v>
      </c>
      <c r="I3713">
        <v>2006</v>
      </c>
      <c r="J3713">
        <v>0.08</v>
      </c>
      <c r="K3713" t="s">
        <v>101</v>
      </c>
      <c r="M3713">
        <v>0.25</v>
      </c>
      <c r="N3713" t="s">
        <v>124</v>
      </c>
      <c r="O3713" t="s">
        <v>124</v>
      </c>
      <c r="P3713" t="s">
        <v>1976</v>
      </c>
      <c r="Q3713" s="1" t="s">
        <v>2292</v>
      </c>
      <c r="R3713" s="1" t="s">
        <v>124</v>
      </c>
      <c r="S3713" s="1" t="s">
        <v>124</v>
      </c>
      <c r="X3713" t="s">
        <v>1977</v>
      </c>
      <c r="Y3713" t="s">
        <v>2273</v>
      </c>
      <c r="Z3713" t="s">
        <v>2356</v>
      </c>
      <c r="AA3713" t="s">
        <v>2357</v>
      </c>
      <c r="AB3713" t="s">
        <v>2306</v>
      </c>
      <c r="AC3713" t="s">
        <v>152</v>
      </c>
      <c r="AD3713" t="s">
        <v>137</v>
      </c>
    </row>
    <row r="3714" spans="1:43" x14ac:dyDescent="0.2">
      <c r="A3714" t="s">
        <v>1973</v>
      </c>
      <c r="B3714" t="s">
        <v>1974</v>
      </c>
      <c r="C3714">
        <v>2008</v>
      </c>
      <c r="D3714" t="s">
        <v>44</v>
      </c>
      <c r="F3714" t="s">
        <v>1975</v>
      </c>
      <c r="G3714" t="s">
        <v>91</v>
      </c>
      <c r="H3714" t="s">
        <v>96</v>
      </c>
      <c r="I3714">
        <v>2006</v>
      </c>
      <c r="J3714">
        <v>0.08</v>
      </c>
      <c r="K3714" t="s">
        <v>101</v>
      </c>
      <c r="M3714">
        <v>0.25</v>
      </c>
      <c r="N3714" t="s">
        <v>124</v>
      </c>
      <c r="O3714" t="s">
        <v>124</v>
      </c>
      <c r="P3714" t="s">
        <v>279</v>
      </c>
      <c r="Q3714" s="1" t="s">
        <v>2292</v>
      </c>
      <c r="R3714" s="1" t="s">
        <v>124</v>
      </c>
      <c r="S3714" s="1" t="s">
        <v>124</v>
      </c>
      <c r="T3714" t="s">
        <v>421</v>
      </c>
      <c r="U3714" t="s">
        <v>421</v>
      </c>
      <c r="X3714" t="s">
        <v>161</v>
      </c>
      <c r="Y3714" t="s">
        <v>2272</v>
      </c>
      <c r="Z3714" t="s">
        <v>2272</v>
      </c>
      <c r="AA3714" t="s">
        <v>2272</v>
      </c>
      <c r="AB3714" t="s">
        <v>2272</v>
      </c>
      <c r="AC3714" t="s">
        <v>162</v>
      </c>
      <c r="AD3714" t="s">
        <v>2272</v>
      </c>
      <c r="AF3714" t="s">
        <v>49</v>
      </c>
      <c r="AL3714" t="s">
        <v>49</v>
      </c>
      <c r="AM3714" t="s">
        <v>1978</v>
      </c>
      <c r="AN3714" t="s">
        <v>166</v>
      </c>
      <c r="AP3714" t="s">
        <v>157</v>
      </c>
      <c r="AQ3714" s="5">
        <v>1</v>
      </c>
    </row>
    <row r="3715" spans="1:43" x14ac:dyDescent="0.2">
      <c r="A3715" t="s">
        <v>1973</v>
      </c>
      <c r="B3715" t="s">
        <v>1974</v>
      </c>
      <c r="C3715">
        <v>2008</v>
      </c>
      <c r="D3715" t="s">
        <v>44</v>
      </c>
      <c r="F3715" t="s">
        <v>1975</v>
      </c>
      <c r="G3715" t="s">
        <v>91</v>
      </c>
      <c r="H3715" t="s">
        <v>96</v>
      </c>
      <c r="I3715">
        <v>2006</v>
      </c>
      <c r="J3715">
        <v>0.08</v>
      </c>
      <c r="K3715" t="s">
        <v>101</v>
      </c>
      <c r="M3715">
        <v>0.25</v>
      </c>
      <c r="N3715" t="s">
        <v>124</v>
      </c>
      <c r="O3715" t="s">
        <v>124</v>
      </c>
      <c r="P3715" t="s">
        <v>1976</v>
      </c>
      <c r="Q3715" s="1" t="s">
        <v>2292</v>
      </c>
      <c r="R3715" s="1" t="s">
        <v>124</v>
      </c>
      <c r="S3715" s="1" t="s">
        <v>124</v>
      </c>
      <c r="T3715" t="s">
        <v>421</v>
      </c>
      <c r="U3715" t="s">
        <v>421</v>
      </c>
      <c r="X3715" t="s">
        <v>161</v>
      </c>
      <c r="Y3715" t="s">
        <v>2272</v>
      </c>
      <c r="Z3715" t="s">
        <v>2272</v>
      </c>
      <c r="AA3715" t="s">
        <v>2272</v>
      </c>
      <c r="AB3715" t="s">
        <v>2272</v>
      </c>
      <c r="AC3715" t="s">
        <v>162</v>
      </c>
      <c r="AD3715" t="s">
        <v>2272</v>
      </c>
      <c r="AF3715" t="s">
        <v>49</v>
      </c>
      <c r="AL3715" t="s">
        <v>49</v>
      </c>
      <c r="AM3715" t="s">
        <v>1978</v>
      </c>
      <c r="AN3715" t="s">
        <v>166</v>
      </c>
      <c r="AP3715" t="s">
        <v>157</v>
      </c>
      <c r="AQ3715" s="5">
        <v>1</v>
      </c>
    </row>
    <row r="3716" spans="1:43" x14ac:dyDescent="0.2">
      <c r="A3716" t="s">
        <v>1973</v>
      </c>
      <c r="B3716" t="s">
        <v>1974</v>
      </c>
      <c r="C3716">
        <v>2008</v>
      </c>
      <c r="D3716" t="s">
        <v>44</v>
      </c>
      <c r="F3716" t="s">
        <v>1975</v>
      </c>
      <c r="G3716" t="s">
        <v>91</v>
      </c>
      <c r="H3716" t="s">
        <v>96</v>
      </c>
      <c r="I3716">
        <v>2006</v>
      </c>
      <c r="J3716">
        <v>0.08</v>
      </c>
      <c r="K3716" t="s">
        <v>101</v>
      </c>
      <c r="M3716">
        <v>0.25</v>
      </c>
      <c r="N3716" t="s">
        <v>124</v>
      </c>
      <c r="O3716" t="s">
        <v>124</v>
      </c>
      <c r="P3716" t="s">
        <v>279</v>
      </c>
      <c r="Q3716" s="1" t="s">
        <v>2292</v>
      </c>
      <c r="R3716" s="1" t="s">
        <v>124</v>
      </c>
      <c r="S3716" s="1" t="s">
        <v>124</v>
      </c>
      <c r="T3716" t="s">
        <v>396</v>
      </c>
      <c r="U3716" t="s">
        <v>124</v>
      </c>
      <c r="X3716" t="s">
        <v>161</v>
      </c>
      <c r="Y3716" t="s">
        <v>2272</v>
      </c>
      <c r="Z3716" t="s">
        <v>2272</v>
      </c>
      <c r="AA3716" t="s">
        <v>2272</v>
      </c>
      <c r="AB3716" t="s">
        <v>2272</v>
      </c>
      <c r="AC3716" t="s">
        <v>162</v>
      </c>
      <c r="AD3716" t="s">
        <v>2272</v>
      </c>
      <c r="AF3716" t="s">
        <v>49</v>
      </c>
      <c r="AL3716" t="s">
        <v>49</v>
      </c>
      <c r="AM3716" t="s">
        <v>1978</v>
      </c>
      <c r="AN3716" t="s">
        <v>166</v>
      </c>
      <c r="AQ3716" s="5">
        <v>1</v>
      </c>
    </row>
    <row r="3717" spans="1:43" x14ac:dyDescent="0.2">
      <c r="A3717" t="s">
        <v>1973</v>
      </c>
      <c r="B3717" t="s">
        <v>1974</v>
      </c>
      <c r="C3717">
        <v>2008</v>
      </c>
      <c r="D3717" t="s">
        <v>44</v>
      </c>
      <c r="F3717" t="s">
        <v>1975</v>
      </c>
      <c r="G3717" t="s">
        <v>91</v>
      </c>
      <c r="H3717" t="s">
        <v>96</v>
      </c>
      <c r="I3717">
        <v>2006</v>
      </c>
      <c r="J3717">
        <v>0.08</v>
      </c>
      <c r="K3717" t="s">
        <v>101</v>
      </c>
      <c r="M3717">
        <v>0.25</v>
      </c>
      <c r="N3717" t="s">
        <v>124</v>
      </c>
      <c r="O3717" t="s">
        <v>124</v>
      </c>
      <c r="P3717" t="s">
        <v>1976</v>
      </c>
      <c r="Q3717" s="1" t="s">
        <v>2292</v>
      </c>
      <c r="R3717" s="1" t="s">
        <v>124</v>
      </c>
      <c r="S3717" s="1" t="s">
        <v>124</v>
      </c>
      <c r="T3717" t="s">
        <v>396</v>
      </c>
      <c r="U3717" t="s">
        <v>124</v>
      </c>
      <c r="X3717" t="s">
        <v>161</v>
      </c>
      <c r="Y3717" t="s">
        <v>2272</v>
      </c>
      <c r="Z3717" t="s">
        <v>2272</v>
      </c>
      <c r="AA3717" t="s">
        <v>2272</v>
      </c>
      <c r="AB3717" t="s">
        <v>2272</v>
      </c>
      <c r="AC3717" t="s">
        <v>162</v>
      </c>
      <c r="AD3717" t="s">
        <v>2272</v>
      </c>
      <c r="AF3717" t="s">
        <v>49</v>
      </c>
      <c r="AL3717" t="s">
        <v>49</v>
      </c>
      <c r="AM3717" t="s">
        <v>1978</v>
      </c>
      <c r="AN3717" t="s">
        <v>166</v>
      </c>
      <c r="AQ3717" s="5">
        <v>2</v>
      </c>
    </row>
    <row r="3718" spans="1:43" x14ac:dyDescent="0.2">
      <c r="A3718" t="s">
        <v>1973</v>
      </c>
      <c r="B3718" t="s">
        <v>1974</v>
      </c>
      <c r="C3718">
        <v>2008</v>
      </c>
      <c r="D3718" t="s">
        <v>44</v>
      </c>
      <c r="F3718" t="s">
        <v>1975</v>
      </c>
      <c r="G3718" t="s">
        <v>91</v>
      </c>
      <c r="H3718" t="s">
        <v>96</v>
      </c>
      <c r="I3718">
        <v>2006</v>
      </c>
      <c r="J3718">
        <v>0.08</v>
      </c>
      <c r="K3718" t="s">
        <v>101</v>
      </c>
      <c r="M3718">
        <v>0.25</v>
      </c>
      <c r="N3718" t="s">
        <v>124</v>
      </c>
      <c r="O3718" t="s">
        <v>124</v>
      </c>
      <c r="P3718" t="s">
        <v>279</v>
      </c>
      <c r="Q3718" s="1" t="s">
        <v>2292</v>
      </c>
      <c r="R3718" s="1" t="s">
        <v>124</v>
      </c>
      <c r="S3718" s="1" t="s">
        <v>124</v>
      </c>
      <c r="T3718" t="s">
        <v>421</v>
      </c>
      <c r="U3718" t="s">
        <v>421</v>
      </c>
      <c r="X3718" t="s">
        <v>161</v>
      </c>
      <c r="Y3718" t="s">
        <v>2272</v>
      </c>
      <c r="Z3718" t="s">
        <v>2272</v>
      </c>
      <c r="AA3718" t="s">
        <v>2272</v>
      </c>
      <c r="AB3718" t="s">
        <v>2272</v>
      </c>
      <c r="AC3718" t="s">
        <v>162</v>
      </c>
      <c r="AD3718" t="s">
        <v>2272</v>
      </c>
      <c r="AF3718" t="s">
        <v>49</v>
      </c>
      <c r="AL3718" t="s">
        <v>49</v>
      </c>
      <c r="AM3718" t="s">
        <v>1978</v>
      </c>
      <c r="AN3718" t="s">
        <v>171</v>
      </c>
      <c r="AP3718" t="s">
        <v>157</v>
      </c>
      <c r="AQ3718" s="5">
        <v>1</v>
      </c>
    </row>
    <row r="3719" spans="1:43" x14ac:dyDescent="0.2">
      <c r="A3719" t="s">
        <v>1973</v>
      </c>
      <c r="B3719" t="s">
        <v>1974</v>
      </c>
      <c r="C3719">
        <v>2008</v>
      </c>
      <c r="D3719" t="s">
        <v>44</v>
      </c>
      <c r="F3719" t="s">
        <v>1975</v>
      </c>
      <c r="G3719" t="s">
        <v>91</v>
      </c>
      <c r="H3719" t="s">
        <v>96</v>
      </c>
      <c r="I3719">
        <v>2006</v>
      </c>
      <c r="J3719">
        <v>0.08</v>
      </c>
      <c r="K3719" t="s">
        <v>101</v>
      </c>
      <c r="M3719">
        <v>0.25</v>
      </c>
      <c r="N3719" t="s">
        <v>124</v>
      </c>
      <c r="O3719" t="s">
        <v>124</v>
      </c>
      <c r="P3719" t="s">
        <v>1976</v>
      </c>
      <c r="Q3719" s="1" t="s">
        <v>2292</v>
      </c>
      <c r="R3719" s="1" t="s">
        <v>124</v>
      </c>
      <c r="S3719" s="1" t="s">
        <v>124</v>
      </c>
      <c r="T3719" t="s">
        <v>421</v>
      </c>
      <c r="U3719" t="s">
        <v>421</v>
      </c>
      <c r="X3719" t="s">
        <v>161</v>
      </c>
      <c r="Y3719" t="s">
        <v>2272</v>
      </c>
      <c r="Z3719" t="s">
        <v>2272</v>
      </c>
      <c r="AA3719" t="s">
        <v>2272</v>
      </c>
      <c r="AB3719" t="s">
        <v>2272</v>
      </c>
      <c r="AC3719" t="s">
        <v>162</v>
      </c>
      <c r="AD3719" t="s">
        <v>2272</v>
      </c>
      <c r="AF3719" t="s">
        <v>49</v>
      </c>
      <c r="AL3719" t="s">
        <v>49</v>
      </c>
      <c r="AM3719" t="s">
        <v>1978</v>
      </c>
      <c r="AN3719" t="s">
        <v>171</v>
      </c>
      <c r="AP3719" t="s">
        <v>157</v>
      </c>
      <c r="AQ3719" s="5">
        <v>1</v>
      </c>
    </row>
    <row r="3720" spans="1:43" x14ac:dyDescent="0.2">
      <c r="A3720" t="s">
        <v>1973</v>
      </c>
      <c r="B3720" t="s">
        <v>1974</v>
      </c>
      <c r="C3720">
        <v>2008</v>
      </c>
      <c r="D3720" t="s">
        <v>44</v>
      </c>
      <c r="F3720" t="s">
        <v>1975</v>
      </c>
      <c r="G3720" t="s">
        <v>91</v>
      </c>
      <c r="H3720" t="s">
        <v>96</v>
      </c>
      <c r="I3720">
        <v>2006</v>
      </c>
      <c r="J3720">
        <v>0.08</v>
      </c>
      <c r="K3720" t="s">
        <v>101</v>
      </c>
      <c r="M3720">
        <v>0.25</v>
      </c>
      <c r="N3720" t="s">
        <v>124</v>
      </c>
      <c r="O3720" t="s">
        <v>124</v>
      </c>
      <c r="P3720" t="s">
        <v>279</v>
      </c>
      <c r="Q3720" s="1" t="s">
        <v>2292</v>
      </c>
      <c r="R3720" s="1" t="s">
        <v>124</v>
      </c>
      <c r="S3720" s="1" t="s">
        <v>124</v>
      </c>
      <c r="T3720" t="s">
        <v>396</v>
      </c>
      <c r="U3720" t="s">
        <v>124</v>
      </c>
      <c r="X3720" t="s">
        <v>161</v>
      </c>
      <c r="Y3720" t="s">
        <v>2272</v>
      </c>
      <c r="Z3720" t="s">
        <v>2272</v>
      </c>
      <c r="AA3720" t="s">
        <v>2272</v>
      </c>
      <c r="AB3720" t="s">
        <v>2272</v>
      </c>
      <c r="AC3720" t="s">
        <v>162</v>
      </c>
      <c r="AD3720" t="s">
        <v>2272</v>
      </c>
      <c r="AF3720" t="s">
        <v>49</v>
      </c>
      <c r="AL3720" t="s">
        <v>49</v>
      </c>
      <c r="AM3720" t="s">
        <v>1978</v>
      </c>
      <c r="AN3720" t="s">
        <v>171</v>
      </c>
      <c r="AQ3720" s="5">
        <v>1</v>
      </c>
    </row>
    <row r="3721" spans="1:43" x14ac:dyDescent="0.2">
      <c r="A3721" t="s">
        <v>1973</v>
      </c>
      <c r="B3721" t="s">
        <v>1974</v>
      </c>
      <c r="C3721">
        <v>2008</v>
      </c>
      <c r="D3721" t="s">
        <v>44</v>
      </c>
      <c r="F3721" t="s">
        <v>1975</v>
      </c>
      <c r="G3721" t="s">
        <v>91</v>
      </c>
      <c r="H3721" t="s">
        <v>96</v>
      </c>
      <c r="I3721">
        <v>2006</v>
      </c>
      <c r="J3721">
        <v>0.08</v>
      </c>
      <c r="K3721" t="s">
        <v>101</v>
      </c>
      <c r="M3721">
        <v>0.25</v>
      </c>
      <c r="N3721" t="s">
        <v>124</v>
      </c>
      <c r="O3721" t="s">
        <v>124</v>
      </c>
      <c r="P3721" t="s">
        <v>1976</v>
      </c>
      <c r="Q3721" s="1" t="s">
        <v>2292</v>
      </c>
      <c r="R3721" s="1" t="s">
        <v>124</v>
      </c>
      <c r="S3721" s="1" t="s">
        <v>124</v>
      </c>
      <c r="T3721" t="s">
        <v>396</v>
      </c>
      <c r="U3721" t="s">
        <v>124</v>
      </c>
      <c r="X3721" t="s">
        <v>161</v>
      </c>
      <c r="Y3721" t="s">
        <v>2272</v>
      </c>
      <c r="Z3721" t="s">
        <v>2272</v>
      </c>
      <c r="AA3721" t="s">
        <v>2272</v>
      </c>
      <c r="AB3721" t="s">
        <v>2272</v>
      </c>
      <c r="AC3721" t="s">
        <v>162</v>
      </c>
      <c r="AD3721" t="s">
        <v>2272</v>
      </c>
      <c r="AF3721" t="s">
        <v>49</v>
      </c>
      <c r="AL3721" t="s">
        <v>49</v>
      </c>
      <c r="AM3721" t="s">
        <v>1978</v>
      </c>
      <c r="AN3721" t="s">
        <v>171</v>
      </c>
      <c r="AQ3721" s="5">
        <v>2</v>
      </c>
    </row>
    <row r="3722" spans="1:43" x14ac:dyDescent="0.2">
      <c r="A3722" t="s">
        <v>1973</v>
      </c>
      <c r="B3722" t="s">
        <v>1974</v>
      </c>
      <c r="C3722">
        <v>2008</v>
      </c>
      <c r="D3722" t="s">
        <v>44</v>
      </c>
      <c r="F3722" t="s">
        <v>1975</v>
      </c>
      <c r="G3722" t="s">
        <v>91</v>
      </c>
      <c r="H3722" t="s">
        <v>96</v>
      </c>
      <c r="I3722">
        <v>2006</v>
      </c>
      <c r="J3722">
        <v>0.08</v>
      </c>
      <c r="K3722" t="s">
        <v>101</v>
      </c>
      <c r="M3722">
        <v>0.25</v>
      </c>
      <c r="N3722" t="s">
        <v>124</v>
      </c>
      <c r="O3722" t="s">
        <v>124</v>
      </c>
      <c r="P3722" t="s">
        <v>279</v>
      </c>
      <c r="Q3722" s="1" t="s">
        <v>2292</v>
      </c>
      <c r="R3722" s="1" t="s">
        <v>124</v>
      </c>
      <c r="S3722" s="1" t="s">
        <v>124</v>
      </c>
      <c r="T3722" t="s">
        <v>421</v>
      </c>
      <c r="U3722" t="s">
        <v>421</v>
      </c>
      <c r="X3722" t="s">
        <v>161</v>
      </c>
      <c r="Y3722" t="s">
        <v>2272</v>
      </c>
      <c r="Z3722" t="s">
        <v>2272</v>
      </c>
      <c r="AA3722" t="s">
        <v>2272</v>
      </c>
      <c r="AB3722" t="s">
        <v>2272</v>
      </c>
      <c r="AC3722" t="s">
        <v>162</v>
      </c>
      <c r="AD3722" t="s">
        <v>2272</v>
      </c>
      <c r="AF3722" t="s">
        <v>49</v>
      </c>
      <c r="AL3722" t="s">
        <v>49</v>
      </c>
      <c r="AM3722" t="s">
        <v>1978</v>
      </c>
      <c r="AN3722" t="s">
        <v>109</v>
      </c>
      <c r="AO3722" t="s">
        <v>1294</v>
      </c>
      <c r="AP3722" t="s">
        <v>51</v>
      </c>
      <c r="AQ3722" s="5">
        <v>0</v>
      </c>
    </row>
    <row r="3723" spans="1:43" x14ac:dyDescent="0.2">
      <c r="A3723" t="s">
        <v>1973</v>
      </c>
      <c r="B3723" t="s">
        <v>1974</v>
      </c>
      <c r="C3723">
        <v>2008</v>
      </c>
      <c r="D3723" t="s">
        <v>44</v>
      </c>
      <c r="F3723" t="s">
        <v>1975</v>
      </c>
      <c r="G3723" t="s">
        <v>91</v>
      </c>
      <c r="H3723" t="s">
        <v>96</v>
      </c>
      <c r="I3723">
        <v>2006</v>
      </c>
      <c r="J3723">
        <v>0.08</v>
      </c>
      <c r="K3723" t="s">
        <v>101</v>
      </c>
      <c r="M3723">
        <v>0.25</v>
      </c>
      <c r="N3723" t="s">
        <v>124</v>
      </c>
      <c r="O3723" t="s">
        <v>124</v>
      </c>
      <c r="P3723" t="s">
        <v>1976</v>
      </c>
      <c r="Q3723" s="1" t="s">
        <v>2292</v>
      </c>
      <c r="R3723" s="1" t="s">
        <v>124</v>
      </c>
      <c r="S3723" s="1" t="s">
        <v>124</v>
      </c>
      <c r="T3723" t="s">
        <v>421</v>
      </c>
      <c r="U3723" t="s">
        <v>421</v>
      </c>
      <c r="X3723" t="s">
        <v>161</v>
      </c>
      <c r="Y3723" t="s">
        <v>2272</v>
      </c>
      <c r="Z3723" t="s">
        <v>2272</v>
      </c>
      <c r="AA3723" t="s">
        <v>2272</v>
      </c>
      <c r="AB3723" t="s">
        <v>2272</v>
      </c>
      <c r="AC3723" t="s">
        <v>162</v>
      </c>
      <c r="AD3723" t="s">
        <v>2272</v>
      </c>
      <c r="AF3723" t="s">
        <v>49</v>
      </c>
      <c r="AL3723" t="s">
        <v>49</v>
      </c>
      <c r="AM3723" t="s">
        <v>1978</v>
      </c>
      <c r="AN3723" t="s">
        <v>109</v>
      </c>
      <c r="AO3723" t="s">
        <v>1294</v>
      </c>
      <c r="AP3723" t="s">
        <v>51</v>
      </c>
      <c r="AQ3723" s="5">
        <v>0</v>
      </c>
    </row>
    <row r="3724" spans="1:43" x14ac:dyDescent="0.2">
      <c r="A3724" t="s">
        <v>1973</v>
      </c>
      <c r="B3724" t="s">
        <v>1974</v>
      </c>
      <c r="C3724">
        <v>2008</v>
      </c>
      <c r="D3724" t="s">
        <v>44</v>
      </c>
      <c r="F3724" t="s">
        <v>1975</v>
      </c>
      <c r="G3724" t="s">
        <v>91</v>
      </c>
      <c r="H3724" t="s">
        <v>96</v>
      </c>
      <c r="I3724">
        <v>2006</v>
      </c>
      <c r="J3724">
        <v>0.08</v>
      </c>
      <c r="K3724" t="s">
        <v>101</v>
      </c>
      <c r="M3724">
        <v>0.25</v>
      </c>
      <c r="N3724" t="s">
        <v>124</v>
      </c>
      <c r="O3724" t="s">
        <v>124</v>
      </c>
      <c r="P3724" t="s">
        <v>279</v>
      </c>
      <c r="Q3724" s="1" t="s">
        <v>2292</v>
      </c>
      <c r="R3724" s="1" t="s">
        <v>124</v>
      </c>
      <c r="S3724" s="1" t="s">
        <v>124</v>
      </c>
      <c r="T3724" t="s">
        <v>396</v>
      </c>
      <c r="U3724" t="s">
        <v>124</v>
      </c>
      <c r="X3724" t="s">
        <v>161</v>
      </c>
      <c r="Y3724" t="s">
        <v>2272</v>
      </c>
      <c r="Z3724" t="s">
        <v>2272</v>
      </c>
      <c r="AA3724" t="s">
        <v>2272</v>
      </c>
      <c r="AB3724" t="s">
        <v>2272</v>
      </c>
      <c r="AC3724" t="s">
        <v>162</v>
      </c>
      <c r="AD3724" t="s">
        <v>2272</v>
      </c>
      <c r="AF3724" t="s">
        <v>49</v>
      </c>
      <c r="AL3724" t="s">
        <v>49</v>
      </c>
      <c r="AM3724" t="s">
        <v>1978</v>
      </c>
      <c r="AN3724" t="s">
        <v>109</v>
      </c>
      <c r="AO3724" t="s">
        <v>1294</v>
      </c>
      <c r="AP3724" t="s">
        <v>51</v>
      </c>
      <c r="AQ3724" s="5">
        <v>0</v>
      </c>
    </row>
    <row r="3725" spans="1:43" x14ac:dyDescent="0.2">
      <c r="A3725" t="s">
        <v>1973</v>
      </c>
      <c r="B3725" t="s">
        <v>1974</v>
      </c>
      <c r="C3725">
        <v>2008</v>
      </c>
      <c r="D3725" t="s">
        <v>44</v>
      </c>
      <c r="F3725" t="s">
        <v>1975</v>
      </c>
      <c r="G3725" t="s">
        <v>91</v>
      </c>
      <c r="H3725" t="s">
        <v>96</v>
      </c>
      <c r="I3725">
        <v>2006</v>
      </c>
      <c r="J3725">
        <v>0.08</v>
      </c>
      <c r="K3725" t="s">
        <v>101</v>
      </c>
      <c r="M3725">
        <v>0.25</v>
      </c>
      <c r="N3725" t="s">
        <v>124</v>
      </c>
      <c r="O3725" t="s">
        <v>124</v>
      </c>
      <c r="P3725" t="s">
        <v>1976</v>
      </c>
      <c r="Q3725" s="1" t="s">
        <v>2292</v>
      </c>
      <c r="R3725" s="1" t="s">
        <v>124</v>
      </c>
      <c r="S3725" s="1" t="s">
        <v>124</v>
      </c>
      <c r="T3725" t="s">
        <v>396</v>
      </c>
      <c r="U3725" t="s">
        <v>124</v>
      </c>
      <c r="X3725" t="s">
        <v>161</v>
      </c>
      <c r="Y3725" t="s">
        <v>2272</v>
      </c>
      <c r="Z3725" t="s">
        <v>2272</v>
      </c>
      <c r="AA3725" t="s">
        <v>2272</v>
      </c>
      <c r="AB3725" t="s">
        <v>2272</v>
      </c>
      <c r="AC3725" t="s">
        <v>162</v>
      </c>
      <c r="AD3725" t="s">
        <v>2272</v>
      </c>
      <c r="AF3725" t="s">
        <v>49</v>
      </c>
      <c r="AL3725" t="s">
        <v>49</v>
      </c>
      <c r="AM3725" t="s">
        <v>1978</v>
      </c>
      <c r="AN3725" t="s">
        <v>109</v>
      </c>
      <c r="AO3725" t="s">
        <v>1294</v>
      </c>
      <c r="AP3725" t="s">
        <v>51</v>
      </c>
      <c r="AQ3725" s="5">
        <v>0</v>
      </c>
    </row>
    <row r="3726" spans="1:43" x14ac:dyDescent="0.2">
      <c r="A3726" t="s">
        <v>1973</v>
      </c>
      <c r="B3726" t="s">
        <v>1974</v>
      </c>
      <c r="C3726">
        <v>2008</v>
      </c>
      <c r="D3726" t="s">
        <v>44</v>
      </c>
      <c r="F3726" t="s">
        <v>1975</v>
      </c>
      <c r="G3726" t="s">
        <v>91</v>
      </c>
      <c r="H3726" t="s">
        <v>96</v>
      </c>
      <c r="I3726">
        <v>2006</v>
      </c>
      <c r="J3726">
        <v>0.08</v>
      </c>
      <c r="K3726" t="s">
        <v>101</v>
      </c>
      <c r="M3726">
        <v>0.25</v>
      </c>
      <c r="N3726" t="s">
        <v>124</v>
      </c>
      <c r="O3726" t="s">
        <v>124</v>
      </c>
      <c r="P3726" t="s">
        <v>279</v>
      </c>
      <c r="Q3726" s="1" t="s">
        <v>2292</v>
      </c>
      <c r="R3726" s="1" t="s">
        <v>124</v>
      </c>
      <c r="S3726" s="1" t="s">
        <v>124</v>
      </c>
      <c r="T3726" t="s">
        <v>421</v>
      </c>
      <c r="U3726" t="s">
        <v>421</v>
      </c>
      <c r="X3726" t="s">
        <v>161</v>
      </c>
      <c r="Y3726" t="s">
        <v>2272</v>
      </c>
      <c r="Z3726" t="s">
        <v>2272</v>
      </c>
      <c r="AA3726" t="s">
        <v>2272</v>
      </c>
      <c r="AB3726" t="s">
        <v>2272</v>
      </c>
      <c r="AC3726" t="s">
        <v>162</v>
      </c>
      <c r="AD3726" t="s">
        <v>2272</v>
      </c>
      <c r="AF3726" t="s">
        <v>49</v>
      </c>
      <c r="AL3726" t="s">
        <v>49</v>
      </c>
      <c r="AM3726" t="s">
        <v>1978</v>
      </c>
      <c r="AN3726" t="s">
        <v>109</v>
      </c>
      <c r="AO3726" t="s">
        <v>1287</v>
      </c>
      <c r="AP3726" t="s">
        <v>51</v>
      </c>
      <c r="AQ3726" s="5">
        <v>0</v>
      </c>
    </row>
    <row r="3727" spans="1:43" x14ac:dyDescent="0.2">
      <c r="A3727" t="s">
        <v>1973</v>
      </c>
      <c r="B3727" t="s">
        <v>1974</v>
      </c>
      <c r="C3727">
        <v>2008</v>
      </c>
      <c r="D3727" t="s">
        <v>44</v>
      </c>
      <c r="F3727" t="s">
        <v>1975</v>
      </c>
      <c r="G3727" t="s">
        <v>91</v>
      </c>
      <c r="H3727" t="s">
        <v>96</v>
      </c>
      <c r="I3727">
        <v>2006</v>
      </c>
      <c r="J3727">
        <v>0.08</v>
      </c>
      <c r="K3727" t="s">
        <v>101</v>
      </c>
      <c r="M3727">
        <v>0.25</v>
      </c>
      <c r="N3727" t="s">
        <v>124</v>
      </c>
      <c r="O3727" t="s">
        <v>124</v>
      </c>
      <c r="P3727" t="s">
        <v>1976</v>
      </c>
      <c r="Q3727" s="1" t="s">
        <v>2292</v>
      </c>
      <c r="R3727" s="1" t="s">
        <v>124</v>
      </c>
      <c r="S3727" s="1" t="s">
        <v>124</v>
      </c>
      <c r="T3727" t="s">
        <v>421</v>
      </c>
      <c r="U3727" t="s">
        <v>421</v>
      </c>
      <c r="X3727" t="s">
        <v>161</v>
      </c>
      <c r="Y3727" t="s">
        <v>2272</v>
      </c>
      <c r="Z3727" t="s">
        <v>2272</v>
      </c>
      <c r="AA3727" t="s">
        <v>2272</v>
      </c>
      <c r="AB3727" t="s">
        <v>2272</v>
      </c>
      <c r="AC3727" t="s">
        <v>162</v>
      </c>
      <c r="AD3727" t="s">
        <v>2272</v>
      </c>
      <c r="AF3727" t="s">
        <v>49</v>
      </c>
      <c r="AL3727" t="s">
        <v>49</v>
      </c>
      <c r="AM3727" t="s">
        <v>1978</v>
      </c>
      <c r="AN3727" t="s">
        <v>109</v>
      </c>
      <c r="AO3727" t="s">
        <v>1287</v>
      </c>
      <c r="AP3727" t="s">
        <v>51</v>
      </c>
      <c r="AQ3727" s="5">
        <v>0</v>
      </c>
    </row>
    <row r="3728" spans="1:43" x14ac:dyDescent="0.2">
      <c r="A3728" t="s">
        <v>1973</v>
      </c>
      <c r="B3728" t="s">
        <v>1974</v>
      </c>
      <c r="C3728">
        <v>2008</v>
      </c>
      <c r="D3728" t="s">
        <v>44</v>
      </c>
      <c r="F3728" t="s">
        <v>1975</v>
      </c>
      <c r="G3728" t="s">
        <v>91</v>
      </c>
      <c r="H3728" t="s">
        <v>96</v>
      </c>
      <c r="I3728">
        <v>2006</v>
      </c>
      <c r="J3728">
        <v>0.08</v>
      </c>
      <c r="K3728" t="s">
        <v>101</v>
      </c>
      <c r="M3728">
        <v>0.25</v>
      </c>
      <c r="N3728" t="s">
        <v>124</v>
      </c>
      <c r="O3728" t="s">
        <v>124</v>
      </c>
      <c r="P3728" t="s">
        <v>279</v>
      </c>
      <c r="Q3728" s="1" t="s">
        <v>2292</v>
      </c>
      <c r="R3728" s="1" t="s">
        <v>124</v>
      </c>
      <c r="S3728" s="1" t="s">
        <v>124</v>
      </c>
      <c r="T3728" t="s">
        <v>396</v>
      </c>
      <c r="U3728" t="s">
        <v>124</v>
      </c>
      <c r="X3728" t="s">
        <v>161</v>
      </c>
      <c r="Y3728" t="s">
        <v>2272</v>
      </c>
      <c r="Z3728" t="s">
        <v>2272</v>
      </c>
      <c r="AA3728" t="s">
        <v>2272</v>
      </c>
      <c r="AB3728" t="s">
        <v>2272</v>
      </c>
      <c r="AC3728" t="s">
        <v>162</v>
      </c>
      <c r="AD3728" t="s">
        <v>2272</v>
      </c>
      <c r="AF3728" t="s">
        <v>49</v>
      </c>
      <c r="AL3728" t="s">
        <v>49</v>
      </c>
      <c r="AM3728" t="s">
        <v>1978</v>
      </c>
      <c r="AN3728" t="s">
        <v>109</v>
      </c>
      <c r="AO3728" t="s">
        <v>1287</v>
      </c>
      <c r="AP3728" t="s">
        <v>51</v>
      </c>
      <c r="AQ3728" s="5">
        <v>0</v>
      </c>
    </row>
    <row r="3729" spans="1:45" x14ac:dyDescent="0.2">
      <c r="A3729" t="s">
        <v>1973</v>
      </c>
      <c r="B3729" t="s">
        <v>1974</v>
      </c>
      <c r="C3729">
        <v>2008</v>
      </c>
      <c r="D3729" t="s">
        <v>44</v>
      </c>
      <c r="F3729" t="s">
        <v>1975</v>
      </c>
      <c r="G3729" t="s">
        <v>91</v>
      </c>
      <c r="H3729" t="s">
        <v>96</v>
      </c>
      <c r="I3729">
        <v>2006</v>
      </c>
      <c r="J3729">
        <v>0.08</v>
      </c>
      <c r="K3729" t="s">
        <v>101</v>
      </c>
      <c r="M3729">
        <v>0.25</v>
      </c>
      <c r="N3729" t="s">
        <v>124</v>
      </c>
      <c r="O3729" t="s">
        <v>124</v>
      </c>
      <c r="P3729" t="s">
        <v>1976</v>
      </c>
      <c r="Q3729" s="1" t="s">
        <v>2292</v>
      </c>
      <c r="R3729" s="1" t="s">
        <v>124</v>
      </c>
      <c r="S3729" s="1" t="s">
        <v>124</v>
      </c>
      <c r="T3729" t="s">
        <v>396</v>
      </c>
      <c r="U3729" t="s">
        <v>124</v>
      </c>
      <c r="X3729" t="s">
        <v>161</v>
      </c>
      <c r="Y3729" t="s">
        <v>2272</v>
      </c>
      <c r="Z3729" t="s">
        <v>2272</v>
      </c>
      <c r="AA3729" t="s">
        <v>2272</v>
      </c>
      <c r="AB3729" t="s">
        <v>2272</v>
      </c>
      <c r="AC3729" t="s">
        <v>162</v>
      </c>
      <c r="AD3729" t="s">
        <v>2272</v>
      </c>
      <c r="AF3729" t="s">
        <v>49</v>
      </c>
      <c r="AL3729" t="s">
        <v>49</v>
      </c>
      <c r="AM3729" t="s">
        <v>1978</v>
      </c>
      <c r="AN3729" t="s">
        <v>109</v>
      </c>
      <c r="AO3729" t="s">
        <v>1287</v>
      </c>
      <c r="AP3729" t="s">
        <v>51</v>
      </c>
      <c r="AQ3729" s="5">
        <v>0</v>
      </c>
    </row>
    <row r="3730" spans="1:45" x14ac:dyDescent="0.2">
      <c r="A3730" t="s">
        <v>1973</v>
      </c>
      <c r="B3730" t="s">
        <v>1974</v>
      </c>
      <c r="C3730">
        <v>2008</v>
      </c>
      <c r="D3730" t="s">
        <v>44</v>
      </c>
      <c r="F3730" t="s">
        <v>1975</v>
      </c>
      <c r="G3730" t="s">
        <v>91</v>
      </c>
      <c r="H3730" t="s">
        <v>96</v>
      </c>
      <c r="I3730">
        <v>2006</v>
      </c>
      <c r="J3730">
        <v>0.08</v>
      </c>
      <c r="K3730" t="s">
        <v>101</v>
      </c>
      <c r="M3730">
        <v>0.25</v>
      </c>
      <c r="N3730" t="s">
        <v>124</v>
      </c>
      <c r="O3730" t="s">
        <v>124</v>
      </c>
      <c r="P3730" t="s">
        <v>279</v>
      </c>
      <c r="Q3730" s="1" t="s">
        <v>2292</v>
      </c>
      <c r="R3730" s="1" t="s">
        <v>124</v>
      </c>
      <c r="S3730" s="1" t="s">
        <v>124</v>
      </c>
      <c r="T3730" t="s">
        <v>421</v>
      </c>
      <c r="U3730" t="s">
        <v>421</v>
      </c>
      <c r="X3730" t="s">
        <v>161</v>
      </c>
      <c r="Y3730" t="s">
        <v>2272</v>
      </c>
      <c r="Z3730" t="s">
        <v>2272</v>
      </c>
      <c r="AA3730" t="s">
        <v>2272</v>
      </c>
      <c r="AB3730" t="s">
        <v>2272</v>
      </c>
      <c r="AC3730" t="s">
        <v>162</v>
      </c>
      <c r="AD3730" t="s">
        <v>2272</v>
      </c>
      <c r="AF3730" t="s">
        <v>49</v>
      </c>
      <c r="AL3730" t="s">
        <v>49</v>
      </c>
      <c r="AM3730" t="s">
        <v>1978</v>
      </c>
      <c r="AN3730" t="s">
        <v>109</v>
      </c>
      <c r="AO3730" t="s">
        <v>1979</v>
      </c>
      <c r="AP3730" t="s">
        <v>51</v>
      </c>
      <c r="AQ3730" s="5">
        <v>0</v>
      </c>
    </row>
    <row r="3731" spans="1:45" x14ac:dyDescent="0.2">
      <c r="A3731" t="s">
        <v>1973</v>
      </c>
      <c r="B3731" t="s">
        <v>1974</v>
      </c>
      <c r="C3731">
        <v>2008</v>
      </c>
      <c r="D3731" t="s">
        <v>44</v>
      </c>
      <c r="F3731" t="s">
        <v>1975</v>
      </c>
      <c r="G3731" t="s">
        <v>91</v>
      </c>
      <c r="H3731" t="s">
        <v>96</v>
      </c>
      <c r="I3731">
        <v>2006</v>
      </c>
      <c r="J3731">
        <v>0.08</v>
      </c>
      <c r="K3731" t="s">
        <v>101</v>
      </c>
      <c r="M3731">
        <v>0.25</v>
      </c>
      <c r="N3731" t="s">
        <v>124</v>
      </c>
      <c r="O3731" t="s">
        <v>124</v>
      </c>
      <c r="P3731" t="s">
        <v>1976</v>
      </c>
      <c r="Q3731" s="1" t="s">
        <v>2292</v>
      </c>
      <c r="R3731" s="1" t="s">
        <v>124</v>
      </c>
      <c r="S3731" s="1" t="s">
        <v>124</v>
      </c>
      <c r="T3731" t="s">
        <v>421</v>
      </c>
      <c r="U3731" t="s">
        <v>421</v>
      </c>
      <c r="X3731" t="s">
        <v>161</v>
      </c>
      <c r="Y3731" t="s">
        <v>2272</v>
      </c>
      <c r="Z3731" t="s">
        <v>2272</v>
      </c>
      <c r="AA3731" t="s">
        <v>2272</v>
      </c>
      <c r="AB3731" t="s">
        <v>2272</v>
      </c>
      <c r="AC3731" t="s">
        <v>162</v>
      </c>
      <c r="AD3731" t="s">
        <v>2272</v>
      </c>
      <c r="AF3731" t="s">
        <v>49</v>
      </c>
      <c r="AL3731" t="s">
        <v>49</v>
      </c>
      <c r="AM3731" t="s">
        <v>1978</v>
      </c>
      <c r="AN3731" t="s">
        <v>109</v>
      </c>
      <c r="AO3731" t="s">
        <v>1979</v>
      </c>
      <c r="AP3731" t="s">
        <v>51</v>
      </c>
      <c r="AQ3731" s="5">
        <v>0</v>
      </c>
    </row>
    <row r="3732" spans="1:45" x14ac:dyDescent="0.2">
      <c r="A3732" t="s">
        <v>1973</v>
      </c>
      <c r="B3732" t="s">
        <v>1974</v>
      </c>
      <c r="C3732">
        <v>2008</v>
      </c>
      <c r="D3732" t="s">
        <v>44</v>
      </c>
      <c r="F3732" t="s">
        <v>1975</v>
      </c>
      <c r="G3732" t="s">
        <v>91</v>
      </c>
      <c r="H3732" t="s">
        <v>96</v>
      </c>
      <c r="I3732">
        <v>2006</v>
      </c>
      <c r="J3732">
        <v>0.08</v>
      </c>
      <c r="K3732" t="s">
        <v>101</v>
      </c>
      <c r="M3732">
        <v>0.25</v>
      </c>
      <c r="N3732" t="s">
        <v>124</v>
      </c>
      <c r="O3732" t="s">
        <v>124</v>
      </c>
      <c r="P3732" t="s">
        <v>279</v>
      </c>
      <c r="Q3732" s="1" t="s">
        <v>2292</v>
      </c>
      <c r="R3732" s="1" t="s">
        <v>124</v>
      </c>
      <c r="S3732" s="1" t="s">
        <v>124</v>
      </c>
      <c r="T3732" t="s">
        <v>396</v>
      </c>
      <c r="U3732" t="s">
        <v>124</v>
      </c>
      <c r="X3732" t="s">
        <v>161</v>
      </c>
      <c r="Y3732" t="s">
        <v>2272</v>
      </c>
      <c r="Z3732" t="s">
        <v>2272</v>
      </c>
      <c r="AA3732" t="s">
        <v>2272</v>
      </c>
      <c r="AB3732" t="s">
        <v>2272</v>
      </c>
      <c r="AC3732" t="s">
        <v>162</v>
      </c>
      <c r="AD3732" t="s">
        <v>2272</v>
      </c>
      <c r="AF3732" t="s">
        <v>49</v>
      </c>
      <c r="AL3732" t="s">
        <v>49</v>
      </c>
      <c r="AM3732" t="s">
        <v>1978</v>
      </c>
      <c r="AN3732" t="s">
        <v>109</v>
      </c>
      <c r="AO3732" t="s">
        <v>1979</v>
      </c>
      <c r="AP3732" t="s">
        <v>51</v>
      </c>
      <c r="AQ3732" s="5">
        <v>0</v>
      </c>
    </row>
    <row r="3733" spans="1:45" x14ac:dyDescent="0.2">
      <c r="A3733" t="s">
        <v>1973</v>
      </c>
      <c r="B3733" t="s">
        <v>1974</v>
      </c>
      <c r="C3733">
        <v>2008</v>
      </c>
      <c r="D3733" t="s">
        <v>44</v>
      </c>
      <c r="F3733" t="s">
        <v>1975</v>
      </c>
      <c r="G3733" t="s">
        <v>91</v>
      </c>
      <c r="H3733" t="s">
        <v>96</v>
      </c>
      <c r="I3733">
        <v>2006</v>
      </c>
      <c r="J3733">
        <v>0.08</v>
      </c>
      <c r="K3733" t="s">
        <v>101</v>
      </c>
      <c r="M3733">
        <v>0.25</v>
      </c>
      <c r="N3733" t="s">
        <v>124</v>
      </c>
      <c r="O3733" t="s">
        <v>124</v>
      </c>
      <c r="P3733" t="s">
        <v>1976</v>
      </c>
      <c r="Q3733" s="1" t="s">
        <v>2292</v>
      </c>
      <c r="R3733" s="1" t="s">
        <v>124</v>
      </c>
      <c r="S3733" s="1" t="s">
        <v>124</v>
      </c>
      <c r="T3733" t="s">
        <v>396</v>
      </c>
      <c r="U3733" t="s">
        <v>124</v>
      </c>
      <c r="X3733" t="s">
        <v>161</v>
      </c>
      <c r="Y3733" t="s">
        <v>2272</v>
      </c>
      <c r="Z3733" t="s">
        <v>2272</v>
      </c>
      <c r="AA3733" t="s">
        <v>2272</v>
      </c>
      <c r="AB3733" t="s">
        <v>2272</v>
      </c>
      <c r="AC3733" t="s">
        <v>162</v>
      </c>
      <c r="AD3733" t="s">
        <v>2272</v>
      </c>
      <c r="AF3733" t="s">
        <v>49</v>
      </c>
      <c r="AL3733" t="s">
        <v>49</v>
      </c>
      <c r="AM3733" t="s">
        <v>1978</v>
      </c>
      <c r="AN3733" t="s">
        <v>109</v>
      </c>
      <c r="AO3733" t="s">
        <v>1979</v>
      </c>
      <c r="AP3733" t="s">
        <v>51</v>
      </c>
      <c r="AQ3733" s="5">
        <v>0</v>
      </c>
    </row>
    <row r="3734" spans="1:45" x14ac:dyDescent="0.2">
      <c r="A3734" t="s">
        <v>1980</v>
      </c>
      <c r="B3734" t="s">
        <v>1981</v>
      </c>
      <c r="C3734">
        <v>2008</v>
      </c>
      <c r="D3734" t="s">
        <v>44</v>
      </c>
      <c r="E3734" t="s">
        <v>49</v>
      </c>
      <c r="F3734" t="s">
        <v>1944</v>
      </c>
      <c r="G3734" t="s">
        <v>86</v>
      </c>
      <c r="H3734" t="s">
        <v>350</v>
      </c>
      <c r="I3734" t="s">
        <v>1982</v>
      </c>
      <c r="J3734">
        <v>1</v>
      </c>
      <c r="K3734" t="s">
        <v>101</v>
      </c>
      <c r="L3734">
        <v>1200</v>
      </c>
      <c r="M3734">
        <v>0.1</v>
      </c>
      <c r="N3734" t="s">
        <v>127</v>
      </c>
      <c r="O3734" t="s">
        <v>1270</v>
      </c>
      <c r="P3734" t="s">
        <v>1514</v>
      </c>
      <c r="Q3734" s="1" t="s">
        <v>2281</v>
      </c>
      <c r="R3734" s="1" t="s">
        <v>2301</v>
      </c>
      <c r="S3734" s="1" t="s">
        <v>2303</v>
      </c>
      <c r="T3734" t="s">
        <v>421</v>
      </c>
      <c r="U3734" t="s">
        <v>421</v>
      </c>
      <c r="X3734" t="s">
        <v>161</v>
      </c>
      <c r="Y3734" t="s">
        <v>2272</v>
      </c>
      <c r="Z3734" t="s">
        <v>2272</v>
      </c>
      <c r="AA3734" t="s">
        <v>2272</v>
      </c>
      <c r="AB3734" t="s">
        <v>2272</v>
      </c>
      <c r="AC3734" t="s">
        <v>162</v>
      </c>
      <c r="AD3734" t="s">
        <v>2272</v>
      </c>
      <c r="AG3734" t="s">
        <v>49</v>
      </c>
      <c r="AM3734" t="s">
        <v>1038</v>
      </c>
      <c r="AN3734" t="s">
        <v>166</v>
      </c>
      <c r="AP3734" t="s">
        <v>157</v>
      </c>
    </row>
    <row r="3735" spans="1:45" x14ac:dyDescent="0.2">
      <c r="A3735" t="s">
        <v>1980</v>
      </c>
      <c r="B3735" t="s">
        <v>1981</v>
      </c>
      <c r="C3735">
        <v>2008</v>
      </c>
      <c r="D3735" t="s">
        <v>44</v>
      </c>
      <c r="E3735" t="s">
        <v>49</v>
      </c>
      <c r="F3735" t="s">
        <v>1944</v>
      </c>
      <c r="G3735" t="s">
        <v>86</v>
      </c>
      <c r="H3735" t="s">
        <v>350</v>
      </c>
      <c r="I3735" t="s">
        <v>1982</v>
      </c>
      <c r="J3735">
        <v>1</v>
      </c>
      <c r="K3735" t="s">
        <v>101</v>
      </c>
      <c r="L3735">
        <v>1200</v>
      </c>
      <c r="M3735">
        <v>0.1</v>
      </c>
      <c r="N3735" t="s">
        <v>127</v>
      </c>
      <c r="O3735" t="s">
        <v>1270</v>
      </c>
      <c r="P3735" t="s">
        <v>1514</v>
      </c>
      <c r="Q3735" s="1" t="s">
        <v>2281</v>
      </c>
      <c r="R3735" s="1" t="s">
        <v>2301</v>
      </c>
      <c r="S3735" s="1" t="s">
        <v>2303</v>
      </c>
      <c r="T3735" t="s">
        <v>421</v>
      </c>
      <c r="U3735" t="s">
        <v>421</v>
      </c>
      <c r="X3735" t="s">
        <v>161</v>
      </c>
      <c r="Y3735" t="s">
        <v>2272</v>
      </c>
      <c r="Z3735" t="s">
        <v>2272</v>
      </c>
      <c r="AA3735" t="s">
        <v>2272</v>
      </c>
      <c r="AB3735" t="s">
        <v>2272</v>
      </c>
      <c r="AC3735" t="s">
        <v>162</v>
      </c>
      <c r="AD3735" t="s">
        <v>2272</v>
      </c>
      <c r="AG3735" t="s">
        <v>49</v>
      </c>
      <c r="AM3735" t="s">
        <v>1038</v>
      </c>
      <c r="AN3735" t="s">
        <v>154</v>
      </c>
      <c r="AP3735" t="s">
        <v>157</v>
      </c>
    </row>
    <row r="3736" spans="1:45" x14ac:dyDescent="0.2">
      <c r="A3736" t="s">
        <v>1980</v>
      </c>
      <c r="B3736" t="s">
        <v>1981</v>
      </c>
      <c r="C3736">
        <v>2008</v>
      </c>
      <c r="D3736" t="s">
        <v>44</v>
      </c>
      <c r="E3736" t="s">
        <v>49</v>
      </c>
      <c r="F3736" t="s">
        <v>1944</v>
      </c>
      <c r="G3736" t="s">
        <v>86</v>
      </c>
      <c r="H3736" t="s">
        <v>350</v>
      </c>
      <c r="I3736" t="s">
        <v>1982</v>
      </c>
      <c r="J3736">
        <v>1</v>
      </c>
      <c r="K3736" t="s">
        <v>101</v>
      </c>
      <c r="L3736">
        <v>1200</v>
      </c>
      <c r="M3736">
        <v>0.1</v>
      </c>
      <c r="N3736" t="s">
        <v>127</v>
      </c>
      <c r="O3736" t="s">
        <v>1270</v>
      </c>
      <c r="P3736" t="s">
        <v>1514</v>
      </c>
      <c r="Q3736" s="1" t="s">
        <v>2281</v>
      </c>
      <c r="R3736" s="1" t="s">
        <v>2301</v>
      </c>
      <c r="S3736" s="1" t="s">
        <v>2303</v>
      </c>
      <c r="X3736" t="s">
        <v>189</v>
      </c>
      <c r="Y3736" t="s">
        <v>2279</v>
      </c>
      <c r="Z3736" t="s">
        <v>2280</v>
      </c>
      <c r="AA3736" t="s">
        <v>2358</v>
      </c>
      <c r="AB3736" t="s">
        <v>189</v>
      </c>
      <c r="AC3736" t="s">
        <v>152</v>
      </c>
      <c r="AD3736" t="s">
        <v>2278</v>
      </c>
      <c r="AG3736" t="s">
        <v>49</v>
      </c>
      <c r="AM3736" t="s">
        <v>1038</v>
      </c>
      <c r="AN3736" t="s">
        <v>166</v>
      </c>
      <c r="AP3736" t="s">
        <v>157</v>
      </c>
    </row>
    <row r="3737" spans="1:45" x14ac:dyDescent="0.2">
      <c r="A3737" t="s">
        <v>1980</v>
      </c>
      <c r="B3737" t="s">
        <v>1981</v>
      </c>
      <c r="C3737">
        <v>2008</v>
      </c>
      <c r="D3737" t="s">
        <v>44</v>
      </c>
      <c r="E3737" t="s">
        <v>49</v>
      </c>
      <c r="F3737" t="s">
        <v>1944</v>
      </c>
      <c r="G3737" t="s">
        <v>86</v>
      </c>
      <c r="H3737" t="s">
        <v>350</v>
      </c>
      <c r="I3737" t="s">
        <v>1982</v>
      </c>
      <c r="J3737">
        <v>1</v>
      </c>
      <c r="K3737" t="s">
        <v>101</v>
      </c>
      <c r="L3737">
        <v>1200</v>
      </c>
      <c r="M3737">
        <v>0.1</v>
      </c>
      <c r="N3737" t="s">
        <v>127</v>
      </c>
      <c r="O3737" t="s">
        <v>1270</v>
      </c>
      <c r="P3737" t="s">
        <v>1514</v>
      </c>
      <c r="Q3737" s="1" t="s">
        <v>2281</v>
      </c>
      <c r="R3737" s="1" t="s">
        <v>2301</v>
      </c>
      <c r="S3737" s="1" t="s">
        <v>2303</v>
      </c>
      <c r="X3737" t="s">
        <v>189</v>
      </c>
      <c r="Y3737" t="s">
        <v>2279</v>
      </c>
      <c r="Z3737" t="s">
        <v>2280</v>
      </c>
      <c r="AA3737" t="s">
        <v>2358</v>
      </c>
      <c r="AB3737" t="s">
        <v>189</v>
      </c>
      <c r="AC3737" t="s">
        <v>152</v>
      </c>
      <c r="AD3737" t="s">
        <v>2278</v>
      </c>
      <c r="AG3737" t="s">
        <v>49</v>
      </c>
      <c r="AM3737" t="s">
        <v>1038</v>
      </c>
      <c r="AN3737" t="s">
        <v>154</v>
      </c>
      <c r="AP3737" t="s">
        <v>157</v>
      </c>
    </row>
    <row r="3738" spans="1:45" x14ac:dyDescent="0.2">
      <c r="A3738" t="s">
        <v>1980</v>
      </c>
      <c r="B3738" t="s">
        <v>1981</v>
      </c>
      <c r="C3738">
        <v>2008</v>
      </c>
      <c r="D3738" t="s">
        <v>44</v>
      </c>
      <c r="E3738" t="s">
        <v>49</v>
      </c>
      <c r="F3738" t="s">
        <v>1944</v>
      </c>
      <c r="G3738" t="s">
        <v>86</v>
      </c>
      <c r="H3738" t="s">
        <v>350</v>
      </c>
      <c r="I3738" t="s">
        <v>1982</v>
      </c>
      <c r="J3738">
        <v>1</v>
      </c>
      <c r="K3738" t="s">
        <v>101</v>
      </c>
      <c r="L3738">
        <v>1200</v>
      </c>
      <c r="M3738">
        <v>0.1</v>
      </c>
      <c r="N3738" t="s">
        <v>127</v>
      </c>
      <c r="O3738" t="s">
        <v>1270</v>
      </c>
      <c r="P3738" t="s">
        <v>1514</v>
      </c>
      <c r="Q3738" s="1" t="s">
        <v>2281</v>
      </c>
      <c r="R3738" s="1" t="s">
        <v>2301</v>
      </c>
      <c r="S3738" s="1" t="s">
        <v>2303</v>
      </c>
      <c r="T3738" t="s">
        <v>421</v>
      </c>
      <c r="U3738" t="s">
        <v>421</v>
      </c>
      <c r="X3738" t="s">
        <v>161</v>
      </c>
      <c r="Y3738" t="s">
        <v>2272</v>
      </c>
      <c r="Z3738" t="s">
        <v>2272</v>
      </c>
      <c r="AA3738" t="s">
        <v>2272</v>
      </c>
      <c r="AB3738" t="s">
        <v>2272</v>
      </c>
      <c r="AC3738" t="s">
        <v>162</v>
      </c>
      <c r="AD3738" t="s">
        <v>2272</v>
      </c>
      <c r="AG3738" t="s">
        <v>49</v>
      </c>
      <c r="AI3738" t="s">
        <v>49</v>
      </c>
      <c r="AM3738" t="s">
        <v>1038</v>
      </c>
      <c r="AN3738" t="s">
        <v>165</v>
      </c>
      <c r="AP3738" t="s">
        <v>49</v>
      </c>
    </row>
    <row r="3739" spans="1:45" x14ac:dyDescent="0.2">
      <c r="A3739" t="s">
        <v>1983</v>
      </c>
      <c r="B3739" t="s">
        <v>1629</v>
      </c>
      <c r="C3739">
        <v>2008</v>
      </c>
      <c r="D3739" t="s">
        <v>811</v>
      </c>
      <c r="F3739" t="s">
        <v>82</v>
      </c>
      <c r="G3739" t="s">
        <v>86</v>
      </c>
      <c r="H3739" t="s">
        <v>96</v>
      </c>
      <c r="I3739">
        <v>2006</v>
      </c>
      <c r="J3739">
        <v>0.02</v>
      </c>
      <c r="K3739" t="s">
        <v>1984</v>
      </c>
      <c r="L3739">
        <v>0.25</v>
      </c>
      <c r="M3739">
        <v>1.7000000000000001E-2</v>
      </c>
      <c r="N3739" t="s">
        <v>127</v>
      </c>
      <c r="O3739" t="s">
        <v>1270</v>
      </c>
      <c r="P3739" t="s">
        <v>1514</v>
      </c>
      <c r="Q3739" s="1" t="s">
        <v>2281</v>
      </c>
      <c r="R3739" s="1" t="s">
        <v>2301</v>
      </c>
      <c r="S3739" s="1" t="s">
        <v>2303</v>
      </c>
      <c r="X3739" t="s">
        <v>189</v>
      </c>
      <c r="Y3739" t="s">
        <v>2279</v>
      </c>
      <c r="Z3739" t="s">
        <v>2280</v>
      </c>
      <c r="AA3739" t="s">
        <v>2358</v>
      </c>
      <c r="AB3739" t="s">
        <v>189</v>
      </c>
      <c r="AC3739" t="s">
        <v>152</v>
      </c>
      <c r="AD3739" t="s">
        <v>2278</v>
      </c>
      <c r="AF3739" t="s">
        <v>49</v>
      </c>
      <c r="AG3739" t="s">
        <v>49</v>
      </c>
      <c r="AI3739" t="s">
        <v>49</v>
      </c>
      <c r="AM3739" t="s">
        <v>202</v>
      </c>
      <c r="AN3739" t="s">
        <v>166</v>
      </c>
      <c r="AP3739" t="s">
        <v>157</v>
      </c>
    </row>
    <row r="3740" spans="1:45" x14ac:dyDescent="0.2">
      <c r="A3740" t="s">
        <v>1983</v>
      </c>
      <c r="B3740" t="s">
        <v>1629</v>
      </c>
      <c r="C3740">
        <v>2008</v>
      </c>
      <c r="D3740" t="s">
        <v>811</v>
      </c>
      <c r="F3740" t="s">
        <v>82</v>
      </c>
      <c r="G3740" t="s">
        <v>86</v>
      </c>
      <c r="H3740" t="s">
        <v>96</v>
      </c>
      <c r="I3740">
        <v>2006</v>
      </c>
      <c r="J3740">
        <v>0.02</v>
      </c>
      <c r="K3740" t="s">
        <v>1984</v>
      </c>
      <c r="L3740">
        <v>0.25</v>
      </c>
      <c r="M3740">
        <v>1.7000000000000001E-2</v>
      </c>
      <c r="N3740" t="s">
        <v>127</v>
      </c>
      <c r="O3740" t="s">
        <v>1270</v>
      </c>
      <c r="P3740" t="s">
        <v>1514</v>
      </c>
      <c r="Q3740" s="1" t="s">
        <v>2281</v>
      </c>
      <c r="R3740" s="1" t="s">
        <v>2301</v>
      </c>
      <c r="S3740" s="1" t="s">
        <v>2303</v>
      </c>
      <c r="X3740" t="s">
        <v>189</v>
      </c>
      <c r="Y3740" t="s">
        <v>2279</v>
      </c>
      <c r="Z3740" t="s">
        <v>2280</v>
      </c>
      <c r="AA3740" t="s">
        <v>2358</v>
      </c>
      <c r="AB3740" t="s">
        <v>189</v>
      </c>
      <c r="AC3740" t="s">
        <v>152</v>
      </c>
      <c r="AD3740" t="s">
        <v>2278</v>
      </c>
      <c r="AF3740" t="s">
        <v>49</v>
      </c>
      <c r="AG3740" t="s">
        <v>49</v>
      </c>
      <c r="AI3740" t="s">
        <v>49</v>
      </c>
      <c r="AM3740" t="s">
        <v>202</v>
      </c>
      <c r="AN3740" t="s">
        <v>154</v>
      </c>
      <c r="AP3740" t="s">
        <v>157</v>
      </c>
    </row>
    <row r="3741" spans="1:45" x14ac:dyDescent="0.2">
      <c r="A3741" t="s">
        <v>1983</v>
      </c>
      <c r="B3741" t="s">
        <v>1629</v>
      </c>
      <c r="C3741">
        <v>2008</v>
      </c>
      <c r="D3741" t="s">
        <v>811</v>
      </c>
      <c r="F3741" t="s">
        <v>82</v>
      </c>
      <c r="G3741" t="s">
        <v>86</v>
      </c>
      <c r="H3741" t="s">
        <v>96</v>
      </c>
      <c r="I3741">
        <v>2006</v>
      </c>
      <c r="J3741">
        <v>0.02</v>
      </c>
      <c r="K3741" t="s">
        <v>1984</v>
      </c>
      <c r="L3741">
        <v>0.25</v>
      </c>
      <c r="M3741">
        <v>1.7000000000000001E-2</v>
      </c>
      <c r="N3741" t="s">
        <v>127</v>
      </c>
      <c r="O3741" t="s">
        <v>1270</v>
      </c>
      <c r="P3741" t="s">
        <v>1514</v>
      </c>
      <c r="Q3741" s="1" t="s">
        <v>2281</v>
      </c>
      <c r="R3741" s="1" t="s">
        <v>2301</v>
      </c>
      <c r="S3741" s="1" t="s">
        <v>2303</v>
      </c>
      <c r="X3741" t="s">
        <v>189</v>
      </c>
      <c r="Y3741" t="s">
        <v>2279</v>
      </c>
      <c r="Z3741" t="s">
        <v>2280</v>
      </c>
      <c r="AA3741" t="s">
        <v>2358</v>
      </c>
      <c r="AB3741" t="s">
        <v>189</v>
      </c>
      <c r="AC3741" t="s">
        <v>152</v>
      </c>
      <c r="AD3741" t="s">
        <v>2278</v>
      </c>
      <c r="AF3741" t="s">
        <v>49</v>
      </c>
      <c r="AL3741" t="s">
        <v>49</v>
      </c>
      <c r="AM3741" t="s">
        <v>1985</v>
      </c>
      <c r="AN3741" t="s">
        <v>166</v>
      </c>
      <c r="AP3741" t="s">
        <v>157</v>
      </c>
    </row>
    <row r="3742" spans="1:45" x14ac:dyDescent="0.2">
      <c r="A3742" t="s">
        <v>1983</v>
      </c>
      <c r="B3742" t="s">
        <v>1629</v>
      </c>
      <c r="C3742">
        <v>2008</v>
      </c>
      <c r="D3742" t="s">
        <v>811</v>
      </c>
      <c r="F3742" t="s">
        <v>82</v>
      </c>
      <c r="G3742" t="s">
        <v>86</v>
      </c>
      <c r="H3742" t="s">
        <v>96</v>
      </c>
      <c r="I3742">
        <v>2006</v>
      </c>
      <c r="J3742">
        <v>0.02</v>
      </c>
      <c r="K3742" t="s">
        <v>1984</v>
      </c>
      <c r="L3742">
        <v>0.25</v>
      </c>
      <c r="M3742">
        <v>1.7000000000000001E-2</v>
      </c>
      <c r="N3742" t="s">
        <v>127</v>
      </c>
      <c r="O3742" t="s">
        <v>1270</v>
      </c>
      <c r="P3742" t="s">
        <v>1514</v>
      </c>
      <c r="Q3742" s="1" t="s">
        <v>2281</v>
      </c>
      <c r="R3742" s="1" t="s">
        <v>2301</v>
      </c>
      <c r="S3742" s="1" t="s">
        <v>2303</v>
      </c>
      <c r="X3742" t="s">
        <v>189</v>
      </c>
      <c r="Y3742" t="s">
        <v>2279</v>
      </c>
      <c r="Z3742" t="s">
        <v>2280</v>
      </c>
      <c r="AA3742" t="s">
        <v>2358</v>
      </c>
      <c r="AB3742" t="s">
        <v>189</v>
      </c>
      <c r="AC3742" t="s">
        <v>152</v>
      </c>
      <c r="AD3742" t="s">
        <v>2278</v>
      </c>
      <c r="AG3742" t="s">
        <v>49</v>
      </c>
      <c r="AL3742" t="s">
        <v>49</v>
      </c>
      <c r="AM3742" t="s">
        <v>1986</v>
      </c>
      <c r="AN3742" t="s">
        <v>166</v>
      </c>
      <c r="AP3742" t="s">
        <v>51</v>
      </c>
    </row>
    <row r="3743" spans="1:45" x14ac:dyDescent="0.2">
      <c r="A3743" t="s">
        <v>1983</v>
      </c>
      <c r="B3743" t="s">
        <v>1629</v>
      </c>
      <c r="C3743">
        <v>2008</v>
      </c>
      <c r="D3743" t="s">
        <v>811</v>
      </c>
      <c r="F3743" t="s">
        <v>82</v>
      </c>
      <c r="G3743" t="s">
        <v>86</v>
      </c>
      <c r="H3743" t="s">
        <v>96</v>
      </c>
      <c r="I3743">
        <v>2006</v>
      </c>
      <c r="J3743">
        <v>0.02</v>
      </c>
      <c r="K3743" t="s">
        <v>1984</v>
      </c>
      <c r="L3743">
        <v>0.25</v>
      </c>
      <c r="M3743">
        <v>1.7000000000000001E-2</v>
      </c>
      <c r="N3743" t="s">
        <v>127</v>
      </c>
      <c r="O3743" t="s">
        <v>1270</v>
      </c>
      <c r="P3743" t="s">
        <v>1514</v>
      </c>
      <c r="Q3743" s="1" t="s">
        <v>2281</v>
      </c>
      <c r="R3743" s="1" t="s">
        <v>2301</v>
      </c>
      <c r="S3743" s="1" t="s">
        <v>2303</v>
      </c>
      <c r="X3743" t="s">
        <v>189</v>
      </c>
      <c r="Y3743" t="s">
        <v>2279</v>
      </c>
      <c r="Z3743" t="s">
        <v>2280</v>
      </c>
      <c r="AA3743" t="s">
        <v>2358</v>
      </c>
      <c r="AB3743" t="s">
        <v>189</v>
      </c>
      <c r="AC3743" t="s">
        <v>152</v>
      </c>
      <c r="AD3743" t="s">
        <v>2278</v>
      </c>
      <c r="AF3743" t="s">
        <v>49</v>
      </c>
      <c r="AG3743" t="s">
        <v>49</v>
      </c>
      <c r="AI3743" t="s">
        <v>49</v>
      </c>
      <c r="AM3743" t="s">
        <v>202</v>
      </c>
      <c r="AN3743" t="s">
        <v>154</v>
      </c>
      <c r="AP3743" t="s">
        <v>49</v>
      </c>
    </row>
    <row r="3744" spans="1:45" x14ac:dyDescent="0.2">
      <c r="A3744" t="s">
        <v>1987</v>
      </c>
      <c r="B3744" t="s">
        <v>1988</v>
      </c>
      <c r="C3744">
        <v>2008</v>
      </c>
      <c r="D3744" t="s">
        <v>44</v>
      </c>
      <c r="F3744" t="s">
        <v>1376</v>
      </c>
      <c r="G3744" t="s">
        <v>86</v>
      </c>
      <c r="I3744">
        <v>2006</v>
      </c>
      <c r="J3744">
        <v>2.7000000000000001E-3</v>
      </c>
      <c r="K3744" t="s">
        <v>101</v>
      </c>
      <c r="L3744">
        <v>2</v>
      </c>
      <c r="M3744">
        <v>9</v>
      </c>
      <c r="N3744" t="s">
        <v>127</v>
      </c>
      <c r="O3744" t="s">
        <v>669</v>
      </c>
      <c r="P3744" t="s">
        <v>1116</v>
      </c>
      <c r="Q3744" s="1" t="s">
        <v>2272</v>
      </c>
      <c r="R3744" s="1" t="s">
        <v>2272</v>
      </c>
      <c r="S3744" s="1" t="s">
        <v>2272</v>
      </c>
      <c r="X3744" t="s">
        <v>189</v>
      </c>
      <c r="Y3744" t="s">
        <v>2272</v>
      </c>
      <c r="Z3744" t="s">
        <v>2272</v>
      </c>
      <c r="AA3744" t="s">
        <v>2272</v>
      </c>
      <c r="AB3744" t="s">
        <v>2272</v>
      </c>
      <c r="AC3744" t="s">
        <v>152</v>
      </c>
      <c r="AD3744" t="s">
        <v>2272</v>
      </c>
      <c r="AR3744" t="s">
        <v>144</v>
      </c>
      <c r="AS3744" t="s">
        <v>2584</v>
      </c>
    </row>
    <row r="3745" spans="1:45" x14ac:dyDescent="0.2">
      <c r="A3745" t="s">
        <v>1989</v>
      </c>
      <c r="B3745" t="s">
        <v>1990</v>
      </c>
      <c r="C3745">
        <v>2008</v>
      </c>
      <c r="Q3745" s="1" t="s">
        <v>2272</v>
      </c>
      <c r="R3745" s="1" t="s">
        <v>2272</v>
      </c>
      <c r="S3745" s="1" t="s">
        <v>2272</v>
      </c>
      <c r="Y3745" t="s">
        <v>2272</v>
      </c>
      <c r="Z3745" t="s">
        <v>2272</v>
      </c>
      <c r="AA3745" t="s">
        <v>2272</v>
      </c>
      <c r="AB3745" t="s">
        <v>2272</v>
      </c>
      <c r="AD3745" t="s">
        <v>2272</v>
      </c>
      <c r="AR3745" t="s">
        <v>144</v>
      </c>
      <c r="AS3745" t="s">
        <v>2583</v>
      </c>
    </row>
    <row r="3746" spans="1:45" x14ac:dyDescent="0.2">
      <c r="A3746" t="s">
        <v>1991</v>
      </c>
      <c r="B3746" t="s">
        <v>1453</v>
      </c>
      <c r="C3746">
        <v>2008</v>
      </c>
      <c r="D3746" t="s">
        <v>44</v>
      </c>
      <c r="F3746" t="s">
        <v>1992</v>
      </c>
      <c r="G3746" s="1" t="s">
        <v>86</v>
      </c>
      <c r="H3746" t="s">
        <v>350</v>
      </c>
      <c r="I3746">
        <v>2003</v>
      </c>
      <c r="K3746" t="s">
        <v>101</v>
      </c>
      <c r="M3746">
        <v>0</v>
      </c>
      <c r="N3746" t="s">
        <v>123</v>
      </c>
      <c r="O3746" t="s">
        <v>123</v>
      </c>
      <c r="P3746" t="s">
        <v>1134</v>
      </c>
      <c r="Q3746" s="1" t="s">
        <v>2281</v>
      </c>
      <c r="R3746" s="1" t="s">
        <v>2282</v>
      </c>
      <c r="S3746" s="1" t="s">
        <v>123</v>
      </c>
      <c r="X3746" t="s">
        <v>1993</v>
      </c>
      <c r="Y3746" t="s">
        <v>2279</v>
      </c>
      <c r="Z3746" t="s">
        <v>2280</v>
      </c>
      <c r="AA3746" t="s">
        <v>2358</v>
      </c>
      <c r="AB3746" t="s">
        <v>2009</v>
      </c>
      <c r="AC3746" t="s">
        <v>152</v>
      </c>
      <c r="AD3746" t="s">
        <v>2278</v>
      </c>
    </row>
    <row r="3747" spans="1:45" x14ac:dyDescent="0.2">
      <c r="A3747" t="s">
        <v>1991</v>
      </c>
      <c r="B3747" t="s">
        <v>1453</v>
      </c>
      <c r="C3747">
        <v>2008</v>
      </c>
      <c r="D3747" t="s">
        <v>44</v>
      </c>
      <c r="F3747" t="s">
        <v>1992</v>
      </c>
      <c r="G3747" s="1" t="s">
        <v>86</v>
      </c>
      <c r="H3747" t="s">
        <v>350</v>
      </c>
      <c r="I3747">
        <v>2003</v>
      </c>
      <c r="K3747" t="s">
        <v>101</v>
      </c>
      <c r="M3747">
        <v>0</v>
      </c>
      <c r="N3747" t="s">
        <v>123</v>
      </c>
      <c r="O3747" t="s">
        <v>123</v>
      </c>
      <c r="P3747" t="s">
        <v>1134</v>
      </c>
      <c r="Q3747" s="1" t="s">
        <v>2281</v>
      </c>
      <c r="R3747" s="1" t="s">
        <v>2282</v>
      </c>
      <c r="S3747" s="1" t="s">
        <v>123</v>
      </c>
      <c r="X3747" t="s">
        <v>673</v>
      </c>
      <c r="Y3747" t="s">
        <v>2279</v>
      </c>
      <c r="Z3747" t="s">
        <v>2280</v>
      </c>
      <c r="AA3747" t="s">
        <v>2358</v>
      </c>
      <c r="AB3747" t="s">
        <v>2459</v>
      </c>
      <c r="AC3747" t="s">
        <v>315</v>
      </c>
      <c r="AD3747" t="s">
        <v>2278</v>
      </c>
      <c r="AF3747" t="s">
        <v>49</v>
      </c>
      <c r="AG3747" t="s">
        <v>49</v>
      </c>
      <c r="AI3747" t="s">
        <v>49</v>
      </c>
      <c r="AM3747" t="s">
        <v>202</v>
      </c>
      <c r="AN3747" t="s">
        <v>154</v>
      </c>
      <c r="AP3747" t="s">
        <v>157</v>
      </c>
    </row>
    <row r="3748" spans="1:45" x14ac:dyDescent="0.2">
      <c r="A3748" t="s">
        <v>1991</v>
      </c>
      <c r="B3748" t="s">
        <v>1453</v>
      </c>
      <c r="C3748">
        <v>2008</v>
      </c>
      <c r="D3748" t="s">
        <v>44</v>
      </c>
      <c r="F3748" t="s">
        <v>1992</v>
      </c>
      <c r="G3748" s="1" t="s">
        <v>86</v>
      </c>
      <c r="H3748" t="s">
        <v>350</v>
      </c>
      <c r="I3748">
        <v>2003</v>
      </c>
      <c r="K3748" t="s">
        <v>101</v>
      </c>
      <c r="M3748">
        <f t="shared" ref="M3748:M3755" si="85">0.2*0.2</f>
        <v>4.0000000000000008E-2</v>
      </c>
      <c r="N3748" t="s">
        <v>123</v>
      </c>
      <c r="O3748" t="s">
        <v>123</v>
      </c>
      <c r="P3748" t="s">
        <v>1134</v>
      </c>
      <c r="Q3748" s="1" t="s">
        <v>2281</v>
      </c>
      <c r="R3748" s="1" t="s">
        <v>2282</v>
      </c>
      <c r="S3748" s="1" t="s">
        <v>123</v>
      </c>
      <c r="X3748" t="s">
        <v>189</v>
      </c>
      <c r="Y3748" t="s">
        <v>2279</v>
      </c>
      <c r="Z3748" t="s">
        <v>2280</v>
      </c>
      <c r="AA3748" t="s">
        <v>2358</v>
      </c>
      <c r="AB3748" t="s">
        <v>189</v>
      </c>
      <c r="AC3748" t="s">
        <v>152</v>
      </c>
      <c r="AD3748" t="s">
        <v>2278</v>
      </c>
    </row>
    <row r="3749" spans="1:45" x14ac:dyDescent="0.2">
      <c r="A3749" t="s">
        <v>1991</v>
      </c>
      <c r="B3749" t="s">
        <v>1453</v>
      </c>
      <c r="C3749">
        <v>2008</v>
      </c>
      <c r="D3749" t="s">
        <v>44</v>
      </c>
      <c r="F3749" t="s">
        <v>1992</v>
      </c>
      <c r="G3749" s="1" t="s">
        <v>86</v>
      </c>
      <c r="H3749" t="s">
        <v>350</v>
      </c>
      <c r="I3749">
        <v>2003</v>
      </c>
      <c r="K3749" t="s">
        <v>101</v>
      </c>
      <c r="M3749">
        <f t="shared" si="85"/>
        <v>4.0000000000000008E-2</v>
      </c>
      <c r="N3749" t="s">
        <v>123</v>
      </c>
      <c r="O3749" t="s">
        <v>123</v>
      </c>
      <c r="P3749" t="s">
        <v>1134</v>
      </c>
      <c r="Q3749" s="1" t="s">
        <v>2281</v>
      </c>
      <c r="R3749" s="1" t="s">
        <v>2282</v>
      </c>
      <c r="S3749" s="1" t="s">
        <v>123</v>
      </c>
      <c r="X3749" t="s">
        <v>293</v>
      </c>
      <c r="Y3749" t="s">
        <v>2273</v>
      </c>
      <c r="Z3749" t="s">
        <v>249</v>
      </c>
      <c r="AA3749" t="s">
        <v>2359</v>
      </c>
      <c r="AB3749" t="s">
        <v>1419</v>
      </c>
      <c r="AC3749" t="s">
        <v>152</v>
      </c>
      <c r="AD3749" t="s">
        <v>137</v>
      </c>
    </row>
    <row r="3750" spans="1:45" x14ac:dyDescent="0.2">
      <c r="A3750" t="s">
        <v>1991</v>
      </c>
      <c r="B3750" t="s">
        <v>1453</v>
      </c>
      <c r="C3750">
        <v>2008</v>
      </c>
      <c r="D3750" t="s">
        <v>44</v>
      </c>
      <c r="F3750" t="s">
        <v>1992</v>
      </c>
      <c r="G3750" s="1" t="s">
        <v>86</v>
      </c>
      <c r="H3750" t="s">
        <v>350</v>
      </c>
      <c r="I3750">
        <v>2003</v>
      </c>
      <c r="K3750" t="s">
        <v>101</v>
      </c>
      <c r="M3750">
        <f t="shared" si="85"/>
        <v>4.0000000000000008E-2</v>
      </c>
      <c r="N3750" t="s">
        <v>123</v>
      </c>
      <c r="O3750" t="s">
        <v>123</v>
      </c>
      <c r="P3750" t="s">
        <v>1134</v>
      </c>
      <c r="Q3750" s="1" t="s">
        <v>2281</v>
      </c>
      <c r="R3750" s="1" t="s">
        <v>2282</v>
      </c>
      <c r="S3750" s="1" t="s">
        <v>123</v>
      </c>
      <c r="T3750" t="s">
        <v>421</v>
      </c>
      <c r="U3750" t="s">
        <v>421</v>
      </c>
      <c r="X3750" t="s">
        <v>161</v>
      </c>
      <c r="Y3750" t="s">
        <v>2272</v>
      </c>
      <c r="Z3750" t="s">
        <v>2272</v>
      </c>
      <c r="AA3750" t="s">
        <v>2272</v>
      </c>
      <c r="AB3750" t="s">
        <v>2272</v>
      </c>
      <c r="AC3750" t="s">
        <v>162</v>
      </c>
      <c r="AD3750" t="s">
        <v>2272</v>
      </c>
      <c r="AF3750" t="s">
        <v>49</v>
      </c>
      <c r="AG3750" t="s">
        <v>49</v>
      </c>
      <c r="AI3750" t="s">
        <v>49</v>
      </c>
      <c r="AM3750" t="s">
        <v>202</v>
      </c>
      <c r="AN3750" t="s">
        <v>154</v>
      </c>
      <c r="AQ3750" s="5">
        <v>1</v>
      </c>
    </row>
    <row r="3751" spans="1:45" x14ac:dyDescent="0.2">
      <c r="A3751" t="s">
        <v>1991</v>
      </c>
      <c r="B3751" t="s">
        <v>1453</v>
      </c>
      <c r="C3751">
        <v>2008</v>
      </c>
      <c r="D3751" t="s">
        <v>44</v>
      </c>
      <c r="F3751" t="s">
        <v>1992</v>
      </c>
      <c r="G3751" s="1" t="s">
        <v>86</v>
      </c>
      <c r="H3751" t="s">
        <v>350</v>
      </c>
      <c r="I3751">
        <v>2003</v>
      </c>
      <c r="K3751" t="s">
        <v>101</v>
      </c>
      <c r="M3751">
        <f t="shared" si="85"/>
        <v>4.0000000000000008E-2</v>
      </c>
      <c r="N3751" t="s">
        <v>123</v>
      </c>
      <c r="O3751" t="s">
        <v>123</v>
      </c>
      <c r="P3751" t="s">
        <v>1134</v>
      </c>
      <c r="Q3751" s="1" t="s">
        <v>2281</v>
      </c>
      <c r="R3751" s="1" t="s">
        <v>2282</v>
      </c>
      <c r="S3751" s="1" t="s">
        <v>123</v>
      </c>
      <c r="T3751" t="s">
        <v>421</v>
      </c>
      <c r="U3751" t="s">
        <v>421</v>
      </c>
      <c r="X3751" t="s">
        <v>161</v>
      </c>
      <c r="Y3751" t="s">
        <v>2272</v>
      </c>
      <c r="Z3751" t="s">
        <v>2272</v>
      </c>
      <c r="AA3751" t="s">
        <v>2272</v>
      </c>
      <c r="AB3751" t="s">
        <v>2272</v>
      </c>
      <c r="AC3751" t="s">
        <v>162</v>
      </c>
      <c r="AD3751" t="s">
        <v>2272</v>
      </c>
      <c r="AF3751" t="s">
        <v>49</v>
      </c>
      <c r="AG3751" t="s">
        <v>49</v>
      </c>
      <c r="AI3751" t="s">
        <v>49</v>
      </c>
      <c r="AM3751" t="s">
        <v>202</v>
      </c>
      <c r="AN3751" t="s">
        <v>171</v>
      </c>
    </row>
    <row r="3752" spans="1:45" x14ac:dyDescent="0.2">
      <c r="A3752" t="s">
        <v>1991</v>
      </c>
      <c r="B3752" t="s">
        <v>1453</v>
      </c>
      <c r="C3752">
        <v>2008</v>
      </c>
      <c r="D3752" t="s">
        <v>44</v>
      </c>
      <c r="F3752" t="s">
        <v>1992</v>
      </c>
      <c r="G3752" s="1" t="s">
        <v>86</v>
      </c>
      <c r="H3752" t="s">
        <v>350</v>
      </c>
      <c r="I3752">
        <v>2003</v>
      </c>
      <c r="K3752" t="s">
        <v>101</v>
      </c>
      <c r="M3752">
        <f t="shared" si="85"/>
        <v>4.0000000000000008E-2</v>
      </c>
      <c r="N3752" t="s">
        <v>123</v>
      </c>
      <c r="O3752" t="s">
        <v>123</v>
      </c>
      <c r="P3752" t="s">
        <v>1134</v>
      </c>
      <c r="Q3752" s="1" t="s">
        <v>2281</v>
      </c>
      <c r="R3752" s="1" t="s">
        <v>2282</v>
      </c>
      <c r="S3752" s="1" t="s">
        <v>123</v>
      </c>
      <c r="T3752" t="s">
        <v>421</v>
      </c>
      <c r="U3752" t="s">
        <v>421</v>
      </c>
      <c r="X3752" t="s">
        <v>161</v>
      </c>
      <c r="Y3752" t="s">
        <v>2272</v>
      </c>
      <c r="Z3752" t="s">
        <v>2272</v>
      </c>
      <c r="AA3752" t="s">
        <v>2272</v>
      </c>
      <c r="AB3752" t="s">
        <v>2272</v>
      </c>
      <c r="AC3752" t="s">
        <v>162</v>
      </c>
      <c r="AD3752" t="s">
        <v>2272</v>
      </c>
      <c r="AF3752" t="s">
        <v>49</v>
      </c>
      <c r="AG3752" t="s">
        <v>49</v>
      </c>
      <c r="AI3752" t="s">
        <v>49</v>
      </c>
      <c r="AM3752" t="s">
        <v>202</v>
      </c>
      <c r="AN3752" t="s">
        <v>165</v>
      </c>
    </row>
    <row r="3753" spans="1:45" x14ac:dyDescent="0.2">
      <c r="A3753" t="s">
        <v>1991</v>
      </c>
      <c r="B3753" t="s">
        <v>1453</v>
      </c>
      <c r="C3753">
        <v>2008</v>
      </c>
      <c r="D3753" t="s">
        <v>44</v>
      </c>
      <c r="F3753" t="s">
        <v>1992</v>
      </c>
      <c r="G3753" s="1" t="s">
        <v>86</v>
      </c>
      <c r="H3753" t="s">
        <v>350</v>
      </c>
      <c r="I3753">
        <v>2003</v>
      </c>
      <c r="K3753" t="s">
        <v>101</v>
      </c>
      <c r="M3753">
        <f t="shared" si="85"/>
        <v>4.0000000000000008E-2</v>
      </c>
      <c r="N3753" t="s">
        <v>123</v>
      </c>
      <c r="O3753" t="s">
        <v>123</v>
      </c>
      <c r="P3753" t="s">
        <v>1134</v>
      </c>
      <c r="Q3753" s="1" t="s">
        <v>2281</v>
      </c>
      <c r="R3753" s="1" t="s">
        <v>2282</v>
      </c>
      <c r="S3753" s="1" t="s">
        <v>123</v>
      </c>
      <c r="T3753" t="s">
        <v>421</v>
      </c>
      <c r="U3753" t="s">
        <v>421</v>
      </c>
      <c r="X3753" t="s">
        <v>161</v>
      </c>
      <c r="Y3753" t="s">
        <v>2272</v>
      </c>
      <c r="Z3753" t="s">
        <v>2272</v>
      </c>
      <c r="AA3753" t="s">
        <v>2272</v>
      </c>
      <c r="AB3753" t="s">
        <v>2272</v>
      </c>
      <c r="AC3753" t="s">
        <v>162</v>
      </c>
      <c r="AD3753" t="s">
        <v>2272</v>
      </c>
      <c r="AF3753" t="s">
        <v>49</v>
      </c>
      <c r="AG3753" t="s">
        <v>49</v>
      </c>
      <c r="AI3753" t="s">
        <v>49</v>
      </c>
      <c r="AM3753" t="s">
        <v>202</v>
      </c>
      <c r="AN3753" t="s">
        <v>166</v>
      </c>
    </row>
    <row r="3754" spans="1:45" x14ac:dyDescent="0.2">
      <c r="A3754" t="s">
        <v>1991</v>
      </c>
      <c r="B3754" t="s">
        <v>1453</v>
      </c>
      <c r="C3754">
        <v>2008</v>
      </c>
      <c r="D3754" t="s">
        <v>44</v>
      </c>
      <c r="F3754" t="s">
        <v>1992</v>
      </c>
      <c r="G3754" s="1" t="s">
        <v>86</v>
      </c>
      <c r="H3754" t="s">
        <v>350</v>
      </c>
      <c r="I3754">
        <v>2003</v>
      </c>
      <c r="K3754" t="s">
        <v>101</v>
      </c>
      <c r="M3754">
        <f t="shared" si="85"/>
        <v>4.0000000000000008E-2</v>
      </c>
      <c r="N3754" t="s">
        <v>123</v>
      </c>
      <c r="O3754" t="s">
        <v>123</v>
      </c>
      <c r="P3754" t="s">
        <v>1134</v>
      </c>
      <c r="Q3754" s="1" t="s">
        <v>2281</v>
      </c>
      <c r="R3754" s="1" t="s">
        <v>2282</v>
      </c>
      <c r="S3754" s="1" t="s">
        <v>123</v>
      </c>
      <c r="T3754" t="s">
        <v>421</v>
      </c>
      <c r="U3754" t="s">
        <v>421</v>
      </c>
      <c r="X3754" t="s">
        <v>161</v>
      </c>
      <c r="Y3754" t="s">
        <v>2272</v>
      </c>
      <c r="Z3754" t="s">
        <v>2272</v>
      </c>
      <c r="AA3754" t="s">
        <v>2272</v>
      </c>
      <c r="AB3754" t="s">
        <v>2272</v>
      </c>
      <c r="AC3754" t="s">
        <v>162</v>
      </c>
      <c r="AD3754" t="s">
        <v>2272</v>
      </c>
      <c r="AG3754" t="s">
        <v>49</v>
      </c>
      <c r="AI3754" t="s">
        <v>49</v>
      </c>
      <c r="AM3754" t="s">
        <v>442</v>
      </c>
      <c r="AN3754" t="s">
        <v>154</v>
      </c>
      <c r="AQ3754" s="5">
        <v>1</v>
      </c>
    </row>
    <row r="3755" spans="1:45" x14ac:dyDescent="0.2">
      <c r="A3755" t="s">
        <v>1991</v>
      </c>
      <c r="B3755" t="s">
        <v>1453</v>
      </c>
      <c r="C3755">
        <v>2008</v>
      </c>
      <c r="D3755" t="s">
        <v>44</v>
      </c>
      <c r="F3755" t="s">
        <v>1992</v>
      </c>
      <c r="G3755" s="1" t="s">
        <v>86</v>
      </c>
      <c r="H3755" t="s">
        <v>350</v>
      </c>
      <c r="I3755">
        <v>2003</v>
      </c>
      <c r="K3755" t="s">
        <v>101</v>
      </c>
      <c r="M3755">
        <f t="shared" si="85"/>
        <v>4.0000000000000008E-2</v>
      </c>
      <c r="N3755" t="s">
        <v>123</v>
      </c>
      <c r="O3755" t="s">
        <v>123</v>
      </c>
      <c r="P3755" t="s">
        <v>1134</v>
      </c>
      <c r="Q3755" s="1" t="s">
        <v>2281</v>
      </c>
      <c r="R3755" s="1" t="s">
        <v>2282</v>
      </c>
      <c r="S3755" s="1" t="s">
        <v>123</v>
      </c>
      <c r="T3755" t="s">
        <v>421</v>
      </c>
      <c r="U3755" t="s">
        <v>421</v>
      </c>
      <c r="X3755" t="s">
        <v>161</v>
      </c>
      <c r="Y3755" t="s">
        <v>2272</v>
      </c>
      <c r="Z3755" t="s">
        <v>2272</v>
      </c>
      <c r="AA3755" t="s">
        <v>2272</v>
      </c>
      <c r="AB3755" t="s">
        <v>2272</v>
      </c>
      <c r="AC3755" t="s">
        <v>162</v>
      </c>
      <c r="AD3755" t="s">
        <v>2272</v>
      </c>
      <c r="AF3755" t="s">
        <v>49</v>
      </c>
      <c r="AG3755" t="s">
        <v>49</v>
      </c>
      <c r="AI3755" t="s">
        <v>49</v>
      </c>
      <c r="AM3755" t="s">
        <v>202</v>
      </c>
      <c r="AN3755" t="s">
        <v>419</v>
      </c>
      <c r="AP3755" t="s">
        <v>49</v>
      </c>
    </row>
    <row r="3756" spans="1:45" x14ac:dyDescent="0.2">
      <c r="A3756" t="s">
        <v>1991</v>
      </c>
      <c r="B3756" t="s">
        <v>1453</v>
      </c>
      <c r="C3756">
        <v>2008</v>
      </c>
      <c r="D3756" t="s">
        <v>44</v>
      </c>
      <c r="F3756" t="s">
        <v>1992</v>
      </c>
      <c r="G3756" s="1" t="s">
        <v>86</v>
      </c>
      <c r="H3756" t="s">
        <v>350</v>
      </c>
      <c r="I3756">
        <v>2003</v>
      </c>
      <c r="K3756" t="s">
        <v>101</v>
      </c>
      <c r="M3756">
        <v>0</v>
      </c>
      <c r="N3756" t="s">
        <v>123</v>
      </c>
      <c r="O3756" t="s">
        <v>123</v>
      </c>
      <c r="P3756" t="s">
        <v>1134</v>
      </c>
      <c r="Q3756" s="1" t="s">
        <v>2281</v>
      </c>
      <c r="R3756" s="1" t="s">
        <v>2282</v>
      </c>
      <c r="S3756" s="1" t="s">
        <v>123</v>
      </c>
      <c r="X3756" t="s">
        <v>673</v>
      </c>
      <c r="Y3756" t="s">
        <v>2279</v>
      </c>
      <c r="Z3756" t="s">
        <v>2280</v>
      </c>
      <c r="AA3756" t="s">
        <v>2358</v>
      </c>
      <c r="AB3756" t="s">
        <v>2459</v>
      </c>
      <c r="AC3756" t="s">
        <v>315</v>
      </c>
      <c r="AD3756" t="s">
        <v>2278</v>
      </c>
      <c r="AF3756" t="s">
        <v>49</v>
      </c>
      <c r="AG3756" t="s">
        <v>49</v>
      </c>
      <c r="AI3756" t="s">
        <v>49</v>
      </c>
      <c r="AM3756" t="s">
        <v>202</v>
      </c>
      <c r="AN3756" t="s">
        <v>419</v>
      </c>
      <c r="AP3756" t="s">
        <v>49</v>
      </c>
    </row>
    <row r="3757" spans="1:45" x14ac:dyDescent="0.2">
      <c r="A3757" t="s">
        <v>1994</v>
      </c>
      <c r="B3757" t="s">
        <v>1995</v>
      </c>
      <c r="C3757">
        <v>2008</v>
      </c>
      <c r="D3757" t="s">
        <v>811</v>
      </c>
      <c r="F3757" t="s">
        <v>1864</v>
      </c>
      <c r="G3757" s="1" t="s">
        <v>86</v>
      </c>
      <c r="H3757" t="s">
        <v>96</v>
      </c>
      <c r="I3757">
        <v>2006</v>
      </c>
      <c r="J3757">
        <v>0.92</v>
      </c>
      <c r="K3757" t="s">
        <v>102</v>
      </c>
      <c r="L3757">
        <v>110</v>
      </c>
      <c r="N3757" t="s">
        <v>123</v>
      </c>
      <c r="O3757" t="s">
        <v>123</v>
      </c>
      <c r="P3757" t="s">
        <v>518</v>
      </c>
      <c r="Q3757" s="1" t="s">
        <v>2281</v>
      </c>
      <c r="R3757" s="1" t="s">
        <v>2282</v>
      </c>
      <c r="S3757" s="1" t="s">
        <v>123</v>
      </c>
      <c r="T3757" t="s">
        <v>421</v>
      </c>
      <c r="U3757" t="s">
        <v>421</v>
      </c>
      <c r="V3757" t="s">
        <v>194</v>
      </c>
      <c r="W3757" t="s">
        <v>356</v>
      </c>
      <c r="X3757" t="s">
        <v>161</v>
      </c>
      <c r="Y3757" t="s">
        <v>2272</v>
      </c>
      <c r="Z3757" t="s">
        <v>2272</v>
      </c>
      <c r="AA3757" t="s">
        <v>2272</v>
      </c>
      <c r="AB3757" t="s">
        <v>2272</v>
      </c>
      <c r="AC3757" t="s">
        <v>162</v>
      </c>
      <c r="AD3757" t="s">
        <v>2272</v>
      </c>
      <c r="AG3757" t="s">
        <v>49</v>
      </c>
      <c r="AI3757" t="s">
        <v>49</v>
      </c>
      <c r="AM3757" t="s">
        <v>442</v>
      </c>
      <c r="AN3757" t="s">
        <v>154</v>
      </c>
      <c r="AQ3757" s="5">
        <v>0</v>
      </c>
    </row>
    <row r="3758" spans="1:45" x14ac:dyDescent="0.2">
      <c r="A3758" t="s">
        <v>1994</v>
      </c>
      <c r="B3758" t="s">
        <v>1995</v>
      </c>
      <c r="C3758">
        <v>2008</v>
      </c>
      <c r="D3758" t="s">
        <v>811</v>
      </c>
      <c r="F3758" t="s">
        <v>1864</v>
      </c>
      <c r="G3758" s="1" t="s">
        <v>86</v>
      </c>
      <c r="H3758" t="s">
        <v>96</v>
      </c>
      <c r="I3758">
        <v>2006</v>
      </c>
      <c r="J3758">
        <v>0.92</v>
      </c>
      <c r="K3758" t="s">
        <v>102</v>
      </c>
      <c r="L3758">
        <v>110</v>
      </c>
      <c r="N3758" t="s">
        <v>126</v>
      </c>
      <c r="O3758" t="s">
        <v>126</v>
      </c>
      <c r="P3758" t="s">
        <v>2571</v>
      </c>
      <c r="Q3758" s="1" t="s">
        <v>2281</v>
      </c>
      <c r="R3758" s="1" t="s">
        <v>2282</v>
      </c>
      <c r="S3758" s="1" t="s">
        <v>126</v>
      </c>
      <c r="T3758" t="s">
        <v>421</v>
      </c>
      <c r="U3758" t="s">
        <v>421</v>
      </c>
      <c r="V3758" t="s">
        <v>194</v>
      </c>
      <c r="W3758" t="s">
        <v>356</v>
      </c>
      <c r="X3758" t="s">
        <v>161</v>
      </c>
      <c r="Y3758" t="s">
        <v>2272</v>
      </c>
      <c r="Z3758" t="s">
        <v>2272</v>
      </c>
      <c r="AA3758" t="s">
        <v>2272</v>
      </c>
      <c r="AB3758" t="s">
        <v>2272</v>
      </c>
      <c r="AC3758" t="s">
        <v>162</v>
      </c>
      <c r="AD3758" t="s">
        <v>2272</v>
      </c>
      <c r="AG3758" t="s">
        <v>49</v>
      </c>
      <c r="AI3758" t="s">
        <v>49</v>
      </c>
      <c r="AM3758" t="s">
        <v>442</v>
      </c>
      <c r="AN3758" t="s">
        <v>154</v>
      </c>
      <c r="AQ3758" s="5">
        <v>0</v>
      </c>
    </row>
    <row r="3759" spans="1:45" x14ac:dyDescent="0.2">
      <c r="A3759" t="s">
        <v>1994</v>
      </c>
      <c r="B3759" t="s">
        <v>1995</v>
      </c>
      <c r="C3759">
        <v>2008</v>
      </c>
      <c r="D3759" t="s">
        <v>811</v>
      </c>
      <c r="F3759" t="s">
        <v>1864</v>
      </c>
      <c r="G3759" s="1" t="s">
        <v>86</v>
      </c>
      <c r="H3759" t="s">
        <v>96</v>
      </c>
      <c r="I3759">
        <v>2006</v>
      </c>
      <c r="J3759">
        <v>0.92</v>
      </c>
      <c r="K3759" t="s">
        <v>102</v>
      </c>
      <c r="L3759">
        <v>110</v>
      </c>
      <c r="N3759" t="s">
        <v>127</v>
      </c>
      <c r="O3759" t="s">
        <v>1996</v>
      </c>
      <c r="P3759" t="s">
        <v>2574</v>
      </c>
      <c r="Q3759" s="1" t="s">
        <v>2281</v>
      </c>
      <c r="R3759" s="1" t="s">
        <v>2282</v>
      </c>
      <c r="S3759" s="1" t="s">
        <v>2355</v>
      </c>
      <c r="T3759" t="s">
        <v>421</v>
      </c>
      <c r="U3759" t="s">
        <v>421</v>
      </c>
      <c r="V3759" t="s">
        <v>194</v>
      </c>
      <c r="W3759" t="s">
        <v>356</v>
      </c>
      <c r="X3759" t="s">
        <v>161</v>
      </c>
      <c r="Y3759" t="s">
        <v>2272</v>
      </c>
      <c r="Z3759" t="s">
        <v>2272</v>
      </c>
      <c r="AA3759" t="s">
        <v>2272</v>
      </c>
      <c r="AB3759" t="s">
        <v>2272</v>
      </c>
      <c r="AC3759" t="s">
        <v>162</v>
      </c>
      <c r="AD3759" t="s">
        <v>2272</v>
      </c>
      <c r="AG3759" t="s">
        <v>49</v>
      </c>
      <c r="AI3759" t="s">
        <v>49</v>
      </c>
      <c r="AM3759" t="s">
        <v>442</v>
      </c>
      <c r="AN3759" t="s">
        <v>154</v>
      </c>
      <c r="AQ3759" s="5">
        <v>0</v>
      </c>
    </row>
    <row r="3760" spans="1:45" x14ac:dyDescent="0.2">
      <c r="A3760" t="s">
        <v>1994</v>
      </c>
      <c r="B3760" t="s">
        <v>1995</v>
      </c>
      <c r="C3760">
        <v>2008</v>
      </c>
      <c r="D3760" t="s">
        <v>811</v>
      </c>
      <c r="F3760" t="s">
        <v>1864</v>
      </c>
      <c r="G3760" s="1" t="s">
        <v>86</v>
      </c>
      <c r="H3760" t="s">
        <v>96</v>
      </c>
      <c r="I3760">
        <v>2006</v>
      </c>
      <c r="J3760">
        <v>0.92</v>
      </c>
      <c r="K3760" t="s">
        <v>102</v>
      </c>
      <c r="L3760">
        <v>110</v>
      </c>
      <c r="N3760" t="s">
        <v>123</v>
      </c>
      <c r="O3760" t="s">
        <v>123</v>
      </c>
      <c r="P3760" t="s">
        <v>518</v>
      </c>
      <c r="Q3760" s="1" t="s">
        <v>2281</v>
      </c>
      <c r="R3760" s="1" t="s">
        <v>2282</v>
      </c>
      <c r="S3760" s="1" t="s">
        <v>123</v>
      </c>
      <c r="T3760" t="s">
        <v>396</v>
      </c>
      <c r="U3760" s="1" t="s">
        <v>2422</v>
      </c>
      <c r="V3760" t="s">
        <v>194</v>
      </c>
      <c r="W3760" t="s">
        <v>356</v>
      </c>
      <c r="X3760" t="s">
        <v>161</v>
      </c>
      <c r="Y3760" t="s">
        <v>2272</v>
      </c>
      <c r="Z3760" t="s">
        <v>2272</v>
      </c>
      <c r="AA3760" t="s">
        <v>2272</v>
      </c>
      <c r="AB3760" t="s">
        <v>2272</v>
      </c>
      <c r="AC3760" t="s">
        <v>162</v>
      </c>
      <c r="AD3760" t="s">
        <v>2272</v>
      </c>
      <c r="AG3760" t="s">
        <v>49</v>
      </c>
      <c r="AI3760" t="s">
        <v>49</v>
      </c>
      <c r="AM3760" t="s">
        <v>442</v>
      </c>
      <c r="AN3760" t="s">
        <v>154</v>
      </c>
      <c r="AQ3760" s="5">
        <v>0</v>
      </c>
    </row>
    <row r="3761" spans="1:43" x14ac:dyDescent="0.2">
      <c r="A3761" t="s">
        <v>1994</v>
      </c>
      <c r="B3761" t="s">
        <v>1995</v>
      </c>
      <c r="C3761">
        <v>2008</v>
      </c>
      <c r="D3761" t="s">
        <v>811</v>
      </c>
      <c r="F3761" t="s">
        <v>1864</v>
      </c>
      <c r="G3761" s="1" t="s">
        <v>86</v>
      </c>
      <c r="H3761" t="s">
        <v>96</v>
      </c>
      <c r="I3761">
        <v>2006</v>
      </c>
      <c r="J3761">
        <v>0.92</v>
      </c>
      <c r="K3761" t="s">
        <v>102</v>
      </c>
      <c r="L3761">
        <v>110</v>
      </c>
      <c r="N3761" t="s">
        <v>126</v>
      </c>
      <c r="O3761" t="s">
        <v>126</v>
      </c>
      <c r="P3761" t="s">
        <v>2571</v>
      </c>
      <c r="Q3761" s="1" t="s">
        <v>2281</v>
      </c>
      <c r="R3761" s="1" t="s">
        <v>2282</v>
      </c>
      <c r="S3761" s="1" t="s">
        <v>126</v>
      </c>
      <c r="T3761" t="s">
        <v>396</v>
      </c>
      <c r="U3761" s="1" t="s">
        <v>2421</v>
      </c>
      <c r="V3761" t="s">
        <v>194</v>
      </c>
      <c r="W3761" t="s">
        <v>356</v>
      </c>
      <c r="X3761" t="s">
        <v>161</v>
      </c>
      <c r="Y3761" t="s">
        <v>2272</v>
      </c>
      <c r="Z3761" t="s">
        <v>2272</v>
      </c>
      <c r="AA3761" t="s">
        <v>2272</v>
      </c>
      <c r="AB3761" t="s">
        <v>2272</v>
      </c>
      <c r="AC3761" t="s">
        <v>162</v>
      </c>
      <c r="AD3761" t="s">
        <v>2272</v>
      </c>
      <c r="AG3761" t="s">
        <v>49</v>
      </c>
      <c r="AI3761" t="s">
        <v>49</v>
      </c>
      <c r="AM3761" t="s">
        <v>442</v>
      </c>
      <c r="AN3761" t="s">
        <v>154</v>
      </c>
      <c r="AQ3761" s="5">
        <v>0</v>
      </c>
    </row>
    <row r="3762" spans="1:43" x14ac:dyDescent="0.2">
      <c r="A3762" t="s">
        <v>1994</v>
      </c>
      <c r="B3762" t="s">
        <v>1995</v>
      </c>
      <c r="C3762">
        <v>2008</v>
      </c>
      <c r="D3762" t="s">
        <v>811</v>
      </c>
      <c r="F3762" t="s">
        <v>1864</v>
      </c>
      <c r="G3762" s="1" t="s">
        <v>86</v>
      </c>
      <c r="H3762" t="s">
        <v>96</v>
      </c>
      <c r="I3762">
        <v>2006</v>
      </c>
      <c r="J3762">
        <v>0.92</v>
      </c>
      <c r="K3762" t="s">
        <v>102</v>
      </c>
      <c r="L3762">
        <v>110</v>
      </c>
      <c r="N3762" t="s">
        <v>127</v>
      </c>
      <c r="O3762" t="s">
        <v>1996</v>
      </c>
      <c r="P3762" t="s">
        <v>2574</v>
      </c>
      <c r="Q3762" s="1" t="s">
        <v>2281</v>
      </c>
      <c r="R3762" s="1" t="s">
        <v>2282</v>
      </c>
      <c r="S3762" s="1" t="s">
        <v>2355</v>
      </c>
      <c r="T3762" t="s">
        <v>396</v>
      </c>
      <c r="U3762" s="1" t="s">
        <v>2340</v>
      </c>
      <c r="V3762" t="s">
        <v>194</v>
      </c>
      <c r="W3762" t="s">
        <v>356</v>
      </c>
      <c r="X3762" t="s">
        <v>161</v>
      </c>
      <c r="Y3762" t="s">
        <v>2272</v>
      </c>
      <c r="Z3762" t="s">
        <v>2272</v>
      </c>
      <c r="AA3762" t="s">
        <v>2272</v>
      </c>
      <c r="AB3762" t="s">
        <v>2272</v>
      </c>
      <c r="AC3762" t="s">
        <v>162</v>
      </c>
      <c r="AD3762" t="s">
        <v>2272</v>
      </c>
      <c r="AG3762" t="s">
        <v>49</v>
      </c>
      <c r="AI3762" t="s">
        <v>49</v>
      </c>
      <c r="AM3762" t="s">
        <v>442</v>
      </c>
      <c r="AN3762" t="s">
        <v>154</v>
      </c>
      <c r="AQ3762" s="5">
        <v>0</v>
      </c>
    </row>
    <row r="3763" spans="1:43" x14ac:dyDescent="0.2">
      <c r="A3763" t="s">
        <v>1994</v>
      </c>
      <c r="B3763" t="s">
        <v>1995</v>
      </c>
      <c r="C3763">
        <v>2008</v>
      </c>
      <c r="D3763" t="s">
        <v>811</v>
      </c>
      <c r="F3763" t="s">
        <v>1864</v>
      </c>
      <c r="G3763" s="1" t="s">
        <v>86</v>
      </c>
      <c r="H3763" t="s">
        <v>96</v>
      </c>
      <c r="I3763">
        <v>2006</v>
      </c>
      <c r="J3763">
        <v>0.92</v>
      </c>
      <c r="K3763" t="s">
        <v>102</v>
      </c>
      <c r="L3763">
        <v>110</v>
      </c>
      <c r="N3763" t="s">
        <v>123</v>
      </c>
      <c r="O3763" t="s">
        <v>123</v>
      </c>
      <c r="P3763" t="s">
        <v>518</v>
      </c>
      <c r="Q3763" s="1" t="s">
        <v>2281</v>
      </c>
      <c r="R3763" s="1" t="s">
        <v>2282</v>
      </c>
      <c r="S3763" s="1" t="s">
        <v>123</v>
      </c>
      <c r="T3763" t="s">
        <v>421</v>
      </c>
      <c r="U3763" t="s">
        <v>421</v>
      </c>
      <c r="V3763" t="s">
        <v>194</v>
      </c>
      <c r="W3763" t="s">
        <v>356</v>
      </c>
      <c r="X3763" t="s">
        <v>161</v>
      </c>
      <c r="Y3763" t="s">
        <v>2272</v>
      </c>
      <c r="Z3763" t="s">
        <v>2272</v>
      </c>
      <c r="AA3763" t="s">
        <v>2272</v>
      </c>
      <c r="AB3763" t="s">
        <v>2272</v>
      </c>
      <c r="AC3763" t="s">
        <v>162</v>
      </c>
      <c r="AD3763" t="s">
        <v>2272</v>
      </c>
      <c r="AG3763" t="s">
        <v>49</v>
      </c>
      <c r="AI3763" t="s">
        <v>49</v>
      </c>
      <c r="AM3763" t="s">
        <v>442</v>
      </c>
      <c r="AN3763" t="s">
        <v>166</v>
      </c>
      <c r="AQ3763" s="5">
        <v>1</v>
      </c>
    </row>
    <row r="3764" spans="1:43" x14ac:dyDescent="0.2">
      <c r="A3764" t="s">
        <v>1994</v>
      </c>
      <c r="B3764" t="s">
        <v>1995</v>
      </c>
      <c r="C3764">
        <v>2008</v>
      </c>
      <c r="D3764" t="s">
        <v>811</v>
      </c>
      <c r="F3764" t="s">
        <v>1864</v>
      </c>
      <c r="G3764" s="1" t="s">
        <v>86</v>
      </c>
      <c r="H3764" t="s">
        <v>96</v>
      </c>
      <c r="I3764">
        <v>2006</v>
      </c>
      <c r="J3764">
        <v>0.92</v>
      </c>
      <c r="K3764" t="s">
        <v>102</v>
      </c>
      <c r="L3764">
        <v>110</v>
      </c>
      <c r="N3764" t="s">
        <v>126</v>
      </c>
      <c r="O3764" t="s">
        <v>126</v>
      </c>
      <c r="P3764" t="s">
        <v>2571</v>
      </c>
      <c r="Q3764" s="1" t="s">
        <v>2281</v>
      </c>
      <c r="R3764" s="1" t="s">
        <v>2282</v>
      </c>
      <c r="S3764" s="1" t="s">
        <v>126</v>
      </c>
      <c r="T3764" t="s">
        <v>421</v>
      </c>
      <c r="U3764" t="s">
        <v>421</v>
      </c>
      <c r="V3764" t="s">
        <v>194</v>
      </c>
      <c r="W3764" t="s">
        <v>356</v>
      </c>
      <c r="X3764" t="s">
        <v>161</v>
      </c>
      <c r="Y3764" t="s">
        <v>2272</v>
      </c>
      <c r="Z3764" t="s">
        <v>2272</v>
      </c>
      <c r="AA3764" t="s">
        <v>2272</v>
      </c>
      <c r="AB3764" t="s">
        <v>2272</v>
      </c>
      <c r="AC3764" t="s">
        <v>162</v>
      </c>
      <c r="AD3764" t="s">
        <v>2272</v>
      </c>
      <c r="AG3764" t="s">
        <v>49</v>
      </c>
      <c r="AI3764" t="s">
        <v>49</v>
      </c>
      <c r="AM3764" t="s">
        <v>442</v>
      </c>
      <c r="AN3764" t="s">
        <v>166</v>
      </c>
      <c r="AQ3764" s="5">
        <v>1</v>
      </c>
    </row>
    <row r="3765" spans="1:43" x14ac:dyDescent="0.2">
      <c r="A3765" t="s">
        <v>1994</v>
      </c>
      <c r="B3765" t="s">
        <v>1995</v>
      </c>
      <c r="C3765">
        <v>2008</v>
      </c>
      <c r="D3765" t="s">
        <v>811</v>
      </c>
      <c r="F3765" t="s">
        <v>1864</v>
      </c>
      <c r="G3765" s="1" t="s">
        <v>86</v>
      </c>
      <c r="H3765" t="s">
        <v>96</v>
      </c>
      <c r="I3765">
        <v>2006</v>
      </c>
      <c r="J3765">
        <v>0.92</v>
      </c>
      <c r="K3765" t="s">
        <v>102</v>
      </c>
      <c r="L3765">
        <v>110</v>
      </c>
      <c r="N3765" t="s">
        <v>127</v>
      </c>
      <c r="O3765" t="s">
        <v>1996</v>
      </c>
      <c r="P3765" t="s">
        <v>2574</v>
      </c>
      <c r="Q3765" s="1" t="s">
        <v>2281</v>
      </c>
      <c r="R3765" s="1" t="s">
        <v>2282</v>
      </c>
      <c r="S3765" s="1" t="s">
        <v>2355</v>
      </c>
      <c r="T3765" t="s">
        <v>421</v>
      </c>
      <c r="U3765" t="s">
        <v>421</v>
      </c>
      <c r="V3765" t="s">
        <v>194</v>
      </c>
      <c r="W3765" t="s">
        <v>356</v>
      </c>
      <c r="X3765" t="s">
        <v>161</v>
      </c>
      <c r="Y3765" t="s">
        <v>2272</v>
      </c>
      <c r="Z3765" t="s">
        <v>2272</v>
      </c>
      <c r="AA3765" t="s">
        <v>2272</v>
      </c>
      <c r="AB3765" t="s">
        <v>2272</v>
      </c>
      <c r="AC3765" t="s">
        <v>162</v>
      </c>
      <c r="AD3765" t="s">
        <v>2272</v>
      </c>
      <c r="AG3765" t="s">
        <v>49</v>
      </c>
      <c r="AI3765" t="s">
        <v>49</v>
      </c>
      <c r="AM3765" t="s">
        <v>442</v>
      </c>
      <c r="AN3765" t="s">
        <v>166</v>
      </c>
      <c r="AQ3765" s="5">
        <v>1</v>
      </c>
    </row>
    <row r="3766" spans="1:43" x14ac:dyDescent="0.2">
      <c r="A3766" t="s">
        <v>1994</v>
      </c>
      <c r="B3766" t="s">
        <v>1995</v>
      </c>
      <c r="C3766">
        <v>2008</v>
      </c>
      <c r="D3766" t="s">
        <v>811</v>
      </c>
      <c r="F3766" t="s">
        <v>1864</v>
      </c>
      <c r="G3766" s="1" t="s">
        <v>86</v>
      </c>
      <c r="H3766" t="s">
        <v>96</v>
      </c>
      <c r="I3766">
        <v>2006</v>
      </c>
      <c r="J3766">
        <v>0.92</v>
      </c>
      <c r="K3766" t="s">
        <v>102</v>
      </c>
      <c r="L3766">
        <v>110</v>
      </c>
      <c r="N3766" t="s">
        <v>123</v>
      </c>
      <c r="O3766" t="s">
        <v>123</v>
      </c>
      <c r="P3766" t="s">
        <v>518</v>
      </c>
      <c r="Q3766" s="1" t="s">
        <v>2281</v>
      </c>
      <c r="R3766" s="1" t="s">
        <v>2282</v>
      </c>
      <c r="S3766" s="1" t="s">
        <v>123</v>
      </c>
      <c r="T3766" t="s">
        <v>396</v>
      </c>
      <c r="U3766" s="1" t="s">
        <v>2422</v>
      </c>
      <c r="V3766" t="s">
        <v>194</v>
      </c>
      <c r="W3766" t="s">
        <v>356</v>
      </c>
      <c r="X3766" t="s">
        <v>161</v>
      </c>
      <c r="Y3766" t="s">
        <v>2272</v>
      </c>
      <c r="Z3766" t="s">
        <v>2272</v>
      </c>
      <c r="AA3766" t="s">
        <v>2272</v>
      </c>
      <c r="AB3766" t="s">
        <v>2272</v>
      </c>
      <c r="AC3766" t="s">
        <v>162</v>
      </c>
      <c r="AD3766" t="s">
        <v>2272</v>
      </c>
      <c r="AG3766" t="s">
        <v>49</v>
      </c>
      <c r="AI3766" t="s">
        <v>49</v>
      </c>
      <c r="AM3766" t="s">
        <v>442</v>
      </c>
      <c r="AN3766" t="s">
        <v>166</v>
      </c>
      <c r="AQ3766" s="5">
        <v>2</v>
      </c>
    </row>
    <row r="3767" spans="1:43" x14ac:dyDescent="0.2">
      <c r="A3767" t="s">
        <v>1994</v>
      </c>
      <c r="B3767" t="s">
        <v>1995</v>
      </c>
      <c r="C3767">
        <v>2008</v>
      </c>
      <c r="D3767" t="s">
        <v>811</v>
      </c>
      <c r="F3767" t="s">
        <v>1864</v>
      </c>
      <c r="G3767" s="1" t="s">
        <v>86</v>
      </c>
      <c r="H3767" t="s">
        <v>96</v>
      </c>
      <c r="I3767">
        <v>2006</v>
      </c>
      <c r="J3767">
        <v>0.92</v>
      </c>
      <c r="K3767" t="s">
        <v>102</v>
      </c>
      <c r="L3767">
        <v>110</v>
      </c>
      <c r="N3767" t="s">
        <v>126</v>
      </c>
      <c r="O3767" t="s">
        <v>126</v>
      </c>
      <c r="P3767" t="s">
        <v>2571</v>
      </c>
      <c r="Q3767" s="1" t="s">
        <v>2281</v>
      </c>
      <c r="R3767" s="1" t="s">
        <v>2282</v>
      </c>
      <c r="S3767" s="1" t="s">
        <v>126</v>
      </c>
      <c r="T3767" t="s">
        <v>396</v>
      </c>
      <c r="U3767" s="1" t="s">
        <v>2421</v>
      </c>
      <c r="V3767" t="s">
        <v>194</v>
      </c>
      <c r="W3767" t="s">
        <v>356</v>
      </c>
      <c r="X3767" t="s">
        <v>161</v>
      </c>
      <c r="Y3767" t="s">
        <v>2272</v>
      </c>
      <c r="Z3767" t="s">
        <v>2272</v>
      </c>
      <c r="AA3767" t="s">
        <v>2272</v>
      </c>
      <c r="AB3767" t="s">
        <v>2272</v>
      </c>
      <c r="AC3767" t="s">
        <v>162</v>
      </c>
      <c r="AD3767" t="s">
        <v>2272</v>
      </c>
      <c r="AG3767" t="s">
        <v>49</v>
      </c>
      <c r="AI3767" t="s">
        <v>49</v>
      </c>
      <c r="AM3767" t="s">
        <v>442</v>
      </c>
      <c r="AN3767" t="s">
        <v>166</v>
      </c>
      <c r="AQ3767" s="5">
        <v>1</v>
      </c>
    </row>
    <row r="3768" spans="1:43" x14ac:dyDescent="0.2">
      <c r="A3768" t="s">
        <v>1994</v>
      </c>
      <c r="B3768" t="s">
        <v>1995</v>
      </c>
      <c r="C3768">
        <v>2008</v>
      </c>
      <c r="D3768" t="s">
        <v>811</v>
      </c>
      <c r="F3768" t="s">
        <v>1864</v>
      </c>
      <c r="G3768" s="1" t="s">
        <v>86</v>
      </c>
      <c r="H3768" t="s">
        <v>96</v>
      </c>
      <c r="I3768">
        <v>2006</v>
      </c>
      <c r="J3768">
        <v>0.92</v>
      </c>
      <c r="K3768" t="s">
        <v>102</v>
      </c>
      <c r="L3768">
        <v>110</v>
      </c>
      <c r="N3768" t="s">
        <v>127</v>
      </c>
      <c r="O3768" t="s">
        <v>1996</v>
      </c>
      <c r="P3768" t="s">
        <v>2574</v>
      </c>
      <c r="Q3768" s="1" t="s">
        <v>2281</v>
      </c>
      <c r="R3768" s="1" t="s">
        <v>2282</v>
      </c>
      <c r="S3768" s="1" t="s">
        <v>2355</v>
      </c>
      <c r="T3768" t="s">
        <v>396</v>
      </c>
      <c r="U3768" s="1" t="s">
        <v>2340</v>
      </c>
      <c r="V3768" t="s">
        <v>194</v>
      </c>
      <c r="W3768" t="s">
        <v>356</v>
      </c>
      <c r="X3768" t="s">
        <v>161</v>
      </c>
      <c r="Y3768" t="s">
        <v>2272</v>
      </c>
      <c r="Z3768" t="s">
        <v>2272</v>
      </c>
      <c r="AA3768" t="s">
        <v>2272</v>
      </c>
      <c r="AB3768" t="s">
        <v>2272</v>
      </c>
      <c r="AC3768" t="s">
        <v>162</v>
      </c>
      <c r="AD3768" t="s">
        <v>2272</v>
      </c>
      <c r="AG3768" t="s">
        <v>49</v>
      </c>
      <c r="AI3768" t="s">
        <v>49</v>
      </c>
      <c r="AM3768" t="s">
        <v>442</v>
      </c>
      <c r="AN3768" t="s">
        <v>166</v>
      </c>
      <c r="AQ3768" s="5">
        <v>2</v>
      </c>
    </row>
    <row r="3769" spans="1:43" x14ac:dyDescent="0.2">
      <c r="A3769" t="s">
        <v>1994</v>
      </c>
      <c r="B3769" t="s">
        <v>1995</v>
      </c>
      <c r="C3769">
        <v>2008</v>
      </c>
      <c r="D3769" t="s">
        <v>811</v>
      </c>
      <c r="F3769" t="s">
        <v>1864</v>
      </c>
      <c r="G3769" s="1" t="s">
        <v>86</v>
      </c>
      <c r="H3769" t="s">
        <v>96</v>
      </c>
      <c r="I3769">
        <v>2006</v>
      </c>
      <c r="J3769">
        <v>0.92</v>
      </c>
      <c r="K3769" t="s">
        <v>102</v>
      </c>
      <c r="L3769">
        <v>110</v>
      </c>
      <c r="N3769" t="s">
        <v>123</v>
      </c>
      <c r="O3769" t="s">
        <v>123</v>
      </c>
      <c r="P3769" t="s">
        <v>518</v>
      </c>
      <c r="Q3769" s="1" t="s">
        <v>2281</v>
      </c>
      <c r="R3769" s="1" t="s">
        <v>2282</v>
      </c>
      <c r="S3769" s="1" t="s">
        <v>123</v>
      </c>
      <c r="T3769" t="s">
        <v>421</v>
      </c>
      <c r="U3769" t="s">
        <v>421</v>
      </c>
      <c r="V3769" t="s">
        <v>194</v>
      </c>
      <c r="W3769" t="s">
        <v>356</v>
      </c>
      <c r="X3769" t="s">
        <v>161</v>
      </c>
      <c r="Y3769" t="s">
        <v>2272</v>
      </c>
      <c r="Z3769" t="s">
        <v>2272</v>
      </c>
      <c r="AA3769" t="s">
        <v>2272</v>
      </c>
      <c r="AB3769" t="s">
        <v>2272</v>
      </c>
      <c r="AC3769" t="s">
        <v>162</v>
      </c>
      <c r="AD3769" t="s">
        <v>2272</v>
      </c>
      <c r="AG3769" t="s">
        <v>49</v>
      </c>
      <c r="AI3769" t="s">
        <v>49</v>
      </c>
      <c r="AM3769" t="s">
        <v>442</v>
      </c>
      <c r="AN3769" t="s">
        <v>165</v>
      </c>
      <c r="AP3769" t="s">
        <v>49</v>
      </c>
    </row>
    <row r="3770" spans="1:43" x14ac:dyDescent="0.2">
      <c r="A3770" t="s">
        <v>1994</v>
      </c>
      <c r="B3770" t="s">
        <v>1995</v>
      </c>
      <c r="C3770">
        <v>2008</v>
      </c>
      <c r="D3770" t="s">
        <v>811</v>
      </c>
      <c r="F3770" t="s">
        <v>1864</v>
      </c>
      <c r="G3770" s="1" t="s">
        <v>86</v>
      </c>
      <c r="H3770" t="s">
        <v>96</v>
      </c>
      <c r="I3770">
        <v>2006</v>
      </c>
      <c r="J3770">
        <v>0.92</v>
      </c>
      <c r="K3770" t="s">
        <v>102</v>
      </c>
      <c r="L3770">
        <v>110</v>
      </c>
      <c r="N3770" t="s">
        <v>126</v>
      </c>
      <c r="O3770" t="s">
        <v>126</v>
      </c>
      <c r="P3770" t="s">
        <v>2571</v>
      </c>
      <c r="Q3770" s="1" t="s">
        <v>2281</v>
      </c>
      <c r="R3770" s="1" t="s">
        <v>2282</v>
      </c>
      <c r="S3770" s="1" t="s">
        <v>126</v>
      </c>
      <c r="T3770" t="s">
        <v>421</v>
      </c>
      <c r="U3770" t="s">
        <v>421</v>
      </c>
      <c r="V3770" t="s">
        <v>194</v>
      </c>
      <c r="W3770" t="s">
        <v>356</v>
      </c>
      <c r="X3770" t="s">
        <v>161</v>
      </c>
      <c r="Y3770" t="s">
        <v>2272</v>
      </c>
      <c r="Z3770" t="s">
        <v>2272</v>
      </c>
      <c r="AA3770" t="s">
        <v>2272</v>
      </c>
      <c r="AB3770" t="s">
        <v>2272</v>
      </c>
      <c r="AC3770" t="s">
        <v>162</v>
      </c>
      <c r="AD3770" t="s">
        <v>2272</v>
      </c>
      <c r="AG3770" t="s">
        <v>49</v>
      </c>
      <c r="AI3770" t="s">
        <v>49</v>
      </c>
      <c r="AM3770" t="s">
        <v>442</v>
      </c>
      <c r="AN3770" t="s">
        <v>165</v>
      </c>
      <c r="AP3770" t="s">
        <v>49</v>
      </c>
    </row>
    <row r="3771" spans="1:43" x14ac:dyDescent="0.2">
      <c r="A3771" t="s">
        <v>1994</v>
      </c>
      <c r="B3771" t="s">
        <v>1995</v>
      </c>
      <c r="C3771">
        <v>2008</v>
      </c>
      <c r="D3771" t="s">
        <v>811</v>
      </c>
      <c r="F3771" t="s">
        <v>1864</v>
      </c>
      <c r="G3771" s="1" t="s">
        <v>86</v>
      </c>
      <c r="H3771" t="s">
        <v>96</v>
      </c>
      <c r="I3771">
        <v>2006</v>
      </c>
      <c r="J3771">
        <v>0.92</v>
      </c>
      <c r="K3771" t="s">
        <v>102</v>
      </c>
      <c r="L3771">
        <v>110</v>
      </c>
      <c r="N3771" t="s">
        <v>127</v>
      </c>
      <c r="O3771" t="s">
        <v>1996</v>
      </c>
      <c r="P3771" t="s">
        <v>2574</v>
      </c>
      <c r="Q3771" s="1" t="s">
        <v>2281</v>
      </c>
      <c r="R3771" s="1" t="s">
        <v>2282</v>
      </c>
      <c r="S3771" s="1" t="s">
        <v>2355</v>
      </c>
      <c r="T3771" t="s">
        <v>421</v>
      </c>
      <c r="U3771" t="s">
        <v>421</v>
      </c>
      <c r="V3771" t="s">
        <v>194</v>
      </c>
      <c r="W3771" t="s">
        <v>356</v>
      </c>
      <c r="X3771" t="s">
        <v>161</v>
      </c>
      <c r="Y3771" t="s">
        <v>2272</v>
      </c>
      <c r="Z3771" t="s">
        <v>2272</v>
      </c>
      <c r="AA3771" t="s">
        <v>2272</v>
      </c>
      <c r="AB3771" t="s">
        <v>2272</v>
      </c>
      <c r="AC3771" t="s">
        <v>162</v>
      </c>
      <c r="AD3771" t="s">
        <v>2272</v>
      </c>
      <c r="AG3771" t="s">
        <v>49</v>
      </c>
      <c r="AI3771" t="s">
        <v>49</v>
      </c>
      <c r="AM3771" t="s">
        <v>442</v>
      </c>
      <c r="AN3771" t="s">
        <v>165</v>
      </c>
      <c r="AP3771" t="s">
        <v>49</v>
      </c>
    </row>
    <row r="3772" spans="1:43" x14ac:dyDescent="0.2">
      <c r="A3772" t="s">
        <v>1994</v>
      </c>
      <c r="B3772" t="s">
        <v>1995</v>
      </c>
      <c r="C3772">
        <v>2008</v>
      </c>
      <c r="D3772" t="s">
        <v>811</v>
      </c>
      <c r="F3772" t="s">
        <v>1864</v>
      </c>
      <c r="G3772" s="1" t="s">
        <v>86</v>
      </c>
      <c r="H3772" t="s">
        <v>96</v>
      </c>
      <c r="I3772">
        <v>2006</v>
      </c>
      <c r="J3772">
        <v>0.92</v>
      </c>
      <c r="K3772" t="s">
        <v>102</v>
      </c>
      <c r="L3772">
        <v>110</v>
      </c>
      <c r="N3772" t="s">
        <v>123</v>
      </c>
      <c r="O3772" t="s">
        <v>123</v>
      </c>
      <c r="P3772" t="s">
        <v>518</v>
      </c>
      <c r="Q3772" s="1" t="s">
        <v>2281</v>
      </c>
      <c r="R3772" s="1" t="s">
        <v>2282</v>
      </c>
      <c r="S3772" s="1" t="s">
        <v>123</v>
      </c>
      <c r="T3772" t="s">
        <v>396</v>
      </c>
      <c r="U3772" s="1" t="s">
        <v>2422</v>
      </c>
      <c r="V3772" t="s">
        <v>194</v>
      </c>
      <c r="W3772" t="s">
        <v>356</v>
      </c>
      <c r="X3772" t="s">
        <v>161</v>
      </c>
      <c r="Y3772" t="s">
        <v>2272</v>
      </c>
      <c r="Z3772" t="s">
        <v>2272</v>
      </c>
      <c r="AA3772" t="s">
        <v>2272</v>
      </c>
      <c r="AB3772" t="s">
        <v>2272</v>
      </c>
      <c r="AC3772" t="s">
        <v>162</v>
      </c>
      <c r="AD3772" t="s">
        <v>2272</v>
      </c>
      <c r="AG3772" t="s">
        <v>49</v>
      </c>
      <c r="AI3772" t="s">
        <v>49</v>
      </c>
      <c r="AM3772" t="s">
        <v>442</v>
      </c>
      <c r="AN3772" t="s">
        <v>165</v>
      </c>
      <c r="AQ3772" s="5">
        <v>0</v>
      </c>
    </row>
    <row r="3773" spans="1:43" x14ac:dyDescent="0.2">
      <c r="A3773" t="s">
        <v>1994</v>
      </c>
      <c r="B3773" t="s">
        <v>1995</v>
      </c>
      <c r="C3773">
        <v>2008</v>
      </c>
      <c r="D3773" t="s">
        <v>811</v>
      </c>
      <c r="F3773" t="s">
        <v>1864</v>
      </c>
      <c r="G3773" s="1" t="s">
        <v>86</v>
      </c>
      <c r="H3773" t="s">
        <v>96</v>
      </c>
      <c r="I3773">
        <v>2006</v>
      </c>
      <c r="J3773">
        <v>0.92</v>
      </c>
      <c r="K3773" t="s">
        <v>102</v>
      </c>
      <c r="L3773">
        <v>110</v>
      </c>
      <c r="N3773" t="s">
        <v>126</v>
      </c>
      <c r="O3773" t="s">
        <v>126</v>
      </c>
      <c r="P3773" t="s">
        <v>2571</v>
      </c>
      <c r="Q3773" s="1" t="s">
        <v>2281</v>
      </c>
      <c r="R3773" s="1" t="s">
        <v>2282</v>
      </c>
      <c r="S3773" s="1" t="s">
        <v>126</v>
      </c>
      <c r="T3773" t="s">
        <v>396</v>
      </c>
      <c r="U3773" s="1" t="s">
        <v>2421</v>
      </c>
      <c r="V3773" t="s">
        <v>194</v>
      </c>
      <c r="W3773" t="s">
        <v>356</v>
      </c>
      <c r="X3773" t="s">
        <v>161</v>
      </c>
      <c r="Y3773" t="s">
        <v>2272</v>
      </c>
      <c r="Z3773" t="s">
        <v>2272</v>
      </c>
      <c r="AA3773" t="s">
        <v>2272</v>
      </c>
      <c r="AB3773" t="s">
        <v>2272</v>
      </c>
      <c r="AC3773" t="s">
        <v>162</v>
      </c>
      <c r="AD3773" t="s">
        <v>2272</v>
      </c>
      <c r="AG3773" t="s">
        <v>49</v>
      </c>
      <c r="AI3773" t="s">
        <v>49</v>
      </c>
      <c r="AM3773" t="s">
        <v>442</v>
      </c>
      <c r="AN3773" t="s">
        <v>165</v>
      </c>
      <c r="AQ3773" s="5">
        <v>0</v>
      </c>
    </row>
    <row r="3774" spans="1:43" x14ac:dyDescent="0.2">
      <c r="A3774" t="s">
        <v>1994</v>
      </c>
      <c r="B3774" t="s">
        <v>1995</v>
      </c>
      <c r="C3774">
        <v>2008</v>
      </c>
      <c r="D3774" t="s">
        <v>811</v>
      </c>
      <c r="F3774" t="s">
        <v>1864</v>
      </c>
      <c r="G3774" s="1" t="s">
        <v>86</v>
      </c>
      <c r="H3774" t="s">
        <v>96</v>
      </c>
      <c r="I3774">
        <v>2006</v>
      </c>
      <c r="J3774">
        <v>0.92</v>
      </c>
      <c r="K3774" t="s">
        <v>102</v>
      </c>
      <c r="L3774">
        <v>110</v>
      </c>
      <c r="N3774" t="s">
        <v>127</v>
      </c>
      <c r="O3774" t="s">
        <v>1996</v>
      </c>
      <c r="P3774" t="s">
        <v>2574</v>
      </c>
      <c r="Q3774" s="1" t="s">
        <v>2281</v>
      </c>
      <c r="R3774" s="1" t="s">
        <v>2282</v>
      </c>
      <c r="S3774" s="1" t="s">
        <v>2355</v>
      </c>
      <c r="T3774" t="s">
        <v>396</v>
      </c>
      <c r="U3774" s="1" t="s">
        <v>2340</v>
      </c>
      <c r="V3774" t="s">
        <v>194</v>
      </c>
      <c r="W3774" t="s">
        <v>356</v>
      </c>
      <c r="X3774" t="s">
        <v>161</v>
      </c>
      <c r="Y3774" t="s">
        <v>2272</v>
      </c>
      <c r="Z3774" t="s">
        <v>2272</v>
      </c>
      <c r="AA3774" t="s">
        <v>2272</v>
      </c>
      <c r="AB3774" t="s">
        <v>2272</v>
      </c>
      <c r="AC3774" t="s">
        <v>162</v>
      </c>
      <c r="AD3774" t="s">
        <v>2272</v>
      </c>
      <c r="AG3774" t="s">
        <v>49</v>
      </c>
      <c r="AI3774" t="s">
        <v>49</v>
      </c>
      <c r="AM3774" t="s">
        <v>442</v>
      </c>
      <c r="AN3774" t="s">
        <v>165</v>
      </c>
      <c r="AQ3774" s="5">
        <v>0</v>
      </c>
    </row>
    <row r="3775" spans="1:43" x14ac:dyDescent="0.2">
      <c r="A3775" t="s">
        <v>1994</v>
      </c>
      <c r="B3775" t="s">
        <v>1995</v>
      </c>
      <c r="C3775">
        <v>2008</v>
      </c>
      <c r="D3775" t="s">
        <v>811</v>
      </c>
      <c r="F3775" t="s">
        <v>1864</v>
      </c>
      <c r="G3775" s="1" t="s">
        <v>86</v>
      </c>
      <c r="H3775" t="s">
        <v>96</v>
      </c>
      <c r="I3775">
        <v>2006</v>
      </c>
      <c r="J3775">
        <v>0.92</v>
      </c>
      <c r="K3775" t="s">
        <v>102</v>
      </c>
      <c r="L3775">
        <v>110</v>
      </c>
      <c r="N3775" t="s">
        <v>123</v>
      </c>
      <c r="O3775" t="s">
        <v>123</v>
      </c>
      <c r="P3775" t="s">
        <v>518</v>
      </c>
      <c r="Q3775" s="1" t="s">
        <v>2281</v>
      </c>
      <c r="R3775" s="1" t="s">
        <v>2282</v>
      </c>
      <c r="S3775" s="1" t="s">
        <v>123</v>
      </c>
      <c r="T3775" t="s">
        <v>421</v>
      </c>
      <c r="U3775" t="s">
        <v>421</v>
      </c>
      <c r="V3775" t="s">
        <v>194</v>
      </c>
      <c r="W3775" t="s">
        <v>356</v>
      </c>
      <c r="X3775" t="s">
        <v>161</v>
      </c>
      <c r="Y3775" t="s">
        <v>2272</v>
      </c>
      <c r="Z3775" t="s">
        <v>2272</v>
      </c>
      <c r="AA3775" t="s">
        <v>2272</v>
      </c>
      <c r="AB3775" t="s">
        <v>2272</v>
      </c>
      <c r="AC3775" t="s">
        <v>162</v>
      </c>
      <c r="AD3775" t="s">
        <v>2272</v>
      </c>
      <c r="AG3775" t="s">
        <v>49</v>
      </c>
      <c r="AL3775" t="s">
        <v>49</v>
      </c>
      <c r="AM3775" t="s">
        <v>1997</v>
      </c>
      <c r="AN3775" t="s">
        <v>166</v>
      </c>
      <c r="AQ3775" s="5">
        <v>1</v>
      </c>
    </row>
    <row r="3776" spans="1:43" x14ac:dyDescent="0.2">
      <c r="A3776" t="s">
        <v>1994</v>
      </c>
      <c r="B3776" t="s">
        <v>1995</v>
      </c>
      <c r="C3776">
        <v>2008</v>
      </c>
      <c r="D3776" t="s">
        <v>811</v>
      </c>
      <c r="F3776" t="s">
        <v>1864</v>
      </c>
      <c r="G3776" s="1" t="s">
        <v>86</v>
      </c>
      <c r="H3776" t="s">
        <v>96</v>
      </c>
      <c r="I3776">
        <v>2006</v>
      </c>
      <c r="J3776">
        <v>0.92</v>
      </c>
      <c r="K3776" t="s">
        <v>102</v>
      </c>
      <c r="L3776">
        <v>110</v>
      </c>
      <c r="N3776" t="s">
        <v>126</v>
      </c>
      <c r="O3776" t="s">
        <v>126</v>
      </c>
      <c r="P3776" t="s">
        <v>2571</v>
      </c>
      <c r="Q3776" s="1" t="s">
        <v>2281</v>
      </c>
      <c r="R3776" s="1" t="s">
        <v>2282</v>
      </c>
      <c r="S3776" s="1" t="s">
        <v>126</v>
      </c>
      <c r="T3776" t="s">
        <v>421</v>
      </c>
      <c r="U3776" t="s">
        <v>421</v>
      </c>
      <c r="V3776" t="s">
        <v>194</v>
      </c>
      <c r="W3776" t="s">
        <v>356</v>
      </c>
      <c r="X3776" t="s">
        <v>161</v>
      </c>
      <c r="Y3776" t="s">
        <v>2272</v>
      </c>
      <c r="Z3776" t="s">
        <v>2272</v>
      </c>
      <c r="AA3776" t="s">
        <v>2272</v>
      </c>
      <c r="AB3776" t="s">
        <v>2272</v>
      </c>
      <c r="AC3776" t="s">
        <v>162</v>
      </c>
      <c r="AD3776" t="s">
        <v>2272</v>
      </c>
      <c r="AG3776" t="s">
        <v>49</v>
      </c>
      <c r="AL3776" t="s">
        <v>49</v>
      </c>
      <c r="AM3776" t="s">
        <v>1997</v>
      </c>
      <c r="AN3776" t="s">
        <v>166</v>
      </c>
      <c r="AQ3776" s="5">
        <v>0</v>
      </c>
    </row>
    <row r="3777" spans="1:43" x14ac:dyDescent="0.2">
      <c r="A3777" t="s">
        <v>1994</v>
      </c>
      <c r="B3777" t="s">
        <v>1995</v>
      </c>
      <c r="C3777">
        <v>2008</v>
      </c>
      <c r="D3777" t="s">
        <v>811</v>
      </c>
      <c r="F3777" t="s">
        <v>1864</v>
      </c>
      <c r="G3777" s="1" t="s">
        <v>86</v>
      </c>
      <c r="H3777" t="s">
        <v>96</v>
      </c>
      <c r="I3777">
        <v>2006</v>
      </c>
      <c r="J3777">
        <v>0.92</v>
      </c>
      <c r="K3777" t="s">
        <v>102</v>
      </c>
      <c r="L3777">
        <v>110</v>
      </c>
      <c r="N3777" t="s">
        <v>127</v>
      </c>
      <c r="O3777" t="s">
        <v>1996</v>
      </c>
      <c r="P3777" t="s">
        <v>2574</v>
      </c>
      <c r="Q3777" s="1" t="s">
        <v>2281</v>
      </c>
      <c r="R3777" s="1" t="s">
        <v>2282</v>
      </c>
      <c r="S3777" s="1" t="s">
        <v>2355</v>
      </c>
      <c r="T3777" t="s">
        <v>421</v>
      </c>
      <c r="U3777" t="s">
        <v>421</v>
      </c>
      <c r="V3777" t="s">
        <v>194</v>
      </c>
      <c r="W3777" t="s">
        <v>356</v>
      </c>
      <c r="X3777" t="s">
        <v>161</v>
      </c>
      <c r="Y3777" t="s">
        <v>2272</v>
      </c>
      <c r="Z3777" t="s">
        <v>2272</v>
      </c>
      <c r="AA3777" t="s">
        <v>2272</v>
      </c>
      <c r="AB3777" t="s">
        <v>2272</v>
      </c>
      <c r="AC3777" t="s">
        <v>162</v>
      </c>
      <c r="AD3777" t="s">
        <v>2272</v>
      </c>
      <c r="AG3777" t="s">
        <v>49</v>
      </c>
      <c r="AL3777" t="s">
        <v>49</v>
      </c>
      <c r="AM3777" t="s">
        <v>1997</v>
      </c>
      <c r="AN3777" t="s">
        <v>166</v>
      </c>
      <c r="AQ3777" s="5">
        <v>1</v>
      </c>
    </row>
    <row r="3778" spans="1:43" x14ac:dyDescent="0.2">
      <c r="A3778" t="s">
        <v>1994</v>
      </c>
      <c r="B3778" t="s">
        <v>1995</v>
      </c>
      <c r="C3778">
        <v>2008</v>
      </c>
      <c r="D3778" t="s">
        <v>811</v>
      </c>
      <c r="F3778" t="s">
        <v>1864</v>
      </c>
      <c r="G3778" s="1" t="s">
        <v>86</v>
      </c>
      <c r="H3778" t="s">
        <v>96</v>
      </c>
      <c r="I3778">
        <v>2006</v>
      </c>
      <c r="J3778">
        <v>0.92</v>
      </c>
      <c r="K3778" t="s">
        <v>102</v>
      </c>
      <c r="L3778">
        <v>110</v>
      </c>
      <c r="N3778" t="s">
        <v>123</v>
      </c>
      <c r="O3778" t="s">
        <v>123</v>
      </c>
      <c r="P3778" t="s">
        <v>518</v>
      </c>
      <c r="Q3778" s="1" t="s">
        <v>2281</v>
      </c>
      <c r="R3778" s="1" t="s">
        <v>2282</v>
      </c>
      <c r="S3778" s="1" t="s">
        <v>123</v>
      </c>
      <c r="T3778" t="s">
        <v>396</v>
      </c>
      <c r="U3778" s="1" t="s">
        <v>2422</v>
      </c>
      <c r="V3778" t="s">
        <v>194</v>
      </c>
      <c r="W3778" t="s">
        <v>356</v>
      </c>
      <c r="X3778" t="s">
        <v>161</v>
      </c>
      <c r="Y3778" t="s">
        <v>2272</v>
      </c>
      <c r="Z3778" t="s">
        <v>2272</v>
      </c>
      <c r="AA3778" t="s">
        <v>2272</v>
      </c>
      <c r="AB3778" t="s">
        <v>2272</v>
      </c>
      <c r="AC3778" t="s">
        <v>162</v>
      </c>
      <c r="AD3778" t="s">
        <v>2272</v>
      </c>
      <c r="AG3778" t="s">
        <v>49</v>
      </c>
      <c r="AL3778" t="s">
        <v>49</v>
      </c>
      <c r="AM3778" t="s">
        <v>1997</v>
      </c>
      <c r="AN3778" t="s">
        <v>166</v>
      </c>
      <c r="AQ3778" s="5">
        <v>1</v>
      </c>
    </row>
    <row r="3779" spans="1:43" x14ac:dyDescent="0.2">
      <c r="A3779" t="s">
        <v>1994</v>
      </c>
      <c r="B3779" t="s">
        <v>1995</v>
      </c>
      <c r="C3779">
        <v>2008</v>
      </c>
      <c r="D3779" t="s">
        <v>811</v>
      </c>
      <c r="F3779" t="s">
        <v>1864</v>
      </c>
      <c r="G3779" s="1" t="s">
        <v>86</v>
      </c>
      <c r="H3779" t="s">
        <v>96</v>
      </c>
      <c r="I3779">
        <v>2006</v>
      </c>
      <c r="J3779">
        <v>0.92</v>
      </c>
      <c r="K3779" t="s">
        <v>102</v>
      </c>
      <c r="L3779">
        <v>110</v>
      </c>
      <c r="N3779" t="s">
        <v>126</v>
      </c>
      <c r="O3779" t="s">
        <v>126</v>
      </c>
      <c r="P3779" t="s">
        <v>2571</v>
      </c>
      <c r="Q3779" s="1" t="s">
        <v>2281</v>
      </c>
      <c r="R3779" s="1" t="s">
        <v>2282</v>
      </c>
      <c r="S3779" s="1" t="s">
        <v>126</v>
      </c>
      <c r="T3779" t="s">
        <v>396</v>
      </c>
      <c r="U3779" s="1" t="s">
        <v>2421</v>
      </c>
      <c r="V3779" t="s">
        <v>194</v>
      </c>
      <c r="W3779" t="s">
        <v>356</v>
      </c>
      <c r="X3779" t="s">
        <v>161</v>
      </c>
      <c r="Y3779" t="s">
        <v>2272</v>
      </c>
      <c r="Z3779" t="s">
        <v>2272</v>
      </c>
      <c r="AA3779" t="s">
        <v>2272</v>
      </c>
      <c r="AB3779" t="s">
        <v>2272</v>
      </c>
      <c r="AC3779" t="s">
        <v>162</v>
      </c>
      <c r="AD3779" t="s">
        <v>2272</v>
      </c>
      <c r="AG3779" t="s">
        <v>49</v>
      </c>
      <c r="AL3779" t="s">
        <v>49</v>
      </c>
      <c r="AM3779" t="s">
        <v>1997</v>
      </c>
      <c r="AN3779" t="s">
        <v>166</v>
      </c>
      <c r="AQ3779" s="5">
        <v>3</v>
      </c>
    </row>
    <row r="3780" spans="1:43" x14ac:dyDescent="0.2">
      <c r="A3780" t="s">
        <v>1994</v>
      </c>
      <c r="B3780" t="s">
        <v>1995</v>
      </c>
      <c r="C3780">
        <v>2008</v>
      </c>
      <c r="D3780" t="s">
        <v>811</v>
      </c>
      <c r="F3780" t="s">
        <v>1864</v>
      </c>
      <c r="G3780" s="1" t="s">
        <v>86</v>
      </c>
      <c r="H3780" t="s">
        <v>96</v>
      </c>
      <c r="I3780">
        <v>2006</v>
      </c>
      <c r="J3780">
        <v>0.92</v>
      </c>
      <c r="K3780" t="s">
        <v>102</v>
      </c>
      <c r="L3780">
        <v>110</v>
      </c>
      <c r="N3780" t="s">
        <v>127</v>
      </c>
      <c r="O3780" t="s">
        <v>1996</v>
      </c>
      <c r="P3780" t="s">
        <v>2574</v>
      </c>
      <c r="Q3780" s="1" t="s">
        <v>2281</v>
      </c>
      <c r="R3780" s="1" t="s">
        <v>2282</v>
      </c>
      <c r="S3780" s="1" t="s">
        <v>2355</v>
      </c>
      <c r="T3780" t="s">
        <v>396</v>
      </c>
      <c r="U3780" s="1" t="s">
        <v>2340</v>
      </c>
      <c r="V3780" t="s">
        <v>194</v>
      </c>
      <c r="W3780" t="s">
        <v>356</v>
      </c>
      <c r="X3780" t="s">
        <v>161</v>
      </c>
      <c r="Y3780" t="s">
        <v>2272</v>
      </c>
      <c r="Z3780" t="s">
        <v>2272</v>
      </c>
      <c r="AA3780" t="s">
        <v>2272</v>
      </c>
      <c r="AB3780" t="s">
        <v>2272</v>
      </c>
      <c r="AC3780" t="s">
        <v>162</v>
      </c>
      <c r="AD3780" t="s">
        <v>2272</v>
      </c>
      <c r="AG3780" t="s">
        <v>49</v>
      </c>
      <c r="AL3780" t="s">
        <v>49</v>
      </c>
      <c r="AM3780" t="s">
        <v>1997</v>
      </c>
      <c r="AN3780" t="s">
        <v>166</v>
      </c>
      <c r="AQ3780" s="5">
        <v>2</v>
      </c>
    </row>
    <row r="3781" spans="1:43" x14ac:dyDescent="0.2">
      <c r="A3781" t="s">
        <v>1994</v>
      </c>
      <c r="B3781" t="s">
        <v>1995</v>
      </c>
      <c r="C3781">
        <v>2008</v>
      </c>
      <c r="D3781" t="s">
        <v>811</v>
      </c>
      <c r="F3781" t="s">
        <v>1864</v>
      </c>
      <c r="G3781" s="1" t="s">
        <v>86</v>
      </c>
      <c r="H3781" t="s">
        <v>96</v>
      </c>
      <c r="I3781">
        <v>2006</v>
      </c>
      <c r="J3781">
        <v>0.92</v>
      </c>
      <c r="K3781" t="s">
        <v>102</v>
      </c>
      <c r="L3781">
        <v>110</v>
      </c>
      <c r="N3781" t="s">
        <v>123</v>
      </c>
      <c r="O3781" t="s">
        <v>123</v>
      </c>
      <c r="P3781" t="s">
        <v>518</v>
      </c>
      <c r="Q3781" s="1" t="s">
        <v>2281</v>
      </c>
      <c r="R3781" s="1" t="s">
        <v>2282</v>
      </c>
      <c r="S3781" s="1" t="s">
        <v>123</v>
      </c>
      <c r="T3781" t="s">
        <v>421</v>
      </c>
      <c r="U3781" t="s">
        <v>421</v>
      </c>
      <c r="V3781" t="s">
        <v>194</v>
      </c>
      <c r="W3781" t="s">
        <v>356</v>
      </c>
      <c r="X3781" t="s">
        <v>161</v>
      </c>
      <c r="Y3781" t="s">
        <v>2272</v>
      </c>
      <c r="Z3781" t="s">
        <v>2272</v>
      </c>
      <c r="AA3781" t="s">
        <v>2272</v>
      </c>
      <c r="AB3781" t="s">
        <v>2272</v>
      </c>
      <c r="AC3781" t="s">
        <v>162</v>
      </c>
      <c r="AD3781" t="s">
        <v>2272</v>
      </c>
      <c r="AG3781" t="s">
        <v>49</v>
      </c>
      <c r="AL3781" t="s">
        <v>49</v>
      </c>
      <c r="AM3781" t="s">
        <v>1998</v>
      </c>
      <c r="AN3781" t="s">
        <v>166</v>
      </c>
      <c r="AQ3781" s="5">
        <v>1</v>
      </c>
    </row>
    <row r="3782" spans="1:43" x14ac:dyDescent="0.2">
      <c r="A3782" t="s">
        <v>1994</v>
      </c>
      <c r="B3782" t="s">
        <v>1995</v>
      </c>
      <c r="C3782">
        <v>2008</v>
      </c>
      <c r="D3782" t="s">
        <v>811</v>
      </c>
      <c r="F3782" t="s">
        <v>1864</v>
      </c>
      <c r="G3782" s="1" t="s">
        <v>86</v>
      </c>
      <c r="H3782" t="s">
        <v>96</v>
      </c>
      <c r="I3782">
        <v>2006</v>
      </c>
      <c r="J3782">
        <v>0.92</v>
      </c>
      <c r="K3782" t="s">
        <v>102</v>
      </c>
      <c r="L3782">
        <v>110</v>
      </c>
      <c r="N3782" t="s">
        <v>126</v>
      </c>
      <c r="O3782" t="s">
        <v>126</v>
      </c>
      <c r="P3782" t="s">
        <v>2571</v>
      </c>
      <c r="Q3782" s="1" t="s">
        <v>2281</v>
      </c>
      <c r="R3782" s="1" t="s">
        <v>2282</v>
      </c>
      <c r="S3782" s="1" t="s">
        <v>126</v>
      </c>
      <c r="T3782" t="s">
        <v>421</v>
      </c>
      <c r="U3782" t="s">
        <v>421</v>
      </c>
      <c r="V3782" t="s">
        <v>194</v>
      </c>
      <c r="W3782" t="s">
        <v>356</v>
      </c>
      <c r="X3782" t="s">
        <v>161</v>
      </c>
      <c r="Y3782" t="s">
        <v>2272</v>
      </c>
      <c r="Z3782" t="s">
        <v>2272</v>
      </c>
      <c r="AA3782" t="s">
        <v>2272</v>
      </c>
      <c r="AB3782" t="s">
        <v>2272</v>
      </c>
      <c r="AC3782" t="s">
        <v>162</v>
      </c>
      <c r="AD3782" t="s">
        <v>2272</v>
      </c>
      <c r="AG3782" t="s">
        <v>49</v>
      </c>
      <c r="AL3782" t="s">
        <v>49</v>
      </c>
      <c r="AM3782" t="s">
        <v>1998</v>
      </c>
      <c r="AN3782" t="s">
        <v>166</v>
      </c>
      <c r="AQ3782" s="5">
        <v>1</v>
      </c>
    </row>
    <row r="3783" spans="1:43" x14ac:dyDescent="0.2">
      <c r="A3783" t="s">
        <v>1994</v>
      </c>
      <c r="B3783" t="s">
        <v>1995</v>
      </c>
      <c r="C3783">
        <v>2008</v>
      </c>
      <c r="D3783" t="s">
        <v>811</v>
      </c>
      <c r="F3783" t="s">
        <v>1864</v>
      </c>
      <c r="G3783" s="1" t="s">
        <v>86</v>
      </c>
      <c r="H3783" t="s">
        <v>96</v>
      </c>
      <c r="I3783">
        <v>2006</v>
      </c>
      <c r="J3783">
        <v>0.92</v>
      </c>
      <c r="K3783" t="s">
        <v>102</v>
      </c>
      <c r="L3783">
        <v>110</v>
      </c>
      <c r="N3783" t="s">
        <v>127</v>
      </c>
      <c r="O3783" t="s">
        <v>1996</v>
      </c>
      <c r="P3783" t="s">
        <v>2574</v>
      </c>
      <c r="Q3783" s="1" t="s">
        <v>2281</v>
      </c>
      <c r="R3783" s="1" t="s">
        <v>2282</v>
      </c>
      <c r="S3783" s="1" t="s">
        <v>2355</v>
      </c>
      <c r="T3783" t="s">
        <v>421</v>
      </c>
      <c r="U3783" t="s">
        <v>421</v>
      </c>
      <c r="V3783" t="s">
        <v>194</v>
      </c>
      <c r="W3783" t="s">
        <v>356</v>
      </c>
      <c r="X3783" t="s">
        <v>161</v>
      </c>
      <c r="Y3783" t="s">
        <v>2272</v>
      </c>
      <c r="Z3783" t="s">
        <v>2272</v>
      </c>
      <c r="AA3783" t="s">
        <v>2272</v>
      </c>
      <c r="AB3783" t="s">
        <v>2272</v>
      </c>
      <c r="AC3783" t="s">
        <v>162</v>
      </c>
      <c r="AD3783" t="s">
        <v>2272</v>
      </c>
      <c r="AG3783" t="s">
        <v>49</v>
      </c>
      <c r="AL3783" t="s">
        <v>49</v>
      </c>
      <c r="AM3783" t="s">
        <v>1998</v>
      </c>
      <c r="AN3783" t="s">
        <v>166</v>
      </c>
      <c r="AQ3783" s="5">
        <v>1</v>
      </c>
    </row>
    <row r="3784" spans="1:43" x14ac:dyDescent="0.2">
      <c r="A3784" t="s">
        <v>1994</v>
      </c>
      <c r="B3784" t="s">
        <v>1995</v>
      </c>
      <c r="C3784">
        <v>2008</v>
      </c>
      <c r="D3784" t="s">
        <v>811</v>
      </c>
      <c r="F3784" t="s">
        <v>1864</v>
      </c>
      <c r="G3784" s="1" t="s">
        <v>86</v>
      </c>
      <c r="H3784" t="s">
        <v>96</v>
      </c>
      <c r="I3784">
        <v>2006</v>
      </c>
      <c r="J3784">
        <v>0.92</v>
      </c>
      <c r="K3784" t="s">
        <v>102</v>
      </c>
      <c r="L3784">
        <v>110</v>
      </c>
      <c r="N3784" t="s">
        <v>123</v>
      </c>
      <c r="O3784" t="s">
        <v>123</v>
      </c>
      <c r="P3784" t="s">
        <v>518</v>
      </c>
      <c r="Q3784" s="1" t="s">
        <v>2281</v>
      </c>
      <c r="R3784" s="1" t="s">
        <v>2282</v>
      </c>
      <c r="S3784" s="1" t="s">
        <v>123</v>
      </c>
      <c r="T3784" t="s">
        <v>396</v>
      </c>
      <c r="U3784" s="1" t="s">
        <v>2422</v>
      </c>
      <c r="V3784" t="s">
        <v>194</v>
      </c>
      <c r="W3784" t="s">
        <v>356</v>
      </c>
      <c r="X3784" t="s">
        <v>161</v>
      </c>
      <c r="Y3784" t="s">
        <v>2272</v>
      </c>
      <c r="Z3784" t="s">
        <v>2272</v>
      </c>
      <c r="AA3784" t="s">
        <v>2272</v>
      </c>
      <c r="AB3784" t="s">
        <v>2272</v>
      </c>
      <c r="AC3784" t="s">
        <v>162</v>
      </c>
      <c r="AD3784" t="s">
        <v>2272</v>
      </c>
      <c r="AG3784" t="s">
        <v>49</v>
      </c>
      <c r="AL3784" t="s">
        <v>49</v>
      </c>
      <c r="AM3784" t="s">
        <v>1998</v>
      </c>
      <c r="AN3784" t="s">
        <v>166</v>
      </c>
      <c r="AQ3784" s="5">
        <v>0</v>
      </c>
    </row>
    <row r="3785" spans="1:43" x14ac:dyDescent="0.2">
      <c r="A3785" t="s">
        <v>1994</v>
      </c>
      <c r="B3785" t="s">
        <v>1995</v>
      </c>
      <c r="C3785">
        <v>2008</v>
      </c>
      <c r="D3785" t="s">
        <v>811</v>
      </c>
      <c r="F3785" t="s">
        <v>1864</v>
      </c>
      <c r="G3785" s="1" t="s">
        <v>86</v>
      </c>
      <c r="H3785" t="s">
        <v>96</v>
      </c>
      <c r="I3785">
        <v>2006</v>
      </c>
      <c r="J3785">
        <v>0.92</v>
      </c>
      <c r="K3785" t="s">
        <v>102</v>
      </c>
      <c r="L3785">
        <v>110</v>
      </c>
      <c r="N3785" t="s">
        <v>126</v>
      </c>
      <c r="O3785" t="s">
        <v>126</v>
      </c>
      <c r="P3785" t="s">
        <v>2571</v>
      </c>
      <c r="Q3785" s="1" t="s">
        <v>2281</v>
      </c>
      <c r="R3785" s="1" t="s">
        <v>2282</v>
      </c>
      <c r="S3785" s="1" t="s">
        <v>126</v>
      </c>
      <c r="T3785" t="s">
        <v>396</v>
      </c>
      <c r="U3785" s="1" t="s">
        <v>2421</v>
      </c>
      <c r="V3785" t="s">
        <v>194</v>
      </c>
      <c r="W3785" t="s">
        <v>356</v>
      </c>
      <c r="X3785" t="s">
        <v>161</v>
      </c>
      <c r="Y3785" t="s">
        <v>2272</v>
      </c>
      <c r="Z3785" t="s">
        <v>2272</v>
      </c>
      <c r="AA3785" t="s">
        <v>2272</v>
      </c>
      <c r="AB3785" t="s">
        <v>2272</v>
      </c>
      <c r="AC3785" t="s">
        <v>162</v>
      </c>
      <c r="AD3785" t="s">
        <v>2272</v>
      </c>
      <c r="AG3785" t="s">
        <v>49</v>
      </c>
      <c r="AL3785" t="s">
        <v>49</v>
      </c>
      <c r="AM3785" t="s">
        <v>1998</v>
      </c>
      <c r="AN3785" t="s">
        <v>166</v>
      </c>
      <c r="AQ3785" s="5">
        <v>0</v>
      </c>
    </row>
    <row r="3786" spans="1:43" x14ac:dyDescent="0.2">
      <c r="A3786" t="s">
        <v>1994</v>
      </c>
      <c r="B3786" t="s">
        <v>1995</v>
      </c>
      <c r="C3786">
        <v>2008</v>
      </c>
      <c r="D3786" t="s">
        <v>811</v>
      </c>
      <c r="F3786" t="s">
        <v>1864</v>
      </c>
      <c r="G3786" s="1" t="s">
        <v>86</v>
      </c>
      <c r="H3786" t="s">
        <v>96</v>
      </c>
      <c r="I3786">
        <v>2006</v>
      </c>
      <c r="J3786">
        <v>0.92</v>
      </c>
      <c r="K3786" t="s">
        <v>102</v>
      </c>
      <c r="L3786">
        <v>110</v>
      </c>
      <c r="N3786" t="s">
        <v>127</v>
      </c>
      <c r="O3786" t="s">
        <v>1996</v>
      </c>
      <c r="P3786" t="s">
        <v>2574</v>
      </c>
      <c r="Q3786" s="1" t="s">
        <v>2281</v>
      </c>
      <c r="R3786" s="1" t="s">
        <v>2282</v>
      </c>
      <c r="S3786" s="1" t="s">
        <v>2355</v>
      </c>
      <c r="T3786" t="s">
        <v>396</v>
      </c>
      <c r="U3786" s="1" t="s">
        <v>2340</v>
      </c>
      <c r="V3786" t="s">
        <v>194</v>
      </c>
      <c r="W3786" t="s">
        <v>356</v>
      </c>
      <c r="X3786" t="s">
        <v>161</v>
      </c>
      <c r="Y3786" t="s">
        <v>2272</v>
      </c>
      <c r="Z3786" t="s">
        <v>2272</v>
      </c>
      <c r="AA3786" t="s">
        <v>2272</v>
      </c>
      <c r="AB3786" t="s">
        <v>2272</v>
      </c>
      <c r="AC3786" t="s">
        <v>162</v>
      </c>
      <c r="AD3786" t="s">
        <v>2272</v>
      </c>
      <c r="AG3786" t="s">
        <v>49</v>
      </c>
      <c r="AL3786" t="s">
        <v>49</v>
      </c>
      <c r="AM3786" t="s">
        <v>1998</v>
      </c>
      <c r="AN3786" t="s">
        <v>166</v>
      </c>
      <c r="AQ3786" s="5">
        <v>0</v>
      </c>
    </row>
    <row r="3787" spans="1:43" x14ac:dyDescent="0.2">
      <c r="A3787" t="s">
        <v>1994</v>
      </c>
      <c r="B3787" t="s">
        <v>1995</v>
      </c>
      <c r="C3787">
        <v>2008</v>
      </c>
      <c r="D3787" t="s">
        <v>811</v>
      </c>
      <c r="F3787" t="s">
        <v>1864</v>
      </c>
      <c r="G3787" s="1" t="s">
        <v>86</v>
      </c>
      <c r="H3787" t="s">
        <v>96</v>
      </c>
      <c r="I3787">
        <v>2006</v>
      </c>
      <c r="J3787">
        <v>0.92</v>
      </c>
      <c r="K3787" t="s">
        <v>102</v>
      </c>
      <c r="L3787">
        <v>110</v>
      </c>
      <c r="N3787" t="s">
        <v>123</v>
      </c>
      <c r="O3787" t="s">
        <v>123</v>
      </c>
      <c r="P3787" t="s">
        <v>518</v>
      </c>
      <c r="Q3787" s="1" t="s">
        <v>2281</v>
      </c>
      <c r="R3787" s="1" t="s">
        <v>2282</v>
      </c>
      <c r="S3787" s="1" t="s">
        <v>123</v>
      </c>
      <c r="T3787" t="s">
        <v>421</v>
      </c>
      <c r="U3787" t="s">
        <v>421</v>
      </c>
      <c r="V3787" t="s">
        <v>194</v>
      </c>
      <c r="W3787" t="s">
        <v>356</v>
      </c>
      <c r="X3787" t="s">
        <v>161</v>
      </c>
      <c r="Y3787" t="s">
        <v>2272</v>
      </c>
      <c r="Z3787" t="s">
        <v>2272</v>
      </c>
      <c r="AA3787" t="s">
        <v>2272</v>
      </c>
      <c r="AB3787" t="s">
        <v>2272</v>
      </c>
      <c r="AC3787" t="s">
        <v>162</v>
      </c>
      <c r="AD3787" t="s">
        <v>2272</v>
      </c>
      <c r="AG3787" t="s">
        <v>49</v>
      </c>
      <c r="AL3787" t="s">
        <v>49</v>
      </c>
      <c r="AM3787" t="s">
        <v>1514</v>
      </c>
      <c r="AN3787" t="s">
        <v>166</v>
      </c>
      <c r="AQ3787" s="5">
        <v>0</v>
      </c>
    </row>
    <row r="3788" spans="1:43" x14ac:dyDescent="0.2">
      <c r="A3788" t="s">
        <v>1994</v>
      </c>
      <c r="B3788" t="s">
        <v>1995</v>
      </c>
      <c r="C3788">
        <v>2008</v>
      </c>
      <c r="D3788" t="s">
        <v>811</v>
      </c>
      <c r="F3788" t="s">
        <v>1864</v>
      </c>
      <c r="G3788" s="1" t="s">
        <v>86</v>
      </c>
      <c r="H3788" t="s">
        <v>96</v>
      </c>
      <c r="I3788">
        <v>2006</v>
      </c>
      <c r="J3788">
        <v>0.92</v>
      </c>
      <c r="K3788" t="s">
        <v>102</v>
      </c>
      <c r="L3788">
        <v>110</v>
      </c>
      <c r="N3788" t="s">
        <v>126</v>
      </c>
      <c r="O3788" t="s">
        <v>126</v>
      </c>
      <c r="P3788" t="s">
        <v>2571</v>
      </c>
      <c r="Q3788" s="1" t="s">
        <v>2281</v>
      </c>
      <c r="R3788" s="1" t="s">
        <v>2282</v>
      </c>
      <c r="S3788" s="1" t="s">
        <v>126</v>
      </c>
      <c r="T3788" t="s">
        <v>421</v>
      </c>
      <c r="U3788" t="s">
        <v>421</v>
      </c>
      <c r="V3788" t="s">
        <v>194</v>
      </c>
      <c r="W3788" t="s">
        <v>356</v>
      </c>
      <c r="X3788" t="s">
        <v>161</v>
      </c>
      <c r="Y3788" t="s">
        <v>2272</v>
      </c>
      <c r="Z3788" t="s">
        <v>2272</v>
      </c>
      <c r="AA3788" t="s">
        <v>2272</v>
      </c>
      <c r="AB3788" t="s">
        <v>2272</v>
      </c>
      <c r="AC3788" t="s">
        <v>162</v>
      </c>
      <c r="AD3788" t="s">
        <v>2272</v>
      </c>
      <c r="AG3788" t="s">
        <v>49</v>
      </c>
      <c r="AL3788" t="s">
        <v>49</v>
      </c>
      <c r="AM3788" t="s">
        <v>1514</v>
      </c>
      <c r="AN3788" t="s">
        <v>166</v>
      </c>
      <c r="AQ3788" s="5">
        <v>1</v>
      </c>
    </row>
    <row r="3789" spans="1:43" x14ac:dyDescent="0.2">
      <c r="A3789" t="s">
        <v>1994</v>
      </c>
      <c r="B3789" t="s">
        <v>1995</v>
      </c>
      <c r="C3789">
        <v>2008</v>
      </c>
      <c r="D3789" t="s">
        <v>811</v>
      </c>
      <c r="F3789" t="s">
        <v>1864</v>
      </c>
      <c r="G3789" s="1" t="s">
        <v>86</v>
      </c>
      <c r="H3789" t="s">
        <v>96</v>
      </c>
      <c r="I3789">
        <v>2006</v>
      </c>
      <c r="J3789">
        <v>0.92</v>
      </c>
      <c r="K3789" t="s">
        <v>102</v>
      </c>
      <c r="L3789">
        <v>110</v>
      </c>
      <c r="N3789" t="s">
        <v>127</v>
      </c>
      <c r="O3789" t="s">
        <v>1996</v>
      </c>
      <c r="P3789" t="s">
        <v>2574</v>
      </c>
      <c r="Q3789" s="1" t="s">
        <v>2281</v>
      </c>
      <c r="R3789" s="1" t="s">
        <v>2282</v>
      </c>
      <c r="S3789" s="1" t="s">
        <v>2355</v>
      </c>
      <c r="T3789" t="s">
        <v>421</v>
      </c>
      <c r="U3789" t="s">
        <v>421</v>
      </c>
      <c r="V3789" t="s">
        <v>194</v>
      </c>
      <c r="W3789" t="s">
        <v>356</v>
      </c>
      <c r="X3789" t="s">
        <v>161</v>
      </c>
      <c r="Y3789" t="s">
        <v>2272</v>
      </c>
      <c r="Z3789" t="s">
        <v>2272</v>
      </c>
      <c r="AA3789" t="s">
        <v>2272</v>
      </c>
      <c r="AB3789" t="s">
        <v>2272</v>
      </c>
      <c r="AC3789" t="s">
        <v>162</v>
      </c>
      <c r="AD3789" t="s">
        <v>2272</v>
      </c>
      <c r="AG3789" t="s">
        <v>49</v>
      </c>
      <c r="AL3789" t="s">
        <v>49</v>
      </c>
      <c r="AM3789" t="s">
        <v>1514</v>
      </c>
      <c r="AN3789" t="s">
        <v>166</v>
      </c>
      <c r="AQ3789" s="5">
        <v>0</v>
      </c>
    </row>
    <row r="3790" spans="1:43" x14ac:dyDescent="0.2">
      <c r="A3790" t="s">
        <v>1994</v>
      </c>
      <c r="B3790" t="s">
        <v>1995</v>
      </c>
      <c r="C3790">
        <v>2008</v>
      </c>
      <c r="D3790" t="s">
        <v>811</v>
      </c>
      <c r="F3790" t="s">
        <v>1864</v>
      </c>
      <c r="G3790" s="1" t="s">
        <v>86</v>
      </c>
      <c r="H3790" t="s">
        <v>96</v>
      </c>
      <c r="I3790">
        <v>2006</v>
      </c>
      <c r="J3790">
        <v>0.92</v>
      </c>
      <c r="K3790" t="s">
        <v>102</v>
      </c>
      <c r="L3790">
        <v>110</v>
      </c>
      <c r="N3790" t="s">
        <v>123</v>
      </c>
      <c r="O3790" t="s">
        <v>123</v>
      </c>
      <c r="P3790" t="s">
        <v>518</v>
      </c>
      <c r="Q3790" s="1" t="s">
        <v>2281</v>
      </c>
      <c r="R3790" s="1" t="s">
        <v>2282</v>
      </c>
      <c r="S3790" s="1" t="s">
        <v>123</v>
      </c>
      <c r="T3790" t="s">
        <v>396</v>
      </c>
      <c r="U3790" s="1" t="s">
        <v>2422</v>
      </c>
      <c r="V3790" t="s">
        <v>194</v>
      </c>
      <c r="W3790" t="s">
        <v>356</v>
      </c>
      <c r="X3790" t="s">
        <v>161</v>
      </c>
      <c r="Y3790" t="s">
        <v>2272</v>
      </c>
      <c r="Z3790" t="s">
        <v>2272</v>
      </c>
      <c r="AA3790" t="s">
        <v>2272</v>
      </c>
      <c r="AB3790" t="s">
        <v>2272</v>
      </c>
      <c r="AC3790" t="s">
        <v>162</v>
      </c>
      <c r="AD3790" t="s">
        <v>2272</v>
      </c>
      <c r="AG3790" t="s">
        <v>49</v>
      </c>
      <c r="AL3790" t="s">
        <v>49</v>
      </c>
      <c r="AM3790" t="s">
        <v>1514</v>
      </c>
      <c r="AN3790" t="s">
        <v>166</v>
      </c>
      <c r="AQ3790" s="5">
        <v>2</v>
      </c>
    </row>
    <row r="3791" spans="1:43" x14ac:dyDescent="0.2">
      <c r="A3791" t="s">
        <v>1994</v>
      </c>
      <c r="B3791" t="s">
        <v>1995</v>
      </c>
      <c r="C3791">
        <v>2008</v>
      </c>
      <c r="D3791" t="s">
        <v>811</v>
      </c>
      <c r="F3791" t="s">
        <v>1864</v>
      </c>
      <c r="G3791" s="1" t="s">
        <v>86</v>
      </c>
      <c r="H3791" t="s">
        <v>96</v>
      </c>
      <c r="I3791">
        <v>2006</v>
      </c>
      <c r="J3791">
        <v>0.92</v>
      </c>
      <c r="K3791" t="s">
        <v>102</v>
      </c>
      <c r="L3791">
        <v>110</v>
      </c>
      <c r="N3791" t="s">
        <v>126</v>
      </c>
      <c r="O3791" t="s">
        <v>126</v>
      </c>
      <c r="P3791" t="s">
        <v>2571</v>
      </c>
      <c r="Q3791" s="1" t="s">
        <v>2281</v>
      </c>
      <c r="R3791" s="1" t="s">
        <v>2282</v>
      </c>
      <c r="S3791" s="1" t="s">
        <v>126</v>
      </c>
      <c r="T3791" t="s">
        <v>396</v>
      </c>
      <c r="U3791" s="1" t="s">
        <v>2421</v>
      </c>
      <c r="V3791" t="s">
        <v>194</v>
      </c>
      <c r="W3791" t="s">
        <v>356</v>
      </c>
      <c r="X3791" t="s">
        <v>161</v>
      </c>
      <c r="Y3791" t="s">
        <v>2272</v>
      </c>
      <c r="Z3791" t="s">
        <v>2272</v>
      </c>
      <c r="AA3791" t="s">
        <v>2272</v>
      </c>
      <c r="AB3791" t="s">
        <v>2272</v>
      </c>
      <c r="AC3791" t="s">
        <v>162</v>
      </c>
      <c r="AD3791" t="s">
        <v>2272</v>
      </c>
      <c r="AG3791" t="s">
        <v>49</v>
      </c>
      <c r="AL3791" t="s">
        <v>49</v>
      </c>
      <c r="AM3791" t="s">
        <v>1514</v>
      </c>
      <c r="AN3791" t="s">
        <v>166</v>
      </c>
      <c r="AQ3791" s="5">
        <v>1</v>
      </c>
    </row>
    <row r="3792" spans="1:43" x14ac:dyDescent="0.2">
      <c r="A3792" t="s">
        <v>1994</v>
      </c>
      <c r="B3792" t="s">
        <v>1995</v>
      </c>
      <c r="C3792">
        <v>2008</v>
      </c>
      <c r="D3792" t="s">
        <v>811</v>
      </c>
      <c r="F3792" t="s">
        <v>1864</v>
      </c>
      <c r="G3792" s="1" t="s">
        <v>86</v>
      </c>
      <c r="H3792" t="s">
        <v>96</v>
      </c>
      <c r="I3792">
        <v>2006</v>
      </c>
      <c r="J3792">
        <v>0.92</v>
      </c>
      <c r="K3792" t="s">
        <v>102</v>
      </c>
      <c r="L3792">
        <v>110</v>
      </c>
      <c r="N3792" t="s">
        <v>127</v>
      </c>
      <c r="O3792" t="s">
        <v>1996</v>
      </c>
      <c r="P3792" t="s">
        <v>2574</v>
      </c>
      <c r="Q3792" s="1" t="s">
        <v>2281</v>
      </c>
      <c r="R3792" s="1" t="s">
        <v>2282</v>
      </c>
      <c r="S3792" s="1" t="s">
        <v>2355</v>
      </c>
      <c r="T3792" t="s">
        <v>396</v>
      </c>
      <c r="U3792" s="1" t="s">
        <v>2340</v>
      </c>
      <c r="V3792" t="s">
        <v>194</v>
      </c>
      <c r="W3792" t="s">
        <v>356</v>
      </c>
      <c r="X3792" t="s">
        <v>161</v>
      </c>
      <c r="Y3792" t="s">
        <v>2272</v>
      </c>
      <c r="Z3792" t="s">
        <v>2272</v>
      </c>
      <c r="AA3792" t="s">
        <v>2272</v>
      </c>
      <c r="AB3792" t="s">
        <v>2272</v>
      </c>
      <c r="AC3792" t="s">
        <v>162</v>
      </c>
      <c r="AD3792" t="s">
        <v>2272</v>
      </c>
      <c r="AG3792" t="s">
        <v>49</v>
      </c>
      <c r="AL3792" t="s">
        <v>49</v>
      </c>
      <c r="AM3792" t="s">
        <v>1514</v>
      </c>
      <c r="AN3792" t="s">
        <v>166</v>
      </c>
      <c r="AQ3792" s="5">
        <v>2</v>
      </c>
    </row>
    <row r="3793" spans="1:43" x14ac:dyDescent="0.2">
      <c r="A3793" t="s">
        <v>1994</v>
      </c>
      <c r="B3793" t="s">
        <v>1995</v>
      </c>
      <c r="C3793">
        <v>2008</v>
      </c>
      <c r="D3793" t="s">
        <v>811</v>
      </c>
      <c r="F3793" t="s">
        <v>1864</v>
      </c>
      <c r="G3793" s="1" t="s">
        <v>86</v>
      </c>
      <c r="H3793" t="s">
        <v>96</v>
      </c>
      <c r="I3793">
        <v>2006</v>
      </c>
      <c r="J3793">
        <v>0.92</v>
      </c>
      <c r="K3793" t="s">
        <v>102</v>
      </c>
      <c r="L3793">
        <v>110</v>
      </c>
      <c r="N3793" t="s">
        <v>123</v>
      </c>
      <c r="O3793" t="s">
        <v>123</v>
      </c>
      <c r="P3793" t="s">
        <v>518</v>
      </c>
      <c r="Q3793" s="1" t="s">
        <v>2281</v>
      </c>
      <c r="R3793" s="1" t="s">
        <v>2282</v>
      </c>
      <c r="S3793" s="1" t="s">
        <v>123</v>
      </c>
      <c r="T3793" t="s">
        <v>421</v>
      </c>
      <c r="U3793" t="s">
        <v>421</v>
      </c>
      <c r="V3793" t="s">
        <v>194</v>
      </c>
      <c r="W3793" t="s">
        <v>356</v>
      </c>
      <c r="X3793" t="s">
        <v>161</v>
      </c>
      <c r="Y3793" t="s">
        <v>2272</v>
      </c>
      <c r="Z3793" t="s">
        <v>2272</v>
      </c>
      <c r="AA3793" t="s">
        <v>2272</v>
      </c>
      <c r="AB3793" t="s">
        <v>2272</v>
      </c>
      <c r="AC3793" t="s">
        <v>162</v>
      </c>
      <c r="AD3793" t="s">
        <v>2272</v>
      </c>
      <c r="AF3793" t="s">
        <v>49</v>
      </c>
      <c r="AL3793" t="s">
        <v>49</v>
      </c>
      <c r="AM3793" t="s">
        <v>1999</v>
      </c>
      <c r="AN3793" t="s">
        <v>166</v>
      </c>
      <c r="AQ3793" s="5">
        <v>1</v>
      </c>
    </row>
    <row r="3794" spans="1:43" x14ac:dyDescent="0.2">
      <c r="A3794" t="s">
        <v>1994</v>
      </c>
      <c r="B3794" t="s">
        <v>1995</v>
      </c>
      <c r="C3794">
        <v>2008</v>
      </c>
      <c r="D3794" t="s">
        <v>811</v>
      </c>
      <c r="F3794" t="s">
        <v>1864</v>
      </c>
      <c r="G3794" s="1" t="s">
        <v>86</v>
      </c>
      <c r="H3794" t="s">
        <v>96</v>
      </c>
      <c r="I3794">
        <v>2006</v>
      </c>
      <c r="J3794">
        <v>0.92</v>
      </c>
      <c r="K3794" t="s">
        <v>102</v>
      </c>
      <c r="L3794">
        <v>110</v>
      </c>
      <c r="N3794" t="s">
        <v>126</v>
      </c>
      <c r="O3794" t="s">
        <v>126</v>
      </c>
      <c r="P3794" t="s">
        <v>2571</v>
      </c>
      <c r="Q3794" s="1" t="s">
        <v>2281</v>
      </c>
      <c r="R3794" s="1" t="s">
        <v>2282</v>
      </c>
      <c r="S3794" s="1" t="s">
        <v>126</v>
      </c>
      <c r="T3794" t="s">
        <v>421</v>
      </c>
      <c r="U3794" t="s">
        <v>421</v>
      </c>
      <c r="V3794" t="s">
        <v>194</v>
      </c>
      <c r="W3794" t="s">
        <v>356</v>
      </c>
      <c r="X3794" t="s">
        <v>161</v>
      </c>
      <c r="Y3794" t="s">
        <v>2272</v>
      </c>
      <c r="Z3794" t="s">
        <v>2272</v>
      </c>
      <c r="AA3794" t="s">
        <v>2272</v>
      </c>
      <c r="AB3794" t="s">
        <v>2272</v>
      </c>
      <c r="AC3794" t="s">
        <v>162</v>
      </c>
      <c r="AD3794" t="s">
        <v>2272</v>
      </c>
      <c r="AF3794" t="s">
        <v>49</v>
      </c>
      <c r="AL3794" t="s">
        <v>49</v>
      </c>
      <c r="AM3794" t="s">
        <v>1999</v>
      </c>
      <c r="AN3794" t="s">
        <v>166</v>
      </c>
      <c r="AQ3794" s="5">
        <v>1</v>
      </c>
    </row>
    <row r="3795" spans="1:43" x14ac:dyDescent="0.2">
      <c r="A3795" t="s">
        <v>1994</v>
      </c>
      <c r="B3795" t="s">
        <v>1995</v>
      </c>
      <c r="C3795">
        <v>2008</v>
      </c>
      <c r="D3795" t="s">
        <v>811</v>
      </c>
      <c r="F3795" t="s">
        <v>1864</v>
      </c>
      <c r="G3795" s="1" t="s">
        <v>86</v>
      </c>
      <c r="H3795" t="s">
        <v>96</v>
      </c>
      <c r="I3795">
        <v>2006</v>
      </c>
      <c r="J3795">
        <v>0.92</v>
      </c>
      <c r="K3795" t="s">
        <v>102</v>
      </c>
      <c r="L3795">
        <v>110</v>
      </c>
      <c r="N3795" t="s">
        <v>127</v>
      </c>
      <c r="O3795" t="s">
        <v>1996</v>
      </c>
      <c r="P3795" t="s">
        <v>2574</v>
      </c>
      <c r="Q3795" s="1" t="s">
        <v>2281</v>
      </c>
      <c r="R3795" s="1" t="s">
        <v>2282</v>
      </c>
      <c r="S3795" s="1" t="s">
        <v>2355</v>
      </c>
      <c r="T3795" t="s">
        <v>421</v>
      </c>
      <c r="U3795" t="s">
        <v>421</v>
      </c>
      <c r="V3795" t="s">
        <v>194</v>
      </c>
      <c r="W3795" t="s">
        <v>356</v>
      </c>
      <c r="X3795" t="s">
        <v>161</v>
      </c>
      <c r="Y3795" t="s">
        <v>2272</v>
      </c>
      <c r="Z3795" t="s">
        <v>2272</v>
      </c>
      <c r="AA3795" t="s">
        <v>2272</v>
      </c>
      <c r="AB3795" t="s">
        <v>2272</v>
      </c>
      <c r="AC3795" t="s">
        <v>162</v>
      </c>
      <c r="AD3795" t="s">
        <v>2272</v>
      </c>
      <c r="AF3795" t="s">
        <v>49</v>
      </c>
      <c r="AL3795" t="s">
        <v>49</v>
      </c>
      <c r="AM3795" t="s">
        <v>1999</v>
      </c>
      <c r="AN3795" t="s">
        <v>166</v>
      </c>
      <c r="AQ3795" s="5">
        <v>1</v>
      </c>
    </row>
    <row r="3796" spans="1:43" x14ac:dyDescent="0.2">
      <c r="A3796" t="s">
        <v>1994</v>
      </c>
      <c r="B3796" t="s">
        <v>1995</v>
      </c>
      <c r="C3796">
        <v>2008</v>
      </c>
      <c r="D3796" t="s">
        <v>811</v>
      </c>
      <c r="F3796" t="s">
        <v>1864</v>
      </c>
      <c r="G3796" s="1" t="s">
        <v>86</v>
      </c>
      <c r="H3796" t="s">
        <v>96</v>
      </c>
      <c r="I3796">
        <v>2006</v>
      </c>
      <c r="J3796">
        <v>0.92</v>
      </c>
      <c r="K3796" t="s">
        <v>102</v>
      </c>
      <c r="L3796">
        <v>110</v>
      </c>
      <c r="N3796" t="s">
        <v>123</v>
      </c>
      <c r="O3796" t="s">
        <v>123</v>
      </c>
      <c r="P3796" t="s">
        <v>518</v>
      </c>
      <c r="Q3796" s="1" t="s">
        <v>2281</v>
      </c>
      <c r="R3796" s="1" t="s">
        <v>2282</v>
      </c>
      <c r="S3796" s="1" t="s">
        <v>123</v>
      </c>
      <c r="T3796" t="s">
        <v>396</v>
      </c>
      <c r="U3796" s="1" t="s">
        <v>2422</v>
      </c>
      <c r="V3796" t="s">
        <v>194</v>
      </c>
      <c r="W3796" t="s">
        <v>356</v>
      </c>
      <c r="X3796" t="s">
        <v>161</v>
      </c>
      <c r="Y3796" t="s">
        <v>2272</v>
      </c>
      <c r="Z3796" t="s">
        <v>2272</v>
      </c>
      <c r="AA3796" t="s">
        <v>2272</v>
      </c>
      <c r="AB3796" t="s">
        <v>2272</v>
      </c>
      <c r="AC3796" t="s">
        <v>162</v>
      </c>
      <c r="AD3796" t="s">
        <v>2272</v>
      </c>
      <c r="AF3796" t="s">
        <v>49</v>
      </c>
      <c r="AL3796" t="s">
        <v>49</v>
      </c>
      <c r="AM3796" t="s">
        <v>1999</v>
      </c>
      <c r="AN3796" t="s">
        <v>166</v>
      </c>
      <c r="AQ3796" s="5">
        <v>0</v>
      </c>
    </row>
    <row r="3797" spans="1:43" x14ac:dyDescent="0.2">
      <c r="A3797" t="s">
        <v>1994</v>
      </c>
      <c r="B3797" t="s">
        <v>1995</v>
      </c>
      <c r="C3797">
        <v>2008</v>
      </c>
      <c r="D3797" t="s">
        <v>811</v>
      </c>
      <c r="F3797" t="s">
        <v>1864</v>
      </c>
      <c r="G3797" s="1" t="s">
        <v>86</v>
      </c>
      <c r="H3797" t="s">
        <v>96</v>
      </c>
      <c r="I3797">
        <v>2006</v>
      </c>
      <c r="J3797">
        <v>0.92</v>
      </c>
      <c r="K3797" t="s">
        <v>102</v>
      </c>
      <c r="L3797">
        <v>110</v>
      </c>
      <c r="N3797" t="s">
        <v>126</v>
      </c>
      <c r="O3797" t="s">
        <v>126</v>
      </c>
      <c r="P3797" t="s">
        <v>2571</v>
      </c>
      <c r="Q3797" s="1" t="s">
        <v>2281</v>
      </c>
      <c r="R3797" s="1" t="s">
        <v>2282</v>
      </c>
      <c r="S3797" s="1" t="s">
        <v>126</v>
      </c>
      <c r="T3797" t="s">
        <v>396</v>
      </c>
      <c r="U3797" s="1" t="s">
        <v>2421</v>
      </c>
      <c r="V3797" t="s">
        <v>194</v>
      </c>
      <c r="W3797" t="s">
        <v>356</v>
      </c>
      <c r="X3797" t="s">
        <v>161</v>
      </c>
      <c r="Y3797" t="s">
        <v>2272</v>
      </c>
      <c r="Z3797" t="s">
        <v>2272</v>
      </c>
      <c r="AA3797" t="s">
        <v>2272</v>
      </c>
      <c r="AB3797" t="s">
        <v>2272</v>
      </c>
      <c r="AC3797" t="s">
        <v>162</v>
      </c>
      <c r="AD3797" t="s">
        <v>2272</v>
      </c>
      <c r="AF3797" t="s">
        <v>49</v>
      </c>
      <c r="AL3797" t="s">
        <v>49</v>
      </c>
      <c r="AM3797" t="s">
        <v>1999</v>
      </c>
      <c r="AN3797" t="s">
        <v>166</v>
      </c>
      <c r="AQ3797" s="5">
        <v>0</v>
      </c>
    </row>
    <row r="3798" spans="1:43" x14ac:dyDescent="0.2">
      <c r="A3798" t="s">
        <v>1994</v>
      </c>
      <c r="B3798" t="s">
        <v>1995</v>
      </c>
      <c r="C3798">
        <v>2008</v>
      </c>
      <c r="D3798" t="s">
        <v>811</v>
      </c>
      <c r="F3798" t="s">
        <v>1864</v>
      </c>
      <c r="G3798" s="1" t="s">
        <v>86</v>
      </c>
      <c r="H3798" t="s">
        <v>96</v>
      </c>
      <c r="I3798">
        <v>2006</v>
      </c>
      <c r="J3798">
        <v>0.92</v>
      </c>
      <c r="K3798" t="s">
        <v>102</v>
      </c>
      <c r="L3798">
        <v>110</v>
      </c>
      <c r="N3798" t="s">
        <v>127</v>
      </c>
      <c r="O3798" t="s">
        <v>1996</v>
      </c>
      <c r="P3798" t="s">
        <v>2574</v>
      </c>
      <c r="Q3798" s="1" t="s">
        <v>2281</v>
      </c>
      <c r="R3798" s="1" t="s">
        <v>2282</v>
      </c>
      <c r="S3798" s="1" t="s">
        <v>2355</v>
      </c>
      <c r="T3798" t="s">
        <v>396</v>
      </c>
      <c r="U3798" s="1" t="s">
        <v>2340</v>
      </c>
      <c r="V3798" t="s">
        <v>194</v>
      </c>
      <c r="W3798" t="s">
        <v>356</v>
      </c>
      <c r="X3798" t="s">
        <v>161</v>
      </c>
      <c r="Y3798" t="s">
        <v>2272</v>
      </c>
      <c r="Z3798" t="s">
        <v>2272</v>
      </c>
      <c r="AA3798" t="s">
        <v>2272</v>
      </c>
      <c r="AB3798" t="s">
        <v>2272</v>
      </c>
      <c r="AC3798" t="s">
        <v>162</v>
      </c>
      <c r="AD3798" t="s">
        <v>2272</v>
      </c>
      <c r="AF3798" t="s">
        <v>49</v>
      </c>
      <c r="AL3798" t="s">
        <v>49</v>
      </c>
      <c r="AM3798" t="s">
        <v>1999</v>
      </c>
      <c r="AN3798" t="s">
        <v>166</v>
      </c>
      <c r="AQ3798" s="5">
        <v>0</v>
      </c>
    </row>
    <row r="3799" spans="1:43" x14ac:dyDescent="0.2">
      <c r="A3799" t="s">
        <v>1994</v>
      </c>
      <c r="B3799" t="s">
        <v>1995</v>
      </c>
      <c r="C3799">
        <v>2008</v>
      </c>
      <c r="D3799" t="s">
        <v>811</v>
      </c>
      <c r="F3799" t="s">
        <v>1864</v>
      </c>
      <c r="G3799" s="1" t="s">
        <v>86</v>
      </c>
      <c r="H3799" t="s">
        <v>96</v>
      </c>
      <c r="I3799">
        <v>2006</v>
      </c>
      <c r="J3799">
        <v>0.92</v>
      </c>
      <c r="K3799" t="s">
        <v>102</v>
      </c>
      <c r="L3799">
        <v>110</v>
      </c>
      <c r="N3799" t="s">
        <v>123</v>
      </c>
      <c r="O3799" t="s">
        <v>123</v>
      </c>
      <c r="P3799" t="s">
        <v>518</v>
      </c>
      <c r="Q3799" s="1" t="s">
        <v>2281</v>
      </c>
      <c r="R3799" s="1" t="s">
        <v>2282</v>
      </c>
      <c r="S3799" s="1" t="s">
        <v>123</v>
      </c>
      <c r="T3799" t="s">
        <v>421</v>
      </c>
      <c r="U3799" t="s">
        <v>421</v>
      </c>
      <c r="V3799" t="s">
        <v>194</v>
      </c>
      <c r="W3799" t="s">
        <v>356</v>
      </c>
      <c r="X3799" t="s">
        <v>161</v>
      </c>
      <c r="Y3799" t="s">
        <v>2272</v>
      </c>
      <c r="Z3799" t="s">
        <v>2272</v>
      </c>
      <c r="AA3799" t="s">
        <v>2272</v>
      </c>
      <c r="AB3799" t="s">
        <v>2272</v>
      </c>
      <c r="AC3799" t="s">
        <v>162</v>
      </c>
      <c r="AD3799" t="s">
        <v>2272</v>
      </c>
      <c r="AF3799" t="s">
        <v>49</v>
      </c>
      <c r="AL3799" t="s">
        <v>49</v>
      </c>
      <c r="AM3799" t="s">
        <v>2000</v>
      </c>
      <c r="AN3799" t="s">
        <v>166</v>
      </c>
      <c r="AQ3799" s="5">
        <v>1</v>
      </c>
    </row>
    <row r="3800" spans="1:43" x14ac:dyDescent="0.2">
      <c r="A3800" t="s">
        <v>1994</v>
      </c>
      <c r="B3800" t="s">
        <v>1995</v>
      </c>
      <c r="C3800">
        <v>2008</v>
      </c>
      <c r="D3800" t="s">
        <v>811</v>
      </c>
      <c r="F3800" t="s">
        <v>1864</v>
      </c>
      <c r="G3800" s="1" t="s">
        <v>86</v>
      </c>
      <c r="H3800" t="s">
        <v>96</v>
      </c>
      <c r="I3800">
        <v>2006</v>
      </c>
      <c r="J3800">
        <v>0.92</v>
      </c>
      <c r="K3800" t="s">
        <v>102</v>
      </c>
      <c r="L3800">
        <v>110</v>
      </c>
      <c r="N3800" t="s">
        <v>126</v>
      </c>
      <c r="O3800" t="s">
        <v>126</v>
      </c>
      <c r="P3800" t="s">
        <v>2571</v>
      </c>
      <c r="Q3800" s="1" t="s">
        <v>2281</v>
      </c>
      <c r="R3800" s="1" t="s">
        <v>2282</v>
      </c>
      <c r="S3800" s="1" t="s">
        <v>126</v>
      </c>
      <c r="T3800" t="s">
        <v>421</v>
      </c>
      <c r="U3800" t="s">
        <v>421</v>
      </c>
      <c r="V3800" t="s">
        <v>194</v>
      </c>
      <c r="W3800" t="s">
        <v>356</v>
      </c>
      <c r="X3800" t="s">
        <v>161</v>
      </c>
      <c r="Y3800" t="s">
        <v>2272</v>
      </c>
      <c r="Z3800" t="s">
        <v>2272</v>
      </c>
      <c r="AA3800" t="s">
        <v>2272</v>
      </c>
      <c r="AB3800" t="s">
        <v>2272</v>
      </c>
      <c r="AC3800" t="s">
        <v>162</v>
      </c>
      <c r="AD3800" t="s">
        <v>2272</v>
      </c>
      <c r="AF3800" t="s">
        <v>49</v>
      </c>
      <c r="AL3800" t="s">
        <v>49</v>
      </c>
      <c r="AM3800" t="s">
        <v>2000</v>
      </c>
      <c r="AN3800" t="s">
        <v>166</v>
      </c>
      <c r="AQ3800" s="5">
        <v>1</v>
      </c>
    </row>
    <row r="3801" spans="1:43" x14ac:dyDescent="0.2">
      <c r="A3801" t="s">
        <v>1994</v>
      </c>
      <c r="B3801" t="s">
        <v>1995</v>
      </c>
      <c r="C3801">
        <v>2008</v>
      </c>
      <c r="D3801" t="s">
        <v>811</v>
      </c>
      <c r="F3801" t="s">
        <v>1864</v>
      </c>
      <c r="G3801" s="1" t="s">
        <v>86</v>
      </c>
      <c r="H3801" t="s">
        <v>96</v>
      </c>
      <c r="I3801">
        <v>2006</v>
      </c>
      <c r="J3801">
        <v>0.92</v>
      </c>
      <c r="K3801" t="s">
        <v>102</v>
      </c>
      <c r="L3801">
        <v>110</v>
      </c>
      <c r="N3801" t="s">
        <v>127</v>
      </c>
      <c r="O3801" t="s">
        <v>1996</v>
      </c>
      <c r="P3801" t="s">
        <v>2574</v>
      </c>
      <c r="Q3801" s="1" t="s">
        <v>2281</v>
      </c>
      <c r="R3801" s="1" t="s">
        <v>2282</v>
      </c>
      <c r="S3801" s="1" t="s">
        <v>2355</v>
      </c>
      <c r="T3801" t="s">
        <v>421</v>
      </c>
      <c r="U3801" t="s">
        <v>421</v>
      </c>
      <c r="V3801" t="s">
        <v>194</v>
      </c>
      <c r="W3801" t="s">
        <v>356</v>
      </c>
      <c r="X3801" t="s">
        <v>161</v>
      </c>
      <c r="Y3801" t="s">
        <v>2272</v>
      </c>
      <c r="Z3801" t="s">
        <v>2272</v>
      </c>
      <c r="AA3801" t="s">
        <v>2272</v>
      </c>
      <c r="AB3801" t="s">
        <v>2272</v>
      </c>
      <c r="AC3801" t="s">
        <v>162</v>
      </c>
      <c r="AD3801" t="s">
        <v>2272</v>
      </c>
      <c r="AF3801" t="s">
        <v>49</v>
      </c>
      <c r="AL3801" t="s">
        <v>49</v>
      </c>
      <c r="AM3801" t="s">
        <v>2000</v>
      </c>
      <c r="AN3801" t="s">
        <v>166</v>
      </c>
      <c r="AQ3801" s="5">
        <v>1</v>
      </c>
    </row>
    <row r="3802" spans="1:43" x14ac:dyDescent="0.2">
      <c r="A3802" t="s">
        <v>1994</v>
      </c>
      <c r="B3802" t="s">
        <v>1995</v>
      </c>
      <c r="C3802">
        <v>2008</v>
      </c>
      <c r="D3802" t="s">
        <v>811</v>
      </c>
      <c r="F3802" t="s">
        <v>1864</v>
      </c>
      <c r="G3802" s="1" t="s">
        <v>86</v>
      </c>
      <c r="H3802" t="s">
        <v>96</v>
      </c>
      <c r="I3802">
        <v>2006</v>
      </c>
      <c r="J3802">
        <v>0.92</v>
      </c>
      <c r="K3802" t="s">
        <v>102</v>
      </c>
      <c r="L3802">
        <v>110</v>
      </c>
      <c r="N3802" t="s">
        <v>123</v>
      </c>
      <c r="O3802" t="s">
        <v>123</v>
      </c>
      <c r="P3802" t="s">
        <v>518</v>
      </c>
      <c r="Q3802" s="1" t="s">
        <v>2281</v>
      </c>
      <c r="R3802" s="1" t="s">
        <v>2282</v>
      </c>
      <c r="S3802" s="1" t="s">
        <v>123</v>
      </c>
      <c r="T3802" t="s">
        <v>396</v>
      </c>
      <c r="U3802" s="1" t="s">
        <v>2422</v>
      </c>
      <c r="V3802" t="s">
        <v>194</v>
      </c>
      <c r="W3802" t="s">
        <v>356</v>
      </c>
      <c r="X3802" t="s">
        <v>161</v>
      </c>
      <c r="Y3802" t="s">
        <v>2272</v>
      </c>
      <c r="Z3802" t="s">
        <v>2272</v>
      </c>
      <c r="AA3802" t="s">
        <v>2272</v>
      </c>
      <c r="AB3802" t="s">
        <v>2272</v>
      </c>
      <c r="AC3802" t="s">
        <v>162</v>
      </c>
      <c r="AD3802" t="s">
        <v>2272</v>
      </c>
      <c r="AF3802" t="s">
        <v>49</v>
      </c>
      <c r="AL3802" t="s">
        <v>49</v>
      </c>
      <c r="AM3802" t="s">
        <v>2000</v>
      </c>
      <c r="AN3802" t="s">
        <v>166</v>
      </c>
      <c r="AQ3802" s="5">
        <v>2</v>
      </c>
    </row>
    <row r="3803" spans="1:43" x14ac:dyDescent="0.2">
      <c r="A3803" t="s">
        <v>1994</v>
      </c>
      <c r="B3803" t="s">
        <v>1995</v>
      </c>
      <c r="C3803">
        <v>2008</v>
      </c>
      <c r="D3803" t="s">
        <v>811</v>
      </c>
      <c r="F3803" t="s">
        <v>1864</v>
      </c>
      <c r="G3803" s="1" t="s">
        <v>86</v>
      </c>
      <c r="H3803" t="s">
        <v>96</v>
      </c>
      <c r="I3803">
        <v>2006</v>
      </c>
      <c r="J3803">
        <v>0.92</v>
      </c>
      <c r="K3803" t="s">
        <v>102</v>
      </c>
      <c r="L3803">
        <v>110</v>
      </c>
      <c r="N3803" t="s">
        <v>126</v>
      </c>
      <c r="O3803" t="s">
        <v>126</v>
      </c>
      <c r="P3803" t="s">
        <v>2571</v>
      </c>
      <c r="Q3803" s="1" t="s">
        <v>2281</v>
      </c>
      <c r="R3803" s="1" t="s">
        <v>2282</v>
      </c>
      <c r="S3803" s="1" t="s">
        <v>126</v>
      </c>
      <c r="T3803" t="s">
        <v>396</v>
      </c>
      <c r="U3803" s="1" t="s">
        <v>2421</v>
      </c>
      <c r="V3803" t="s">
        <v>194</v>
      </c>
      <c r="W3803" t="s">
        <v>356</v>
      </c>
      <c r="X3803" t="s">
        <v>161</v>
      </c>
      <c r="Y3803" t="s">
        <v>2272</v>
      </c>
      <c r="Z3803" t="s">
        <v>2272</v>
      </c>
      <c r="AA3803" t="s">
        <v>2272</v>
      </c>
      <c r="AB3803" t="s">
        <v>2272</v>
      </c>
      <c r="AC3803" t="s">
        <v>162</v>
      </c>
      <c r="AD3803" t="s">
        <v>2272</v>
      </c>
      <c r="AF3803" t="s">
        <v>49</v>
      </c>
      <c r="AL3803" t="s">
        <v>49</v>
      </c>
      <c r="AM3803" t="s">
        <v>2000</v>
      </c>
      <c r="AN3803" t="s">
        <v>166</v>
      </c>
      <c r="AQ3803" s="5">
        <v>1</v>
      </c>
    </row>
    <row r="3804" spans="1:43" x14ac:dyDescent="0.2">
      <c r="A3804" t="s">
        <v>1994</v>
      </c>
      <c r="B3804" t="s">
        <v>1995</v>
      </c>
      <c r="C3804">
        <v>2008</v>
      </c>
      <c r="D3804" t="s">
        <v>811</v>
      </c>
      <c r="F3804" t="s">
        <v>1864</v>
      </c>
      <c r="G3804" s="1" t="s">
        <v>86</v>
      </c>
      <c r="H3804" t="s">
        <v>96</v>
      </c>
      <c r="I3804">
        <v>2006</v>
      </c>
      <c r="J3804">
        <v>0.92</v>
      </c>
      <c r="K3804" t="s">
        <v>102</v>
      </c>
      <c r="L3804">
        <v>110</v>
      </c>
      <c r="N3804" t="s">
        <v>127</v>
      </c>
      <c r="O3804" t="s">
        <v>1996</v>
      </c>
      <c r="P3804" t="s">
        <v>2574</v>
      </c>
      <c r="Q3804" s="1" t="s">
        <v>2281</v>
      </c>
      <c r="R3804" s="1" t="s">
        <v>2282</v>
      </c>
      <c r="S3804" s="1" t="s">
        <v>2355</v>
      </c>
      <c r="T3804" t="s">
        <v>396</v>
      </c>
      <c r="U3804" s="1" t="s">
        <v>2340</v>
      </c>
      <c r="V3804" t="s">
        <v>194</v>
      </c>
      <c r="W3804" t="s">
        <v>356</v>
      </c>
      <c r="X3804" t="s">
        <v>161</v>
      </c>
      <c r="Y3804" t="s">
        <v>2272</v>
      </c>
      <c r="Z3804" t="s">
        <v>2272</v>
      </c>
      <c r="AA3804" t="s">
        <v>2272</v>
      </c>
      <c r="AB3804" t="s">
        <v>2272</v>
      </c>
      <c r="AC3804" t="s">
        <v>162</v>
      </c>
      <c r="AD3804" t="s">
        <v>2272</v>
      </c>
      <c r="AF3804" t="s">
        <v>49</v>
      </c>
      <c r="AL3804" t="s">
        <v>49</v>
      </c>
      <c r="AM3804" t="s">
        <v>2000</v>
      </c>
      <c r="AN3804" t="s">
        <v>166</v>
      </c>
      <c r="AQ3804" s="5">
        <v>1</v>
      </c>
    </row>
    <row r="3805" spans="1:43" x14ac:dyDescent="0.2">
      <c r="A3805" t="s">
        <v>1994</v>
      </c>
      <c r="B3805" t="s">
        <v>1995</v>
      </c>
      <c r="C3805">
        <v>2008</v>
      </c>
      <c r="D3805" t="s">
        <v>811</v>
      </c>
      <c r="F3805" t="s">
        <v>1864</v>
      </c>
      <c r="G3805" s="1" t="s">
        <v>86</v>
      </c>
      <c r="H3805" t="s">
        <v>96</v>
      </c>
      <c r="I3805">
        <v>2006</v>
      </c>
      <c r="J3805">
        <v>0.92</v>
      </c>
      <c r="K3805" t="s">
        <v>102</v>
      </c>
      <c r="L3805">
        <v>110</v>
      </c>
      <c r="N3805" t="s">
        <v>123</v>
      </c>
      <c r="O3805" t="s">
        <v>123</v>
      </c>
      <c r="P3805" t="s">
        <v>518</v>
      </c>
      <c r="Q3805" s="1" t="s">
        <v>2281</v>
      </c>
      <c r="R3805" s="1" t="s">
        <v>2282</v>
      </c>
      <c r="S3805" s="1" t="s">
        <v>123</v>
      </c>
      <c r="T3805" t="s">
        <v>421</v>
      </c>
      <c r="U3805" t="s">
        <v>421</v>
      </c>
      <c r="V3805" t="s">
        <v>194</v>
      </c>
      <c r="W3805" t="s">
        <v>356</v>
      </c>
      <c r="X3805" t="s">
        <v>161</v>
      </c>
      <c r="Y3805" t="s">
        <v>2272</v>
      </c>
      <c r="Z3805" t="s">
        <v>2272</v>
      </c>
      <c r="AA3805" t="s">
        <v>2272</v>
      </c>
      <c r="AB3805" t="s">
        <v>2272</v>
      </c>
      <c r="AC3805" t="s">
        <v>162</v>
      </c>
      <c r="AD3805" t="s">
        <v>2272</v>
      </c>
      <c r="AF3805" t="s">
        <v>49</v>
      </c>
      <c r="AL3805" t="s">
        <v>49</v>
      </c>
      <c r="AM3805" t="s">
        <v>2001</v>
      </c>
      <c r="AN3805" t="s">
        <v>166</v>
      </c>
      <c r="AQ3805" s="5">
        <v>1</v>
      </c>
    </row>
    <row r="3806" spans="1:43" x14ac:dyDescent="0.2">
      <c r="A3806" t="s">
        <v>1994</v>
      </c>
      <c r="B3806" t="s">
        <v>1995</v>
      </c>
      <c r="C3806">
        <v>2008</v>
      </c>
      <c r="D3806" t="s">
        <v>811</v>
      </c>
      <c r="F3806" t="s">
        <v>1864</v>
      </c>
      <c r="G3806" s="1" t="s">
        <v>86</v>
      </c>
      <c r="H3806" t="s">
        <v>96</v>
      </c>
      <c r="I3806">
        <v>2006</v>
      </c>
      <c r="J3806">
        <v>0.92</v>
      </c>
      <c r="K3806" t="s">
        <v>102</v>
      </c>
      <c r="L3806">
        <v>110</v>
      </c>
      <c r="N3806" t="s">
        <v>126</v>
      </c>
      <c r="O3806" t="s">
        <v>126</v>
      </c>
      <c r="P3806" t="s">
        <v>2571</v>
      </c>
      <c r="Q3806" s="1" t="s">
        <v>2281</v>
      </c>
      <c r="R3806" s="1" t="s">
        <v>2282</v>
      </c>
      <c r="S3806" s="1" t="s">
        <v>126</v>
      </c>
      <c r="T3806" t="s">
        <v>421</v>
      </c>
      <c r="U3806" t="s">
        <v>421</v>
      </c>
      <c r="V3806" t="s">
        <v>194</v>
      </c>
      <c r="W3806" t="s">
        <v>356</v>
      </c>
      <c r="X3806" t="s">
        <v>161</v>
      </c>
      <c r="Y3806" t="s">
        <v>2272</v>
      </c>
      <c r="Z3806" t="s">
        <v>2272</v>
      </c>
      <c r="AA3806" t="s">
        <v>2272</v>
      </c>
      <c r="AB3806" t="s">
        <v>2272</v>
      </c>
      <c r="AC3806" t="s">
        <v>162</v>
      </c>
      <c r="AD3806" t="s">
        <v>2272</v>
      </c>
      <c r="AF3806" t="s">
        <v>49</v>
      </c>
      <c r="AL3806" t="s">
        <v>49</v>
      </c>
      <c r="AM3806" t="s">
        <v>2001</v>
      </c>
      <c r="AN3806" t="s">
        <v>166</v>
      </c>
      <c r="AQ3806" s="5">
        <v>1</v>
      </c>
    </row>
    <row r="3807" spans="1:43" x14ac:dyDescent="0.2">
      <c r="A3807" t="s">
        <v>1994</v>
      </c>
      <c r="B3807" t="s">
        <v>1995</v>
      </c>
      <c r="C3807">
        <v>2008</v>
      </c>
      <c r="D3807" t="s">
        <v>811</v>
      </c>
      <c r="F3807" t="s">
        <v>1864</v>
      </c>
      <c r="G3807" s="1" t="s">
        <v>86</v>
      </c>
      <c r="H3807" t="s">
        <v>96</v>
      </c>
      <c r="I3807">
        <v>2006</v>
      </c>
      <c r="J3807">
        <v>0.92</v>
      </c>
      <c r="K3807" t="s">
        <v>102</v>
      </c>
      <c r="L3807">
        <v>110</v>
      </c>
      <c r="N3807" t="s">
        <v>127</v>
      </c>
      <c r="O3807" t="s">
        <v>1996</v>
      </c>
      <c r="P3807" t="s">
        <v>2574</v>
      </c>
      <c r="Q3807" s="1" t="s">
        <v>2281</v>
      </c>
      <c r="R3807" s="1" t="s">
        <v>2282</v>
      </c>
      <c r="S3807" s="1" t="s">
        <v>2355</v>
      </c>
      <c r="T3807" t="s">
        <v>421</v>
      </c>
      <c r="U3807" t="s">
        <v>421</v>
      </c>
      <c r="V3807" t="s">
        <v>194</v>
      </c>
      <c r="W3807" t="s">
        <v>356</v>
      </c>
      <c r="X3807" t="s">
        <v>161</v>
      </c>
      <c r="Y3807" t="s">
        <v>2272</v>
      </c>
      <c r="Z3807" t="s">
        <v>2272</v>
      </c>
      <c r="AA3807" t="s">
        <v>2272</v>
      </c>
      <c r="AB3807" t="s">
        <v>2272</v>
      </c>
      <c r="AC3807" t="s">
        <v>162</v>
      </c>
      <c r="AD3807" t="s">
        <v>2272</v>
      </c>
      <c r="AF3807" t="s">
        <v>49</v>
      </c>
      <c r="AL3807" t="s">
        <v>49</v>
      </c>
      <c r="AM3807" t="s">
        <v>2001</v>
      </c>
      <c r="AN3807" t="s">
        <v>166</v>
      </c>
      <c r="AQ3807" s="5">
        <v>1</v>
      </c>
    </row>
    <row r="3808" spans="1:43" x14ac:dyDescent="0.2">
      <c r="A3808" t="s">
        <v>1994</v>
      </c>
      <c r="B3808" t="s">
        <v>1995</v>
      </c>
      <c r="C3808">
        <v>2008</v>
      </c>
      <c r="D3808" t="s">
        <v>811</v>
      </c>
      <c r="F3808" t="s">
        <v>1864</v>
      </c>
      <c r="G3808" s="1" t="s">
        <v>86</v>
      </c>
      <c r="H3808" t="s">
        <v>96</v>
      </c>
      <c r="I3808">
        <v>2006</v>
      </c>
      <c r="J3808">
        <v>0.92</v>
      </c>
      <c r="K3808" t="s">
        <v>102</v>
      </c>
      <c r="L3808">
        <v>110</v>
      </c>
      <c r="N3808" t="s">
        <v>123</v>
      </c>
      <c r="O3808" t="s">
        <v>123</v>
      </c>
      <c r="P3808" t="s">
        <v>518</v>
      </c>
      <c r="Q3808" s="1" t="s">
        <v>2281</v>
      </c>
      <c r="R3808" s="1" t="s">
        <v>2282</v>
      </c>
      <c r="S3808" s="1" t="s">
        <v>123</v>
      </c>
      <c r="T3808" t="s">
        <v>396</v>
      </c>
      <c r="U3808" s="1" t="s">
        <v>2422</v>
      </c>
      <c r="V3808" t="s">
        <v>194</v>
      </c>
      <c r="W3808" t="s">
        <v>356</v>
      </c>
      <c r="X3808" t="s">
        <v>161</v>
      </c>
      <c r="Y3808" t="s">
        <v>2272</v>
      </c>
      <c r="Z3808" t="s">
        <v>2272</v>
      </c>
      <c r="AA3808" t="s">
        <v>2272</v>
      </c>
      <c r="AB3808" t="s">
        <v>2272</v>
      </c>
      <c r="AC3808" t="s">
        <v>162</v>
      </c>
      <c r="AD3808" t="s">
        <v>2272</v>
      </c>
      <c r="AF3808" t="s">
        <v>49</v>
      </c>
      <c r="AL3808" t="s">
        <v>49</v>
      </c>
      <c r="AM3808" t="s">
        <v>2001</v>
      </c>
      <c r="AN3808" t="s">
        <v>166</v>
      </c>
      <c r="AQ3808" s="5">
        <v>0</v>
      </c>
    </row>
    <row r="3809" spans="1:43" x14ac:dyDescent="0.2">
      <c r="A3809" t="s">
        <v>1994</v>
      </c>
      <c r="B3809" t="s">
        <v>1995</v>
      </c>
      <c r="C3809">
        <v>2008</v>
      </c>
      <c r="D3809" t="s">
        <v>811</v>
      </c>
      <c r="F3809" t="s">
        <v>1864</v>
      </c>
      <c r="G3809" s="1" t="s">
        <v>86</v>
      </c>
      <c r="H3809" t="s">
        <v>96</v>
      </c>
      <c r="I3809">
        <v>2006</v>
      </c>
      <c r="J3809">
        <v>0.92</v>
      </c>
      <c r="K3809" t="s">
        <v>102</v>
      </c>
      <c r="L3809">
        <v>110</v>
      </c>
      <c r="N3809" t="s">
        <v>126</v>
      </c>
      <c r="O3809" t="s">
        <v>126</v>
      </c>
      <c r="P3809" t="s">
        <v>2571</v>
      </c>
      <c r="Q3809" s="1" t="s">
        <v>2281</v>
      </c>
      <c r="R3809" s="1" t="s">
        <v>2282</v>
      </c>
      <c r="S3809" s="1" t="s">
        <v>126</v>
      </c>
      <c r="T3809" t="s">
        <v>396</v>
      </c>
      <c r="U3809" s="1" t="s">
        <v>2421</v>
      </c>
      <c r="V3809" t="s">
        <v>194</v>
      </c>
      <c r="W3809" t="s">
        <v>356</v>
      </c>
      <c r="X3809" t="s">
        <v>161</v>
      </c>
      <c r="Y3809" t="s">
        <v>2272</v>
      </c>
      <c r="Z3809" t="s">
        <v>2272</v>
      </c>
      <c r="AA3809" t="s">
        <v>2272</v>
      </c>
      <c r="AB3809" t="s">
        <v>2272</v>
      </c>
      <c r="AC3809" t="s">
        <v>162</v>
      </c>
      <c r="AD3809" t="s">
        <v>2272</v>
      </c>
      <c r="AF3809" t="s">
        <v>49</v>
      </c>
      <c r="AL3809" t="s">
        <v>49</v>
      </c>
      <c r="AM3809" t="s">
        <v>2001</v>
      </c>
      <c r="AN3809" t="s">
        <v>166</v>
      </c>
      <c r="AQ3809" s="5">
        <v>0</v>
      </c>
    </row>
    <row r="3810" spans="1:43" x14ac:dyDescent="0.2">
      <c r="A3810" t="s">
        <v>1994</v>
      </c>
      <c r="B3810" t="s">
        <v>1995</v>
      </c>
      <c r="C3810">
        <v>2008</v>
      </c>
      <c r="D3810" t="s">
        <v>811</v>
      </c>
      <c r="F3810" t="s">
        <v>1864</v>
      </c>
      <c r="G3810" s="1" t="s">
        <v>86</v>
      </c>
      <c r="H3810" t="s">
        <v>96</v>
      </c>
      <c r="I3810">
        <v>2006</v>
      </c>
      <c r="J3810">
        <v>0.92</v>
      </c>
      <c r="K3810" t="s">
        <v>102</v>
      </c>
      <c r="L3810">
        <v>110</v>
      </c>
      <c r="N3810" t="s">
        <v>127</v>
      </c>
      <c r="O3810" t="s">
        <v>1996</v>
      </c>
      <c r="P3810" t="s">
        <v>2574</v>
      </c>
      <c r="Q3810" s="1" t="s">
        <v>2281</v>
      </c>
      <c r="R3810" s="1" t="s">
        <v>2282</v>
      </c>
      <c r="S3810" s="1" t="s">
        <v>2355</v>
      </c>
      <c r="T3810" t="s">
        <v>396</v>
      </c>
      <c r="U3810" s="1" t="s">
        <v>2340</v>
      </c>
      <c r="V3810" t="s">
        <v>194</v>
      </c>
      <c r="W3810" t="s">
        <v>356</v>
      </c>
      <c r="X3810" t="s">
        <v>161</v>
      </c>
      <c r="Y3810" t="s">
        <v>2272</v>
      </c>
      <c r="Z3810" t="s">
        <v>2272</v>
      </c>
      <c r="AA3810" t="s">
        <v>2272</v>
      </c>
      <c r="AB3810" t="s">
        <v>2272</v>
      </c>
      <c r="AC3810" t="s">
        <v>162</v>
      </c>
      <c r="AD3810" t="s">
        <v>2272</v>
      </c>
      <c r="AF3810" t="s">
        <v>49</v>
      </c>
      <c r="AL3810" t="s">
        <v>49</v>
      </c>
      <c r="AM3810" t="s">
        <v>2001</v>
      </c>
      <c r="AN3810" t="s">
        <v>166</v>
      </c>
      <c r="AQ3810" s="5">
        <v>0</v>
      </c>
    </row>
    <row r="3811" spans="1:43" x14ac:dyDescent="0.2">
      <c r="A3811" t="s">
        <v>1994</v>
      </c>
      <c r="B3811" t="s">
        <v>1995</v>
      </c>
      <c r="C3811">
        <v>2008</v>
      </c>
      <c r="D3811" t="s">
        <v>811</v>
      </c>
      <c r="F3811" t="s">
        <v>1864</v>
      </c>
      <c r="G3811" s="1" t="s">
        <v>86</v>
      </c>
      <c r="H3811" t="s">
        <v>96</v>
      </c>
      <c r="I3811">
        <v>2006</v>
      </c>
      <c r="J3811">
        <v>0.92</v>
      </c>
      <c r="K3811" t="s">
        <v>102</v>
      </c>
      <c r="L3811">
        <v>110</v>
      </c>
      <c r="N3811" t="s">
        <v>123</v>
      </c>
      <c r="O3811" t="s">
        <v>123</v>
      </c>
      <c r="P3811" t="s">
        <v>518</v>
      </c>
      <c r="Q3811" s="1" t="s">
        <v>2281</v>
      </c>
      <c r="R3811" s="1" t="s">
        <v>2282</v>
      </c>
      <c r="S3811" s="1" t="s">
        <v>123</v>
      </c>
      <c r="T3811" t="s">
        <v>421</v>
      </c>
      <c r="U3811" t="s">
        <v>421</v>
      </c>
      <c r="V3811" t="s">
        <v>194</v>
      </c>
      <c r="W3811" t="s">
        <v>356</v>
      </c>
      <c r="X3811" t="s">
        <v>161</v>
      </c>
      <c r="Y3811" t="s">
        <v>2272</v>
      </c>
      <c r="Z3811" t="s">
        <v>2272</v>
      </c>
      <c r="AA3811" t="s">
        <v>2272</v>
      </c>
      <c r="AB3811" t="s">
        <v>2272</v>
      </c>
      <c r="AC3811" t="s">
        <v>162</v>
      </c>
      <c r="AD3811" t="s">
        <v>2272</v>
      </c>
      <c r="AF3811" t="s">
        <v>49</v>
      </c>
      <c r="AL3811" t="s">
        <v>49</v>
      </c>
      <c r="AM3811" t="s">
        <v>2002</v>
      </c>
      <c r="AN3811" t="s">
        <v>166</v>
      </c>
      <c r="AQ3811" s="5">
        <v>1</v>
      </c>
    </row>
    <row r="3812" spans="1:43" x14ac:dyDescent="0.2">
      <c r="A3812" t="s">
        <v>1994</v>
      </c>
      <c r="B3812" t="s">
        <v>1995</v>
      </c>
      <c r="C3812">
        <v>2008</v>
      </c>
      <c r="D3812" t="s">
        <v>811</v>
      </c>
      <c r="F3812" t="s">
        <v>1864</v>
      </c>
      <c r="G3812" s="1" t="s">
        <v>86</v>
      </c>
      <c r="H3812" t="s">
        <v>96</v>
      </c>
      <c r="I3812">
        <v>2006</v>
      </c>
      <c r="J3812">
        <v>0.92</v>
      </c>
      <c r="K3812" t="s">
        <v>102</v>
      </c>
      <c r="L3812">
        <v>110</v>
      </c>
      <c r="N3812" t="s">
        <v>126</v>
      </c>
      <c r="O3812" t="s">
        <v>126</v>
      </c>
      <c r="P3812" t="s">
        <v>2571</v>
      </c>
      <c r="Q3812" s="1" t="s">
        <v>2281</v>
      </c>
      <c r="R3812" s="1" t="s">
        <v>2282</v>
      </c>
      <c r="S3812" s="1" t="s">
        <v>126</v>
      </c>
      <c r="T3812" t="s">
        <v>421</v>
      </c>
      <c r="U3812" t="s">
        <v>421</v>
      </c>
      <c r="V3812" t="s">
        <v>194</v>
      </c>
      <c r="W3812" t="s">
        <v>356</v>
      </c>
      <c r="X3812" t="s">
        <v>161</v>
      </c>
      <c r="Y3812" t="s">
        <v>2272</v>
      </c>
      <c r="Z3812" t="s">
        <v>2272</v>
      </c>
      <c r="AA3812" t="s">
        <v>2272</v>
      </c>
      <c r="AB3812" t="s">
        <v>2272</v>
      </c>
      <c r="AC3812" t="s">
        <v>162</v>
      </c>
      <c r="AD3812" t="s">
        <v>2272</v>
      </c>
      <c r="AF3812" t="s">
        <v>49</v>
      </c>
      <c r="AL3812" t="s">
        <v>49</v>
      </c>
      <c r="AM3812" t="s">
        <v>2002</v>
      </c>
      <c r="AN3812" t="s">
        <v>166</v>
      </c>
      <c r="AQ3812" s="5">
        <v>1</v>
      </c>
    </row>
    <row r="3813" spans="1:43" x14ac:dyDescent="0.2">
      <c r="A3813" t="s">
        <v>1994</v>
      </c>
      <c r="B3813" t="s">
        <v>1995</v>
      </c>
      <c r="C3813">
        <v>2008</v>
      </c>
      <c r="D3813" t="s">
        <v>811</v>
      </c>
      <c r="F3813" t="s">
        <v>1864</v>
      </c>
      <c r="G3813" s="1" t="s">
        <v>86</v>
      </c>
      <c r="H3813" t="s">
        <v>96</v>
      </c>
      <c r="I3813">
        <v>2006</v>
      </c>
      <c r="J3813">
        <v>0.92</v>
      </c>
      <c r="K3813" t="s">
        <v>102</v>
      </c>
      <c r="L3813">
        <v>110</v>
      </c>
      <c r="N3813" t="s">
        <v>127</v>
      </c>
      <c r="O3813" t="s">
        <v>1996</v>
      </c>
      <c r="P3813" t="s">
        <v>2574</v>
      </c>
      <c r="Q3813" s="1" t="s">
        <v>2281</v>
      </c>
      <c r="R3813" s="1" t="s">
        <v>2282</v>
      </c>
      <c r="S3813" s="1" t="s">
        <v>2355</v>
      </c>
      <c r="T3813" t="s">
        <v>421</v>
      </c>
      <c r="U3813" t="s">
        <v>421</v>
      </c>
      <c r="V3813" t="s">
        <v>194</v>
      </c>
      <c r="W3813" t="s">
        <v>356</v>
      </c>
      <c r="X3813" t="s">
        <v>161</v>
      </c>
      <c r="Y3813" t="s">
        <v>2272</v>
      </c>
      <c r="Z3813" t="s">
        <v>2272</v>
      </c>
      <c r="AA3813" t="s">
        <v>2272</v>
      </c>
      <c r="AB3813" t="s">
        <v>2272</v>
      </c>
      <c r="AC3813" t="s">
        <v>162</v>
      </c>
      <c r="AD3813" t="s">
        <v>2272</v>
      </c>
      <c r="AF3813" t="s">
        <v>49</v>
      </c>
      <c r="AL3813" t="s">
        <v>49</v>
      </c>
      <c r="AM3813" t="s">
        <v>2002</v>
      </c>
      <c r="AN3813" t="s">
        <v>166</v>
      </c>
      <c r="AQ3813" s="5">
        <v>1</v>
      </c>
    </row>
    <row r="3814" spans="1:43" x14ac:dyDescent="0.2">
      <c r="A3814" t="s">
        <v>1994</v>
      </c>
      <c r="B3814" t="s">
        <v>1995</v>
      </c>
      <c r="C3814">
        <v>2008</v>
      </c>
      <c r="D3814" t="s">
        <v>811</v>
      </c>
      <c r="F3814" t="s">
        <v>1864</v>
      </c>
      <c r="G3814" s="1" t="s">
        <v>86</v>
      </c>
      <c r="H3814" t="s">
        <v>96</v>
      </c>
      <c r="I3814">
        <v>2006</v>
      </c>
      <c r="J3814">
        <v>0.92</v>
      </c>
      <c r="K3814" t="s">
        <v>102</v>
      </c>
      <c r="L3814">
        <v>110</v>
      </c>
      <c r="N3814" t="s">
        <v>123</v>
      </c>
      <c r="O3814" t="s">
        <v>123</v>
      </c>
      <c r="P3814" t="s">
        <v>518</v>
      </c>
      <c r="Q3814" s="1" t="s">
        <v>2281</v>
      </c>
      <c r="R3814" s="1" t="s">
        <v>2282</v>
      </c>
      <c r="S3814" s="1" t="s">
        <v>123</v>
      </c>
      <c r="T3814" t="s">
        <v>396</v>
      </c>
      <c r="U3814" s="1" t="s">
        <v>2422</v>
      </c>
      <c r="V3814" t="s">
        <v>194</v>
      </c>
      <c r="W3814" t="s">
        <v>356</v>
      </c>
      <c r="X3814" t="s">
        <v>161</v>
      </c>
      <c r="Y3814" t="s">
        <v>2272</v>
      </c>
      <c r="Z3814" t="s">
        <v>2272</v>
      </c>
      <c r="AA3814" t="s">
        <v>2272</v>
      </c>
      <c r="AB3814" t="s">
        <v>2272</v>
      </c>
      <c r="AC3814" t="s">
        <v>162</v>
      </c>
      <c r="AD3814" t="s">
        <v>2272</v>
      </c>
      <c r="AF3814" t="s">
        <v>49</v>
      </c>
      <c r="AL3814" t="s">
        <v>49</v>
      </c>
      <c r="AM3814" t="s">
        <v>2002</v>
      </c>
      <c r="AN3814" t="s">
        <v>166</v>
      </c>
      <c r="AQ3814" s="5">
        <v>1</v>
      </c>
    </row>
    <row r="3815" spans="1:43" x14ac:dyDescent="0.2">
      <c r="A3815" t="s">
        <v>1994</v>
      </c>
      <c r="B3815" t="s">
        <v>1995</v>
      </c>
      <c r="C3815">
        <v>2008</v>
      </c>
      <c r="D3815" t="s">
        <v>811</v>
      </c>
      <c r="F3815" t="s">
        <v>1864</v>
      </c>
      <c r="G3815" s="1" t="s">
        <v>86</v>
      </c>
      <c r="H3815" t="s">
        <v>96</v>
      </c>
      <c r="I3815">
        <v>2006</v>
      </c>
      <c r="J3815">
        <v>0.92</v>
      </c>
      <c r="K3815" t="s">
        <v>102</v>
      </c>
      <c r="L3815">
        <v>110</v>
      </c>
      <c r="N3815" t="s">
        <v>126</v>
      </c>
      <c r="O3815" t="s">
        <v>126</v>
      </c>
      <c r="P3815" t="s">
        <v>2571</v>
      </c>
      <c r="Q3815" s="1" t="s">
        <v>2281</v>
      </c>
      <c r="R3815" s="1" t="s">
        <v>2282</v>
      </c>
      <c r="S3815" s="1" t="s">
        <v>126</v>
      </c>
      <c r="T3815" t="s">
        <v>396</v>
      </c>
      <c r="U3815" s="1" t="s">
        <v>2421</v>
      </c>
      <c r="V3815" t="s">
        <v>194</v>
      </c>
      <c r="W3815" t="s">
        <v>356</v>
      </c>
      <c r="X3815" t="s">
        <v>161</v>
      </c>
      <c r="Y3815" t="s">
        <v>2272</v>
      </c>
      <c r="Z3815" t="s">
        <v>2272</v>
      </c>
      <c r="AA3815" t="s">
        <v>2272</v>
      </c>
      <c r="AB3815" t="s">
        <v>2272</v>
      </c>
      <c r="AC3815" t="s">
        <v>162</v>
      </c>
      <c r="AD3815" t="s">
        <v>2272</v>
      </c>
      <c r="AF3815" t="s">
        <v>49</v>
      </c>
      <c r="AL3815" t="s">
        <v>49</v>
      </c>
      <c r="AM3815" t="s">
        <v>2002</v>
      </c>
      <c r="AN3815" t="s">
        <v>166</v>
      </c>
      <c r="AQ3815" s="5">
        <v>2</v>
      </c>
    </row>
    <row r="3816" spans="1:43" x14ac:dyDescent="0.2">
      <c r="A3816" t="s">
        <v>1994</v>
      </c>
      <c r="B3816" t="s">
        <v>1995</v>
      </c>
      <c r="C3816">
        <v>2008</v>
      </c>
      <c r="D3816" t="s">
        <v>811</v>
      </c>
      <c r="F3816" t="s">
        <v>1864</v>
      </c>
      <c r="G3816" s="1" t="s">
        <v>86</v>
      </c>
      <c r="H3816" t="s">
        <v>96</v>
      </c>
      <c r="I3816">
        <v>2006</v>
      </c>
      <c r="J3816">
        <v>0.92</v>
      </c>
      <c r="K3816" t="s">
        <v>102</v>
      </c>
      <c r="L3816">
        <v>110</v>
      </c>
      <c r="N3816" t="s">
        <v>127</v>
      </c>
      <c r="O3816" t="s">
        <v>1996</v>
      </c>
      <c r="P3816" t="s">
        <v>2574</v>
      </c>
      <c r="Q3816" s="1" t="s">
        <v>2281</v>
      </c>
      <c r="R3816" s="1" t="s">
        <v>2282</v>
      </c>
      <c r="S3816" s="1" t="s">
        <v>2355</v>
      </c>
      <c r="T3816" t="s">
        <v>396</v>
      </c>
      <c r="U3816" s="1" t="s">
        <v>2340</v>
      </c>
      <c r="V3816" t="s">
        <v>194</v>
      </c>
      <c r="W3816" t="s">
        <v>356</v>
      </c>
      <c r="X3816" t="s">
        <v>161</v>
      </c>
      <c r="Y3816" t="s">
        <v>2272</v>
      </c>
      <c r="Z3816" t="s">
        <v>2272</v>
      </c>
      <c r="AA3816" t="s">
        <v>2272</v>
      </c>
      <c r="AB3816" t="s">
        <v>2272</v>
      </c>
      <c r="AC3816" t="s">
        <v>162</v>
      </c>
      <c r="AD3816" t="s">
        <v>2272</v>
      </c>
      <c r="AF3816" t="s">
        <v>49</v>
      </c>
      <c r="AL3816" t="s">
        <v>49</v>
      </c>
      <c r="AM3816" t="s">
        <v>2002</v>
      </c>
      <c r="AN3816" t="s">
        <v>166</v>
      </c>
      <c r="AQ3816" s="5">
        <v>1</v>
      </c>
    </row>
    <row r="3817" spans="1:43" x14ac:dyDescent="0.2">
      <c r="A3817" t="s">
        <v>1994</v>
      </c>
      <c r="B3817" t="s">
        <v>1995</v>
      </c>
      <c r="C3817">
        <v>2008</v>
      </c>
      <c r="D3817" t="s">
        <v>811</v>
      </c>
      <c r="F3817" t="s">
        <v>1864</v>
      </c>
      <c r="G3817" s="1" t="s">
        <v>86</v>
      </c>
      <c r="H3817" t="s">
        <v>96</v>
      </c>
      <c r="I3817">
        <v>2006</v>
      </c>
      <c r="J3817">
        <v>0.92</v>
      </c>
      <c r="K3817" t="s">
        <v>102</v>
      </c>
      <c r="L3817">
        <v>110</v>
      </c>
      <c r="N3817" t="s">
        <v>123</v>
      </c>
      <c r="O3817" t="s">
        <v>123</v>
      </c>
      <c r="P3817" t="s">
        <v>518</v>
      </c>
      <c r="Q3817" s="1" t="s">
        <v>2281</v>
      </c>
      <c r="R3817" s="1" t="s">
        <v>2282</v>
      </c>
      <c r="S3817" s="1" t="s">
        <v>123</v>
      </c>
      <c r="T3817" t="s">
        <v>421</v>
      </c>
      <c r="U3817" t="s">
        <v>421</v>
      </c>
      <c r="V3817" t="s">
        <v>194</v>
      </c>
      <c r="W3817" t="s">
        <v>356</v>
      </c>
      <c r="X3817" t="s">
        <v>161</v>
      </c>
      <c r="Y3817" t="s">
        <v>2272</v>
      </c>
      <c r="Z3817" t="s">
        <v>2272</v>
      </c>
      <c r="AA3817" t="s">
        <v>2272</v>
      </c>
      <c r="AB3817" t="s">
        <v>2272</v>
      </c>
      <c r="AC3817" t="s">
        <v>162</v>
      </c>
      <c r="AD3817" t="s">
        <v>2272</v>
      </c>
      <c r="AF3817" t="s">
        <v>49</v>
      </c>
      <c r="AL3817" t="s">
        <v>49</v>
      </c>
      <c r="AM3817" t="s">
        <v>2002</v>
      </c>
      <c r="AN3817" t="s">
        <v>166</v>
      </c>
      <c r="AQ3817" s="5">
        <v>1</v>
      </c>
    </row>
    <row r="3818" spans="1:43" x14ac:dyDescent="0.2">
      <c r="A3818" t="s">
        <v>1994</v>
      </c>
      <c r="B3818" t="s">
        <v>1995</v>
      </c>
      <c r="C3818">
        <v>2008</v>
      </c>
      <c r="D3818" t="s">
        <v>811</v>
      </c>
      <c r="F3818" t="s">
        <v>1864</v>
      </c>
      <c r="G3818" s="1" t="s">
        <v>86</v>
      </c>
      <c r="H3818" t="s">
        <v>96</v>
      </c>
      <c r="I3818">
        <v>2006</v>
      </c>
      <c r="J3818">
        <v>0.92</v>
      </c>
      <c r="K3818" t="s">
        <v>102</v>
      </c>
      <c r="L3818">
        <v>110</v>
      </c>
      <c r="N3818" t="s">
        <v>126</v>
      </c>
      <c r="O3818" t="s">
        <v>126</v>
      </c>
      <c r="P3818" t="s">
        <v>2571</v>
      </c>
      <c r="Q3818" s="1" t="s">
        <v>2281</v>
      </c>
      <c r="R3818" s="1" t="s">
        <v>2282</v>
      </c>
      <c r="S3818" s="1" t="s">
        <v>126</v>
      </c>
      <c r="T3818" t="s">
        <v>421</v>
      </c>
      <c r="U3818" t="s">
        <v>421</v>
      </c>
      <c r="V3818" t="s">
        <v>194</v>
      </c>
      <c r="W3818" t="s">
        <v>356</v>
      </c>
      <c r="X3818" t="s">
        <v>161</v>
      </c>
      <c r="Y3818" t="s">
        <v>2272</v>
      </c>
      <c r="Z3818" t="s">
        <v>2272</v>
      </c>
      <c r="AA3818" t="s">
        <v>2272</v>
      </c>
      <c r="AB3818" t="s">
        <v>2272</v>
      </c>
      <c r="AC3818" t="s">
        <v>162</v>
      </c>
      <c r="AD3818" t="s">
        <v>2272</v>
      </c>
      <c r="AF3818" t="s">
        <v>49</v>
      </c>
      <c r="AL3818" t="s">
        <v>49</v>
      </c>
      <c r="AM3818" t="s">
        <v>2002</v>
      </c>
      <c r="AN3818" t="s">
        <v>166</v>
      </c>
      <c r="AQ3818" s="5">
        <v>1</v>
      </c>
    </row>
    <row r="3819" spans="1:43" x14ac:dyDescent="0.2">
      <c r="A3819" t="s">
        <v>1994</v>
      </c>
      <c r="B3819" t="s">
        <v>1995</v>
      </c>
      <c r="C3819">
        <v>2008</v>
      </c>
      <c r="D3819" t="s">
        <v>811</v>
      </c>
      <c r="F3819" t="s">
        <v>1864</v>
      </c>
      <c r="G3819" s="1" t="s">
        <v>86</v>
      </c>
      <c r="H3819" t="s">
        <v>96</v>
      </c>
      <c r="I3819">
        <v>2006</v>
      </c>
      <c r="J3819">
        <v>0.92</v>
      </c>
      <c r="K3819" t="s">
        <v>102</v>
      </c>
      <c r="L3819">
        <v>110</v>
      </c>
      <c r="N3819" t="s">
        <v>127</v>
      </c>
      <c r="O3819" t="s">
        <v>1996</v>
      </c>
      <c r="P3819" t="s">
        <v>2574</v>
      </c>
      <c r="Q3819" s="1" t="s">
        <v>2281</v>
      </c>
      <c r="R3819" s="1" t="s">
        <v>2282</v>
      </c>
      <c r="S3819" s="1" t="s">
        <v>2355</v>
      </c>
      <c r="T3819" t="s">
        <v>421</v>
      </c>
      <c r="U3819" t="s">
        <v>421</v>
      </c>
      <c r="V3819" t="s">
        <v>194</v>
      </c>
      <c r="W3819" t="s">
        <v>356</v>
      </c>
      <c r="X3819" t="s">
        <v>161</v>
      </c>
      <c r="Y3819" t="s">
        <v>2272</v>
      </c>
      <c r="Z3819" t="s">
        <v>2272</v>
      </c>
      <c r="AA3819" t="s">
        <v>2272</v>
      </c>
      <c r="AB3819" t="s">
        <v>2272</v>
      </c>
      <c r="AC3819" t="s">
        <v>162</v>
      </c>
      <c r="AD3819" t="s">
        <v>2272</v>
      </c>
      <c r="AF3819" t="s">
        <v>49</v>
      </c>
      <c r="AL3819" t="s">
        <v>49</v>
      </c>
      <c r="AM3819" t="s">
        <v>2002</v>
      </c>
      <c r="AN3819" t="s">
        <v>166</v>
      </c>
      <c r="AQ3819" s="5">
        <v>1</v>
      </c>
    </row>
    <row r="3820" spans="1:43" x14ac:dyDescent="0.2">
      <c r="A3820" t="s">
        <v>1994</v>
      </c>
      <c r="B3820" t="s">
        <v>1995</v>
      </c>
      <c r="C3820">
        <v>2008</v>
      </c>
      <c r="D3820" t="s">
        <v>811</v>
      </c>
      <c r="F3820" t="s">
        <v>1864</v>
      </c>
      <c r="G3820" s="1" t="s">
        <v>86</v>
      </c>
      <c r="H3820" t="s">
        <v>96</v>
      </c>
      <c r="I3820">
        <v>2006</v>
      </c>
      <c r="J3820">
        <v>0.92</v>
      </c>
      <c r="K3820" t="s">
        <v>102</v>
      </c>
      <c r="L3820">
        <v>110</v>
      </c>
      <c r="N3820" t="s">
        <v>123</v>
      </c>
      <c r="O3820" t="s">
        <v>123</v>
      </c>
      <c r="P3820" t="s">
        <v>518</v>
      </c>
      <c r="Q3820" s="1" t="s">
        <v>2281</v>
      </c>
      <c r="R3820" s="1" t="s">
        <v>2282</v>
      </c>
      <c r="S3820" s="1" t="s">
        <v>123</v>
      </c>
      <c r="T3820" t="s">
        <v>396</v>
      </c>
      <c r="U3820" s="1" t="s">
        <v>2422</v>
      </c>
      <c r="V3820" t="s">
        <v>194</v>
      </c>
      <c r="W3820" t="s">
        <v>356</v>
      </c>
      <c r="X3820" t="s">
        <v>161</v>
      </c>
      <c r="Y3820" t="s">
        <v>2272</v>
      </c>
      <c r="Z3820" t="s">
        <v>2272</v>
      </c>
      <c r="AA3820" t="s">
        <v>2272</v>
      </c>
      <c r="AB3820" t="s">
        <v>2272</v>
      </c>
      <c r="AC3820" t="s">
        <v>162</v>
      </c>
      <c r="AD3820" t="s">
        <v>2272</v>
      </c>
      <c r="AF3820" t="s">
        <v>49</v>
      </c>
      <c r="AL3820" t="s">
        <v>49</v>
      </c>
      <c r="AM3820" t="s">
        <v>2002</v>
      </c>
      <c r="AN3820" t="s">
        <v>166</v>
      </c>
      <c r="AQ3820" s="5">
        <v>0</v>
      </c>
    </row>
    <row r="3821" spans="1:43" x14ac:dyDescent="0.2">
      <c r="A3821" t="s">
        <v>1994</v>
      </c>
      <c r="B3821" t="s">
        <v>1995</v>
      </c>
      <c r="C3821">
        <v>2008</v>
      </c>
      <c r="D3821" t="s">
        <v>811</v>
      </c>
      <c r="F3821" t="s">
        <v>1864</v>
      </c>
      <c r="G3821" s="1" t="s">
        <v>86</v>
      </c>
      <c r="H3821" t="s">
        <v>96</v>
      </c>
      <c r="I3821">
        <v>2006</v>
      </c>
      <c r="J3821">
        <v>0.92</v>
      </c>
      <c r="K3821" t="s">
        <v>102</v>
      </c>
      <c r="L3821">
        <v>110</v>
      </c>
      <c r="N3821" t="s">
        <v>126</v>
      </c>
      <c r="O3821" t="s">
        <v>126</v>
      </c>
      <c r="P3821" t="s">
        <v>2571</v>
      </c>
      <c r="Q3821" s="1" t="s">
        <v>2281</v>
      </c>
      <c r="R3821" s="1" t="s">
        <v>2282</v>
      </c>
      <c r="S3821" s="1" t="s">
        <v>126</v>
      </c>
      <c r="T3821" t="s">
        <v>396</v>
      </c>
      <c r="U3821" s="1" t="s">
        <v>2421</v>
      </c>
      <c r="V3821" t="s">
        <v>194</v>
      </c>
      <c r="W3821" t="s">
        <v>356</v>
      </c>
      <c r="X3821" t="s">
        <v>161</v>
      </c>
      <c r="Y3821" t="s">
        <v>2272</v>
      </c>
      <c r="Z3821" t="s">
        <v>2272</v>
      </c>
      <c r="AA3821" t="s">
        <v>2272</v>
      </c>
      <c r="AB3821" t="s">
        <v>2272</v>
      </c>
      <c r="AC3821" t="s">
        <v>162</v>
      </c>
      <c r="AD3821" t="s">
        <v>2272</v>
      </c>
      <c r="AF3821" t="s">
        <v>49</v>
      </c>
      <c r="AL3821" t="s">
        <v>49</v>
      </c>
      <c r="AM3821" t="s">
        <v>2002</v>
      </c>
      <c r="AN3821" t="s">
        <v>166</v>
      </c>
      <c r="AQ3821" s="5">
        <v>0</v>
      </c>
    </row>
    <row r="3822" spans="1:43" x14ac:dyDescent="0.2">
      <c r="A3822" t="s">
        <v>1994</v>
      </c>
      <c r="B3822" t="s">
        <v>1995</v>
      </c>
      <c r="C3822">
        <v>2008</v>
      </c>
      <c r="D3822" t="s">
        <v>811</v>
      </c>
      <c r="F3822" t="s">
        <v>1864</v>
      </c>
      <c r="G3822" s="1" t="s">
        <v>86</v>
      </c>
      <c r="H3822" t="s">
        <v>96</v>
      </c>
      <c r="I3822">
        <v>2006</v>
      </c>
      <c r="J3822">
        <v>0.92</v>
      </c>
      <c r="K3822" t="s">
        <v>102</v>
      </c>
      <c r="L3822">
        <v>110</v>
      </c>
      <c r="N3822" t="s">
        <v>127</v>
      </c>
      <c r="O3822" t="s">
        <v>1996</v>
      </c>
      <c r="P3822" t="s">
        <v>2574</v>
      </c>
      <c r="Q3822" s="1" t="s">
        <v>2281</v>
      </c>
      <c r="R3822" s="1" t="s">
        <v>2282</v>
      </c>
      <c r="S3822" s="1" t="s">
        <v>2355</v>
      </c>
      <c r="T3822" t="s">
        <v>396</v>
      </c>
      <c r="U3822" s="1" t="s">
        <v>2340</v>
      </c>
      <c r="V3822" t="s">
        <v>194</v>
      </c>
      <c r="W3822" t="s">
        <v>356</v>
      </c>
      <c r="X3822" t="s">
        <v>161</v>
      </c>
      <c r="Y3822" t="s">
        <v>2272</v>
      </c>
      <c r="Z3822" t="s">
        <v>2272</v>
      </c>
      <c r="AA3822" t="s">
        <v>2272</v>
      </c>
      <c r="AB3822" t="s">
        <v>2272</v>
      </c>
      <c r="AC3822" t="s">
        <v>162</v>
      </c>
      <c r="AD3822" t="s">
        <v>2272</v>
      </c>
      <c r="AF3822" t="s">
        <v>49</v>
      </c>
      <c r="AL3822" t="s">
        <v>49</v>
      </c>
      <c r="AM3822" t="s">
        <v>2002</v>
      </c>
      <c r="AN3822" t="s">
        <v>166</v>
      </c>
      <c r="AQ3822" s="5">
        <v>0</v>
      </c>
    </row>
    <row r="3823" spans="1:43" x14ac:dyDescent="0.2">
      <c r="A3823" t="s">
        <v>1994</v>
      </c>
      <c r="B3823" t="s">
        <v>1995</v>
      </c>
      <c r="C3823">
        <v>2008</v>
      </c>
      <c r="D3823" t="s">
        <v>811</v>
      </c>
      <c r="F3823" t="s">
        <v>1864</v>
      </c>
      <c r="G3823" s="1" t="s">
        <v>86</v>
      </c>
      <c r="H3823" t="s">
        <v>96</v>
      </c>
      <c r="I3823">
        <v>2006</v>
      </c>
      <c r="J3823">
        <v>0.92</v>
      </c>
      <c r="K3823" t="s">
        <v>102</v>
      </c>
      <c r="L3823">
        <v>110</v>
      </c>
      <c r="N3823" t="s">
        <v>123</v>
      </c>
      <c r="O3823" t="s">
        <v>123</v>
      </c>
      <c r="P3823" t="s">
        <v>518</v>
      </c>
      <c r="Q3823" s="1" t="s">
        <v>2281</v>
      </c>
      <c r="R3823" s="1" t="s">
        <v>2282</v>
      </c>
      <c r="S3823" s="1" t="s">
        <v>123</v>
      </c>
      <c r="T3823" t="s">
        <v>421</v>
      </c>
      <c r="U3823" t="s">
        <v>421</v>
      </c>
      <c r="V3823" t="s">
        <v>194</v>
      </c>
      <c r="W3823" t="s">
        <v>356</v>
      </c>
      <c r="X3823" t="s">
        <v>161</v>
      </c>
      <c r="Y3823" t="s">
        <v>2272</v>
      </c>
      <c r="Z3823" t="s">
        <v>2272</v>
      </c>
      <c r="AA3823" t="s">
        <v>2272</v>
      </c>
      <c r="AB3823" t="s">
        <v>2272</v>
      </c>
      <c r="AC3823" t="s">
        <v>162</v>
      </c>
      <c r="AD3823" t="s">
        <v>2272</v>
      </c>
      <c r="AF3823" t="s">
        <v>49</v>
      </c>
      <c r="AL3823" t="s">
        <v>49</v>
      </c>
      <c r="AM3823" t="s">
        <v>2003</v>
      </c>
      <c r="AN3823" t="s">
        <v>166</v>
      </c>
      <c r="AQ3823" s="5">
        <v>1</v>
      </c>
    </row>
    <row r="3824" spans="1:43" x14ac:dyDescent="0.2">
      <c r="A3824" t="s">
        <v>1994</v>
      </c>
      <c r="B3824" t="s">
        <v>1995</v>
      </c>
      <c r="C3824">
        <v>2008</v>
      </c>
      <c r="D3824" t="s">
        <v>811</v>
      </c>
      <c r="F3824" t="s">
        <v>1864</v>
      </c>
      <c r="G3824" s="1" t="s">
        <v>86</v>
      </c>
      <c r="H3824" t="s">
        <v>96</v>
      </c>
      <c r="I3824">
        <v>2006</v>
      </c>
      <c r="J3824">
        <v>0.92</v>
      </c>
      <c r="K3824" t="s">
        <v>102</v>
      </c>
      <c r="L3824">
        <v>110</v>
      </c>
      <c r="N3824" t="s">
        <v>126</v>
      </c>
      <c r="O3824" t="s">
        <v>126</v>
      </c>
      <c r="P3824" t="s">
        <v>2571</v>
      </c>
      <c r="Q3824" s="1" t="s">
        <v>2281</v>
      </c>
      <c r="R3824" s="1" t="s">
        <v>2282</v>
      </c>
      <c r="S3824" s="1" t="s">
        <v>126</v>
      </c>
      <c r="T3824" t="s">
        <v>421</v>
      </c>
      <c r="U3824" t="s">
        <v>421</v>
      </c>
      <c r="V3824" t="s">
        <v>194</v>
      </c>
      <c r="W3824" t="s">
        <v>356</v>
      </c>
      <c r="X3824" t="s">
        <v>161</v>
      </c>
      <c r="Y3824" t="s">
        <v>2272</v>
      </c>
      <c r="Z3824" t="s">
        <v>2272</v>
      </c>
      <c r="AA3824" t="s">
        <v>2272</v>
      </c>
      <c r="AB3824" t="s">
        <v>2272</v>
      </c>
      <c r="AC3824" t="s">
        <v>162</v>
      </c>
      <c r="AD3824" t="s">
        <v>2272</v>
      </c>
      <c r="AF3824" t="s">
        <v>49</v>
      </c>
      <c r="AL3824" t="s">
        <v>49</v>
      </c>
      <c r="AM3824" t="s">
        <v>2003</v>
      </c>
      <c r="AN3824" t="s">
        <v>166</v>
      </c>
      <c r="AQ3824" s="5">
        <v>1</v>
      </c>
    </row>
    <row r="3825" spans="1:43" x14ac:dyDescent="0.2">
      <c r="A3825" t="s">
        <v>1994</v>
      </c>
      <c r="B3825" t="s">
        <v>1995</v>
      </c>
      <c r="C3825">
        <v>2008</v>
      </c>
      <c r="D3825" t="s">
        <v>811</v>
      </c>
      <c r="F3825" t="s">
        <v>1864</v>
      </c>
      <c r="G3825" s="1" t="s">
        <v>86</v>
      </c>
      <c r="H3825" t="s">
        <v>96</v>
      </c>
      <c r="I3825">
        <v>2006</v>
      </c>
      <c r="J3825">
        <v>0.92</v>
      </c>
      <c r="K3825" t="s">
        <v>102</v>
      </c>
      <c r="L3825">
        <v>110</v>
      </c>
      <c r="N3825" t="s">
        <v>127</v>
      </c>
      <c r="O3825" t="s">
        <v>1996</v>
      </c>
      <c r="P3825" t="s">
        <v>2574</v>
      </c>
      <c r="Q3825" s="1" t="s">
        <v>2281</v>
      </c>
      <c r="R3825" s="1" t="s">
        <v>2282</v>
      </c>
      <c r="S3825" s="1" t="s">
        <v>2355</v>
      </c>
      <c r="T3825" t="s">
        <v>421</v>
      </c>
      <c r="U3825" t="s">
        <v>421</v>
      </c>
      <c r="V3825" t="s">
        <v>194</v>
      </c>
      <c r="W3825" t="s">
        <v>356</v>
      </c>
      <c r="X3825" t="s">
        <v>161</v>
      </c>
      <c r="Y3825" t="s">
        <v>2272</v>
      </c>
      <c r="Z3825" t="s">
        <v>2272</v>
      </c>
      <c r="AA3825" t="s">
        <v>2272</v>
      </c>
      <c r="AB3825" t="s">
        <v>2272</v>
      </c>
      <c r="AC3825" t="s">
        <v>162</v>
      </c>
      <c r="AD3825" t="s">
        <v>2272</v>
      </c>
      <c r="AF3825" t="s">
        <v>49</v>
      </c>
      <c r="AL3825" t="s">
        <v>49</v>
      </c>
      <c r="AM3825" t="s">
        <v>2003</v>
      </c>
      <c r="AN3825" t="s">
        <v>166</v>
      </c>
      <c r="AQ3825" s="5">
        <v>1</v>
      </c>
    </row>
    <row r="3826" spans="1:43" x14ac:dyDescent="0.2">
      <c r="A3826" t="s">
        <v>1994</v>
      </c>
      <c r="B3826" t="s">
        <v>1995</v>
      </c>
      <c r="C3826">
        <v>2008</v>
      </c>
      <c r="D3826" t="s">
        <v>811</v>
      </c>
      <c r="F3826" t="s">
        <v>1864</v>
      </c>
      <c r="G3826" s="1" t="s">
        <v>86</v>
      </c>
      <c r="H3826" t="s">
        <v>96</v>
      </c>
      <c r="I3826">
        <v>2006</v>
      </c>
      <c r="J3826">
        <v>0.92</v>
      </c>
      <c r="K3826" t="s">
        <v>102</v>
      </c>
      <c r="L3826">
        <v>110</v>
      </c>
      <c r="N3826" t="s">
        <v>123</v>
      </c>
      <c r="O3826" t="s">
        <v>123</v>
      </c>
      <c r="P3826" t="s">
        <v>518</v>
      </c>
      <c r="Q3826" s="1" t="s">
        <v>2281</v>
      </c>
      <c r="R3826" s="1" t="s">
        <v>2282</v>
      </c>
      <c r="S3826" s="1" t="s">
        <v>123</v>
      </c>
      <c r="T3826" t="s">
        <v>396</v>
      </c>
      <c r="U3826" s="1" t="s">
        <v>2422</v>
      </c>
      <c r="V3826" t="s">
        <v>194</v>
      </c>
      <c r="W3826" t="s">
        <v>356</v>
      </c>
      <c r="X3826" t="s">
        <v>161</v>
      </c>
      <c r="Y3826" t="s">
        <v>2272</v>
      </c>
      <c r="Z3826" t="s">
        <v>2272</v>
      </c>
      <c r="AA3826" t="s">
        <v>2272</v>
      </c>
      <c r="AB3826" t="s">
        <v>2272</v>
      </c>
      <c r="AC3826" t="s">
        <v>162</v>
      </c>
      <c r="AD3826" t="s">
        <v>2272</v>
      </c>
      <c r="AF3826" t="s">
        <v>49</v>
      </c>
      <c r="AL3826" t="s">
        <v>49</v>
      </c>
      <c r="AM3826" t="s">
        <v>2003</v>
      </c>
      <c r="AN3826" t="s">
        <v>166</v>
      </c>
      <c r="AQ3826" s="5">
        <v>1</v>
      </c>
    </row>
    <row r="3827" spans="1:43" x14ac:dyDescent="0.2">
      <c r="A3827" t="s">
        <v>1994</v>
      </c>
      <c r="B3827" t="s">
        <v>1995</v>
      </c>
      <c r="C3827">
        <v>2008</v>
      </c>
      <c r="D3827" t="s">
        <v>811</v>
      </c>
      <c r="F3827" t="s">
        <v>1864</v>
      </c>
      <c r="G3827" s="1" t="s">
        <v>86</v>
      </c>
      <c r="H3827" t="s">
        <v>96</v>
      </c>
      <c r="I3827">
        <v>2006</v>
      </c>
      <c r="J3827">
        <v>0.92</v>
      </c>
      <c r="K3827" t="s">
        <v>102</v>
      </c>
      <c r="L3827">
        <v>110</v>
      </c>
      <c r="N3827" t="s">
        <v>126</v>
      </c>
      <c r="O3827" t="s">
        <v>126</v>
      </c>
      <c r="P3827" t="s">
        <v>2571</v>
      </c>
      <c r="Q3827" s="1" t="s">
        <v>2281</v>
      </c>
      <c r="R3827" s="1" t="s">
        <v>2282</v>
      </c>
      <c r="S3827" s="1" t="s">
        <v>126</v>
      </c>
      <c r="T3827" t="s">
        <v>396</v>
      </c>
      <c r="U3827" s="1" t="s">
        <v>2421</v>
      </c>
      <c r="V3827" t="s">
        <v>194</v>
      </c>
      <c r="W3827" t="s">
        <v>356</v>
      </c>
      <c r="X3827" t="s">
        <v>161</v>
      </c>
      <c r="Y3827" t="s">
        <v>2272</v>
      </c>
      <c r="Z3827" t="s">
        <v>2272</v>
      </c>
      <c r="AA3827" t="s">
        <v>2272</v>
      </c>
      <c r="AB3827" t="s">
        <v>2272</v>
      </c>
      <c r="AC3827" t="s">
        <v>162</v>
      </c>
      <c r="AD3827" t="s">
        <v>2272</v>
      </c>
      <c r="AF3827" t="s">
        <v>49</v>
      </c>
      <c r="AL3827" t="s">
        <v>49</v>
      </c>
      <c r="AM3827" t="s">
        <v>2003</v>
      </c>
      <c r="AN3827" t="s">
        <v>166</v>
      </c>
      <c r="AQ3827" s="5">
        <v>2</v>
      </c>
    </row>
    <row r="3828" spans="1:43" x14ac:dyDescent="0.2">
      <c r="A3828" t="s">
        <v>1994</v>
      </c>
      <c r="B3828" t="s">
        <v>1995</v>
      </c>
      <c r="C3828">
        <v>2008</v>
      </c>
      <c r="D3828" t="s">
        <v>811</v>
      </c>
      <c r="F3828" t="s">
        <v>1864</v>
      </c>
      <c r="G3828" s="1" t="s">
        <v>86</v>
      </c>
      <c r="H3828" t="s">
        <v>96</v>
      </c>
      <c r="I3828">
        <v>2006</v>
      </c>
      <c r="J3828">
        <v>0.92</v>
      </c>
      <c r="K3828" t="s">
        <v>102</v>
      </c>
      <c r="L3828">
        <v>110</v>
      </c>
      <c r="N3828" t="s">
        <v>127</v>
      </c>
      <c r="O3828" t="s">
        <v>1996</v>
      </c>
      <c r="P3828" t="s">
        <v>2574</v>
      </c>
      <c r="Q3828" s="1" t="s">
        <v>2281</v>
      </c>
      <c r="R3828" s="1" t="s">
        <v>2282</v>
      </c>
      <c r="S3828" s="1" t="s">
        <v>2355</v>
      </c>
      <c r="T3828" t="s">
        <v>396</v>
      </c>
      <c r="U3828" s="1" t="s">
        <v>2340</v>
      </c>
      <c r="V3828" t="s">
        <v>194</v>
      </c>
      <c r="W3828" t="s">
        <v>356</v>
      </c>
      <c r="X3828" t="s">
        <v>161</v>
      </c>
      <c r="Y3828" t="s">
        <v>2272</v>
      </c>
      <c r="Z3828" t="s">
        <v>2272</v>
      </c>
      <c r="AA3828" t="s">
        <v>2272</v>
      </c>
      <c r="AB3828" t="s">
        <v>2272</v>
      </c>
      <c r="AC3828" t="s">
        <v>162</v>
      </c>
      <c r="AD3828" t="s">
        <v>2272</v>
      </c>
      <c r="AF3828" t="s">
        <v>49</v>
      </c>
      <c r="AL3828" t="s">
        <v>49</v>
      </c>
      <c r="AM3828" t="s">
        <v>2003</v>
      </c>
      <c r="AN3828" t="s">
        <v>166</v>
      </c>
      <c r="AQ3828" s="5">
        <v>2</v>
      </c>
    </row>
    <row r="3829" spans="1:43" x14ac:dyDescent="0.2">
      <c r="A3829" t="s">
        <v>1994</v>
      </c>
      <c r="B3829" t="s">
        <v>1995</v>
      </c>
      <c r="C3829">
        <v>2008</v>
      </c>
      <c r="D3829" t="s">
        <v>811</v>
      </c>
      <c r="F3829" t="s">
        <v>1864</v>
      </c>
      <c r="G3829" s="1" t="s">
        <v>86</v>
      </c>
      <c r="H3829" t="s">
        <v>96</v>
      </c>
      <c r="I3829">
        <v>2006</v>
      </c>
      <c r="J3829">
        <v>0.92</v>
      </c>
      <c r="K3829" t="s">
        <v>102</v>
      </c>
      <c r="L3829">
        <v>110</v>
      </c>
      <c r="N3829" t="s">
        <v>123</v>
      </c>
      <c r="O3829" t="s">
        <v>123</v>
      </c>
      <c r="P3829" t="s">
        <v>518</v>
      </c>
      <c r="Q3829" s="1" t="s">
        <v>2281</v>
      </c>
      <c r="R3829" s="1" t="s">
        <v>2282</v>
      </c>
      <c r="S3829" s="1" t="s">
        <v>123</v>
      </c>
      <c r="T3829" t="s">
        <v>421</v>
      </c>
      <c r="U3829" t="s">
        <v>421</v>
      </c>
      <c r="V3829" t="s">
        <v>194</v>
      </c>
      <c r="W3829" t="s">
        <v>356</v>
      </c>
      <c r="X3829" t="s">
        <v>161</v>
      </c>
      <c r="Y3829" t="s">
        <v>2272</v>
      </c>
      <c r="Z3829" t="s">
        <v>2272</v>
      </c>
      <c r="AA3829" t="s">
        <v>2272</v>
      </c>
      <c r="AB3829" t="s">
        <v>2272</v>
      </c>
      <c r="AC3829" t="s">
        <v>162</v>
      </c>
      <c r="AD3829" t="s">
        <v>2272</v>
      </c>
      <c r="AF3829" t="s">
        <v>49</v>
      </c>
      <c r="AL3829" t="s">
        <v>49</v>
      </c>
      <c r="AM3829" t="s">
        <v>2004</v>
      </c>
      <c r="AN3829" t="s">
        <v>166</v>
      </c>
      <c r="AQ3829" s="5">
        <v>1</v>
      </c>
    </row>
    <row r="3830" spans="1:43" x14ac:dyDescent="0.2">
      <c r="A3830" t="s">
        <v>1994</v>
      </c>
      <c r="B3830" t="s">
        <v>1995</v>
      </c>
      <c r="C3830">
        <v>2008</v>
      </c>
      <c r="D3830" t="s">
        <v>811</v>
      </c>
      <c r="F3830" t="s">
        <v>1864</v>
      </c>
      <c r="G3830" s="1" t="s">
        <v>86</v>
      </c>
      <c r="H3830" t="s">
        <v>96</v>
      </c>
      <c r="I3830">
        <v>2006</v>
      </c>
      <c r="J3830">
        <v>0.92</v>
      </c>
      <c r="K3830" t="s">
        <v>102</v>
      </c>
      <c r="L3830">
        <v>110</v>
      </c>
      <c r="N3830" t="s">
        <v>126</v>
      </c>
      <c r="O3830" t="s">
        <v>126</v>
      </c>
      <c r="P3830" t="s">
        <v>2571</v>
      </c>
      <c r="Q3830" s="1" t="s">
        <v>2281</v>
      </c>
      <c r="R3830" s="1" t="s">
        <v>2282</v>
      </c>
      <c r="S3830" s="1" t="s">
        <v>126</v>
      </c>
      <c r="T3830" t="s">
        <v>421</v>
      </c>
      <c r="U3830" t="s">
        <v>421</v>
      </c>
      <c r="V3830" t="s">
        <v>194</v>
      </c>
      <c r="W3830" t="s">
        <v>356</v>
      </c>
      <c r="X3830" t="s">
        <v>161</v>
      </c>
      <c r="Y3830" t="s">
        <v>2272</v>
      </c>
      <c r="Z3830" t="s">
        <v>2272</v>
      </c>
      <c r="AA3830" t="s">
        <v>2272</v>
      </c>
      <c r="AB3830" t="s">
        <v>2272</v>
      </c>
      <c r="AC3830" t="s">
        <v>162</v>
      </c>
      <c r="AD3830" t="s">
        <v>2272</v>
      </c>
      <c r="AF3830" t="s">
        <v>49</v>
      </c>
      <c r="AL3830" t="s">
        <v>49</v>
      </c>
      <c r="AM3830" t="s">
        <v>2004</v>
      </c>
      <c r="AN3830" t="s">
        <v>166</v>
      </c>
      <c r="AQ3830" s="5">
        <v>1</v>
      </c>
    </row>
    <row r="3831" spans="1:43" x14ac:dyDescent="0.2">
      <c r="A3831" t="s">
        <v>1994</v>
      </c>
      <c r="B3831" t="s">
        <v>1995</v>
      </c>
      <c r="C3831">
        <v>2008</v>
      </c>
      <c r="D3831" t="s">
        <v>811</v>
      </c>
      <c r="F3831" t="s">
        <v>1864</v>
      </c>
      <c r="G3831" s="1" t="s">
        <v>86</v>
      </c>
      <c r="H3831" t="s">
        <v>96</v>
      </c>
      <c r="I3831">
        <v>2006</v>
      </c>
      <c r="J3831">
        <v>0.92</v>
      </c>
      <c r="K3831" t="s">
        <v>102</v>
      </c>
      <c r="L3831">
        <v>110</v>
      </c>
      <c r="N3831" t="s">
        <v>127</v>
      </c>
      <c r="O3831" t="s">
        <v>1996</v>
      </c>
      <c r="P3831" t="s">
        <v>2574</v>
      </c>
      <c r="Q3831" s="1" t="s">
        <v>2281</v>
      </c>
      <c r="R3831" s="1" t="s">
        <v>2282</v>
      </c>
      <c r="S3831" s="1" t="s">
        <v>2355</v>
      </c>
      <c r="T3831" t="s">
        <v>421</v>
      </c>
      <c r="U3831" t="s">
        <v>421</v>
      </c>
      <c r="V3831" t="s">
        <v>194</v>
      </c>
      <c r="W3831" t="s">
        <v>356</v>
      </c>
      <c r="X3831" t="s">
        <v>161</v>
      </c>
      <c r="Y3831" t="s">
        <v>2272</v>
      </c>
      <c r="Z3831" t="s">
        <v>2272</v>
      </c>
      <c r="AA3831" t="s">
        <v>2272</v>
      </c>
      <c r="AB3831" t="s">
        <v>2272</v>
      </c>
      <c r="AC3831" t="s">
        <v>162</v>
      </c>
      <c r="AD3831" t="s">
        <v>2272</v>
      </c>
      <c r="AF3831" t="s">
        <v>49</v>
      </c>
      <c r="AL3831" t="s">
        <v>49</v>
      </c>
      <c r="AM3831" t="s">
        <v>2004</v>
      </c>
      <c r="AN3831" t="s">
        <v>166</v>
      </c>
      <c r="AQ3831" s="5">
        <v>1</v>
      </c>
    </row>
    <row r="3832" spans="1:43" x14ac:dyDescent="0.2">
      <c r="A3832" t="s">
        <v>1994</v>
      </c>
      <c r="B3832" t="s">
        <v>1995</v>
      </c>
      <c r="C3832">
        <v>2008</v>
      </c>
      <c r="D3832" t="s">
        <v>811</v>
      </c>
      <c r="F3832" t="s">
        <v>1864</v>
      </c>
      <c r="G3832" s="1" t="s">
        <v>86</v>
      </c>
      <c r="H3832" t="s">
        <v>96</v>
      </c>
      <c r="I3832">
        <v>2006</v>
      </c>
      <c r="J3832">
        <v>0.92</v>
      </c>
      <c r="K3832" t="s">
        <v>102</v>
      </c>
      <c r="L3832">
        <v>110</v>
      </c>
      <c r="N3832" t="s">
        <v>123</v>
      </c>
      <c r="O3832" t="s">
        <v>123</v>
      </c>
      <c r="P3832" t="s">
        <v>518</v>
      </c>
      <c r="Q3832" s="1" t="s">
        <v>2281</v>
      </c>
      <c r="R3832" s="1" t="s">
        <v>2282</v>
      </c>
      <c r="S3832" s="1" t="s">
        <v>123</v>
      </c>
      <c r="T3832" t="s">
        <v>396</v>
      </c>
      <c r="U3832" s="1" t="s">
        <v>2422</v>
      </c>
      <c r="V3832" t="s">
        <v>194</v>
      </c>
      <c r="W3832" t="s">
        <v>356</v>
      </c>
      <c r="X3832" t="s">
        <v>161</v>
      </c>
      <c r="Y3832" t="s">
        <v>2272</v>
      </c>
      <c r="Z3832" t="s">
        <v>2272</v>
      </c>
      <c r="AA3832" t="s">
        <v>2272</v>
      </c>
      <c r="AB3832" t="s">
        <v>2272</v>
      </c>
      <c r="AC3832" t="s">
        <v>162</v>
      </c>
      <c r="AD3832" t="s">
        <v>2272</v>
      </c>
      <c r="AF3832" t="s">
        <v>49</v>
      </c>
      <c r="AL3832" t="s">
        <v>49</v>
      </c>
      <c r="AM3832" t="s">
        <v>2004</v>
      </c>
      <c r="AN3832" t="s">
        <v>166</v>
      </c>
      <c r="AQ3832" s="5">
        <v>2</v>
      </c>
    </row>
    <row r="3833" spans="1:43" x14ac:dyDescent="0.2">
      <c r="A3833" t="s">
        <v>1994</v>
      </c>
      <c r="B3833" t="s">
        <v>1995</v>
      </c>
      <c r="C3833">
        <v>2008</v>
      </c>
      <c r="D3833" t="s">
        <v>811</v>
      </c>
      <c r="F3833" t="s">
        <v>1864</v>
      </c>
      <c r="G3833" s="1" t="s">
        <v>86</v>
      </c>
      <c r="H3833" t="s">
        <v>96</v>
      </c>
      <c r="I3833">
        <v>2006</v>
      </c>
      <c r="J3833">
        <v>0.92</v>
      </c>
      <c r="K3833" t="s">
        <v>102</v>
      </c>
      <c r="L3833">
        <v>110</v>
      </c>
      <c r="N3833" t="s">
        <v>126</v>
      </c>
      <c r="O3833" t="s">
        <v>126</v>
      </c>
      <c r="P3833" t="s">
        <v>2571</v>
      </c>
      <c r="Q3833" s="1" t="s">
        <v>2281</v>
      </c>
      <c r="R3833" s="1" t="s">
        <v>2282</v>
      </c>
      <c r="S3833" s="1" t="s">
        <v>126</v>
      </c>
      <c r="T3833" t="s">
        <v>396</v>
      </c>
      <c r="U3833" s="1" t="s">
        <v>2421</v>
      </c>
      <c r="V3833" t="s">
        <v>194</v>
      </c>
      <c r="W3833" t="s">
        <v>356</v>
      </c>
      <c r="X3833" t="s">
        <v>161</v>
      </c>
      <c r="Y3833" t="s">
        <v>2272</v>
      </c>
      <c r="Z3833" t="s">
        <v>2272</v>
      </c>
      <c r="AA3833" t="s">
        <v>2272</v>
      </c>
      <c r="AB3833" t="s">
        <v>2272</v>
      </c>
      <c r="AC3833" t="s">
        <v>162</v>
      </c>
      <c r="AD3833" t="s">
        <v>2272</v>
      </c>
      <c r="AF3833" t="s">
        <v>49</v>
      </c>
      <c r="AL3833" t="s">
        <v>49</v>
      </c>
      <c r="AM3833" t="s">
        <v>2004</v>
      </c>
      <c r="AN3833" t="s">
        <v>166</v>
      </c>
      <c r="AQ3833" s="5">
        <v>1</v>
      </c>
    </row>
    <row r="3834" spans="1:43" x14ac:dyDescent="0.2">
      <c r="A3834" t="s">
        <v>1994</v>
      </c>
      <c r="B3834" t="s">
        <v>1995</v>
      </c>
      <c r="C3834">
        <v>2008</v>
      </c>
      <c r="D3834" t="s">
        <v>811</v>
      </c>
      <c r="F3834" t="s">
        <v>1864</v>
      </c>
      <c r="G3834" s="1" t="s">
        <v>86</v>
      </c>
      <c r="H3834" t="s">
        <v>96</v>
      </c>
      <c r="I3834">
        <v>2006</v>
      </c>
      <c r="J3834">
        <v>0.92</v>
      </c>
      <c r="K3834" t="s">
        <v>102</v>
      </c>
      <c r="L3834">
        <v>110</v>
      </c>
      <c r="N3834" t="s">
        <v>127</v>
      </c>
      <c r="O3834" t="s">
        <v>1996</v>
      </c>
      <c r="P3834" t="s">
        <v>2574</v>
      </c>
      <c r="Q3834" s="1" t="s">
        <v>2281</v>
      </c>
      <c r="R3834" s="1" t="s">
        <v>2282</v>
      </c>
      <c r="S3834" s="1" t="s">
        <v>2355</v>
      </c>
      <c r="T3834" t="s">
        <v>396</v>
      </c>
      <c r="U3834" s="1" t="s">
        <v>2340</v>
      </c>
      <c r="V3834" t="s">
        <v>194</v>
      </c>
      <c r="W3834" t="s">
        <v>356</v>
      </c>
      <c r="X3834" t="s">
        <v>161</v>
      </c>
      <c r="Y3834" t="s">
        <v>2272</v>
      </c>
      <c r="Z3834" t="s">
        <v>2272</v>
      </c>
      <c r="AA3834" t="s">
        <v>2272</v>
      </c>
      <c r="AB3834" t="s">
        <v>2272</v>
      </c>
      <c r="AC3834" t="s">
        <v>162</v>
      </c>
      <c r="AD3834" t="s">
        <v>2272</v>
      </c>
      <c r="AF3834" t="s">
        <v>49</v>
      </c>
      <c r="AL3834" t="s">
        <v>49</v>
      </c>
      <c r="AM3834" t="s">
        <v>2004</v>
      </c>
      <c r="AN3834" t="s">
        <v>166</v>
      </c>
      <c r="AQ3834" s="5">
        <v>2</v>
      </c>
    </row>
    <row r="3835" spans="1:43" x14ac:dyDescent="0.2">
      <c r="A3835" t="s">
        <v>1994</v>
      </c>
      <c r="B3835" t="s">
        <v>1995</v>
      </c>
      <c r="C3835">
        <v>2008</v>
      </c>
      <c r="D3835" t="s">
        <v>811</v>
      </c>
      <c r="F3835" t="s">
        <v>1864</v>
      </c>
      <c r="G3835" s="1" t="s">
        <v>86</v>
      </c>
      <c r="H3835" t="s">
        <v>96</v>
      </c>
      <c r="I3835">
        <v>2006</v>
      </c>
      <c r="J3835">
        <v>0.92</v>
      </c>
      <c r="K3835" t="s">
        <v>102</v>
      </c>
      <c r="L3835">
        <v>110</v>
      </c>
      <c r="N3835" t="s">
        <v>123</v>
      </c>
      <c r="O3835" t="s">
        <v>123</v>
      </c>
      <c r="P3835" t="s">
        <v>518</v>
      </c>
      <c r="Q3835" s="1" t="s">
        <v>2281</v>
      </c>
      <c r="R3835" s="1" t="s">
        <v>2282</v>
      </c>
      <c r="S3835" s="1" t="s">
        <v>123</v>
      </c>
      <c r="T3835" t="s">
        <v>421</v>
      </c>
      <c r="U3835" t="s">
        <v>421</v>
      </c>
      <c r="V3835" t="s">
        <v>194</v>
      </c>
      <c r="W3835" t="s">
        <v>356</v>
      </c>
      <c r="X3835" t="s">
        <v>161</v>
      </c>
      <c r="Y3835" t="s">
        <v>2272</v>
      </c>
      <c r="Z3835" t="s">
        <v>2272</v>
      </c>
      <c r="AA3835" t="s">
        <v>2272</v>
      </c>
      <c r="AB3835" t="s">
        <v>2272</v>
      </c>
      <c r="AC3835" t="s">
        <v>162</v>
      </c>
      <c r="AD3835" t="s">
        <v>2272</v>
      </c>
      <c r="AF3835" t="s">
        <v>49</v>
      </c>
      <c r="AL3835" t="s">
        <v>49</v>
      </c>
      <c r="AM3835" t="s">
        <v>2004</v>
      </c>
      <c r="AN3835" t="s">
        <v>166</v>
      </c>
      <c r="AQ3835" s="5">
        <v>0</v>
      </c>
    </row>
    <row r="3836" spans="1:43" x14ac:dyDescent="0.2">
      <c r="A3836" t="s">
        <v>1994</v>
      </c>
      <c r="B3836" t="s">
        <v>1995</v>
      </c>
      <c r="C3836">
        <v>2008</v>
      </c>
      <c r="D3836" t="s">
        <v>811</v>
      </c>
      <c r="F3836" t="s">
        <v>1864</v>
      </c>
      <c r="G3836" s="1" t="s">
        <v>86</v>
      </c>
      <c r="H3836" t="s">
        <v>96</v>
      </c>
      <c r="I3836">
        <v>2006</v>
      </c>
      <c r="J3836">
        <v>0.92</v>
      </c>
      <c r="K3836" t="s">
        <v>102</v>
      </c>
      <c r="L3836">
        <v>110</v>
      </c>
      <c r="N3836" t="s">
        <v>126</v>
      </c>
      <c r="O3836" t="s">
        <v>126</v>
      </c>
      <c r="P3836" t="s">
        <v>2571</v>
      </c>
      <c r="Q3836" s="1" t="s">
        <v>2281</v>
      </c>
      <c r="R3836" s="1" t="s">
        <v>2282</v>
      </c>
      <c r="S3836" s="1" t="s">
        <v>126</v>
      </c>
      <c r="T3836" t="s">
        <v>421</v>
      </c>
      <c r="U3836" t="s">
        <v>421</v>
      </c>
      <c r="V3836" t="s">
        <v>194</v>
      </c>
      <c r="W3836" t="s">
        <v>356</v>
      </c>
      <c r="X3836" t="s">
        <v>161</v>
      </c>
      <c r="Y3836" t="s">
        <v>2272</v>
      </c>
      <c r="Z3836" t="s">
        <v>2272</v>
      </c>
      <c r="AA3836" t="s">
        <v>2272</v>
      </c>
      <c r="AB3836" t="s">
        <v>2272</v>
      </c>
      <c r="AC3836" t="s">
        <v>162</v>
      </c>
      <c r="AD3836" t="s">
        <v>2272</v>
      </c>
      <c r="AF3836" t="s">
        <v>49</v>
      </c>
      <c r="AL3836" t="s">
        <v>49</v>
      </c>
      <c r="AM3836" t="s">
        <v>2004</v>
      </c>
      <c r="AN3836" t="s">
        <v>166</v>
      </c>
      <c r="AQ3836" s="5">
        <v>1</v>
      </c>
    </row>
    <row r="3837" spans="1:43" x14ac:dyDescent="0.2">
      <c r="A3837" t="s">
        <v>1994</v>
      </c>
      <c r="B3837" t="s">
        <v>1995</v>
      </c>
      <c r="C3837">
        <v>2008</v>
      </c>
      <c r="D3837" t="s">
        <v>811</v>
      </c>
      <c r="F3837" t="s">
        <v>1864</v>
      </c>
      <c r="G3837" s="1" t="s">
        <v>86</v>
      </c>
      <c r="H3837" t="s">
        <v>96</v>
      </c>
      <c r="I3837">
        <v>2006</v>
      </c>
      <c r="J3837">
        <v>0.92</v>
      </c>
      <c r="K3837" t="s">
        <v>102</v>
      </c>
      <c r="L3837">
        <v>110</v>
      </c>
      <c r="N3837" t="s">
        <v>127</v>
      </c>
      <c r="O3837" t="s">
        <v>1996</v>
      </c>
      <c r="P3837" t="s">
        <v>2574</v>
      </c>
      <c r="Q3837" s="1" t="s">
        <v>2281</v>
      </c>
      <c r="R3837" s="1" t="s">
        <v>2282</v>
      </c>
      <c r="S3837" s="1" t="s">
        <v>2355</v>
      </c>
      <c r="T3837" t="s">
        <v>421</v>
      </c>
      <c r="U3837" t="s">
        <v>421</v>
      </c>
      <c r="V3837" t="s">
        <v>194</v>
      </c>
      <c r="W3837" t="s">
        <v>356</v>
      </c>
      <c r="X3837" t="s">
        <v>161</v>
      </c>
      <c r="Y3837" t="s">
        <v>2272</v>
      </c>
      <c r="Z3837" t="s">
        <v>2272</v>
      </c>
      <c r="AA3837" t="s">
        <v>2272</v>
      </c>
      <c r="AB3837" t="s">
        <v>2272</v>
      </c>
      <c r="AC3837" t="s">
        <v>162</v>
      </c>
      <c r="AD3837" t="s">
        <v>2272</v>
      </c>
      <c r="AF3837" t="s">
        <v>49</v>
      </c>
      <c r="AL3837" t="s">
        <v>49</v>
      </c>
      <c r="AM3837" t="s">
        <v>2004</v>
      </c>
      <c r="AN3837" t="s">
        <v>166</v>
      </c>
      <c r="AQ3837" s="5">
        <v>1</v>
      </c>
    </row>
    <row r="3838" spans="1:43" x14ac:dyDescent="0.2">
      <c r="A3838" t="s">
        <v>1994</v>
      </c>
      <c r="B3838" t="s">
        <v>1995</v>
      </c>
      <c r="C3838">
        <v>2008</v>
      </c>
      <c r="D3838" t="s">
        <v>811</v>
      </c>
      <c r="F3838" t="s">
        <v>1864</v>
      </c>
      <c r="G3838" s="1" t="s">
        <v>86</v>
      </c>
      <c r="H3838" t="s">
        <v>96</v>
      </c>
      <c r="I3838">
        <v>2006</v>
      </c>
      <c r="J3838">
        <v>0.92</v>
      </c>
      <c r="K3838" t="s">
        <v>102</v>
      </c>
      <c r="L3838">
        <v>110</v>
      </c>
      <c r="N3838" t="s">
        <v>123</v>
      </c>
      <c r="O3838" t="s">
        <v>123</v>
      </c>
      <c r="P3838" t="s">
        <v>518</v>
      </c>
      <c r="Q3838" s="1" t="s">
        <v>2281</v>
      </c>
      <c r="R3838" s="1" t="s">
        <v>2282</v>
      </c>
      <c r="S3838" s="1" t="s">
        <v>123</v>
      </c>
      <c r="T3838" t="s">
        <v>396</v>
      </c>
      <c r="U3838" s="1" t="s">
        <v>2422</v>
      </c>
      <c r="V3838" t="s">
        <v>194</v>
      </c>
      <c r="W3838" t="s">
        <v>356</v>
      </c>
      <c r="X3838" t="s">
        <v>161</v>
      </c>
      <c r="Y3838" t="s">
        <v>2272</v>
      </c>
      <c r="Z3838" t="s">
        <v>2272</v>
      </c>
      <c r="AA3838" t="s">
        <v>2272</v>
      </c>
      <c r="AB3838" t="s">
        <v>2272</v>
      </c>
      <c r="AC3838" t="s">
        <v>162</v>
      </c>
      <c r="AD3838" t="s">
        <v>2272</v>
      </c>
      <c r="AF3838" t="s">
        <v>49</v>
      </c>
      <c r="AL3838" t="s">
        <v>49</v>
      </c>
      <c r="AM3838" t="s">
        <v>2004</v>
      </c>
      <c r="AN3838" t="s">
        <v>166</v>
      </c>
      <c r="AQ3838" s="5">
        <v>3</v>
      </c>
    </row>
    <row r="3839" spans="1:43" x14ac:dyDescent="0.2">
      <c r="A3839" t="s">
        <v>1994</v>
      </c>
      <c r="B3839" t="s">
        <v>1995</v>
      </c>
      <c r="C3839">
        <v>2008</v>
      </c>
      <c r="D3839" t="s">
        <v>811</v>
      </c>
      <c r="F3839" t="s">
        <v>1864</v>
      </c>
      <c r="G3839" s="1" t="s">
        <v>86</v>
      </c>
      <c r="H3839" t="s">
        <v>96</v>
      </c>
      <c r="I3839">
        <v>2006</v>
      </c>
      <c r="J3839">
        <v>0.92</v>
      </c>
      <c r="K3839" t="s">
        <v>102</v>
      </c>
      <c r="L3839">
        <v>110</v>
      </c>
      <c r="N3839" t="s">
        <v>126</v>
      </c>
      <c r="O3839" t="s">
        <v>126</v>
      </c>
      <c r="P3839" t="s">
        <v>2571</v>
      </c>
      <c r="Q3839" s="1" t="s">
        <v>2281</v>
      </c>
      <c r="R3839" s="1" t="s">
        <v>2282</v>
      </c>
      <c r="S3839" s="1" t="s">
        <v>126</v>
      </c>
      <c r="T3839" t="s">
        <v>396</v>
      </c>
      <c r="U3839" s="1" t="s">
        <v>2421</v>
      </c>
      <c r="V3839" t="s">
        <v>194</v>
      </c>
      <c r="W3839" t="s">
        <v>356</v>
      </c>
      <c r="X3839" t="s">
        <v>161</v>
      </c>
      <c r="Y3839" t="s">
        <v>2272</v>
      </c>
      <c r="Z3839" t="s">
        <v>2272</v>
      </c>
      <c r="AA3839" t="s">
        <v>2272</v>
      </c>
      <c r="AB3839" t="s">
        <v>2272</v>
      </c>
      <c r="AC3839" t="s">
        <v>162</v>
      </c>
      <c r="AD3839" t="s">
        <v>2272</v>
      </c>
      <c r="AF3839" t="s">
        <v>49</v>
      </c>
      <c r="AL3839" t="s">
        <v>49</v>
      </c>
      <c r="AM3839" t="s">
        <v>2004</v>
      </c>
      <c r="AN3839" t="s">
        <v>166</v>
      </c>
      <c r="AQ3839" s="5">
        <v>1</v>
      </c>
    </row>
    <row r="3840" spans="1:43" x14ac:dyDescent="0.2">
      <c r="A3840" t="s">
        <v>1994</v>
      </c>
      <c r="B3840" t="s">
        <v>1995</v>
      </c>
      <c r="C3840">
        <v>2008</v>
      </c>
      <c r="D3840" t="s">
        <v>811</v>
      </c>
      <c r="F3840" t="s">
        <v>1864</v>
      </c>
      <c r="G3840" s="1" t="s">
        <v>86</v>
      </c>
      <c r="H3840" t="s">
        <v>96</v>
      </c>
      <c r="I3840">
        <v>2006</v>
      </c>
      <c r="J3840">
        <v>0.92</v>
      </c>
      <c r="K3840" t="s">
        <v>102</v>
      </c>
      <c r="L3840">
        <v>110</v>
      </c>
      <c r="N3840" t="s">
        <v>127</v>
      </c>
      <c r="O3840" t="s">
        <v>1996</v>
      </c>
      <c r="P3840" t="s">
        <v>2574</v>
      </c>
      <c r="Q3840" s="1" t="s">
        <v>2281</v>
      </c>
      <c r="R3840" s="1" t="s">
        <v>2282</v>
      </c>
      <c r="S3840" s="1" t="s">
        <v>2355</v>
      </c>
      <c r="T3840" t="s">
        <v>396</v>
      </c>
      <c r="U3840" s="1" t="s">
        <v>2340</v>
      </c>
      <c r="V3840" t="s">
        <v>194</v>
      </c>
      <c r="W3840" t="s">
        <v>356</v>
      </c>
      <c r="X3840" t="s">
        <v>161</v>
      </c>
      <c r="Y3840" t="s">
        <v>2272</v>
      </c>
      <c r="Z3840" t="s">
        <v>2272</v>
      </c>
      <c r="AA3840" t="s">
        <v>2272</v>
      </c>
      <c r="AB3840" t="s">
        <v>2272</v>
      </c>
      <c r="AC3840" t="s">
        <v>162</v>
      </c>
      <c r="AD3840" t="s">
        <v>2272</v>
      </c>
      <c r="AF3840" t="s">
        <v>49</v>
      </c>
      <c r="AL3840" t="s">
        <v>49</v>
      </c>
      <c r="AM3840" t="s">
        <v>2004</v>
      </c>
      <c r="AN3840" t="s">
        <v>166</v>
      </c>
      <c r="AQ3840" s="5">
        <v>2</v>
      </c>
    </row>
    <row r="3841" spans="1:43" x14ac:dyDescent="0.2">
      <c r="A3841" t="s">
        <v>2005</v>
      </c>
      <c r="B3841" t="s">
        <v>2006</v>
      </c>
      <c r="C3841">
        <v>2008</v>
      </c>
      <c r="D3841" t="s">
        <v>44</v>
      </c>
      <c r="F3841" t="s">
        <v>628</v>
      </c>
      <c r="G3841" s="1" t="s">
        <v>91</v>
      </c>
      <c r="H3841" t="s">
        <v>96</v>
      </c>
      <c r="K3841" t="s">
        <v>101</v>
      </c>
      <c r="L3841">
        <v>3.5</v>
      </c>
      <c r="M3841">
        <f t="shared" ref="M3841:M3860" si="86">0.5*0.5</f>
        <v>0.25</v>
      </c>
      <c r="N3841" t="s">
        <v>121</v>
      </c>
      <c r="O3841" t="s">
        <v>121</v>
      </c>
      <c r="P3841" t="s">
        <v>286</v>
      </c>
      <c r="Q3841" s="1" t="s">
        <v>2292</v>
      </c>
      <c r="R3841" s="1" t="s">
        <v>264</v>
      </c>
      <c r="S3841" s="1" t="s">
        <v>264</v>
      </c>
      <c r="T3841" t="s">
        <v>396</v>
      </c>
      <c r="U3841" t="s">
        <v>126</v>
      </c>
      <c r="V3841" t="s">
        <v>194</v>
      </c>
      <c r="W3841" t="s">
        <v>356</v>
      </c>
      <c r="X3841" t="s">
        <v>161</v>
      </c>
      <c r="Y3841" t="s">
        <v>2272</v>
      </c>
      <c r="Z3841" t="s">
        <v>2272</v>
      </c>
      <c r="AA3841" t="s">
        <v>2272</v>
      </c>
      <c r="AB3841" t="s">
        <v>2272</v>
      </c>
      <c r="AC3841" t="s">
        <v>162</v>
      </c>
      <c r="AD3841" t="s">
        <v>2272</v>
      </c>
      <c r="AF3841" t="s">
        <v>49</v>
      </c>
      <c r="AI3841" t="s">
        <v>49</v>
      </c>
      <c r="AM3841" t="s">
        <v>885</v>
      </c>
      <c r="AN3841" t="s">
        <v>166</v>
      </c>
      <c r="AQ3841" s="5">
        <v>2</v>
      </c>
    </row>
    <row r="3842" spans="1:43" x14ac:dyDescent="0.2">
      <c r="A3842" t="s">
        <v>2005</v>
      </c>
      <c r="B3842" t="s">
        <v>2006</v>
      </c>
      <c r="C3842">
        <v>2008</v>
      </c>
      <c r="D3842" t="s">
        <v>44</v>
      </c>
      <c r="F3842" t="s">
        <v>628</v>
      </c>
      <c r="G3842" s="1" t="s">
        <v>91</v>
      </c>
      <c r="H3842" t="s">
        <v>96</v>
      </c>
      <c r="K3842" t="s">
        <v>101</v>
      </c>
      <c r="L3842">
        <v>3.5</v>
      </c>
      <c r="M3842">
        <f t="shared" si="86"/>
        <v>0.25</v>
      </c>
      <c r="N3842" t="s">
        <v>126</v>
      </c>
      <c r="O3842" t="s">
        <v>1232</v>
      </c>
      <c r="P3842" t="s">
        <v>2571</v>
      </c>
      <c r="Q3842" s="1" t="s">
        <v>2281</v>
      </c>
      <c r="R3842" s="1" t="s">
        <v>2282</v>
      </c>
      <c r="S3842" s="1" t="s">
        <v>126</v>
      </c>
      <c r="T3842" t="s">
        <v>396</v>
      </c>
      <c r="U3842" t="s">
        <v>264</v>
      </c>
      <c r="V3842" t="s">
        <v>194</v>
      </c>
      <c r="W3842" t="s">
        <v>356</v>
      </c>
      <c r="X3842" t="s">
        <v>161</v>
      </c>
      <c r="Y3842" t="s">
        <v>2272</v>
      </c>
      <c r="Z3842" t="s">
        <v>2272</v>
      </c>
      <c r="AA3842" t="s">
        <v>2272</v>
      </c>
      <c r="AB3842" t="s">
        <v>2272</v>
      </c>
      <c r="AC3842" t="s">
        <v>162</v>
      </c>
      <c r="AD3842" t="s">
        <v>2272</v>
      </c>
      <c r="AF3842" t="s">
        <v>49</v>
      </c>
      <c r="AI3842" t="s">
        <v>49</v>
      </c>
      <c r="AM3842" t="s">
        <v>885</v>
      </c>
      <c r="AN3842" t="s">
        <v>166</v>
      </c>
      <c r="AQ3842" s="5">
        <v>1</v>
      </c>
    </row>
    <row r="3843" spans="1:43" x14ac:dyDescent="0.2">
      <c r="A3843" t="s">
        <v>2005</v>
      </c>
      <c r="B3843" t="s">
        <v>2006</v>
      </c>
      <c r="C3843">
        <v>2008</v>
      </c>
      <c r="D3843" t="s">
        <v>44</v>
      </c>
      <c r="F3843" t="s">
        <v>628</v>
      </c>
      <c r="G3843" s="1" t="s">
        <v>91</v>
      </c>
      <c r="H3843" t="s">
        <v>96</v>
      </c>
      <c r="K3843" t="s">
        <v>101</v>
      </c>
      <c r="L3843">
        <v>3.5</v>
      </c>
      <c r="M3843">
        <f t="shared" si="86"/>
        <v>0.25</v>
      </c>
      <c r="N3843" t="s">
        <v>121</v>
      </c>
      <c r="O3843" t="s">
        <v>121</v>
      </c>
      <c r="P3843" t="s">
        <v>286</v>
      </c>
      <c r="Q3843" s="1" t="s">
        <v>2292</v>
      </c>
      <c r="R3843" s="1" t="s">
        <v>264</v>
      </c>
      <c r="S3843" s="1" t="s">
        <v>264</v>
      </c>
      <c r="T3843" t="s">
        <v>396</v>
      </c>
      <c r="U3843" t="s">
        <v>126</v>
      </c>
      <c r="V3843" t="s">
        <v>194</v>
      </c>
      <c r="W3843" t="s">
        <v>356</v>
      </c>
      <c r="X3843" t="s">
        <v>161</v>
      </c>
      <c r="Y3843" t="s">
        <v>2272</v>
      </c>
      <c r="Z3843" t="s">
        <v>2272</v>
      </c>
      <c r="AA3843" t="s">
        <v>2272</v>
      </c>
      <c r="AB3843" t="s">
        <v>2272</v>
      </c>
      <c r="AC3843" t="s">
        <v>162</v>
      </c>
      <c r="AD3843" t="s">
        <v>2272</v>
      </c>
      <c r="AF3843" t="s">
        <v>49</v>
      </c>
      <c r="AI3843" t="s">
        <v>49</v>
      </c>
      <c r="AM3843" t="s">
        <v>885</v>
      </c>
      <c r="AN3843" t="s">
        <v>165</v>
      </c>
      <c r="AP3843" t="s">
        <v>49</v>
      </c>
    </row>
    <row r="3844" spans="1:43" x14ac:dyDescent="0.2">
      <c r="A3844" t="s">
        <v>2005</v>
      </c>
      <c r="B3844" t="s">
        <v>2006</v>
      </c>
      <c r="C3844">
        <v>2008</v>
      </c>
      <c r="D3844" t="s">
        <v>44</v>
      </c>
      <c r="F3844" t="s">
        <v>628</v>
      </c>
      <c r="G3844" s="1" t="s">
        <v>91</v>
      </c>
      <c r="H3844" t="s">
        <v>96</v>
      </c>
      <c r="K3844" t="s">
        <v>101</v>
      </c>
      <c r="L3844">
        <v>3.5</v>
      </c>
      <c r="M3844">
        <f t="shared" si="86"/>
        <v>0.25</v>
      </c>
      <c r="N3844" t="s">
        <v>126</v>
      </c>
      <c r="O3844" t="s">
        <v>1232</v>
      </c>
      <c r="P3844" t="s">
        <v>2571</v>
      </c>
      <c r="Q3844" s="1" t="s">
        <v>2281</v>
      </c>
      <c r="R3844" s="1" t="s">
        <v>2282</v>
      </c>
      <c r="S3844" s="1" t="s">
        <v>126</v>
      </c>
      <c r="T3844" t="s">
        <v>396</v>
      </c>
      <c r="U3844" t="s">
        <v>264</v>
      </c>
      <c r="V3844" t="s">
        <v>194</v>
      </c>
      <c r="W3844" t="s">
        <v>356</v>
      </c>
      <c r="X3844" t="s">
        <v>161</v>
      </c>
      <c r="Y3844" t="s">
        <v>2272</v>
      </c>
      <c r="Z3844" t="s">
        <v>2272</v>
      </c>
      <c r="AA3844" t="s">
        <v>2272</v>
      </c>
      <c r="AB3844" t="s">
        <v>2272</v>
      </c>
      <c r="AC3844" t="s">
        <v>162</v>
      </c>
      <c r="AD3844" t="s">
        <v>2272</v>
      </c>
      <c r="AF3844" t="s">
        <v>49</v>
      </c>
      <c r="AI3844" t="s">
        <v>49</v>
      </c>
      <c r="AM3844" t="s">
        <v>885</v>
      </c>
      <c r="AN3844" t="s">
        <v>165</v>
      </c>
      <c r="AP3844" t="s">
        <v>49</v>
      </c>
    </row>
    <row r="3845" spans="1:43" x14ac:dyDescent="0.2">
      <c r="A3845" t="s">
        <v>2005</v>
      </c>
      <c r="B3845" t="s">
        <v>2006</v>
      </c>
      <c r="C3845">
        <v>2008</v>
      </c>
      <c r="D3845" t="s">
        <v>44</v>
      </c>
      <c r="F3845" t="s">
        <v>628</v>
      </c>
      <c r="G3845" s="1" t="s">
        <v>91</v>
      </c>
      <c r="H3845" t="s">
        <v>96</v>
      </c>
      <c r="K3845" t="s">
        <v>101</v>
      </c>
      <c r="L3845">
        <v>3.5</v>
      </c>
      <c r="M3845">
        <f t="shared" si="86"/>
        <v>0.25</v>
      </c>
      <c r="N3845" t="s">
        <v>121</v>
      </c>
      <c r="O3845" t="s">
        <v>121</v>
      </c>
      <c r="P3845" t="s">
        <v>286</v>
      </c>
      <c r="Q3845" s="1" t="s">
        <v>2292</v>
      </c>
      <c r="R3845" s="1" t="s">
        <v>264</v>
      </c>
      <c r="S3845" s="1" t="s">
        <v>264</v>
      </c>
      <c r="T3845" t="s">
        <v>396</v>
      </c>
      <c r="U3845" t="s">
        <v>126</v>
      </c>
      <c r="V3845" t="s">
        <v>194</v>
      </c>
      <c r="W3845" t="s">
        <v>356</v>
      </c>
      <c r="X3845" t="s">
        <v>161</v>
      </c>
      <c r="Y3845" t="s">
        <v>2272</v>
      </c>
      <c r="Z3845" t="s">
        <v>2272</v>
      </c>
      <c r="AA3845" t="s">
        <v>2272</v>
      </c>
      <c r="AB3845" t="s">
        <v>2272</v>
      </c>
      <c r="AC3845" t="s">
        <v>162</v>
      </c>
      <c r="AD3845" t="s">
        <v>2272</v>
      </c>
      <c r="AF3845" t="s">
        <v>49</v>
      </c>
      <c r="AJ3845" t="s">
        <v>49</v>
      </c>
      <c r="AM3845" t="s">
        <v>2453</v>
      </c>
      <c r="AN3845" t="s">
        <v>166</v>
      </c>
      <c r="AQ3845" s="5">
        <v>1</v>
      </c>
    </row>
    <row r="3846" spans="1:43" x14ac:dyDescent="0.2">
      <c r="A3846" t="s">
        <v>2005</v>
      </c>
      <c r="B3846" t="s">
        <v>2006</v>
      </c>
      <c r="C3846">
        <v>2008</v>
      </c>
      <c r="D3846" t="s">
        <v>44</v>
      </c>
      <c r="F3846" t="s">
        <v>628</v>
      </c>
      <c r="G3846" s="1" t="s">
        <v>91</v>
      </c>
      <c r="H3846" t="s">
        <v>96</v>
      </c>
      <c r="K3846" t="s">
        <v>101</v>
      </c>
      <c r="L3846">
        <v>3.5</v>
      </c>
      <c r="M3846">
        <f t="shared" si="86"/>
        <v>0.25</v>
      </c>
      <c r="N3846" t="s">
        <v>126</v>
      </c>
      <c r="O3846" t="s">
        <v>1232</v>
      </c>
      <c r="P3846" t="s">
        <v>2571</v>
      </c>
      <c r="Q3846" s="1" t="s">
        <v>2281</v>
      </c>
      <c r="R3846" s="1" t="s">
        <v>2282</v>
      </c>
      <c r="S3846" s="1" t="s">
        <v>126</v>
      </c>
      <c r="T3846" t="s">
        <v>396</v>
      </c>
      <c r="U3846" t="s">
        <v>264</v>
      </c>
      <c r="V3846" t="s">
        <v>194</v>
      </c>
      <c r="W3846" t="s">
        <v>356</v>
      </c>
      <c r="X3846" t="s">
        <v>161</v>
      </c>
      <c r="Y3846" t="s">
        <v>2272</v>
      </c>
      <c r="Z3846" t="s">
        <v>2272</v>
      </c>
      <c r="AA3846" t="s">
        <v>2272</v>
      </c>
      <c r="AB3846" t="s">
        <v>2272</v>
      </c>
      <c r="AC3846" t="s">
        <v>162</v>
      </c>
      <c r="AD3846" t="s">
        <v>2272</v>
      </c>
      <c r="AF3846" t="s">
        <v>49</v>
      </c>
      <c r="AJ3846" t="s">
        <v>49</v>
      </c>
      <c r="AM3846" t="s">
        <v>2453</v>
      </c>
      <c r="AN3846" t="s">
        <v>166</v>
      </c>
      <c r="AQ3846" s="5">
        <v>2</v>
      </c>
    </row>
    <row r="3847" spans="1:43" x14ac:dyDescent="0.2">
      <c r="A3847" t="s">
        <v>2005</v>
      </c>
      <c r="B3847" t="s">
        <v>2006</v>
      </c>
      <c r="C3847">
        <v>2008</v>
      </c>
      <c r="D3847" t="s">
        <v>44</v>
      </c>
      <c r="F3847" t="s">
        <v>628</v>
      </c>
      <c r="G3847" s="1" t="s">
        <v>91</v>
      </c>
      <c r="H3847" t="s">
        <v>96</v>
      </c>
      <c r="K3847" t="s">
        <v>101</v>
      </c>
      <c r="L3847">
        <v>3.5</v>
      </c>
      <c r="M3847">
        <f t="shared" si="86"/>
        <v>0.25</v>
      </c>
      <c r="N3847" t="s">
        <v>121</v>
      </c>
      <c r="O3847" t="s">
        <v>121</v>
      </c>
      <c r="P3847" t="s">
        <v>286</v>
      </c>
      <c r="Q3847" s="1" t="s">
        <v>2292</v>
      </c>
      <c r="R3847" s="1" t="s">
        <v>264</v>
      </c>
      <c r="S3847" s="1" t="s">
        <v>264</v>
      </c>
      <c r="T3847" t="s">
        <v>396</v>
      </c>
      <c r="U3847" t="s">
        <v>126</v>
      </c>
      <c r="V3847" t="s">
        <v>194</v>
      </c>
      <c r="W3847" t="s">
        <v>356</v>
      </c>
      <c r="X3847" t="s">
        <v>161</v>
      </c>
      <c r="Y3847" t="s">
        <v>2272</v>
      </c>
      <c r="Z3847" t="s">
        <v>2272</v>
      </c>
      <c r="AA3847" t="s">
        <v>2272</v>
      </c>
      <c r="AB3847" t="s">
        <v>2272</v>
      </c>
      <c r="AC3847" t="s">
        <v>162</v>
      </c>
      <c r="AD3847" t="s">
        <v>2272</v>
      </c>
      <c r="AH3847" s="4" t="s">
        <v>49</v>
      </c>
      <c r="AI3847" t="s">
        <v>49</v>
      </c>
      <c r="AM3847" t="s">
        <v>233</v>
      </c>
      <c r="AN3847" t="s">
        <v>166</v>
      </c>
      <c r="AQ3847" s="5">
        <v>1</v>
      </c>
    </row>
    <row r="3848" spans="1:43" x14ac:dyDescent="0.2">
      <c r="A3848" t="s">
        <v>2005</v>
      </c>
      <c r="B3848" t="s">
        <v>2006</v>
      </c>
      <c r="C3848">
        <v>2008</v>
      </c>
      <c r="D3848" t="s">
        <v>44</v>
      </c>
      <c r="F3848" t="s">
        <v>628</v>
      </c>
      <c r="G3848" s="1" t="s">
        <v>91</v>
      </c>
      <c r="H3848" t="s">
        <v>96</v>
      </c>
      <c r="K3848" t="s">
        <v>101</v>
      </c>
      <c r="L3848">
        <v>3.5</v>
      </c>
      <c r="M3848">
        <f t="shared" si="86"/>
        <v>0.25</v>
      </c>
      <c r="N3848" t="s">
        <v>126</v>
      </c>
      <c r="O3848" t="s">
        <v>1232</v>
      </c>
      <c r="P3848" t="s">
        <v>2571</v>
      </c>
      <c r="Q3848" s="1" t="s">
        <v>2281</v>
      </c>
      <c r="R3848" s="1" t="s">
        <v>2282</v>
      </c>
      <c r="S3848" s="1" t="s">
        <v>126</v>
      </c>
      <c r="T3848" t="s">
        <v>396</v>
      </c>
      <c r="U3848" t="s">
        <v>264</v>
      </c>
      <c r="V3848" t="s">
        <v>194</v>
      </c>
      <c r="W3848" t="s">
        <v>356</v>
      </c>
      <c r="X3848" t="s">
        <v>161</v>
      </c>
      <c r="Y3848" t="s">
        <v>2272</v>
      </c>
      <c r="Z3848" t="s">
        <v>2272</v>
      </c>
      <c r="AA3848" t="s">
        <v>2272</v>
      </c>
      <c r="AB3848" t="s">
        <v>2272</v>
      </c>
      <c r="AC3848" t="s">
        <v>162</v>
      </c>
      <c r="AD3848" t="s">
        <v>2272</v>
      </c>
      <c r="AH3848" s="4" t="s">
        <v>49</v>
      </c>
      <c r="AI3848" t="s">
        <v>49</v>
      </c>
      <c r="AM3848" t="s">
        <v>233</v>
      </c>
      <c r="AN3848" t="s">
        <v>166</v>
      </c>
      <c r="AQ3848" s="5">
        <v>2</v>
      </c>
    </row>
    <row r="3849" spans="1:43" x14ac:dyDescent="0.2">
      <c r="A3849" t="s">
        <v>2005</v>
      </c>
      <c r="B3849" t="s">
        <v>2006</v>
      </c>
      <c r="C3849">
        <v>2008</v>
      </c>
      <c r="D3849" t="s">
        <v>44</v>
      </c>
      <c r="F3849" t="s">
        <v>628</v>
      </c>
      <c r="G3849" s="1" t="s">
        <v>91</v>
      </c>
      <c r="H3849" t="s">
        <v>96</v>
      </c>
      <c r="K3849" t="s">
        <v>101</v>
      </c>
      <c r="L3849">
        <v>3.5</v>
      </c>
      <c r="M3849">
        <f t="shared" si="86"/>
        <v>0.25</v>
      </c>
      <c r="N3849" t="s">
        <v>121</v>
      </c>
      <c r="O3849" t="s">
        <v>121</v>
      </c>
      <c r="P3849" t="s">
        <v>286</v>
      </c>
      <c r="Q3849" s="1" t="s">
        <v>2292</v>
      </c>
      <c r="R3849" s="1" t="s">
        <v>264</v>
      </c>
      <c r="S3849" s="1" t="s">
        <v>264</v>
      </c>
      <c r="T3849" t="s">
        <v>396</v>
      </c>
      <c r="U3849" t="s">
        <v>126</v>
      </c>
      <c r="V3849" t="s">
        <v>194</v>
      </c>
      <c r="W3849" t="s">
        <v>356</v>
      </c>
      <c r="X3849" t="s">
        <v>161</v>
      </c>
      <c r="Y3849" t="s">
        <v>2272</v>
      </c>
      <c r="Z3849" t="s">
        <v>2272</v>
      </c>
      <c r="AA3849" t="s">
        <v>2272</v>
      </c>
      <c r="AB3849" t="s">
        <v>2272</v>
      </c>
      <c r="AC3849" t="s">
        <v>162</v>
      </c>
      <c r="AD3849" t="s">
        <v>2272</v>
      </c>
      <c r="AH3849" s="4" t="s">
        <v>49</v>
      </c>
      <c r="AI3849" t="s">
        <v>49</v>
      </c>
      <c r="AM3849" t="s">
        <v>233</v>
      </c>
      <c r="AN3849" t="s">
        <v>154</v>
      </c>
      <c r="AQ3849" s="5">
        <v>1</v>
      </c>
    </row>
    <row r="3850" spans="1:43" x14ac:dyDescent="0.2">
      <c r="A3850" t="s">
        <v>2005</v>
      </c>
      <c r="B3850" t="s">
        <v>2006</v>
      </c>
      <c r="C3850">
        <v>2008</v>
      </c>
      <c r="D3850" t="s">
        <v>44</v>
      </c>
      <c r="F3850" t="s">
        <v>628</v>
      </c>
      <c r="G3850" s="1" t="s">
        <v>91</v>
      </c>
      <c r="H3850" t="s">
        <v>96</v>
      </c>
      <c r="K3850" t="s">
        <v>101</v>
      </c>
      <c r="L3850">
        <v>3.5</v>
      </c>
      <c r="M3850">
        <f t="shared" si="86"/>
        <v>0.25</v>
      </c>
      <c r="N3850" t="s">
        <v>126</v>
      </c>
      <c r="O3850" t="s">
        <v>1232</v>
      </c>
      <c r="P3850" t="s">
        <v>2571</v>
      </c>
      <c r="Q3850" s="1" t="s">
        <v>2281</v>
      </c>
      <c r="R3850" s="1" t="s">
        <v>2282</v>
      </c>
      <c r="S3850" s="1" t="s">
        <v>126</v>
      </c>
      <c r="T3850" t="s">
        <v>396</v>
      </c>
      <c r="U3850" t="s">
        <v>264</v>
      </c>
      <c r="V3850" t="s">
        <v>194</v>
      </c>
      <c r="W3850" t="s">
        <v>356</v>
      </c>
      <c r="X3850" t="s">
        <v>161</v>
      </c>
      <c r="Y3850" t="s">
        <v>2272</v>
      </c>
      <c r="Z3850" t="s">
        <v>2272</v>
      </c>
      <c r="AA3850" t="s">
        <v>2272</v>
      </c>
      <c r="AB3850" t="s">
        <v>2272</v>
      </c>
      <c r="AC3850" t="s">
        <v>162</v>
      </c>
      <c r="AD3850" t="s">
        <v>2272</v>
      </c>
      <c r="AH3850" s="4" t="s">
        <v>49</v>
      </c>
      <c r="AI3850" t="s">
        <v>49</v>
      </c>
      <c r="AM3850" t="s">
        <v>233</v>
      </c>
      <c r="AN3850" t="s">
        <v>154</v>
      </c>
      <c r="AQ3850" s="5">
        <v>2</v>
      </c>
    </row>
    <row r="3851" spans="1:43" x14ac:dyDescent="0.2">
      <c r="A3851" t="s">
        <v>2005</v>
      </c>
      <c r="B3851" t="s">
        <v>2006</v>
      </c>
      <c r="C3851">
        <v>2008</v>
      </c>
      <c r="D3851" t="s">
        <v>44</v>
      </c>
      <c r="F3851" t="s">
        <v>628</v>
      </c>
      <c r="G3851" s="1" t="s">
        <v>91</v>
      </c>
      <c r="H3851" t="s">
        <v>96</v>
      </c>
      <c r="K3851" t="s">
        <v>101</v>
      </c>
      <c r="L3851">
        <v>3.5</v>
      </c>
      <c r="M3851">
        <f t="shared" si="86"/>
        <v>0.25</v>
      </c>
      <c r="N3851" t="s">
        <v>121</v>
      </c>
      <c r="O3851" t="s">
        <v>121</v>
      </c>
      <c r="P3851" t="s">
        <v>286</v>
      </c>
      <c r="Q3851" s="1" t="s">
        <v>2292</v>
      </c>
      <c r="R3851" s="1" t="s">
        <v>264</v>
      </c>
      <c r="S3851" s="1" t="s">
        <v>264</v>
      </c>
      <c r="T3851" t="s">
        <v>396</v>
      </c>
      <c r="U3851" t="s">
        <v>126</v>
      </c>
      <c r="V3851" t="s">
        <v>194</v>
      </c>
      <c r="W3851" t="s">
        <v>356</v>
      </c>
      <c r="X3851" t="s">
        <v>161</v>
      </c>
      <c r="Y3851" t="s">
        <v>2272</v>
      </c>
      <c r="Z3851" t="s">
        <v>2272</v>
      </c>
      <c r="AA3851" t="s">
        <v>2272</v>
      </c>
      <c r="AB3851" t="s">
        <v>2272</v>
      </c>
      <c r="AC3851" t="s">
        <v>162</v>
      </c>
      <c r="AD3851" t="s">
        <v>2272</v>
      </c>
      <c r="AF3851" t="s">
        <v>49</v>
      </c>
      <c r="AJ3851" t="s">
        <v>49</v>
      </c>
      <c r="AM3851" t="s">
        <v>2453</v>
      </c>
      <c r="AN3851" t="s">
        <v>154</v>
      </c>
      <c r="AQ3851" s="5">
        <v>1</v>
      </c>
    </row>
    <row r="3852" spans="1:43" x14ac:dyDescent="0.2">
      <c r="A3852" t="s">
        <v>2005</v>
      </c>
      <c r="B3852" t="s">
        <v>2006</v>
      </c>
      <c r="C3852">
        <v>2008</v>
      </c>
      <c r="D3852" t="s">
        <v>44</v>
      </c>
      <c r="F3852" t="s">
        <v>628</v>
      </c>
      <c r="G3852" s="1" t="s">
        <v>91</v>
      </c>
      <c r="H3852" t="s">
        <v>96</v>
      </c>
      <c r="K3852" t="s">
        <v>101</v>
      </c>
      <c r="L3852">
        <v>3.5</v>
      </c>
      <c r="M3852">
        <f t="shared" si="86"/>
        <v>0.25</v>
      </c>
      <c r="N3852" t="s">
        <v>126</v>
      </c>
      <c r="O3852" t="s">
        <v>1232</v>
      </c>
      <c r="P3852" t="s">
        <v>2571</v>
      </c>
      <c r="Q3852" s="1" t="s">
        <v>2281</v>
      </c>
      <c r="R3852" s="1" t="s">
        <v>2282</v>
      </c>
      <c r="S3852" s="1" t="s">
        <v>126</v>
      </c>
      <c r="T3852" t="s">
        <v>396</v>
      </c>
      <c r="U3852" t="s">
        <v>264</v>
      </c>
      <c r="V3852" t="s">
        <v>194</v>
      </c>
      <c r="W3852" t="s">
        <v>356</v>
      </c>
      <c r="X3852" t="s">
        <v>161</v>
      </c>
      <c r="Y3852" t="s">
        <v>2272</v>
      </c>
      <c r="Z3852" t="s">
        <v>2272</v>
      </c>
      <c r="AA3852" t="s">
        <v>2272</v>
      </c>
      <c r="AB3852" t="s">
        <v>2272</v>
      </c>
      <c r="AC3852" t="s">
        <v>162</v>
      </c>
      <c r="AD3852" t="s">
        <v>2272</v>
      </c>
      <c r="AF3852" t="s">
        <v>49</v>
      </c>
      <c r="AJ3852" t="s">
        <v>49</v>
      </c>
      <c r="AM3852" t="s">
        <v>2453</v>
      </c>
      <c r="AN3852" t="s">
        <v>154</v>
      </c>
      <c r="AQ3852" s="5">
        <v>2</v>
      </c>
    </row>
    <row r="3853" spans="1:43" x14ac:dyDescent="0.2">
      <c r="A3853" t="s">
        <v>2005</v>
      </c>
      <c r="B3853" t="s">
        <v>2006</v>
      </c>
      <c r="C3853">
        <v>2008</v>
      </c>
      <c r="D3853" t="s">
        <v>44</v>
      </c>
      <c r="F3853" t="s">
        <v>628</v>
      </c>
      <c r="G3853" s="1" t="s">
        <v>91</v>
      </c>
      <c r="H3853" t="s">
        <v>96</v>
      </c>
      <c r="K3853" t="s">
        <v>101</v>
      </c>
      <c r="L3853">
        <v>3.5</v>
      </c>
      <c r="M3853">
        <f t="shared" si="86"/>
        <v>0.25</v>
      </c>
      <c r="N3853" t="s">
        <v>121</v>
      </c>
      <c r="O3853" t="s">
        <v>121</v>
      </c>
      <c r="P3853" t="s">
        <v>286</v>
      </c>
      <c r="Q3853" s="1" t="s">
        <v>2292</v>
      </c>
      <c r="R3853" s="1" t="s">
        <v>264</v>
      </c>
      <c r="S3853" s="1" t="s">
        <v>264</v>
      </c>
      <c r="T3853" t="s">
        <v>396</v>
      </c>
      <c r="U3853" t="s">
        <v>126</v>
      </c>
      <c r="V3853" t="s">
        <v>194</v>
      </c>
      <c r="W3853" t="s">
        <v>356</v>
      </c>
      <c r="X3853" t="s">
        <v>161</v>
      </c>
      <c r="Y3853" t="s">
        <v>2272</v>
      </c>
      <c r="Z3853" t="s">
        <v>2272</v>
      </c>
      <c r="AA3853" t="s">
        <v>2272</v>
      </c>
      <c r="AB3853" t="s">
        <v>2272</v>
      </c>
      <c r="AC3853" t="s">
        <v>162</v>
      </c>
      <c r="AD3853" t="s">
        <v>2272</v>
      </c>
      <c r="AH3853" s="4" t="s">
        <v>49</v>
      </c>
      <c r="AI3853" t="s">
        <v>49</v>
      </c>
      <c r="AM3853" t="s">
        <v>233</v>
      </c>
      <c r="AN3853" t="s">
        <v>166</v>
      </c>
      <c r="AQ3853" s="5">
        <v>1</v>
      </c>
    </row>
    <row r="3854" spans="1:43" x14ac:dyDescent="0.2">
      <c r="A3854" t="s">
        <v>2005</v>
      </c>
      <c r="B3854" t="s">
        <v>2006</v>
      </c>
      <c r="C3854">
        <v>2008</v>
      </c>
      <c r="D3854" t="s">
        <v>44</v>
      </c>
      <c r="F3854" t="s">
        <v>628</v>
      </c>
      <c r="G3854" s="1" t="s">
        <v>91</v>
      </c>
      <c r="H3854" t="s">
        <v>96</v>
      </c>
      <c r="K3854" t="s">
        <v>101</v>
      </c>
      <c r="L3854">
        <v>3.5</v>
      </c>
      <c r="M3854">
        <f t="shared" si="86"/>
        <v>0.25</v>
      </c>
      <c r="N3854" t="s">
        <v>126</v>
      </c>
      <c r="O3854" t="s">
        <v>1232</v>
      </c>
      <c r="P3854" t="s">
        <v>2571</v>
      </c>
      <c r="Q3854" s="1" t="s">
        <v>2281</v>
      </c>
      <c r="R3854" s="1" t="s">
        <v>2282</v>
      </c>
      <c r="S3854" s="1" t="s">
        <v>126</v>
      </c>
      <c r="T3854" t="s">
        <v>396</v>
      </c>
      <c r="U3854" t="s">
        <v>264</v>
      </c>
      <c r="V3854" t="s">
        <v>194</v>
      </c>
      <c r="W3854" t="s">
        <v>356</v>
      </c>
      <c r="X3854" t="s">
        <v>161</v>
      </c>
      <c r="Y3854" t="s">
        <v>2272</v>
      </c>
      <c r="Z3854" t="s">
        <v>2272</v>
      </c>
      <c r="AA3854" t="s">
        <v>2272</v>
      </c>
      <c r="AB3854" t="s">
        <v>2272</v>
      </c>
      <c r="AC3854" t="s">
        <v>162</v>
      </c>
      <c r="AD3854" t="s">
        <v>2272</v>
      </c>
      <c r="AH3854" s="4" t="s">
        <v>49</v>
      </c>
      <c r="AI3854" t="s">
        <v>49</v>
      </c>
      <c r="AM3854" t="s">
        <v>233</v>
      </c>
      <c r="AN3854" t="s">
        <v>166</v>
      </c>
      <c r="AQ3854" s="5">
        <v>2</v>
      </c>
    </row>
    <row r="3855" spans="1:43" x14ac:dyDescent="0.2">
      <c r="A3855" t="s">
        <v>2005</v>
      </c>
      <c r="B3855" t="s">
        <v>2006</v>
      </c>
      <c r="C3855">
        <v>2008</v>
      </c>
      <c r="D3855" t="s">
        <v>44</v>
      </c>
      <c r="F3855" t="s">
        <v>628</v>
      </c>
      <c r="G3855" s="1" t="s">
        <v>91</v>
      </c>
      <c r="H3855" t="s">
        <v>96</v>
      </c>
      <c r="K3855" t="s">
        <v>101</v>
      </c>
      <c r="L3855">
        <v>3.5</v>
      </c>
      <c r="M3855">
        <f t="shared" si="86"/>
        <v>0.25</v>
      </c>
      <c r="N3855" t="s">
        <v>121</v>
      </c>
      <c r="O3855" t="s">
        <v>121</v>
      </c>
      <c r="P3855" t="s">
        <v>286</v>
      </c>
      <c r="Q3855" s="1" t="s">
        <v>2292</v>
      </c>
      <c r="R3855" s="1" t="s">
        <v>264</v>
      </c>
      <c r="S3855" s="1" t="s">
        <v>264</v>
      </c>
      <c r="T3855" t="s">
        <v>396</v>
      </c>
      <c r="U3855" t="s">
        <v>126</v>
      </c>
      <c r="V3855" t="s">
        <v>194</v>
      </c>
      <c r="W3855" t="s">
        <v>356</v>
      </c>
      <c r="X3855" t="s">
        <v>161</v>
      </c>
      <c r="Y3855" t="s">
        <v>2272</v>
      </c>
      <c r="Z3855" t="s">
        <v>2272</v>
      </c>
      <c r="AA3855" t="s">
        <v>2272</v>
      </c>
      <c r="AB3855" t="s">
        <v>2272</v>
      </c>
      <c r="AC3855" t="s">
        <v>162</v>
      </c>
      <c r="AD3855" t="s">
        <v>2272</v>
      </c>
      <c r="AF3855" t="s">
        <v>49</v>
      </c>
      <c r="AJ3855" t="s">
        <v>49</v>
      </c>
      <c r="AM3855" t="s">
        <v>2453</v>
      </c>
      <c r="AN3855" t="s">
        <v>166</v>
      </c>
      <c r="AQ3855" s="5">
        <v>0</v>
      </c>
    </row>
    <row r="3856" spans="1:43" x14ac:dyDescent="0.2">
      <c r="A3856" t="s">
        <v>2005</v>
      </c>
      <c r="B3856" t="s">
        <v>2006</v>
      </c>
      <c r="C3856">
        <v>2008</v>
      </c>
      <c r="D3856" t="s">
        <v>44</v>
      </c>
      <c r="F3856" t="s">
        <v>628</v>
      </c>
      <c r="G3856" s="1" t="s">
        <v>91</v>
      </c>
      <c r="H3856" t="s">
        <v>96</v>
      </c>
      <c r="K3856" t="s">
        <v>101</v>
      </c>
      <c r="L3856">
        <v>3.5</v>
      </c>
      <c r="M3856">
        <f t="shared" si="86"/>
        <v>0.25</v>
      </c>
      <c r="N3856" t="s">
        <v>126</v>
      </c>
      <c r="O3856" t="s">
        <v>1232</v>
      </c>
      <c r="P3856" t="s">
        <v>2571</v>
      </c>
      <c r="Q3856" s="1" t="s">
        <v>2281</v>
      </c>
      <c r="R3856" s="1" t="s">
        <v>2282</v>
      </c>
      <c r="S3856" s="1" t="s">
        <v>126</v>
      </c>
      <c r="T3856" t="s">
        <v>396</v>
      </c>
      <c r="U3856" t="s">
        <v>264</v>
      </c>
      <c r="V3856" t="s">
        <v>194</v>
      </c>
      <c r="W3856" t="s">
        <v>356</v>
      </c>
      <c r="X3856" t="s">
        <v>161</v>
      </c>
      <c r="Y3856" t="s">
        <v>2272</v>
      </c>
      <c r="Z3856" t="s">
        <v>2272</v>
      </c>
      <c r="AA3856" t="s">
        <v>2272</v>
      </c>
      <c r="AB3856" t="s">
        <v>2272</v>
      </c>
      <c r="AC3856" t="s">
        <v>162</v>
      </c>
      <c r="AD3856" t="s">
        <v>2272</v>
      </c>
      <c r="AF3856" t="s">
        <v>49</v>
      </c>
      <c r="AJ3856" t="s">
        <v>49</v>
      </c>
      <c r="AM3856" t="s">
        <v>2453</v>
      </c>
      <c r="AN3856" t="s">
        <v>166</v>
      </c>
      <c r="AQ3856" s="5">
        <v>0</v>
      </c>
    </row>
    <row r="3857" spans="1:42" x14ac:dyDescent="0.2">
      <c r="A3857" t="s">
        <v>2005</v>
      </c>
      <c r="B3857" t="s">
        <v>2006</v>
      </c>
      <c r="C3857">
        <v>2008</v>
      </c>
      <c r="D3857" t="s">
        <v>44</v>
      </c>
      <c r="F3857" t="s">
        <v>628</v>
      </c>
      <c r="G3857" s="1" t="s">
        <v>91</v>
      </c>
      <c r="H3857" t="s">
        <v>96</v>
      </c>
      <c r="K3857" t="s">
        <v>101</v>
      </c>
      <c r="L3857">
        <v>3.5</v>
      </c>
      <c r="M3857">
        <f t="shared" si="86"/>
        <v>0.25</v>
      </c>
      <c r="N3857" t="s">
        <v>121</v>
      </c>
      <c r="O3857" t="s">
        <v>121</v>
      </c>
      <c r="P3857" t="s">
        <v>286</v>
      </c>
      <c r="Q3857" s="1" t="s">
        <v>2292</v>
      </c>
      <c r="R3857" s="1" t="s">
        <v>264</v>
      </c>
      <c r="S3857" s="1" t="s">
        <v>264</v>
      </c>
      <c r="T3857" t="s">
        <v>396</v>
      </c>
      <c r="U3857" t="s">
        <v>126</v>
      </c>
      <c r="V3857" t="s">
        <v>194</v>
      </c>
      <c r="W3857" t="s">
        <v>356</v>
      </c>
      <c r="X3857" t="s">
        <v>161</v>
      </c>
      <c r="Y3857" t="s">
        <v>2272</v>
      </c>
      <c r="Z3857" t="s">
        <v>2272</v>
      </c>
      <c r="AA3857" t="s">
        <v>2272</v>
      </c>
      <c r="AB3857" t="s">
        <v>2272</v>
      </c>
      <c r="AC3857" t="s">
        <v>162</v>
      </c>
      <c r="AD3857" t="s">
        <v>2272</v>
      </c>
      <c r="AH3857" s="4" t="s">
        <v>49</v>
      </c>
      <c r="AI3857" t="s">
        <v>49</v>
      </c>
      <c r="AM3857" t="s">
        <v>233</v>
      </c>
      <c r="AN3857" t="s">
        <v>165</v>
      </c>
    </row>
    <row r="3858" spans="1:42" x14ac:dyDescent="0.2">
      <c r="A3858" t="s">
        <v>2005</v>
      </c>
      <c r="B3858" t="s">
        <v>2006</v>
      </c>
      <c r="C3858">
        <v>2008</v>
      </c>
      <c r="D3858" t="s">
        <v>44</v>
      </c>
      <c r="F3858" t="s">
        <v>628</v>
      </c>
      <c r="G3858" s="1" t="s">
        <v>91</v>
      </c>
      <c r="H3858" t="s">
        <v>96</v>
      </c>
      <c r="K3858" t="s">
        <v>101</v>
      </c>
      <c r="L3858">
        <v>3.5</v>
      </c>
      <c r="M3858">
        <f t="shared" si="86"/>
        <v>0.25</v>
      </c>
      <c r="N3858" t="s">
        <v>126</v>
      </c>
      <c r="O3858" t="s">
        <v>1232</v>
      </c>
      <c r="P3858" t="s">
        <v>2571</v>
      </c>
      <c r="Q3858" s="1" t="s">
        <v>2281</v>
      </c>
      <c r="R3858" s="1" t="s">
        <v>2282</v>
      </c>
      <c r="S3858" s="1" t="s">
        <v>126</v>
      </c>
      <c r="T3858" t="s">
        <v>396</v>
      </c>
      <c r="U3858" t="s">
        <v>264</v>
      </c>
      <c r="V3858" t="s">
        <v>194</v>
      </c>
      <c r="W3858" t="s">
        <v>356</v>
      </c>
      <c r="X3858" t="s">
        <v>161</v>
      </c>
      <c r="Y3858" t="s">
        <v>2272</v>
      </c>
      <c r="Z3858" t="s">
        <v>2272</v>
      </c>
      <c r="AA3858" t="s">
        <v>2272</v>
      </c>
      <c r="AB3858" t="s">
        <v>2272</v>
      </c>
      <c r="AC3858" t="s">
        <v>162</v>
      </c>
      <c r="AD3858" t="s">
        <v>2272</v>
      </c>
      <c r="AH3858" s="4" t="s">
        <v>49</v>
      </c>
      <c r="AI3858" t="s">
        <v>49</v>
      </c>
      <c r="AM3858" t="s">
        <v>233</v>
      </c>
      <c r="AN3858" t="s">
        <v>165</v>
      </c>
    </row>
    <row r="3859" spans="1:42" x14ac:dyDescent="0.2">
      <c r="A3859" t="s">
        <v>2005</v>
      </c>
      <c r="B3859" t="s">
        <v>2006</v>
      </c>
      <c r="C3859">
        <v>2008</v>
      </c>
      <c r="D3859" t="s">
        <v>44</v>
      </c>
      <c r="F3859" t="s">
        <v>628</v>
      </c>
      <c r="G3859" s="1" t="s">
        <v>91</v>
      </c>
      <c r="H3859" t="s">
        <v>96</v>
      </c>
      <c r="K3859" t="s">
        <v>101</v>
      </c>
      <c r="L3859">
        <v>3.5</v>
      </c>
      <c r="M3859">
        <f t="shared" si="86"/>
        <v>0.25</v>
      </c>
      <c r="N3859" t="s">
        <v>121</v>
      </c>
      <c r="O3859" t="s">
        <v>121</v>
      </c>
      <c r="P3859" t="s">
        <v>286</v>
      </c>
      <c r="Q3859" s="1" t="s">
        <v>2292</v>
      </c>
      <c r="R3859" s="1" t="s">
        <v>264</v>
      </c>
      <c r="S3859" s="1" t="s">
        <v>264</v>
      </c>
      <c r="T3859" t="s">
        <v>396</v>
      </c>
      <c r="U3859" t="s">
        <v>126</v>
      </c>
      <c r="V3859" t="s">
        <v>194</v>
      </c>
      <c r="W3859" t="s">
        <v>356</v>
      </c>
      <c r="X3859" t="s">
        <v>161</v>
      </c>
      <c r="Y3859" t="s">
        <v>2272</v>
      </c>
      <c r="Z3859" t="s">
        <v>2272</v>
      </c>
      <c r="AA3859" t="s">
        <v>2272</v>
      </c>
      <c r="AB3859" t="s">
        <v>2272</v>
      </c>
      <c r="AC3859" t="s">
        <v>162</v>
      </c>
      <c r="AD3859" t="s">
        <v>2272</v>
      </c>
      <c r="AF3859" t="s">
        <v>49</v>
      </c>
      <c r="AJ3859" t="s">
        <v>49</v>
      </c>
      <c r="AM3859" t="s">
        <v>2453</v>
      </c>
      <c r="AN3859" t="s">
        <v>165</v>
      </c>
    </row>
    <row r="3860" spans="1:42" x14ac:dyDescent="0.2">
      <c r="A3860" t="s">
        <v>2005</v>
      </c>
      <c r="B3860" t="s">
        <v>2006</v>
      </c>
      <c r="C3860">
        <v>2008</v>
      </c>
      <c r="D3860" t="s">
        <v>44</v>
      </c>
      <c r="F3860" t="s">
        <v>628</v>
      </c>
      <c r="G3860" s="1" t="s">
        <v>91</v>
      </c>
      <c r="H3860" t="s">
        <v>96</v>
      </c>
      <c r="K3860" t="s">
        <v>101</v>
      </c>
      <c r="L3860">
        <v>3.5</v>
      </c>
      <c r="M3860">
        <f t="shared" si="86"/>
        <v>0.25</v>
      </c>
      <c r="N3860" t="s">
        <v>126</v>
      </c>
      <c r="O3860" t="s">
        <v>1232</v>
      </c>
      <c r="P3860" t="s">
        <v>2571</v>
      </c>
      <c r="Q3860" s="1" t="s">
        <v>2281</v>
      </c>
      <c r="R3860" s="1" t="s">
        <v>2282</v>
      </c>
      <c r="S3860" s="1" t="s">
        <v>126</v>
      </c>
      <c r="T3860" t="s">
        <v>396</v>
      </c>
      <c r="U3860" t="s">
        <v>264</v>
      </c>
      <c r="V3860" t="s">
        <v>194</v>
      </c>
      <c r="W3860" t="s">
        <v>356</v>
      </c>
      <c r="X3860" t="s">
        <v>161</v>
      </c>
      <c r="Y3860" t="s">
        <v>2272</v>
      </c>
      <c r="Z3860" t="s">
        <v>2272</v>
      </c>
      <c r="AA3860" t="s">
        <v>2272</v>
      </c>
      <c r="AB3860" t="s">
        <v>2272</v>
      </c>
      <c r="AC3860" t="s">
        <v>162</v>
      </c>
      <c r="AD3860" t="s">
        <v>2272</v>
      </c>
      <c r="AF3860" t="s">
        <v>49</v>
      </c>
      <c r="AJ3860" t="s">
        <v>49</v>
      </c>
      <c r="AM3860" t="s">
        <v>2453</v>
      </c>
      <c r="AN3860" t="s">
        <v>165</v>
      </c>
    </row>
    <row r="3861" spans="1:42" x14ac:dyDescent="0.2">
      <c r="A3861" t="s">
        <v>2007</v>
      </c>
      <c r="B3861" t="s">
        <v>1898</v>
      </c>
      <c r="C3861">
        <v>2008</v>
      </c>
      <c r="D3861" t="s">
        <v>44</v>
      </c>
      <c r="F3861" t="s">
        <v>81</v>
      </c>
      <c r="G3861" s="1" t="s">
        <v>91</v>
      </c>
      <c r="H3861" t="s">
        <v>96</v>
      </c>
      <c r="K3861" t="s">
        <v>101</v>
      </c>
      <c r="L3861">
        <v>4</v>
      </c>
      <c r="M3861" t="s">
        <v>2454</v>
      </c>
      <c r="N3861" t="s">
        <v>466</v>
      </c>
      <c r="O3861" t="s">
        <v>466</v>
      </c>
      <c r="P3861" t="s">
        <v>658</v>
      </c>
      <c r="Q3861" s="1" t="s">
        <v>2281</v>
      </c>
      <c r="R3861" s="1" t="s">
        <v>2301</v>
      </c>
      <c r="S3861" s="1" t="s">
        <v>2302</v>
      </c>
      <c r="V3861" t="s">
        <v>194</v>
      </c>
      <c r="W3861" t="s">
        <v>658</v>
      </c>
      <c r="X3861" t="s">
        <v>2009</v>
      </c>
      <c r="Y3861" t="s">
        <v>2279</v>
      </c>
      <c r="Z3861" t="s">
        <v>2280</v>
      </c>
      <c r="AA3861" t="s">
        <v>2286</v>
      </c>
      <c r="AB3861" t="s">
        <v>2287</v>
      </c>
      <c r="AC3861" t="s">
        <v>162</v>
      </c>
      <c r="AD3861" t="s">
        <v>2278</v>
      </c>
      <c r="AF3861" t="s">
        <v>49</v>
      </c>
      <c r="AG3861" t="s">
        <v>49</v>
      </c>
      <c r="AI3861" t="s">
        <v>49</v>
      </c>
      <c r="AM3861" t="s">
        <v>1135</v>
      </c>
      <c r="AN3861" t="s">
        <v>165</v>
      </c>
      <c r="AP3861" t="s">
        <v>49</v>
      </c>
    </row>
    <row r="3862" spans="1:42" x14ac:dyDescent="0.2">
      <c r="A3862" t="s">
        <v>2007</v>
      </c>
      <c r="B3862" t="s">
        <v>1898</v>
      </c>
      <c r="C3862">
        <v>2008</v>
      </c>
      <c r="D3862" t="s">
        <v>44</v>
      </c>
      <c r="F3862" t="s">
        <v>81</v>
      </c>
      <c r="G3862" s="1" t="s">
        <v>91</v>
      </c>
      <c r="H3862" t="s">
        <v>96</v>
      </c>
      <c r="K3862" t="s">
        <v>101</v>
      </c>
      <c r="L3862">
        <v>4</v>
      </c>
      <c r="M3862" t="s">
        <v>2454</v>
      </c>
      <c r="N3862" t="s">
        <v>126</v>
      </c>
      <c r="O3862" t="s">
        <v>126</v>
      </c>
      <c r="P3862" t="s">
        <v>2008</v>
      </c>
      <c r="Q3862" s="1" t="s">
        <v>2281</v>
      </c>
      <c r="R3862" s="1" t="s">
        <v>2282</v>
      </c>
      <c r="S3862" s="1" t="s">
        <v>126</v>
      </c>
      <c r="V3862" t="s">
        <v>194</v>
      </c>
      <c r="W3862" t="s">
        <v>658</v>
      </c>
      <c r="X3862" t="s">
        <v>2009</v>
      </c>
      <c r="Y3862" t="s">
        <v>2279</v>
      </c>
      <c r="Z3862" t="s">
        <v>2280</v>
      </c>
      <c r="AA3862" t="s">
        <v>2286</v>
      </c>
      <c r="AB3862" t="s">
        <v>2287</v>
      </c>
      <c r="AC3862" t="s">
        <v>162</v>
      </c>
      <c r="AD3862" t="s">
        <v>2278</v>
      </c>
      <c r="AF3862" t="s">
        <v>49</v>
      </c>
      <c r="AG3862" t="s">
        <v>49</v>
      </c>
      <c r="AI3862" t="s">
        <v>49</v>
      </c>
      <c r="AM3862" t="s">
        <v>1135</v>
      </c>
      <c r="AN3862" t="s">
        <v>165</v>
      </c>
      <c r="AP3862" t="s">
        <v>51</v>
      </c>
    </row>
    <row r="3863" spans="1:42" x14ac:dyDescent="0.2">
      <c r="A3863" t="s">
        <v>2007</v>
      </c>
      <c r="B3863" t="s">
        <v>1898</v>
      </c>
      <c r="C3863">
        <v>2008</v>
      </c>
      <c r="D3863" t="s">
        <v>44</v>
      </c>
      <c r="F3863" t="s">
        <v>81</v>
      </c>
      <c r="G3863" s="1" t="s">
        <v>91</v>
      </c>
      <c r="H3863" t="s">
        <v>96</v>
      </c>
      <c r="K3863" t="s">
        <v>101</v>
      </c>
      <c r="L3863">
        <v>4</v>
      </c>
      <c r="N3863" t="s">
        <v>466</v>
      </c>
      <c r="O3863" t="s">
        <v>466</v>
      </c>
      <c r="P3863" t="s">
        <v>658</v>
      </c>
      <c r="Q3863" s="1" t="s">
        <v>2281</v>
      </c>
      <c r="R3863" s="1" t="s">
        <v>2301</v>
      </c>
      <c r="S3863" s="1" t="s">
        <v>2302</v>
      </c>
      <c r="T3863" t="s">
        <v>396</v>
      </c>
      <c r="U3863" s="1" t="s">
        <v>126</v>
      </c>
      <c r="V3863" t="s">
        <v>194</v>
      </c>
      <c r="W3863" t="s">
        <v>658</v>
      </c>
      <c r="X3863" t="s">
        <v>161</v>
      </c>
      <c r="Y3863" t="s">
        <v>2272</v>
      </c>
      <c r="Z3863" t="s">
        <v>2272</v>
      </c>
      <c r="AA3863" t="s">
        <v>2272</v>
      </c>
      <c r="AB3863" t="s">
        <v>2272</v>
      </c>
      <c r="AC3863" t="s">
        <v>162</v>
      </c>
      <c r="AD3863" t="s">
        <v>2272</v>
      </c>
      <c r="AF3863" t="s">
        <v>49</v>
      </c>
      <c r="AG3863" t="s">
        <v>49</v>
      </c>
      <c r="AI3863" t="s">
        <v>49</v>
      </c>
      <c r="AM3863" t="s">
        <v>1135</v>
      </c>
      <c r="AN3863" t="s">
        <v>165</v>
      </c>
      <c r="AP3863" t="s">
        <v>49</v>
      </c>
    </row>
    <row r="3864" spans="1:42" x14ac:dyDescent="0.2">
      <c r="A3864" t="s">
        <v>2007</v>
      </c>
      <c r="B3864" t="s">
        <v>1898</v>
      </c>
      <c r="C3864">
        <v>2008</v>
      </c>
      <c r="D3864" t="s">
        <v>44</v>
      </c>
      <c r="F3864" t="s">
        <v>81</v>
      </c>
      <c r="G3864" s="1" t="s">
        <v>91</v>
      </c>
      <c r="H3864" t="s">
        <v>96</v>
      </c>
      <c r="K3864" t="s">
        <v>101</v>
      </c>
      <c r="L3864">
        <v>4</v>
      </c>
      <c r="N3864" t="s">
        <v>126</v>
      </c>
      <c r="O3864" t="s">
        <v>126</v>
      </c>
      <c r="P3864" t="s">
        <v>2008</v>
      </c>
      <c r="Q3864" s="1" t="s">
        <v>2281</v>
      </c>
      <c r="R3864" s="1" t="s">
        <v>2282</v>
      </c>
      <c r="S3864" s="1" t="s">
        <v>126</v>
      </c>
      <c r="T3864" t="s">
        <v>396</v>
      </c>
      <c r="U3864" s="1" t="s">
        <v>2302</v>
      </c>
      <c r="V3864" t="s">
        <v>194</v>
      </c>
      <c r="W3864" t="s">
        <v>658</v>
      </c>
      <c r="X3864" t="s">
        <v>161</v>
      </c>
      <c r="Y3864" t="s">
        <v>2272</v>
      </c>
      <c r="Z3864" t="s">
        <v>2272</v>
      </c>
      <c r="AA3864" t="s">
        <v>2272</v>
      </c>
      <c r="AB3864" t="s">
        <v>2272</v>
      </c>
      <c r="AC3864" t="s">
        <v>162</v>
      </c>
      <c r="AD3864" t="s">
        <v>2272</v>
      </c>
      <c r="AF3864" t="s">
        <v>49</v>
      </c>
      <c r="AG3864" t="s">
        <v>49</v>
      </c>
      <c r="AI3864" t="s">
        <v>49</v>
      </c>
      <c r="AM3864" t="s">
        <v>1135</v>
      </c>
      <c r="AN3864" t="s">
        <v>165</v>
      </c>
      <c r="AP3864" t="s">
        <v>49</v>
      </c>
    </row>
    <row r="3865" spans="1:42" x14ac:dyDescent="0.2">
      <c r="A3865" t="s">
        <v>2010</v>
      </c>
      <c r="B3865" t="s">
        <v>876</v>
      </c>
      <c r="C3865">
        <v>2008</v>
      </c>
      <c r="D3865" t="s">
        <v>44</v>
      </c>
      <c r="F3865" t="s">
        <v>81</v>
      </c>
      <c r="G3865" s="1" t="s">
        <v>86</v>
      </c>
      <c r="H3865" t="s">
        <v>96</v>
      </c>
      <c r="I3865">
        <v>2002</v>
      </c>
      <c r="J3865">
        <v>1.4E-2</v>
      </c>
      <c r="K3865" t="s">
        <v>101</v>
      </c>
      <c r="L3865">
        <v>60</v>
      </c>
      <c r="M3865">
        <v>1</v>
      </c>
      <c r="N3865" t="s">
        <v>123</v>
      </c>
      <c r="O3865" t="s">
        <v>123</v>
      </c>
      <c r="P3865" t="s">
        <v>518</v>
      </c>
      <c r="Q3865" s="1" t="s">
        <v>2281</v>
      </c>
      <c r="R3865" s="1" t="s">
        <v>2282</v>
      </c>
      <c r="S3865" s="1" t="s">
        <v>123</v>
      </c>
      <c r="X3865" t="s">
        <v>228</v>
      </c>
      <c r="Y3865" t="s">
        <v>2273</v>
      </c>
      <c r="Z3865" t="s">
        <v>249</v>
      </c>
      <c r="AA3865" t="s">
        <v>2359</v>
      </c>
      <c r="AB3865" t="s">
        <v>1419</v>
      </c>
      <c r="AC3865" t="s">
        <v>152</v>
      </c>
      <c r="AD3865" t="s">
        <v>137</v>
      </c>
    </row>
    <row r="3866" spans="1:42" x14ac:dyDescent="0.2">
      <c r="A3866" t="s">
        <v>2010</v>
      </c>
      <c r="B3866" t="s">
        <v>876</v>
      </c>
      <c r="C3866">
        <v>2008</v>
      </c>
      <c r="D3866" t="s">
        <v>44</v>
      </c>
      <c r="F3866" t="s">
        <v>81</v>
      </c>
      <c r="G3866" s="1" t="s">
        <v>86</v>
      </c>
      <c r="H3866" t="s">
        <v>96</v>
      </c>
      <c r="I3866">
        <v>2002</v>
      </c>
      <c r="J3866">
        <v>1.4E-2</v>
      </c>
      <c r="K3866" t="s">
        <v>101</v>
      </c>
      <c r="L3866">
        <v>60</v>
      </c>
      <c r="M3866">
        <v>1</v>
      </c>
      <c r="N3866" t="s">
        <v>123</v>
      </c>
      <c r="O3866" t="s">
        <v>123</v>
      </c>
      <c r="P3866" t="s">
        <v>518</v>
      </c>
      <c r="Q3866" s="1" t="s">
        <v>2281</v>
      </c>
      <c r="R3866" s="1" t="s">
        <v>2282</v>
      </c>
      <c r="S3866" s="1" t="s">
        <v>123</v>
      </c>
      <c r="X3866" t="s">
        <v>189</v>
      </c>
      <c r="Y3866" t="s">
        <v>2279</v>
      </c>
      <c r="Z3866" t="s">
        <v>2280</v>
      </c>
      <c r="AA3866" t="s">
        <v>2358</v>
      </c>
      <c r="AB3866" t="s">
        <v>189</v>
      </c>
      <c r="AC3866" t="s">
        <v>152</v>
      </c>
      <c r="AD3866" t="s">
        <v>2278</v>
      </c>
      <c r="AE3866" t="s">
        <v>2011</v>
      </c>
      <c r="AF3866" t="s">
        <v>49</v>
      </c>
      <c r="AI3866" t="s">
        <v>49</v>
      </c>
      <c r="AM3866" t="s">
        <v>201</v>
      </c>
      <c r="AN3866" t="s">
        <v>165</v>
      </c>
      <c r="AP3866" t="s">
        <v>49</v>
      </c>
    </row>
    <row r="3867" spans="1:42" x14ac:dyDescent="0.2">
      <c r="A3867" t="s">
        <v>2010</v>
      </c>
      <c r="B3867" t="s">
        <v>876</v>
      </c>
      <c r="C3867">
        <v>2008</v>
      </c>
      <c r="D3867" t="s">
        <v>44</v>
      </c>
      <c r="F3867" t="s">
        <v>81</v>
      </c>
      <c r="G3867" s="1" t="s">
        <v>86</v>
      </c>
      <c r="H3867" t="s">
        <v>96</v>
      </c>
      <c r="I3867">
        <v>2002</v>
      </c>
      <c r="J3867">
        <v>1.4E-2</v>
      </c>
      <c r="K3867" t="s">
        <v>101</v>
      </c>
      <c r="L3867">
        <v>60</v>
      </c>
      <c r="M3867">
        <v>1</v>
      </c>
      <c r="N3867" t="s">
        <v>123</v>
      </c>
      <c r="O3867" t="s">
        <v>123</v>
      </c>
      <c r="P3867" t="s">
        <v>518</v>
      </c>
      <c r="Q3867" s="1" t="s">
        <v>2281</v>
      </c>
      <c r="R3867" s="1" t="s">
        <v>2282</v>
      </c>
      <c r="S3867" s="1" t="s">
        <v>123</v>
      </c>
      <c r="X3867" t="s">
        <v>2012</v>
      </c>
      <c r="Y3867" t="s">
        <v>2279</v>
      </c>
      <c r="Z3867" t="s">
        <v>2272</v>
      </c>
      <c r="AA3867" t="s">
        <v>2272</v>
      </c>
      <c r="AB3867" t="s">
        <v>2272</v>
      </c>
      <c r="AC3867" t="s">
        <v>315</v>
      </c>
      <c r="AD3867" t="s">
        <v>2278</v>
      </c>
      <c r="AF3867" t="s">
        <v>49</v>
      </c>
      <c r="AI3867" t="s">
        <v>49</v>
      </c>
      <c r="AM3867" t="s">
        <v>201</v>
      </c>
      <c r="AN3867" t="s">
        <v>165</v>
      </c>
      <c r="AP3867" t="s">
        <v>51</v>
      </c>
    </row>
    <row r="3868" spans="1:42" x14ac:dyDescent="0.2">
      <c r="A3868" t="s">
        <v>2010</v>
      </c>
      <c r="B3868" t="s">
        <v>876</v>
      </c>
      <c r="C3868">
        <v>2008</v>
      </c>
      <c r="D3868" t="s">
        <v>44</v>
      </c>
      <c r="F3868" t="s">
        <v>81</v>
      </c>
      <c r="G3868" s="1" t="s">
        <v>86</v>
      </c>
      <c r="H3868" t="s">
        <v>96</v>
      </c>
      <c r="I3868">
        <v>2002</v>
      </c>
      <c r="J3868">
        <v>1.4E-2</v>
      </c>
      <c r="K3868" t="s">
        <v>101</v>
      </c>
      <c r="L3868">
        <v>60</v>
      </c>
      <c r="M3868">
        <v>1</v>
      </c>
      <c r="N3868" t="s">
        <v>123</v>
      </c>
      <c r="O3868" t="s">
        <v>123</v>
      </c>
      <c r="P3868" t="s">
        <v>518</v>
      </c>
      <c r="Q3868" s="1" t="s">
        <v>2281</v>
      </c>
      <c r="R3868" s="1" t="s">
        <v>2282</v>
      </c>
      <c r="S3868" s="1" t="s">
        <v>123</v>
      </c>
      <c r="X3868" t="s">
        <v>189</v>
      </c>
      <c r="Y3868" t="s">
        <v>2279</v>
      </c>
      <c r="Z3868" t="s">
        <v>2280</v>
      </c>
      <c r="AA3868" t="s">
        <v>2358</v>
      </c>
      <c r="AB3868" t="s">
        <v>189</v>
      </c>
      <c r="AC3868" t="s">
        <v>152</v>
      </c>
      <c r="AD3868" t="s">
        <v>2278</v>
      </c>
      <c r="AE3868" t="s">
        <v>2011</v>
      </c>
      <c r="AG3868" t="s">
        <v>49</v>
      </c>
      <c r="AI3868" t="s">
        <v>49</v>
      </c>
      <c r="AM3868" t="s">
        <v>442</v>
      </c>
      <c r="AN3868" t="s">
        <v>165</v>
      </c>
      <c r="AP3868" t="s">
        <v>51</v>
      </c>
    </row>
    <row r="3869" spans="1:42" x14ac:dyDescent="0.2">
      <c r="A3869" t="s">
        <v>2010</v>
      </c>
      <c r="B3869" t="s">
        <v>876</v>
      </c>
      <c r="C3869">
        <v>2008</v>
      </c>
      <c r="D3869" t="s">
        <v>44</v>
      </c>
      <c r="F3869" t="s">
        <v>81</v>
      </c>
      <c r="G3869" s="1" t="s">
        <v>86</v>
      </c>
      <c r="H3869" t="s">
        <v>96</v>
      </c>
      <c r="I3869">
        <v>2002</v>
      </c>
      <c r="J3869">
        <v>1.4E-2</v>
      </c>
      <c r="K3869" t="s">
        <v>101</v>
      </c>
      <c r="L3869">
        <v>60</v>
      </c>
      <c r="M3869">
        <v>1</v>
      </c>
      <c r="N3869" t="s">
        <v>123</v>
      </c>
      <c r="O3869" t="s">
        <v>123</v>
      </c>
      <c r="P3869" t="s">
        <v>518</v>
      </c>
      <c r="Q3869" s="1" t="s">
        <v>2281</v>
      </c>
      <c r="R3869" s="1" t="s">
        <v>2282</v>
      </c>
      <c r="S3869" s="1" t="s">
        <v>123</v>
      </c>
      <c r="X3869" t="s">
        <v>2012</v>
      </c>
      <c r="Y3869" t="s">
        <v>2279</v>
      </c>
      <c r="Z3869" t="s">
        <v>2272</v>
      </c>
      <c r="AA3869" t="s">
        <v>2272</v>
      </c>
      <c r="AB3869" t="s">
        <v>2272</v>
      </c>
      <c r="AC3869" t="s">
        <v>315</v>
      </c>
      <c r="AD3869" t="s">
        <v>2278</v>
      </c>
      <c r="AG3869" t="s">
        <v>49</v>
      </c>
      <c r="AI3869" t="s">
        <v>49</v>
      </c>
      <c r="AM3869" t="s">
        <v>442</v>
      </c>
      <c r="AN3869" t="s">
        <v>165</v>
      </c>
      <c r="AP3869" t="s">
        <v>51</v>
      </c>
    </row>
    <row r="3870" spans="1:42" x14ac:dyDescent="0.2">
      <c r="A3870" t="s">
        <v>2010</v>
      </c>
      <c r="B3870" t="s">
        <v>876</v>
      </c>
      <c r="C3870">
        <v>2008</v>
      </c>
      <c r="D3870" t="s">
        <v>44</v>
      </c>
      <c r="F3870" t="s">
        <v>81</v>
      </c>
      <c r="G3870" s="1" t="s">
        <v>86</v>
      </c>
      <c r="H3870" t="s">
        <v>96</v>
      </c>
      <c r="I3870">
        <v>2002</v>
      </c>
      <c r="J3870">
        <v>1.4E-2</v>
      </c>
      <c r="K3870" t="s">
        <v>101</v>
      </c>
      <c r="L3870">
        <v>60</v>
      </c>
      <c r="M3870">
        <v>1</v>
      </c>
      <c r="N3870" t="s">
        <v>123</v>
      </c>
      <c r="O3870" t="s">
        <v>123</v>
      </c>
      <c r="P3870" t="s">
        <v>518</v>
      </c>
      <c r="Q3870" s="1" t="s">
        <v>2281</v>
      </c>
      <c r="R3870" s="1" t="s">
        <v>2282</v>
      </c>
      <c r="S3870" s="1" t="s">
        <v>123</v>
      </c>
      <c r="X3870" t="s">
        <v>189</v>
      </c>
      <c r="Y3870" t="s">
        <v>2279</v>
      </c>
      <c r="Z3870" t="s">
        <v>2280</v>
      </c>
      <c r="AA3870" t="s">
        <v>2358</v>
      </c>
      <c r="AB3870" t="s">
        <v>189</v>
      </c>
      <c r="AC3870" t="s">
        <v>152</v>
      </c>
      <c r="AD3870" t="s">
        <v>2278</v>
      </c>
      <c r="AE3870" t="s">
        <v>2011</v>
      </c>
      <c r="AG3870" t="s">
        <v>49</v>
      </c>
      <c r="AJ3870" t="s">
        <v>49</v>
      </c>
      <c r="AM3870" t="s">
        <v>2013</v>
      </c>
      <c r="AN3870" t="s">
        <v>165</v>
      </c>
      <c r="AP3870" t="s">
        <v>49</v>
      </c>
    </row>
    <row r="3871" spans="1:42" x14ac:dyDescent="0.2">
      <c r="A3871" t="s">
        <v>2010</v>
      </c>
      <c r="B3871" t="s">
        <v>876</v>
      </c>
      <c r="C3871">
        <v>2008</v>
      </c>
      <c r="D3871" t="s">
        <v>44</v>
      </c>
      <c r="F3871" t="s">
        <v>81</v>
      </c>
      <c r="G3871" s="1" t="s">
        <v>86</v>
      </c>
      <c r="H3871" t="s">
        <v>96</v>
      </c>
      <c r="I3871">
        <v>2002</v>
      </c>
      <c r="J3871">
        <v>1.4E-2</v>
      </c>
      <c r="K3871" t="s">
        <v>101</v>
      </c>
      <c r="L3871">
        <v>60</v>
      </c>
      <c r="M3871">
        <v>1</v>
      </c>
      <c r="N3871" t="s">
        <v>123</v>
      </c>
      <c r="O3871" t="s">
        <v>123</v>
      </c>
      <c r="P3871" t="s">
        <v>518</v>
      </c>
      <c r="Q3871" s="1" t="s">
        <v>2281</v>
      </c>
      <c r="R3871" s="1" t="s">
        <v>2282</v>
      </c>
      <c r="S3871" s="1" t="s">
        <v>123</v>
      </c>
      <c r="X3871" t="s">
        <v>2012</v>
      </c>
      <c r="Y3871" t="s">
        <v>2279</v>
      </c>
      <c r="Z3871" t="s">
        <v>2272</v>
      </c>
      <c r="AA3871" t="s">
        <v>2272</v>
      </c>
      <c r="AB3871" t="s">
        <v>2272</v>
      </c>
      <c r="AC3871" t="s">
        <v>315</v>
      </c>
      <c r="AD3871" t="s">
        <v>2278</v>
      </c>
      <c r="AG3871" t="s">
        <v>49</v>
      </c>
      <c r="AJ3871" t="s">
        <v>49</v>
      </c>
      <c r="AM3871" t="s">
        <v>2013</v>
      </c>
      <c r="AN3871" t="s">
        <v>165</v>
      </c>
      <c r="AP3871" t="s">
        <v>51</v>
      </c>
    </row>
    <row r="3872" spans="1:42" x14ac:dyDescent="0.2">
      <c r="A3872" t="s">
        <v>2010</v>
      </c>
      <c r="B3872" t="s">
        <v>876</v>
      </c>
      <c r="C3872">
        <v>2008</v>
      </c>
      <c r="D3872" t="s">
        <v>44</v>
      </c>
      <c r="F3872" t="s">
        <v>81</v>
      </c>
      <c r="G3872" s="1" t="s">
        <v>86</v>
      </c>
      <c r="H3872" t="s">
        <v>96</v>
      </c>
      <c r="I3872">
        <v>2002</v>
      </c>
      <c r="J3872">
        <v>1.4E-2</v>
      </c>
      <c r="K3872" t="s">
        <v>101</v>
      </c>
      <c r="L3872">
        <v>60</v>
      </c>
      <c r="M3872">
        <v>1</v>
      </c>
      <c r="N3872" t="s">
        <v>123</v>
      </c>
      <c r="O3872" t="s">
        <v>123</v>
      </c>
      <c r="P3872" t="s">
        <v>518</v>
      </c>
      <c r="Q3872" s="1" t="s">
        <v>2281</v>
      </c>
      <c r="R3872" s="1" t="s">
        <v>2282</v>
      </c>
      <c r="S3872" s="1" t="s">
        <v>123</v>
      </c>
      <c r="X3872" t="s">
        <v>189</v>
      </c>
      <c r="Y3872" t="s">
        <v>2279</v>
      </c>
      <c r="Z3872" t="s">
        <v>2280</v>
      </c>
      <c r="AA3872" t="s">
        <v>2358</v>
      </c>
      <c r="AB3872" t="s">
        <v>189</v>
      </c>
      <c r="AC3872" t="s">
        <v>152</v>
      </c>
      <c r="AD3872" t="s">
        <v>2278</v>
      </c>
      <c r="AE3872" t="s">
        <v>2011</v>
      </c>
      <c r="AG3872" t="s">
        <v>49</v>
      </c>
      <c r="AJ3872" t="s">
        <v>49</v>
      </c>
      <c r="AM3872" t="s">
        <v>2014</v>
      </c>
      <c r="AN3872" t="s">
        <v>165</v>
      </c>
      <c r="AP3872" t="s">
        <v>51</v>
      </c>
    </row>
    <row r="3873" spans="1:45" x14ac:dyDescent="0.2">
      <c r="A3873" t="s">
        <v>2010</v>
      </c>
      <c r="B3873" t="s">
        <v>876</v>
      </c>
      <c r="C3873">
        <v>2008</v>
      </c>
      <c r="D3873" t="s">
        <v>44</v>
      </c>
      <c r="F3873" t="s">
        <v>81</v>
      </c>
      <c r="G3873" s="1" t="s">
        <v>86</v>
      </c>
      <c r="H3873" t="s">
        <v>96</v>
      </c>
      <c r="I3873">
        <v>2002</v>
      </c>
      <c r="J3873">
        <v>1.4E-2</v>
      </c>
      <c r="K3873" t="s">
        <v>101</v>
      </c>
      <c r="L3873">
        <v>60</v>
      </c>
      <c r="M3873">
        <v>1</v>
      </c>
      <c r="N3873" t="s">
        <v>123</v>
      </c>
      <c r="O3873" t="s">
        <v>123</v>
      </c>
      <c r="P3873" t="s">
        <v>518</v>
      </c>
      <c r="Q3873" s="1" t="s">
        <v>2281</v>
      </c>
      <c r="R3873" s="1" t="s">
        <v>2282</v>
      </c>
      <c r="S3873" s="1" t="s">
        <v>123</v>
      </c>
      <c r="X3873" t="s">
        <v>2012</v>
      </c>
      <c r="Y3873" t="s">
        <v>2279</v>
      </c>
      <c r="Z3873" t="s">
        <v>2272</v>
      </c>
      <c r="AA3873" t="s">
        <v>2272</v>
      </c>
      <c r="AB3873" t="s">
        <v>2272</v>
      </c>
      <c r="AC3873" t="s">
        <v>315</v>
      </c>
      <c r="AD3873" t="s">
        <v>2278</v>
      </c>
      <c r="AG3873" t="s">
        <v>49</v>
      </c>
      <c r="AJ3873" t="s">
        <v>49</v>
      </c>
      <c r="AM3873" t="s">
        <v>2014</v>
      </c>
      <c r="AN3873" t="s">
        <v>165</v>
      </c>
      <c r="AP3873" t="s">
        <v>51</v>
      </c>
    </row>
    <row r="3874" spans="1:45" x14ac:dyDescent="0.2">
      <c r="A3874" t="s">
        <v>2015</v>
      </c>
      <c r="B3874" t="s">
        <v>2016</v>
      </c>
      <c r="C3874">
        <v>2007</v>
      </c>
      <c r="D3874" t="s">
        <v>44</v>
      </c>
      <c r="F3874" t="s">
        <v>495</v>
      </c>
      <c r="G3874" s="1" t="s">
        <v>86</v>
      </c>
      <c r="H3874" t="s">
        <v>350</v>
      </c>
      <c r="I3874">
        <v>2003</v>
      </c>
      <c r="J3874">
        <v>2.1999999999999999E-2</v>
      </c>
      <c r="K3874" t="s">
        <v>101</v>
      </c>
      <c r="L3874">
        <v>85</v>
      </c>
      <c r="M3874">
        <f>0.2*0.2</f>
        <v>4.0000000000000008E-2</v>
      </c>
      <c r="N3874" t="s">
        <v>120</v>
      </c>
      <c r="O3874" t="s">
        <v>120</v>
      </c>
      <c r="P3874" t="s">
        <v>169</v>
      </c>
      <c r="Q3874" s="1" t="s">
        <v>2276</v>
      </c>
      <c r="R3874" s="1" t="s">
        <v>669</v>
      </c>
      <c r="S3874" s="1" t="s">
        <v>168</v>
      </c>
      <c r="T3874" t="s">
        <v>421</v>
      </c>
      <c r="U3874" t="s">
        <v>421</v>
      </c>
      <c r="X3874" t="s">
        <v>161</v>
      </c>
      <c r="Y3874" t="s">
        <v>2272</v>
      </c>
      <c r="Z3874" t="s">
        <v>2272</v>
      </c>
      <c r="AA3874" t="s">
        <v>2272</v>
      </c>
      <c r="AB3874" t="s">
        <v>2272</v>
      </c>
      <c r="AC3874" t="s">
        <v>162</v>
      </c>
      <c r="AD3874" t="s">
        <v>2272</v>
      </c>
      <c r="AF3874" t="s">
        <v>49</v>
      </c>
      <c r="AI3874" t="s">
        <v>49</v>
      </c>
      <c r="AM3874" t="s">
        <v>202</v>
      </c>
      <c r="AN3874" t="s">
        <v>171</v>
      </c>
      <c r="AQ3874" s="5">
        <v>1</v>
      </c>
    </row>
    <row r="3875" spans="1:45" x14ac:dyDescent="0.2">
      <c r="A3875" t="s">
        <v>2015</v>
      </c>
      <c r="B3875" t="s">
        <v>2016</v>
      </c>
      <c r="C3875">
        <v>2007</v>
      </c>
      <c r="D3875" t="s">
        <v>44</v>
      </c>
      <c r="F3875" t="s">
        <v>495</v>
      </c>
      <c r="G3875" s="1" t="s">
        <v>86</v>
      </c>
      <c r="H3875" t="s">
        <v>350</v>
      </c>
      <c r="I3875">
        <v>2003</v>
      </c>
      <c r="J3875">
        <v>2.1999999999999999E-2</v>
      </c>
      <c r="K3875" t="s">
        <v>101</v>
      </c>
      <c r="L3875">
        <v>85</v>
      </c>
      <c r="M3875">
        <f>0.2*0.2</f>
        <v>4.0000000000000008E-2</v>
      </c>
      <c r="N3875" t="s">
        <v>120</v>
      </c>
      <c r="O3875" t="s">
        <v>120</v>
      </c>
      <c r="P3875" t="s">
        <v>169</v>
      </c>
      <c r="Q3875" s="1" t="s">
        <v>2276</v>
      </c>
      <c r="R3875" s="1" t="s">
        <v>669</v>
      </c>
      <c r="S3875" s="1" t="s">
        <v>168</v>
      </c>
      <c r="T3875" t="s">
        <v>421</v>
      </c>
      <c r="U3875" t="s">
        <v>421</v>
      </c>
      <c r="X3875" t="s">
        <v>161</v>
      </c>
      <c r="Y3875" t="s">
        <v>2272</v>
      </c>
      <c r="Z3875" t="s">
        <v>2272</v>
      </c>
      <c r="AA3875" t="s">
        <v>2272</v>
      </c>
      <c r="AB3875" t="s">
        <v>2272</v>
      </c>
      <c r="AC3875" t="s">
        <v>162</v>
      </c>
      <c r="AD3875" t="s">
        <v>2272</v>
      </c>
      <c r="AF3875" t="s">
        <v>49</v>
      </c>
      <c r="AI3875" t="s">
        <v>49</v>
      </c>
      <c r="AM3875" t="s">
        <v>202</v>
      </c>
      <c r="AN3875" t="s">
        <v>154</v>
      </c>
      <c r="AQ3875" s="5">
        <v>0</v>
      </c>
    </row>
    <row r="3876" spans="1:45" x14ac:dyDescent="0.2">
      <c r="A3876" t="s">
        <v>2015</v>
      </c>
      <c r="B3876" t="s">
        <v>2016</v>
      </c>
      <c r="C3876">
        <v>2007</v>
      </c>
      <c r="D3876" t="s">
        <v>44</v>
      </c>
      <c r="F3876" t="s">
        <v>495</v>
      </c>
      <c r="G3876" s="1" t="s">
        <v>86</v>
      </c>
      <c r="H3876" t="s">
        <v>350</v>
      </c>
      <c r="I3876">
        <v>2003</v>
      </c>
      <c r="J3876">
        <v>2.1999999999999999E-2</v>
      </c>
      <c r="K3876" t="s">
        <v>101</v>
      </c>
      <c r="L3876">
        <v>85</v>
      </c>
      <c r="M3876">
        <f>0.2*0.2</f>
        <v>4.0000000000000008E-2</v>
      </c>
      <c r="N3876" t="s">
        <v>120</v>
      </c>
      <c r="O3876" t="s">
        <v>120</v>
      </c>
      <c r="P3876" t="s">
        <v>169</v>
      </c>
      <c r="Q3876" s="1" t="s">
        <v>2276</v>
      </c>
      <c r="R3876" s="1" t="s">
        <v>669</v>
      </c>
      <c r="S3876" s="1" t="s">
        <v>168</v>
      </c>
      <c r="T3876" t="s">
        <v>421</v>
      </c>
      <c r="U3876" t="s">
        <v>421</v>
      </c>
      <c r="X3876" t="s">
        <v>161</v>
      </c>
      <c r="Y3876" t="s">
        <v>2272</v>
      </c>
      <c r="Z3876" t="s">
        <v>2272</v>
      </c>
      <c r="AA3876" t="s">
        <v>2272</v>
      </c>
      <c r="AB3876" t="s">
        <v>2272</v>
      </c>
      <c r="AC3876" t="s">
        <v>162</v>
      </c>
      <c r="AD3876" t="s">
        <v>2272</v>
      </c>
      <c r="AF3876" t="s">
        <v>49</v>
      </c>
      <c r="AI3876" t="s">
        <v>49</v>
      </c>
      <c r="AM3876" t="s">
        <v>202</v>
      </c>
      <c r="AN3876" t="s">
        <v>166</v>
      </c>
      <c r="AQ3876" s="5">
        <v>0</v>
      </c>
    </row>
    <row r="3877" spans="1:45" x14ac:dyDescent="0.2">
      <c r="A3877" t="s">
        <v>2015</v>
      </c>
      <c r="B3877" t="s">
        <v>2016</v>
      </c>
      <c r="C3877">
        <v>2007</v>
      </c>
      <c r="D3877" t="s">
        <v>44</v>
      </c>
      <c r="F3877" t="s">
        <v>495</v>
      </c>
      <c r="G3877" s="1" t="s">
        <v>86</v>
      </c>
      <c r="H3877" t="s">
        <v>350</v>
      </c>
      <c r="I3877">
        <v>2003</v>
      </c>
      <c r="J3877">
        <v>2.1999999999999999E-2</v>
      </c>
      <c r="K3877" t="s">
        <v>101</v>
      </c>
      <c r="L3877">
        <v>85</v>
      </c>
      <c r="M3877">
        <f>0.2*0.2</f>
        <v>4.0000000000000008E-2</v>
      </c>
      <c r="N3877" t="s">
        <v>120</v>
      </c>
      <c r="O3877" t="s">
        <v>120</v>
      </c>
      <c r="P3877" t="s">
        <v>169</v>
      </c>
      <c r="Q3877" s="1" t="s">
        <v>2276</v>
      </c>
      <c r="R3877" s="1" t="s">
        <v>669</v>
      </c>
      <c r="S3877" s="1" t="s">
        <v>168</v>
      </c>
      <c r="T3877" t="s">
        <v>421</v>
      </c>
      <c r="U3877" t="s">
        <v>421</v>
      </c>
      <c r="X3877" t="s">
        <v>161</v>
      </c>
      <c r="Y3877" t="s">
        <v>2272</v>
      </c>
      <c r="Z3877" t="s">
        <v>2272</v>
      </c>
      <c r="AA3877" t="s">
        <v>2272</v>
      </c>
      <c r="AB3877" t="s">
        <v>2272</v>
      </c>
      <c r="AC3877" t="s">
        <v>162</v>
      </c>
      <c r="AD3877" t="s">
        <v>2272</v>
      </c>
      <c r="AF3877" t="s">
        <v>49</v>
      </c>
      <c r="AI3877" t="s">
        <v>49</v>
      </c>
      <c r="AM3877" t="s">
        <v>202</v>
      </c>
      <c r="AN3877" t="s">
        <v>165</v>
      </c>
      <c r="AP3877" t="s">
        <v>49</v>
      </c>
    </row>
    <row r="3878" spans="1:45" x14ac:dyDescent="0.2">
      <c r="A3878" t="s">
        <v>2017</v>
      </c>
      <c r="B3878" t="s">
        <v>2018</v>
      </c>
      <c r="C3878">
        <v>2007</v>
      </c>
      <c r="Q3878" s="1" t="s">
        <v>2272</v>
      </c>
      <c r="R3878" s="1" t="s">
        <v>2272</v>
      </c>
      <c r="S3878" s="1" t="s">
        <v>2272</v>
      </c>
      <c r="Y3878" t="s">
        <v>2272</v>
      </c>
      <c r="Z3878" t="s">
        <v>2272</v>
      </c>
      <c r="AA3878" t="s">
        <v>2272</v>
      </c>
      <c r="AB3878" t="s">
        <v>2272</v>
      </c>
      <c r="AD3878" t="s">
        <v>2272</v>
      </c>
      <c r="AR3878" t="s">
        <v>144</v>
      </c>
      <c r="AS3878" t="s">
        <v>2583</v>
      </c>
    </row>
    <row r="3879" spans="1:45" x14ac:dyDescent="0.2">
      <c r="A3879" t="s">
        <v>2019</v>
      </c>
      <c r="B3879" t="s">
        <v>2020</v>
      </c>
      <c r="C3879">
        <v>2007</v>
      </c>
      <c r="D3879" t="s">
        <v>44</v>
      </c>
      <c r="F3879" t="s">
        <v>2021</v>
      </c>
      <c r="G3879" s="1" t="s">
        <v>86</v>
      </c>
      <c r="H3879" t="s">
        <v>350</v>
      </c>
      <c r="I3879">
        <v>1994</v>
      </c>
      <c r="K3879" t="s">
        <v>101</v>
      </c>
      <c r="M3879">
        <v>0</v>
      </c>
      <c r="N3879" t="s">
        <v>127</v>
      </c>
      <c r="O3879" t="s">
        <v>1620</v>
      </c>
      <c r="P3879" t="s">
        <v>2022</v>
      </c>
      <c r="Q3879" s="1" t="s">
        <v>2281</v>
      </c>
      <c r="R3879" s="1" t="s">
        <v>2291</v>
      </c>
      <c r="S3879" s="1" t="s">
        <v>2291</v>
      </c>
      <c r="X3879" t="s">
        <v>642</v>
      </c>
      <c r="Y3879" t="s">
        <v>2273</v>
      </c>
      <c r="Z3879" t="s">
        <v>249</v>
      </c>
      <c r="AA3879" t="s">
        <v>2359</v>
      </c>
      <c r="AB3879" t="s">
        <v>1979</v>
      </c>
      <c r="AC3879" t="s">
        <v>152</v>
      </c>
      <c r="AD3879" t="s">
        <v>137</v>
      </c>
      <c r="AF3879" t="s">
        <v>49</v>
      </c>
      <c r="AK3879" t="s">
        <v>49</v>
      </c>
      <c r="AM3879" t="s">
        <v>1021</v>
      </c>
      <c r="AN3879" t="s">
        <v>154</v>
      </c>
      <c r="AP3879" t="s">
        <v>157</v>
      </c>
    </row>
    <row r="3880" spans="1:45" x14ac:dyDescent="0.2">
      <c r="A3880" t="s">
        <v>2019</v>
      </c>
      <c r="B3880" t="s">
        <v>2020</v>
      </c>
      <c r="C3880">
        <v>2007</v>
      </c>
      <c r="D3880" t="s">
        <v>44</v>
      </c>
      <c r="F3880" t="s">
        <v>2021</v>
      </c>
      <c r="G3880" s="1" t="s">
        <v>86</v>
      </c>
      <c r="H3880" t="s">
        <v>350</v>
      </c>
      <c r="I3880">
        <v>1994</v>
      </c>
      <c r="K3880" t="s">
        <v>101</v>
      </c>
      <c r="M3880">
        <v>0</v>
      </c>
      <c r="N3880" t="s">
        <v>127</v>
      </c>
      <c r="O3880" t="s">
        <v>1620</v>
      </c>
      <c r="P3880" t="s">
        <v>2022</v>
      </c>
      <c r="Q3880" s="1" t="s">
        <v>2281</v>
      </c>
      <c r="R3880" s="1" t="s">
        <v>2291</v>
      </c>
      <c r="S3880" s="1" t="s">
        <v>2291</v>
      </c>
      <c r="X3880" t="s">
        <v>293</v>
      </c>
      <c r="Y3880" t="s">
        <v>2273</v>
      </c>
      <c r="Z3880" t="s">
        <v>249</v>
      </c>
      <c r="AA3880" t="s">
        <v>2359</v>
      </c>
      <c r="AB3880" t="s">
        <v>1419</v>
      </c>
      <c r="AC3880" t="s">
        <v>152</v>
      </c>
      <c r="AD3880" t="s">
        <v>137</v>
      </c>
      <c r="AF3880" t="s">
        <v>49</v>
      </c>
      <c r="AK3880" t="s">
        <v>49</v>
      </c>
      <c r="AM3880" t="s">
        <v>1021</v>
      </c>
      <c r="AN3880" t="s">
        <v>154</v>
      </c>
      <c r="AP3880" t="s">
        <v>157</v>
      </c>
    </row>
    <row r="3881" spans="1:45" x14ac:dyDescent="0.2">
      <c r="A3881" t="s">
        <v>2019</v>
      </c>
      <c r="B3881" t="s">
        <v>2020</v>
      </c>
      <c r="C3881">
        <v>2007</v>
      </c>
      <c r="D3881" t="s">
        <v>44</v>
      </c>
      <c r="F3881" t="s">
        <v>2021</v>
      </c>
      <c r="G3881" s="1" t="s">
        <v>86</v>
      </c>
      <c r="H3881" t="s">
        <v>350</v>
      </c>
      <c r="I3881">
        <v>1994</v>
      </c>
      <c r="K3881" t="s">
        <v>101</v>
      </c>
      <c r="M3881">
        <v>0</v>
      </c>
      <c r="N3881" t="s">
        <v>127</v>
      </c>
      <c r="O3881" t="s">
        <v>1620</v>
      </c>
      <c r="P3881" t="s">
        <v>2022</v>
      </c>
      <c r="Q3881" s="1" t="s">
        <v>2281</v>
      </c>
      <c r="R3881" s="1" t="s">
        <v>2291</v>
      </c>
      <c r="S3881" s="1" t="s">
        <v>2291</v>
      </c>
      <c r="X3881" t="s">
        <v>642</v>
      </c>
      <c r="Y3881" t="s">
        <v>2273</v>
      </c>
      <c r="Z3881" t="s">
        <v>249</v>
      </c>
      <c r="AA3881" t="s">
        <v>2359</v>
      </c>
      <c r="AB3881" t="s">
        <v>1979</v>
      </c>
      <c r="AC3881" t="s">
        <v>152</v>
      </c>
      <c r="AD3881" t="s">
        <v>137</v>
      </c>
      <c r="AF3881" t="s">
        <v>49</v>
      </c>
      <c r="AK3881" t="s">
        <v>49</v>
      </c>
      <c r="AM3881" t="s">
        <v>1021</v>
      </c>
      <c r="AN3881" t="s">
        <v>166</v>
      </c>
      <c r="AP3881" t="s">
        <v>157</v>
      </c>
    </row>
    <row r="3882" spans="1:45" x14ac:dyDescent="0.2">
      <c r="A3882" t="s">
        <v>2019</v>
      </c>
      <c r="B3882" t="s">
        <v>2020</v>
      </c>
      <c r="C3882">
        <v>2007</v>
      </c>
      <c r="D3882" t="s">
        <v>44</v>
      </c>
      <c r="F3882" t="s">
        <v>2021</v>
      </c>
      <c r="G3882" s="1" t="s">
        <v>86</v>
      </c>
      <c r="H3882" t="s">
        <v>350</v>
      </c>
      <c r="I3882">
        <v>1994</v>
      </c>
      <c r="K3882" t="s">
        <v>101</v>
      </c>
      <c r="M3882">
        <v>0</v>
      </c>
      <c r="N3882" t="s">
        <v>127</v>
      </c>
      <c r="O3882" t="s">
        <v>1620</v>
      </c>
      <c r="P3882" t="s">
        <v>2022</v>
      </c>
      <c r="Q3882" s="1" t="s">
        <v>2281</v>
      </c>
      <c r="R3882" s="1" t="s">
        <v>2291</v>
      </c>
      <c r="S3882" s="1" t="s">
        <v>2291</v>
      </c>
      <c r="X3882" t="s">
        <v>293</v>
      </c>
      <c r="Y3882" t="s">
        <v>2273</v>
      </c>
      <c r="Z3882" t="s">
        <v>249</v>
      </c>
      <c r="AA3882" t="s">
        <v>2359</v>
      </c>
      <c r="AB3882" t="s">
        <v>1419</v>
      </c>
      <c r="AC3882" t="s">
        <v>152</v>
      </c>
      <c r="AD3882" t="s">
        <v>137</v>
      </c>
      <c r="AF3882" t="s">
        <v>49</v>
      </c>
      <c r="AK3882" t="s">
        <v>49</v>
      </c>
      <c r="AM3882" t="s">
        <v>1021</v>
      </c>
      <c r="AN3882" t="s">
        <v>166</v>
      </c>
      <c r="AP3882" t="s">
        <v>157</v>
      </c>
    </row>
    <row r="3883" spans="1:45" x14ac:dyDescent="0.2">
      <c r="A3883" t="s">
        <v>2023</v>
      </c>
      <c r="B3883" t="s">
        <v>2024</v>
      </c>
      <c r="C3883">
        <v>2007</v>
      </c>
      <c r="D3883" t="s">
        <v>44</v>
      </c>
      <c r="F3883" t="s">
        <v>83</v>
      </c>
      <c r="G3883" s="1" t="s">
        <v>85</v>
      </c>
      <c r="H3883" t="s">
        <v>96</v>
      </c>
      <c r="I3883">
        <v>2003</v>
      </c>
      <c r="J3883">
        <v>0.16</v>
      </c>
      <c r="K3883" t="s">
        <v>1097</v>
      </c>
      <c r="L3883">
        <v>4</v>
      </c>
      <c r="M3883">
        <f t="shared" ref="M3883:M3908" si="87">0.3*0.3</f>
        <v>0.09</v>
      </c>
      <c r="N3883" t="s">
        <v>760</v>
      </c>
      <c r="O3883" t="s">
        <v>760</v>
      </c>
      <c r="P3883" t="s">
        <v>1730</v>
      </c>
      <c r="Q3883" s="1" t="s">
        <v>2292</v>
      </c>
      <c r="R3883" s="1" t="s">
        <v>760</v>
      </c>
      <c r="S3883" s="1" t="s">
        <v>760</v>
      </c>
      <c r="X3883" t="s">
        <v>2025</v>
      </c>
      <c r="Y3883" t="s">
        <v>2279</v>
      </c>
      <c r="Z3883" t="s">
        <v>2280</v>
      </c>
      <c r="AA3883" t="s">
        <v>2286</v>
      </c>
      <c r="AB3883" t="s">
        <v>2287</v>
      </c>
      <c r="AC3883" t="s">
        <v>162</v>
      </c>
      <c r="AD3883" t="s">
        <v>2278</v>
      </c>
      <c r="AG3883" t="s">
        <v>49</v>
      </c>
      <c r="AI3883" t="s">
        <v>49</v>
      </c>
      <c r="AM3883" t="s">
        <v>202</v>
      </c>
      <c r="AN3883" t="s">
        <v>165</v>
      </c>
      <c r="AP3883" t="s">
        <v>49</v>
      </c>
    </row>
    <row r="3884" spans="1:45" x14ac:dyDescent="0.2">
      <c r="A3884" t="s">
        <v>2023</v>
      </c>
      <c r="B3884" t="s">
        <v>2024</v>
      </c>
      <c r="C3884">
        <v>2007</v>
      </c>
      <c r="D3884" t="s">
        <v>44</v>
      </c>
      <c r="F3884" t="s">
        <v>83</v>
      </c>
      <c r="G3884" s="1" t="s">
        <v>85</v>
      </c>
      <c r="H3884" t="s">
        <v>96</v>
      </c>
      <c r="I3884">
        <v>2003</v>
      </c>
      <c r="J3884">
        <v>0.16</v>
      </c>
      <c r="K3884" t="s">
        <v>1097</v>
      </c>
      <c r="L3884">
        <v>4</v>
      </c>
      <c r="M3884">
        <f t="shared" si="87"/>
        <v>0.09</v>
      </c>
      <c r="N3884" t="s">
        <v>760</v>
      </c>
      <c r="O3884" t="s">
        <v>760</v>
      </c>
      <c r="P3884" t="s">
        <v>1730</v>
      </c>
      <c r="Q3884" s="1" t="s">
        <v>2292</v>
      </c>
      <c r="R3884" s="1" t="s">
        <v>760</v>
      </c>
      <c r="S3884" s="1" t="s">
        <v>760</v>
      </c>
      <c r="T3884" t="s">
        <v>421</v>
      </c>
      <c r="U3884" t="s">
        <v>421</v>
      </c>
      <c r="X3884" t="s">
        <v>161</v>
      </c>
      <c r="Y3884" t="s">
        <v>2272</v>
      </c>
      <c r="Z3884" t="s">
        <v>2272</v>
      </c>
      <c r="AA3884" t="s">
        <v>2272</v>
      </c>
      <c r="AB3884" t="s">
        <v>2272</v>
      </c>
      <c r="AC3884" t="s">
        <v>162</v>
      </c>
      <c r="AD3884" t="s">
        <v>2272</v>
      </c>
      <c r="AG3884" t="s">
        <v>49</v>
      </c>
      <c r="AI3884" t="s">
        <v>49</v>
      </c>
      <c r="AM3884" t="s">
        <v>202</v>
      </c>
      <c r="AN3884" t="s">
        <v>165</v>
      </c>
      <c r="AP3884" t="s">
        <v>49</v>
      </c>
    </row>
    <row r="3885" spans="1:45" x14ac:dyDescent="0.2">
      <c r="A3885" t="s">
        <v>2023</v>
      </c>
      <c r="B3885" t="s">
        <v>2024</v>
      </c>
      <c r="C3885">
        <v>2007</v>
      </c>
      <c r="D3885" t="s">
        <v>44</v>
      </c>
      <c r="F3885" t="s">
        <v>83</v>
      </c>
      <c r="G3885" s="1" t="s">
        <v>85</v>
      </c>
      <c r="H3885" t="s">
        <v>96</v>
      </c>
      <c r="I3885">
        <v>2003</v>
      </c>
      <c r="J3885">
        <v>0.16</v>
      </c>
      <c r="K3885" t="s">
        <v>1097</v>
      </c>
      <c r="L3885">
        <v>4</v>
      </c>
      <c r="M3885">
        <f t="shared" si="87"/>
        <v>0.09</v>
      </c>
      <c r="N3885" t="s">
        <v>760</v>
      </c>
      <c r="O3885" t="s">
        <v>760</v>
      </c>
      <c r="P3885" t="s">
        <v>1730</v>
      </c>
      <c r="Q3885" s="1" t="s">
        <v>2292</v>
      </c>
      <c r="R3885" s="1" t="s">
        <v>760</v>
      </c>
      <c r="S3885" s="1" t="s">
        <v>760</v>
      </c>
      <c r="X3885" t="s">
        <v>2025</v>
      </c>
      <c r="Y3885" t="s">
        <v>2279</v>
      </c>
      <c r="Z3885" t="s">
        <v>2280</v>
      </c>
      <c r="AA3885" t="s">
        <v>2286</v>
      </c>
      <c r="AB3885" t="s">
        <v>2287</v>
      </c>
      <c r="AC3885" t="s">
        <v>162</v>
      </c>
      <c r="AD3885" t="s">
        <v>2278</v>
      </c>
      <c r="AG3885" t="s">
        <v>49</v>
      </c>
      <c r="AI3885" t="s">
        <v>49</v>
      </c>
      <c r="AM3885" t="s">
        <v>202</v>
      </c>
      <c r="AN3885" t="s">
        <v>154</v>
      </c>
      <c r="AP3885" t="s">
        <v>51</v>
      </c>
    </row>
    <row r="3886" spans="1:45" x14ac:dyDescent="0.2">
      <c r="A3886" t="s">
        <v>2023</v>
      </c>
      <c r="B3886" t="s">
        <v>2024</v>
      </c>
      <c r="C3886">
        <v>2007</v>
      </c>
      <c r="D3886" t="s">
        <v>44</v>
      </c>
      <c r="F3886" t="s">
        <v>83</v>
      </c>
      <c r="G3886" s="1" t="s">
        <v>85</v>
      </c>
      <c r="H3886" t="s">
        <v>96</v>
      </c>
      <c r="I3886">
        <v>2003</v>
      </c>
      <c r="J3886">
        <v>0.16</v>
      </c>
      <c r="K3886" t="s">
        <v>1097</v>
      </c>
      <c r="L3886">
        <v>4</v>
      </c>
      <c r="M3886">
        <f t="shared" si="87"/>
        <v>0.09</v>
      </c>
      <c r="N3886" t="s">
        <v>760</v>
      </c>
      <c r="O3886" t="s">
        <v>760</v>
      </c>
      <c r="P3886" t="s">
        <v>1730</v>
      </c>
      <c r="Q3886" s="1" t="s">
        <v>2292</v>
      </c>
      <c r="R3886" s="1" t="s">
        <v>760</v>
      </c>
      <c r="S3886" s="1" t="s">
        <v>760</v>
      </c>
      <c r="T3886" t="s">
        <v>421</v>
      </c>
      <c r="U3886" t="s">
        <v>421</v>
      </c>
      <c r="X3886" t="s">
        <v>161</v>
      </c>
      <c r="Y3886" t="s">
        <v>2272</v>
      </c>
      <c r="Z3886" t="s">
        <v>2272</v>
      </c>
      <c r="AA3886" t="s">
        <v>2272</v>
      </c>
      <c r="AB3886" t="s">
        <v>2272</v>
      </c>
      <c r="AC3886" t="s">
        <v>162</v>
      </c>
      <c r="AD3886" t="s">
        <v>2272</v>
      </c>
      <c r="AG3886" t="s">
        <v>49</v>
      </c>
      <c r="AI3886" t="s">
        <v>49</v>
      </c>
      <c r="AM3886" t="s">
        <v>202</v>
      </c>
      <c r="AN3886" t="s">
        <v>154</v>
      </c>
      <c r="AQ3886" s="5">
        <v>0</v>
      </c>
    </row>
    <row r="3887" spans="1:45" x14ac:dyDescent="0.2">
      <c r="A3887" t="s">
        <v>2023</v>
      </c>
      <c r="B3887" t="s">
        <v>2024</v>
      </c>
      <c r="C3887">
        <v>2007</v>
      </c>
      <c r="D3887" t="s">
        <v>44</v>
      </c>
      <c r="F3887" t="s">
        <v>83</v>
      </c>
      <c r="G3887" s="1" t="s">
        <v>85</v>
      </c>
      <c r="H3887" t="s">
        <v>96</v>
      </c>
      <c r="I3887">
        <v>2003</v>
      </c>
      <c r="J3887">
        <v>0.16</v>
      </c>
      <c r="K3887" t="s">
        <v>1097</v>
      </c>
      <c r="L3887">
        <v>4</v>
      </c>
      <c r="M3887">
        <f t="shared" si="87"/>
        <v>0.09</v>
      </c>
      <c r="N3887" t="s">
        <v>760</v>
      </c>
      <c r="O3887" t="s">
        <v>760</v>
      </c>
      <c r="P3887" t="s">
        <v>1730</v>
      </c>
      <c r="Q3887" s="1" t="s">
        <v>2292</v>
      </c>
      <c r="R3887" s="1" t="s">
        <v>760</v>
      </c>
      <c r="S3887" s="1" t="s">
        <v>760</v>
      </c>
      <c r="X3887" t="s">
        <v>2025</v>
      </c>
      <c r="Y3887" t="s">
        <v>2279</v>
      </c>
      <c r="Z3887" t="s">
        <v>2280</v>
      </c>
      <c r="AA3887" t="s">
        <v>2286</v>
      </c>
      <c r="AB3887" t="s">
        <v>2287</v>
      </c>
      <c r="AC3887" t="s">
        <v>162</v>
      </c>
      <c r="AD3887" t="s">
        <v>2278</v>
      </c>
      <c r="AG3887" t="s">
        <v>49</v>
      </c>
      <c r="AK3887" t="s">
        <v>49</v>
      </c>
      <c r="AM3887" t="s">
        <v>664</v>
      </c>
      <c r="AN3887" t="s">
        <v>166</v>
      </c>
      <c r="AP3887" t="s">
        <v>51</v>
      </c>
    </row>
    <row r="3888" spans="1:45" x14ac:dyDescent="0.2">
      <c r="A3888" t="s">
        <v>2023</v>
      </c>
      <c r="B3888" t="s">
        <v>2024</v>
      </c>
      <c r="C3888">
        <v>2007</v>
      </c>
      <c r="D3888" t="s">
        <v>44</v>
      </c>
      <c r="F3888" t="s">
        <v>83</v>
      </c>
      <c r="G3888" s="1" t="s">
        <v>85</v>
      </c>
      <c r="H3888" t="s">
        <v>96</v>
      </c>
      <c r="I3888">
        <v>2003</v>
      </c>
      <c r="J3888">
        <v>0.16</v>
      </c>
      <c r="K3888" t="s">
        <v>1097</v>
      </c>
      <c r="L3888">
        <v>4</v>
      </c>
      <c r="M3888">
        <f t="shared" si="87"/>
        <v>0.09</v>
      </c>
      <c r="N3888" t="s">
        <v>760</v>
      </c>
      <c r="O3888" t="s">
        <v>760</v>
      </c>
      <c r="P3888" t="s">
        <v>1730</v>
      </c>
      <c r="Q3888" s="1" t="s">
        <v>2292</v>
      </c>
      <c r="R3888" s="1" t="s">
        <v>760</v>
      </c>
      <c r="S3888" s="1" t="s">
        <v>760</v>
      </c>
      <c r="T3888" t="s">
        <v>421</v>
      </c>
      <c r="U3888" t="s">
        <v>421</v>
      </c>
      <c r="X3888" t="s">
        <v>161</v>
      </c>
      <c r="Y3888" t="s">
        <v>2272</v>
      </c>
      <c r="Z3888" t="s">
        <v>2272</v>
      </c>
      <c r="AA3888" t="s">
        <v>2272</v>
      </c>
      <c r="AB3888" t="s">
        <v>2272</v>
      </c>
      <c r="AC3888" t="s">
        <v>162</v>
      </c>
      <c r="AD3888" t="s">
        <v>2272</v>
      </c>
      <c r="AG3888" t="s">
        <v>49</v>
      </c>
      <c r="AK3888" t="s">
        <v>49</v>
      </c>
      <c r="AM3888" t="s">
        <v>664</v>
      </c>
      <c r="AN3888" t="s">
        <v>166</v>
      </c>
      <c r="AQ3888" s="5">
        <v>0</v>
      </c>
    </row>
    <row r="3889" spans="1:43" x14ac:dyDescent="0.2">
      <c r="A3889" t="s">
        <v>2023</v>
      </c>
      <c r="B3889" t="s">
        <v>2024</v>
      </c>
      <c r="C3889">
        <v>2007</v>
      </c>
      <c r="D3889" t="s">
        <v>44</v>
      </c>
      <c r="F3889" t="s">
        <v>83</v>
      </c>
      <c r="G3889" s="1" t="s">
        <v>85</v>
      </c>
      <c r="H3889" t="s">
        <v>96</v>
      </c>
      <c r="I3889">
        <v>2003</v>
      </c>
      <c r="J3889">
        <v>0.16</v>
      </c>
      <c r="K3889" t="s">
        <v>1097</v>
      </c>
      <c r="L3889">
        <v>4</v>
      </c>
      <c r="M3889">
        <f t="shared" si="87"/>
        <v>0.09</v>
      </c>
      <c r="N3889" t="s">
        <v>760</v>
      </c>
      <c r="O3889" t="s">
        <v>760</v>
      </c>
      <c r="P3889" t="s">
        <v>1730</v>
      </c>
      <c r="Q3889" s="1" t="s">
        <v>2292</v>
      </c>
      <c r="R3889" s="1" t="s">
        <v>760</v>
      </c>
      <c r="S3889" s="1" t="s">
        <v>760</v>
      </c>
      <c r="X3889" t="s">
        <v>2025</v>
      </c>
      <c r="Y3889" t="s">
        <v>2279</v>
      </c>
      <c r="Z3889" t="s">
        <v>2280</v>
      </c>
      <c r="AA3889" t="s">
        <v>2286</v>
      </c>
      <c r="AB3889" t="s">
        <v>2287</v>
      </c>
      <c r="AC3889" t="s">
        <v>162</v>
      </c>
      <c r="AD3889" t="s">
        <v>2278</v>
      </c>
      <c r="AG3889" t="s">
        <v>49</v>
      </c>
      <c r="AK3889" t="s">
        <v>49</v>
      </c>
      <c r="AM3889" t="s">
        <v>1790</v>
      </c>
      <c r="AN3889" t="s">
        <v>166</v>
      </c>
      <c r="AP3889" t="s">
        <v>51</v>
      </c>
    </row>
    <row r="3890" spans="1:43" x14ac:dyDescent="0.2">
      <c r="A3890" t="s">
        <v>2023</v>
      </c>
      <c r="B3890" t="s">
        <v>2024</v>
      </c>
      <c r="C3890">
        <v>2007</v>
      </c>
      <c r="D3890" t="s">
        <v>44</v>
      </c>
      <c r="F3890" t="s">
        <v>83</v>
      </c>
      <c r="G3890" s="1" t="s">
        <v>85</v>
      </c>
      <c r="H3890" t="s">
        <v>96</v>
      </c>
      <c r="I3890">
        <v>2003</v>
      </c>
      <c r="J3890">
        <v>0.16</v>
      </c>
      <c r="K3890" t="s">
        <v>1097</v>
      </c>
      <c r="L3890">
        <v>4</v>
      </c>
      <c r="M3890">
        <f t="shared" si="87"/>
        <v>0.09</v>
      </c>
      <c r="N3890" t="s">
        <v>760</v>
      </c>
      <c r="O3890" t="s">
        <v>760</v>
      </c>
      <c r="P3890" t="s">
        <v>1730</v>
      </c>
      <c r="Q3890" s="1" t="s">
        <v>2292</v>
      </c>
      <c r="R3890" s="1" t="s">
        <v>760</v>
      </c>
      <c r="S3890" s="1" t="s">
        <v>760</v>
      </c>
      <c r="T3890" t="s">
        <v>421</v>
      </c>
      <c r="U3890" t="s">
        <v>421</v>
      </c>
      <c r="X3890" t="s">
        <v>161</v>
      </c>
      <c r="Y3890" t="s">
        <v>2272</v>
      </c>
      <c r="Z3890" t="s">
        <v>2272</v>
      </c>
      <c r="AA3890" t="s">
        <v>2272</v>
      </c>
      <c r="AB3890" t="s">
        <v>2272</v>
      </c>
      <c r="AC3890" t="s">
        <v>162</v>
      </c>
      <c r="AD3890" t="s">
        <v>2272</v>
      </c>
      <c r="AG3890" t="s">
        <v>49</v>
      </c>
      <c r="AK3890" t="s">
        <v>49</v>
      </c>
      <c r="AM3890" t="s">
        <v>1790</v>
      </c>
      <c r="AN3890" t="s">
        <v>166</v>
      </c>
      <c r="AQ3890" s="5">
        <v>0</v>
      </c>
    </row>
    <row r="3891" spans="1:43" x14ac:dyDescent="0.2">
      <c r="A3891" t="s">
        <v>2023</v>
      </c>
      <c r="B3891" t="s">
        <v>2024</v>
      </c>
      <c r="C3891">
        <v>2007</v>
      </c>
      <c r="D3891" t="s">
        <v>44</v>
      </c>
      <c r="F3891" t="s">
        <v>83</v>
      </c>
      <c r="G3891" s="1" t="s">
        <v>85</v>
      </c>
      <c r="H3891" t="s">
        <v>96</v>
      </c>
      <c r="I3891">
        <v>2003</v>
      </c>
      <c r="J3891">
        <v>0.16</v>
      </c>
      <c r="K3891" t="s">
        <v>1097</v>
      </c>
      <c r="L3891">
        <v>4</v>
      </c>
      <c r="M3891">
        <f t="shared" si="87"/>
        <v>0.09</v>
      </c>
      <c r="N3891" t="s">
        <v>760</v>
      </c>
      <c r="O3891" t="s">
        <v>760</v>
      </c>
      <c r="P3891" t="s">
        <v>1730</v>
      </c>
      <c r="Q3891" s="1" t="s">
        <v>2292</v>
      </c>
      <c r="R3891" s="1" t="s">
        <v>760</v>
      </c>
      <c r="S3891" s="1" t="s">
        <v>760</v>
      </c>
      <c r="X3891" t="s">
        <v>2025</v>
      </c>
      <c r="Y3891" t="s">
        <v>2279</v>
      </c>
      <c r="Z3891" t="s">
        <v>2280</v>
      </c>
      <c r="AA3891" t="s">
        <v>2286</v>
      </c>
      <c r="AB3891" t="s">
        <v>2287</v>
      </c>
      <c r="AC3891" t="s">
        <v>162</v>
      </c>
      <c r="AD3891" t="s">
        <v>2278</v>
      </c>
      <c r="AG3891" t="s">
        <v>49</v>
      </c>
      <c r="AK3891" t="s">
        <v>49</v>
      </c>
      <c r="AM3891" t="s">
        <v>2026</v>
      </c>
      <c r="AN3891" t="s">
        <v>166</v>
      </c>
      <c r="AP3891" t="s">
        <v>51</v>
      </c>
    </row>
    <row r="3892" spans="1:43" x14ac:dyDescent="0.2">
      <c r="A3892" t="s">
        <v>2023</v>
      </c>
      <c r="B3892" t="s">
        <v>2024</v>
      </c>
      <c r="C3892">
        <v>2007</v>
      </c>
      <c r="D3892" t="s">
        <v>44</v>
      </c>
      <c r="F3892" t="s">
        <v>83</v>
      </c>
      <c r="G3892" s="1" t="s">
        <v>85</v>
      </c>
      <c r="H3892" t="s">
        <v>96</v>
      </c>
      <c r="I3892">
        <v>2003</v>
      </c>
      <c r="J3892">
        <v>0.16</v>
      </c>
      <c r="K3892" t="s">
        <v>1097</v>
      </c>
      <c r="L3892">
        <v>4</v>
      </c>
      <c r="M3892">
        <f t="shared" si="87"/>
        <v>0.09</v>
      </c>
      <c r="N3892" t="s">
        <v>760</v>
      </c>
      <c r="O3892" t="s">
        <v>760</v>
      </c>
      <c r="P3892" t="s">
        <v>1730</v>
      </c>
      <c r="Q3892" s="1" t="s">
        <v>2292</v>
      </c>
      <c r="R3892" s="1" t="s">
        <v>760</v>
      </c>
      <c r="S3892" s="1" t="s">
        <v>760</v>
      </c>
      <c r="T3892" t="s">
        <v>421</v>
      </c>
      <c r="U3892" t="s">
        <v>421</v>
      </c>
      <c r="X3892" t="s">
        <v>161</v>
      </c>
      <c r="Y3892" t="s">
        <v>2272</v>
      </c>
      <c r="Z3892" t="s">
        <v>2272</v>
      </c>
      <c r="AA3892" t="s">
        <v>2272</v>
      </c>
      <c r="AB3892" t="s">
        <v>2272</v>
      </c>
      <c r="AC3892" t="s">
        <v>162</v>
      </c>
      <c r="AD3892" t="s">
        <v>2272</v>
      </c>
      <c r="AG3892" t="s">
        <v>49</v>
      </c>
      <c r="AK3892" t="s">
        <v>49</v>
      </c>
      <c r="AM3892" t="s">
        <v>2026</v>
      </c>
      <c r="AN3892" t="s">
        <v>166</v>
      </c>
      <c r="AQ3892" s="5">
        <v>0</v>
      </c>
    </row>
    <row r="3893" spans="1:43" x14ac:dyDescent="0.2">
      <c r="A3893" t="s">
        <v>2023</v>
      </c>
      <c r="B3893" t="s">
        <v>2024</v>
      </c>
      <c r="C3893">
        <v>2007</v>
      </c>
      <c r="D3893" t="s">
        <v>44</v>
      </c>
      <c r="F3893" t="s">
        <v>83</v>
      </c>
      <c r="G3893" s="1" t="s">
        <v>85</v>
      </c>
      <c r="H3893" t="s">
        <v>96</v>
      </c>
      <c r="I3893">
        <v>2003</v>
      </c>
      <c r="J3893">
        <v>0.16</v>
      </c>
      <c r="K3893" t="s">
        <v>1097</v>
      </c>
      <c r="L3893">
        <v>4</v>
      </c>
      <c r="M3893">
        <f t="shared" si="87"/>
        <v>0.09</v>
      </c>
      <c r="N3893" t="s">
        <v>760</v>
      </c>
      <c r="O3893" t="s">
        <v>760</v>
      </c>
      <c r="P3893" t="s">
        <v>1730</v>
      </c>
      <c r="Q3893" s="1" t="s">
        <v>2292</v>
      </c>
      <c r="R3893" s="1" t="s">
        <v>760</v>
      </c>
      <c r="S3893" s="1" t="s">
        <v>760</v>
      </c>
      <c r="X3893" t="s">
        <v>2025</v>
      </c>
      <c r="Y3893" t="s">
        <v>2279</v>
      </c>
      <c r="Z3893" t="s">
        <v>2280</v>
      </c>
      <c r="AA3893" t="s">
        <v>2286</v>
      </c>
      <c r="AB3893" t="s">
        <v>2287</v>
      </c>
      <c r="AC3893" t="s">
        <v>162</v>
      </c>
      <c r="AD3893" t="s">
        <v>2278</v>
      </c>
      <c r="AG3893" t="s">
        <v>49</v>
      </c>
      <c r="AK3893" t="s">
        <v>49</v>
      </c>
      <c r="AM3893" t="s">
        <v>153</v>
      </c>
      <c r="AN3893" t="s">
        <v>166</v>
      </c>
      <c r="AP3893" t="s">
        <v>157</v>
      </c>
    </row>
    <row r="3894" spans="1:43" x14ac:dyDescent="0.2">
      <c r="A3894" t="s">
        <v>2023</v>
      </c>
      <c r="B3894" t="s">
        <v>2024</v>
      </c>
      <c r="C3894">
        <v>2007</v>
      </c>
      <c r="D3894" t="s">
        <v>44</v>
      </c>
      <c r="F3894" t="s">
        <v>83</v>
      </c>
      <c r="G3894" s="1" t="s">
        <v>85</v>
      </c>
      <c r="H3894" t="s">
        <v>96</v>
      </c>
      <c r="I3894">
        <v>2003</v>
      </c>
      <c r="J3894">
        <v>0.16</v>
      </c>
      <c r="K3894" t="s">
        <v>1097</v>
      </c>
      <c r="L3894">
        <v>4</v>
      </c>
      <c r="M3894">
        <f t="shared" si="87"/>
        <v>0.09</v>
      </c>
      <c r="N3894" t="s">
        <v>760</v>
      </c>
      <c r="O3894" t="s">
        <v>760</v>
      </c>
      <c r="P3894" t="s">
        <v>1730</v>
      </c>
      <c r="Q3894" s="1" t="s">
        <v>2292</v>
      </c>
      <c r="R3894" s="1" t="s">
        <v>760</v>
      </c>
      <c r="S3894" s="1" t="s">
        <v>760</v>
      </c>
      <c r="T3894" t="s">
        <v>421</v>
      </c>
      <c r="U3894" t="s">
        <v>421</v>
      </c>
      <c r="X3894" t="s">
        <v>161</v>
      </c>
      <c r="Y3894" t="s">
        <v>2272</v>
      </c>
      <c r="Z3894" t="s">
        <v>2272</v>
      </c>
      <c r="AA3894" t="s">
        <v>2272</v>
      </c>
      <c r="AB3894" t="s">
        <v>2272</v>
      </c>
      <c r="AC3894" t="s">
        <v>162</v>
      </c>
      <c r="AD3894" t="s">
        <v>2272</v>
      </c>
      <c r="AG3894" t="s">
        <v>49</v>
      </c>
      <c r="AK3894" t="s">
        <v>49</v>
      </c>
      <c r="AM3894" t="s">
        <v>153</v>
      </c>
      <c r="AN3894" t="s">
        <v>166</v>
      </c>
      <c r="AQ3894" s="5">
        <v>1</v>
      </c>
    </row>
    <row r="3895" spans="1:43" x14ac:dyDescent="0.2">
      <c r="A3895" t="s">
        <v>2023</v>
      </c>
      <c r="B3895" t="s">
        <v>2024</v>
      </c>
      <c r="C3895">
        <v>2007</v>
      </c>
      <c r="D3895" t="s">
        <v>44</v>
      </c>
      <c r="F3895" t="s">
        <v>83</v>
      </c>
      <c r="G3895" s="1" t="s">
        <v>85</v>
      </c>
      <c r="H3895" t="s">
        <v>96</v>
      </c>
      <c r="I3895">
        <v>2003</v>
      </c>
      <c r="J3895">
        <v>0.16</v>
      </c>
      <c r="K3895" t="s">
        <v>1097</v>
      </c>
      <c r="L3895">
        <v>4</v>
      </c>
      <c r="M3895">
        <f t="shared" si="87"/>
        <v>0.09</v>
      </c>
      <c r="N3895" t="s">
        <v>760</v>
      </c>
      <c r="O3895" t="s">
        <v>760</v>
      </c>
      <c r="P3895" t="s">
        <v>1730</v>
      </c>
      <c r="Q3895" s="1" t="s">
        <v>2292</v>
      </c>
      <c r="R3895" s="1" t="s">
        <v>760</v>
      </c>
      <c r="S3895" s="1" t="s">
        <v>760</v>
      </c>
      <c r="X3895" t="s">
        <v>2025</v>
      </c>
      <c r="Y3895" t="s">
        <v>2279</v>
      </c>
      <c r="Z3895" t="s">
        <v>2280</v>
      </c>
      <c r="AA3895" t="s">
        <v>2286</v>
      </c>
      <c r="AB3895" t="s">
        <v>2287</v>
      </c>
      <c r="AC3895" t="s">
        <v>162</v>
      </c>
      <c r="AD3895" t="s">
        <v>2278</v>
      </c>
      <c r="AG3895" t="s">
        <v>49</v>
      </c>
      <c r="AK3895" t="s">
        <v>49</v>
      </c>
      <c r="AM3895" t="s">
        <v>2027</v>
      </c>
      <c r="AN3895" t="s">
        <v>166</v>
      </c>
      <c r="AP3895" t="s">
        <v>173</v>
      </c>
    </row>
    <row r="3896" spans="1:43" x14ac:dyDescent="0.2">
      <c r="A3896" t="s">
        <v>2023</v>
      </c>
      <c r="B3896" t="s">
        <v>2024</v>
      </c>
      <c r="C3896">
        <v>2007</v>
      </c>
      <c r="D3896" t="s">
        <v>44</v>
      </c>
      <c r="F3896" t="s">
        <v>83</v>
      </c>
      <c r="G3896" s="1" t="s">
        <v>85</v>
      </c>
      <c r="H3896" t="s">
        <v>96</v>
      </c>
      <c r="I3896">
        <v>2003</v>
      </c>
      <c r="J3896">
        <v>0.16</v>
      </c>
      <c r="K3896" t="s">
        <v>1097</v>
      </c>
      <c r="L3896">
        <v>4</v>
      </c>
      <c r="M3896">
        <f t="shared" si="87"/>
        <v>0.09</v>
      </c>
      <c r="N3896" t="s">
        <v>760</v>
      </c>
      <c r="O3896" t="s">
        <v>760</v>
      </c>
      <c r="P3896" t="s">
        <v>1730</v>
      </c>
      <c r="Q3896" s="1" t="s">
        <v>2292</v>
      </c>
      <c r="R3896" s="1" t="s">
        <v>760</v>
      </c>
      <c r="S3896" s="1" t="s">
        <v>760</v>
      </c>
      <c r="T3896" t="s">
        <v>421</v>
      </c>
      <c r="U3896" t="s">
        <v>421</v>
      </c>
      <c r="X3896" t="s">
        <v>161</v>
      </c>
      <c r="Y3896" t="s">
        <v>2272</v>
      </c>
      <c r="Z3896" t="s">
        <v>2272</v>
      </c>
      <c r="AA3896" t="s">
        <v>2272</v>
      </c>
      <c r="AB3896" t="s">
        <v>2272</v>
      </c>
      <c r="AC3896" t="s">
        <v>162</v>
      </c>
      <c r="AD3896" t="s">
        <v>2272</v>
      </c>
      <c r="AG3896" t="s">
        <v>49</v>
      </c>
      <c r="AK3896" t="s">
        <v>49</v>
      </c>
      <c r="AM3896" t="s">
        <v>2027</v>
      </c>
      <c r="AN3896" t="s">
        <v>166</v>
      </c>
      <c r="AQ3896" s="5">
        <v>2</v>
      </c>
    </row>
    <row r="3897" spans="1:43" x14ac:dyDescent="0.2">
      <c r="A3897" t="s">
        <v>2023</v>
      </c>
      <c r="B3897" t="s">
        <v>2024</v>
      </c>
      <c r="C3897">
        <v>2007</v>
      </c>
      <c r="D3897" t="s">
        <v>44</v>
      </c>
      <c r="F3897" t="s">
        <v>83</v>
      </c>
      <c r="G3897" s="1" t="s">
        <v>85</v>
      </c>
      <c r="H3897" t="s">
        <v>96</v>
      </c>
      <c r="I3897">
        <v>2003</v>
      </c>
      <c r="J3897">
        <v>0.16</v>
      </c>
      <c r="K3897" t="s">
        <v>1097</v>
      </c>
      <c r="L3897">
        <v>4</v>
      </c>
      <c r="M3897">
        <f t="shared" si="87"/>
        <v>0.09</v>
      </c>
      <c r="N3897" t="s">
        <v>760</v>
      </c>
      <c r="O3897" t="s">
        <v>760</v>
      </c>
      <c r="P3897" t="s">
        <v>1730</v>
      </c>
      <c r="Q3897" s="1" t="s">
        <v>2292</v>
      </c>
      <c r="R3897" s="1" t="s">
        <v>760</v>
      </c>
      <c r="S3897" s="1" t="s">
        <v>760</v>
      </c>
      <c r="X3897" t="s">
        <v>2025</v>
      </c>
      <c r="Y3897" t="s">
        <v>2279</v>
      </c>
      <c r="Z3897" t="s">
        <v>2280</v>
      </c>
      <c r="AA3897" t="s">
        <v>2286</v>
      </c>
      <c r="AB3897" t="s">
        <v>2287</v>
      </c>
      <c r="AC3897" t="s">
        <v>162</v>
      </c>
      <c r="AD3897" t="s">
        <v>2278</v>
      </c>
      <c r="AG3897" t="s">
        <v>49</v>
      </c>
      <c r="AK3897" t="s">
        <v>49</v>
      </c>
      <c r="AM3897" t="s">
        <v>2033</v>
      </c>
      <c r="AN3897" t="s">
        <v>166</v>
      </c>
      <c r="AP3897" t="s">
        <v>51</v>
      </c>
    </row>
    <row r="3898" spans="1:43" x14ac:dyDescent="0.2">
      <c r="A3898" t="s">
        <v>2023</v>
      </c>
      <c r="B3898" t="s">
        <v>2024</v>
      </c>
      <c r="C3898">
        <v>2007</v>
      </c>
      <c r="D3898" t="s">
        <v>44</v>
      </c>
      <c r="F3898" t="s">
        <v>83</v>
      </c>
      <c r="G3898" s="1" t="s">
        <v>85</v>
      </c>
      <c r="H3898" t="s">
        <v>96</v>
      </c>
      <c r="I3898">
        <v>2003</v>
      </c>
      <c r="J3898">
        <v>0.16</v>
      </c>
      <c r="K3898" t="s">
        <v>1097</v>
      </c>
      <c r="L3898">
        <v>4</v>
      </c>
      <c r="M3898">
        <f t="shared" si="87"/>
        <v>0.09</v>
      </c>
      <c r="N3898" t="s">
        <v>760</v>
      </c>
      <c r="O3898" t="s">
        <v>760</v>
      </c>
      <c r="P3898" t="s">
        <v>1730</v>
      </c>
      <c r="Q3898" s="1" t="s">
        <v>2292</v>
      </c>
      <c r="R3898" s="1" t="s">
        <v>760</v>
      </c>
      <c r="S3898" s="1" t="s">
        <v>760</v>
      </c>
      <c r="T3898" t="s">
        <v>421</v>
      </c>
      <c r="U3898" t="s">
        <v>421</v>
      </c>
      <c r="X3898" t="s">
        <v>161</v>
      </c>
      <c r="Y3898" t="s">
        <v>2272</v>
      </c>
      <c r="Z3898" t="s">
        <v>2272</v>
      </c>
      <c r="AA3898" t="s">
        <v>2272</v>
      </c>
      <c r="AB3898" t="s">
        <v>2272</v>
      </c>
      <c r="AC3898" t="s">
        <v>162</v>
      </c>
      <c r="AD3898" t="s">
        <v>2272</v>
      </c>
      <c r="AG3898" t="s">
        <v>49</v>
      </c>
      <c r="AK3898" t="s">
        <v>49</v>
      </c>
      <c r="AM3898" t="s">
        <v>2033</v>
      </c>
      <c r="AN3898" t="s">
        <v>166</v>
      </c>
      <c r="AQ3898" s="5">
        <v>0</v>
      </c>
    </row>
    <row r="3899" spans="1:43" x14ac:dyDescent="0.2">
      <c r="A3899" t="s">
        <v>2023</v>
      </c>
      <c r="B3899" t="s">
        <v>2024</v>
      </c>
      <c r="C3899">
        <v>2007</v>
      </c>
      <c r="D3899" t="s">
        <v>44</v>
      </c>
      <c r="F3899" t="s">
        <v>83</v>
      </c>
      <c r="G3899" s="1" t="s">
        <v>85</v>
      </c>
      <c r="H3899" t="s">
        <v>96</v>
      </c>
      <c r="I3899">
        <v>2003</v>
      </c>
      <c r="J3899">
        <v>0.16</v>
      </c>
      <c r="K3899" t="s">
        <v>1097</v>
      </c>
      <c r="L3899">
        <v>4</v>
      </c>
      <c r="M3899">
        <f t="shared" si="87"/>
        <v>0.09</v>
      </c>
      <c r="N3899" t="s">
        <v>760</v>
      </c>
      <c r="O3899" t="s">
        <v>760</v>
      </c>
      <c r="P3899" t="s">
        <v>1730</v>
      </c>
      <c r="Q3899" s="1" t="s">
        <v>2292</v>
      </c>
      <c r="R3899" s="1" t="s">
        <v>760</v>
      </c>
      <c r="S3899" s="1" t="s">
        <v>760</v>
      </c>
      <c r="X3899" t="s">
        <v>2025</v>
      </c>
      <c r="Y3899" t="s">
        <v>2279</v>
      </c>
      <c r="Z3899" t="s">
        <v>2280</v>
      </c>
      <c r="AA3899" t="s">
        <v>2286</v>
      </c>
      <c r="AB3899" t="s">
        <v>2287</v>
      </c>
      <c r="AC3899" t="s">
        <v>162</v>
      </c>
      <c r="AD3899" t="s">
        <v>2278</v>
      </c>
      <c r="AG3899" t="s">
        <v>49</v>
      </c>
      <c r="AK3899" t="s">
        <v>49</v>
      </c>
      <c r="AM3899" t="s">
        <v>2028</v>
      </c>
      <c r="AN3899" t="s">
        <v>166</v>
      </c>
      <c r="AP3899" t="s">
        <v>51</v>
      </c>
    </row>
    <row r="3900" spans="1:43" x14ac:dyDescent="0.2">
      <c r="A3900" t="s">
        <v>2023</v>
      </c>
      <c r="B3900" t="s">
        <v>2024</v>
      </c>
      <c r="C3900">
        <v>2007</v>
      </c>
      <c r="D3900" t="s">
        <v>44</v>
      </c>
      <c r="F3900" t="s">
        <v>83</v>
      </c>
      <c r="G3900" s="1" t="s">
        <v>85</v>
      </c>
      <c r="H3900" t="s">
        <v>96</v>
      </c>
      <c r="I3900">
        <v>2003</v>
      </c>
      <c r="J3900">
        <v>0.16</v>
      </c>
      <c r="K3900" t="s">
        <v>1097</v>
      </c>
      <c r="L3900">
        <v>4</v>
      </c>
      <c r="M3900">
        <f t="shared" si="87"/>
        <v>0.09</v>
      </c>
      <c r="N3900" t="s">
        <v>760</v>
      </c>
      <c r="O3900" t="s">
        <v>760</v>
      </c>
      <c r="P3900" t="s">
        <v>1730</v>
      </c>
      <c r="Q3900" s="1" t="s">
        <v>2292</v>
      </c>
      <c r="R3900" s="1" t="s">
        <v>760</v>
      </c>
      <c r="S3900" s="1" t="s">
        <v>760</v>
      </c>
      <c r="T3900" t="s">
        <v>421</v>
      </c>
      <c r="U3900" t="s">
        <v>421</v>
      </c>
      <c r="X3900" t="s">
        <v>161</v>
      </c>
      <c r="Y3900" t="s">
        <v>2272</v>
      </c>
      <c r="Z3900" t="s">
        <v>2272</v>
      </c>
      <c r="AA3900" t="s">
        <v>2272</v>
      </c>
      <c r="AB3900" t="s">
        <v>2272</v>
      </c>
      <c r="AC3900" t="s">
        <v>162</v>
      </c>
      <c r="AD3900" t="s">
        <v>2272</v>
      </c>
      <c r="AG3900" t="s">
        <v>49</v>
      </c>
      <c r="AK3900" t="s">
        <v>49</v>
      </c>
      <c r="AM3900" t="s">
        <v>2028</v>
      </c>
      <c r="AN3900" t="s">
        <v>166</v>
      </c>
      <c r="AQ3900" s="5">
        <v>0</v>
      </c>
    </row>
    <row r="3901" spans="1:43" x14ac:dyDescent="0.2">
      <c r="A3901" t="s">
        <v>2023</v>
      </c>
      <c r="B3901" t="s">
        <v>2024</v>
      </c>
      <c r="C3901">
        <v>2007</v>
      </c>
      <c r="D3901" t="s">
        <v>44</v>
      </c>
      <c r="F3901" t="s">
        <v>83</v>
      </c>
      <c r="G3901" s="1" t="s">
        <v>85</v>
      </c>
      <c r="H3901" t="s">
        <v>96</v>
      </c>
      <c r="I3901">
        <v>2003</v>
      </c>
      <c r="J3901">
        <v>0.16</v>
      </c>
      <c r="K3901" t="s">
        <v>1097</v>
      </c>
      <c r="L3901">
        <v>4</v>
      </c>
      <c r="M3901">
        <f t="shared" si="87"/>
        <v>0.09</v>
      </c>
      <c r="N3901" t="s">
        <v>760</v>
      </c>
      <c r="O3901" t="s">
        <v>760</v>
      </c>
      <c r="P3901" t="s">
        <v>1730</v>
      </c>
      <c r="Q3901" s="1" t="s">
        <v>2292</v>
      </c>
      <c r="R3901" s="1" t="s">
        <v>760</v>
      </c>
      <c r="S3901" s="1" t="s">
        <v>760</v>
      </c>
      <c r="X3901" t="s">
        <v>2025</v>
      </c>
      <c r="Y3901" t="s">
        <v>2279</v>
      </c>
      <c r="Z3901" t="s">
        <v>2280</v>
      </c>
      <c r="AA3901" t="s">
        <v>2286</v>
      </c>
      <c r="AB3901" t="s">
        <v>2287</v>
      </c>
      <c r="AC3901" t="s">
        <v>162</v>
      </c>
      <c r="AD3901" t="s">
        <v>2278</v>
      </c>
      <c r="AG3901" t="s">
        <v>49</v>
      </c>
      <c r="AK3901" t="s">
        <v>49</v>
      </c>
      <c r="AM3901" t="s">
        <v>2029</v>
      </c>
      <c r="AN3901" t="s">
        <v>166</v>
      </c>
      <c r="AP3901" t="s">
        <v>51</v>
      </c>
    </row>
    <row r="3902" spans="1:43" x14ac:dyDescent="0.2">
      <c r="A3902" t="s">
        <v>2023</v>
      </c>
      <c r="B3902" t="s">
        <v>2024</v>
      </c>
      <c r="C3902">
        <v>2007</v>
      </c>
      <c r="D3902" t="s">
        <v>44</v>
      </c>
      <c r="F3902" t="s">
        <v>83</v>
      </c>
      <c r="G3902" s="1" t="s">
        <v>85</v>
      </c>
      <c r="H3902" t="s">
        <v>96</v>
      </c>
      <c r="I3902">
        <v>2003</v>
      </c>
      <c r="J3902">
        <v>0.16</v>
      </c>
      <c r="K3902" t="s">
        <v>1097</v>
      </c>
      <c r="L3902">
        <v>4</v>
      </c>
      <c r="M3902">
        <f t="shared" si="87"/>
        <v>0.09</v>
      </c>
      <c r="N3902" t="s">
        <v>760</v>
      </c>
      <c r="O3902" t="s">
        <v>760</v>
      </c>
      <c r="P3902" t="s">
        <v>1730</v>
      </c>
      <c r="Q3902" s="1" t="s">
        <v>2292</v>
      </c>
      <c r="R3902" s="1" t="s">
        <v>760</v>
      </c>
      <c r="S3902" s="1" t="s">
        <v>760</v>
      </c>
      <c r="T3902" t="s">
        <v>421</v>
      </c>
      <c r="U3902" t="s">
        <v>421</v>
      </c>
      <c r="X3902" t="s">
        <v>161</v>
      </c>
      <c r="Y3902" t="s">
        <v>2272</v>
      </c>
      <c r="Z3902" t="s">
        <v>2272</v>
      </c>
      <c r="AA3902" t="s">
        <v>2272</v>
      </c>
      <c r="AB3902" t="s">
        <v>2272</v>
      </c>
      <c r="AC3902" t="s">
        <v>162</v>
      </c>
      <c r="AD3902" t="s">
        <v>2272</v>
      </c>
      <c r="AG3902" t="s">
        <v>49</v>
      </c>
      <c r="AK3902" t="s">
        <v>49</v>
      </c>
      <c r="AM3902" t="s">
        <v>2029</v>
      </c>
      <c r="AN3902" t="s">
        <v>166</v>
      </c>
      <c r="AQ3902" s="5">
        <v>0</v>
      </c>
    </row>
    <row r="3903" spans="1:43" x14ac:dyDescent="0.2">
      <c r="A3903" t="s">
        <v>2023</v>
      </c>
      <c r="B3903" t="s">
        <v>2024</v>
      </c>
      <c r="C3903">
        <v>2007</v>
      </c>
      <c r="D3903" t="s">
        <v>44</v>
      </c>
      <c r="F3903" t="s">
        <v>83</v>
      </c>
      <c r="G3903" s="1" t="s">
        <v>85</v>
      </c>
      <c r="H3903" t="s">
        <v>96</v>
      </c>
      <c r="I3903">
        <v>2003</v>
      </c>
      <c r="J3903">
        <v>0.16</v>
      </c>
      <c r="K3903" t="s">
        <v>1097</v>
      </c>
      <c r="L3903">
        <v>4</v>
      </c>
      <c r="M3903">
        <f t="shared" si="87"/>
        <v>0.09</v>
      </c>
      <c r="N3903" t="s">
        <v>760</v>
      </c>
      <c r="O3903" t="s">
        <v>760</v>
      </c>
      <c r="P3903" t="s">
        <v>1730</v>
      </c>
      <c r="Q3903" s="1" t="s">
        <v>2292</v>
      </c>
      <c r="R3903" s="1" t="s">
        <v>760</v>
      </c>
      <c r="S3903" s="1" t="s">
        <v>760</v>
      </c>
      <c r="X3903" t="s">
        <v>2025</v>
      </c>
      <c r="Y3903" t="s">
        <v>2279</v>
      </c>
      <c r="Z3903" t="s">
        <v>2280</v>
      </c>
      <c r="AA3903" t="s">
        <v>2286</v>
      </c>
      <c r="AB3903" t="s">
        <v>2287</v>
      </c>
      <c r="AC3903" t="s">
        <v>162</v>
      </c>
      <c r="AD3903" t="s">
        <v>2278</v>
      </c>
      <c r="AG3903" t="s">
        <v>49</v>
      </c>
      <c r="AK3903" t="s">
        <v>49</v>
      </c>
      <c r="AM3903" t="s">
        <v>2030</v>
      </c>
      <c r="AN3903" t="s">
        <v>166</v>
      </c>
      <c r="AP3903" t="s">
        <v>51</v>
      </c>
    </row>
    <row r="3904" spans="1:43" x14ac:dyDescent="0.2">
      <c r="A3904" t="s">
        <v>2023</v>
      </c>
      <c r="B3904" t="s">
        <v>2024</v>
      </c>
      <c r="C3904">
        <v>2007</v>
      </c>
      <c r="D3904" t="s">
        <v>44</v>
      </c>
      <c r="F3904" t="s">
        <v>83</v>
      </c>
      <c r="G3904" s="1" t="s">
        <v>85</v>
      </c>
      <c r="H3904" t="s">
        <v>96</v>
      </c>
      <c r="I3904">
        <v>2003</v>
      </c>
      <c r="J3904">
        <v>0.16</v>
      </c>
      <c r="K3904" t="s">
        <v>1097</v>
      </c>
      <c r="L3904">
        <v>4</v>
      </c>
      <c r="M3904">
        <f t="shared" si="87"/>
        <v>0.09</v>
      </c>
      <c r="N3904" t="s">
        <v>760</v>
      </c>
      <c r="O3904" t="s">
        <v>760</v>
      </c>
      <c r="P3904" t="s">
        <v>1730</v>
      </c>
      <c r="Q3904" s="1" t="s">
        <v>2292</v>
      </c>
      <c r="R3904" s="1" t="s">
        <v>760</v>
      </c>
      <c r="S3904" s="1" t="s">
        <v>760</v>
      </c>
      <c r="T3904" t="s">
        <v>421</v>
      </c>
      <c r="U3904" t="s">
        <v>421</v>
      </c>
      <c r="X3904" t="s">
        <v>161</v>
      </c>
      <c r="Y3904" t="s">
        <v>2272</v>
      </c>
      <c r="Z3904" t="s">
        <v>2272</v>
      </c>
      <c r="AA3904" t="s">
        <v>2272</v>
      </c>
      <c r="AB3904" t="s">
        <v>2272</v>
      </c>
      <c r="AC3904" t="s">
        <v>162</v>
      </c>
      <c r="AD3904" t="s">
        <v>2272</v>
      </c>
      <c r="AG3904" t="s">
        <v>49</v>
      </c>
      <c r="AK3904" t="s">
        <v>49</v>
      </c>
      <c r="AM3904" t="s">
        <v>2030</v>
      </c>
      <c r="AN3904" t="s">
        <v>166</v>
      </c>
      <c r="AQ3904" s="5">
        <v>0</v>
      </c>
    </row>
    <row r="3905" spans="1:43" x14ac:dyDescent="0.2">
      <c r="A3905" t="s">
        <v>2023</v>
      </c>
      <c r="B3905" t="s">
        <v>2024</v>
      </c>
      <c r="C3905">
        <v>2007</v>
      </c>
      <c r="D3905" t="s">
        <v>44</v>
      </c>
      <c r="F3905" t="s">
        <v>83</v>
      </c>
      <c r="G3905" s="1" t="s">
        <v>85</v>
      </c>
      <c r="H3905" t="s">
        <v>96</v>
      </c>
      <c r="I3905">
        <v>2003</v>
      </c>
      <c r="J3905">
        <v>0.16</v>
      </c>
      <c r="K3905" t="s">
        <v>1097</v>
      </c>
      <c r="L3905">
        <v>4</v>
      </c>
      <c r="M3905">
        <f t="shared" si="87"/>
        <v>0.09</v>
      </c>
      <c r="N3905" t="s">
        <v>760</v>
      </c>
      <c r="O3905" t="s">
        <v>760</v>
      </c>
      <c r="P3905" t="s">
        <v>1730</v>
      </c>
      <c r="Q3905" s="1" t="s">
        <v>2292</v>
      </c>
      <c r="R3905" s="1" t="s">
        <v>760</v>
      </c>
      <c r="S3905" s="1" t="s">
        <v>760</v>
      </c>
      <c r="X3905" t="s">
        <v>2025</v>
      </c>
      <c r="Y3905" t="s">
        <v>2279</v>
      </c>
      <c r="Z3905" t="s">
        <v>2280</v>
      </c>
      <c r="AA3905" t="s">
        <v>2286</v>
      </c>
      <c r="AB3905" t="s">
        <v>2287</v>
      </c>
      <c r="AC3905" t="s">
        <v>162</v>
      </c>
      <c r="AD3905" t="s">
        <v>2278</v>
      </c>
      <c r="AG3905" t="s">
        <v>49</v>
      </c>
      <c r="AK3905" t="s">
        <v>49</v>
      </c>
      <c r="AM3905" t="s">
        <v>2031</v>
      </c>
      <c r="AN3905" t="s">
        <v>166</v>
      </c>
      <c r="AP3905" t="s">
        <v>51</v>
      </c>
    </row>
    <row r="3906" spans="1:43" x14ac:dyDescent="0.2">
      <c r="A3906" t="s">
        <v>2023</v>
      </c>
      <c r="B3906" t="s">
        <v>2024</v>
      </c>
      <c r="C3906">
        <v>2007</v>
      </c>
      <c r="D3906" t="s">
        <v>44</v>
      </c>
      <c r="F3906" t="s">
        <v>83</v>
      </c>
      <c r="G3906" s="1" t="s">
        <v>85</v>
      </c>
      <c r="H3906" t="s">
        <v>96</v>
      </c>
      <c r="I3906">
        <v>2003</v>
      </c>
      <c r="J3906">
        <v>0.16</v>
      </c>
      <c r="K3906" t="s">
        <v>1097</v>
      </c>
      <c r="L3906">
        <v>4</v>
      </c>
      <c r="M3906">
        <f t="shared" si="87"/>
        <v>0.09</v>
      </c>
      <c r="N3906" t="s">
        <v>760</v>
      </c>
      <c r="O3906" t="s">
        <v>760</v>
      </c>
      <c r="P3906" t="s">
        <v>1730</v>
      </c>
      <c r="Q3906" s="1" t="s">
        <v>2292</v>
      </c>
      <c r="R3906" s="1" t="s">
        <v>760</v>
      </c>
      <c r="S3906" s="1" t="s">
        <v>760</v>
      </c>
      <c r="T3906" t="s">
        <v>421</v>
      </c>
      <c r="U3906" t="s">
        <v>421</v>
      </c>
      <c r="X3906" t="s">
        <v>161</v>
      </c>
      <c r="Y3906" t="s">
        <v>2272</v>
      </c>
      <c r="Z3906" t="s">
        <v>2272</v>
      </c>
      <c r="AA3906" t="s">
        <v>2272</v>
      </c>
      <c r="AB3906" t="s">
        <v>2272</v>
      </c>
      <c r="AC3906" t="s">
        <v>162</v>
      </c>
      <c r="AD3906" t="s">
        <v>2272</v>
      </c>
      <c r="AG3906" t="s">
        <v>49</v>
      </c>
      <c r="AK3906" t="s">
        <v>49</v>
      </c>
      <c r="AM3906" t="s">
        <v>2031</v>
      </c>
      <c r="AN3906" t="s">
        <v>166</v>
      </c>
      <c r="AQ3906" s="5">
        <v>0</v>
      </c>
    </row>
    <row r="3907" spans="1:43" x14ac:dyDescent="0.2">
      <c r="A3907" t="s">
        <v>2023</v>
      </c>
      <c r="B3907" t="s">
        <v>2024</v>
      </c>
      <c r="C3907">
        <v>2007</v>
      </c>
      <c r="D3907" t="s">
        <v>44</v>
      </c>
      <c r="F3907" t="s">
        <v>83</v>
      </c>
      <c r="G3907" s="1" t="s">
        <v>85</v>
      </c>
      <c r="H3907" t="s">
        <v>96</v>
      </c>
      <c r="I3907">
        <v>2003</v>
      </c>
      <c r="J3907">
        <v>0.16</v>
      </c>
      <c r="K3907" t="s">
        <v>1097</v>
      </c>
      <c r="L3907">
        <v>4</v>
      </c>
      <c r="M3907">
        <f t="shared" si="87"/>
        <v>0.09</v>
      </c>
      <c r="N3907" t="s">
        <v>760</v>
      </c>
      <c r="O3907" t="s">
        <v>760</v>
      </c>
      <c r="P3907" t="s">
        <v>1730</v>
      </c>
      <c r="Q3907" s="1" t="s">
        <v>2292</v>
      </c>
      <c r="R3907" s="1" t="s">
        <v>760</v>
      </c>
      <c r="S3907" s="1" t="s">
        <v>760</v>
      </c>
      <c r="X3907" t="s">
        <v>2025</v>
      </c>
      <c r="Y3907" t="s">
        <v>2279</v>
      </c>
      <c r="Z3907" t="s">
        <v>2280</v>
      </c>
      <c r="AA3907" t="s">
        <v>2286</v>
      </c>
      <c r="AB3907" t="s">
        <v>2287</v>
      </c>
      <c r="AC3907" t="s">
        <v>162</v>
      </c>
      <c r="AD3907" t="s">
        <v>2278</v>
      </c>
      <c r="AG3907" t="s">
        <v>49</v>
      </c>
      <c r="AK3907" t="s">
        <v>49</v>
      </c>
      <c r="AM3907" t="s">
        <v>2032</v>
      </c>
      <c r="AN3907" t="s">
        <v>166</v>
      </c>
      <c r="AP3907" t="s">
        <v>49</v>
      </c>
    </row>
    <row r="3908" spans="1:43" x14ac:dyDescent="0.2">
      <c r="A3908" t="s">
        <v>2023</v>
      </c>
      <c r="B3908" t="s">
        <v>2024</v>
      </c>
      <c r="C3908">
        <v>2007</v>
      </c>
      <c r="D3908" t="s">
        <v>44</v>
      </c>
      <c r="F3908" t="s">
        <v>83</v>
      </c>
      <c r="G3908" s="1" t="s">
        <v>85</v>
      </c>
      <c r="H3908" t="s">
        <v>96</v>
      </c>
      <c r="I3908">
        <v>2003</v>
      </c>
      <c r="J3908">
        <v>0.16</v>
      </c>
      <c r="K3908" t="s">
        <v>1097</v>
      </c>
      <c r="L3908">
        <v>4</v>
      </c>
      <c r="M3908">
        <f t="shared" si="87"/>
        <v>0.09</v>
      </c>
      <c r="N3908" t="s">
        <v>760</v>
      </c>
      <c r="O3908" t="s">
        <v>760</v>
      </c>
      <c r="P3908" t="s">
        <v>1730</v>
      </c>
      <c r="Q3908" s="1" t="s">
        <v>2292</v>
      </c>
      <c r="R3908" s="1" t="s">
        <v>760</v>
      </c>
      <c r="S3908" s="1" t="s">
        <v>760</v>
      </c>
      <c r="T3908" t="s">
        <v>421</v>
      </c>
      <c r="U3908" t="s">
        <v>421</v>
      </c>
      <c r="X3908" t="s">
        <v>161</v>
      </c>
      <c r="Y3908" t="s">
        <v>2272</v>
      </c>
      <c r="Z3908" t="s">
        <v>2272</v>
      </c>
      <c r="AA3908" t="s">
        <v>2272</v>
      </c>
      <c r="AB3908" t="s">
        <v>2272</v>
      </c>
      <c r="AC3908" t="s">
        <v>162</v>
      </c>
      <c r="AD3908" t="s">
        <v>2272</v>
      </c>
      <c r="AG3908" t="s">
        <v>49</v>
      </c>
      <c r="AK3908" t="s">
        <v>49</v>
      </c>
      <c r="AM3908" t="s">
        <v>2032</v>
      </c>
      <c r="AN3908" t="s">
        <v>166</v>
      </c>
      <c r="AP3908" t="s">
        <v>49</v>
      </c>
    </row>
    <row r="3909" spans="1:43" x14ac:dyDescent="0.2">
      <c r="A3909" t="s">
        <v>2034</v>
      </c>
      <c r="B3909" t="s">
        <v>1760</v>
      </c>
      <c r="C3909">
        <v>2007</v>
      </c>
      <c r="D3909" t="s">
        <v>811</v>
      </c>
      <c r="F3909" t="s">
        <v>628</v>
      </c>
      <c r="G3909" s="1" t="s">
        <v>86</v>
      </c>
      <c r="H3909" t="s">
        <v>350</v>
      </c>
      <c r="I3909" t="s">
        <v>2036</v>
      </c>
      <c r="J3909">
        <f>18/12</f>
        <v>1.5</v>
      </c>
      <c r="K3909" t="s">
        <v>104</v>
      </c>
      <c r="L3909">
        <v>0.1</v>
      </c>
      <c r="M3909">
        <v>1</v>
      </c>
      <c r="N3909" t="s">
        <v>120</v>
      </c>
      <c r="O3909" t="s">
        <v>120</v>
      </c>
      <c r="P3909" t="s">
        <v>754</v>
      </c>
      <c r="Q3909" s="1" t="s">
        <v>2276</v>
      </c>
      <c r="R3909" s="1" t="s">
        <v>755</v>
      </c>
      <c r="S3909" s="1" t="s">
        <v>2352</v>
      </c>
      <c r="V3909" t="s">
        <v>194</v>
      </c>
      <c r="W3909" t="s">
        <v>754</v>
      </c>
      <c r="X3909" t="s">
        <v>189</v>
      </c>
      <c r="Y3909" t="s">
        <v>2279</v>
      </c>
      <c r="Z3909" t="s">
        <v>2280</v>
      </c>
      <c r="AA3909" t="s">
        <v>2358</v>
      </c>
      <c r="AB3909" t="s">
        <v>189</v>
      </c>
      <c r="AC3909" t="s">
        <v>152</v>
      </c>
      <c r="AD3909" t="s">
        <v>2278</v>
      </c>
    </row>
    <row r="3910" spans="1:43" x14ac:dyDescent="0.2">
      <c r="A3910" t="s">
        <v>2034</v>
      </c>
      <c r="B3910" t="s">
        <v>1760</v>
      </c>
      <c r="C3910">
        <v>2007</v>
      </c>
      <c r="D3910" t="s">
        <v>811</v>
      </c>
      <c r="F3910" t="s">
        <v>628</v>
      </c>
      <c r="G3910" s="1" t="s">
        <v>86</v>
      </c>
      <c r="H3910" t="s">
        <v>350</v>
      </c>
      <c r="I3910" t="s">
        <v>2036</v>
      </c>
      <c r="J3910">
        <f>18/12</f>
        <v>1.5</v>
      </c>
      <c r="K3910" t="s">
        <v>104</v>
      </c>
      <c r="L3910">
        <v>0.1</v>
      </c>
      <c r="M3910">
        <v>1</v>
      </c>
      <c r="N3910" t="s">
        <v>120</v>
      </c>
      <c r="O3910" t="s">
        <v>120</v>
      </c>
      <c r="P3910" t="s">
        <v>2035</v>
      </c>
      <c r="Q3910" s="1" t="s">
        <v>2276</v>
      </c>
      <c r="R3910" s="1" t="s">
        <v>669</v>
      </c>
      <c r="S3910" s="1" t="s">
        <v>168</v>
      </c>
      <c r="V3910" t="s">
        <v>194</v>
      </c>
      <c r="W3910" t="s">
        <v>754</v>
      </c>
      <c r="X3910" t="s">
        <v>189</v>
      </c>
      <c r="Y3910" t="s">
        <v>2279</v>
      </c>
      <c r="Z3910" t="s">
        <v>2280</v>
      </c>
      <c r="AA3910" t="s">
        <v>2358</v>
      </c>
      <c r="AB3910" t="s">
        <v>189</v>
      </c>
      <c r="AC3910" t="s">
        <v>152</v>
      </c>
      <c r="AD3910" t="s">
        <v>2278</v>
      </c>
    </row>
    <row r="3911" spans="1:43" x14ac:dyDescent="0.2">
      <c r="A3911" t="s">
        <v>2034</v>
      </c>
      <c r="B3911" t="s">
        <v>1760</v>
      </c>
      <c r="C3911">
        <v>2007</v>
      </c>
      <c r="D3911" t="s">
        <v>811</v>
      </c>
      <c r="F3911" t="s">
        <v>628</v>
      </c>
      <c r="G3911" s="1" t="s">
        <v>86</v>
      </c>
      <c r="H3911" t="s">
        <v>350</v>
      </c>
      <c r="I3911" t="s">
        <v>2036</v>
      </c>
      <c r="J3911">
        <f t="shared" ref="J3911:J3916" si="88">18/12</f>
        <v>1.5</v>
      </c>
      <c r="K3911" t="s">
        <v>104</v>
      </c>
      <c r="L3911">
        <v>0.1</v>
      </c>
      <c r="M3911">
        <v>1</v>
      </c>
      <c r="N3911" t="s">
        <v>120</v>
      </c>
      <c r="O3911" t="s">
        <v>120</v>
      </c>
      <c r="P3911" t="s">
        <v>754</v>
      </c>
      <c r="Q3911" s="1" t="s">
        <v>2276</v>
      </c>
      <c r="R3911" s="1" t="s">
        <v>755</v>
      </c>
      <c r="S3911" s="1" t="s">
        <v>2352</v>
      </c>
      <c r="V3911" t="s">
        <v>194</v>
      </c>
      <c r="W3911" t="s">
        <v>754</v>
      </c>
      <c r="X3911" t="s">
        <v>211</v>
      </c>
      <c r="Y3911" t="s">
        <v>2279</v>
      </c>
      <c r="Z3911" t="s">
        <v>2280</v>
      </c>
      <c r="AA3911" t="s">
        <v>2358</v>
      </c>
      <c r="AB3911" t="s">
        <v>2290</v>
      </c>
      <c r="AC3911" t="s">
        <v>152</v>
      </c>
      <c r="AD3911" t="s">
        <v>2278</v>
      </c>
    </row>
    <row r="3912" spans="1:43" x14ac:dyDescent="0.2">
      <c r="A3912" t="s">
        <v>2034</v>
      </c>
      <c r="B3912" t="s">
        <v>1760</v>
      </c>
      <c r="C3912">
        <v>2007</v>
      </c>
      <c r="D3912" t="s">
        <v>811</v>
      </c>
      <c r="F3912" t="s">
        <v>628</v>
      </c>
      <c r="G3912" s="1" t="s">
        <v>86</v>
      </c>
      <c r="H3912" t="s">
        <v>350</v>
      </c>
      <c r="I3912" t="s">
        <v>2036</v>
      </c>
      <c r="J3912">
        <f t="shared" si="88"/>
        <v>1.5</v>
      </c>
      <c r="K3912" t="s">
        <v>104</v>
      </c>
      <c r="L3912">
        <v>0.1</v>
      </c>
      <c r="M3912">
        <v>1</v>
      </c>
      <c r="N3912" t="s">
        <v>120</v>
      </c>
      <c r="O3912" t="s">
        <v>120</v>
      </c>
      <c r="P3912" t="s">
        <v>2035</v>
      </c>
      <c r="Q3912" s="1" t="s">
        <v>2276</v>
      </c>
      <c r="R3912" s="1" t="s">
        <v>669</v>
      </c>
      <c r="S3912" s="1" t="s">
        <v>168</v>
      </c>
      <c r="V3912" t="s">
        <v>194</v>
      </c>
      <c r="W3912" t="s">
        <v>754</v>
      </c>
      <c r="X3912" t="s">
        <v>211</v>
      </c>
      <c r="Y3912" t="s">
        <v>2279</v>
      </c>
      <c r="Z3912" t="s">
        <v>2280</v>
      </c>
      <c r="AA3912" t="s">
        <v>2358</v>
      </c>
      <c r="AB3912" t="s">
        <v>2290</v>
      </c>
      <c r="AC3912" t="s">
        <v>152</v>
      </c>
      <c r="AD3912" t="s">
        <v>2278</v>
      </c>
    </row>
    <row r="3913" spans="1:43" x14ac:dyDescent="0.2">
      <c r="A3913" t="s">
        <v>2034</v>
      </c>
      <c r="B3913" t="s">
        <v>1760</v>
      </c>
      <c r="C3913">
        <v>2007</v>
      </c>
      <c r="D3913" t="s">
        <v>811</v>
      </c>
      <c r="F3913" t="s">
        <v>628</v>
      </c>
      <c r="G3913" s="1" t="s">
        <v>86</v>
      </c>
      <c r="H3913" t="s">
        <v>350</v>
      </c>
      <c r="I3913" t="s">
        <v>2036</v>
      </c>
      <c r="J3913">
        <f t="shared" si="88"/>
        <v>1.5</v>
      </c>
      <c r="K3913" t="s">
        <v>104</v>
      </c>
      <c r="L3913">
        <v>0.1</v>
      </c>
      <c r="M3913">
        <v>1</v>
      </c>
      <c r="N3913" t="s">
        <v>120</v>
      </c>
      <c r="O3913" t="s">
        <v>120</v>
      </c>
      <c r="P3913" t="s">
        <v>754</v>
      </c>
      <c r="Q3913" s="1" t="s">
        <v>2276</v>
      </c>
      <c r="R3913" s="1" t="s">
        <v>755</v>
      </c>
      <c r="S3913" s="1" t="s">
        <v>2352</v>
      </c>
      <c r="V3913" t="s">
        <v>194</v>
      </c>
      <c r="W3913" t="s">
        <v>754</v>
      </c>
      <c r="X3913" t="s">
        <v>293</v>
      </c>
      <c r="Y3913" t="s">
        <v>2273</v>
      </c>
      <c r="Z3913" t="s">
        <v>249</v>
      </c>
      <c r="AA3913" t="s">
        <v>2359</v>
      </c>
      <c r="AB3913" t="s">
        <v>1419</v>
      </c>
      <c r="AC3913" t="s">
        <v>152</v>
      </c>
      <c r="AD3913" t="s">
        <v>137</v>
      </c>
    </row>
    <row r="3914" spans="1:43" x14ac:dyDescent="0.2">
      <c r="A3914" t="s">
        <v>2034</v>
      </c>
      <c r="B3914" t="s">
        <v>1760</v>
      </c>
      <c r="C3914">
        <v>2007</v>
      </c>
      <c r="D3914" t="s">
        <v>811</v>
      </c>
      <c r="F3914" t="s">
        <v>628</v>
      </c>
      <c r="G3914" s="1" t="s">
        <v>86</v>
      </c>
      <c r="H3914" t="s">
        <v>350</v>
      </c>
      <c r="I3914" t="s">
        <v>2036</v>
      </c>
      <c r="J3914">
        <f t="shared" si="88"/>
        <v>1.5</v>
      </c>
      <c r="K3914" t="s">
        <v>104</v>
      </c>
      <c r="L3914">
        <v>0.1</v>
      </c>
      <c r="M3914">
        <v>1</v>
      </c>
      <c r="N3914" t="s">
        <v>120</v>
      </c>
      <c r="O3914" t="s">
        <v>120</v>
      </c>
      <c r="P3914" t="s">
        <v>2035</v>
      </c>
      <c r="Q3914" s="1" t="s">
        <v>2276</v>
      </c>
      <c r="R3914" s="1" t="s">
        <v>669</v>
      </c>
      <c r="S3914" s="1" t="s">
        <v>168</v>
      </c>
      <c r="V3914" t="s">
        <v>194</v>
      </c>
      <c r="W3914" t="s">
        <v>754</v>
      </c>
      <c r="X3914" t="s">
        <v>293</v>
      </c>
      <c r="Y3914" t="s">
        <v>2273</v>
      </c>
      <c r="Z3914" t="s">
        <v>249</v>
      </c>
      <c r="AA3914" t="s">
        <v>2359</v>
      </c>
      <c r="AB3914" t="s">
        <v>1419</v>
      </c>
      <c r="AC3914" t="s">
        <v>152</v>
      </c>
      <c r="AD3914" t="s">
        <v>137</v>
      </c>
    </row>
    <row r="3915" spans="1:43" x14ac:dyDescent="0.2">
      <c r="A3915" t="s">
        <v>2034</v>
      </c>
      <c r="B3915" t="s">
        <v>1760</v>
      </c>
      <c r="C3915">
        <v>2007</v>
      </c>
      <c r="D3915" t="s">
        <v>811</v>
      </c>
      <c r="F3915" t="s">
        <v>628</v>
      </c>
      <c r="G3915" s="1" t="s">
        <v>86</v>
      </c>
      <c r="H3915" t="s">
        <v>350</v>
      </c>
      <c r="I3915" t="s">
        <v>2036</v>
      </c>
      <c r="J3915">
        <f t="shared" si="88"/>
        <v>1.5</v>
      </c>
      <c r="K3915" t="s">
        <v>104</v>
      </c>
      <c r="L3915">
        <v>0.1</v>
      </c>
      <c r="M3915">
        <v>1</v>
      </c>
      <c r="N3915" t="s">
        <v>120</v>
      </c>
      <c r="O3915" t="s">
        <v>120</v>
      </c>
      <c r="P3915" t="s">
        <v>754</v>
      </c>
      <c r="Q3915" s="1" t="s">
        <v>2276</v>
      </c>
      <c r="R3915" s="1" t="s">
        <v>755</v>
      </c>
      <c r="S3915" s="1" t="s">
        <v>2352</v>
      </c>
      <c r="V3915" t="s">
        <v>194</v>
      </c>
      <c r="W3915" t="s">
        <v>754</v>
      </c>
      <c r="X3915" t="s">
        <v>712</v>
      </c>
      <c r="Y3915" t="s">
        <v>2273</v>
      </c>
      <c r="Z3915" t="s">
        <v>249</v>
      </c>
      <c r="AA3915" t="s">
        <v>2359</v>
      </c>
      <c r="AB3915" t="s">
        <v>1419</v>
      </c>
      <c r="AC3915" t="s">
        <v>152</v>
      </c>
      <c r="AD3915" t="s">
        <v>137</v>
      </c>
    </row>
    <row r="3916" spans="1:43" x14ac:dyDescent="0.2">
      <c r="A3916" t="s">
        <v>2034</v>
      </c>
      <c r="B3916" t="s">
        <v>1760</v>
      </c>
      <c r="C3916">
        <v>2007</v>
      </c>
      <c r="D3916" t="s">
        <v>811</v>
      </c>
      <c r="F3916" t="s">
        <v>628</v>
      </c>
      <c r="G3916" s="1" t="s">
        <v>86</v>
      </c>
      <c r="H3916" t="s">
        <v>350</v>
      </c>
      <c r="I3916" t="s">
        <v>2036</v>
      </c>
      <c r="J3916">
        <f t="shared" si="88"/>
        <v>1.5</v>
      </c>
      <c r="K3916" t="s">
        <v>104</v>
      </c>
      <c r="L3916">
        <v>0.1</v>
      </c>
      <c r="M3916">
        <v>1</v>
      </c>
      <c r="N3916" t="s">
        <v>120</v>
      </c>
      <c r="O3916" t="s">
        <v>120</v>
      </c>
      <c r="P3916" t="s">
        <v>2035</v>
      </c>
      <c r="Q3916" s="1" t="s">
        <v>2276</v>
      </c>
      <c r="R3916" s="1" t="s">
        <v>669</v>
      </c>
      <c r="S3916" s="1" t="s">
        <v>168</v>
      </c>
      <c r="V3916" t="s">
        <v>194</v>
      </c>
      <c r="W3916" t="s">
        <v>754</v>
      </c>
      <c r="X3916" t="s">
        <v>712</v>
      </c>
      <c r="Y3916" t="s">
        <v>2273</v>
      </c>
      <c r="Z3916" t="s">
        <v>249</v>
      </c>
      <c r="AA3916" t="s">
        <v>2359</v>
      </c>
      <c r="AB3916" t="s">
        <v>1419</v>
      </c>
      <c r="AC3916" t="s">
        <v>152</v>
      </c>
      <c r="AD3916" t="s">
        <v>137</v>
      </c>
    </row>
    <row r="3917" spans="1:43" x14ac:dyDescent="0.2">
      <c r="A3917" t="s">
        <v>2034</v>
      </c>
      <c r="B3917" t="s">
        <v>1760</v>
      </c>
      <c r="C3917">
        <v>2007</v>
      </c>
      <c r="D3917" t="s">
        <v>811</v>
      </c>
      <c r="F3917" t="s">
        <v>628</v>
      </c>
      <c r="G3917" s="1" t="s">
        <v>86</v>
      </c>
      <c r="H3917" t="s">
        <v>350</v>
      </c>
      <c r="I3917" t="s">
        <v>2036</v>
      </c>
      <c r="J3917">
        <f t="shared" ref="J3917:J3924" si="89">18/12</f>
        <v>1.5</v>
      </c>
      <c r="K3917" t="s">
        <v>104</v>
      </c>
      <c r="L3917">
        <v>0.1</v>
      </c>
      <c r="M3917">
        <v>1</v>
      </c>
      <c r="N3917" t="s">
        <v>120</v>
      </c>
      <c r="O3917" t="s">
        <v>120</v>
      </c>
      <c r="P3917" t="s">
        <v>754</v>
      </c>
      <c r="Q3917" s="1" t="s">
        <v>2276</v>
      </c>
      <c r="R3917" s="1" t="s">
        <v>755</v>
      </c>
      <c r="S3917" s="1" t="s">
        <v>2352</v>
      </c>
      <c r="T3917" t="s">
        <v>421</v>
      </c>
      <c r="U3917" t="s">
        <v>421</v>
      </c>
      <c r="V3917" t="s">
        <v>194</v>
      </c>
      <c r="W3917" t="s">
        <v>754</v>
      </c>
      <c r="X3917" t="s">
        <v>161</v>
      </c>
      <c r="Y3917" t="s">
        <v>2272</v>
      </c>
      <c r="Z3917" t="s">
        <v>2272</v>
      </c>
      <c r="AA3917" t="s">
        <v>2272</v>
      </c>
      <c r="AB3917" t="s">
        <v>2272</v>
      </c>
      <c r="AC3917" t="s">
        <v>162</v>
      </c>
      <c r="AD3917" t="s">
        <v>2272</v>
      </c>
      <c r="AH3917" s="4" t="s">
        <v>49</v>
      </c>
      <c r="AJ3917" t="s">
        <v>49</v>
      </c>
      <c r="AM3917" t="s">
        <v>898</v>
      </c>
      <c r="AN3917" t="s">
        <v>166</v>
      </c>
      <c r="AQ3917" s="5">
        <v>0</v>
      </c>
    </row>
    <row r="3918" spans="1:43" x14ac:dyDescent="0.2">
      <c r="A3918" t="s">
        <v>2034</v>
      </c>
      <c r="B3918" t="s">
        <v>1760</v>
      </c>
      <c r="C3918">
        <v>2007</v>
      </c>
      <c r="D3918" t="s">
        <v>811</v>
      </c>
      <c r="F3918" t="s">
        <v>628</v>
      </c>
      <c r="G3918" s="1" t="s">
        <v>86</v>
      </c>
      <c r="H3918" t="s">
        <v>350</v>
      </c>
      <c r="I3918" t="s">
        <v>2036</v>
      </c>
      <c r="J3918">
        <f t="shared" si="89"/>
        <v>1.5</v>
      </c>
      <c r="K3918" t="s">
        <v>104</v>
      </c>
      <c r="L3918">
        <v>0.1</v>
      </c>
      <c r="M3918">
        <v>1</v>
      </c>
      <c r="N3918" t="s">
        <v>120</v>
      </c>
      <c r="O3918" t="s">
        <v>120</v>
      </c>
      <c r="P3918" t="s">
        <v>2035</v>
      </c>
      <c r="Q3918" s="1" t="s">
        <v>2276</v>
      </c>
      <c r="R3918" s="1" t="s">
        <v>669</v>
      </c>
      <c r="S3918" s="1" t="s">
        <v>168</v>
      </c>
      <c r="T3918" t="s">
        <v>421</v>
      </c>
      <c r="U3918" t="s">
        <v>421</v>
      </c>
      <c r="V3918" t="s">
        <v>194</v>
      </c>
      <c r="W3918" t="s">
        <v>754</v>
      </c>
      <c r="X3918" t="s">
        <v>161</v>
      </c>
      <c r="Y3918" t="s">
        <v>2272</v>
      </c>
      <c r="Z3918" t="s">
        <v>2272</v>
      </c>
      <c r="AA3918" t="s">
        <v>2272</v>
      </c>
      <c r="AB3918" t="s">
        <v>2272</v>
      </c>
      <c r="AC3918" t="s">
        <v>162</v>
      </c>
      <c r="AD3918" t="s">
        <v>2272</v>
      </c>
      <c r="AH3918" s="4" t="s">
        <v>49</v>
      </c>
      <c r="AJ3918" t="s">
        <v>49</v>
      </c>
      <c r="AM3918" t="s">
        <v>898</v>
      </c>
      <c r="AN3918" t="s">
        <v>166</v>
      </c>
      <c r="AQ3918" s="5">
        <v>0</v>
      </c>
    </row>
    <row r="3919" spans="1:43" x14ac:dyDescent="0.2">
      <c r="A3919" t="s">
        <v>2034</v>
      </c>
      <c r="B3919" t="s">
        <v>1760</v>
      </c>
      <c r="C3919">
        <v>2007</v>
      </c>
      <c r="D3919" t="s">
        <v>811</v>
      </c>
      <c r="F3919" t="s">
        <v>628</v>
      </c>
      <c r="G3919" s="1" t="s">
        <v>86</v>
      </c>
      <c r="H3919" t="s">
        <v>350</v>
      </c>
      <c r="I3919" t="s">
        <v>2036</v>
      </c>
      <c r="J3919">
        <f t="shared" si="89"/>
        <v>1.5</v>
      </c>
      <c r="K3919" t="s">
        <v>104</v>
      </c>
      <c r="L3919">
        <v>0.1</v>
      </c>
      <c r="M3919">
        <v>1</v>
      </c>
      <c r="N3919" t="s">
        <v>120</v>
      </c>
      <c r="O3919" t="s">
        <v>120</v>
      </c>
      <c r="P3919" t="s">
        <v>754</v>
      </c>
      <c r="Q3919" s="1" t="s">
        <v>2276</v>
      </c>
      <c r="R3919" s="1" t="s">
        <v>755</v>
      </c>
      <c r="S3919" s="1" t="s">
        <v>2352</v>
      </c>
      <c r="T3919" t="s">
        <v>421</v>
      </c>
      <c r="U3919" t="s">
        <v>421</v>
      </c>
      <c r="V3919" t="s">
        <v>194</v>
      </c>
      <c r="W3919" t="s">
        <v>754</v>
      </c>
      <c r="X3919" t="s">
        <v>161</v>
      </c>
      <c r="Y3919" t="s">
        <v>2272</v>
      </c>
      <c r="Z3919" t="s">
        <v>2272</v>
      </c>
      <c r="AA3919" t="s">
        <v>2272</v>
      </c>
      <c r="AB3919" t="s">
        <v>2272</v>
      </c>
      <c r="AC3919" t="s">
        <v>162</v>
      </c>
      <c r="AD3919" t="s">
        <v>2272</v>
      </c>
      <c r="AF3919" t="s">
        <v>49</v>
      </c>
      <c r="AJ3919" t="s">
        <v>49</v>
      </c>
      <c r="AM3919" t="s">
        <v>2037</v>
      </c>
      <c r="AN3919" t="s">
        <v>166</v>
      </c>
      <c r="AP3919" t="s">
        <v>49</v>
      </c>
    </row>
    <row r="3920" spans="1:43" x14ac:dyDescent="0.2">
      <c r="A3920" t="s">
        <v>2034</v>
      </c>
      <c r="B3920" t="s">
        <v>1760</v>
      </c>
      <c r="C3920">
        <v>2007</v>
      </c>
      <c r="D3920" t="s">
        <v>811</v>
      </c>
      <c r="F3920" t="s">
        <v>628</v>
      </c>
      <c r="G3920" s="1" t="s">
        <v>86</v>
      </c>
      <c r="H3920" t="s">
        <v>350</v>
      </c>
      <c r="I3920" t="s">
        <v>2036</v>
      </c>
      <c r="J3920">
        <f t="shared" si="89"/>
        <v>1.5</v>
      </c>
      <c r="K3920" t="s">
        <v>104</v>
      </c>
      <c r="L3920">
        <v>0.1</v>
      </c>
      <c r="M3920">
        <v>1</v>
      </c>
      <c r="N3920" t="s">
        <v>120</v>
      </c>
      <c r="O3920" t="s">
        <v>120</v>
      </c>
      <c r="P3920" t="s">
        <v>2035</v>
      </c>
      <c r="Q3920" s="1" t="s">
        <v>2276</v>
      </c>
      <c r="R3920" s="1" t="s">
        <v>669</v>
      </c>
      <c r="S3920" s="1" t="s">
        <v>168</v>
      </c>
      <c r="T3920" t="s">
        <v>421</v>
      </c>
      <c r="U3920" t="s">
        <v>421</v>
      </c>
      <c r="V3920" t="s">
        <v>194</v>
      </c>
      <c r="W3920" t="s">
        <v>754</v>
      </c>
      <c r="X3920" t="s">
        <v>161</v>
      </c>
      <c r="Y3920" t="s">
        <v>2272</v>
      </c>
      <c r="Z3920" t="s">
        <v>2272</v>
      </c>
      <c r="AA3920" t="s">
        <v>2272</v>
      </c>
      <c r="AB3920" t="s">
        <v>2272</v>
      </c>
      <c r="AC3920" t="s">
        <v>162</v>
      </c>
      <c r="AD3920" t="s">
        <v>2272</v>
      </c>
      <c r="AF3920" t="s">
        <v>49</v>
      </c>
      <c r="AJ3920" t="s">
        <v>49</v>
      </c>
      <c r="AM3920" t="s">
        <v>2037</v>
      </c>
      <c r="AN3920" t="s">
        <v>166</v>
      </c>
      <c r="AP3920" t="s">
        <v>49</v>
      </c>
    </row>
    <row r="3921" spans="1:45" x14ac:dyDescent="0.2">
      <c r="A3921" t="s">
        <v>2034</v>
      </c>
      <c r="B3921" t="s">
        <v>1760</v>
      </c>
      <c r="C3921">
        <v>2007</v>
      </c>
      <c r="D3921" t="s">
        <v>811</v>
      </c>
      <c r="F3921" t="s">
        <v>628</v>
      </c>
      <c r="G3921" s="1" t="s">
        <v>86</v>
      </c>
      <c r="H3921" t="s">
        <v>350</v>
      </c>
      <c r="I3921" t="s">
        <v>2036</v>
      </c>
      <c r="J3921">
        <f t="shared" si="89"/>
        <v>1.5</v>
      </c>
      <c r="K3921" t="s">
        <v>104</v>
      </c>
      <c r="L3921">
        <v>0.1</v>
      </c>
      <c r="M3921">
        <v>1</v>
      </c>
      <c r="N3921" t="s">
        <v>120</v>
      </c>
      <c r="O3921" t="s">
        <v>120</v>
      </c>
      <c r="P3921" t="s">
        <v>754</v>
      </c>
      <c r="Q3921" s="1" t="s">
        <v>2276</v>
      </c>
      <c r="R3921" s="1" t="s">
        <v>755</v>
      </c>
      <c r="S3921" s="1" t="s">
        <v>2352</v>
      </c>
      <c r="T3921" t="s">
        <v>421</v>
      </c>
      <c r="U3921" t="s">
        <v>421</v>
      </c>
      <c r="V3921" t="s">
        <v>194</v>
      </c>
      <c r="W3921" t="s">
        <v>754</v>
      </c>
      <c r="X3921" t="s">
        <v>161</v>
      </c>
      <c r="Y3921" t="s">
        <v>2272</v>
      </c>
      <c r="Z3921" t="s">
        <v>2272</v>
      </c>
      <c r="AA3921" t="s">
        <v>2272</v>
      </c>
      <c r="AB3921" t="s">
        <v>2272</v>
      </c>
      <c r="AC3921" t="s">
        <v>162</v>
      </c>
      <c r="AD3921" t="s">
        <v>2272</v>
      </c>
      <c r="AF3921" t="s">
        <v>49</v>
      </c>
      <c r="AJ3921" t="s">
        <v>49</v>
      </c>
      <c r="AM3921" t="s">
        <v>2037</v>
      </c>
      <c r="AN3921" t="s">
        <v>154</v>
      </c>
      <c r="AQ3921" s="5">
        <v>1</v>
      </c>
    </row>
    <row r="3922" spans="1:45" x14ac:dyDescent="0.2">
      <c r="A3922" t="s">
        <v>2034</v>
      </c>
      <c r="B3922" t="s">
        <v>1760</v>
      </c>
      <c r="C3922">
        <v>2007</v>
      </c>
      <c r="D3922" t="s">
        <v>811</v>
      </c>
      <c r="F3922" t="s">
        <v>628</v>
      </c>
      <c r="G3922" s="1" t="s">
        <v>86</v>
      </c>
      <c r="H3922" t="s">
        <v>350</v>
      </c>
      <c r="I3922" t="s">
        <v>2036</v>
      </c>
      <c r="J3922">
        <f t="shared" si="89"/>
        <v>1.5</v>
      </c>
      <c r="K3922" t="s">
        <v>104</v>
      </c>
      <c r="L3922">
        <v>0.1</v>
      </c>
      <c r="M3922">
        <v>1</v>
      </c>
      <c r="N3922" t="s">
        <v>120</v>
      </c>
      <c r="O3922" t="s">
        <v>120</v>
      </c>
      <c r="P3922" t="s">
        <v>2035</v>
      </c>
      <c r="Q3922" s="1" t="s">
        <v>2276</v>
      </c>
      <c r="R3922" s="1" t="s">
        <v>669</v>
      </c>
      <c r="S3922" s="1" t="s">
        <v>168</v>
      </c>
      <c r="T3922" t="s">
        <v>421</v>
      </c>
      <c r="U3922" t="s">
        <v>421</v>
      </c>
      <c r="V3922" t="s">
        <v>194</v>
      </c>
      <c r="W3922" t="s">
        <v>754</v>
      </c>
      <c r="X3922" t="s">
        <v>161</v>
      </c>
      <c r="Y3922" t="s">
        <v>2272</v>
      </c>
      <c r="Z3922" t="s">
        <v>2272</v>
      </c>
      <c r="AA3922" t="s">
        <v>2272</v>
      </c>
      <c r="AB3922" t="s">
        <v>2272</v>
      </c>
      <c r="AC3922" t="s">
        <v>162</v>
      </c>
      <c r="AD3922" t="s">
        <v>2272</v>
      </c>
      <c r="AF3922" t="s">
        <v>49</v>
      </c>
      <c r="AJ3922" t="s">
        <v>49</v>
      </c>
      <c r="AM3922" t="s">
        <v>2037</v>
      </c>
      <c r="AN3922" t="s">
        <v>154</v>
      </c>
      <c r="AQ3922" s="5">
        <v>0</v>
      </c>
    </row>
    <row r="3923" spans="1:45" x14ac:dyDescent="0.2">
      <c r="A3923" t="s">
        <v>2034</v>
      </c>
      <c r="B3923" t="s">
        <v>1760</v>
      </c>
      <c r="C3923">
        <v>2007</v>
      </c>
      <c r="D3923" t="s">
        <v>811</v>
      </c>
      <c r="F3923" t="s">
        <v>628</v>
      </c>
      <c r="G3923" s="1" t="s">
        <v>86</v>
      </c>
      <c r="H3923" t="s">
        <v>350</v>
      </c>
      <c r="I3923" t="s">
        <v>2036</v>
      </c>
      <c r="J3923">
        <f t="shared" si="89"/>
        <v>1.5</v>
      </c>
      <c r="K3923" t="s">
        <v>104</v>
      </c>
      <c r="L3923">
        <v>0.1</v>
      </c>
      <c r="M3923">
        <v>1</v>
      </c>
      <c r="N3923" t="s">
        <v>120</v>
      </c>
      <c r="O3923" t="s">
        <v>120</v>
      </c>
      <c r="P3923" t="s">
        <v>754</v>
      </c>
      <c r="Q3923" s="1" t="s">
        <v>2276</v>
      </c>
      <c r="R3923" s="1" t="s">
        <v>755</v>
      </c>
      <c r="S3923" s="1" t="s">
        <v>2352</v>
      </c>
      <c r="T3923" t="s">
        <v>421</v>
      </c>
      <c r="U3923" t="s">
        <v>421</v>
      </c>
      <c r="V3923" t="s">
        <v>194</v>
      </c>
      <c r="W3923" t="s">
        <v>754</v>
      </c>
      <c r="X3923" t="s">
        <v>161</v>
      </c>
      <c r="Y3923" t="s">
        <v>2272</v>
      </c>
      <c r="Z3923" t="s">
        <v>2272</v>
      </c>
      <c r="AA3923" t="s">
        <v>2272</v>
      </c>
      <c r="AB3923" t="s">
        <v>2272</v>
      </c>
      <c r="AC3923" t="s">
        <v>162</v>
      </c>
      <c r="AD3923" t="s">
        <v>2272</v>
      </c>
      <c r="AF3923" t="s">
        <v>49</v>
      </c>
      <c r="AJ3923" t="s">
        <v>49</v>
      </c>
      <c r="AM3923" t="s">
        <v>2037</v>
      </c>
      <c r="AN3923" t="s">
        <v>165</v>
      </c>
      <c r="AQ3923" s="5">
        <v>0</v>
      </c>
    </row>
    <row r="3924" spans="1:45" x14ac:dyDescent="0.2">
      <c r="A3924" t="s">
        <v>2034</v>
      </c>
      <c r="B3924" t="s">
        <v>1760</v>
      </c>
      <c r="C3924">
        <v>2007</v>
      </c>
      <c r="D3924" t="s">
        <v>811</v>
      </c>
      <c r="F3924" t="s">
        <v>628</v>
      </c>
      <c r="G3924" s="1" t="s">
        <v>86</v>
      </c>
      <c r="H3924" t="s">
        <v>350</v>
      </c>
      <c r="I3924" t="s">
        <v>2036</v>
      </c>
      <c r="J3924">
        <f t="shared" si="89"/>
        <v>1.5</v>
      </c>
      <c r="K3924" t="s">
        <v>104</v>
      </c>
      <c r="L3924">
        <v>0.1</v>
      </c>
      <c r="M3924">
        <v>1</v>
      </c>
      <c r="N3924" t="s">
        <v>120</v>
      </c>
      <c r="O3924" t="s">
        <v>120</v>
      </c>
      <c r="P3924" t="s">
        <v>2035</v>
      </c>
      <c r="Q3924" s="1" t="s">
        <v>2276</v>
      </c>
      <c r="R3924" s="1" t="s">
        <v>669</v>
      </c>
      <c r="S3924" s="1" t="s">
        <v>168</v>
      </c>
      <c r="T3924" t="s">
        <v>421</v>
      </c>
      <c r="U3924" t="s">
        <v>421</v>
      </c>
      <c r="V3924" t="s">
        <v>194</v>
      </c>
      <c r="W3924" t="s">
        <v>754</v>
      </c>
      <c r="X3924" t="s">
        <v>161</v>
      </c>
      <c r="Y3924" t="s">
        <v>2272</v>
      </c>
      <c r="Z3924" t="s">
        <v>2272</v>
      </c>
      <c r="AA3924" t="s">
        <v>2272</v>
      </c>
      <c r="AB3924" t="s">
        <v>2272</v>
      </c>
      <c r="AC3924" t="s">
        <v>162</v>
      </c>
      <c r="AD3924" t="s">
        <v>2272</v>
      </c>
      <c r="AF3924" t="s">
        <v>49</v>
      </c>
      <c r="AJ3924" t="s">
        <v>49</v>
      </c>
      <c r="AM3924" t="s">
        <v>2037</v>
      </c>
      <c r="AN3924" t="s">
        <v>165</v>
      </c>
      <c r="AQ3924" s="5">
        <v>0</v>
      </c>
    </row>
    <row r="3925" spans="1:45" x14ac:dyDescent="0.2">
      <c r="A3925" t="s">
        <v>2038</v>
      </c>
      <c r="B3925" t="s">
        <v>1771</v>
      </c>
      <c r="C3925">
        <v>2007</v>
      </c>
      <c r="D3925" t="s">
        <v>811</v>
      </c>
      <c r="F3925" t="s">
        <v>955</v>
      </c>
      <c r="G3925" s="1" t="s">
        <v>85</v>
      </c>
      <c r="H3925" t="s">
        <v>96</v>
      </c>
      <c r="I3925" t="s">
        <v>2036</v>
      </c>
      <c r="J3925">
        <v>1.17</v>
      </c>
      <c r="K3925" t="s">
        <v>109</v>
      </c>
      <c r="M3925">
        <f>0.5*0.5</f>
        <v>0.25</v>
      </c>
      <c r="N3925" t="s">
        <v>132</v>
      </c>
      <c r="O3925" t="s">
        <v>132</v>
      </c>
      <c r="P3925" t="s">
        <v>667</v>
      </c>
      <c r="Q3925" s="1" t="s">
        <v>2276</v>
      </c>
      <c r="R3925" s="1" t="s">
        <v>669</v>
      </c>
      <c r="S3925" s="1" t="s">
        <v>168</v>
      </c>
      <c r="X3925" t="s">
        <v>211</v>
      </c>
      <c r="Y3925" t="s">
        <v>2279</v>
      </c>
      <c r="Z3925" t="s">
        <v>2280</v>
      </c>
      <c r="AA3925" t="s">
        <v>2358</v>
      </c>
      <c r="AB3925" t="s">
        <v>2290</v>
      </c>
      <c r="AC3925" t="s">
        <v>162</v>
      </c>
      <c r="AD3925" t="s">
        <v>2278</v>
      </c>
      <c r="AF3925" t="s">
        <v>49</v>
      </c>
      <c r="AM3925" t="s">
        <v>202</v>
      </c>
      <c r="AN3925" t="s">
        <v>165</v>
      </c>
      <c r="AP3925" t="s">
        <v>49</v>
      </c>
    </row>
    <row r="3926" spans="1:45" x14ac:dyDescent="0.2">
      <c r="A3926" t="s">
        <v>2038</v>
      </c>
      <c r="B3926" t="s">
        <v>1771</v>
      </c>
      <c r="C3926">
        <v>2007</v>
      </c>
      <c r="D3926" t="s">
        <v>811</v>
      </c>
      <c r="F3926" t="s">
        <v>955</v>
      </c>
      <c r="G3926" s="1" t="s">
        <v>85</v>
      </c>
      <c r="H3926" t="s">
        <v>96</v>
      </c>
      <c r="I3926" t="s">
        <v>2036</v>
      </c>
      <c r="J3926">
        <v>1.17</v>
      </c>
      <c r="K3926" t="s">
        <v>109</v>
      </c>
      <c r="M3926">
        <f>0.5*0.5</f>
        <v>0.25</v>
      </c>
      <c r="N3926" t="s">
        <v>132</v>
      </c>
      <c r="O3926" t="s">
        <v>132</v>
      </c>
      <c r="P3926" t="s">
        <v>667</v>
      </c>
      <c r="Q3926" s="1" t="s">
        <v>2276</v>
      </c>
      <c r="R3926" s="1" t="s">
        <v>669</v>
      </c>
      <c r="S3926" s="1" t="s">
        <v>168</v>
      </c>
      <c r="X3926" t="s">
        <v>211</v>
      </c>
      <c r="Y3926" t="s">
        <v>2279</v>
      </c>
      <c r="Z3926" t="s">
        <v>2280</v>
      </c>
      <c r="AA3926" t="s">
        <v>2358</v>
      </c>
      <c r="AB3926" t="s">
        <v>2290</v>
      </c>
      <c r="AC3926" t="s">
        <v>162</v>
      </c>
      <c r="AD3926" t="s">
        <v>2278</v>
      </c>
      <c r="AF3926" t="s">
        <v>49</v>
      </c>
      <c r="AM3926" t="s">
        <v>202</v>
      </c>
      <c r="AN3926" t="s">
        <v>154</v>
      </c>
      <c r="AP3926" t="s">
        <v>157</v>
      </c>
    </row>
    <row r="3927" spans="1:45" x14ac:dyDescent="0.2">
      <c r="A3927" t="s">
        <v>2038</v>
      </c>
      <c r="B3927" t="s">
        <v>1771</v>
      </c>
      <c r="C3927">
        <v>2007</v>
      </c>
      <c r="D3927" t="s">
        <v>811</v>
      </c>
      <c r="F3927" t="s">
        <v>955</v>
      </c>
      <c r="G3927" s="1" t="s">
        <v>85</v>
      </c>
      <c r="H3927" t="s">
        <v>96</v>
      </c>
      <c r="I3927" t="s">
        <v>2036</v>
      </c>
      <c r="J3927">
        <v>1.17</v>
      </c>
      <c r="K3927" t="s">
        <v>109</v>
      </c>
      <c r="M3927">
        <f>0.5*0.5</f>
        <v>0.25</v>
      </c>
      <c r="N3927" t="s">
        <v>132</v>
      </c>
      <c r="O3927" t="s">
        <v>132</v>
      </c>
      <c r="P3927" t="s">
        <v>667</v>
      </c>
      <c r="Q3927" s="1" t="s">
        <v>2276</v>
      </c>
      <c r="R3927" s="1" t="s">
        <v>669</v>
      </c>
      <c r="S3927" s="1" t="s">
        <v>168</v>
      </c>
      <c r="X3927" t="s">
        <v>211</v>
      </c>
      <c r="Y3927" t="s">
        <v>2279</v>
      </c>
      <c r="Z3927" t="s">
        <v>2280</v>
      </c>
      <c r="AA3927" t="s">
        <v>2358</v>
      </c>
      <c r="AB3927" t="s">
        <v>2290</v>
      </c>
      <c r="AC3927" t="s">
        <v>162</v>
      </c>
      <c r="AD3927" t="s">
        <v>2278</v>
      </c>
      <c r="AF3927" t="s">
        <v>49</v>
      </c>
      <c r="AK3927" t="s">
        <v>49</v>
      </c>
      <c r="AM3927" t="s">
        <v>574</v>
      </c>
      <c r="AN3927" t="s">
        <v>166</v>
      </c>
      <c r="AP3927" t="s">
        <v>157</v>
      </c>
    </row>
    <row r="3928" spans="1:45" x14ac:dyDescent="0.2">
      <c r="A3928" t="s">
        <v>2039</v>
      </c>
      <c r="B3928" t="s">
        <v>2040</v>
      </c>
      <c r="C3928">
        <v>2007</v>
      </c>
      <c r="D3928" t="s">
        <v>44</v>
      </c>
      <c r="F3928" t="s">
        <v>357</v>
      </c>
      <c r="G3928" s="1" t="s">
        <v>90</v>
      </c>
      <c r="H3928" t="s">
        <v>350</v>
      </c>
      <c r="I3928" t="s">
        <v>2042</v>
      </c>
      <c r="J3928">
        <v>9</v>
      </c>
      <c r="K3928" t="s">
        <v>101</v>
      </c>
      <c r="L3928">
        <v>1190</v>
      </c>
      <c r="N3928" t="s">
        <v>1293</v>
      </c>
      <c r="O3928" t="s">
        <v>2041</v>
      </c>
      <c r="P3928" t="s">
        <v>2043</v>
      </c>
      <c r="Q3928" s="1" t="s">
        <v>2281</v>
      </c>
      <c r="R3928" s="1" t="s">
        <v>2282</v>
      </c>
      <c r="S3928" s="1" t="s">
        <v>2304</v>
      </c>
      <c r="X3928" t="s">
        <v>161</v>
      </c>
      <c r="Y3928" t="s">
        <v>2272</v>
      </c>
      <c r="Z3928" t="s">
        <v>2272</v>
      </c>
      <c r="AA3928" t="s">
        <v>2272</v>
      </c>
      <c r="AB3928" t="s">
        <v>2272</v>
      </c>
      <c r="AC3928" t="s">
        <v>162</v>
      </c>
      <c r="AD3928" t="s">
        <v>2272</v>
      </c>
      <c r="AF3928" t="s">
        <v>49</v>
      </c>
      <c r="AK3928" t="s">
        <v>49</v>
      </c>
      <c r="AM3928" t="s">
        <v>1960</v>
      </c>
      <c r="AN3928" t="s">
        <v>166</v>
      </c>
    </row>
    <row r="3929" spans="1:45" x14ac:dyDescent="0.2">
      <c r="A3929" t="s">
        <v>2039</v>
      </c>
      <c r="B3929" t="s">
        <v>2040</v>
      </c>
      <c r="C3929">
        <v>2007</v>
      </c>
      <c r="D3929" t="s">
        <v>44</v>
      </c>
      <c r="F3929" t="s">
        <v>357</v>
      </c>
      <c r="G3929" s="1" t="s">
        <v>90</v>
      </c>
      <c r="H3929" t="s">
        <v>350</v>
      </c>
      <c r="I3929" t="s">
        <v>2042</v>
      </c>
      <c r="J3929">
        <v>9</v>
      </c>
      <c r="K3929" t="s">
        <v>101</v>
      </c>
      <c r="L3929">
        <v>1190</v>
      </c>
      <c r="N3929" t="s">
        <v>1293</v>
      </c>
      <c r="O3929" t="s">
        <v>2041</v>
      </c>
      <c r="P3929" t="s">
        <v>2043</v>
      </c>
      <c r="Q3929" s="1" t="s">
        <v>2281</v>
      </c>
      <c r="R3929" s="1" t="s">
        <v>2282</v>
      </c>
      <c r="S3929" s="1" t="s">
        <v>2304</v>
      </c>
      <c r="X3929" t="s">
        <v>161</v>
      </c>
      <c r="Y3929" t="s">
        <v>2272</v>
      </c>
      <c r="Z3929" t="s">
        <v>2272</v>
      </c>
      <c r="AA3929" t="s">
        <v>2272</v>
      </c>
      <c r="AB3929" t="s">
        <v>2272</v>
      </c>
      <c r="AC3929" t="s">
        <v>162</v>
      </c>
      <c r="AD3929" t="s">
        <v>2272</v>
      </c>
      <c r="AF3929" t="s">
        <v>49</v>
      </c>
      <c r="AK3929" t="s">
        <v>49</v>
      </c>
      <c r="AM3929" t="s">
        <v>1960</v>
      </c>
      <c r="AN3929" t="s">
        <v>154</v>
      </c>
    </row>
    <row r="3930" spans="1:45" x14ac:dyDescent="0.2">
      <c r="A3930" t="s">
        <v>2044</v>
      </c>
      <c r="B3930" t="s">
        <v>2045</v>
      </c>
      <c r="C3930">
        <v>2007</v>
      </c>
      <c r="D3930" t="s">
        <v>44</v>
      </c>
      <c r="F3930" t="s">
        <v>638</v>
      </c>
      <c r="G3930" s="1" t="s">
        <v>90</v>
      </c>
      <c r="H3930" t="s">
        <v>350</v>
      </c>
      <c r="I3930" t="s">
        <v>1623</v>
      </c>
      <c r="J3930">
        <v>1.17</v>
      </c>
      <c r="K3930" t="s">
        <v>102</v>
      </c>
      <c r="L3930">
        <v>1000</v>
      </c>
      <c r="Q3930" s="1" t="s">
        <v>2272</v>
      </c>
      <c r="R3930" s="1" t="s">
        <v>2272</v>
      </c>
      <c r="S3930" s="1" t="s">
        <v>2272</v>
      </c>
      <c r="Y3930" t="s">
        <v>2272</v>
      </c>
      <c r="Z3930" t="s">
        <v>2272</v>
      </c>
      <c r="AA3930" t="s">
        <v>2272</v>
      </c>
      <c r="AB3930" t="s">
        <v>2272</v>
      </c>
      <c r="AD3930" t="s">
        <v>2272</v>
      </c>
      <c r="AR3930" t="s">
        <v>144</v>
      </c>
      <c r="AS3930" t="s">
        <v>2583</v>
      </c>
    </row>
    <row r="3931" spans="1:45" x14ac:dyDescent="0.2">
      <c r="A3931" t="s">
        <v>2046</v>
      </c>
      <c r="B3931" t="s">
        <v>2047</v>
      </c>
      <c r="C3931">
        <v>2007</v>
      </c>
      <c r="D3931" t="s">
        <v>811</v>
      </c>
      <c r="F3931" t="s">
        <v>81</v>
      </c>
      <c r="G3931" s="1" t="s">
        <v>91</v>
      </c>
      <c r="H3931" t="s">
        <v>96</v>
      </c>
      <c r="I3931">
        <v>2003</v>
      </c>
      <c r="K3931" t="s">
        <v>101</v>
      </c>
      <c r="L3931">
        <v>0.2</v>
      </c>
      <c r="M3931">
        <f>0.5*5</f>
        <v>2.5</v>
      </c>
      <c r="N3931" t="s">
        <v>124</v>
      </c>
      <c r="O3931" t="s">
        <v>124</v>
      </c>
      <c r="P3931" t="s">
        <v>279</v>
      </c>
      <c r="Q3931" s="1" t="s">
        <v>2292</v>
      </c>
      <c r="R3931" s="1" t="s">
        <v>124</v>
      </c>
      <c r="S3931" s="1" t="s">
        <v>124</v>
      </c>
      <c r="V3931" t="s">
        <v>194</v>
      </c>
      <c r="W3931" t="s">
        <v>279</v>
      </c>
      <c r="X3931" t="s">
        <v>189</v>
      </c>
      <c r="Y3931" t="s">
        <v>2279</v>
      </c>
      <c r="Z3931" t="s">
        <v>2280</v>
      </c>
      <c r="AA3931" t="s">
        <v>2358</v>
      </c>
      <c r="AB3931" t="s">
        <v>189</v>
      </c>
      <c r="AC3931" t="s">
        <v>152</v>
      </c>
      <c r="AD3931" t="s">
        <v>2278</v>
      </c>
    </row>
    <row r="3932" spans="1:45" x14ac:dyDescent="0.2">
      <c r="A3932" t="s">
        <v>2046</v>
      </c>
      <c r="B3932" t="s">
        <v>2047</v>
      </c>
      <c r="C3932">
        <v>2007</v>
      </c>
      <c r="D3932" t="s">
        <v>811</v>
      </c>
      <c r="F3932" t="s">
        <v>81</v>
      </c>
      <c r="G3932" s="1" t="s">
        <v>91</v>
      </c>
      <c r="H3932" t="s">
        <v>96</v>
      </c>
      <c r="I3932">
        <v>2003</v>
      </c>
      <c r="K3932" t="s">
        <v>101</v>
      </c>
      <c r="L3932">
        <v>0.2</v>
      </c>
      <c r="M3932">
        <f>0.5*5</f>
        <v>2.5</v>
      </c>
      <c r="N3932" t="s">
        <v>124</v>
      </c>
      <c r="O3932" t="s">
        <v>124</v>
      </c>
      <c r="P3932" t="s">
        <v>279</v>
      </c>
      <c r="Q3932" s="1" t="s">
        <v>2292</v>
      </c>
      <c r="R3932" s="1" t="s">
        <v>124</v>
      </c>
      <c r="S3932" s="1" t="s">
        <v>124</v>
      </c>
      <c r="V3932" t="s">
        <v>194</v>
      </c>
      <c r="W3932" t="s">
        <v>279</v>
      </c>
      <c r="X3932" t="s">
        <v>2048</v>
      </c>
      <c r="Y3932" t="s">
        <v>2279</v>
      </c>
      <c r="Z3932" t="s">
        <v>2280</v>
      </c>
      <c r="AA3932" t="s">
        <v>2286</v>
      </c>
      <c r="AB3932" t="s">
        <v>2299</v>
      </c>
      <c r="AC3932" t="s">
        <v>152</v>
      </c>
      <c r="AD3932" t="s">
        <v>2278</v>
      </c>
    </row>
    <row r="3933" spans="1:45" x14ac:dyDescent="0.2">
      <c r="A3933" t="s">
        <v>2046</v>
      </c>
      <c r="B3933" t="s">
        <v>2047</v>
      </c>
      <c r="C3933">
        <v>2007</v>
      </c>
      <c r="D3933" t="s">
        <v>811</v>
      </c>
      <c r="F3933" t="s">
        <v>81</v>
      </c>
      <c r="G3933" s="1" t="s">
        <v>91</v>
      </c>
      <c r="H3933" t="s">
        <v>96</v>
      </c>
      <c r="I3933">
        <v>2003</v>
      </c>
      <c r="K3933" t="s">
        <v>101</v>
      </c>
      <c r="L3933">
        <v>0.2</v>
      </c>
      <c r="M3933">
        <v>1.8E-3</v>
      </c>
      <c r="N3933" t="s">
        <v>124</v>
      </c>
      <c r="O3933" t="s">
        <v>124</v>
      </c>
      <c r="P3933" t="s">
        <v>279</v>
      </c>
      <c r="Q3933" s="1" t="s">
        <v>2292</v>
      </c>
      <c r="R3933" s="1" t="s">
        <v>124</v>
      </c>
      <c r="S3933" s="1" t="s">
        <v>124</v>
      </c>
      <c r="V3933" t="s">
        <v>194</v>
      </c>
      <c r="W3933" t="s">
        <v>279</v>
      </c>
      <c r="X3933" t="s">
        <v>304</v>
      </c>
      <c r="Y3933" t="s">
        <v>2273</v>
      </c>
      <c r="Z3933" t="s">
        <v>249</v>
      </c>
      <c r="AA3933" t="s">
        <v>2359</v>
      </c>
      <c r="AB3933" t="s">
        <v>1979</v>
      </c>
      <c r="AC3933" t="s">
        <v>152</v>
      </c>
      <c r="AD3933" t="s">
        <v>2288</v>
      </c>
    </row>
    <row r="3934" spans="1:45" x14ac:dyDescent="0.2">
      <c r="A3934" t="s">
        <v>2046</v>
      </c>
      <c r="B3934" t="s">
        <v>2047</v>
      </c>
      <c r="C3934">
        <v>2007</v>
      </c>
      <c r="D3934" t="s">
        <v>811</v>
      </c>
      <c r="F3934" t="s">
        <v>81</v>
      </c>
      <c r="G3934" s="1" t="s">
        <v>91</v>
      </c>
      <c r="H3934" t="s">
        <v>96</v>
      </c>
      <c r="I3934">
        <v>2003</v>
      </c>
      <c r="K3934" t="s">
        <v>101</v>
      </c>
      <c r="L3934">
        <v>0.2</v>
      </c>
      <c r="M3934">
        <v>1.8E-3</v>
      </c>
      <c r="N3934" t="s">
        <v>124</v>
      </c>
      <c r="O3934" t="s">
        <v>124</v>
      </c>
      <c r="P3934" t="s">
        <v>279</v>
      </c>
      <c r="Q3934" s="1" t="s">
        <v>2292</v>
      </c>
      <c r="R3934" s="1" t="s">
        <v>124</v>
      </c>
      <c r="S3934" s="1" t="s">
        <v>124</v>
      </c>
      <c r="T3934" t="s">
        <v>421</v>
      </c>
      <c r="U3934" t="s">
        <v>421</v>
      </c>
      <c r="V3934" t="s">
        <v>194</v>
      </c>
      <c r="W3934" t="s">
        <v>279</v>
      </c>
      <c r="X3934" t="s">
        <v>161</v>
      </c>
      <c r="Y3934" t="s">
        <v>2272</v>
      </c>
      <c r="Z3934" t="s">
        <v>2272</v>
      </c>
      <c r="AA3934" t="s">
        <v>2272</v>
      </c>
      <c r="AB3934" t="s">
        <v>2272</v>
      </c>
      <c r="AC3934" t="s">
        <v>162</v>
      </c>
      <c r="AD3934" t="s">
        <v>2272</v>
      </c>
      <c r="AG3934" t="s">
        <v>49</v>
      </c>
      <c r="AI3934" t="s">
        <v>49</v>
      </c>
      <c r="AM3934" t="s">
        <v>202</v>
      </c>
      <c r="AN3934" t="s">
        <v>166</v>
      </c>
      <c r="AQ3934" s="5">
        <v>0</v>
      </c>
    </row>
    <row r="3935" spans="1:45" x14ac:dyDescent="0.2">
      <c r="A3935" t="s">
        <v>2046</v>
      </c>
      <c r="B3935" t="s">
        <v>2047</v>
      </c>
      <c r="C3935">
        <v>2007</v>
      </c>
      <c r="D3935" t="s">
        <v>811</v>
      </c>
      <c r="F3935" t="s">
        <v>81</v>
      </c>
      <c r="G3935" s="1" t="s">
        <v>91</v>
      </c>
      <c r="H3935" t="s">
        <v>96</v>
      </c>
      <c r="I3935">
        <v>2003</v>
      </c>
      <c r="K3935" t="s">
        <v>101</v>
      </c>
      <c r="L3935">
        <v>0.2</v>
      </c>
      <c r="M3935">
        <v>1.8E-3</v>
      </c>
      <c r="N3935" t="s">
        <v>124</v>
      </c>
      <c r="O3935" t="s">
        <v>124</v>
      </c>
      <c r="P3935" t="s">
        <v>279</v>
      </c>
      <c r="Q3935" s="1" t="s">
        <v>2292</v>
      </c>
      <c r="R3935" s="1" t="s">
        <v>124</v>
      </c>
      <c r="S3935" s="1" t="s">
        <v>124</v>
      </c>
      <c r="T3935" t="s">
        <v>421</v>
      </c>
      <c r="U3935" t="s">
        <v>421</v>
      </c>
      <c r="V3935" t="s">
        <v>194</v>
      </c>
      <c r="W3935" t="s">
        <v>279</v>
      </c>
      <c r="X3935" t="s">
        <v>161</v>
      </c>
      <c r="Y3935" t="s">
        <v>2272</v>
      </c>
      <c r="Z3935" t="s">
        <v>2272</v>
      </c>
      <c r="AA3935" t="s">
        <v>2272</v>
      </c>
      <c r="AB3935" t="s">
        <v>2272</v>
      </c>
      <c r="AC3935" t="s">
        <v>162</v>
      </c>
      <c r="AD3935" t="s">
        <v>2272</v>
      </c>
      <c r="AG3935" t="s">
        <v>49</v>
      </c>
      <c r="AI3935" t="s">
        <v>49</v>
      </c>
      <c r="AM3935" t="s">
        <v>202</v>
      </c>
      <c r="AN3935" t="s">
        <v>154</v>
      </c>
      <c r="AQ3935" s="5">
        <v>0</v>
      </c>
    </row>
    <row r="3936" spans="1:45" x14ac:dyDescent="0.2">
      <c r="A3936" t="s">
        <v>2046</v>
      </c>
      <c r="B3936" t="s">
        <v>2047</v>
      </c>
      <c r="C3936">
        <v>2007</v>
      </c>
      <c r="D3936" t="s">
        <v>811</v>
      </c>
      <c r="F3936" t="s">
        <v>81</v>
      </c>
      <c r="G3936" s="1" t="s">
        <v>91</v>
      </c>
      <c r="H3936" t="s">
        <v>96</v>
      </c>
      <c r="I3936">
        <v>2003</v>
      </c>
      <c r="K3936" t="s">
        <v>101</v>
      </c>
      <c r="L3936">
        <v>0.2</v>
      </c>
      <c r="M3936">
        <v>1.8E-3</v>
      </c>
      <c r="N3936" t="s">
        <v>124</v>
      </c>
      <c r="O3936" t="s">
        <v>124</v>
      </c>
      <c r="P3936" t="s">
        <v>279</v>
      </c>
      <c r="Q3936" s="1" t="s">
        <v>2292</v>
      </c>
      <c r="R3936" s="1" t="s">
        <v>124</v>
      </c>
      <c r="S3936" s="1" t="s">
        <v>124</v>
      </c>
      <c r="T3936" t="s">
        <v>421</v>
      </c>
      <c r="U3936" t="s">
        <v>421</v>
      </c>
      <c r="V3936" t="s">
        <v>194</v>
      </c>
      <c r="W3936" t="s">
        <v>279</v>
      </c>
      <c r="X3936" t="s">
        <v>161</v>
      </c>
      <c r="Y3936" t="s">
        <v>2272</v>
      </c>
      <c r="Z3936" t="s">
        <v>2272</v>
      </c>
      <c r="AA3936" t="s">
        <v>2272</v>
      </c>
      <c r="AB3936" t="s">
        <v>2272</v>
      </c>
      <c r="AC3936" t="s">
        <v>162</v>
      </c>
      <c r="AD3936" t="s">
        <v>2272</v>
      </c>
      <c r="AG3936" t="s">
        <v>49</v>
      </c>
      <c r="AI3936" t="s">
        <v>49</v>
      </c>
      <c r="AM3936" t="s">
        <v>202</v>
      </c>
      <c r="AN3936" t="s">
        <v>165</v>
      </c>
    </row>
    <row r="3937" spans="1:43" x14ac:dyDescent="0.2">
      <c r="A3937" t="s">
        <v>2046</v>
      </c>
      <c r="B3937" t="s">
        <v>2047</v>
      </c>
      <c r="C3937">
        <v>2007</v>
      </c>
      <c r="D3937" t="s">
        <v>811</v>
      </c>
      <c r="F3937" t="s">
        <v>81</v>
      </c>
      <c r="G3937" s="1" t="s">
        <v>91</v>
      </c>
      <c r="H3937" t="s">
        <v>96</v>
      </c>
      <c r="I3937">
        <v>2003</v>
      </c>
      <c r="K3937" t="s">
        <v>101</v>
      </c>
      <c r="L3937">
        <v>0.2</v>
      </c>
      <c r="M3937">
        <v>1.8E-3</v>
      </c>
      <c r="N3937" t="s">
        <v>124</v>
      </c>
      <c r="O3937" t="s">
        <v>124</v>
      </c>
      <c r="P3937" t="s">
        <v>279</v>
      </c>
      <c r="Q3937" s="1" t="s">
        <v>2292</v>
      </c>
      <c r="R3937" s="1" t="s">
        <v>124</v>
      </c>
      <c r="S3937" s="1" t="s">
        <v>124</v>
      </c>
      <c r="T3937" t="s">
        <v>421</v>
      </c>
      <c r="U3937" t="s">
        <v>421</v>
      </c>
      <c r="V3937" t="s">
        <v>194</v>
      </c>
      <c r="W3937" t="s">
        <v>279</v>
      </c>
      <c r="X3937" t="s">
        <v>161</v>
      </c>
      <c r="Y3937" t="s">
        <v>2272</v>
      </c>
      <c r="Z3937" t="s">
        <v>2272</v>
      </c>
      <c r="AA3937" t="s">
        <v>2272</v>
      </c>
      <c r="AB3937" t="s">
        <v>2272</v>
      </c>
      <c r="AC3937" t="s">
        <v>162</v>
      </c>
      <c r="AD3937" t="s">
        <v>2272</v>
      </c>
      <c r="AG3937" t="s">
        <v>49</v>
      </c>
      <c r="AL3937" t="s">
        <v>49</v>
      </c>
      <c r="AM3937" t="s">
        <v>2049</v>
      </c>
      <c r="AN3937" t="s">
        <v>166</v>
      </c>
      <c r="AQ3937" s="5">
        <v>2</v>
      </c>
    </row>
    <row r="3938" spans="1:43" x14ac:dyDescent="0.2">
      <c r="A3938" t="s">
        <v>2046</v>
      </c>
      <c r="B3938" t="s">
        <v>2047</v>
      </c>
      <c r="C3938">
        <v>2007</v>
      </c>
      <c r="D3938" t="s">
        <v>811</v>
      </c>
      <c r="F3938" t="s">
        <v>81</v>
      </c>
      <c r="G3938" s="1" t="s">
        <v>91</v>
      </c>
      <c r="H3938" t="s">
        <v>96</v>
      </c>
      <c r="I3938">
        <v>2002</v>
      </c>
      <c r="J3938">
        <v>0.25</v>
      </c>
      <c r="K3938" t="s">
        <v>101</v>
      </c>
      <c r="M3938">
        <v>4</v>
      </c>
      <c r="N3938" t="s">
        <v>124</v>
      </c>
      <c r="O3938" t="s">
        <v>124</v>
      </c>
      <c r="P3938" t="s">
        <v>279</v>
      </c>
      <c r="Q3938" s="1" t="s">
        <v>2292</v>
      </c>
      <c r="R3938" s="1" t="s">
        <v>124</v>
      </c>
      <c r="S3938" s="1" t="s">
        <v>124</v>
      </c>
      <c r="T3938" t="s">
        <v>421</v>
      </c>
      <c r="U3938" t="s">
        <v>421</v>
      </c>
      <c r="V3938" t="s">
        <v>194</v>
      </c>
      <c r="W3938" t="s">
        <v>279</v>
      </c>
      <c r="X3938" t="s">
        <v>161</v>
      </c>
      <c r="Y3938" t="s">
        <v>2272</v>
      </c>
      <c r="Z3938" t="s">
        <v>2272</v>
      </c>
      <c r="AA3938" t="s">
        <v>2272</v>
      </c>
      <c r="AB3938" t="s">
        <v>2272</v>
      </c>
      <c r="AC3938" t="s">
        <v>162</v>
      </c>
      <c r="AD3938" t="s">
        <v>2272</v>
      </c>
      <c r="AG3938" t="s">
        <v>49</v>
      </c>
      <c r="AI3938" t="s">
        <v>49</v>
      </c>
      <c r="AM3938" t="s">
        <v>202</v>
      </c>
      <c r="AN3938" t="s">
        <v>166</v>
      </c>
      <c r="AQ3938" s="5">
        <v>1</v>
      </c>
    </row>
    <row r="3939" spans="1:43" x14ac:dyDescent="0.2">
      <c r="A3939" t="s">
        <v>2046</v>
      </c>
      <c r="B3939" t="s">
        <v>2047</v>
      </c>
      <c r="C3939">
        <v>2007</v>
      </c>
      <c r="D3939" t="s">
        <v>811</v>
      </c>
      <c r="F3939" t="s">
        <v>81</v>
      </c>
      <c r="G3939" s="1" t="s">
        <v>91</v>
      </c>
      <c r="H3939" t="s">
        <v>96</v>
      </c>
      <c r="I3939">
        <v>2002</v>
      </c>
      <c r="J3939">
        <v>0.25</v>
      </c>
      <c r="K3939" t="s">
        <v>101</v>
      </c>
      <c r="M3939">
        <v>4</v>
      </c>
      <c r="N3939" t="s">
        <v>124</v>
      </c>
      <c r="O3939" t="s">
        <v>124</v>
      </c>
      <c r="P3939" t="s">
        <v>279</v>
      </c>
      <c r="Q3939" s="1" t="s">
        <v>2292</v>
      </c>
      <c r="R3939" s="1" t="s">
        <v>124</v>
      </c>
      <c r="S3939" s="1" t="s">
        <v>124</v>
      </c>
      <c r="T3939" t="s">
        <v>421</v>
      </c>
      <c r="U3939" t="s">
        <v>421</v>
      </c>
      <c r="V3939" t="s">
        <v>194</v>
      </c>
      <c r="W3939" t="s">
        <v>279</v>
      </c>
      <c r="X3939" t="s">
        <v>161</v>
      </c>
      <c r="Y3939" t="s">
        <v>2272</v>
      </c>
      <c r="Z3939" t="s">
        <v>2272</v>
      </c>
      <c r="AA3939" t="s">
        <v>2272</v>
      </c>
      <c r="AB3939" t="s">
        <v>2272</v>
      </c>
      <c r="AC3939" t="s">
        <v>162</v>
      </c>
      <c r="AD3939" t="s">
        <v>2272</v>
      </c>
      <c r="AG3939" t="s">
        <v>49</v>
      </c>
      <c r="AK3939" t="s">
        <v>49</v>
      </c>
      <c r="AM3939" t="s">
        <v>2050</v>
      </c>
      <c r="AN3939" t="s">
        <v>166</v>
      </c>
      <c r="AQ3939" s="5">
        <v>0</v>
      </c>
    </row>
    <row r="3940" spans="1:43" x14ac:dyDescent="0.2">
      <c r="A3940" t="s">
        <v>2046</v>
      </c>
      <c r="B3940" t="s">
        <v>2047</v>
      </c>
      <c r="C3940">
        <v>2007</v>
      </c>
      <c r="D3940" t="s">
        <v>811</v>
      </c>
      <c r="F3940" t="s">
        <v>81</v>
      </c>
      <c r="G3940" s="1" t="s">
        <v>91</v>
      </c>
      <c r="H3940" t="s">
        <v>96</v>
      </c>
      <c r="I3940">
        <v>2002</v>
      </c>
      <c r="J3940">
        <v>0.25</v>
      </c>
      <c r="K3940" t="s">
        <v>101</v>
      </c>
      <c r="M3940">
        <v>4</v>
      </c>
      <c r="N3940" t="s">
        <v>124</v>
      </c>
      <c r="O3940" t="s">
        <v>124</v>
      </c>
      <c r="P3940" t="s">
        <v>279</v>
      </c>
      <c r="Q3940" s="1" t="s">
        <v>2292</v>
      </c>
      <c r="R3940" s="1" t="s">
        <v>124</v>
      </c>
      <c r="S3940" s="1" t="s">
        <v>124</v>
      </c>
      <c r="T3940" t="s">
        <v>421</v>
      </c>
      <c r="U3940" t="s">
        <v>421</v>
      </c>
      <c r="V3940" t="s">
        <v>194</v>
      </c>
      <c r="W3940" t="s">
        <v>279</v>
      </c>
      <c r="X3940" t="s">
        <v>161</v>
      </c>
      <c r="Y3940" t="s">
        <v>2272</v>
      </c>
      <c r="Z3940" t="s">
        <v>2272</v>
      </c>
      <c r="AA3940" t="s">
        <v>2272</v>
      </c>
      <c r="AB3940" t="s">
        <v>2272</v>
      </c>
      <c r="AC3940" t="s">
        <v>162</v>
      </c>
      <c r="AD3940" t="s">
        <v>2272</v>
      </c>
      <c r="AG3940" t="s">
        <v>49</v>
      </c>
      <c r="AK3940" t="s">
        <v>49</v>
      </c>
      <c r="AM3940" t="s">
        <v>2051</v>
      </c>
      <c r="AN3940" t="s">
        <v>166</v>
      </c>
      <c r="AQ3940" s="5">
        <v>1</v>
      </c>
    </row>
    <row r="3941" spans="1:43" x14ac:dyDescent="0.2">
      <c r="A3941" t="s">
        <v>2046</v>
      </c>
      <c r="B3941" t="s">
        <v>2047</v>
      </c>
      <c r="C3941">
        <v>2007</v>
      </c>
      <c r="D3941" t="s">
        <v>811</v>
      </c>
      <c r="F3941" t="s">
        <v>81</v>
      </c>
      <c r="G3941" s="1" t="s">
        <v>91</v>
      </c>
      <c r="H3941" t="s">
        <v>96</v>
      </c>
      <c r="I3941">
        <v>2002</v>
      </c>
      <c r="J3941">
        <v>0.25</v>
      </c>
      <c r="K3941" t="s">
        <v>101</v>
      </c>
      <c r="M3941">
        <v>4</v>
      </c>
      <c r="N3941" t="s">
        <v>124</v>
      </c>
      <c r="O3941" t="s">
        <v>124</v>
      </c>
      <c r="P3941" t="s">
        <v>279</v>
      </c>
      <c r="Q3941" s="1" t="s">
        <v>2292</v>
      </c>
      <c r="R3941" s="1" t="s">
        <v>124</v>
      </c>
      <c r="S3941" s="1" t="s">
        <v>124</v>
      </c>
      <c r="T3941" t="s">
        <v>421</v>
      </c>
      <c r="U3941" t="s">
        <v>421</v>
      </c>
      <c r="V3941" t="s">
        <v>194</v>
      </c>
      <c r="W3941" t="s">
        <v>279</v>
      </c>
      <c r="X3941" t="s">
        <v>161</v>
      </c>
      <c r="Y3941" t="s">
        <v>2272</v>
      </c>
      <c r="Z3941" t="s">
        <v>2272</v>
      </c>
      <c r="AA3941" t="s">
        <v>2272</v>
      </c>
      <c r="AB3941" t="s">
        <v>2272</v>
      </c>
      <c r="AC3941" t="s">
        <v>162</v>
      </c>
      <c r="AD3941" t="s">
        <v>2272</v>
      </c>
      <c r="AG3941" t="s">
        <v>49</v>
      </c>
      <c r="AK3941" t="s">
        <v>49</v>
      </c>
      <c r="AM3941" t="s">
        <v>2052</v>
      </c>
      <c r="AN3941" t="s">
        <v>166</v>
      </c>
      <c r="AP3941" t="s">
        <v>49</v>
      </c>
    </row>
    <row r="3942" spans="1:43" x14ac:dyDescent="0.2">
      <c r="A3942" t="s">
        <v>2046</v>
      </c>
      <c r="B3942" t="s">
        <v>2047</v>
      </c>
      <c r="C3942">
        <v>2007</v>
      </c>
      <c r="D3942" t="s">
        <v>811</v>
      </c>
      <c r="F3942" t="s">
        <v>81</v>
      </c>
      <c r="G3942" s="1" t="s">
        <v>91</v>
      </c>
      <c r="H3942" t="s">
        <v>96</v>
      </c>
      <c r="I3942">
        <v>2002</v>
      </c>
      <c r="J3942">
        <v>0.25</v>
      </c>
      <c r="K3942" t="s">
        <v>101</v>
      </c>
      <c r="M3942">
        <v>4</v>
      </c>
      <c r="N3942" t="s">
        <v>124</v>
      </c>
      <c r="O3942" t="s">
        <v>124</v>
      </c>
      <c r="P3942" t="s">
        <v>279</v>
      </c>
      <c r="Q3942" s="1" t="s">
        <v>2292</v>
      </c>
      <c r="R3942" s="1" t="s">
        <v>124</v>
      </c>
      <c r="S3942" s="1" t="s">
        <v>124</v>
      </c>
      <c r="T3942" t="s">
        <v>421</v>
      </c>
      <c r="U3942" t="s">
        <v>421</v>
      </c>
      <c r="V3942" t="s">
        <v>194</v>
      </c>
      <c r="W3942" t="s">
        <v>279</v>
      </c>
      <c r="X3942" t="s">
        <v>161</v>
      </c>
      <c r="Y3942" t="s">
        <v>2272</v>
      </c>
      <c r="Z3942" t="s">
        <v>2272</v>
      </c>
      <c r="AA3942" t="s">
        <v>2272</v>
      </c>
      <c r="AB3942" t="s">
        <v>2272</v>
      </c>
      <c r="AC3942" t="s">
        <v>162</v>
      </c>
      <c r="AD3942" t="s">
        <v>2272</v>
      </c>
      <c r="AG3942" t="s">
        <v>49</v>
      </c>
      <c r="AK3942" t="s">
        <v>49</v>
      </c>
      <c r="AM3942" t="s">
        <v>2053</v>
      </c>
      <c r="AN3942" t="s">
        <v>166</v>
      </c>
      <c r="AQ3942" s="5">
        <v>0</v>
      </c>
    </row>
    <row r="3943" spans="1:43" x14ac:dyDescent="0.2">
      <c r="A3943" t="s">
        <v>2046</v>
      </c>
      <c r="B3943" t="s">
        <v>2047</v>
      </c>
      <c r="C3943">
        <v>2007</v>
      </c>
      <c r="D3943" t="s">
        <v>811</v>
      </c>
      <c r="F3943" t="s">
        <v>81</v>
      </c>
      <c r="G3943" s="1" t="s">
        <v>91</v>
      </c>
      <c r="H3943" t="s">
        <v>96</v>
      </c>
      <c r="I3943">
        <v>2002</v>
      </c>
      <c r="J3943">
        <v>0.25</v>
      </c>
      <c r="K3943" t="s">
        <v>101</v>
      </c>
      <c r="M3943">
        <v>4</v>
      </c>
      <c r="N3943" t="s">
        <v>124</v>
      </c>
      <c r="O3943" t="s">
        <v>124</v>
      </c>
      <c r="P3943" t="s">
        <v>279</v>
      </c>
      <c r="Q3943" s="1" t="s">
        <v>2292</v>
      </c>
      <c r="R3943" s="1" t="s">
        <v>124</v>
      </c>
      <c r="S3943" s="1" t="s">
        <v>124</v>
      </c>
      <c r="T3943" t="s">
        <v>421</v>
      </c>
      <c r="U3943" t="s">
        <v>421</v>
      </c>
      <c r="V3943" t="s">
        <v>194</v>
      </c>
      <c r="W3943" t="s">
        <v>279</v>
      </c>
      <c r="X3943" t="s">
        <v>161</v>
      </c>
      <c r="Y3943" t="s">
        <v>2272</v>
      </c>
      <c r="Z3943" t="s">
        <v>2272</v>
      </c>
      <c r="AA3943" t="s">
        <v>2272</v>
      </c>
      <c r="AB3943" t="s">
        <v>2272</v>
      </c>
      <c r="AC3943" t="s">
        <v>162</v>
      </c>
      <c r="AD3943" t="s">
        <v>2272</v>
      </c>
      <c r="AG3943" t="s">
        <v>49</v>
      </c>
      <c r="AK3943" t="s">
        <v>49</v>
      </c>
      <c r="AM3943" t="s">
        <v>1451</v>
      </c>
      <c r="AN3943" t="s">
        <v>166</v>
      </c>
      <c r="AQ3943" s="5">
        <v>1</v>
      </c>
    </row>
    <row r="3944" spans="1:43" x14ac:dyDescent="0.2">
      <c r="A3944" t="s">
        <v>2046</v>
      </c>
      <c r="B3944" t="s">
        <v>2047</v>
      </c>
      <c r="C3944">
        <v>2007</v>
      </c>
      <c r="D3944" t="s">
        <v>811</v>
      </c>
      <c r="F3944" t="s">
        <v>81</v>
      </c>
      <c r="G3944" s="1" t="s">
        <v>91</v>
      </c>
      <c r="H3944" t="s">
        <v>96</v>
      </c>
      <c r="I3944">
        <v>2002</v>
      </c>
      <c r="J3944">
        <v>0.25</v>
      </c>
      <c r="K3944" t="s">
        <v>101</v>
      </c>
      <c r="M3944">
        <v>4</v>
      </c>
      <c r="N3944" t="s">
        <v>124</v>
      </c>
      <c r="O3944" t="s">
        <v>124</v>
      </c>
      <c r="P3944" t="s">
        <v>279</v>
      </c>
      <c r="Q3944" s="1" t="s">
        <v>2292</v>
      </c>
      <c r="R3944" s="1" t="s">
        <v>124</v>
      </c>
      <c r="S3944" s="1" t="s">
        <v>124</v>
      </c>
      <c r="T3944" t="s">
        <v>421</v>
      </c>
      <c r="U3944" t="s">
        <v>421</v>
      </c>
      <c r="V3944" t="s">
        <v>194</v>
      </c>
      <c r="W3944" t="s">
        <v>279</v>
      </c>
      <c r="X3944" t="s">
        <v>161</v>
      </c>
      <c r="Y3944" t="s">
        <v>2272</v>
      </c>
      <c r="Z3944" t="s">
        <v>2272</v>
      </c>
      <c r="AA3944" t="s">
        <v>2272</v>
      </c>
      <c r="AB3944" t="s">
        <v>2272</v>
      </c>
      <c r="AC3944" t="s">
        <v>162</v>
      </c>
      <c r="AD3944" t="s">
        <v>2272</v>
      </c>
      <c r="AG3944" t="s">
        <v>49</v>
      </c>
      <c r="AK3944" t="s">
        <v>49</v>
      </c>
      <c r="AM3944" t="s">
        <v>2054</v>
      </c>
      <c r="AN3944" t="s">
        <v>166</v>
      </c>
      <c r="AQ3944" s="5">
        <v>1</v>
      </c>
    </row>
    <row r="3945" spans="1:43" x14ac:dyDescent="0.2">
      <c r="A3945" t="s">
        <v>2046</v>
      </c>
      <c r="B3945" t="s">
        <v>2047</v>
      </c>
      <c r="C3945">
        <v>2007</v>
      </c>
      <c r="D3945" t="s">
        <v>811</v>
      </c>
      <c r="F3945" t="s">
        <v>81</v>
      </c>
      <c r="G3945" s="1" t="s">
        <v>91</v>
      </c>
      <c r="H3945" t="s">
        <v>96</v>
      </c>
      <c r="I3945">
        <v>2002</v>
      </c>
      <c r="J3945">
        <v>0.25</v>
      </c>
      <c r="K3945" t="s">
        <v>101</v>
      </c>
      <c r="M3945">
        <v>4</v>
      </c>
      <c r="N3945" t="s">
        <v>124</v>
      </c>
      <c r="O3945" t="s">
        <v>124</v>
      </c>
      <c r="P3945" t="s">
        <v>279</v>
      </c>
      <c r="Q3945" s="1" t="s">
        <v>2292</v>
      </c>
      <c r="R3945" s="1" t="s">
        <v>124</v>
      </c>
      <c r="S3945" s="1" t="s">
        <v>124</v>
      </c>
      <c r="T3945" t="s">
        <v>421</v>
      </c>
      <c r="U3945" t="s">
        <v>421</v>
      </c>
      <c r="V3945" t="s">
        <v>194</v>
      </c>
      <c r="W3945" t="s">
        <v>279</v>
      </c>
      <c r="X3945" t="s">
        <v>161</v>
      </c>
      <c r="Y3945" t="s">
        <v>2272</v>
      </c>
      <c r="Z3945" t="s">
        <v>2272</v>
      </c>
      <c r="AA3945" t="s">
        <v>2272</v>
      </c>
      <c r="AB3945" t="s">
        <v>2272</v>
      </c>
      <c r="AC3945" t="s">
        <v>162</v>
      </c>
      <c r="AD3945" t="s">
        <v>2272</v>
      </c>
      <c r="AG3945" t="s">
        <v>49</v>
      </c>
      <c r="AK3945" t="s">
        <v>49</v>
      </c>
      <c r="AM3945" t="s">
        <v>2055</v>
      </c>
      <c r="AN3945" t="s">
        <v>166</v>
      </c>
      <c r="AQ3945" s="5">
        <v>1</v>
      </c>
    </row>
    <row r="3946" spans="1:43" x14ac:dyDescent="0.2">
      <c r="A3946" t="s">
        <v>2046</v>
      </c>
      <c r="B3946" t="s">
        <v>2047</v>
      </c>
      <c r="C3946">
        <v>2007</v>
      </c>
      <c r="D3946" t="s">
        <v>811</v>
      </c>
      <c r="F3946" t="s">
        <v>81</v>
      </c>
      <c r="G3946" s="1" t="s">
        <v>91</v>
      </c>
      <c r="H3946" t="s">
        <v>96</v>
      </c>
      <c r="I3946">
        <v>2002</v>
      </c>
      <c r="J3946">
        <v>0.25</v>
      </c>
      <c r="K3946" t="s">
        <v>101</v>
      </c>
      <c r="M3946">
        <v>4</v>
      </c>
      <c r="N3946" t="s">
        <v>124</v>
      </c>
      <c r="O3946" t="s">
        <v>124</v>
      </c>
      <c r="P3946" t="s">
        <v>279</v>
      </c>
      <c r="Q3946" s="1" t="s">
        <v>2292</v>
      </c>
      <c r="R3946" s="1" t="s">
        <v>124</v>
      </c>
      <c r="S3946" s="1" t="s">
        <v>124</v>
      </c>
      <c r="T3946" t="s">
        <v>421</v>
      </c>
      <c r="U3946" t="s">
        <v>421</v>
      </c>
      <c r="V3946" t="s">
        <v>194</v>
      </c>
      <c r="W3946" t="s">
        <v>279</v>
      </c>
      <c r="X3946" t="s">
        <v>161</v>
      </c>
      <c r="Y3946" t="s">
        <v>2272</v>
      </c>
      <c r="Z3946" t="s">
        <v>2272</v>
      </c>
      <c r="AA3946" t="s">
        <v>2272</v>
      </c>
      <c r="AB3946" t="s">
        <v>2272</v>
      </c>
      <c r="AC3946" t="s">
        <v>162</v>
      </c>
      <c r="AD3946" t="s">
        <v>2272</v>
      </c>
      <c r="AG3946" t="s">
        <v>49</v>
      </c>
      <c r="AI3946" t="s">
        <v>49</v>
      </c>
      <c r="AM3946" t="s">
        <v>202</v>
      </c>
      <c r="AN3946" t="s">
        <v>154</v>
      </c>
      <c r="AP3946" t="s">
        <v>49</v>
      </c>
    </row>
    <row r="3947" spans="1:43" x14ac:dyDescent="0.2">
      <c r="A3947" t="s">
        <v>2046</v>
      </c>
      <c r="B3947" t="s">
        <v>2047</v>
      </c>
      <c r="C3947">
        <v>2007</v>
      </c>
      <c r="D3947" t="s">
        <v>811</v>
      </c>
      <c r="F3947" t="s">
        <v>81</v>
      </c>
      <c r="G3947" s="1" t="s">
        <v>91</v>
      </c>
      <c r="H3947" t="s">
        <v>96</v>
      </c>
      <c r="I3947">
        <v>2002</v>
      </c>
      <c r="J3947">
        <v>0.25</v>
      </c>
      <c r="K3947" t="s">
        <v>101</v>
      </c>
      <c r="M3947">
        <v>4</v>
      </c>
      <c r="N3947" t="s">
        <v>124</v>
      </c>
      <c r="O3947" t="s">
        <v>124</v>
      </c>
      <c r="P3947" t="s">
        <v>279</v>
      </c>
      <c r="Q3947" s="1" t="s">
        <v>2292</v>
      </c>
      <c r="R3947" s="1" t="s">
        <v>124</v>
      </c>
      <c r="S3947" s="1" t="s">
        <v>124</v>
      </c>
      <c r="T3947" t="s">
        <v>421</v>
      </c>
      <c r="U3947" t="s">
        <v>421</v>
      </c>
      <c r="V3947" t="s">
        <v>194</v>
      </c>
      <c r="W3947" t="s">
        <v>279</v>
      </c>
      <c r="X3947" t="s">
        <v>161</v>
      </c>
      <c r="Y3947" t="s">
        <v>2272</v>
      </c>
      <c r="Z3947" t="s">
        <v>2272</v>
      </c>
      <c r="AA3947" t="s">
        <v>2272</v>
      </c>
      <c r="AB3947" t="s">
        <v>2272</v>
      </c>
      <c r="AC3947" t="s">
        <v>162</v>
      </c>
      <c r="AD3947" t="s">
        <v>2272</v>
      </c>
      <c r="AG3947" t="s">
        <v>49</v>
      </c>
      <c r="AL3947" t="s">
        <v>49</v>
      </c>
      <c r="AM3947" t="s">
        <v>2056</v>
      </c>
      <c r="AN3947" t="s">
        <v>166</v>
      </c>
      <c r="AQ3947" s="5">
        <v>2</v>
      </c>
    </row>
    <row r="3948" spans="1:43" x14ac:dyDescent="0.2">
      <c r="A3948" t="s">
        <v>2046</v>
      </c>
      <c r="B3948" t="s">
        <v>2047</v>
      </c>
      <c r="C3948">
        <v>2007</v>
      </c>
      <c r="D3948" t="s">
        <v>811</v>
      </c>
      <c r="F3948" t="s">
        <v>81</v>
      </c>
      <c r="G3948" s="1" t="s">
        <v>91</v>
      </c>
      <c r="H3948" t="s">
        <v>96</v>
      </c>
      <c r="I3948">
        <v>2004</v>
      </c>
      <c r="K3948" t="s">
        <v>101</v>
      </c>
      <c r="L3948">
        <v>0.12</v>
      </c>
      <c r="M3948">
        <v>0.25</v>
      </c>
      <c r="N3948" t="s">
        <v>124</v>
      </c>
      <c r="O3948" t="s">
        <v>124</v>
      </c>
      <c r="P3948" t="s">
        <v>279</v>
      </c>
      <c r="Q3948" s="1" t="s">
        <v>2292</v>
      </c>
      <c r="R3948" s="1" t="s">
        <v>124</v>
      </c>
      <c r="S3948" s="1" t="s">
        <v>124</v>
      </c>
      <c r="V3948" t="s">
        <v>194</v>
      </c>
      <c r="W3948" t="s">
        <v>279</v>
      </c>
      <c r="X3948" t="s">
        <v>2057</v>
      </c>
      <c r="Y3948" t="s">
        <v>2279</v>
      </c>
      <c r="Z3948" t="s">
        <v>2361</v>
      </c>
      <c r="AA3948" t="s">
        <v>2362</v>
      </c>
      <c r="AB3948" t="s">
        <v>2296</v>
      </c>
      <c r="AC3948" t="s">
        <v>162</v>
      </c>
      <c r="AD3948" t="s">
        <v>2278</v>
      </c>
      <c r="AG3948" t="s">
        <v>49</v>
      </c>
      <c r="AI3948" t="s">
        <v>49</v>
      </c>
      <c r="AM3948" t="s">
        <v>202</v>
      </c>
      <c r="AN3948" t="s">
        <v>165</v>
      </c>
    </row>
    <row r="3949" spans="1:43" x14ac:dyDescent="0.2">
      <c r="A3949" t="s">
        <v>2046</v>
      </c>
      <c r="B3949" t="s">
        <v>2047</v>
      </c>
      <c r="C3949">
        <v>2007</v>
      </c>
      <c r="D3949" t="s">
        <v>811</v>
      </c>
      <c r="F3949" t="s">
        <v>81</v>
      </c>
      <c r="G3949" s="1" t="s">
        <v>91</v>
      </c>
      <c r="H3949" t="s">
        <v>96</v>
      </c>
      <c r="I3949">
        <v>2004</v>
      </c>
      <c r="K3949" t="s">
        <v>101</v>
      </c>
      <c r="L3949">
        <v>0.12</v>
      </c>
      <c r="M3949">
        <v>0.25</v>
      </c>
      <c r="N3949" t="s">
        <v>124</v>
      </c>
      <c r="O3949" t="s">
        <v>124</v>
      </c>
      <c r="P3949" t="s">
        <v>279</v>
      </c>
      <c r="Q3949" s="1" t="s">
        <v>2292</v>
      </c>
      <c r="R3949" s="1" t="s">
        <v>124</v>
      </c>
      <c r="S3949" s="1" t="s">
        <v>124</v>
      </c>
      <c r="T3949" t="s">
        <v>421</v>
      </c>
      <c r="U3949" t="s">
        <v>421</v>
      </c>
      <c r="V3949" t="s">
        <v>194</v>
      </c>
      <c r="W3949" t="s">
        <v>279</v>
      </c>
      <c r="X3949" t="s">
        <v>161</v>
      </c>
      <c r="Y3949" t="s">
        <v>2272</v>
      </c>
      <c r="Z3949" t="s">
        <v>2272</v>
      </c>
      <c r="AA3949" t="s">
        <v>2272</v>
      </c>
      <c r="AB3949" t="s">
        <v>2272</v>
      </c>
      <c r="AC3949" t="s">
        <v>162</v>
      </c>
      <c r="AD3949" t="s">
        <v>2272</v>
      </c>
      <c r="AG3949" t="s">
        <v>49</v>
      </c>
      <c r="AI3949" t="s">
        <v>49</v>
      </c>
      <c r="AM3949" t="s">
        <v>202</v>
      </c>
      <c r="AN3949" t="s">
        <v>165</v>
      </c>
    </row>
    <row r="3950" spans="1:43" x14ac:dyDescent="0.2">
      <c r="A3950" t="s">
        <v>2046</v>
      </c>
      <c r="B3950" t="s">
        <v>2047</v>
      </c>
      <c r="C3950">
        <v>2007</v>
      </c>
      <c r="D3950" t="s">
        <v>811</v>
      </c>
      <c r="F3950" t="s">
        <v>81</v>
      </c>
      <c r="G3950" s="1" t="s">
        <v>91</v>
      </c>
      <c r="H3950" t="s">
        <v>96</v>
      </c>
      <c r="I3950">
        <v>2004</v>
      </c>
      <c r="K3950" t="s">
        <v>101</v>
      </c>
      <c r="L3950">
        <v>0.12</v>
      </c>
      <c r="M3950">
        <v>0.25</v>
      </c>
      <c r="N3950" t="s">
        <v>124</v>
      </c>
      <c r="O3950" t="s">
        <v>124</v>
      </c>
      <c r="P3950" t="s">
        <v>279</v>
      </c>
      <c r="Q3950" s="1" t="s">
        <v>2292</v>
      </c>
      <c r="R3950" s="1" t="s">
        <v>124</v>
      </c>
      <c r="S3950" s="1" t="s">
        <v>124</v>
      </c>
      <c r="V3950" t="s">
        <v>194</v>
      </c>
      <c r="W3950" t="s">
        <v>279</v>
      </c>
      <c r="X3950" t="s">
        <v>2057</v>
      </c>
      <c r="Y3950" t="s">
        <v>2279</v>
      </c>
      <c r="Z3950" t="s">
        <v>2361</v>
      </c>
      <c r="AA3950" t="s">
        <v>2362</v>
      </c>
      <c r="AB3950" t="s">
        <v>2296</v>
      </c>
      <c r="AC3950" t="s">
        <v>162</v>
      </c>
      <c r="AD3950" t="s">
        <v>2278</v>
      </c>
      <c r="AG3950" t="s">
        <v>49</v>
      </c>
      <c r="AI3950" t="s">
        <v>49</v>
      </c>
      <c r="AM3950" t="s">
        <v>202</v>
      </c>
      <c r="AN3950" t="s">
        <v>166</v>
      </c>
      <c r="AP3950" t="s">
        <v>157</v>
      </c>
    </row>
    <row r="3951" spans="1:43" x14ac:dyDescent="0.2">
      <c r="A3951" t="s">
        <v>2046</v>
      </c>
      <c r="B3951" t="s">
        <v>2047</v>
      </c>
      <c r="C3951">
        <v>2007</v>
      </c>
      <c r="D3951" t="s">
        <v>811</v>
      </c>
      <c r="F3951" t="s">
        <v>81</v>
      </c>
      <c r="G3951" s="1" t="s">
        <v>91</v>
      </c>
      <c r="H3951" t="s">
        <v>96</v>
      </c>
      <c r="I3951">
        <v>2004</v>
      </c>
      <c r="K3951" t="s">
        <v>101</v>
      </c>
      <c r="L3951">
        <v>0.12</v>
      </c>
      <c r="M3951">
        <v>0.25</v>
      </c>
      <c r="N3951" t="s">
        <v>124</v>
      </c>
      <c r="O3951" t="s">
        <v>124</v>
      </c>
      <c r="P3951" t="s">
        <v>279</v>
      </c>
      <c r="Q3951" s="1" t="s">
        <v>2292</v>
      </c>
      <c r="R3951" s="1" t="s">
        <v>124</v>
      </c>
      <c r="S3951" s="1" t="s">
        <v>124</v>
      </c>
      <c r="T3951" t="s">
        <v>421</v>
      </c>
      <c r="U3951" t="s">
        <v>421</v>
      </c>
      <c r="V3951" t="s">
        <v>194</v>
      </c>
      <c r="W3951" t="s">
        <v>279</v>
      </c>
      <c r="X3951" t="s">
        <v>161</v>
      </c>
      <c r="Y3951" t="s">
        <v>2272</v>
      </c>
      <c r="Z3951" t="s">
        <v>2272</v>
      </c>
      <c r="AA3951" t="s">
        <v>2272</v>
      </c>
      <c r="AB3951" t="s">
        <v>2272</v>
      </c>
      <c r="AC3951" t="s">
        <v>162</v>
      </c>
      <c r="AD3951" t="s">
        <v>2272</v>
      </c>
      <c r="AG3951" t="s">
        <v>49</v>
      </c>
      <c r="AI3951" t="s">
        <v>49</v>
      </c>
      <c r="AM3951" t="s">
        <v>202</v>
      </c>
      <c r="AN3951" t="s">
        <v>166</v>
      </c>
      <c r="AQ3951" s="5">
        <v>0</v>
      </c>
    </row>
    <row r="3952" spans="1:43" x14ac:dyDescent="0.2">
      <c r="A3952" t="s">
        <v>2046</v>
      </c>
      <c r="B3952" t="s">
        <v>2047</v>
      </c>
      <c r="C3952">
        <v>2007</v>
      </c>
      <c r="D3952" t="s">
        <v>811</v>
      </c>
      <c r="F3952" t="s">
        <v>81</v>
      </c>
      <c r="G3952" s="1" t="s">
        <v>91</v>
      </c>
      <c r="H3952" t="s">
        <v>96</v>
      </c>
      <c r="I3952">
        <v>2004</v>
      </c>
      <c r="K3952" t="s">
        <v>101</v>
      </c>
      <c r="L3952">
        <v>0.12</v>
      </c>
      <c r="M3952">
        <v>0.25</v>
      </c>
      <c r="N3952" t="s">
        <v>124</v>
      </c>
      <c r="O3952" t="s">
        <v>124</v>
      </c>
      <c r="P3952" t="s">
        <v>279</v>
      </c>
      <c r="Q3952" s="1" t="s">
        <v>2292</v>
      </c>
      <c r="R3952" s="1" t="s">
        <v>124</v>
      </c>
      <c r="S3952" s="1" t="s">
        <v>124</v>
      </c>
      <c r="V3952" t="s">
        <v>194</v>
      </c>
      <c r="W3952" t="s">
        <v>279</v>
      </c>
      <c r="X3952" t="s">
        <v>2057</v>
      </c>
      <c r="Y3952" t="s">
        <v>2279</v>
      </c>
      <c r="Z3952" t="s">
        <v>2361</v>
      </c>
      <c r="AA3952" t="s">
        <v>2362</v>
      </c>
      <c r="AB3952" t="s">
        <v>2296</v>
      </c>
      <c r="AC3952" t="s">
        <v>162</v>
      </c>
      <c r="AD3952" t="s">
        <v>2278</v>
      </c>
      <c r="AG3952" t="s">
        <v>49</v>
      </c>
      <c r="AK3952" t="s">
        <v>49</v>
      </c>
      <c r="AM3952" t="s">
        <v>2058</v>
      </c>
      <c r="AN3952" t="s">
        <v>166</v>
      </c>
      <c r="AP3952" t="s">
        <v>51</v>
      </c>
    </row>
    <row r="3953" spans="1:43" x14ac:dyDescent="0.2">
      <c r="A3953" t="s">
        <v>2046</v>
      </c>
      <c r="B3953" t="s">
        <v>2047</v>
      </c>
      <c r="C3953">
        <v>2007</v>
      </c>
      <c r="D3953" t="s">
        <v>811</v>
      </c>
      <c r="F3953" t="s">
        <v>81</v>
      </c>
      <c r="G3953" s="1" t="s">
        <v>91</v>
      </c>
      <c r="H3953" t="s">
        <v>96</v>
      </c>
      <c r="I3953">
        <v>2004</v>
      </c>
      <c r="K3953" t="s">
        <v>101</v>
      </c>
      <c r="L3953">
        <v>0.12</v>
      </c>
      <c r="M3953">
        <v>0.25</v>
      </c>
      <c r="N3953" t="s">
        <v>124</v>
      </c>
      <c r="O3953" t="s">
        <v>124</v>
      </c>
      <c r="P3953" t="s">
        <v>279</v>
      </c>
      <c r="Q3953" s="1" t="s">
        <v>2292</v>
      </c>
      <c r="R3953" s="1" t="s">
        <v>124</v>
      </c>
      <c r="S3953" s="1" t="s">
        <v>124</v>
      </c>
      <c r="T3953" t="s">
        <v>421</v>
      </c>
      <c r="U3953" t="s">
        <v>421</v>
      </c>
      <c r="V3953" t="s">
        <v>194</v>
      </c>
      <c r="W3953" t="s">
        <v>279</v>
      </c>
      <c r="X3953" t="s">
        <v>161</v>
      </c>
      <c r="Y3953" t="s">
        <v>2272</v>
      </c>
      <c r="Z3953" t="s">
        <v>2272</v>
      </c>
      <c r="AA3953" t="s">
        <v>2272</v>
      </c>
      <c r="AB3953" t="s">
        <v>2272</v>
      </c>
      <c r="AC3953" t="s">
        <v>162</v>
      </c>
      <c r="AD3953" t="s">
        <v>2272</v>
      </c>
      <c r="AG3953" t="s">
        <v>49</v>
      </c>
      <c r="AK3953" t="s">
        <v>49</v>
      </c>
      <c r="AM3953" t="s">
        <v>2058</v>
      </c>
      <c r="AN3953" t="s">
        <v>166</v>
      </c>
      <c r="AQ3953" s="5">
        <v>2</v>
      </c>
    </row>
    <row r="3954" spans="1:43" x14ac:dyDescent="0.2">
      <c r="A3954" t="s">
        <v>2046</v>
      </c>
      <c r="B3954" t="s">
        <v>2047</v>
      </c>
      <c r="C3954">
        <v>2007</v>
      </c>
      <c r="D3954" t="s">
        <v>811</v>
      </c>
      <c r="F3954" t="s">
        <v>81</v>
      </c>
      <c r="G3954" s="1" t="s">
        <v>91</v>
      </c>
      <c r="H3954" t="s">
        <v>96</v>
      </c>
      <c r="I3954">
        <v>2004</v>
      </c>
      <c r="K3954" t="s">
        <v>101</v>
      </c>
      <c r="L3954">
        <v>0.12</v>
      </c>
      <c r="M3954">
        <v>0.25</v>
      </c>
      <c r="N3954" t="s">
        <v>124</v>
      </c>
      <c r="O3954" t="s">
        <v>124</v>
      </c>
      <c r="P3954" t="s">
        <v>279</v>
      </c>
      <c r="Q3954" s="1" t="s">
        <v>2292</v>
      </c>
      <c r="R3954" s="1" t="s">
        <v>124</v>
      </c>
      <c r="S3954" s="1" t="s">
        <v>124</v>
      </c>
      <c r="V3954" t="s">
        <v>194</v>
      </c>
      <c r="W3954" t="s">
        <v>279</v>
      </c>
      <c r="X3954" t="s">
        <v>2057</v>
      </c>
      <c r="Y3954" t="s">
        <v>2279</v>
      </c>
      <c r="Z3954" t="s">
        <v>2361</v>
      </c>
      <c r="AA3954" t="s">
        <v>2362</v>
      </c>
      <c r="AB3954" t="s">
        <v>2296</v>
      </c>
      <c r="AC3954" t="s">
        <v>162</v>
      </c>
      <c r="AD3954" t="s">
        <v>2278</v>
      </c>
      <c r="AG3954" t="s">
        <v>49</v>
      </c>
      <c r="AK3954" t="s">
        <v>49</v>
      </c>
      <c r="AM3954" t="s">
        <v>2052</v>
      </c>
      <c r="AN3954" t="s">
        <v>166</v>
      </c>
      <c r="AP3954" t="s">
        <v>157</v>
      </c>
    </row>
    <row r="3955" spans="1:43" x14ac:dyDescent="0.2">
      <c r="A3955" t="s">
        <v>2046</v>
      </c>
      <c r="B3955" t="s">
        <v>2047</v>
      </c>
      <c r="C3955">
        <v>2007</v>
      </c>
      <c r="D3955" t="s">
        <v>811</v>
      </c>
      <c r="F3955" t="s">
        <v>81</v>
      </c>
      <c r="G3955" s="1" t="s">
        <v>91</v>
      </c>
      <c r="H3955" t="s">
        <v>96</v>
      </c>
      <c r="I3955">
        <v>2004</v>
      </c>
      <c r="K3955" t="s">
        <v>101</v>
      </c>
      <c r="L3955">
        <v>0.12</v>
      </c>
      <c r="M3955">
        <v>0.25</v>
      </c>
      <c r="N3955" t="s">
        <v>124</v>
      </c>
      <c r="O3955" t="s">
        <v>124</v>
      </c>
      <c r="P3955" t="s">
        <v>279</v>
      </c>
      <c r="Q3955" s="1" t="s">
        <v>2292</v>
      </c>
      <c r="R3955" s="1" t="s">
        <v>124</v>
      </c>
      <c r="S3955" s="1" t="s">
        <v>124</v>
      </c>
      <c r="T3955" t="s">
        <v>421</v>
      </c>
      <c r="U3955" t="s">
        <v>421</v>
      </c>
      <c r="V3955" t="s">
        <v>194</v>
      </c>
      <c r="W3955" t="s">
        <v>279</v>
      </c>
      <c r="X3955" t="s">
        <v>161</v>
      </c>
      <c r="Y3955" t="s">
        <v>2272</v>
      </c>
      <c r="Z3955" t="s">
        <v>2272</v>
      </c>
      <c r="AA3955" t="s">
        <v>2272</v>
      </c>
      <c r="AB3955" t="s">
        <v>2272</v>
      </c>
      <c r="AC3955" t="s">
        <v>162</v>
      </c>
      <c r="AD3955" t="s">
        <v>2272</v>
      </c>
      <c r="AG3955" t="s">
        <v>49</v>
      </c>
      <c r="AK3955" t="s">
        <v>49</v>
      </c>
      <c r="AM3955" t="s">
        <v>2052</v>
      </c>
      <c r="AN3955" t="s">
        <v>166</v>
      </c>
      <c r="AQ3955" s="5">
        <v>1</v>
      </c>
    </row>
    <row r="3956" spans="1:43" x14ac:dyDescent="0.2">
      <c r="A3956" t="s">
        <v>2046</v>
      </c>
      <c r="B3956" t="s">
        <v>2047</v>
      </c>
      <c r="C3956">
        <v>2007</v>
      </c>
      <c r="D3956" t="s">
        <v>811</v>
      </c>
      <c r="F3956" t="s">
        <v>81</v>
      </c>
      <c r="G3956" s="1" t="s">
        <v>91</v>
      </c>
      <c r="H3956" t="s">
        <v>96</v>
      </c>
      <c r="I3956">
        <v>2004</v>
      </c>
      <c r="K3956" t="s">
        <v>101</v>
      </c>
      <c r="L3956">
        <v>0.12</v>
      </c>
      <c r="M3956">
        <v>0.25</v>
      </c>
      <c r="N3956" t="s">
        <v>124</v>
      </c>
      <c r="O3956" t="s">
        <v>124</v>
      </c>
      <c r="P3956" t="s">
        <v>279</v>
      </c>
      <c r="Q3956" s="1" t="s">
        <v>2292</v>
      </c>
      <c r="R3956" s="1" t="s">
        <v>124</v>
      </c>
      <c r="S3956" s="1" t="s">
        <v>124</v>
      </c>
      <c r="V3956" t="s">
        <v>194</v>
      </c>
      <c r="W3956" t="s">
        <v>279</v>
      </c>
      <c r="X3956" t="s">
        <v>2057</v>
      </c>
      <c r="Y3956" t="s">
        <v>2279</v>
      </c>
      <c r="Z3956" t="s">
        <v>2361</v>
      </c>
      <c r="AA3956" t="s">
        <v>2362</v>
      </c>
      <c r="AB3956" t="s">
        <v>2296</v>
      </c>
      <c r="AC3956" t="s">
        <v>162</v>
      </c>
      <c r="AD3956" t="s">
        <v>2278</v>
      </c>
      <c r="AG3956" t="s">
        <v>49</v>
      </c>
      <c r="AK3956" t="s">
        <v>49</v>
      </c>
      <c r="AM3956" t="s">
        <v>2053</v>
      </c>
      <c r="AN3956" t="s">
        <v>166</v>
      </c>
      <c r="AP3956" t="s">
        <v>157</v>
      </c>
    </row>
    <row r="3957" spans="1:43" x14ac:dyDescent="0.2">
      <c r="A3957" t="s">
        <v>2046</v>
      </c>
      <c r="B3957" t="s">
        <v>2047</v>
      </c>
      <c r="C3957">
        <v>2007</v>
      </c>
      <c r="D3957" t="s">
        <v>811</v>
      </c>
      <c r="F3957" t="s">
        <v>81</v>
      </c>
      <c r="G3957" s="1" t="s">
        <v>91</v>
      </c>
      <c r="H3957" t="s">
        <v>96</v>
      </c>
      <c r="I3957">
        <v>2004</v>
      </c>
      <c r="K3957" t="s">
        <v>101</v>
      </c>
      <c r="L3957">
        <v>0.12</v>
      </c>
      <c r="M3957">
        <v>0.25</v>
      </c>
      <c r="N3957" t="s">
        <v>124</v>
      </c>
      <c r="O3957" t="s">
        <v>124</v>
      </c>
      <c r="P3957" t="s">
        <v>279</v>
      </c>
      <c r="Q3957" s="1" t="s">
        <v>2292</v>
      </c>
      <c r="R3957" s="1" t="s">
        <v>124</v>
      </c>
      <c r="S3957" s="1" t="s">
        <v>124</v>
      </c>
      <c r="T3957" t="s">
        <v>421</v>
      </c>
      <c r="U3957" t="s">
        <v>421</v>
      </c>
      <c r="V3957" t="s">
        <v>194</v>
      </c>
      <c r="W3957" t="s">
        <v>279</v>
      </c>
      <c r="X3957" t="s">
        <v>161</v>
      </c>
      <c r="Y3957" t="s">
        <v>2272</v>
      </c>
      <c r="Z3957" t="s">
        <v>2272</v>
      </c>
      <c r="AA3957" t="s">
        <v>2272</v>
      </c>
      <c r="AB3957" t="s">
        <v>2272</v>
      </c>
      <c r="AC3957" t="s">
        <v>162</v>
      </c>
      <c r="AD3957" t="s">
        <v>2272</v>
      </c>
      <c r="AG3957" t="s">
        <v>49</v>
      </c>
      <c r="AK3957" t="s">
        <v>49</v>
      </c>
      <c r="AM3957" t="s">
        <v>2053</v>
      </c>
      <c r="AN3957" t="s">
        <v>166</v>
      </c>
      <c r="AQ3957" s="5">
        <v>1</v>
      </c>
    </row>
    <row r="3958" spans="1:43" x14ac:dyDescent="0.2">
      <c r="A3958" t="s">
        <v>2046</v>
      </c>
      <c r="B3958" t="s">
        <v>2047</v>
      </c>
      <c r="C3958">
        <v>2007</v>
      </c>
      <c r="D3958" t="s">
        <v>811</v>
      </c>
      <c r="F3958" t="s">
        <v>81</v>
      </c>
      <c r="G3958" s="1" t="s">
        <v>91</v>
      </c>
      <c r="H3958" t="s">
        <v>96</v>
      </c>
      <c r="I3958">
        <v>2004</v>
      </c>
      <c r="K3958" t="s">
        <v>101</v>
      </c>
      <c r="L3958">
        <v>0.12</v>
      </c>
      <c r="M3958">
        <v>0.25</v>
      </c>
      <c r="N3958" t="s">
        <v>124</v>
      </c>
      <c r="O3958" t="s">
        <v>124</v>
      </c>
      <c r="P3958" t="s">
        <v>279</v>
      </c>
      <c r="Q3958" s="1" t="s">
        <v>2292</v>
      </c>
      <c r="R3958" s="1" t="s">
        <v>124</v>
      </c>
      <c r="S3958" s="1" t="s">
        <v>124</v>
      </c>
      <c r="V3958" t="s">
        <v>194</v>
      </c>
      <c r="W3958" t="s">
        <v>279</v>
      </c>
      <c r="X3958" t="s">
        <v>2057</v>
      </c>
      <c r="Y3958" t="s">
        <v>2279</v>
      </c>
      <c r="Z3958" t="s">
        <v>2361</v>
      </c>
      <c r="AA3958" t="s">
        <v>2362</v>
      </c>
      <c r="AB3958" t="s">
        <v>2296</v>
      </c>
      <c r="AC3958" t="s">
        <v>162</v>
      </c>
      <c r="AD3958" t="s">
        <v>2278</v>
      </c>
      <c r="AG3958" t="s">
        <v>49</v>
      </c>
      <c r="AK3958" t="s">
        <v>49</v>
      </c>
      <c r="AM3958" t="s">
        <v>1451</v>
      </c>
      <c r="AN3958" t="s">
        <v>166</v>
      </c>
      <c r="AP3958" t="s">
        <v>157</v>
      </c>
    </row>
    <row r="3959" spans="1:43" x14ac:dyDescent="0.2">
      <c r="A3959" t="s">
        <v>2046</v>
      </c>
      <c r="B3959" t="s">
        <v>2047</v>
      </c>
      <c r="C3959">
        <v>2007</v>
      </c>
      <c r="D3959" t="s">
        <v>811</v>
      </c>
      <c r="F3959" t="s">
        <v>81</v>
      </c>
      <c r="G3959" s="1" t="s">
        <v>91</v>
      </c>
      <c r="H3959" t="s">
        <v>96</v>
      </c>
      <c r="I3959">
        <v>2004</v>
      </c>
      <c r="K3959" t="s">
        <v>101</v>
      </c>
      <c r="L3959">
        <v>0.12</v>
      </c>
      <c r="M3959">
        <v>0.25</v>
      </c>
      <c r="N3959" t="s">
        <v>124</v>
      </c>
      <c r="O3959" t="s">
        <v>124</v>
      </c>
      <c r="P3959" t="s">
        <v>279</v>
      </c>
      <c r="Q3959" s="1" t="s">
        <v>2292</v>
      </c>
      <c r="R3959" s="1" t="s">
        <v>124</v>
      </c>
      <c r="S3959" s="1" t="s">
        <v>124</v>
      </c>
      <c r="T3959" t="s">
        <v>421</v>
      </c>
      <c r="U3959" t="s">
        <v>421</v>
      </c>
      <c r="V3959" t="s">
        <v>194</v>
      </c>
      <c r="W3959" t="s">
        <v>279</v>
      </c>
      <c r="X3959" t="s">
        <v>161</v>
      </c>
      <c r="Y3959" t="s">
        <v>2272</v>
      </c>
      <c r="Z3959" t="s">
        <v>2272</v>
      </c>
      <c r="AA3959" t="s">
        <v>2272</v>
      </c>
      <c r="AB3959" t="s">
        <v>2272</v>
      </c>
      <c r="AC3959" t="s">
        <v>162</v>
      </c>
      <c r="AD3959" t="s">
        <v>2272</v>
      </c>
      <c r="AG3959" t="s">
        <v>49</v>
      </c>
      <c r="AK3959" t="s">
        <v>49</v>
      </c>
      <c r="AM3959" t="s">
        <v>1451</v>
      </c>
      <c r="AN3959" t="s">
        <v>166</v>
      </c>
      <c r="AQ3959" s="5">
        <v>1</v>
      </c>
    </row>
    <row r="3960" spans="1:43" x14ac:dyDescent="0.2">
      <c r="A3960" t="s">
        <v>2046</v>
      </c>
      <c r="B3960" t="s">
        <v>2047</v>
      </c>
      <c r="C3960">
        <v>2007</v>
      </c>
      <c r="D3960" t="s">
        <v>811</v>
      </c>
      <c r="F3960" t="s">
        <v>81</v>
      </c>
      <c r="G3960" s="1" t="s">
        <v>91</v>
      </c>
      <c r="H3960" t="s">
        <v>96</v>
      </c>
      <c r="I3960">
        <v>2004</v>
      </c>
      <c r="K3960" t="s">
        <v>101</v>
      </c>
      <c r="L3960">
        <v>0.12</v>
      </c>
      <c r="M3960">
        <v>0.25</v>
      </c>
      <c r="N3960" t="s">
        <v>124</v>
      </c>
      <c r="O3960" t="s">
        <v>124</v>
      </c>
      <c r="P3960" t="s">
        <v>279</v>
      </c>
      <c r="Q3960" s="1" t="s">
        <v>2292</v>
      </c>
      <c r="R3960" s="1" t="s">
        <v>124</v>
      </c>
      <c r="S3960" s="1" t="s">
        <v>124</v>
      </c>
      <c r="V3960" t="s">
        <v>194</v>
      </c>
      <c r="W3960" t="s">
        <v>279</v>
      </c>
      <c r="X3960" t="s">
        <v>2057</v>
      </c>
      <c r="Y3960" t="s">
        <v>2279</v>
      </c>
      <c r="Z3960" t="s">
        <v>2361</v>
      </c>
      <c r="AA3960" t="s">
        <v>2362</v>
      </c>
      <c r="AB3960" t="s">
        <v>2296</v>
      </c>
      <c r="AC3960" t="s">
        <v>162</v>
      </c>
      <c r="AD3960" t="s">
        <v>2278</v>
      </c>
      <c r="AG3960" t="s">
        <v>49</v>
      </c>
      <c r="AK3960" t="s">
        <v>49</v>
      </c>
      <c r="AM3960" t="s">
        <v>2054</v>
      </c>
      <c r="AN3960" t="s">
        <v>166</v>
      </c>
      <c r="AP3960" t="s">
        <v>173</v>
      </c>
    </row>
    <row r="3961" spans="1:43" x14ac:dyDescent="0.2">
      <c r="A3961" t="s">
        <v>2046</v>
      </c>
      <c r="B3961" t="s">
        <v>2047</v>
      </c>
      <c r="C3961">
        <v>2007</v>
      </c>
      <c r="D3961" t="s">
        <v>811</v>
      </c>
      <c r="F3961" t="s">
        <v>81</v>
      </c>
      <c r="G3961" s="1" t="s">
        <v>91</v>
      </c>
      <c r="H3961" t="s">
        <v>96</v>
      </c>
      <c r="I3961">
        <v>2004</v>
      </c>
      <c r="K3961" t="s">
        <v>101</v>
      </c>
      <c r="L3961">
        <v>0.12</v>
      </c>
      <c r="M3961">
        <v>0.25</v>
      </c>
      <c r="N3961" t="s">
        <v>124</v>
      </c>
      <c r="O3961" t="s">
        <v>124</v>
      </c>
      <c r="P3961" t="s">
        <v>279</v>
      </c>
      <c r="Q3961" s="1" t="s">
        <v>2292</v>
      </c>
      <c r="R3961" s="1" t="s">
        <v>124</v>
      </c>
      <c r="S3961" s="1" t="s">
        <v>124</v>
      </c>
      <c r="T3961" t="s">
        <v>421</v>
      </c>
      <c r="U3961" t="s">
        <v>421</v>
      </c>
      <c r="V3961" t="s">
        <v>194</v>
      </c>
      <c r="W3961" t="s">
        <v>279</v>
      </c>
      <c r="X3961" t="s">
        <v>161</v>
      </c>
      <c r="Y3961" t="s">
        <v>2272</v>
      </c>
      <c r="Z3961" t="s">
        <v>2272</v>
      </c>
      <c r="AA3961" t="s">
        <v>2272</v>
      </c>
      <c r="AB3961" t="s">
        <v>2272</v>
      </c>
      <c r="AC3961" t="s">
        <v>162</v>
      </c>
      <c r="AD3961" t="s">
        <v>2272</v>
      </c>
      <c r="AG3961" t="s">
        <v>49</v>
      </c>
      <c r="AK3961" t="s">
        <v>49</v>
      </c>
      <c r="AM3961" t="s">
        <v>2054</v>
      </c>
      <c r="AN3961" t="s">
        <v>166</v>
      </c>
      <c r="AQ3961" s="5">
        <v>0</v>
      </c>
    </row>
    <row r="3962" spans="1:43" x14ac:dyDescent="0.2">
      <c r="A3962" t="s">
        <v>2046</v>
      </c>
      <c r="B3962" t="s">
        <v>2047</v>
      </c>
      <c r="C3962">
        <v>2007</v>
      </c>
      <c r="D3962" t="s">
        <v>811</v>
      </c>
      <c r="F3962" t="s">
        <v>81</v>
      </c>
      <c r="G3962" s="1" t="s">
        <v>91</v>
      </c>
      <c r="H3962" t="s">
        <v>96</v>
      </c>
      <c r="I3962">
        <v>2004</v>
      </c>
      <c r="K3962" t="s">
        <v>101</v>
      </c>
      <c r="L3962">
        <v>0.12</v>
      </c>
      <c r="M3962">
        <v>0.25</v>
      </c>
      <c r="N3962" t="s">
        <v>124</v>
      </c>
      <c r="O3962" t="s">
        <v>124</v>
      </c>
      <c r="P3962" t="s">
        <v>279</v>
      </c>
      <c r="Q3962" s="1" t="s">
        <v>2292</v>
      </c>
      <c r="R3962" s="1" t="s">
        <v>124</v>
      </c>
      <c r="S3962" s="1" t="s">
        <v>124</v>
      </c>
      <c r="V3962" t="s">
        <v>194</v>
      </c>
      <c r="W3962" t="s">
        <v>279</v>
      </c>
      <c r="X3962" t="s">
        <v>2057</v>
      </c>
      <c r="Y3962" t="s">
        <v>2279</v>
      </c>
      <c r="Z3962" t="s">
        <v>2361</v>
      </c>
      <c r="AA3962" t="s">
        <v>2362</v>
      </c>
      <c r="AB3962" t="s">
        <v>2296</v>
      </c>
      <c r="AC3962" t="s">
        <v>162</v>
      </c>
      <c r="AD3962" t="s">
        <v>2278</v>
      </c>
      <c r="AG3962" t="s">
        <v>49</v>
      </c>
      <c r="AK3962" t="s">
        <v>49</v>
      </c>
      <c r="AM3962" t="s">
        <v>2055</v>
      </c>
      <c r="AN3962" t="s">
        <v>166</v>
      </c>
      <c r="AP3962" t="s">
        <v>157</v>
      </c>
    </row>
    <row r="3963" spans="1:43" x14ac:dyDescent="0.2">
      <c r="A3963" t="s">
        <v>2046</v>
      </c>
      <c r="B3963" t="s">
        <v>2047</v>
      </c>
      <c r="C3963">
        <v>2007</v>
      </c>
      <c r="D3963" t="s">
        <v>811</v>
      </c>
      <c r="F3963" t="s">
        <v>81</v>
      </c>
      <c r="G3963" s="1" t="s">
        <v>91</v>
      </c>
      <c r="H3963" t="s">
        <v>96</v>
      </c>
      <c r="I3963">
        <v>2004</v>
      </c>
      <c r="K3963" t="s">
        <v>101</v>
      </c>
      <c r="L3963">
        <v>0.12</v>
      </c>
      <c r="M3963">
        <v>0.25</v>
      </c>
      <c r="N3963" t="s">
        <v>124</v>
      </c>
      <c r="O3963" t="s">
        <v>124</v>
      </c>
      <c r="P3963" t="s">
        <v>279</v>
      </c>
      <c r="Q3963" s="1" t="s">
        <v>2292</v>
      </c>
      <c r="R3963" s="1" t="s">
        <v>124</v>
      </c>
      <c r="S3963" s="1" t="s">
        <v>124</v>
      </c>
      <c r="T3963" t="s">
        <v>421</v>
      </c>
      <c r="U3963" t="s">
        <v>421</v>
      </c>
      <c r="V3963" t="s">
        <v>194</v>
      </c>
      <c r="W3963" t="s">
        <v>279</v>
      </c>
      <c r="X3963" t="s">
        <v>161</v>
      </c>
      <c r="Y3963" t="s">
        <v>2272</v>
      </c>
      <c r="Z3963" t="s">
        <v>2272</v>
      </c>
      <c r="AA3963" t="s">
        <v>2272</v>
      </c>
      <c r="AB3963" t="s">
        <v>2272</v>
      </c>
      <c r="AC3963" t="s">
        <v>162</v>
      </c>
      <c r="AD3963" t="s">
        <v>2272</v>
      </c>
      <c r="AG3963" t="s">
        <v>49</v>
      </c>
      <c r="AK3963" t="s">
        <v>49</v>
      </c>
      <c r="AM3963" t="s">
        <v>2055</v>
      </c>
      <c r="AN3963" t="s">
        <v>166</v>
      </c>
      <c r="AQ3963" s="5">
        <v>1</v>
      </c>
    </row>
    <row r="3964" spans="1:43" x14ac:dyDescent="0.2">
      <c r="A3964" t="s">
        <v>2046</v>
      </c>
      <c r="B3964" t="s">
        <v>2047</v>
      </c>
      <c r="C3964">
        <v>2007</v>
      </c>
      <c r="D3964" t="s">
        <v>811</v>
      </c>
      <c r="F3964" t="s">
        <v>81</v>
      </c>
      <c r="G3964" s="1" t="s">
        <v>91</v>
      </c>
      <c r="H3964" t="s">
        <v>96</v>
      </c>
      <c r="I3964">
        <v>2004</v>
      </c>
      <c r="K3964" t="s">
        <v>101</v>
      </c>
      <c r="L3964">
        <v>0.12</v>
      </c>
      <c r="M3964">
        <v>0.25</v>
      </c>
      <c r="N3964" t="s">
        <v>124</v>
      </c>
      <c r="O3964" t="s">
        <v>124</v>
      </c>
      <c r="P3964" t="s">
        <v>279</v>
      </c>
      <c r="Q3964" s="1" t="s">
        <v>2292</v>
      </c>
      <c r="R3964" s="1" t="s">
        <v>124</v>
      </c>
      <c r="S3964" s="1" t="s">
        <v>124</v>
      </c>
      <c r="V3964" t="s">
        <v>194</v>
      </c>
      <c r="W3964" t="s">
        <v>279</v>
      </c>
      <c r="X3964" t="s">
        <v>2057</v>
      </c>
      <c r="Y3964" t="s">
        <v>2279</v>
      </c>
      <c r="Z3964" t="s">
        <v>2361</v>
      </c>
      <c r="AA3964" t="s">
        <v>2362</v>
      </c>
      <c r="AB3964" t="s">
        <v>2296</v>
      </c>
      <c r="AC3964" t="s">
        <v>162</v>
      </c>
      <c r="AD3964" t="s">
        <v>2278</v>
      </c>
      <c r="AG3964" t="s">
        <v>49</v>
      </c>
      <c r="AI3964" t="s">
        <v>49</v>
      </c>
      <c r="AM3964" t="s">
        <v>202</v>
      </c>
      <c r="AN3964" t="s">
        <v>154</v>
      </c>
      <c r="AP3964" t="s">
        <v>157</v>
      </c>
    </row>
    <row r="3965" spans="1:43" x14ac:dyDescent="0.2">
      <c r="A3965" t="s">
        <v>2046</v>
      </c>
      <c r="B3965" t="s">
        <v>2047</v>
      </c>
      <c r="C3965">
        <v>2007</v>
      </c>
      <c r="D3965" t="s">
        <v>811</v>
      </c>
      <c r="F3965" t="s">
        <v>81</v>
      </c>
      <c r="G3965" s="1" t="s">
        <v>91</v>
      </c>
      <c r="H3965" t="s">
        <v>96</v>
      </c>
      <c r="I3965">
        <v>2004</v>
      </c>
      <c r="K3965" t="s">
        <v>101</v>
      </c>
      <c r="L3965">
        <v>0.12</v>
      </c>
      <c r="M3965">
        <v>0.25</v>
      </c>
      <c r="N3965" t="s">
        <v>124</v>
      </c>
      <c r="O3965" t="s">
        <v>124</v>
      </c>
      <c r="P3965" t="s">
        <v>279</v>
      </c>
      <c r="Q3965" s="1" t="s">
        <v>2292</v>
      </c>
      <c r="R3965" s="1" t="s">
        <v>124</v>
      </c>
      <c r="S3965" s="1" t="s">
        <v>124</v>
      </c>
      <c r="T3965" t="s">
        <v>421</v>
      </c>
      <c r="U3965" t="s">
        <v>421</v>
      </c>
      <c r="V3965" t="s">
        <v>194</v>
      </c>
      <c r="W3965" t="s">
        <v>279</v>
      </c>
      <c r="X3965" t="s">
        <v>161</v>
      </c>
      <c r="Y3965" t="s">
        <v>2272</v>
      </c>
      <c r="Z3965" t="s">
        <v>2272</v>
      </c>
      <c r="AA3965" t="s">
        <v>2272</v>
      </c>
      <c r="AB3965" t="s">
        <v>2272</v>
      </c>
      <c r="AC3965" t="s">
        <v>162</v>
      </c>
      <c r="AD3965" t="s">
        <v>2272</v>
      </c>
      <c r="AG3965" t="s">
        <v>49</v>
      </c>
      <c r="AI3965" t="s">
        <v>49</v>
      </c>
      <c r="AM3965" t="s">
        <v>202</v>
      </c>
      <c r="AN3965" t="s">
        <v>154</v>
      </c>
      <c r="AQ3965" s="5">
        <v>1</v>
      </c>
    </row>
    <row r="3966" spans="1:43" x14ac:dyDescent="0.2">
      <c r="A3966" t="s">
        <v>2046</v>
      </c>
      <c r="B3966" t="s">
        <v>2047</v>
      </c>
      <c r="C3966">
        <v>2007</v>
      </c>
      <c r="D3966" t="s">
        <v>811</v>
      </c>
      <c r="F3966" t="s">
        <v>81</v>
      </c>
      <c r="G3966" s="1" t="s">
        <v>91</v>
      </c>
      <c r="H3966" t="s">
        <v>96</v>
      </c>
      <c r="I3966">
        <v>2004</v>
      </c>
      <c r="K3966" t="s">
        <v>101</v>
      </c>
      <c r="L3966">
        <v>0.12</v>
      </c>
      <c r="M3966">
        <v>0.25</v>
      </c>
      <c r="N3966" t="s">
        <v>124</v>
      </c>
      <c r="O3966" t="s">
        <v>124</v>
      </c>
      <c r="P3966" t="s">
        <v>279</v>
      </c>
      <c r="Q3966" s="1" t="s">
        <v>2292</v>
      </c>
      <c r="R3966" s="1" t="s">
        <v>124</v>
      </c>
      <c r="S3966" s="1" t="s">
        <v>124</v>
      </c>
      <c r="V3966" t="s">
        <v>194</v>
      </c>
      <c r="W3966" t="s">
        <v>279</v>
      </c>
      <c r="X3966" t="s">
        <v>2057</v>
      </c>
      <c r="Y3966" t="s">
        <v>2279</v>
      </c>
      <c r="Z3966" t="s">
        <v>2361</v>
      </c>
      <c r="AA3966" t="s">
        <v>2362</v>
      </c>
      <c r="AB3966" t="s">
        <v>2296</v>
      </c>
      <c r="AC3966" t="s">
        <v>162</v>
      </c>
      <c r="AD3966" t="s">
        <v>2278</v>
      </c>
      <c r="AG3966" t="s">
        <v>49</v>
      </c>
      <c r="AJ3966" t="s">
        <v>49</v>
      </c>
      <c r="AM3966" t="s">
        <v>2059</v>
      </c>
      <c r="AN3966" t="s">
        <v>166</v>
      </c>
      <c r="AP3966" t="s">
        <v>157</v>
      </c>
    </row>
    <row r="3967" spans="1:43" x14ac:dyDescent="0.2">
      <c r="A3967" t="s">
        <v>2046</v>
      </c>
      <c r="B3967" t="s">
        <v>2047</v>
      </c>
      <c r="C3967">
        <v>2007</v>
      </c>
      <c r="D3967" t="s">
        <v>811</v>
      </c>
      <c r="F3967" t="s">
        <v>81</v>
      </c>
      <c r="G3967" s="1" t="s">
        <v>91</v>
      </c>
      <c r="H3967" t="s">
        <v>96</v>
      </c>
      <c r="I3967">
        <v>2004</v>
      </c>
      <c r="K3967" t="s">
        <v>101</v>
      </c>
      <c r="L3967">
        <v>0.12</v>
      </c>
      <c r="M3967">
        <v>0.25</v>
      </c>
      <c r="N3967" t="s">
        <v>124</v>
      </c>
      <c r="O3967" t="s">
        <v>124</v>
      </c>
      <c r="P3967" t="s">
        <v>279</v>
      </c>
      <c r="Q3967" s="1" t="s">
        <v>2292</v>
      </c>
      <c r="R3967" s="1" t="s">
        <v>124</v>
      </c>
      <c r="S3967" s="1" t="s">
        <v>124</v>
      </c>
      <c r="T3967" t="s">
        <v>421</v>
      </c>
      <c r="U3967" t="s">
        <v>421</v>
      </c>
      <c r="V3967" t="s">
        <v>194</v>
      </c>
      <c r="W3967" t="s">
        <v>279</v>
      </c>
      <c r="X3967" t="s">
        <v>161</v>
      </c>
      <c r="Y3967" t="s">
        <v>2272</v>
      </c>
      <c r="Z3967" t="s">
        <v>2272</v>
      </c>
      <c r="AA3967" t="s">
        <v>2272</v>
      </c>
      <c r="AB3967" t="s">
        <v>2272</v>
      </c>
      <c r="AC3967" t="s">
        <v>162</v>
      </c>
      <c r="AD3967" t="s">
        <v>2272</v>
      </c>
      <c r="AG3967" t="s">
        <v>49</v>
      </c>
      <c r="AJ3967" t="s">
        <v>49</v>
      </c>
      <c r="AM3967" t="s">
        <v>2059</v>
      </c>
      <c r="AN3967" t="s">
        <v>166</v>
      </c>
      <c r="AQ3967" s="5">
        <v>1</v>
      </c>
    </row>
    <row r="3968" spans="1:43" x14ac:dyDescent="0.2">
      <c r="A3968" t="s">
        <v>2046</v>
      </c>
      <c r="B3968" t="s">
        <v>2047</v>
      </c>
      <c r="C3968">
        <v>2007</v>
      </c>
      <c r="D3968" t="s">
        <v>811</v>
      </c>
      <c r="F3968" t="s">
        <v>81</v>
      </c>
      <c r="G3968" s="1" t="s">
        <v>91</v>
      </c>
      <c r="H3968" t="s">
        <v>96</v>
      </c>
      <c r="I3968">
        <v>2004</v>
      </c>
      <c r="K3968" t="s">
        <v>101</v>
      </c>
      <c r="L3968">
        <v>0.12</v>
      </c>
      <c r="M3968">
        <v>0.25</v>
      </c>
      <c r="N3968" t="s">
        <v>124</v>
      </c>
      <c r="O3968" t="s">
        <v>124</v>
      </c>
      <c r="P3968" t="s">
        <v>279</v>
      </c>
      <c r="Q3968" s="1" t="s">
        <v>2292</v>
      </c>
      <c r="R3968" s="1" t="s">
        <v>124</v>
      </c>
      <c r="S3968" s="1" t="s">
        <v>124</v>
      </c>
      <c r="V3968" t="s">
        <v>194</v>
      </c>
      <c r="W3968" t="s">
        <v>279</v>
      </c>
      <c r="X3968" t="s">
        <v>2057</v>
      </c>
      <c r="Y3968" t="s">
        <v>2279</v>
      </c>
      <c r="Z3968" t="s">
        <v>2361</v>
      </c>
      <c r="AA3968" t="s">
        <v>2362</v>
      </c>
      <c r="AB3968" t="s">
        <v>2296</v>
      </c>
      <c r="AC3968" t="s">
        <v>162</v>
      </c>
      <c r="AD3968" t="s">
        <v>2278</v>
      </c>
      <c r="AG3968" t="s">
        <v>49</v>
      </c>
      <c r="AJ3968" t="s">
        <v>49</v>
      </c>
      <c r="AM3968" t="s">
        <v>2060</v>
      </c>
      <c r="AN3968" t="s">
        <v>166</v>
      </c>
      <c r="AP3968" t="s">
        <v>173</v>
      </c>
    </row>
    <row r="3969" spans="1:43" x14ac:dyDescent="0.2">
      <c r="A3969" t="s">
        <v>2046</v>
      </c>
      <c r="B3969" t="s">
        <v>2047</v>
      </c>
      <c r="C3969">
        <v>2007</v>
      </c>
      <c r="D3969" t="s">
        <v>811</v>
      </c>
      <c r="F3969" t="s">
        <v>81</v>
      </c>
      <c r="G3969" s="1" t="s">
        <v>91</v>
      </c>
      <c r="H3969" t="s">
        <v>96</v>
      </c>
      <c r="I3969">
        <v>2004</v>
      </c>
      <c r="K3969" t="s">
        <v>101</v>
      </c>
      <c r="L3969">
        <v>0.12</v>
      </c>
      <c r="M3969">
        <v>0.25</v>
      </c>
      <c r="N3969" t="s">
        <v>124</v>
      </c>
      <c r="O3969" t="s">
        <v>124</v>
      </c>
      <c r="P3969" t="s">
        <v>279</v>
      </c>
      <c r="Q3969" s="1" t="s">
        <v>2292</v>
      </c>
      <c r="R3969" s="1" t="s">
        <v>124</v>
      </c>
      <c r="S3969" s="1" t="s">
        <v>124</v>
      </c>
      <c r="T3969" t="s">
        <v>421</v>
      </c>
      <c r="U3969" t="s">
        <v>421</v>
      </c>
      <c r="V3969" t="s">
        <v>194</v>
      </c>
      <c r="W3969" t="s">
        <v>279</v>
      </c>
      <c r="X3969" t="s">
        <v>161</v>
      </c>
      <c r="Y3969" t="s">
        <v>2272</v>
      </c>
      <c r="Z3969" t="s">
        <v>2272</v>
      </c>
      <c r="AA3969" t="s">
        <v>2272</v>
      </c>
      <c r="AB3969" t="s">
        <v>2272</v>
      </c>
      <c r="AC3969" t="s">
        <v>162</v>
      </c>
      <c r="AD3969" t="s">
        <v>2272</v>
      </c>
      <c r="AG3969" t="s">
        <v>49</v>
      </c>
      <c r="AJ3969" t="s">
        <v>49</v>
      </c>
      <c r="AM3969" t="s">
        <v>2060</v>
      </c>
      <c r="AN3969" t="s">
        <v>166</v>
      </c>
      <c r="AQ3969" s="5">
        <v>2</v>
      </c>
    </row>
    <row r="3970" spans="1:43" x14ac:dyDescent="0.2">
      <c r="A3970" t="s">
        <v>2046</v>
      </c>
      <c r="B3970" t="s">
        <v>2047</v>
      </c>
      <c r="C3970">
        <v>2007</v>
      </c>
      <c r="D3970" t="s">
        <v>811</v>
      </c>
      <c r="F3970" t="s">
        <v>81</v>
      </c>
      <c r="G3970" s="1" t="s">
        <v>91</v>
      </c>
      <c r="H3970" t="s">
        <v>96</v>
      </c>
      <c r="I3970">
        <v>2004</v>
      </c>
      <c r="K3970" t="s">
        <v>101</v>
      </c>
      <c r="L3970">
        <v>0.12</v>
      </c>
      <c r="M3970">
        <v>0.25</v>
      </c>
      <c r="N3970" t="s">
        <v>124</v>
      </c>
      <c r="O3970" t="s">
        <v>124</v>
      </c>
      <c r="P3970" t="s">
        <v>279</v>
      </c>
      <c r="Q3970" s="1" t="s">
        <v>2292</v>
      </c>
      <c r="R3970" s="1" t="s">
        <v>124</v>
      </c>
      <c r="S3970" s="1" t="s">
        <v>124</v>
      </c>
      <c r="V3970" t="s">
        <v>194</v>
      </c>
      <c r="W3970" t="s">
        <v>279</v>
      </c>
      <c r="X3970" t="s">
        <v>2057</v>
      </c>
      <c r="Y3970" t="s">
        <v>2279</v>
      </c>
      <c r="Z3970" t="s">
        <v>2361</v>
      </c>
      <c r="AA3970" t="s">
        <v>2362</v>
      </c>
      <c r="AB3970" t="s">
        <v>2296</v>
      </c>
      <c r="AC3970" t="s">
        <v>162</v>
      </c>
      <c r="AD3970" t="s">
        <v>2278</v>
      </c>
      <c r="AG3970" t="s">
        <v>49</v>
      </c>
      <c r="AJ3970" t="s">
        <v>49</v>
      </c>
      <c r="AM3970" t="s">
        <v>2060</v>
      </c>
      <c r="AN3970" t="s">
        <v>166</v>
      </c>
      <c r="AP3970" t="s">
        <v>49</v>
      </c>
    </row>
    <row r="3971" spans="1:43" x14ac:dyDescent="0.2">
      <c r="A3971" t="s">
        <v>2046</v>
      </c>
      <c r="B3971" t="s">
        <v>2047</v>
      </c>
      <c r="C3971">
        <v>2007</v>
      </c>
      <c r="D3971" t="s">
        <v>811</v>
      </c>
      <c r="F3971" t="s">
        <v>81</v>
      </c>
      <c r="G3971" s="1" t="s">
        <v>91</v>
      </c>
      <c r="H3971" t="s">
        <v>96</v>
      </c>
      <c r="I3971">
        <v>2004</v>
      </c>
      <c r="K3971" t="s">
        <v>101</v>
      </c>
      <c r="L3971">
        <v>0.12</v>
      </c>
      <c r="M3971">
        <v>0.25</v>
      </c>
      <c r="N3971" t="s">
        <v>124</v>
      </c>
      <c r="O3971" t="s">
        <v>124</v>
      </c>
      <c r="P3971" t="s">
        <v>279</v>
      </c>
      <c r="Q3971" s="1" t="s">
        <v>2292</v>
      </c>
      <c r="R3971" s="1" t="s">
        <v>124</v>
      </c>
      <c r="S3971" s="1" t="s">
        <v>124</v>
      </c>
      <c r="T3971" t="s">
        <v>421</v>
      </c>
      <c r="U3971" t="s">
        <v>421</v>
      </c>
      <c r="V3971" t="s">
        <v>194</v>
      </c>
      <c r="W3971" t="s">
        <v>279</v>
      </c>
      <c r="X3971" t="s">
        <v>161</v>
      </c>
      <c r="Y3971" t="s">
        <v>2272</v>
      </c>
      <c r="Z3971" t="s">
        <v>2272</v>
      </c>
      <c r="AA3971" t="s">
        <v>2272</v>
      </c>
      <c r="AB3971" t="s">
        <v>2272</v>
      </c>
      <c r="AC3971" t="s">
        <v>162</v>
      </c>
      <c r="AD3971" t="s">
        <v>2272</v>
      </c>
      <c r="AG3971" t="s">
        <v>49</v>
      </c>
      <c r="AJ3971" t="s">
        <v>49</v>
      </c>
      <c r="AM3971" t="s">
        <v>2060</v>
      </c>
      <c r="AN3971" t="s">
        <v>166</v>
      </c>
      <c r="AQ3971" s="5">
        <v>1</v>
      </c>
    </row>
    <row r="3972" spans="1:43" x14ac:dyDescent="0.2">
      <c r="A3972" t="s">
        <v>2061</v>
      </c>
      <c r="B3972" t="s">
        <v>2062</v>
      </c>
      <c r="C3972">
        <v>2007</v>
      </c>
      <c r="D3972" t="s">
        <v>44</v>
      </c>
      <c r="F3972" t="s">
        <v>81</v>
      </c>
      <c r="G3972" s="1" t="s">
        <v>91</v>
      </c>
      <c r="H3972" t="s">
        <v>96</v>
      </c>
      <c r="I3972">
        <v>2002</v>
      </c>
      <c r="J3972">
        <v>1</v>
      </c>
      <c r="K3972" t="s">
        <v>102</v>
      </c>
      <c r="M3972">
        <v>7.9000000000000008E-3</v>
      </c>
      <c r="N3972" t="s">
        <v>124</v>
      </c>
      <c r="O3972" t="s">
        <v>124</v>
      </c>
      <c r="P3972" t="s">
        <v>2063</v>
      </c>
      <c r="Q3972" s="1" t="s">
        <v>2292</v>
      </c>
      <c r="R3972" s="1" t="s">
        <v>124</v>
      </c>
      <c r="S3972" s="1" t="s">
        <v>124</v>
      </c>
      <c r="T3972" t="s">
        <v>396</v>
      </c>
      <c r="U3972" s="1" t="s">
        <v>124</v>
      </c>
      <c r="V3972" t="s">
        <v>194</v>
      </c>
      <c r="W3972" t="s">
        <v>279</v>
      </c>
      <c r="X3972" t="s">
        <v>161</v>
      </c>
      <c r="Y3972" t="s">
        <v>2272</v>
      </c>
      <c r="Z3972" t="s">
        <v>2272</v>
      </c>
      <c r="AA3972" t="s">
        <v>2272</v>
      </c>
      <c r="AB3972" t="s">
        <v>2272</v>
      </c>
      <c r="AC3972" t="s">
        <v>162</v>
      </c>
      <c r="AD3972" t="s">
        <v>2272</v>
      </c>
      <c r="AG3972" t="s">
        <v>49</v>
      </c>
      <c r="AL3972" t="s">
        <v>49</v>
      </c>
      <c r="AM3972" t="s">
        <v>2064</v>
      </c>
      <c r="AN3972" t="s">
        <v>166</v>
      </c>
      <c r="AQ3972" s="5">
        <v>0</v>
      </c>
    </row>
    <row r="3973" spans="1:43" x14ac:dyDescent="0.2">
      <c r="A3973" t="s">
        <v>2061</v>
      </c>
      <c r="B3973" t="s">
        <v>2062</v>
      </c>
      <c r="C3973">
        <v>2007</v>
      </c>
      <c r="D3973" t="s">
        <v>44</v>
      </c>
      <c r="F3973" t="s">
        <v>81</v>
      </c>
      <c r="G3973" s="1" t="s">
        <v>91</v>
      </c>
      <c r="H3973" t="s">
        <v>96</v>
      </c>
      <c r="I3973">
        <v>2002</v>
      </c>
      <c r="J3973">
        <v>1</v>
      </c>
      <c r="K3973" t="s">
        <v>102</v>
      </c>
      <c r="M3973">
        <v>7.9000000000000008E-3</v>
      </c>
      <c r="N3973" t="s">
        <v>124</v>
      </c>
      <c r="O3973" t="s">
        <v>124</v>
      </c>
      <c r="P3973" t="s">
        <v>279</v>
      </c>
      <c r="Q3973" s="1" t="s">
        <v>2292</v>
      </c>
      <c r="R3973" s="1" t="s">
        <v>124</v>
      </c>
      <c r="S3973" s="1" t="s">
        <v>124</v>
      </c>
      <c r="T3973" t="s">
        <v>396</v>
      </c>
      <c r="U3973" s="1" t="s">
        <v>124</v>
      </c>
      <c r="V3973" t="s">
        <v>194</v>
      </c>
      <c r="W3973" t="s">
        <v>279</v>
      </c>
      <c r="X3973" t="s">
        <v>161</v>
      </c>
      <c r="Y3973" t="s">
        <v>2272</v>
      </c>
      <c r="Z3973" t="s">
        <v>2272</v>
      </c>
      <c r="AA3973" t="s">
        <v>2272</v>
      </c>
      <c r="AB3973" t="s">
        <v>2272</v>
      </c>
      <c r="AC3973" t="s">
        <v>162</v>
      </c>
      <c r="AD3973" t="s">
        <v>2272</v>
      </c>
      <c r="AG3973" t="s">
        <v>49</v>
      </c>
      <c r="AL3973" t="s">
        <v>49</v>
      </c>
      <c r="AM3973" t="s">
        <v>2064</v>
      </c>
      <c r="AN3973" t="s">
        <v>166</v>
      </c>
      <c r="AQ3973" s="5">
        <v>0</v>
      </c>
    </row>
    <row r="3974" spans="1:43" x14ac:dyDescent="0.2">
      <c r="A3974" t="s">
        <v>2061</v>
      </c>
      <c r="B3974" t="s">
        <v>2062</v>
      </c>
      <c r="C3974">
        <v>2007</v>
      </c>
      <c r="D3974" t="s">
        <v>44</v>
      </c>
      <c r="F3974" t="s">
        <v>81</v>
      </c>
      <c r="G3974" s="1" t="s">
        <v>91</v>
      </c>
      <c r="H3974" t="s">
        <v>96</v>
      </c>
      <c r="I3974">
        <v>2002</v>
      </c>
      <c r="J3974">
        <v>1</v>
      </c>
      <c r="K3974" t="s">
        <v>102</v>
      </c>
      <c r="M3974">
        <v>7.9000000000000008E-3</v>
      </c>
      <c r="N3974" t="s">
        <v>124</v>
      </c>
      <c r="O3974" t="s">
        <v>124</v>
      </c>
      <c r="P3974" t="s">
        <v>2063</v>
      </c>
      <c r="Q3974" s="1" t="s">
        <v>2292</v>
      </c>
      <c r="R3974" s="1" t="s">
        <v>124</v>
      </c>
      <c r="S3974" s="1" t="s">
        <v>124</v>
      </c>
      <c r="T3974" t="s">
        <v>396</v>
      </c>
      <c r="U3974" s="1" t="s">
        <v>124</v>
      </c>
      <c r="V3974" t="s">
        <v>194</v>
      </c>
      <c r="W3974" t="s">
        <v>279</v>
      </c>
      <c r="X3974" t="s">
        <v>161</v>
      </c>
      <c r="Y3974" t="s">
        <v>2272</v>
      </c>
      <c r="Z3974" t="s">
        <v>2272</v>
      </c>
      <c r="AA3974" t="s">
        <v>2272</v>
      </c>
      <c r="AB3974" t="s">
        <v>2272</v>
      </c>
      <c r="AC3974" t="s">
        <v>162</v>
      </c>
      <c r="AD3974" t="s">
        <v>2272</v>
      </c>
      <c r="AG3974" t="s">
        <v>49</v>
      </c>
      <c r="AL3974" t="s">
        <v>49</v>
      </c>
      <c r="AM3974" t="s">
        <v>2064</v>
      </c>
      <c r="AN3974" t="s">
        <v>166</v>
      </c>
      <c r="AQ3974" s="5">
        <v>2</v>
      </c>
    </row>
    <row r="3975" spans="1:43" x14ac:dyDescent="0.2">
      <c r="A3975" t="s">
        <v>2061</v>
      </c>
      <c r="B3975" t="s">
        <v>2062</v>
      </c>
      <c r="C3975">
        <v>2007</v>
      </c>
      <c r="D3975" t="s">
        <v>44</v>
      </c>
      <c r="F3975" t="s">
        <v>81</v>
      </c>
      <c r="G3975" s="1" t="s">
        <v>91</v>
      </c>
      <c r="H3975" t="s">
        <v>96</v>
      </c>
      <c r="I3975">
        <v>2002</v>
      </c>
      <c r="J3975">
        <v>1</v>
      </c>
      <c r="K3975" t="s">
        <v>102</v>
      </c>
      <c r="M3975">
        <v>7.9000000000000008E-3</v>
      </c>
      <c r="N3975" t="s">
        <v>124</v>
      </c>
      <c r="O3975" t="s">
        <v>124</v>
      </c>
      <c r="P3975" t="s">
        <v>279</v>
      </c>
      <c r="Q3975" s="1" t="s">
        <v>2292</v>
      </c>
      <c r="R3975" s="1" t="s">
        <v>124</v>
      </c>
      <c r="S3975" s="1" t="s">
        <v>124</v>
      </c>
      <c r="T3975" t="s">
        <v>396</v>
      </c>
      <c r="U3975" s="1" t="s">
        <v>124</v>
      </c>
      <c r="V3975" t="s">
        <v>194</v>
      </c>
      <c r="W3975" t="s">
        <v>279</v>
      </c>
      <c r="X3975" t="s">
        <v>161</v>
      </c>
      <c r="Y3975" t="s">
        <v>2272</v>
      </c>
      <c r="Z3975" t="s">
        <v>2272</v>
      </c>
      <c r="AA3975" t="s">
        <v>2272</v>
      </c>
      <c r="AB3975" t="s">
        <v>2272</v>
      </c>
      <c r="AC3975" t="s">
        <v>162</v>
      </c>
      <c r="AD3975" t="s">
        <v>2272</v>
      </c>
      <c r="AG3975" t="s">
        <v>49</v>
      </c>
      <c r="AL3975" t="s">
        <v>49</v>
      </c>
      <c r="AM3975" t="s">
        <v>2064</v>
      </c>
      <c r="AN3975" t="s">
        <v>166</v>
      </c>
      <c r="AQ3975" s="5">
        <v>2</v>
      </c>
    </row>
    <row r="3976" spans="1:43" x14ac:dyDescent="0.2">
      <c r="A3976" t="s">
        <v>2061</v>
      </c>
      <c r="B3976" t="s">
        <v>2062</v>
      </c>
      <c r="C3976">
        <v>2007</v>
      </c>
      <c r="D3976" t="s">
        <v>811</v>
      </c>
      <c r="F3976" t="s">
        <v>81</v>
      </c>
      <c r="G3976" s="1" t="s">
        <v>91</v>
      </c>
      <c r="H3976" t="s">
        <v>96</v>
      </c>
      <c r="I3976">
        <v>2002</v>
      </c>
      <c r="J3976">
        <v>0.28000000000000003</v>
      </c>
      <c r="K3976" t="s">
        <v>109</v>
      </c>
      <c r="M3976">
        <f t="shared" ref="M3976:M3991" si="90">0.15*0.15</f>
        <v>2.2499999999999999E-2</v>
      </c>
      <c r="N3976" t="s">
        <v>124</v>
      </c>
      <c r="O3976" t="s">
        <v>124</v>
      </c>
      <c r="P3976" t="s">
        <v>2063</v>
      </c>
      <c r="Q3976" s="1" t="s">
        <v>2292</v>
      </c>
      <c r="R3976" s="1" t="s">
        <v>124</v>
      </c>
      <c r="S3976" s="1" t="s">
        <v>124</v>
      </c>
      <c r="T3976" t="s">
        <v>396</v>
      </c>
      <c r="U3976" s="1" t="s">
        <v>124</v>
      </c>
      <c r="V3976" t="s">
        <v>194</v>
      </c>
      <c r="W3976" t="s">
        <v>279</v>
      </c>
      <c r="X3976" t="s">
        <v>161</v>
      </c>
      <c r="Y3976" t="s">
        <v>2272</v>
      </c>
      <c r="Z3976" t="s">
        <v>2272</v>
      </c>
      <c r="AA3976" t="s">
        <v>2272</v>
      </c>
      <c r="AB3976" t="s">
        <v>2272</v>
      </c>
      <c r="AC3976" t="s">
        <v>162</v>
      </c>
      <c r="AD3976" t="s">
        <v>2272</v>
      </c>
      <c r="AG3976" t="s">
        <v>49</v>
      </c>
      <c r="AL3976" t="s">
        <v>49</v>
      </c>
      <c r="AM3976" t="s">
        <v>2064</v>
      </c>
      <c r="AN3976" t="s">
        <v>109</v>
      </c>
      <c r="AO3976" t="s">
        <v>449</v>
      </c>
      <c r="AQ3976" s="5">
        <v>0</v>
      </c>
    </row>
    <row r="3977" spans="1:43" x14ac:dyDescent="0.2">
      <c r="A3977" t="s">
        <v>2061</v>
      </c>
      <c r="B3977" t="s">
        <v>2062</v>
      </c>
      <c r="C3977">
        <v>2007</v>
      </c>
      <c r="D3977" t="s">
        <v>811</v>
      </c>
      <c r="F3977" t="s">
        <v>81</v>
      </c>
      <c r="G3977" s="1" t="s">
        <v>91</v>
      </c>
      <c r="H3977" t="s">
        <v>96</v>
      </c>
      <c r="I3977">
        <v>2002</v>
      </c>
      <c r="J3977">
        <v>0.28000000000000003</v>
      </c>
      <c r="K3977" t="s">
        <v>109</v>
      </c>
      <c r="M3977">
        <f t="shared" si="90"/>
        <v>2.2499999999999999E-2</v>
      </c>
      <c r="N3977" t="s">
        <v>124</v>
      </c>
      <c r="O3977" t="s">
        <v>124</v>
      </c>
      <c r="P3977" t="s">
        <v>279</v>
      </c>
      <c r="Q3977" s="1" t="s">
        <v>2292</v>
      </c>
      <c r="R3977" s="1" t="s">
        <v>124</v>
      </c>
      <c r="S3977" s="1" t="s">
        <v>124</v>
      </c>
      <c r="T3977" t="s">
        <v>396</v>
      </c>
      <c r="U3977" s="1" t="s">
        <v>124</v>
      </c>
      <c r="V3977" t="s">
        <v>194</v>
      </c>
      <c r="W3977" t="s">
        <v>279</v>
      </c>
      <c r="X3977" t="s">
        <v>161</v>
      </c>
      <c r="Y3977" t="s">
        <v>2272</v>
      </c>
      <c r="Z3977" t="s">
        <v>2272</v>
      </c>
      <c r="AA3977" t="s">
        <v>2272</v>
      </c>
      <c r="AB3977" t="s">
        <v>2272</v>
      </c>
      <c r="AC3977" t="s">
        <v>162</v>
      </c>
      <c r="AD3977" t="s">
        <v>2272</v>
      </c>
      <c r="AG3977" t="s">
        <v>49</v>
      </c>
      <c r="AL3977" t="s">
        <v>49</v>
      </c>
      <c r="AM3977" t="s">
        <v>2064</v>
      </c>
      <c r="AN3977" t="s">
        <v>109</v>
      </c>
      <c r="AO3977" t="s">
        <v>449</v>
      </c>
      <c r="AQ3977" s="5">
        <v>0</v>
      </c>
    </row>
    <row r="3978" spans="1:43" x14ac:dyDescent="0.2">
      <c r="A3978" t="s">
        <v>2061</v>
      </c>
      <c r="B3978" t="s">
        <v>2062</v>
      </c>
      <c r="C3978">
        <v>2007</v>
      </c>
      <c r="D3978" t="s">
        <v>811</v>
      </c>
      <c r="F3978" t="s">
        <v>81</v>
      </c>
      <c r="G3978" s="1" t="s">
        <v>91</v>
      </c>
      <c r="H3978" t="s">
        <v>96</v>
      </c>
      <c r="I3978">
        <v>2002</v>
      </c>
      <c r="J3978">
        <v>0.28000000000000003</v>
      </c>
      <c r="K3978" t="s">
        <v>109</v>
      </c>
      <c r="M3978">
        <f t="shared" si="90"/>
        <v>2.2499999999999999E-2</v>
      </c>
      <c r="N3978" t="s">
        <v>124</v>
      </c>
      <c r="O3978" t="s">
        <v>124</v>
      </c>
      <c r="P3978" t="s">
        <v>2063</v>
      </c>
      <c r="Q3978" s="1" t="s">
        <v>2292</v>
      </c>
      <c r="R3978" s="1" t="s">
        <v>124</v>
      </c>
      <c r="S3978" s="1" t="s">
        <v>124</v>
      </c>
      <c r="T3978" t="s">
        <v>421</v>
      </c>
      <c r="U3978" t="s">
        <v>421</v>
      </c>
      <c r="V3978" t="s">
        <v>194</v>
      </c>
      <c r="W3978" t="s">
        <v>279</v>
      </c>
      <c r="X3978" t="s">
        <v>161</v>
      </c>
      <c r="Y3978" t="s">
        <v>2272</v>
      </c>
      <c r="Z3978" t="s">
        <v>2272</v>
      </c>
      <c r="AA3978" t="s">
        <v>2272</v>
      </c>
      <c r="AB3978" t="s">
        <v>2272</v>
      </c>
      <c r="AC3978" t="s">
        <v>162</v>
      </c>
      <c r="AD3978" t="s">
        <v>2272</v>
      </c>
      <c r="AG3978" t="s">
        <v>49</v>
      </c>
      <c r="AL3978" t="s">
        <v>49</v>
      </c>
      <c r="AM3978" t="s">
        <v>2064</v>
      </c>
      <c r="AN3978" t="s">
        <v>109</v>
      </c>
      <c r="AO3978" t="s">
        <v>449</v>
      </c>
      <c r="AQ3978" s="5">
        <v>2</v>
      </c>
    </row>
    <row r="3979" spans="1:43" x14ac:dyDescent="0.2">
      <c r="A3979" t="s">
        <v>2061</v>
      </c>
      <c r="B3979" t="s">
        <v>2062</v>
      </c>
      <c r="C3979">
        <v>2007</v>
      </c>
      <c r="D3979" t="s">
        <v>811</v>
      </c>
      <c r="F3979" t="s">
        <v>81</v>
      </c>
      <c r="G3979" s="1" t="s">
        <v>91</v>
      </c>
      <c r="H3979" t="s">
        <v>96</v>
      </c>
      <c r="I3979">
        <v>2002</v>
      </c>
      <c r="J3979">
        <v>0.28000000000000003</v>
      </c>
      <c r="K3979" t="s">
        <v>109</v>
      </c>
      <c r="M3979">
        <f t="shared" si="90"/>
        <v>2.2499999999999999E-2</v>
      </c>
      <c r="N3979" t="s">
        <v>124</v>
      </c>
      <c r="O3979" t="s">
        <v>124</v>
      </c>
      <c r="P3979" t="s">
        <v>279</v>
      </c>
      <c r="Q3979" s="1" t="s">
        <v>2292</v>
      </c>
      <c r="R3979" s="1" t="s">
        <v>124</v>
      </c>
      <c r="S3979" s="1" t="s">
        <v>124</v>
      </c>
      <c r="T3979" t="s">
        <v>421</v>
      </c>
      <c r="U3979" t="s">
        <v>421</v>
      </c>
      <c r="V3979" t="s">
        <v>194</v>
      </c>
      <c r="W3979" t="s">
        <v>279</v>
      </c>
      <c r="X3979" t="s">
        <v>161</v>
      </c>
      <c r="Y3979" t="s">
        <v>2272</v>
      </c>
      <c r="Z3979" t="s">
        <v>2272</v>
      </c>
      <c r="AA3979" t="s">
        <v>2272</v>
      </c>
      <c r="AB3979" t="s">
        <v>2272</v>
      </c>
      <c r="AC3979" t="s">
        <v>162</v>
      </c>
      <c r="AD3979" t="s">
        <v>2272</v>
      </c>
      <c r="AG3979" t="s">
        <v>49</v>
      </c>
      <c r="AL3979" t="s">
        <v>49</v>
      </c>
      <c r="AM3979" t="s">
        <v>2064</v>
      </c>
      <c r="AN3979" t="s">
        <v>109</v>
      </c>
      <c r="AO3979" t="s">
        <v>449</v>
      </c>
      <c r="AQ3979" s="5">
        <v>2</v>
      </c>
    </row>
    <row r="3980" spans="1:43" x14ac:dyDescent="0.2">
      <c r="A3980" t="s">
        <v>2061</v>
      </c>
      <c r="B3980" t="s">
        <v>2062</v>
      </c>
      <c r="C3980">
        <v>2007</v>
      </c>
      <c r="D3980" t="s">
        <v>811</v>
      </c>
      <c r="F3980" t="s">
        <v>81</v>
      </c>
      <c r="G3980" s="1" t="s">
        <v>91</v>
      </c>
      <c r="H3980" t="s">
        <v>96</v>
      </c>
      <c r="I3980">
        <v>2003</v>
      </c>
      <c r="J3980">
        <v>0.3</v>
      </c>
      <c r="K3980" t="s">
        <v>109</v>
      </c>
      <c r="M3980">
        <f t="shared" si="90"/>
        <v>2.2499999999999999E-2</v>
      </c>
      <c r="N3980" t="s">
        <v>124</v>
      </c>
      <c r="O3980" t="s">
        <v>124</v>
      </c>
      <c r="P3980" t="s">
        <v>2063</v>
      </c>
      <c r="Q3980" s="1" t="s">
        <v>2292</v>
      </c>
      <c r="R3980" s="1" t="s">
        <v>124</v>
      </c>
      <c r="S3980" s="1" t="s">
        <v>124</v>
      </c>
      <c r="T3980" t="s">
        <v>396</v>
      </c>
      <c r="U3980" t="s">
        <v>124</v>
      </c>
      <c r="V3980" t="s">
        <v>194</v>
      </c>
      <c r="W3980" t="s">
        <v>279</v>
      </c>
      <c r="X3980" t="s">
        <v>161</v>
      </c>
      <c r="Y3980" t="s">
        <v>2272</v>
      </c>
      <c r="Z3980" t="s">
        <v>2272</v>
      </c>
      <c r="AA3980" t="s">
        <v>2272</v>
      </c>
      <c r="AB3980" t="s">
        <v>2272</v>
      </c>
      <c r="AC3980" t="s">
        <v>162</v>
      </c>
      <c r="AD3980" t="s">
        <v>2272</v>
      </c>
      <c r="AG3980" t="s">
        <v>49</v>
      </c>
      <c r="AL3980" t="s">
        <v>49</v>
      </c>
      <c r="AM3980" t="s">
        <v>2064</v>
      </c>
      <c r="AN3980" t="s">
        <v>109</v>
      </c>
      <c r="AO3980" t="s">
        <v>449</v>
      </c>
      <c r="AQ3980" s="5">
        <v>2</v>
      </c>
    </row>
    <row r="3981" spans="1:43" x14ac:dyDescent="0.2">
      <c r="A3981" t="s">
        <v>2061</v>
      </c>
      <c r="B3981" t="s">
        <v>2062</v>
      </c>
      <c r="C3981">
        <v>2007</v>
      </c>
      <c r="D3981" t="s">
        <v>811</v>
      </c>
      <c r="F3981" t="s">
        <v>81</v>
      </c>
      <c r="G3981" s="1" t="s">
        <v>91</v>
      </c>
      <c r="H3981" t="s">
        <v>96</v>
      </c>
      <c r="I3981">
        <v>2003</v>
      </c>
      <c r="J3981">
        <v>0.3</v>
      </c>
      <c r="K3981" t="s">
        <v>109</v>
      </c>
      <c r="M3981">
        <f t="shared" si="90"/>
        <v>2.2499999999999999E-2</v>
      </c>
      <c r="N3981" t="s">
        <v>124</v>
      </c>
      <c r="O3981" t="s">
        <v>124</v>
      </c>
      <c r="P3981" t="s">
        <v>279</v>
      </c>
      <c r="Q3981" s="1" t="s">
        <v>2292</v>
      </c>
      <c r="R3981" s="1" t="s">
        <v>124</v>
      </c>
      <c r="S3981" s="1" t="s">
        <v>124</v>
      </c>
      <c r="T3981" t="s">
        <v>396</v>
      </c>
      <c r="U3981" t="s">
        <v>124</v>
      </c>
      <c r="V3981" t="s">
        <v>194</v>
      </c>
      <c r="W3981" t="s">
        <v>279</v>
      </c>
      <c r="X3981" t="s">
        <v>161</v>
      </c>
      <c r="Y3981" t="s">
        <v>2272</v>
      </c>
      <c r="Z3981" t="s">
        <v>2272</v>
      </c>
      <c r="AA3981" t="s">
        <v>2272</v>
      </c>
      <c r="AB3981" t="s">
        <v>2272</v>
      </c>
      <c r="AC3981" t="s">
        <v>162</v>
      </c>
      <c r="AD3981" t="s">
        <v>2272</v>
      </c>
      <c r="AG3981" t="s">
        <v>49</v>
      </c>
      <c r="AL3981" t="s">
        <v>49</v>
      </c>
      <c r="AM3981" t="s">
        <v>2064</v>
      </c>
      <c r="AN3981" t="s">
        <v>109</v>
      </c>
      <c r="AO3981" t="s">
        <v>449</v>
      </c>
      <c r="AQ3981" s="5">
        <v>1</v>
      </c>
    </row>
    <row r="3982" spans="1:43" x14ac:dyDescent="0.2">
      <c r="A3982" t="s">
        <v>2061</v>
      </c>
      <c r="B3982" t="s">
        <v>2062</v>
      </c>
      <c r="C3982">
        <v>2007</v>
      </c>
      <c r="D3982" t="s">
        <v>811</v>
      </c>
      <c r="F3982" t="s">
        <v>81</v>
      </c>
      <c r="G3982" s="1" t="s">
        <v>91</v>
      </c>
      <c r="H3982" t="s">
        <v>96</v>
      </c>
      <c r="I3982">
        <v>2003</v>
      </c>
      <c r="J3982">
        <v>0.3</v>
      </c>
      <c r="K3982" t="s">
        <v>109</v>
      </c>
      <c r="M3982">
        <f t="shared" si="90"/>
        <v>2.2499999999999999E-2</v>
      </c>
      <c r="N3982" t="s">
        <v>124</v>
      </c>
      <c r="O3982" t="s">
        <v>124</v>
      </c>
      <c r="P3982" t="s">
        <v>2063</v>
      </c>
      <c r="Q3982" s="1" t="s">
        <v>2292</v>
      </c>
      <c r="R3982" s="1" t="s">
        <v>124</v>
      </c>
      <c r="S3982" s="1" t="s">
        <v>124</v>
      </c>
      <c r="T3982" t="s">
        <v>421</v>
      </c>
      <c r="U3982" t="s">
        <v>421</v>
      </c>
      <c r="V3982" t="s">
        <v>194</v>
      </c>
      <c r="W3982" t="s">
        <v>279</v>
      </c>
      <c r="X3982" t="s">
        <v>161</v>
      </c>
      <c r="Y3982" t="s">
        <v>2272</v>
      </c>
      <c r="Z3982" t="s">
        <v>2272</v>
      </c>
      <c r="AA3982" t="s">
        <v>2272</v>
      </c>
      <c r="AB3982" t="s">
        <v>2272</v>
      </c>
      <c r="AC3982" t="s">
        <v>162</v>
      </c>
      <c r="AD3982" t="s">
        <v>2272</v>
      </c>
      <c r="AG3982" t="s">
        <v>49</v>
      </c>
      <c r="AL3982" t="s">
        <v>49</v>
      </c>
      <c r="AM3982" t="s">
        <v>2064</v>
      </c>
      <c r="AN3982" t="s">
        <v>109</v>
      </c>
      <c r="AO3982" t="s">
        <v>449</v>
      </c>
      <c r="AQ3982" s="5">
        <v>0</v>
      </c>
    </row>
    <row r="3983" spans="1:43" x14ac:dyDescent="0.2">
      <c r="A3983" t="s">
        <v>2061</v>
      </c>
      <c r="B3983" t="s">
        <v>2062</v>
      </c>
      <c r="C3983">
        <v>2007</v>
      </c>
      <c r="D3983" t="s">
        <v>811</v>
      </c>
      <c r="F3983" t="s">
        <v>81</v>
      </c>
      <c r="G3983" s="1" t="s">
        <v>91</v>
      </c>
      <c r="H3983" t="s">
        <v>96</v>
      </c>
      <c r="I3983">
        <v>2003</v>
      </c>
      <c r="J3983">
        <v>0.3</v>
      </c>
      <c r="K3983" t="s">
        <v>109</v>
      </c>
      <c r="M3983">
        <f t="shared" si="90"/>
        <v>2.2499999999999999E-2</v>
      </c>
      <c r="N3983" t="s">
        <v>124</v>
      </c>
      <c r="O3983" t="s">
        <v>124</v>
      </c>
      <c r="P3983" t="s">
        <v>279</v>
      </c>
      <c r="Q3983" s="1" t="s">
        <v>2292</v>
      </c>
      <c r="R3983" s="1" t="s">
        <v>124</v>
      </c>
      <c r="S3983" s="1" t="s">
        <v>124</v>
      </c>
      <c r="T3983" t="s">
        <v>421</v>
      </c>
      <c r="U3983" t="s">
        <v>421</v>
      </c>
      <c r="V3983" t="s">
        <v>194</v>
      </c>
      <c r="W3983" t="s">
        <v>279</v>
      </c>
      <c r="X3983" t="s">
        <v>161</v>
      </c>
      <c r="Y3983" t="s">
        <v>2272</v>
      </c>
      <c r="Z3983" t="s">
        <v>2272</v>
      </c>
      <c r="AA3983" t="s">
        <v>2272</v>
      </c>
      <c r="AB3983" t="s">
        <v>2272</v>
      </c>
      <c r="AC3983" t="s">
        <v>162</v>
      </c>
      <c r="AD3983" t="s">
        <v>2272</v>
      </c>
      <c r="AG3983" t="s">
        <v>49</v>
      </c>
      <c r="AL3983" t="s">
        <v>49</v>
      </c>
      <c r="AM3983" t="s">
        <v>2064</v>
      </c>
      <c r="AN3983" t="s">
        <v>109</v>
      </c>
      <c r="AO3983" t="s">
        <v>449</v>
      </c>
      <c r="AQ3983" s="5">
        <v>0</v>
      </c>
    </row>
    <row r="3984" spans="1:43" x14ac:dyDescent="0.2">
      <c r="A3984" t="s">
        <v>2061</v>
      </c>
      <c r="B3984" t="s">
        <v>2062</v>
      </c>
      <c r="C3984">
        <v>2007</v>
      </c>
      <c r="D3984" t="s">
        <v>811</v>
      </c>
      <c r="F3984" t="s">
        <v>81</v>
      </c>
      <c r="G3984" s="1" t="s">
        <v>91</v>
      </c>
      <c r="H3984" t="s">
        <v>96</v>
      </c>
      <c r="I3984">
        <v>2002</v>
      </c>
      <c r="J3984">
        <v>0.28000000000000003</v>
      </c>
      <c r="K3984" t="s">
        <v>109</v>
      </c>
      <c r="M3984">
        <f t="shared" si="90"/>
        <v>2.2499999999999999E-2</v>
      </c>
      <c r="N3984" t="s">
        <v>124</v>
      </c>
      <c r="O3984" t="s">
        <v>124</v>
      </c>
      <c r="P3984" t="s">
        <v>2063</v>
      </c>
      <c r="Q3984" s="1" t="s">
        <v>2292</v>
      </c>
      <c r="R3984" s="1" t="s">
        <v>124</v>
      </c>
      <c r="S3984" s="1" t="s">
        <v>124</v>
      </c>
      <c r="T3984" t="s">
        <v>396</v>
      </c>
      <c r="U3984" t="s">
        <v>124</v>
      </c>
      <c r="V3984" t="s">
        <v>194</v>
      </c>
      <c r="W3984" t="s">
        <v>279</v>
      </c>
      <c r="X3984" t="s">
        <v>161</v>
      </c>
      <c r="Y3984" t="s">
        <v>2272</v>
      </c>
      <c r="Z3984" t="s">
        <v>2272</v>
      </c>
      <c r="AA3984" t="s">
        <v>2272</v>
      </c>
      <c r="AB3984" t="s">
        <v>2272</v>
      </c>
      <c r="AC3984" t="s">
        <v>162</v>
      </c>
      <c r="AD3984" t="s">
        <v>2272</v>
      </c>
      <c r="AG3984" t="s">
        <v>49</v>
      </c>
      <c r="AL3984" t="s">
        <v>49</v>
      </c>
      <c r="AM3984" t="s">
        <v>2064</v>
      </c>
      <c r="AN3984" t="s">
        <v>109</v>
      </c>
      <c r="AO3984" t="s">
        <v>1573</v>
      </c>
      <c r="AQ3984" s="5">
        <v>0</v>
      </c>
    </row>
    <row r="3985" spans="1:43" x14ac:dyDescent="0.2">
      <c r="A3985" t="s">
        <v>2061</v>
      </c>
      <c r="B3985" t="s">
        <v>2062</v>
      </c>
      <c r="C3985">
        <v>2007</v>
      </c>
      <c r="D3985" t="s">
        <v>811</v>
      </c>
      <c r="F3985" t="s">
        <v>81</v>
      </c>
      <c r="G3985" s="1" t="s">
        <v>91</v>
      </c>
      <c r="H3985" t="s">
        <v>96</v>
      </c>
      <c r="I3985">
        <v>2002</v>
      </c>
      <c r="J3985">
        <v>0.28000000000000003</v>
      </c>
      <c r="K3985" t="s">
        <v>109</v>
      </c>
      <c r="M3985">
        <f t="shared" si="90"/>
        <v>2.2499999999999999E-2</v>
      </c>
      <c r="N3985" t="s">
        <v>124</v>
      </c>
      <c r="O3985" t="s">
        <v>124</v>
      </c>
      <c r="P3985" t="s">
        <v>279</v>
      </c>
      <c r="Q3985" s="1" t="s">
        <v>2292</v>
      </c>
      <c r="R3985" s="1" t="s">
        <v>124</v>
      </c>
      <c r="S3985" s="1" t="s">
        <v>124</v>
      </c>
      <c r="T3985" t="s">
        <v>396</v>
      </c>
      <c r="U3985" t="s">
        <v>124</v>
      </c>
      <c r="V3985" t="s">
        <v>194</v>
      </c>
      <c r="W3985" t="s">
        <v>279</v>
      </c>
      <c r="X3985" t="s">
        <v>161</v>
      </c>
      <c r="Y3985" t="s">
        <v>2272</v>
      </c>
      <c r="Z3985" t="s">
        <v>2272</v>
      </c>
      <c r="AA3985" t="s">
        <v>2272</v>
      </c>
      <c r="AB3985" t="s">
        <v>2272</v>
      </c>
      <c r="AC3985" t="s">
        <v>162</v>
      </c>
      <c r="AD3985" t="s">
        <v>2272</v>
      </c>
      <c r="AG3985" t="s">
        <v>49</v>
      </c>
      <c r="AL3985" t="s">
        <v>49</v>
      </c>
      <c r="AM3985" t="s">
        <v>2064</v>
      </c>
      <c r="AN3985" t="s">
        <v>109</v>
      </c>
      <c r="AO3985" t="s">
        <v>1573</v>
      </c>
      <c r="AQ3985" s="5">
        <v>0</v>
      </c>
    </row>
    <row r="3986" spans="1:43" x14ac:dyDescent="0.2">
      <c r="A3986" t="s">
        <v>2061</v>
      </c>
      <c r="B3986" t="s">
        <v>2062</v>
      </c>
      <c r="C3986">
        <v>2007</v>
      </c>
      <c r="D3986" t="s">
        <v>811</v>
      </c>
      <c r="F3986" t="s">
        <v>81</v>
      </c>
      <c r="G3986" s="1" t="s">
        <v>91</v>
      </c>
      <c r="H3986" t="s">
        <v>96</v>
      </c>
      <c r="I3986">
        <v>2002</v>
      </c>
      <c r="J3986">
        <v>0.28000000000000003</v>
      </c>
      <c r="K3986" t="s">
        <v>109</v>
      </c>
      <c r="M3986">
        <f t="shared" si="90"/>
        <v>2.2499999999999999E-2</v>
      </c>
      <c r="N3986" t="s">
        <v>124</v>
      </c>
      <c r="O3986" t="s">
        <v>124</v>
      </c>
      <c r="P3986" t="s">
        <v>2063</v>
      </c>
      <c r="Q3986" s="1" t="s">
        <v>2292</v>
      </c>
      <c r="R3986" s="1" t="s">
        <v>124</v>
      </c>
      <c r="S3986" s="1" t="s">
        <v>124</v>
      </c>
      <c r="T3986" t="s">
        <v>421</v>
      </c>
      <c r="U3986" t="s">
        <v>421</v>
      </c>
      <c r="V3986" t="s">
        <v>194</v>
      </c>
      <c r="W3986" t="s">
        <v>279</v>
      </c>
      <c r="X3986" t="s">
        <v>161</v>
      </c>
      <c r="Y3986" t="s">
        <v>2272</v>
      </c>
      <c r="Z3986" t="s">
        <v>2272</v>
      </c>
      <c r="AA3986" t="s">
        <v>2272</v>
      </c>
      <c r="AB3986" t="s">
        <v>2272</v>
      </c>
      <c r="AC3986" t="s">
        <v>162</v>
      </c>
      <c r="AD3986" t="s">
        <v>2272</v>
      </c>
      <c r="AG3986" t="s">
        <v>49</v>
      </c>
      <c r="AL3986" t="s">
        <v>49</v>
      </c>
      <c r="AM3986" t="s">
        <v>2064</v>
      </c>
      <c r="AN3986" t="s">
        <v>109</v>
      </c>
      <c r="AO3986" t="s">
        <v>1573</v>
      </c>
      <c r="AQ3986" s="5">
        <v>0</v>
      </c>
    </row>
    <row r="3987" spans="1:43" x14ac:dyDescent="0.2">
      <c r="A3987" t="s">
        <v>2061</v>
      </c>
      <c r="B3987" t="s">
        <v>2062</v>
      </c>
      <c r="C3987">
        <v>2007</v>
      </c>
      <c r="D3987" t="s">
        <v>811</v>
      </c>
      <c r="F3987" t="s">
        <v>81</v>
      </c>
      <c r="G3987" s="1" t="s">
        <v>91</v>
      </c>
      <c r="H3987" t="s">
        <v>96</v>
      </c>
      <c r="I3987">
        <v>2002</v>
      </c>
      <c r="J3987">
        <v>0.28000000000000003</v>
      </c>
      <c r="K3987" t="s">
        <v>109</v>
      </c>
      <c r="M3987">
        <f t="shared" si="90"/>
        <v>2.2499999999999999E-2</v>
      </c>
      <c r="N3987" t="s">
        <v>124</v>
      </c>
      <c r="O3987" t="s">
        <v>124</v>
      </c>
      <c r="P3987" t="s">
        <v>279</v>
      </c>
      <c r="Q3987" s="1" t="s">
        <v>2292</v>
      </c>
      <c r="R3987" s="1" t="s">
        <v>124</v>
      </c>
      <c r="S3987" s="1" t="s">
        <v>124</v>
      </c>
      <c r="T3987" t="s">
        <v>421</v>
      </c>
      <c r="U3987" t="s">
        <v>421</v>
      </c>
      <c r="V3987" t="s">
        <v>194</v>
      </c>
      <c r="W3987" t="s">
        <v>279</v>
      </c>
      <c r="X3987" t="s">
        <v>161</v>
      </c>
      <c r="Y3987" t="s">
        <v>2272</v>
      </c>
      <c r="Z3987" t="s">
        <v>2272</v>
      </c>
      <c r="AA3987" t="s">
        <v>2272</v>
      </c>
      <c r="AB3987" t="s">
        <v>2272</v>
      </c>
      <c r="AC3987" t="s">
        <v>162</v>
      </c>
      <c r="AD3987" t="s">
        <v>2272</v>
      </c>
      <c r="AG3987" t="s">
        <v>49</v>
      </c>
      <c r="AL3987" t="s">
        <v>49</v>
      </c>
      <c r="AM3987" t="s">
        <v>2064</v>
      </c>
      <c r="AN3987" t="s">
        <v>109</v>
      </c>
      <c r="AO3987" t="s">
        <v>1573</v>
      </c>
      <c r="AQ3987" s="5">
        <v>0</v>
      </c>
    </row>
    <row r="3988" spans="1:43" x14ac:dyDescent="0.2">
      <c r="A3988" t="s">
        <v>2061</v>
      </c>
      <c r="B3988" t="s">
        <v>2062</v>
      </c>
      <c r="C3988">
        <v>2007</v>
      </c>
      <c r="D3988" t="s">
        <v>811</v>
      </c>
      <c r="F3988" t="s">
        <v>81</v>
      </c>
      <c r="G3988" s="1" t="s">
        <v>91</v>
      </c>
      <c r="H3988" t="s">
        <v>96</v>
      </c>
      <c r="I3988">
        <v>2003</v>
      </c>
      <c r="J3988">
        <v>0.3</v>
      </c>
      <c r="K3988" t="s">
        <v>109</v>
      </c>
      <c r="M3988">
        <f t="shared" si="90"/>
        <v>2.2499999999999999E-2</v>
      </c>
      <c r="N3988" t="s">
        <v>124</v>
      </c>
      <c r="O3988" t="s">
        <v>124</v>
      </c>
      <c r="P3988" t="s">
        <v>2063</v>
      </c>
      <c r="Q3988" s="1" t="s">
        <v>2292</v>
      </c>
      <c r="R3988" s="1" t="s">
        <v>124</v>
      </c>
      <c r="S3988" s="1" t="s">
        <v>124</v>
      </c>
      <c r="T3988" t="s">
        <v>396</v>
      </c>
      <c r="U3988" t="s">
        <v>124</v>
      </c>
      <c r="V3988" t="s">
        <v>194</v>
      </c>
      <c r="W3988" t="s">
        <v>279</v>
      </c>
      <c r="X3988" t="s">
        <v>161</v>
      </c>
      <c r="Y3988" t="s">
        <v>2272</v>
      </c>
      <c r="Z3988" t="s">
        <v>2272</v>
      </c>
      <c r="AA3988" t="s">
        <v>2272</v>
      </c>
      <c r="AB3988" t="s">
        <v>2272</v>
      </c>
      <c r="AC3988" t="s">
        <v>162</v>
      </c>
      <c r="AD3988" t="s">
        <v>2272</v>
      </c>
      <c r="AG3988" t="s">
        <v>49</v>
      </c>
      <c r="AL3988" t="s">
        <v>49</v>
      </c>
      <c r="AM3988" t="s">
        <v>2064</v>
      </c>
      <c r="AN3988" t="s">
        <v>109</v>
      </c>
      <c r="AO3988" t="s">
        <v>1573</v>
      </c>
      <c r="AQ3988" s="5">
        <v>0</v>
      </c>
    </row>
    <row r="3989" spans="1:43" x14ac:dyDescent="0.2">
      <c r="A3989" t="s">
        <v>2061</v>
      </c>
      <c r="B3989" t="s">
        <v>2062</v>
      </c>
      <c r="C3989">
        <v>2007</v>
      </c>
      <c r="D3989" t="s">
        <v>811</v>
      </c>
      <c r="F3989" t="s">
        <v>81</v>
      </c>
      <c r="G3989" s="1" t="s">
        <v>91</v>
      </c>
      <c r="H3989" t="s">
        <v>96</v>
      </c>
      <c r="I3989">
        <v>2003</v>
      </c>
      <c r="J3989">
        <v>0.3</v>
      </c>
      <c r="K3989" t="s">
        <v>109</v>
      </c>
      <c r="M3989">
        <f t="shared" si="90"/>
        <v>2.2499999999999999E-2</v>
      </c>
      <c r="N3989" t="s">
        <v>124</v>
      </c>
      <c r="O3989" t="s">
        <v>124</v>
      </c>
      <c r="P3989" t="s">
        <v>279</v>
      </c>
      <c r="Q3989" s="1" t="s">
        <v>2292</v>
      </c>
      <c r="R3989" s="1" t="s">
        <v>124</v>
      </c>
      <c r="S3989" s="1" t="s">
        <v>124</v>
      </c>
      <c r="T3989" t="s">
        <v>396</v>
      </c>
      <c r="U3989" t="s">
        <v>124</v>
      </c>
      <c r="V3989" t="s">
        <v>194</v>
      </c>
      <c r="W3989" t="s">
        <v>279</v>
      </c>
      <c r="X3989" t="s">
        <v>161</v>
      </c>
      <c r="Y3989" t="s">
        <v>2272</v>
      </c>
      <c r="Z3989" t="s">
        <v>2272</v>
      </c>
      <c r="AA3989" t="s">
        <v>2272</v>
      </c>
      <c r="AB3989" t="s">
        <v>2272</v>
      </c>
      <c r="AC3989" t="s">
        <v>162</v>
      </c>
      <c r="AD3989" t="s">
        <v>2272</v>
      </c>
      <c r="AG3989" t="s">
        <v>49</v>
      </c>
      <c r="AL3989" t="s">
        <v>49</v>
      </c>
      <c r="AM3989" t="s">
        <v>2064</v>
      </c>
      <c r="AN3989" t="s">
        <v>109</v>
      </c>
      <c r="AO3989" t="s">
        <v>1573</v>
      </c>
      <c r="AQ3989" s="5">
        <v>0</v>
      </c>
    </row>
    <row r="3990" spans="1:43" x14ac:dyDescent="0.2">
      <c r="A3990" t="s">
        <v>2061</v>
      </c>
      <c r="B3990" t="s">
        <v>2062</v>
      </c>
      <c r="C3990">
        <v>2007</v>
      </c>
      <c r="D3990" t="s">
        <v>811</v>
      </c>
      <c r="F3990" t="s">
        <v>81</v>
      </c>
      <c r="G3990" s="1" t="s">
        <v>91</v>
      </c>
      <c r="H3990" t="s">
        <v>96</v>
      </c>
      <c r="I3990">
        <v>2003</v>
      </c>
      <c r="J3990">
        <v>0.3</v>
      </c>
      <c r="K3990" t="s">
        <v>109</v>
      </c>
      <c r="M3990">
        <f t="shared" si="90"/>
        <v>2.2499999999999999E-2</v>
      </c>
      <c r="N3990" t="s">
        <v>124</v>
      </c>
      <c r="O3990" t="s">
        <v>124</v>
      </c>
      <c r="P3990" t="s">
        <v>2063</v>
      </c>
      <c r="Q3990" s="1" t="s">
        <v>2292</v>
      </c>
      <c r="R3990" s="1" t="s">
        <v>124</v>
      </c>
      <c r="S3990" s="1" t="s">
        <v>124</v>
      </c>
      <c r="T3990" t="s">
        <v>421</v>
      </c>
      <c r="U3990" t="s">
        <v>421</v>
      </c>
      <c r="V3990" t="s">
        <v>194</v>
      </c>
      <c r="W3990" t="s">
        <v>279</v>
      </c>
      <c r="X3990" t="s">
        <v>161</v>
      </c>
      <c r="Y3990" t="s">
        <v>2272</v>
      </c>
      <c r="Z3990" t="s">
        <v>2272</v>
      </c>
      <c r="AA3990" t="s">
        <v>2272</v>
      </c>
      <c r="AB3990" t="s">
        <v>2272</v>
      </c>
      <c r="AC3990" t="s">
        <v>162</v>
      </c>
      <c r="AD3990" t="s">
        <v>2272</v>
      </c>
      <c r="AG3990" t="s">
        <v>49</v>
      </c>
      <c r="AL3990" t="s">
        <v>49</v>
      </c>
      <c r="AM3990" t="s">
        <v>2064</v>
      </c>
      <c r="AN3990" t="s">
        <v>109</v>
      </c>
      <c r="AO3990" t="s">
        <v>1573</v>
      </c>
      <c r="AQ3990" s="5">
        <v>0</v>
      </c>
    </row>
    <row r="3991" spans="1:43" x14ac:dyDescent="0.2">
      <c r="A3991" t="s">
        <v>2061</v>
      </c>
      <c r="B3991" t="s">
        <v>2062</v>
      </c>
      <c r="C3991">
        <v>2007</v>
      </c>
      <c r="D3991" t="s">
        <v>811</v>
      </c>
      <c r="F3991" t="s">
        <v>81</v>
      </c>
      <c r="G3991" s="1" t="s">
        <v>91</v>
      </c>
      <c r="H3991" t="s">
        <v>96</v>
      </c>
      <c r="I3991">
        <v>2003</v>
      </c>
      <c r="J3991">
        <v>0.3</v>
      </c>
      <c r="K3991" t="s">
        <v>109</v>
      </c>
      <c r="M3991">
        <f t="shared" si="90"/>
        <v>2.2499999999999999E-2</v>
      </c>
      <c r="N3991" t="s">
        <v>124</v>
      </c>
      <c r="O3991" t="s">
        <v>124</v>
      </c>
      <c r="P3991" t="s">
        <v>279</v>
      </c>
      <c r="Q3991" s="1" t="s">
        <v>2292</v>
      </c>
      <c r="R3991" s="1" t="s">
        <v>124</v>
      </c>
      <c r="S3991" s="1" t="s">
        <v>124</v>
      </c>
      <c r="T3991" t="s">
        <v>421</v>
      </c>
      <c r="U3991" t="s">
        <v>421</v>
      </c>
      <c r="V3991" t="s">
        <v>194</v>
      </c>
      <c r="W3991" t="s">
        <v>279</v>
      </c>
      <c r="X3991" t="s">
        <v>161</v>
      </c>
      <c r="Y3991" t="s">
        <v>2272</v>
      </c>
      <c r="Z3991" t="s">
        <v>2272</v>
      </c>
      <c r="AA3991" t="s">
        <v>2272</v>
      </c>
      <c r="AB3991" t="s">
        <v>2272</v>
      </c>
      <c r="AC3991" t="s">
        <v>162</v>
      </c>
      <c r="AD3991" t="s">
        <v>2272</v>
      </c>
      <c r="AG3991" t="s">
        <v>49</v>
      </c>
      <c r="AL3991" t="s">
        <v>49</v>
      </c>
      <c r="AM3991" t="s">
        <v>2064</v>
      </c>
      <c r="AN3991" t="s">
        <v>109</v>
      </c>
      <c r="AO3991" t="s">
        <v>1573</v>
      </c>
      <c r="AQ3991" s="5">
        <v>0</v>
      </c>
    </row>
    <row r="3992" spans="1:43" x14ac:dyDescent="0.2">
      <c r="A3992" t="s">
        <v>2065</v>
      </c>
      <c r="B3992" t="s">
        <v>2066</v>
      </c>
      <c r="C3992">
        <v>2007</v>
      </c>
      <c r="D3992" t="s">
        <v>44</v>
      </c>
      <c r="F3992" t="s">
        <v>1584</v>
      </c>
      <c r="G3992" s="1" t="s">
        <v>91</v>
      </c>
      <c r="H3992" t="s">
        <v>350</v>
      </c>
      <c r="I3992">
        <v>2006</v>
      </c>
      <c r="L3992">
        <v>380</v>
      </c>
      <c r="N3992" t="s">
        <v>122</v>
      </c>
      <c r="O3992" t="s">
        <v>256</v>
      </c>
      <c r="Q3992" s="1" t="s">
        <v>2281</v>
      </c>
      <c r="R3992" s="1" t="s">
        <v>122</v>
      </c>
      <c r="S3992" s="1" t="s">
        <v>2294</v>
      </c>
      <c r="T3992" t="s">
        <v>421</v>
      </c>
      <c r="U3992" t="s">
        <v>421</v>
      </c>
      <c r="X3992" t="s">
        <v>161</v>
      </c>
      <c r="Y3992" t="s">
        <v>2272</v>
      </c>
      <c r="Z3992" t="s">
        <v>2272</v>
      </c>
      <c r="AA3992" t="s">
        <v>2272</v>
      </c>
      <c r="AB3992" t="s">
        <v>2272</v>
      </c>
      <c r="AC3992" t="s">
        <v>162</v>
      </c>
      <c r="AD3992" t="s">
        <v>2272</v>
      </c>
      <c r="AH3992" s="4" t="s">
        <v>49</v>
      </c>
      <c r="AI3992" t="s">
        <v>49</v>
      </c>
      <c r="AM3992" t="s">
        <v>233</v>
      </c>
      <c r="AN3992" t="s">
        <v>166</v>
      </c>
      <c r="AP3992" t="s">
        <v>157</v>
      </c>
      <c r="AQ3992" s="5">
        <v>1</v>
      </c>
    </row>
    <row r="3993" spans="1:43" x14ac:dyDescent="0.2">
      <c r="A3993" t="s">
        <v>2065</v>
      </c>
      <c r="B3993" t="s">
        <v>2066</v>
      </c>
      <c r="C3993">
        <v>2007</v>
      </c>
      <c r="D3993" t="s">
        <v>44</v>
      </c>
      <c r="F3993" t="s">
        <v>1584</v>
      </c>
      <c r="G3993" s="1" t="s">
        <v>91</v>
      </c>
      <c r="H3993" t="s">
        <v>350</v>
      </c>
      <c r="I3993">
        <v>2006</v>
      </c>
      <c r="L3993">
        <v>380</v>
      </c>
      <c r="N3993" t="s">
        <v>122</v>
      </c>
      <c r="O3993" t="s">
        <v>256</v>
      </c>
      <c r="Q3993" s="1" t="s">
        <v>2281</v>
      </c>
      <c r="R3993" s="1" t="s">
        <v>122</v>
      </c>
      <c r="S3993" s="1" t="s">
        <v>2294</v>
      </c>
      <c r="T3993" t="s">
        <v>421</v>
      </c>
      <c r="U3993" t="s">
        <v>421</v>
      </c>
      <c r="X3993" t="s">
        <v>161</v>
      </c>
      <c r="Y3993" t="s">
        <v>2272</v>
      </c>
      <c r="Z3993" t="s">
        <v>2272</v>
      </c>
      <c r="AA3993" t="s">
        <v>2272</v>
      </c>
      <c r="AB3993" t="s">
        <v>2272</v>
      </c>
      <c r="AC3993" t="s">
        <v>162</v>
      </c>
      <c r="AD3993" t="s">
        <v>2272</v>
      </c>
      <c r="AH3993" s="4" t="s">
        <v>49</v>
      </c>
      <c r="AL3993" t="s">
        <v>49</v>
      </c>
      <c r="AM3993" t="s">
        <v>2067</v>
      </c>
      <c r="AN3993" t="s">
        <v>166</v>
      </c>
      <c r="AP3993" t="s">
        <v>157</v>
      </c>
      <c r="AQ3993" s="5">
        <v>1</v>
      </c>
    </row>
    <row r="3994" spans="1:43" x14ac:dyDescent="0.2">
      <c r="A3994" t="s">
        <v>2068</v>
      </c>
      <c r="B3994" t="s">
        <v>2069</v>
      </c>
      <c r="C3994">
        <v>2007</v>
      </c>
      <c r="D3994" t="s">
        <v>44</v>
      </c>
      <c r="F3994" t="s">
        <v>2070</v>
      </c>
      <c r="G3994" s="1" t="s">
        <v>90</v>
      </c>
      <c r="H3994" t="s">
        <v>158</v>
      </c>
      <c r="I3994" t="s">
        <v>2071</v>
      </c>
      <c r="J3994">
        <v>1</v>
      </c>
      <c r="K3994" t="s">
        <v>42</v>
      </c>
      <c r="L3994">
        <v>1</v>
      </c>
      <c r="M3994">
        <f>0.2*0.2</f>
        <v>4.0000000000000008E-2</v>
      </c>
      <c r="N3994" t="s">
        <v>123</v>
      </c>
      <c r="O3994" t="s">
        <v>123</v>
      </c>
      <c r="P3994" t="s">
        <v>2072</v>
      </c>
      <c r="Q3994" s="1" t="s">
        <v>2281</v>
      </c>
      <c r="R3994" s="1" t="s">
        <v>2282</v>
      </c>
      <c r="S3994" s="1" t="s">
        <v>123</v>
      </c>
      <c r="T3994" t="s">
        <v>421</v>
      </c>
      <c r="U3994" t="s">
        <v>421</v>
      </c>
      <c r="X3994" t="s">
        <v>161</v>
      </c>
      <c r="Y3994" t="s">
        <v>2272</v>
      </c>
      <c r="Z3994" t="s">
        <v>2272</v>
      </c>
      <c r="AA3994" t="s">
        <v>2272</v>
      </c>
      <c r="AB3994" t="s">
        <v>2272</v>
      </c>
      <c r="AC3994" t="s">
        <v>162</v>
      </c>
      <c r="AD3994" t="s">
        <v>2272</v>
      </c>
      <c r="AF3994" t="s">
        <v>49</v>
      </c>
      <c r="AL3994" t="s">
        <v>49</v>
      </c>
      <c r="AM3994" t="s">
        <v>2073</v>
      </c>
      <c r="AN3994" t="s">
        <v>166</v>
      </c>
      <c r="AP3994" t="s">
        <v>51</v>
      </c>
      <c r="AQ3994" s="5">
        <v>0</v>
      </c>
    </row>
    <row r="3995" spans="1:43" x14ac:dyDescent="0.2">
      <c r="A3995" t="s">
        <v>2068</v>
      </c>
      <c r="B3995" t="s">
        <v>2069</v>
      </c>
      <c r="C3995">
        <v>2007</v>
      </c>
      <c r="D3995" t="s">
        <v>44</v>
      </c>
      <c r="F3995" t="s">
        <v>2070</v>
      </c>
      <c r="G3995" s="1" t="s">
        <v>90</v>
      </c>
      <c r="H3995" t="s">
        <v>158</v>
      </c>
      <c r="I3995" t="s">
        <v>2071</v>
      </c>
      <c r="J3995">
        <v>1</v>
      </c>
      <c r="K3995" t="s">
        <v>42</v>
      </c>
      <c r="L3995">
        <v>1</v>
      </c>
      <c r="M3995">
        <f t="shared" ref="M3995:M4035" si="91">0.2*0.2</f>
        <v>4.0000000000000008E-2</v>
      </c>
      <c r="N3995" t="s">
        <v>123</v>
      </c>
      <c r="O3995" t="s">
        <v>123</v>
      </c>
      <c r="P3995" t="s">
        <v>2072</v>
      </c>
      <c r="Q3995" s="1" t="s">
        <v>2281</v>
      </c>
      <c r="R3995" s="1" t="s">
        <v>2282</v>
      </c>
      <c r="S3995" s="1" t="s">
        <v>123</v>
      </c>
      <c r="T3995" t="s">
        <v>421</v>
      </c>
      <c r="U3995" t="s">
        <v>421</v>
      </c>
      <c r="X3995" t="s">
        <v>161</v>
      </c>
      <c r="Y3995" t="s">
        <v>2272</v>
      </c>
      <c r="Z3995" t="s">
        <v>2272</v>
      </c>
      <c r="AA3995" t="s">
        <v>2272</v>
      </c>
      <c r="AB3995" t="s">
        <v>2272</v>
      </c>
      <c r="AC3995" t="s">
        <v>162</v>
      </c>
      <c r="AD3995" t="s">
        <v>2272</v>
      </c>
      <c r="AF3995" t="s">
        <v>49</v>
      </c>
      <c r="AL3995" t="s">
        <v>49</v>
      </c>
      <c r="AM3995" t="s">
        <v>2074</v>
      </c>
      <c r="AN3995" t="s">
        <v>166</v>
      </c>
      <c r="AP3995" t="s">
        <v>51</v>
      </c>
      <c r="AQ3995" s="5">
        <v>0</v>
      </c>
    </row>
    <row r="3996" spans="1:43" x14ac:dyDescent="0.2">
      <c r="A3996" t="s">
        <v>2068</v>
      </c>
      <c r="B3996" t="s">
        <v>2069</v>
      </c>
      <c r="C3996">
        <v>2007</v>
      </c>
      <c r="D3996" t="s">
        <v>44</v>
      </c>
      <c r="F3996" t="s">
        <v>2070</v>
      </c>
      <c r="G3996" s="1" t="s">
        <v>90</v>
      </c>
      <c r="H3996" t="s">
        <v>158</v>
      </c>
      <c r="I3996" t="s">
        <v>2071</v>
      </c>
      <c r="J3996">
        <v>1</v>
      </c>
      <c r="K3996" t="s">
        <v>42</v>
      </c>
      <c r="L3996">
        <v>1</v>
      </c>
      <c r="M3996">
        <f t="shared" si="91"/>
        <v>4.0000000000000008E-2</v>
      </c>
      <c r="N3996" t="s">
        <v>123</v>
      </c>
      <c r="O3996" t="s">
        <v>123</v>
      </c>
      <c r="P3996" t="s">
        <v>2072</v>
      </c>
      <c r="Q3996" s="1" t="s">
        <v>2281</v>
      </c>
      <c r="R3996" s="1" t="s">
        <v>2282</v>
      </c>
      <c r="S3996" s="1" t="s">
        <v>123</v>
      </c>
      <c r="T3996" t="s">
        <v>421</v>
      </c>
      <c r="U3996" t="s">
        <v>421</v>
      </c>
      <c r="X3996" t="s">
        <v>161</v>
      </c>
      <c r="Y3996" t="s">
        <v>2272</v>
      </c>
      <c r="Z3996" t="s">
        <v>2272</v>
      </c>
      <c r="AA3996" t="s">
        <v>2272</v>
      </c>
      <c r="AB3996" t="s">
        <v>2272</v>
      </c>
      <c r="AC3996" t="s">
        <v>162</v>
      </c>
      <c r="AD3996" t="s">
        <v>2272</v>
      </c>
      <c r="AF3996" t="s">
        <v>49</v>
      </c>
      <c r="AL3996" t="s">
        <v>49</v>
      </c>
      <c r="AM3996" t="s">
        <v>2075</v>
      </c>
      <c r="AN3996" t="s">
        <v>166</v>
      </c>
      <c r="AP3996" t="s">
        <v>51</v>
      </c>
      <c r="AQ3996" s="5">
        <v>0</v>
      </c>
    </row>
    <row r="3997" spans="1:43" x14ac:dyDescent="0.2">
      <c r="A3997" t="s">
        <v>2068</v>
      </c>
      <c r="B3997" t="s">
        <v>2069</v>
      </c>
      <c r="C3997">
        <v>2007</v>
      </c>
      <c r="D3997" t="s">
        <v>44</v>
      </c>
      <c r="F3997" t="s">
        <v>2070</v>
      </c>
      <c r="G3997" s="1" t="s">
        <v>90</v>
      </c>
      <c r="H3997" t="s">
        <v>158</v>
      </c>
      <c r="I3997" t="s">
        <v>2071</v>
      </c>
      <c r="J3997">
        <v>1</v>
      </c>
      <c r="K3997" t="s">
        <v>42</v>
      </c>
      <c r="L3997">
        <v>1</v>
      </c>
      <c r="M3997">
        <f t="shared" si="91"/>
        <v>4.0000000000000008E-2</v>
      </c>
      <c r="N3997" t="s">
        <v>123</v>
      </c>
      <c r="O3997" t="s">
        <v>123</v>
      </c>
      <c r="P3997" t="s">
        <v>2072</v>
      </c>
      <c r="Q3997" s="1" t="s">
        <v>2281</v>
      </c>
      <c r="R3997" s="1" t="s">
        <v>2282</v>
      </c>
      <c r="S3997" s="1" t="s">
        <v>123</v>
      </c>
      <c r="T3997" t="s">
        <v>421</v>
      </c>
      <c r="U3997" t="s">
        <v>421</v>
      </c>
      <c r="X3997" t="s">
        <v>161</v>
      </c>
      <c r="Y3997" t="s">
        <v>2272</v>
      </c>
      <c r="Z3997" t="s">
        <v>2272</v>
      </c>
      <c r="AA3997" t="s">
        <v>2272</v>
      </c>
      <c r="AB3997" t="s">
        <v>2272</v>
      </c>
      <c r="AC3997" t="s">
        <v>162</v>
      </c>
      <c r="AD3997" t="s">
        <v>2272</v>
      </c>
      <c r="AF3997" t="s">
        <v>49</v>
      </c>
      <c r="AL3997" t="s">
        <v>49</v>
      </c>
      <c r="AM3997" t="s">
        <v>2076</v>
      </c>
      <c r="AN3997" t="s">
        <v>166</v>
      </c>
      <c r="AP3997" t="s">
        <v>51</v>
      </c>
      <c r="AQ3997" s="5">
        <v>0</v>
      </c>
    </row>
    <row r="3998" spans="1:43" x14ac:dyDescent="0.2">
      <c r="A3998" t="s">
        <v>2068</v>
      </c>
      <c r="B3998" t="s">
        <v>2069</v>
      </c>
      <c r="C3998">
        <v>2007</v>
      </c>
      <c r="D3998" t="s">
        <v>44</v>
      </c>
      <c r="F3998" t="s">
        <v>2070</v>
      </c>
      <c r="G3998" s="1" t="s">
        <v>90</v>
      </c>
      <c r="H3998" t="s">
        <v>158</v>
      </c>
      <c r="I3998" t="s">
        <v>2071</v>
      </c>
      <c r="J3998">
        <v>1</v>
      </c>
      <c r="K3998" t="s">
        <v>42</v>
      </c>
      <c r="L3998">
        <v>1</v>
      </c>
      <c r="M3998">
        <f t="shared" si="91"/>
        <v>4.0000000000000008E-2</v>
      </c>
      <c r="N3998" t="s">
        <v>123</v>
      </c>
      <c r="O3998" t="s">
        <v>123</v>
      </c>
      <c r="P3998" t="s">
        <v>2072</v>
      </c>
      <c r="Q3998" s="1" t="s">
        <v>2281</v>
      </c>
      <c r="R3998" s="1" t="s">
        <v>2282</v>
      </c>
      <c r="S3998" s="1" t="s">
        <v>123</v>
      </c>
      <c r="T3998" t="s">
        <v>421</v>
      </c>
      <c r="U3998" t="s">
        <v>421</v>
      </c>
      <c r="X3998" t="s">
        <v>161</v>
      </c>
      <c r="Y3998" t="s">
        <v>2272</v>
      </c>
      <c r="Z3998" t="s">
        <v>2272</v>
      </c>
      <c r="AA3998" t="s">
        <v>2272</v>
      </c>
      <c r="AB3998" t="s">
        <v>2272</v>
      </c>
      <c r="AC3998" t="s">
        <v>162</v>
      </c>
      <c r="AD3998" t="s">
        <v>2272</v>
      </c>
      <c r="AF3998" t="s">
        <v>49</v>
      </c>
      <c r="AL3998" t="s">
        <v>49</v>
      </c>
      <c r="AM3998" t="s">
        <v>2077</v>
      </c>
      <c r="AN3998" t="s">
        <v>166</v>
      </c>
      <c r="AP3998" t="s">
        <v>51</v>
      </c>
      <c r="AQ3998" s="5">
        <v>0</v>
      </c>
    </row>
    <row r="3999" spans="1:43" x14ac:dyDescent="0.2">
      <c r="A3999" t="s">
        <v>2068</v>
      </c>
      <c r="B3999" t="s">
        <v>2069</v>
      </c>
      <c r="C3999">
        <v>2007</v>
      </c>
      <c r="D3999" t="s">
        <v>44</v>
      </c>
      <c r="F3999" t="s">
        <v>2070</v>
      </c>
      <c r="G3999" s="1" t="s">
        <v>90</v>
      </c>
      <c r="H3999" t="s">
        <v>158</v>
      </c>
      <c r="I3999" t="s">
        <v>2071</v>
      </c>
      <c r="J3999">
        <v>1</v>
      </c>
      <c r="K3999" t="s">
        <v>42</v>
      </c>
      <c r="L3999">
        <v>1</v>
      </c>
      <c r="M3999">
        <f t="shared" si="91"/>
        <v>4.0000000000000008E-2</v>
      </c>
      <c r="N3999" t="s">
        <v>123</v>
      </c>
      <c r="O3999" t="s">
        <v>123</v>
      </c>
      <c r="P3999" t="s">
        <v>2072</v>
      </c>
      <c r="Q3999" s="1" t="s">
        <v>2281</v>
      </c>
      <c r="R3999" s="1" t="s">
        <v>2282</v>
      </c>
      <c r="S3999" s="1" t="s">
        <v>123</v>
      </c>
      <c r="T3999" t="s">
        <v>421</v>
      </c>
      <c r="U3999" t="s">
        <v>421</v>
      </c>
      <c r="X3999" t="s">
        <v>161</v>
      </c>
      <c r="Y3999" t="s">
        <v>2272</v>
      </c>
      <c r="Z3999" t="s">
        <v>2272</v>
      </c>
      <c r="AA3999" t="s">
        <v>2272</v>
      </c>
      <c r="AB3999" t="s">
        <v>2272</v>
      </c>
      <c r="AC3999" t="s">
        <v>162</v>
      </c>
      <c r="AD3999" t="s">
        <v>2272</v>
      </c>
      <c r="AF3999" t="s">
        <v>49</v>
      </c>
      <c r="AL3999" t="s">
        <v>49</v>
      </c>
      <c r="AM3999" t="s">
        <v>2078</v>
      </c>
      <c r="AN3999" t="s">
        <v>166</v>
      </c>
      <c r="AP3999" t="s">
        <v>51</v>
      </c>
      <c r="AQ3999" s="5">
        <v>0</v>
      </c>
    </row>
    <row r="4000" spans="1:43" x14ac:dyDescent="0.2">
      <c r="A4000" t="s">
        <v>2068</v>
      </c>
      <c r="B4000" t="s">
        <v>2069</v>
      </c>
      <c r="C4000">
        <v>2007</v>
      </c>
      <c r="D4000" t="s">
        <v>44</v>
      </c>
      <c r="F4000" t="s">
        <v>2070</v>
      </c>
      <c r="G4000" s="1" t="s">
        <v>90</v>
      </c>
      <c r="H4000" t="s">
        <v>158</v>
      </c>
      <c r="I4000" t="s">
        <v>2071</v>
      </c>
      <c r="J4000">
        <v>1</v>
      </c>
      <c r="K4000" t="s">
        <v>42</v>
      </c>
      <c r="L4000">
        <v>1</v>
      </c>
      <c r="M4000">
        <f t="shared" si="91"/>
        <v>4.0000000000000008E-2</v>
      </c>
      <c r="N4000" t="s">
        <v>123</v>
      </c>
      <c r="O4000" t="s">
        <v>123</v>
      </c>
      <c r="P4000" t="s">
        <v>2072</v>
      </c>
      <c r="Q4000" s="1" t="s">
        <v>2281</v>
      </c>
      <c r="R4000" s="1" t="s">
        <v>2282</v>
      </c>
      <c r="S4000" s="1" t="s">
        <v>123</v>
      </c>
      <c r="T4000" t="s">
        <v>421</v>
      </c>
      <c r="U4000" t="s">
        <v>421</v>
      </c>
      <c r="X4000" t="s">
        <v>161</v>
      </c>
      <c r="Y4000" t="s">
        <v>2272</v>
      </c>
      <c r="Z4000" t="s">
        <v>2272</v>
      </c>
      <c r="AA4000" t="s">
        <v>2272</v>
      </c>
      <c r="AB4000" t="s">
        <v>2272</v>
      </c>
      <c r="AC4000" t="s">
        <v>162</v>
      </c>
      <c r="AD4000" t="s">
        <v>2272</v>
      </c>
      <c r="AF4000" t="s">
        <v>49</v>
      </c>
      <c r="AL4000" t="s">
        <v>49</v>
      </c>
      <c r="AM4000" t="s">
        <v>2079</v>
      </c>
      <c r="AN4000" t="s">
        <v>166</v>
      </c>
      <c r="AP4000" t="s">
        <v>51</v>
      </c>
      <c r="AQ4000" s="5">
        <v>0</v>
      </c>
    </row>
    <row r="4001" spans="1:43" x14ac:dyDescent="0.2">
      <c r="A4001" t="s">
        <v>2068</v>
      </c>
      <c r="B4001" t="s">
        <v>2069</v>
      </c>
      <c r="C4001">
        <v>2007</v>
      </c>
      <c r="D4001" t="s">
        <v>44</v>
      </c>
      <c r="F4001" t="s">
        <v>2070</v>
      </c>
      <c r="G4001" s="1" t="s">
        <v>90</v>
      </c>
      <c r="H4001" t="s">
        <v>158</v>
      </c>
      <c r="I4001" t="s">
        <v>2071</v>
      </c>
      <c r="J4001">
        <v>1</v>
      </c>
      <c r="K4001" t="s">
        <v>42</v>
      </c>
      <c r="L4001">
        <v>1</v>
      </c>
      <c r="M4001">
        <f t="shared" si="91"/>
        <v>4.0000000000000008E-2</v>
      </c>
      <c r="N4001" t="s">
        <v>123</v>
      </c>
      <c r="O4001" t="s">
        <v>123</v>
      </c>
      <c r="P4001" t="s">
        <v>2072</v>
      </c>
      <c r="Q4001" s="1" t="s">
        <v>2281</v>
      </c>
      <c r="R4001" s="1" t="s">
        <v>2282</v>
      </c>
      <c r="S4001" s="1" t="s">
        <v>123</v>
      </c>
      <c r="T4001" t="s">
        <v>421</v>
      </c>
      <c r="U4001" t="s">
        <v>421</v>
      </c>
      <c r="X4001" t="s">
        <v>161</v>
      </c>
      <c r="Y4001" t="s">
        <v>2272</v>
      </c>
      <c r="Z4001" t="s">
        <v>2272</v>
      </c>
      <c r="AA4001" t="s">
        <v>2272</v>
      </c>
      <c r="AB4001" t="s">
        <v>2272</v>
      </c>
      <c r="AC4001" t="s">
        <v>162</v>
      </c>
      <c r="AD4001" t="s">
        <v>2272</v>
      </c>
      <c r="AF4001" t="s">
        <v>49</v>
      </c>
      <c r="AL4001" t="s">
        <v>49</v>
      </c>
      <c r="AM4001" t="s">
        <v>2080</v>
      </c>
      <c r="AN4001" t="s">
        <v>166</v>
      </c>
      <c r="AP4001" t="s">
        <v>51</v>
      </c>
      <c r="AQ4001" s="5">
        <v>0</v>
      </c>
    </row>
    <row r="4002" spans="1:43" x14ac:dyDescent="0.2">
      <c r="A4002" t="s">
        <v>2068</v>
      </c>
      <c r="B4002" t="s">
        <v>2069</v>
      </c>
      <c r="C4002">
        <v>2007</v>
      </c>
      <c r="D4002" t="s">
        <v>44</v>
      </c>
      <c r="F4002" t="s">
        <v>2070</v>
      </c>
      <c r="G4002" s="1" t="s">
        <v>90</v>
      </c>
      <c r="H4002" t="s">
        <v>158</v>
      </c>
      <c r="I4002" t="s">
        <v>2071</v>
      </c>
      <c r="J4002">
        <v>1</v>
      </c>
      <c r="K4002" t="s">
        <v>42</v>
      </c>
      <c r="L4002">
        <v>1</v>
      </c>
      <c r="M4002">
        <f t="shared" si="91"/>
        <v>4.0000000000000008E-2</v>
      </c>
      <c r="N4002" t="s">
        <v>123</v>
      </c>
      <c r="O4002" t="s">
        <v>123</v>
      </c>
      <c r="P4002" t="s">
        <v>2072</v>
      </c>
      <c r="Q4002" s="1" t="s">
        <v>2281</v>
      </c>
      <c r="R4002" s="1" t="s">
        <v>2282</v>
      </c>
      <c r="S4002" s="1" t="s">
        <v>123</v>
      </c>
      <c r="T4002" t="s">
        <v>421</v>
      </c>
      <c r="U4002" t="s">
        <v>421</v>
      </c>
      <c r="X4002" t="s">
        <v>161</v>
      </c>
      <c r="Y4002" t="s">
        <v>2272</v>
      </c>
      <c r="Z4002" t="s">
        <v>2272</v>
      </c>
      <c r="AA4002" t="s">
        <v>2272</v>
      </c>
      <c r="AB4002" t="s">
        <v>2272</v>
      </c>
      <c r="AC4002" t="s">
        <v>162</v>
      </c>
      <c r="AD4002" t="s">
        <v>2272</v>
      </c>
      <c r="AF4002" t="s">
        <v>49</v>
      </c>
      <c r="AL4002" t="s">
        <v>49</v>
      </c>
      <c r="AM4002" t="s">
        <v>2081</v>
      </c>
      <c r="AN4002" t="s">
        <v>166</v>
      </c>
      <c r="AP4002" t="s">
        <v>51</v>
      </c>
      <c r="AQ4002" s="5">
        <v>0</v>
      </c>
    </row>
    <row r="4003" spans="1:43" x14ac:dyDescent="0.2">
      <c r="A4003" t="s">
        <v>2068</v>
      </c>
      <c r="B4003" t="s">
        <v>2069</v>
      </c>
      <c r="C4003">
        <v>2007</v>
      </c>
      <c r="D4003" t="s">
        <v>44</v>
      </c>
      <c r="F4003" t="s">
        <v>2070</v>
      </c>
      <c r="G4003" s="1" t="s">
        <v>90</v>
      </c>
      <c r="H4003" t="s">
        <v>158</v>
      </c>
      <c r="I4003" t="s">
        <v>2071</v>
      </c>
      <c r="J4003">
        <v>1</v>
      </c>
      <c r="K4003" t="s">
        <v>42</v>
      </c>
      <c r="L4003">
        <v>1</v>
      </c>
      <c r="M4003">
        <f t="shared" si="91"/>
        <v>4.0000000000000008E-2</v>
      </c>
      <c r="N4003" t="s">
        <v>123</v>
      </c>
      <c r="O4003" t="s">
        <v>123</v>
      </c>
      <c r="P4003" t="s">
        <v>2072</v>
      </c>
      <c r="Q4003" s="1" t="s">
        <v>2281</v>
      </c>
      <c r="R4003" s="1" t="s">
        <v>2282</v>
      </c>
      <c r="S4003" s="1" t="s">
        <v>123</v>
      </c>
      <c r="T4003" t="s">
        <v>421</v>
      </c>
      <c r="U4003" t="s">
        <v>421</v>
      </c>
      <c r="X4003" t="s">
        <v>161</v>
      </c>
      <c r="Y4003" t="s">
        <v>2272</v>
      </c>
      <c r="Z4003" t="s">
        <v>2272</v>
      </c>
      <c r="AA4003" t="s">
        <v>2272</v>
      </c>
      <c r="AB4003" t="s">
        <v>2272</v>
      </c>
      <c r="AC4003" t="s">
        <v>162</v>
      </c>
      <c r="AD4003" t="s">
        <v>2272</v>
      </c>
      <c r="AF4003" t="s">
        <v>49</v>
      </c>
      <c r="AL4003" t="s">
        <v>49</v>
      </c>
      <c r="AM4003" t="s">
        <v>2082</v>
      </c>
      <c r="AN4003" t="s">
        <v>166</v>
      </c>
      <c r="AP4003" t="s">
        <v>51</v>
      </c>
      <c r="AQ4003" s="5">
        <v>0</v>
      </c>
    </row>
    <row r="4004" spans="1:43" x14ac:dyDescent="0.2">
      <c r="A4004" t="s">
        <v>2068</v>
      </c>
      <c r="B4004" t="s">
        <v>2069</v>
      </c>
      <c r="C4004">
        <v>2007</v>
      </c>
      <c r="D4004" t="s">
        <v>44</v>
      </c>
      <c r="F4004" t="s">
        <v>2070</v>
      </c>
      <c r="G4004" s="1" t="s">
        <v>90</v>
      </c>
      <c r="H4004" t="s">
        <v>158</v>
      </c>
      <c r="I4004" t="s">
        <v>2071</v>
      </c>
      <c r="J4004">
        <v>1</v>
      </c>
      <c r="K4004" t="s">
        <v>42</v>
      </c>
      <c r="L4004">
        <v>1</v>
      </c>
      <c r="M4004">
        <f t="shared" si="91"/>
        <v>4.0000000000000008E-2</v>
      </c>
      <c r="N4004" t="s">
        <v>123</v>
      </c>
      <c r="O4004" t="s">
        <v>123</v>
      </c>
      <c r="P4004" t="s">
        <v>2072</v>
      </c>
      <c r="Q4004" s="1" t="s">
        <v>2281</v>
      </c>
      <c r="R4004" s="1" t="s">
        <v>2282</v>
      </c>
      <c r="S4004" s="1" t="s">
        <v>123</v>
      </c>
      <c r="T4004" t="s">
        <v>421</v>
      </c>
      <c r="U4004" t="s">
        <v>421</v>
      </c>
      <c r="X4004" t="s">
        <v>161</v>
      </c>
      <c r="Y4004" t="s">
        <v>2272</v>
      </c>
      <c r="Z4004" t="s">
        <v>2272</v>
      </c>
      <c r="AA4004" t="s">
        <v>2272</v>
      </c>
      <c r="AB4004" t="s">
        <v>2272</v>
      </c>
      <c r="AC4004" t="s">
        <v>162</v>
      </c>
      <c r="AD4004" t="s">
        <v>2272</v>
      </c>
      <c r="AF4004" t="s">
        <v>49</v>
      </c>
      <c r="AL4004" t="s">
        <v>49</v>
      </c>
      <c r="AM4004" t="s">
        <v>2083</v>
      </c>
      <c r="AN4004" t="s">
        <v>166</v>
      </c>
      <c r="AP4004" t="s">
        <v>49</v>
      </c>
    </row>
    <row r="4005" spans="1:43" x14ac:dyDescent="0.2">
      <c r="A4005" t="s">
        <v>2068</v>
      </c>
      <c r="B4005" t="s">
        <v>2069</v>
      </c>
      <c r="C4005">
        <v>2007</v>
      </c>
      <c r="D4005" t="s">
        <v>44</v>
      </c>
      <c r="F4005" t="s">
        <v>2070</v>
      </c>
      <c r="G4005" s="1" t="s">
        <v>90</v>
      </c>
      <c r="H4005" t="s">
        <v>158</v>
      </c>
      <c r="I4005" t="s">
        <v>2071</v>
      </c>
      <c r="J4005">
        <v>1</v>
      </c>
      <c r="K4005" t="s">
        <v>42</v>
      </c>
      <c r="L4005">
        <v>1</v>
      </c>
      <c r="M4005">
        <f t="shared" si="91"/>
        <v>4.0000000000000008E-2</v>
      </c>
      <c r="N4005" t="s">
        <v>123</v>
      </c>
      <c r="O4005" t="s">
        <v>123</v>
      </c>
      <c r="P4005" t="s">
        <v>2072</v>
      </c>
      <c r="Q4005" s="1" t="s">
        <v>2281</v>
      </c>
      <c r="R4005" s="1" t="s">
        <v>2282</v>
      </c>
      <c r="S4005" s="1" t="s">
        <v>123</v>
      </c>
      <c r="T4005" t="s">
        <v>421</v>
      </c>
      <c r="U4005" t="s">
        <v>421</v>
      </c>
      <c r="X4005" t="s">
        <v>161</v>
      </c>
      <c r="Y4005" t="s">
        <v>2272</v>
      </c>
      <c r="Z4005" t="s">
        <v>2272</v>
      </c>
      <c r="AA4005" t="s">
        <v>2272</v>
      </c>
      <c r="AB4005" t="s">
        <v>2272</v>
      </c>
      <c r="AC4005" t="s">
        <v>162</v>
      </c>
      <c r="AD4005" t="s">
        <v>2272</v>
      </c>
      <c r="AF4005" t="s">
        <v>49</v>
      </c>
      <c r="AL4005" t="s">
        <v>49</v>
      </c>
      <c r="AM4005" t="s">
        <v>2084</v>
      </c>
      <c r="AN4005" t="s">
        <v>166</v>
      </c>
      <c r="AP4005" t="s">
        <v>51</v>
      </c>
      <c r="AQ4005" s="5">
        <v>0</v>
      </c>
    </row>
    <row r="4006" spans="1:43" x14ac:dyDescent="0.2">
      <c r="A4006" t="s">
        <v>2068</v>
      </c>
      <c r="B4006" t="s">
        <v>2069</v>
      </c>
      <c r="C4006">
        <v>2007</v>
      </c>
      <c r="D4006" t="s">
        <v>44</v>
      </c>
      <c r="F4006" t="s">
        <v>2070</v>
      </c>
      <c r="G4006" s="1" t="s">
        <v>90</v>
      </c>
      <c r="H4006" t="s">
        <v>158</v>
      </c>
      <c r="I4006" t="s">
        <v>2071</v>
      </c>
      <c r="J4006">
        <v>1</v>
      </c>
      <c r="K4006" t="s">
        <v>42</v>
      </c>
      <c r="L4006">
        <v>1</v>
      </c>
      <c r="M4006">
        <f t="shared" si="91"/>
        <v>4.0000000000000008E-2</v>
      </c>
      <c r="N4006" t="s">
        <v>123</v>
      </c>
      <c r="O4006" t="s">
        <v>123</v>
      </c>
      <c r="P4006" t="s">
        <v>2072</v>
      </c>
      <c r="Q4006" s="1" t="s">
        <v>2281</v>
      </c>
      <c r="R4006" s="1" t="s">
        <v>2282</v>
      </c>
      <c r="S4006" s="1" t="s">
        <v>123</v>
      </c>
      <c r="T4006" t="s">
        <v>421</v>
      </c>
      <c r="U4006" t="s">
        <v>421</v>
      </c>
      <c r="X4006" t="s">
        <v>161</v>
      </c>
      <c r="Y4006" t="s">
        <v>2272</v>
      </c>
      <c r="Z4006" t="s">
        <v>2272</v>
      </c>
      <c r="AA4006" t="s">
        <v>2272</v>
      </c>
      <c r="AB4006" t="s">
        <v>2272</v>
      </c>
      <c r="AC4006" t="s">
        <v>162</v>
      </c>
      <c r="AD4006" t="s">
        <v>2272</v>
      </c>
      <c r="AF4006" t="s">
        <v>49</v>
      </c>
      <c r="AL4006" t="s">
        <v>49</v>
      </c>
      <c r="AM4006" t="s">
        <v>2085</v>
      </c>
      <c r="AN4006" t="s">
        <v>166</v>
      </c>
      <c r="AP4006" t="s">
        <v>49</v>
      </c>
    </row>
    <row r="4007" spans="1:43" x14ac:dyDescent="0.2">
      <c r="A4007" t="s">
        <v>2068</v>
      </c>
      <c r="B4007" t="s">
        <v>2069</v>
      </c>
      <c r="C4007">
        <v>2007</v>
      </c>
      <c r="D4007" t="s">
        <v>44</v>
      </c>
      <c r="F4007" t="s">
        <v>2070</v>
      </c>
      <c r="G4007" s="1" t="s">
        <v>90</v>
      </c>
      <c r="H4007" t="s">
        <v>158</v>
      </c>
      <c r="I4007" t="s">
        <v>2071</v>
      </c>
      <c r="J4007">
        <v>1</v>
      </c>
      <c r="K4007" t="s">
        <v>42</v>
      </c>
      <c r="L4007">
        <v>1</v>
      </c>
      <c r="M4007">
        <f t="shared" si="91"/>
        <v>4.0000000000000008E-2</v>
      </c>
      <c r="N4007" t="s">
        <v>123</v>
      </c>
      <c r="O4007" t="s">
        <v>123</v>
      </c>
      <c r="P4007" t="s">
        <v>2072</v>
      </c>
      <c r="Q4007" s="1" t="s">
        <v>2281</v>
      </c>
      <c r="R4007" s="1" t="s">
        <v>2282</v>
      </c>
      <c r="S4007" s="1" t="s">
        <v>123</v>
      </c>
      <c r="T4007" t="s">
        <v>421</v>
      </c>
      <c r="U4007" t="s">
        <v>421</v>
      </c>
      <c r="X4007" t="s">
        <v>161</v>
      </c>
      <c r="Y4007" t="s">
        <v>2272</v>
      </c>
      <c r="Z4007" t="s">
        <v>2272</v>
      </c>
      <c r="AA4007" t="s">
        <v>2272</v>
      </c>
      <c r="AB4007" t="s">
        <v>2272</v>
      </c>
      <c r="AC4007" t="s">
        <v>162</v>
      </c>
      <c r="AD4007" t="s">
        <v>2272</v>
      </c>
      <c r="AF4007" t="s">
        <v>49</v>
      </c>
      <c r="AL4007" t="s">
        <v>49</v>
      </c>
      <c r="AM4007" t="s">
        <v>2086</v>
      </c>
      <c r="AN4007" t="s">
        <v>166</v>
      </c>
      <c r="AP4007" t="s">
        <v>51</v>
      </c>
      <c r="AQ4007" s="5">
        <v>0</v>
      </c>
    </row>
    <row r="4008" spans="1:43" x14ac:dyDescent="0.2">
      <c r="A4008" t="s">
        <v>2068</v>
      </c>
      <c r="B4008" t="s">
        <v>2069</v>
      </c>
      <c r="C4008">
        <v>2007</v>
      </c>
      <c r="D4008" t="s">
        <v>44</v>
      </c>
      <c r="F4008" t="s">
        <v>2070</v>
      </c>
      <c r="G4008" s="1" t="s">
        <v>90</v>
      </c>
      <c r="H4008" t="s">
        <v>158</v>
      </c>
      <c r="I4008" t="s">
        <v>2071</v>
      </c>
      <c r="J4008">
        <v>1</v>
      </c>
      <c r="K4008" t="s">
        <v>42</v>
      </c>
      <c r="L4008">
        <v>1</v>
      </c>
      <c r="M4008">
        <f t="shared" si="91"/>
        <v>4.0000000000000008E-2</v>
      </c>
      <c r="N4008" t="s">
        <v>123</v>
      </c>
      <c r="O4008" t="s">
        <v>123</v>
      </c>
      <c r="P4008" t="s">
        <v>2072</v>
      </c>
      <c r="Q4008" s="1" t="s">
        <v>2281</v>
      </c>
      <c r="R4008" s="1" t="s">
        <v>2282</v>
      </c>
      <c r="S4008" s="1" t="s">
        <v>123</v>
      </c>
      <c r="T4008" t="s">
        <v>421</v>
      </c>
      <c r="U4008" t="s">
        <v>421</v>
      </c>
      <c r="X4008" t="s">
        <v>161</v>
      </c>
      <c r="Y4008" t="s">
        <v>2272</v>
      </c>
      <c r="Z4008" t="s">
        <v>2272</v>
      </c>
      <c r="AA4008" t="s">
        <v>2272</v>
      </c>
      <c r="AB4008" t="s">
        <v>2272</v>
      </c>
      <c r="AC4008" t="s">
        <v>162</v>
      </c>
      <c r="AD4008" t="s">
        <v>2272</v>
      </c>
      <c r="AF4008" t="s">
        <v>49</v>
      </c>
      <c r="AL4008" t="s">
        <v>49</v>
      </c>
      <c r="AM4008" t="s">
        <v>2087</v>
      </c>
      <c r="AN4008" t="s">
        <v>166</v>
      </c>
      <c r="AP4008" t="s">
        <v>51</v>
      </c>
      <c r="AQ4008" s="5">
        <v>0</v>
      </c>
    </row>
    <row r="4009" spans="1:43" x14ac:dyDescent="0.2">
      <c r="A4009" t="s">
        <v>2068</v>
      </c>
      <c r="B4009" t="s">
        <v>2069</v>
      </c>
      <c r="C4009">
        <v>2007</v>
      </c>
      <c r="D4009" t="s">
        <v>44</v>
      </c>
      <c r="F4009" t="s">
        <v>2070</v>
      </c>
      <c r="G4009" s="1" t="s">
        <v>90</v>
      </c>
      <c r="H4009" t="s">
        <v>158</v>
      </c>
      <c r="I4009" t="s">
        <v>2071</v>
      </c>
      <c r="J4009">
        <v>1</v>
      </c>
      <c r="K4009" t="s">
        <v>42</v>
      </c>
      <c r="L4009">
        <v>1</v>
      </c>
      <c r="M4009">
        <f t="shared" si="91"/>
        <v>4.0000000000000008E-2</v>
      </c>
      <c r="N4009" t="s">
        <v>123</v>
      </c>
      <c r="O4009" t="s">
        <v>123</v>
      </c>
      <c r="P4009" t="s">
        <v>2072</v>
      </c>
      <c r="Q4009" s="1" t="s">
        <v>2281</v>
      </c>
      <c r="R4009" s="1" t="s">
        <v>2282</v>
      </c>
      <c r="S4009" s="1" t="s">
        <v>123</v>
      </c>
      <c r="T4009" t="s">
        <v>421</v>
      </c>
      <c r="U4009" t="s">
        <v>421</v>
      </c>
      <c r="X4009" t="s">
        <v>161</v>
      </c>
      <c r="Y4009" t="s">
        <v>2272</v>
      </c>
      <c r="Z4009" t="s">
        <v>2272</v>
      </c>
      <c r="AA4009" t="s">
        <v>2272</v>
      </c>
      <c r="AB4009" t="s">
        <v>2272</v>
      </c>
      <c r="AC4009" t="s">
        <v>162</v>
      </c>
      <c r="AD4009" t="s">
        <v>2272</v>
      </c>
      <c r="AF4009" t="s">
        <v>49</v>
      </c>
      <c r="AL4009" t="s">
        <v>49</v>
      </c>
      <c r="AM4009" t="s">
        <v>2088</v>
      </c>
      <c r="AN4009" t="s">
        <v>166</v>
      </c>
      <c r="AP4009" t="s">
        <v>51</v>
      </c>
      <c r="AQ4009" s="5">
        <v>0</v>
      </c>
    </row>
    <row r="4010" spans="1:43" x14ac:dyDescent="0.2">
      <c r="A4010" t="s">
        <v>2068</v>
      </c>
      <c r="B4010" t="s">
        <v>2069</v>
      </c>
      <c r="C4010">
        <v>2007</v>
      </c>
      <c r="D4010" t="s">
        <v>44</v>
      </c>
      <c r="F4010" t="s">
        <v>2070</v>
      </c>
      <c r="G4010" s="1" t="s">
        <v>90</v>
      </c>
      <c r="H4010" t="s">
        <v>158</v>
      </c>
      <c r="I4010" t="s">
        <v>2071</v>
      </c>
      <c r="J4010">
        <v>1</v>
      </c>
      <c r="K4010" t="s">
        <v>42</v>
      </c>
      <c r="L4010">
        <v>1</v>
      </c>
      <c r="M4010">
        <f t="shared" si="91"/>
        <v>4.0000000000000008E-2</v>
      </c>
      <c r="N4010" t="s">
        <v>123</v>
      </c>
      <c r="O4010" t="s">
        <v>123</v>
      </c>
      <c r="P4010" t="s">
        <v>2072</v>
      </c>
      <c r="Q4010" s="1" t="s">
        <v>2281</v>
      </c>
      <c r="R4010" s="1" t="s">
        <v>2282</v>
      </c>
      <c r="S4010" s="1" t="s">
        <v>123</v>
      </c>
      <c r="T4010" t="s">
        <v>421</v>
      </c>
      <c r="U4010" t="s">
        <v>421</v>
      </c>
      <c r="X4010" t="s">
        <v>161</v>
      </c>
      <c r="Y4010" t="s">
        <v>2272</v>
      </c>
      <c r="Z4010" t="s">
        <v>2272</v>
      </c>
      <c r="AA4010" t="s">
        <v>2272</v>
      </c>
      <c r="AB4010" t="s">
        <v>2272</v>
      </c>
      <c r="AC4010" t="s">
        <v>162</v>
      </c>
      <c r="AD4010" t="s">
        <v>2272</v>
      </c>
      <c r="AF4010" t="s">
        <v>49</v>
      </c>
      <c r="AL4010" t="s">
        <v>49</v>
      </c>
      <c r="AM4010" t="s">
        <v>2089</v>
      </c>
      <c r="AN4010" t="s">
        <v>166</v>
      </c>
      <c r="AP4010" t="s">
        <v>51</v>
      </c>
      <c r="AQ4010" s="5">
        <v>0</v>
      </c>
    </row>
    <row r="4011" spans="1:43" x14ac:dyDescent="0.2">
      <c r="A4011" t="s">
        <v>2068</v>
      </c>
      <c r="B4011" t="s">
        <v>2069</v>
      </c>
      <c r="C4011">
        <v>2007</v>
      </c>
      <c r="D4011" t="s">
        <v>44</v>
      </c>
      <c r="F4011" t="s">
        <v>2070</v>
      </c>
      <c r="G4011" s="1" t="s">
        <v>90</v>
      </c>
      <c r="H4011" t="s">
        <v>158</v>
      </c>
      <c r="I4011" t="s">
        <v>2071</v>
      </c>
      <c r="J4011">
        <v>1</v>
      </c>
      <c r="K4011" t="s">
        <v>42</v>
      </c>
      <c r="L4011">
        <v>1</v>
      </c>
      <c r="M4011">
        <f t="shared" si="91"/>
        <v>4.0000000000000008E-2</v>
      </c>
      <c r="N4011" t="s">
        <v>123</v>
      </c>
      <c r="O4011" t="s">
        <v>123</v>
      </c>
      <c r="P4011" t="s">
        <v>2072</v>
      </c>
      <c r="Q4011" s="1" t="s">
        <v>2281</v>
      </c>
      <c r="R4011" s="1" t="s">
        <v>2282</v>
      </c>
      <c r="S4011" s="1" t="s">
        <v>123</v>
      </c>
      <c r="T4011" t="s">
        <v>421</v>
      </c>
      <c r="U4011" t="s">
        <v>421</v>
      </c>
      <c r="X4011" t="s">
        <v>161</v>
      </c>
      <c r="Y4011" t="s">
        <v>2272</v>
      </c>
      <c r="Z4011" t="s">
        <v>2272</v>
      </c>
      <c r="AA4011" t="s">
        <v>2272</v>
      </c>
      <c r="AB4011" t="s">
        <v>2272</v>
      </c>
      <c r="AC4011" t="s">
        <v>162</v>
      </c>
      <c r="AD4011" t="s">
        <v>2272</v>
      </c>
      <c r="AF4011" t="s">
        <v>49</v>
      </c>
      <c r="AL4011" t="s">
        <v>49</v>
      </c>
      <c r="AM4011" t="s">
        <v>2090</v>
      </c>
      <c r="AN4011" t="s">
        <v>166</v>
      </c>
      <c r="AP4011" t="s">
        <v>51</v>
      </c>
      <c r="AQ4011" s="5">
        <v>0</v>
      </c>
    </row>
    <row r="4012" spans="1:43" x14ac:dyDescent="0.2">
      <c r="A4012" t="s">
        <v>2068</v>
      </c>
      <c r="B4012" t="s">
        <v>2069</v>
      </c>
      <c r="C4012">
        <v>2007</v>
      </c>
      <c r="D4012" t="s">
        <v>44</v>
      </c>
      <c r="F4012" t="s">
        <v>2070</v>
      </c>
      <c r="G4012" s="1" t="s">
        <v>90</v>
      </c>
      <c r="H4012" t="s">
        <v>158</v>
      </c>
      <c r="I4012" t="s">
        <v>2071</v>
      </c>
      <c r="J4012">
        <v>1</v>
      </c>
      <c r="K4012" t="s">
        <v>42</v>
      </c>
      <c r="L4012">
        <v>1</v>
      </c>
      <c r="M4012">
        <f t="shared" si="91"/>
        <v>4.0000000000000008E-2</v>
      </c>
      <c r="N4012" t="s">
        <v>123</v>
      </c>
      <c r="O4012" t="s">
        <v>123</v>
      </c>
      <c r="P4012" t="s">
        <v>2072</v>
      </c>
      <c r="Q4012" s="1" t="s">
        <v>2281</v>
      </c>
      <c r="R4012" s="1" t="s">
        <v>2282</v>
      </c>
      <c r="S4012" s="1" t="s">
        <v>123</v>
      </c>
      <c r="T4012" t="s">
        <v>421</v>
      </c>
      <c r="U4012" t="s">
        <v>421</v>
      </c>
      <c r="X4012" t="s">
        <v>161</v>
      </c>
      <c r="Y4012" t="s">
        <v>2272</v>
      </c>
      <c r="Z4012" t="s">
        <v>2272</v>
      </c>
      <c r="AA4012" t="s">
        <v>2272</v>
      </c>
      <c r="AB4012" t="s">
        <v>2272</v>
      </c>
      <c r="AC4012" t="s">
        <v>162</v>
      </c>
      <c r="AD4012" t="s">
        <v>2272</v>
      </c>
      <c r="AF4012" t="s">
        <v>49</v>
      </c>
      <c r="AL4012" t="s">
        <v>49</v>
      </c>
      <c r="AM4012" t="s">
        <v>2091</v>
      </c>
      <c r="AN4012" t="s">
        <v>166</v>
      </c>
      <c r="AP4012" t="s">
        <v>51</v>
      </c>
      <c r="AQ4012" s="5">
        <v>0</v>
      </c>
    </row>
    <row r="4013" spans="1:43" x14ac:dyDescent="0.2">
      <c r="A4013" t="s">
        <v>2068</v>
      </c>
      <c r="B4013" t="s">
        <v>2069</v>
      </c>
      <c r="C4013">
        <v>2007</v>
      </c>
      <c r="D4013" t="s">
        <v>44</v>
      </c>
      <c r="F4013" t="s">
        <v>2070</v>
      </c>
      <c r="G4013" s="1" t="s">
        <v>90</v>
      </c>
      <c r="H4013" t="s">
        <v>158</v>
      </c>
      <c r="I4013" t="s">
        <v>2071</v>
      </c>
      <c r="J4013">
        <v>1</v>
      </c>
      <c r="K4013" t="s">
        <v>42</v>
      </c>
      <c r="L4013">
        <v>1</v>
      </c>
      <c r="M4013">
        <f t="shared" si="91"/>
        <v>4.0000000000000008E-2</v>
      </c>
      <c r="N4013" t="s">
        <v>123</v>
      </c>
      <c r="O4013" t="s">
        <v>123</v>
      </c>
      <c r="P4013" t="s">
        <v>2072</v>
      </c>
      <c r="Q4013" s="1" t="s">
        <v>2281</v>
      </c>
      <c r="R4013" s="1" t="s">
        <v>2282</v>
      </c>
      <c r="S4013" s="1" t="s">
        <v>123</v>
      </c>
      <c r="T4013" t="s">
        <v>421</v>
      </c>
      <c r="U4013" t="s">
        <v>421</v>
      </c>
      <c r="X4013" t="s">
        <v>161</v>
      </c>
      <c r="Y4013" t="s">
        <v>2272</v>
      </c>
      <c r="Z4013" t="s">
        <v>2272</v>
      </c>
      <c r="AA4013" t="s">
        <v>2272</v>
      </c>
      <c r="AB4013" t="s">
        <v>2272</v>
      </c>
      <c r="AC4013" t="s">
        <v>162</v>
      </c>
      <c r="AD4013" t="s">
        <v>2272</v>
      </c>
      <c r="AF4013" t="s">
        <v>49</v>
      </c>
      <c r="AL4013" t="s">
        <v>49</v>
      </c>
      <c r="AM4013" t="s">
        <v>2092</v>
      </c>
      <c r="AN4013" t="s">
        <v>166</v>
      </c>
      <c r="AP4013" t="s">
        <v>51</v>
      </c>
      <c r="AQ4013" s="5">
        <v>0</v>
      </c>
    </row>
    <row r="4014" spans="1:43" x14ac:dyDescent="0.2">
      <c r="A4014" t="s">
        <v>2068</v>
      </c>
      <c r="B4014" t="s">
        <v>2069</v>
      </c>
      <c r="C4014">
        <v>2007</v>
      </c>
      <c r="D4014" t="s">
        <v>44</v>
      </c>
      <c r="F4014" t="s">
        <v>2070</v>
      </c>
      <c r="G4014" s="1" t="s">
        <v>90</v>
      </c>
      <c r="H4014" t="s">
        <v>158</v>
      </c>
      <c r="I4014" t="s">
        <v>2071</v>
      </c>
      <c r="J4014">
        <v>1</v>
      </c>
      <c r="K4014" t="s">
        <v>42</v>
      </c>
      <c r="L4014">
        <v>1</v>
      </c>
      <c r="M4014">
        <f t="shared" si="91"/>
        <v>4.0000000000000008E-2</v>
      </c>
      <c r="N4014" t="s">
        <v>123</v>
      </c>
      <c r="O4014" t="s">
        <v>123</v>
      </c>
      <c r="P4014" t="s">
        <v>2072</v>
      </c>
      <c r="Q4014" s="1" t="s">
        <v>2281</v>
      </c>
      <c r="R4014" s="1" t="s">
        <v>2282</v>
      </c>
      <c r="S4014" s="1" t="s">
        <v>123</v>
      </c>
      <c r="T4014" t="s">
        <v>421</v>
      </c>
      <c r="U4014" t="s">
        <v>421</v>
      </c>
      <c r="X4014" t="s">
        <v>161</v>
      </c>
      <c r="Y4014" t="s">
        <v>2272</v>
      </c>
      <c r="Z4014" t="s">
        <v>2272</v>
      </c>
      <c r="AA4014" t="s">
        <v>2272</v>
      </c>
      <c r="AB4014" t="s">
        <v>2272</v>
      </c>
      <c r="AC4014" t="s">
        <v>162</v>
      </c>
      <c r="AD4014" t="s">
        <v>2272</v>
      </c>
      <c r="AF4014" t="s">
        <v>49</v>
      </c>
      <c r="AL4014" t="s">
        <v>49</v>
      </c>
      <c r="AM4014" t="s">
        <v>2093</v>
      </c>
      <c r="AN4014" t="s">
        <v>166</v>
      </c>
      <c r="AP4014" t="s">
        <v>49</v>
      </c>
    </row>
    <row r="4015" spans="1:43" x14ac:dyDescent="0.2">
      <c r="A4015" t="s">
        <v>2068</v>
      </c>
      <c r="B4015" t="s">
        <v>2069</v>
      </c>
      <c r="C4015">
        <v>2007</v>
      </c>
      <c r="D4015" t="s">
        <v>44</v>
      </c>
      <c r="F4015" t="s">
        <v>2070</v>
      </c>
      <c r="G4015" s="1" t="s">
        <v>90</v>
      </c>
      <c r="H4015" t="s">
        <v>158</v>
      </c>
      <c r="I4015" t="s">
        <v>2071</v>
      </c>
      <c r="J4015">
        <v>1</v>
      </c>
      <c r="K4015" t="s">
        <v>42</v>
      </c>
      <c r="L4015">
        <v>1</v>
      </c>
      <c r="M4015">
        <f t="shared" si="91"/>
        <v>4.0000000000000008E-2</v>
      </c>
      <c r="N4015" t="s">
        <v>123</v>
      </c>
      <c r="O4015" t="s">
        <v>123</v>
      </c>
      <c r="P4015" t="s">
        <v>2072</v>
      </c>
      <c r="Q4015" s="1" t="s">
        <v>2281</v>
      </c>
      <c r="R4015" s="1" t="s">
        <v>2282</v>
      </c>
      <c r="S4015" s="1" t="s">
        <v>123</v>
      </c>
      <c r="T4015" t="s">
        <v>421</v>
      </c>
      <c r="U4015" t="s">
        <v>421</v>
      </c>
      <c r="X4015" t="s">
        <v>161</v>
      </c>
      <c r="Y4015" t="s">
        <v>2272</v>
      </c>
      <c r="Z4015" t="s">
        <v>2272</v>
      </c>
      <c r="AA4015" t="s">
        <v>2272</v>
      </c>
      <c r="AB4015" t="s">
        <v>2272</v>
      </c>
      <c r="AC4015" t="s">
        <v>162</v>
      </c>
      <c r="AD4015" t="s">
        <v>2272</v>
      </c>
      <c r="AF4015" t="s">
        <v>49</v>
      </c>
      <c r="AL4015" t="s">
        <v>49</v>
      </c>
      <c r="AM4015" t="s">
        <v>2094</v>
      </c>
      <c r="AN4015" t="s">
        <v>166</v>
      </c>
      <c r="AP4015" t="s">
        <v>51</v>
      </c>
      <c r="AQ4015" s="5">
        <v>0</v>
      </c>
    </row>
    <row r="4016" spans="1:43" x14ac:dyDescent="0.2">
      <c r="A4016" t="s">
        <v>2068</v>
      </c>
      <c r="B4016" t="s">
        <v>2069</v>
      </c>
      <c r="C4016">
        <v>2007</v>
      </c>
      <c r="D4016" t="s">
        <v>44</v>
      </c>
      <c r="F4016" t="s">
        <v>2070</v>
      </c>
      <c r="G4016" s="1" t="s">
        <v>90</v>
      </c>
      <c r="H4016" t="s">
        <v>158</v>
      </c>
      <c r="I4016" t="s">
        <v>2071</v>
      </c>
      <c r="J4016">
        <v>1</v>
      </c>
      <c r="K4016" t="s">
        <v>42</v>
      </c>
      <c r="L4016">
        <v>1</v>
      </c>
      <c r="M4016">
        <f t="shared" si="91"/>
        <v>4.0000000000000008E-2</v>
      </c>
      <c r="N4016" t="s">
        <v>123</v>
      </c>
      <c r="O4016" t="s">
        <v>123</v>
      </c>
      <c r="P4016" t="s">
        <v>2072</v>
      </c>
      <c r="Q4016" s="1" t="s">
        <v>2281</v>
      </c>
      <c r="R4016" s="1" t="s">
        <v>2282</v>
      </c>
      <c r="S4016" s="1" t="s">
        <v>123</v>
      </c>
      <c r="T4016" t="s">
        <v>421</v>
      </c>
      <c r="U4016" t="s">
        <v>421</v>
      </c>
      <c r="X4016" t="s">
        <v>161</v>
      </c>
      <c r="Y4016" t="s">
        <v>2272</v>
      </c>
      <c r="Z4016" t="s">
        <v>2272</v>
      </c>
      <c r="AA4016" t="s">
        <v>2272</v>
      </c>
      <c r="AB4016" t="s">
        <v>2272</v>
      </c>
      <c r="AC4016" t="s">
        <v>162</v>
      </c>
      <c r="AD4016" t="s">
        <v>2272</v>
      </c>
      <c r="AF4016" t="s">
        <v>49</v>
      </c>
      <c r="AL4016" t="s">
        <v>49</v>
      </c>
      <c r="AM4016" t="s">
        <v>2095</v>
      </c>
      <c r="AN4016" t="s">
        <v>166</v>
      </c>
      <c r="AP4016" t="s">
        <v>51</v>
      </c>
      <c r="AQ4016" s="5">
        <v>0</v>
      </c>
    </row>
    <row r="4017" spans="1:43" x14ac:dyDescent="0.2">
      <c r="A4017" t="s">
        <v>2068</v>
      </c>
      <c r="B4017" t="s">
        <v>2069</v>
      </c>
      <c r="C4017">
        <v>2007</v>
      </c>
      <c r="D4017" t="s">
        <v>44</v>
      </c>
      <c r="F4017" t="s">
        <v>2070</v>
      </c>
      <c r="G4017" s="1" t="s">
        <v>90</v>
      </c>
      <c r="H4017" t="s">
        <v>158</v>
      </c>
      <c r="I4017" t="s">
        <v>2071</v>
      </c>
      <c r="J4017">
        <v>1</v>
      </c>
      <c r="K4017" t="s">
        <v>42</v>
      </c>
      <c r="L4017">
        <v>1</v>
      </c>
      <c r="M4017">
        <f t="shared" si="91"/>
        <v>4.0000000000000008E-2</v>
      </c>
      <c r="N4017" t="s">
        <v>123</v>
      </c>
      <c r="O4017" t="s">
        <v>123</v>
      </c>
      <c r="P4017" t="s">
        <v>2072</v>
      </c>
      <c r="Q4017" s="1" t="s">
        <v>2281</v>
      </c>
      <c r="R4017" s="1" t="s">
        <v>2282</v>
      </c>
      <c r="S4017" s="1" t="s">
        <v>123</v>
      </c>
      <c r="T4017" t="s">
        <v>421</v>
      </c>
      <c r="U4017" t="s">
        <v>421</v>
      </c>
      <c r="X4017" t="s">
        <v>161</v>
      </c>
      <c r="Y4017" t="s">
        <v>2272</v>
      </c>
      <c r="Z4017" t="s">
        <v>2272</v>
      </c>
      <c r="AA4017" t="s">
        <v>2272</v>
      </c>
      <c r="AB4017" t="s">
        <v>2272</v>
      </c>
      <c r="AC4017" t="s">
        <v>162</v>
      </c>
      <c r="AD4017" t="s">
        <v>2272</v>
      </c>
      <c r="AF4017" t="s">
        <v>49</v>
      </c>
      <c r="AL4017" t="s">
        <v>49</v>
      </c>
      <c r="AM4017" t="s">
        <v>2096</v>
      </c>
      <c r="AN4017" t="s">
        <v>166</v>
      </c>
      <c r="AP4017" t="s">
        <v>51</v>
      </c>
      <c r="AQ4017" s="5">
        <v>0</v>
      </c>
    </row>
    <row r="4018" spans="1:43" x14ac:dyDescent="0.2">
      <c r="A4018" t="s">
        <v>2068</v>
      </c>
      <c r="B4018" t="s">
        <v>2069</v>
      </c>
      <c r="C4018">
        <v>2007</v>
      </c>
      <c r="D4018" t="s">
        <v>44</v>
      </c>
      <c r="F4018" t="s">
        <v>2070</v>
      </c>
      <c r="G4018" s="1" t="s">
        <v>90</v>
      </c>
      <c r="H4018" t="s">
        <v>158</v>
      </c>
      <c r="I4018" t="s">
        <v>2071</v>
      </c>
      <c r="J4018">
        <v>1</v>
      </c>
      <c r="K4018" t="s">
        <v>42</v>
      </c>
      <c r="L4018">
        <v>1</v>
      </c>
      <c r="M4018">
        <f t="shared" si="91"/>
        <v>4.0000000000000008E-2</v>
      </c>
      <c r="N4018" t="s">
        <v>123</v>
      </c>
      <c r="O4018" t="s">
        <v>123</v>
      </c>
      <c r="P4018" t="s">
        <v>2072</v>
      </c>
      <c r="Q4018" s="1" t="s">
        <v>2281</v>
      </c>
      <c r="R4018" s="1" t="s">
        <v>2282</v>
      </c>
      <c r="S4018" s="1" t="s">
        <v>123</v>
      </c>
      <c r="T4018" t="s">
        <v>421</v>
      </c>
      <c r="U4018" t="s">
        <v>421</v>
      </c>
      <c r="X4018" t="s">
        <v>161</v>
      </c>
      <c r="Y4018" t="s">
        <v>2272</v>
      </c>
      <c r="Z4018" t="s">
        <v>2272</v>
      </c>
      <c r="AA4018" t="s">
        <v>2272</v>
      </c>
      <c r="AB4018" t="s">
        <v>2272</v>
      </c>
      <c r="AC4018" t="s">
        <v>162</v>
      </c>
      <c r="AD4018" t="s">
        <v>2272</v>
      </c>
      <c r="AF4018" t="s">
        <v>49</v>
      </c>
      <c r="AL4018" t="s">
        <v>49</v>
      </c>
      <c r="AM4018" t="s">
        <v>2097</v>
      </c>
      <c r="AN4018" t="s">
        <v>166</v>
      </c>
      <c r="AP4018" t="s">
        <v>51</v>
      </c>
      <c r="AQ4018" s="5">
        <v>0</v>
      </c>
    </row>
    <row r="4019" spans="1:43" x14ac:dyDescent="0.2">
      <c r="A4019" t="s">
        <v>2068</v>
      </c>
      <c r="B4019" t="s">
        <v>2069</v>
      </c>
      <c r="C4019">
        <v>2007</v>
      </c>
      <c r="D4019" t="s">
        <v>44</v>
      </c>
      <c r="F4019" t="s">
        <v>2070</v>
      </c>
      <c r="G4019" s="1" t="s">
        <v>90</v>
      </c>
      <c r="H4019" t="s">
        <v>158</v>
      </c>
      <c r="I4019" t="s">
        <v>2071</v>
      </c>
      <c r="J4019">
        <v>1</v>
      </c>
      <c r="K4019" t="s">
        <v>42</v>
      </c>
      <c r="L4019">
        <v>1</v>
      </c>
      <c r="M4019">
        <f t="shared" si="91"/>
        <v>4.0000000000000008E-2</v>
      </c>
      <c r="N4019" t="s">
        <v>123</v>
      </c>
      <c r="O4019" t="s">
        <v>123</v>
      </c>
      <c r="P4019" t="s">
        <v>2072</v>
      </c>
      <c r="Q4019" s="1" t="s">
        <v>2281</v>
      </c>
      <c r="R4019" s="1" t="s">
        <v>2282</v>
      </c>
      <c r="S4019" s="1" t="s">
        <v>123</v>
      </c>
      <c r="T4019" t="s">
        <v>421</v>
      </c>
      <c r="U4019" t="s">
        <v>421</v>
      </c>
      <c r="X4019" t="s">
        <v>161</v>
      </c>
      <c r="Y4019" t="s">
        <v>2272</v>
      </c>
      <c r="Z4019" t="s">
        <v>2272</v>
      </c>
      <c r="AA4019" t="s">
        <v>2272</v>
      </c>
      <c r="AB4019" t="s">
        <v>2272</v>
      </c>
      <c r="AC4019" t="s">
        <v>162</v>
      </c>
      <c r="AD4019" t="s">
        <v>2272</v>
      </c>
      <c r="AF4019" t="s">
        <v>49</v>
      </c>
      <c r="AL4019" t="s">
        <v>49</v>
      </c>
      <c r="AM4019" t="s">
        <v>2098</v>
      </c>
      <c r="AN4019" t="s">
        <v>166</v>
      </c>
      <c r="AP4019" t="s">
        <v>51</v>
      </c>
      <c r="AQ4019" s="5">
        <v>0</v>
      </c>
    </row>
    <row r="4020" spans="1:43" x14ac:dyDescent="0.2">
      <c r="A4020" t="s">
        <v>2068</v>
      </c>
      <c r="B4020" t="s">
        <v>2069</v>
      </c>
      <c r="C4020">
        <v>2007</v>
      </c>
      <c r="D4020" t="s">
        <v>44</v>
      </c>
      <c r="F4020" t="s">
        <v>2070</v>
      </c>
      <c r="G4020" s="1" t="s">
        <v>90</v>
      </c>
      <c r="H4020" t="s">
        <v>158</v>
      </c>
      <c r="I4020" t="s">
        <v>2071</v>
      </c>
      <c r="J4020">
        <v>1</v>
      </c>
      <c r="K4020" t="s">
        <v>42</v>
      </c>
      <c r="L4020">
        <v>1</v>
      </c>
      <c r="M4020">
        <f t="shared" si="91"/>
        <v>4.0000000000000008E-2</v>
      </c>
      <c r="N4020" t="s">
        <v>123</v>
      </c>
      <c r="O4020" t="s">
        <v>123</v>
      </c>
      <c r="P4020" t="s">
        <v>2072</v>
      </c>
      <c r="Q4020" s="1" t="s">
        <v>2281</v>
      </c>
      <c r="R4020" s="1" t="s">
        <v>2282</v>
      </c>
      <c r="S4020" s="1" t="s">
        <v>123</v>
      </c>
      <c r="T4020" t="s">
        <v>421</v>
      </c>
      <c r="U4020" t="s">
        <v>421</v>
      </c>
      <c r="X4020" t="s">
        <v>161</v>
      </c>
      <c r="Y4020" t="s">
        <v>2272</v>
      </c>
      <c r="Z4020" t="s">
        <v>2272</v>
      </c>
      <c r="AA4020" t="s">
        <v>2272</v>
      </c>
      <c r="AB4020" t="s">
        <v>2272</v>
      </c>
      <c r="AC4020" t="s">
        <v>162</v>
      </c>
      <c r="AD4020" t="s">
        <v>2272</v>
      </c>
      <c r="AF4020" t="s">
        <v>49</v>
      </c>
      <c r="AL4020" t="s">
        <v>49</v>
      </c>
      <c r="AM4020" t="s">
        <v>2099</v>
      </c>
      <c r="AN4020" t="s">
        <v>166</v>
      </c>
      <c r="AP4020" t="s">
        <v>49</v>
      </c>
    </row>
    <row r="4021" spans="1:43" x14ac:dyDescent="0.2">
      <c r="A4021" t="s">
        <v>2068</v>
      </c>
      <c r="B4021" t="s">
        <v>2069</v>
      </c>
      <c r="C4021">
        <v>2007</v>
      </c>
      <c r="D4021" t="s">
        <v>44</v>
      </c>
      <c r="F4021" t="s">
        <v>2070</v>
      </c>
      <c r="G4021" s="1" t="s">
        <v>90</v>
      </c>
      <c r="H4021" t="s">
        <v>158</v>
      </c>
      <c r="I4021" t="s">
        <v>2071</v>
      </c>
      <c r="J4021">
        <v>1</v>
      </c>
      <c r="K4021" t="s">
        <v>42</v>
      </c>
      <c r="L4021">
        <v>1</v>
      </c>
      <c r="M4021">
        <f t="shared" si="91"/>
        <v>4.0000000000000008E-2</v>
      </c>
      <c r="N4021" t="s">
        <v>123</v>
      </c>
      <c r="O4021" t="s">
        <v>123</v>
      </c>
      <c r="P4021" t="s">
        <v>2072</v>
      </c>
      <c r="Q4021" s="1" t="s">
        <v>2281</v>
      </c>
      <c r="R4021" s="1" t="s">
        <v>2282</v>
      </c>
      <c r="S4021" s="1" t="s">
        <v>123</v>
      </c>
      <c r="T4021" t="s">
        <v>421</v>
      </c>
      <c r="U4021" t="s">
        <v>421</v>
      </c>
      <c r="X4021" t="s">
        <v>161</v>
      </c>
      <c r="Y4021" t="s">
        <v>2272</v>
      </c>
      <c r="Z4021" t="s">
        <v>2272</v>
      </c>
      <c r="AA4021" t="s">
        <v>2272</v>
      </c>
      <c r="AB4021" t="s">
        <v>2272</v>
      </c>
      <c r="AC4021" t="s">
        <v>162</v>
      </c>
      <c r="AD4021" t="s">
        <v>2272</v>
      </c>
      <c r="AF4021" t="s">
        <v>49</v>
      </c>
      <c r="AL4021" t="s">
        <v>49</v>
      </c>
      <c r="AM4021" t="s">
        <v>2100</v>
      </c>
      <c r="AN4021" t="s">
        <v>166</v>
      </c>
      <c r="AP4021" t="s">
        <v>51</v>
      </c>
      <c r="AQ4021" s="5">
        <v>0</v>
      </c>
    </row>
    <row r="4022" spans="1:43" x14ac:dyDescent="0.2">
      <c r="A4022" t="s">
        <v>2068</v>
      </c>
      <c r="B4022" t="s">
        <v>2069</v>
      </c>
      <c r="C4022">
        <v>2007</v>
      </c>
      <c r="D4022" t="s">
        <v>44</v>
      </c>
      <c r="F4022" t="s">
        <v>2070</v>
      </c>
      <c r="G4022" s="1" t="s">
        <v>90</v>
      </c>
      <c r="H4022" t="s">
        <v>158</v>
      </c>
      <c r="I4022" t="s">
        <v>2071</v>
      </c>
      <c r="J4022">
        <v>1</v>
      </c>
      <c r="K4022" t="s">
        <v>42</v>
      </c>
      <c r="L4022">
        <v>1</v>
      </c>
      <c r="M4022">
        <f t="shared" si="91"/>
        <v>4.0000000000000008E-2</v>
      </c>
      <c r="N4022" t="s">
        <v>123</v>
      </c>
      <c r="O4022" t="s">
        <v>123</v>
      </c>
      <c r="P4022" t="s">
        <v>2072</v>
      </c>
      <c r="Q4022" s="1" t="s">
        <v>2281</v>
      </c>
      <c r="R4022" s="1" t="s">
        <v>2282</v>
      </c>
      <c r="S4022" s="1" t="s">
        <v>123</v>
      </c>
      <c r="T4022" t="s">
        <v>421</v>
      </c>
      <c r="U4022" t="s">
        <v>421</v>
      </c>
      <c r="X4022" t="s">
        <v>161</v>
      </c>
      <c r="Y4022" t="s">
        <v>2272</v>
      </c>
      <c r="Z4022" t="s">
        <v>2272</v>
      </c>
      <c r="AA4022" t="s">
        <v>2272</v>
      </c>
      <c r="AB4022" t="s">
        <v>2272</v>
      </c>
      <c r="AC4022" t="s">
        <v>162</v>
      </c>
      <c r="AD4022" t="s">
        <v>2272</v>
      </c>
      <c r="AF4022" t="s">
        <v>49</v>
      </c>
      <c r="AL4022" t="s">
        <v>49</v>
      </c>
      <c r="AM4022" t="s">
        <v>2101</v>
      </c>
      <c r="AN4022" t="s">
        <v>166</v>
      </c>
      <c r="AP4022" t="s">
        <v>49</v>
      </c>
    </row>
    <row r="4023" spans="1:43" x14ac:dyDescent="0.2">
      <c r="A4023" t="s">
        <v>2068</v>
      </c>
      <c r="B4023" t="s">
        <v>2069</v>
      </c>
      <c r="C4023">
        <v>2007</v>
      </c>
      <c r="D4023" t="s">
        <v>44</v>
      </c>
      <c r="F4023" t="s">
        <v>2070</v>
      </c>
      <c r="G4023" s="1" t="s">
        <v>90</v>
      </c>
      <c r="H4023" t="s">
        <v>158</v>
      </c>
      <c r="I4023" t="s">
        <v>2071</v>
      </c>
      <c r="J4023">
        <v>1</v>
      </c>
      <c r="K4023" t="s">
        <v>42</v>
      </c>
      <c r="L4023">
        <v>1</v>
      </c>
      <c r="M4023">
        <f t="shared" si="91"/>
        <v>4.0000000000000008E-2</v>
      </c>
      <c r="N4023" t="s">
        <v>123</v>
      </c>
      <c r="O4023" t="s">
        <v>123</v>
      </c>
      <c r="P4023" t="s">
        <v>2072</v>
      </c>
      <c r="Q4023" s="1" t="s">
        <v>2281</v>
      </c>
      <c r="R4023" s="1" t="s">
        <v>2282</v>
      </c>
      <c r="S4023" s="1" t="s">
        <v>123</v>
      </c>
      <c r="T4023" t="s">
        <v>421</v>
      </c>
      <c r="U4023" t="s">
        <v>421</v>
      </c>
      <c r="X4023" t="s">
        <v>161</v>
      </c>
      <c r="Y4023" t="s">
        <v>2272</v>
      </c>
      <c r="Z4023" t="s">
        <v>2272</v>
      </c>
      <c r="AA4023" t="s">
        <v>2272</v>
      </c>
      <c r="AB4023" t="s">
        <v>2272</v>
      </c>
      <c r="AC4023" t="s">
        <v>162</v>
      </c>
      <c r="AD4023" t="s">
        <v>2272</v>
      </c>
      <c r="AF4023" t="s">
        <v>49</v>
      </c>
      <c r="AL4023" t="s">
        <v>49</v>
      </c>
      <c r="AM4023" t="s">
        <v>2102</v>
      </c>
      <c r="AN4023" t="s">
        <v>166</v>
      </c>
      <c r="AP4023" t="s">
        <v>49</v>
      </c>
    </row>
    <row r="4024" spans="1:43" x14ac:dyDescent="0.2">
      <c r="A4024" t="s">
        <v>2068</v>
      </c>
      <c r="B4024" t="s">
        <v>2069</v>
      </c>
      <c r="C4024">
        <v>2007</v>
      </c>
      <c r="D4024" t="s">
        <v>44</v>
      </c>
      <c r="F4024" t="s">
        <v>2070</v>
      </c>
      <c r="G4024" s="1" t="s">
        <v>90</v>
      </c>
      <c r="H4024" t="s">
        <v>158</v>
      </c>
      <c r="I4024" t="s">
        <v>2071</v>
      </c>
      <c r="J4024">
        <v>1</v>
      </c>
      <c r="K4024" t="s">
        <v>42</v>
      </c>
      <c r="L4024">
        <v>1</v>
      </c>
      <c r="M4024">
        <f t="shared" si="91"/>
        <v>4.0000000000000008E-2</v>
      </c>
      <c r="N4024" t="s">
        <v>123</v>
      </c>
      <c r="O4024" t="s">
        <v>123</v>
      </c>
      <c r="P4024" t="s">
        <v>2072</v>
      </c>
      <c r="Q4024" s="1" t="s">
        <v>2281</v>
      </c>
      <c r="R4024" s="1" t="s">
        <v>2282</v>
      </c>
      <c r="S4024" s="1" t="s">
        <v>123</v>
      </c>
      <c r="T4024" t="s">
        <v>421</v>
      </c>
      <c r="U4024" t="s">
        <v>421</v>
      </c>
      <c r="X4024" t="s">
        <v>161</v>
      </c>
      <c r="Y4024" t="s">
        <v>2272</v>
      </c>
      <c r="Z4024" t="s">
        <v>2272</v>
      </c>
      <c r="AA4024" t="s">
        <v>2272</v>
      </c>
      <c r="AB4024" t="s">
        <v>2272</v>
      </c>
      <c r="AC4024" t="s">
        <v>162</v>
      </c>
      <c r="AD4024" t="s">
        <v>2272</v>
      </c>
      <c r="AF4024" t="s">
        <v>49</v>
      </c>
      <c r="AL4024" t="s">
        <v>49</v>
      </c>
      <c r="AM4024" t="s">
        <v>2103</v>
      </c>
      <c r="AN4024" t="s">
        <v>166</v>
      </c>
      <c r="AP4024" t="s">
        <v>49</v>
      </c>
    </row>
    <row r="4025" spans="1:43" x14ac:dyDescent="0.2">
      <c r="A4025" t="s">
        <v>2068</v>
      </c>
      <c r="B4025" t="s">
        <v>2069</v>
      </c>
      <c r="C4025">
        <v>2007</v>
      </c>
      <c r="D4025" t="s">
        <v>44</v>
      </c>
      <c r="F4025" t="s">
        <v>2070</v>
      </c>
      <c r="G4025" s="1" t="s">
        <v>90</v>
      </c>
      <c r="H4025" t="s">
        <v>158</v>
      </c>
      <c r="I4025" t="s">
        <v>2071</v>
      </c>
      <c r="J4025">
        <v>1</v>
      </c>
      <c r="K4025" t="s">
        <v>42</v>
      </c>
      <c r="L4025">
        <v>1</v>
      </c>
      <c r="M4025">
        <f t="shared" si="91"/>
        <v>4.0000000000000008E-2</v>
      </c>
      <c r="N4025" t="s">
        <v>123</v>
      </c>
      <c r="O4025" t="s">
        <v>123</v>
      </c>
      <c r="P4025" t="s">
        <v>2072</v>
      </c>
      <c r="Q4025" s="1" t="s">
        <v>2281</v>
      </c>
      <c r="R4025" s="1" t="s">
        <v>2282</v>
      </c>
      <c r="S4025" s="1" t="s">
        <v>123</v>
      </c>
      <c r="T4025" t="s">
        <v>421</v>
      </c>
      <c r="U4025" t="s">
        <v>421</v>
      </c>
      <c r="X4025" t="s">
        <v>161</v>
      </c>
      <c r="Y4025" t="s">
        <v>2272</v>
      </c>
      <c r="Z4025" t="s">
        <v>2272</v>
      </c>
      <c r="AA4025" t="s">
        <v>2272</v>
      </c>
      <c r="AB4025" t="s">
        <v>2272</v>
      </c>
      <c r="AC4025" t="s">
        <v>162</v>
      </c>
      <c r="AD4025" t="s">
        <v>2272</v>
      </c>
      <c r="AF4025" t="s">
        <v>49</v>
      </c>
      <c r="AL4025" t="s">
        <v>49</v>
      </c>
      <c r="AM4025" t="s">
        <v>2104</v>
      </c>
      <c r="AN4025" t="s">
        <v>166</v>
      </c>
      <c r="AP4025" t="s">
        <v>51</v>
      </c>
      <c r="AQ4025" s="5">
        <v>0</v>
      </c>
    </row>
    <row r="4026" spans="1:43" x14ac:dyDescent="0.2">
      <c r="A4026" t="s">
        <v>2068</v>
      </c>
      <c r="B4026" t="s">
        <v>2069</v>
      </c>
      <c r="C4026">
        <v>2007</v>
      </c>
      <c r="D4026" t="s">
        <v>44</v>
      </c>
      <c r="F4026" t="s">
        <v>2070</v>
      </c>
      <c r="G4026" s="1" t="s">
        <v>90</v>
      </c>
      <c r="H4026" t="s">
        <v>158</v>
      </c>
      <c r="I4026" t="s">
        <v>2071</v>
      </c>
      <c r="J4026">
        <v>1</v>
      </c>
      <c r="K4026" t="s">
        <v>42</v>
      </c>
      <c r="L4026">
        <v>1</v>
      </c>
      <c r="M4026">
        <f t="shared" si="91"/>
        <v>4.0000000000000008E-2</v>
      </c>
      <c r="N4026" t="s">
        <v>123</v>
      </c>
      <c r="O4026" t="s">
        <v>123</v>
      </c>
      <c r="P4026" t="s">
        <v>2072</v>
      </c>
      <c r="Q4026" s="1" t="s">
        <v>2281</v>
      </c>
      <c r="R4026" s="1" t="s">
        <v>2282</v>
      </c>
      <c r="S4026" s="1" t="s">
        <v>123</v>
      </c>
      <c r="T4026" t="s">
        <v>421</v>
      </c>
      <c r="U4026" t="s">
        <v>421</v>
      </c>
      <c r="X4026" t="s">
        <v>161</v>
      </c>
      <c r="Y4026" t="s">
        <v>2272</v>
      </c>
      <c r="Z4026" t="s">
        <v>2272</v>
      </c>
      <c r="AA4026" t="s">
        <v>2272</v>
      </c>
      <c r="AB4026" t="s">
        <v>2272</v>
      </c>
      <c r="AC4026" t="s">
        <v>162</v>
      </c>
      <c r="AD4026" t="s">
        <v>2272</v>
      </c>
      <c r="AF4026" t="s">
        <v>49</v>
      </c>
      <c r="AL4026" t="s">
        <v>49</v>
      </c>
      <c r="AM4026" t="s">
        <v>2105</v>
      </c>
      <c r="AN4026" t="s">
        <v>166</v>
      </c>
      <c r="AP4026" t="s">
        <v>51</v>
      </c>
      <c r="AQ4026" s="5">
        <v>0</v>
      </c>
    </row>
    <row r="4027" spans="1:43" x14ac:dyDescent="0.2">
      <c r="A4027" t="s">
        <v>2068</v>
      </c>
      <c r="B4027" t="s">
        <v>2069</v>
      </c>
      <c r="C4027">
        <v>2007</v>
      </c>
      <c r="D4027" t="s">
        <v>44</v>
      </c>
      <c r="F4027" t="s">
        <v>2070</v>
      </c>
      <c r="G4027" s="1" t="s">
        <v>90</v>
      </c>
      <c r="H4027" t="s">
        <v>158</v>
      </c>
      <c r="I4027" t="s">
        <v>2071</v>
      </c>
      <c r="J4027">
        <v>1</v>
      </c>
      <c r="K4027" t="s">
        <v>42</v>
      </c>
      <c r="L4027">
        <v>1</v>
      </c>
      <c r="M4027">
        <f t="shared" si="91"/>
        <v>4.0000000000000008E-2</v>
      </c>
      <c r="N4027" t="s">
        <v>123</v>
      </c>
      <c r="O4027" t="s">
        <v>123</v>
      </c>
      <c r="P4027" t="s">
        <v>2072</v>
      </c>
      <c r="Q4027" s="1" t="s">
        <v>2281</v>
      </c>
      <c r="R4027" s="1" t="s">
        <v>2282</v>
      </c>
      <c r="S4027" s="1" t="s">
        <v>123</v>
      </c>
      <c r="T4027" t="s">
        <v>421</v>
      </c>
      <c r="U4027" t="s">
        <v>421</v>
      </c>
      <c r="X4027" t="s">
        <v>161</v>
      </c>
      <c r="Y4027" t="s">
        <v>2272</v>
      </c>
      <c r="Z4027" t="s">
        <v>2272</v>
      </c>
      <c r="AA4027" t="s">
        <v>2272</v>
      </c>
      <c r="AB4027" t="s">
        <v>2272</v>
      </c>
      <c r="AC4027" t="s">
        <v>162</v>
      </c>
      <c r="AD4027" t="s">
        <v>2272</v>
      </c>
      <c r="AF4027" t="s">
        <v>49</v>
      </c>
      <c r="AI4027" t="s">
        <v>49</v>
      </c>
      <c r="AM4027" t="s">
        <v>202</v>
      </c>
      <c r="AN4027" t="s">
        <v>154</v>
      </c>
      <c r="AP4027" t="s">
        <v>157</v>
      </c>
      <c r="AQ4027" s="5">
        <v>1</v>
      </c>
    </row>
    <row r="4028" spans="1:43" x14ac:dyDescent="0.2">
      <c r="A4028" t="s">
        <v>2068</v>
      </c>
      <c r="B4028" t="s">
        <v>2069</v>
      </c>
      <c r="C4028">
        <v>2007</v>
      </c>
      <c r="D4028" t="s">
        <v>44</v>
      </c>
      <c r="F4028" t="s">
        <v>2070</v>
      </c>
      <c r="G4028" s="1" t="s">
        <v>90</v>
      </c>
      <c r="H4028" t="s">
        <v>158</v>
      </c>
      <c r="I4028" t="s">
        <v>2071</v>
      </c>
      <c r="J4028">
        <v>1</v>
      </c>
      <c r="K4028" t="s">
        <v>42</v>
      </c>
      <c r="L4028">
        <v>1</v>
      </c>
      <c r="M4028">
        <f t="shared" si="91"/>
        <v>4.0000000000000008E-2</v>
      </c>
      <c r="N4028" t="s">
        <v>123</v>
      </c>
      <c r="O4028" t="s">
        <v>123</v>
      </c>
      <c r="P4028" t="s">
        <v>2072</v>
      </c>
      <c r="Q4028" s="1" t="s">
        <v>2281</v>
      </c>
      <c r="R4028" s="1" t="s">
        <v>2282</v>
      </c>
      <c r="S4028" s="1" t="s">
        <v>123</v>
      </c>
      <c r="T4028" t="s">
        <v>421</v>
      </c>
      <c r="U4028" t="s">
        <v>421</v>
      </c>
      <c r="X4028" t="s">
        <v>161</v>
      </c>
      <c r="Y4028" t="s">
        <v>2272</v>
      </c>
      <c r="Z4028" t="s">
        <v>2272</v>
      </c>
      <c r="AA4028" t="s">
        <v>2272</v>
      </c>
      <c r="AB4028" t="s">
        <v>2272</v>
      </c>
      <c r="AC4028" t="s">
        <v>162</v>
      </c>
      <c r="AD4028" t="s">
        <v>2272</v>
      </c>
      <c r="AF4028" t="s">
        <v>49</v>
      </c>
      <c r="AJ4028" t="s">
        <v>49</v>
      </c>
      <c r="AM4028" t="s">
        <v>2106</v>
      </c>
      <c r="AN4028" t="s">
        <v>154</v>
      </c>
      <c r="AP4028" t="s">
        <v>157</v>
      </c>
      <c r="AQ4028" s="5">
        <v>1</v>
      </c>
    </row>
    <row r="4029" spans="1:43" x14ac:dyDescent="0.2">
      <c r="A4029" t="s">
        <v>2068</v>
      </c>
      <c r="B4029" t="s">
        <v>2069</v>
      </c>
      <c r="C4029">
        <v>2007</v>
      </c>
      <c r="D4029" t="s">
        <v>44</v>
      </c>
      <c r="F4029" t="s">
        <v>2070</v>
      </c>
      <c r="G4029" s="1" t="s">
        <v>90</v>
      </c>
      <c r="H4029" t="s">
        <v>158</v>
      </c>
      <c r="I4029" t="s">
        <v>2071</v>
      </c>
      <c r="J4029">
        <v>1</v>
      </c>
      <c r="K4029" t="s">
        <v>42</v>
      </c>
      <c r="L4029">
        <v>1</v>
      </c>
      <c r="M4029">
        <f t="shared" si="91"/>
        <v>4.0000000000000008E-2</v>
      </c>
      <c r="N4029" t="s">
        <v>123</v>
      </c>
      <c r="O4029" t="s">
        <v>123</v>
      </c>
      <c r="P4029" t="s">
        <v>2072</v>
      </c>
      <c r="Q4029" s="1" t="s">
        <v>2281</v>
      </c>
      <c r="R4029" s="1" t="s">
        <v>2282</v>
      </c>
      <c r="S4029" s="1" t="s">
        <v>123</v>
      </c>
      <c r="T4029" t="s">
        <v>421</v>
      </c>
      <c r="U4029" t="s">
        <v>421</v>
      </c>
      <c r="X4029" t="s">
        <v>161</v>
      </c>
      <c r="Y4029" t="s">
        <v>2272</v>
      </c>
      <c r="Z4029" t="s">
        <v>2272</v>
      </c>
      <c r="AA4029" t="s">
        <v>2272</v>
      </c>
      <c r="AB4029" t="s">
        <v>2272</v>
      </c>
      <c r="AC4029" t="s">
        <v>162</v>
      </c>
      <c r="AD4029" t="s">
        <v>2272</v>
      </c>
      <c r="AF4029" t="s">
        <v>49</v>
      </c>
      <c r="AJ4029" t="s">
        <v>49</v>
      </c>
      <c r="AM4029" t="s">
        <v>2037</v>
      </c>
      <c r="AN4029" t="s">
        <v>154</v>
      </c>
      <c r="AP4029" t="s">
        <v>157</v>
      </c>
      <c r="AQ4029" s="5">
        <v>1</v>
      </c>
    </row>
    <row r="4030" spans="1:43" x14ac:dyDescent="0.2">
      <c r="A4030" t="s">
        <v>2068</v>
      </c>
      <c r="B4030" t="s">
        <v>2069</v>
      </c>
      <c r="C4030">
        <v>2007</v>
      </c>
      <c r="D4030" t="s">
        <v>44</v>
      </c>
      <c r="F4030" t="s">
        <v>2070</v>
      </c>
      <c r="G4030" s="1" t="s">
        <v>90</v>
      </c>
      <c r="H4030" t="s">
        <v>158</v>
      </c>
      <c r="I4030" t="s">
        <v>2071</v>
      </c>
      <c r="J4030">
        <v>1</v>
      </c>
      <c r="K4030" t="s">
        <v>42</v>
      </c>
      <c r="L4030">
        <v>1</v>
      </c>
      <c r="M4030">
        <f t="shared" si="91"/>
        <v>4.0000000000000008E-2</v>
      </c>
      <c r="N4030" t="s">
        <v>123</v>
      </c>
      <c r="O4030" t="s">
        <v>123</v>
      </c>
      <c r="P4030" t="s">
        <v>2072</v>
      </c>
      <c r="Q4030" s="1" t="s">
        <v>2281</v>
      </c>
      <c r="R4030" s="1" t="s">
        <v>2282</v>
      </c>
      <c r="S4030" s="1" t="s">
        <v>123</v>
      </c>
      <c r="T4030" t="s">
        <v>421</v>
      </c>
      <c r="U4030" t="s">
        <v>421</v>
      </c>
      <c r="X4030" t="s">
        <v>161</v>
      </c>
      <c r="Y4030" t="s">
        <v>2272</v>
      </c>
      <c r="Z4030" t="s">
        <v>2272</v>
      </c>
      <c r="AA4030" t="s">
        <v>2272</v>
      </c>
      <c r="AB4030" t="s">
        <v>2272</v>
      </c>
      <c r="AC4030" t="s">
        <v>162</v>
      </c>
      <c r="AD4030" t="s">
        <v>2272</v>
      </c>
      <c r="AF4030" t="s">
        <v>49</v>
      </c>
      <c r="AI4030" t="s">
        <v>49</v>
      </c>
      <c r="AM4030" t="s">
        <v>202</v>
      </c>
      <c r="AN4030" t="s">
        <v>165</v>
      </c>
    </row>
    <row r="4031" spans="1:43" x14ac:dyDescent="0.2">
      <c r="A4031" t="s">
        <v>2068</v>
      </c>
      <c r="B4031" t="s">
        <v>2069</v>
      </c>
      <c r="C4031">
        <v>2007</v>
      </c>
      <c r="D4031" t="s">
        <v>44</v>
      </c>
      <c r="F4031" t="s">
        <v>2070</v>
      </c>
      <c r="G4031" s="1" t="s">
        <v>90</v>
      </c>
      <c r="H4031" t="s">
        <v>158</v>
      </c>
      <c r="I4031" t="s">
        <v>2071</v>
      </c>
      <c r="J4031">
        <v>1</v>
      </c>
      <c r="K4031" t="s">
        <v>42</v>
      </c>
      <c r="L4031">
        <v>1</v>
      </c>
      <c r="M4031">
        <f t="shared" si="91"/>
        <v>4.0000000000000008E-2</v>
      </c>
      <c r="N4031" t="s">
        <v>123</v>
      </c>
      <c r="O4031" t="s">
        <v>123</v>
      </c>
      <c r="P4031" t="s">
        <v>2072</v>
      </c>
      <c r="Q4031" s="1" t="s">
        <v>2281</v>
      </c>
      <c r="R4031" s="1" t="s">
        <v>2282</v>
      </c>
      <c r="S4031" s="1" t="s">
        <v>123</v>
      </c>
      <c r="X4031" t="s">
        <v>189</v>
      </c>
      <c r="Y4031" t="s">
        <v>2279</v>
      </c>
      <c r="Z4031" t="s">
        <v>2280</v>
      </c>
      <c r="AA4031" t="s">
        <v>2358</v>
      </c>
      <c r="AB4031" t="s">
        <v>189</v>
      </c>
      <c r="AC4031" t="s">
        <v>152</v>
      </c>
      <c r="AD4031" t="s">
        <v>2278</v>
      </c>
      <c r="AF4031" t="s">
        <v>49</v>
      </c>
      <c r="AI4031" t="s">
        <v>49</v>
      </c>
      <c r="AM4031" t="s">
        <v>202</v>
      </c>
      <c r="AN4031" t="s">
        <v>154</v>
      </c>
      <c r="AP4031" t="s">
        <v>157</v>
      </c>
    </row>
    <row r="4032" spans="1:43" x14ac:dyDescent="0.2">
      <c r="A4032" t="s">
        <v>2068</v>
      </c>
      <c r="B4032" t="s">
        <v>2069</v>
      </c>
      <c r="C4032">
        <v>2007</v>
      </c>
      <c r="D4032" t="s">
        <v>44</v>
      </c>
      <c r="F4032" t="s">
        <v>2070</v>
      </c>
      <c r="G4032" s="1" t="s">
        <v>90</v>
      </c>
      <c r="H4032" t="s">
        <v>158</v>
      </c>
      <c r="I4032" t="s">
        <v>2071</v>
      </c>
      <c r="J4032">
        <v>1</v>
      </c>
      <c r="K4032" t="s">
        <v>42</v>
      </c>
      <c r="L4032">
        <v>1</v>
      </c>
      <c r="M4032">
        <f t="shared" si="91"/>
        <v>4.0000000000000008E-2</v>
      </c>
      <c r="N4032" t="s">
        <v>123</v>
      </c>
      <c r="O4032" t="s">
        <v>123</v>
      </c>
      <c r="P4032" t="s">
        <v>2072</v>
      </c>
      <c r="Q4032" s="1" t="s">
        <v>2281</v>
      </c>
      <c r="R4032" s="1" t="s">
        <v>2282</v>
      </c>
      <c r="S4032" s="1" t="s">
        <v>123</v>
      </c>
      <c r="X4032" t="s">
        <v>189</v>
      </c>
      <c r="Y4032" t="s">
        <v>2279</v>
      </c>
      <c r="Z4032" t="s">
        <v>2280</v>
      </c>
      <c r="AA4032" t="s">
        <v>2358</v>
      </c>
      <c r="AB4032" t="s">
        <v>189</v>
      </c>
      <c r="AC4032" t="s">
        <v>152</v>
      </c>
      <c r="AD4032" t="s">
        <v>2278</v>
      </c>
      <c r="AF4032" t="s">
        <v>49</v>
      </c>
      <c r="AJ4032" t="s">
        <v>49</v>
      </c>
      <c r="AM4032" t="s">
        <v>2106</v>
      </c>
      <c r="AN4032" t="s">
        <v>154</v>
      </c>
      <c r="AP4032" t="s">
        <v>157</v>
      </c>
    </row>
    <row r="4033" spans="1:45" x14ac:dyDescent="0.2">
      <c r="A4033" t="s">
        <v>2068</v>
      </c>
      <c r="B4033" t="s">
        <v>2069</v>
      </c>
      <c r="C4033">
        <v>2007</v>
      </c>
      <c r="D4033" t="s">
        <v>44</v>
      </c>
      <c r="F4033" t="s">
        <v>2070</v>
      </c>
      <c r="G4033" s="1" t="s">
        <v>90</v>
      </c>
      <c r="H4033" t="s">
        <v>158</v>
      </c>
      <c r="I4033" t="s">
        <v>2071</v>
      </c>
      <c r="J4033">
        <v>1</v>
      </c>
      <c r="K4033" t="s">
        <v>42</v>
      </c>
      <c r="L4033">
        <v>1</v>
      </c>
      <c r="M4033">
        <f t="shared" si="91"/>
        <v>4.0000000000000008E-2</v>
      </c>
      <c r="N4033" t="s">
        <v>123</v>
      </c>
      <c r="O4033" t="s">
        <v>123</v>
      </c>
      <c r="P4033" t="s">
        <v>2072</v>
      </c>
      <c r="Q4033" s="1" t="s">
        <v>2281</v>
      </c>
      <c r="R4033" s="1" t="s">
        <v>2282</v>
      </c>
      <c r="S4033" s="1" t="s">
        <v>123</v>
      </c>
      <c r="X4033" t="s">
        <v>189</v>
      </c>
      <c r="Y4033" t="s">
        <v>2279</v>
      </c>
      <c r="Z4033" t="s">
        <v>2280</v>
      </c>
      <c r="AA4033" t="s">
        <v>2358</v>
      </c>
      <c r="AB4033" t="s">
        <v>189</v>
      </c>
      <c r="AC4033" t="s">
        <v>152</v>
      </c>
      <c r="AD4033" t="s">
        <v>2278</v>
      </c>
      <c r="AF4033" t="s">
        <v>49</v>
      </c>
      <c r="AJ4033" t="s">
        <v>49</v>
      </c>
      <c r="AM4033" t="s">
        <v>2037</v>
      </c>
      <c r="AN4033" t="s">
        <v>154</v>
      </c>
      <c r="AP4033" t="s">
        <v>157</v>
      </c>
    </row>
    <row r="4034" spans="1:45" x14ac:dyDescent="0.2">
      <c r="A4034" t="s">
        <v>2068</v>
      </c>
      <c r="B4034" t="s">
        <v>2069</v>
      </c>
      <c r="C4034">
        <v>2007</v>
      </c>
      <c r="D4034" t="s">
        <v>44</v>
      </c>
      <c r="F4034" t="s">
        <v>2070</v>
      </c>
      <c r="G4034" s="1" t="s">
        <v>90</v>
      </c>
      <c r="H4034" t="s">
        <v>158</v>
      </c>
      <c r="I4034" t="s">
        <v>2071</v>
      </c>
      <c r="J4034">
        <v>1</v>
      </c>
      <c r="K4034" t="s">
        <v>42</v>
      </c>
      <c r="L4034">
        <v>1</v>
      </c>
      <c r="M4034">
        <f t="shared" si="91"/>
        <v>4.0000000000000008E-2</v>
      </c>
      <c r="N4034" t="s">
        <v>123</v>
      </c>
      <c r="O4034" t="s">
        <v>123</v>
      </c>
      <c r="P4034" t="s">
        <v>2072</v>
      </c>
      <c r="Q4034" s="1" t="s">
        <v>2281</v>
      </c>
      <c r="R4034" s="1" t="s">
        <v>2282</v>
      </c>
      <c r="S4034" s="1" t="s">
        <v>123</v>
      </c>
      <c r="X4034" t="s">
        <v>642</v>
      </c>
      <c r="Y4034" t="s">
        <v>2273</v>
      </c>
      <c r="Z4034" t="s">
        <v>249</v>
      </c>
      <c r="AA4034" t="s">
        <v>2359</v>
      </c>
      <c r="AB4034" t="s">
        <v>1979</v>
      </c>
      <c r="AC4034" t="s">
        <v>152</v>
      </c>
      <c r="AD4034" t="s">
        <v>137</v>
      </c>
      <c r="AF4034" t="s">
        <v>49</v>
      </c>
      <c r="AJ4034" t="s">
        <v>49</v>
      </c>
      <c r="AM4034" t="s">
        <v>2106</v>
      </c>
      <c r="AN4034" t="s">
        <v>154</v>
      </c>
      <c r="AP4034" t="s">
        <v>157</v>
      </c>
    </row>
    <row r="4035" spans="1:45" x14ac:dyDescent="0.2">
      <c r="A4035" t="s">
        <v>2068</v>
      </c>
      <c r="B4035" t="s">
        <v>2069</v>
      </c>
      <c r="C4035">
        <v>2007</v>
      </c>
      <c r="D4035" t="s">
        <v>44</v>
      </c>
      <c r="F4035" t="s">
        <v>2070</v>
      </c>
      <c r="G4035" s="1" t="s">
        <v>90</v>
      </c>
      <c r="H4035" t="s">
        <v>158</v>
      </c>
      <c r="I4035" t="s">
        <v>2071</v>
      </c>
      <c r="J4035">
        <v>1</v>
      </c>
      <c r="K4035" t="s">
        <v>42</v>
      </c>
      <c r="L4035">
        <v>1</v>
      </c>
      <c r="M4035">
        <f t="shared" si="91"/>
        <v>4.0000000000000008E-2</v>
      </c>
      <c r="N4035" t="s">
        <v>123</v>
      </c>
      <c r="O4035" t="s">
        <v>123</v>
      </c>
      <c r="P4035" t="s">
        <v>2072</v>
      </c>
      <c r="Q4035" s="1" t="s">
        <v>2281</v>
      </c>
      <c r="R4035" s="1" t="s">
        <v>2282</v>
      </c>
      <c r="S4035" s="1" t="s">
        <v>123</v>
      </c>
      <c r="X4035" t="s">
        <v>293</v>
      </c>
      <c r="Y4035" t="s">
        <v>2273</v>
      </c>
      <c r="Z4035" t="s">
        <v>249</v>
      </c>
      <c r="AA4035" t="s">
        <v>2359</v>
      </c>
      <c r="AB4035" t="s">
        <v>1419</v>
      </c>
      <c r="AC4035" t="s">
        <v>152</v>
      </c>
      <c r="AD4035" t="s">
        <v>137</v>
      </c>
    </row>
    <row r="4036" spans="1:45" x14ac:dyDescent="0.2">
      <c r="A4036" t="s">
        <v>2107</v>
      </c>
      <c r="B4036" t="s">
        <v>2108</v>
      </c>
      <c r="C4036">
        <v>2007</v>
      </c>
      <c r="Q4036" s="1" t="s">
        <v>2272</v>
      </c>
      <c r="R4036" s="1" t="s">
        <v>2272</v>
      </c>
      <c r="S4036" s="1" t="s">
        <v>2272</v>
      </c>
      <c r="Y4036" t="s">
        <v>2272</v>
      </c>
      <c r="Z4036" t="s">
        <v>2272</v>
      </c>
      <c r="AA4036" t="s">
        <v>2272</v>
      </c>
      <c r="AB4036" t="s">
        <v>2272</v>
      </c>
      <c r="AD4036" t="s">
        <v>2272</v>
      </c>
      <c r="AR4036" t="s">
        <v>144</v>
      </c>
      <c r="AS4036" t="s">
        <v>2583</v>
      </c>
    </row>
    <row r="4037" spans="1:45" x14ac:dyDescent="0.2">
      <c r="A4037" t="s">
        <v>2109</v>
      </c>
      <c r="B4037" t="s">
        <v>2108</v>
      </c>
      <c r="C4037">
        <v>2007</v>
      </c>
      <c r="Q4037" s="1" t="s">
        <v>2272</v>
      </c>
      <c r="R4037" s="1" t="s">
        <v>2272</v>
      </c>
      <c r="S4037" s="1" t="s">
        <v>2272</v>
      </c>
      <c r="Y4037" t="s">
        <v>2272</v>
      </c>
      <c r="Z4037" t="s">
        <v>2272</v>
      </c>
      <c r="AA4037" t="s">
        <v>2272</v>
      </c>
      <c r="AB4037" t="s">
        <v>2272</v>
      </c>
      <c r="AD4037" t="s">
        <v>2272</v>
      </c>
      <c r="AR4037" t="s">
        <v>144</v>
      </c>
      <c r="AS4037" t="s">
        <v>2583</v>
      </c>
    </row>
    <row r="4038" spans="1:45" x14ac:dyDescent="0.2">
      <c r="A4038" t="s">
        <v>2110</v>
      </c>
      <c r="B4038" t="s">
        <v>2111</v>
      </c>
      <c r="C4038">
        <v>2007</v>
      </c>
      <c r="D4038" t="s">
        <v>44</v>
      </c>
      <c r="F4038" t="s">
        <v>628</v>
      </c>
      <c r="G4038" s="1" t="s">
        <v>91</v>
      </c>
      <c r="H4038" t="s">
        <v>96</v>
      </c>
      <c r="I4038">
        <v>2003</v>
      </c>
      <c r="J4038">
        <f t="shared" ref="J4038:J4049" si="92">1/12</f>
        <v>8.3333333333333329E-2</v>
      </c>
      <c r="K4038" t="s">
        <v>101</v>
      </c>
      <c r="N4038" t="s">
        <v>128</v>
      </c>
      <c r="O4038" t="s">
        <v>2547</v>
      </c>
      <c r="P4038" t="s">
        <v>2548</v>
      </c>
      <c r="Q4038" t="s">
        <v>2276</v>
      </c>
      <c r="R4038" t="s">
        <v>2350</v>
      </c>
      <c r="S4038" t="s">
        <v>2350</v>
      </c>
      <c r="X4038" t="s">
        <v>2549</v>
      </c>
      <c r="Y4038" t="s">
        <v>2279</v>
      </c>
      <c r="Z4038" t="s">
        <v>528</v>
      </c>
      <c r="AA4038" t="s">
        <v>2470</v>
      </c>
      <c r="AB4038" t="s">
        <v>2582</v>
      </c>
      <c r="AC4038" t="s">
        <v>152</v>
      </c>
      <c r="AD4038" t="s">
        <v>2278</v>
      </c>
      <c r="AF4038" t="s">
        <v>49</v>
      </c>
      <c r="AI4038" t="s">
        <v>49</v>
      </c>
      <c r="AM4038" t="s">
        <v>201</v>
      </c>
      <c r="AN4038" t="s">
        <v>166</v>
      </c>
      <c r="AP4038" t="s">
        <v>51</v>
      </c>
    </row>
    <row r="4039" spans="1:45" x14ac:dyDescent="0.2">
      <c r="A4039" t="s">
        <v>2110</v>
      </c>
      <c r="B4039" t="s">
        <v>2111</v>
      </c>
      <c r="C4039">
        <v>2007</v>
      </c>
      <c r="D4039" t="s">
        <v>44</v>
      </c>
      <c r="F4039" t="s">
        <v>628</v>
      </c>
      <c r="G4039" s="1" t="s">
        <v>91</v>
      </c>
      <c r="H4039" t="s">
        <v>96</v>
      </c>
      <c r="I4039">
        <v>2003</v>
      </c>
      <c r="J4039">
        <f t="shared" si="92"/>
        <v>8.3333333333333329E-2</v>
      </c>
      <c r="K4039" t="s">
        <v>101</v>
      </c>
      <c r="N4039" t="s">
        <v>128</v>
      </c>
      <c r="O4039" t="s">
        <v>2547</v>
      </c>
      <c r="P4039" t="s">
        <v>2548</v>
      </c>
      <c r="Q4039" t="s">
        <v>2276</v>
      </c>
      <c r="R4039" t="s">
        <v>2350</v>
      </c>
      <c r="S4039" t="s">
        <v>2350</v>
      </c>
      <c r="X4039" t="s">
        <v>1929</v>
      </c>
      <c r="Y4039" t="s">
        <v>2279</v>
      </c>
      <c r="Z4039" t="s">
        <v>528</v>
      </c>
      <c r="AA4039" t="s">
        <v>2470</v>
      </c>
      <c r="AB4039" t="s">
        <v>2581</v>
      </c>
      <c r="AC4039" t="s">
        <v>152</v>
      </c>
      <c r="AD4039" t="s">
        <v>2278</v>
      </c>
      <c r="AF4039" t="s">
        <v>49</v>
      </c>
      <c r="AI4039" t="s">
        <v>49</v>
      </c>
      <c r="AM4039" t="s">
        <v>201</v>
      </c>
      <c r="AN4039" t="s">
        <v>166</v>
      </c>
      <c r="AP4039" t="s">
        <v>51</v>
      </c>
    </row>
    <row r="4040" spans="1:45" x14ac:dyDescent="0.2">
      <c r="A4040" t="s">
        <v>2110</v>
      </c>
      <c r="B4040" t="s">
        <v>2111</v>
      </c>
      <c r="C4040">
        <v>2007</v>
      </c>
      <c r="D4040" t="s">
        <v>44</v>
      </c>
      <c r="F4040" t="s">
        <v>628</v>
      </c>
      <c r="G4040" s="1" t="s">
        <v>91</v>
      </c>
      <c r="H4040" t="s">
        <v>96</v>
      </c>
      <c r="I4040">
        <v>2003</v>
      </c>
      <c r="J4040">
        <f t="shared" si="92"/>
        <v>8.3333333333333329E-2</v>
      </c>
      <c r="K4040" t="s">
        <v>101</v>
      </c>
      <c r="N4040" t="s">
        <v>128</v>
      </c>
      <c r="O4040" t="s">
        <v>2547</v>
      </c>
      <c r="P4040" t="s">
        <v>2548</v>
      </c>
      <c r="Q4040" t="s">
        <v>2276</v>
      </c>
      <c r="R4040" t="s">
        <v>2350</v>
      </c>
      <c r="S4040" t="s">
        <v>2350</v>
      </c>
      <c r="X4040" t="s">
        <v>2549</v>
      </c>
      <c r="Y4040" t="s">
        <v>2279</v>
      </c>
      <c r="Z4040" t="s">
        <v>528</v>
      </c>
      <c r="AA4040" t="s">
        <v>2470</v>
      </c>
      <c r="AB4040" t="s">
        <v>2582</v>
      </c>
      <c r="AC4040" t="s">
        <v>152</v>
      </c>
      <c r="AD4040" t="s">
        <v>2278</v>
      </c>
      <c r="AF4040" t="s">
        <v>49</v>
      </c>
      <c r="AI4040" t="s">
        <v>49</v>
      </c>
      <c r="AM4040" t="s">
        <v>201</v>
      </c>
      <c r="AN4040" t="s">
        <v>154</v>
      </c>
      <c r="AP4040" t="s">
        <v>51</v>
      </c>
    </row>
    <row r="4041" spans="1:45" x14ac:dyDescent="0.2">
      <c r="A4041" t="s">
        <v>2110</v>
      </c>
      <c r="B4041" t="s">
        <v>2111</v>
      </c>
      <c r="C4041">
        <v>2007</v>
      </c>
      <c r="D4041" t="s">
        <v>44</v>
      </c>
      <c r="F4041" t="s">
        <v>628</v>
      </c>
      <c r="G4041" s="1" t="s">
        <v>91</v>
      </c>
      <c r="H4041" t="s">
        <v>96</v>
      </c>
      <c r="I4041">
        <v>2003</v>
      </c>
      <c r="J4041">
        <f t="shared" si="92"/>
        <v>8.3333333333333329E-2</v>
      </c>
      <c r="K4041" t="s">
        <v>101</v>
      </c>
      <c r="N4041" t="s">
        <v>128</v>
      </c>
      <c r="O4041" t="s">
        <v>2547</v>
      </c>
      <c r="P4041" t="s">
        <v>2548</v>
      </c>
      <c r="Q4041" t="s">
        <v>2276</v>
      </c>
      <c r="R4041" t="s">
        <v>2350</v>
      </c>
      <c r="S4041" t="s">
        <v>2350</v>
      </c>
      <c r="X4041" t="s">
        <v>1929</v>
      </c>
      <c r="Y4041" t="s">
        <v>2279</v>
      </c>
      <c r="Z4041" t="s">
        <v>528</v>
      </c>
      <c r="AA4041" t="s">
        <v>2470</v>
      </c>
      <c r="AB4041" t="s">
        <v>2581</v>
      </c>
      <c r="AC4041" t="s">
        <v>152</v>
      </c>
      <c r="AD4041" t="s">
        <v>2278</v>
      </c>
      <c r="AF4041" t="s">
        <v>49</v>
      </c>
      <c r="AI4041" t="s">
        <v>49</v>
      </c>
      <c r="AM4041" t="s">
        <v>201</v>
      </c>
      <c r="AN4041" t="s">
        <v>154</v>
      </c>
      <c r="AP4041" t="s">
        <v>51</v>
      </c>
    </row>
    <row r="4042" spans="1:45" x14ac:dyDescent="0.2">
      <c r="A4042" t="s">
        <v>2110</v>
      </c>
      <c r="B4042" t="s">
        <v>2111</v>
      </c>
      <c r="C4042">
        <v>2007</v>
      </c>
      <c r="D4042" t="s">
        <v>44</v>
      </c>
      <c r="F4042" t="s">
        <v>628</v>
      </c>
      <c r="G4042" s="1" t="s">
        <v>91</v>
      </c>
      <c r="H4042" t="s">
        <v>96</v>
      </c>
      <c r="I4042">
        <v>2003</v>
      </c>
      <c r="J4042">
        <f t="shared" si="92"/>
        <v>8.3333333333333329E-2</v>
      </c>
      <c r="K4042" t="s">
        <v>101</v>
      </c>
      <c r="N4042" t="s">
        <v>128</v>
      </c>
      <c r="O4042" t="s">
        <v>2547</v>
      </c>
      <c r="P4042" t="s">
        <v>2548</v>
      </c>
      <c r="Q4042" t="s">
        <v>2276</v>
      </c>
      <c r="R4042" t="s">
        <v>2350</v>
      </c>
      <c r="S4042" t="s">
        <v>2350</v>
      </c>
      <c r="X4042" t="s">
        <v>2549</v>
      </c>
      <c r="Y4042" t="s">
        <v>2279</v>
      </c>
      <c r="Z4042" t="s">
        <v>528</v>
      </c>
      <c r="AA4042" t="s">
        <v>2470</v>
      </c>
      <c r="AB4042" t="s">
        <v>2582</v>
      </c>
      <c r="AC4042" t="s">
        <v>152</v>
      </c>
      <c r="AD4042" t="s">
        <v>2278</v>
      </c>
      <c r="AF4042" t="s">
        <v>49</v>
      </c>
      <c r="AI4042" t="s">
        <v>49</v>
      </c>
      <c r="AM4042" t="s">
        <v>201</v>
      </c>
      <c r="AN4042" t="s">
        <v>165</v>
      </c>
      <c r="AP4042" t="s">
        <v>51</v>
      </c>
    </row>
    <row r="4043" spans="1:45" x14ac:dyDescent="0.2">
      <c r="A4043" t="s">
        <v>2110</v>
      </c>
      <c r="B4043" t="s">
        <v>2111</v>
      </c>
      <c r="C4043">
        <v>2007</v>
      </c>
      <c r="D4043" t="s">
        <v>44</v>
      </c>
      <c r="F4043" t="s">
        <v>628</v>
      </c>
      <c r="G4043" s="1" t="s">
        <v>91</v>
      </c>
      <c r="H4043" t="s">
        <v>96</v>
      </c>
      <c r="I4043">
        <v>2003</v>
      </c>
      <c r="J4043">
        <f t="shared" si="92"/>
        <v>8.3333333333333329E-2</v>
      </c>
      <c r="K4043" t="s">
        <v>101</v>
      </c>
      <c r="N4043" t="s">
        <v>128</v>
      </c>
      <c r="O4043" t="s">
        <v>2547</v>
      </c>
      <c r="P4043" t="s">
        <v>2548</v>
      </c>
      <c r="Q4043" t="s">
        <v>2276</v>
      </c>
      <c r="R4043" t="s">
        <v>2350</v>
      </c>
      <c r="S4043" t="s">
        <v>2350</v>
      </c>
      <c r="X4043" t="s">
        <v>1929</v>
      </c>
      <c r="Y4043" t="s">
        <v>2279</v>
      </c>
      <c r="Z4043" t="s">
        <v>528</v>
      </c>
      <c r="AA4043" t="s">
        <v>2470</v>
      </c>
      <c r="AB4043" t="s">
        <v>2581</v>
      </c>
      <c r="AC4043" t="s">
        <v>152</v>
      </c>
      <c r="AD4043" t="s">
        <v>2278</v>
      </c>
      <c r="AF4043" t="s">
        <v>49</v>
      </c>
      <c r="AI4043" t="s">
        <v>49</v>
      </c>
      <c r="AM4043" t="s">
        <v>201</v>
      </c>
      <c r="AN4043" t="s">
        <v>165</v>
      </c>
      <c r="AP4043" t="s">
        <v>51</v>
      </c>
    </row>
    <row r="4044" spans="1:45" x14ac:dyDescent="0.2">
      <c r="A4044" t="s">
        <v>2110</v>
      </c>
      <c r="B4044" t="s">
        <v>2111</v>
      </c>
      <c r="C4044">
        <v>2007</v>
      </c>
      <c r="D4044" t="s">
        <v>811</v>
      </c>
      <c r="F4044" t="s">
        <v>628</v>
      </c>
      <c r="G4044" s="1" t="s">
        <v>91</v>
      </c>
      <c r="H4044" t="s">
        <v>96</v>
      </c>
      <c r="I4044" t="s">
        <v>2036</v>
      </c>
      <c r="J4044">
        <f t="shared" si="92"/>
        <v>8.3333333333333329E-2</v>
      </c>
      <c r="K4044" t="s">
        <v>101</v>
      </c>
      <c r="M4044">
        <f t="shared" ref="M4044:M4049" si="93">0.16*0.47</f>
        <v>7.5200000000000003E-2</v>
      </c>
      <c r="N4044" t="s">
        <v>128</v>
      </c>
      <c r="O4044" t="s">
        <v>2547</v>
      </c>
      <c r="P4044" t="s">
        <v>2548</v>
      </c>
      <c r="Q4044" t="s">
        <v>2276</v>
      </c>
      <c r="R4044" t="s">
        <v>2350</v>
      </c>
      <c r="S4044" t="s">
        <v>2350</v>
      </c>
      <c r="X4044" t="s">
        <v>2549</v>
      </c>
      <c r="Y4044" t="s">
        <v>2279</v>
      </c>
      <c r="Z4044" t="s">
        <v>528</v>
      </c>
      <c r="AA4044" t="s">
        <v>2470</v>
      </c>
      <c r="AB4044" t="s">
        <v>2582</v>
      </c>
      <c r="AC4044" t="s">
        <v>152</v>
      </c>
      <c r="AD4044" t="s">
        <v>2278</v>
      </c>
      <c r="AF4044" t="s">
        <v>49</v>
      </c>
      <c r="AI4044" t="s">
        <v>49</v>
      </c>
      <c r="AM4044" t="s">
        <v>201</v>
      </c>
      <c r="AN4044" t="s">
        <v>166</v>
      </c>
      <c r="AP4044" t="s">
        <v>51</v>
      </c>
    </row>
    <row r="4045" spans="1:45" x14ac:dyDescent="0.2">
      <c r="A4045" t="s">
        <v>2110</v>
      </c>
      <c r="B4045" t="s">
        <v>2111</v>
      </c>
      <c r="C4045">
        <v>2007</v>
      </c>
      <c r="D4045" t="s">
        <v>811</v>
      </c>
      <c r="F4045" t="s">
        <v>628</v>
      </c>
      <c r="G4045" s="1" t="s">
        <v>91</v>
      </c>
      <c r="H4045" t="s">
        <v>96</v>
      </c>
      <c r="I4045" t="s">
        <v>2036</v>
      </c>
      <c r="J4045">
        <f t="shared" si="92"/>
        <v>8.3333333333333329E-2</v>
      </c>
      <c r="K4045" t="s">
        <v>101</v>
      </c>
      <c r="M4045">
        <f t="shared" si="93"/>
        <v>7.5200000000000003E-2</v>
      </c>
      <c r="N4045" t="s">
        <v>128</v>
      </c>
      <c r="O4045" t="s">
        <v>2547</v>
      </c>
      <c r="P4045" t="s">
        <v>2548</v>
      </c>
      <c r="Q4045" t="s">
        <v>2276</v>
      </c>
      <c r="R4045" t="s">
        <v>2350</v>
      </c>
      <c r="S4045" t="s">
        <v>2350</v>
      </c>
      <c r="X4045" t="s">
        <v>1929</v>
      </c>
      <c r="Y4045" t="s">
        <v>2279</v>
      </c>
      <c r="Z4045" t="s">
        <v>528</v>
      </c>
      <c r="AA4045" t="s">
        <v>2470</v>
      </c>
      <c r="AB4045" t="s">
        <v>2581</v>
      </c>
      <c r="AC4045" t="s">
        <v>152</v>
      </c>
      <c r="AD4045" t="s">
        <v>2278</v>
      </c>
      <c r="AF4045" t="s">
        <v>49</v>
      </c>
      <c r="AI4045" t="s">
        <v>49</v>
      </c>
      <c r="AM4045" t="s">
        <v>201</v>
      </c>
      <c r="AN4045" t="s">
        <v>166</v>
      </c>
      <c r="AP4045" t="s">
        <v>51</v>
      </c>
    </row>
    <row r="4046" spans="1:45" x14ac:dyDescent="0.2">
      <c r="A4046" t="s">
        <v>2110</v>
      </c>
      <c r="B4046" t="s">
        <v>2111</v>
      </c>
      <c r="C4046">
        <v>2007</v>
      </c>
      <c r="D4046" t="s">
        <v>811</v>
      </c>
      <c r="F4046" t="s">
        <v>628</v>
      </c>
      <c r="G4046" s="1" t="s">
        <v>91</v>
      </c>
      <c r="H4046" t="s">
        <v>96</v>
      </c>
      <c r="I4046" t="s">
        <v>2036</v>
      </c>
      <c r="J4046">
        <f t="shared" si="92"/>
        <v>8.3333333333333329E-2</v>
      </c>
      <c r="K4046" t="s">
        <v>101</v>
      </c>
      <c r="M4046">
        <f t="shared" si="93"/>
        <v>7.5200000000000003E-2</v>
      </c>
      <c r="N4046" t="s">
        <v>128</v>
      </c>
      <c r="O4046" t="s">
        <v>2547</v>
      </c>
      <c r="P4046" t="s">
        <v>2548</v>
      </c>
      <c r="Q4046" t="s">
        <v>2276</v>
      </c>
      <c r="R4046" t="s">
        <v>2350</v>
      </c>
      <c r="S4046" t="s">
        <v>2350</v>
      </c>
      <c r="X4046" t="s">
        <v>2549</v>
      </c>
      <c r="Y4046" t="s">
        <v>2279</v>
      </c>
      <c r="Z4046" t="s">
        <v>528</v>
      </c>
      <c r="AA4046" t="s">
        <v>2470</v>
      </c>
      <c r="AB4046" t="s">
        <v>2582</v>
      </c>
      <c r="AC4046" t="s">
        <v>152</v>
      </c>
      <c r="AD4046" t="s">
        <v>2278</v>
      </c>
      <c r="AF4046" t="s">
        <v>49</v>
      </c>
      <c r="AI4046" t="s">
        <v>49</v>
      </c>
      <c r="AM4046" t="s">
        <v>201</v>
      </c>
      <c r="AN4046" t="s">
        <v>154</v>
      </c>
      <c r="AP4046" t="s">
        <v>51</v>
      </c>
    </row>
    <row r="4047" spans="1:45" x14ac:dyDescent="0.2">
      <c r="A4047" t="s">
        <v>2110</v>
      </c>
      <c r="B4047" t="s">
        <v>2111</v>
      </c>
      <c r="C4047">
        <v>2007</v>
      </c>
      <c r="D4047" t="s">
        <v>811</v>
      </c>
      <c r="F4047" t="s">
        <v>628</v>
      </c>
      <c r="G4047" s="1" t="s">
        <v>91</v>
      </c>
      <c r="H4047" t="s">
        <v>96</v>
      </c>
      <c r="I4047" t="s">
        <v>2036</v>
      </c>
      <c r="J4047">
        <f t="shared" si="92"/>
        <v>8.3333333333333329E-2</v>
      </c>
      <c r="K4047" t="s">
        <v>101</v>
      </c>
      <c r="M4047">
        <f t="shared" si="93"/>
        <v>7.5200000000000003E-2</v>
      </c>
      <c r="N4047" t="s">
        <v>128</v>
      </c>
      <c r="O4047" t="s">
        <v>2547</v>
      </c>
      <c r="P4047" t="s">
        <v>2548</v>
      </c>
      <c r="Q4047" t="s">
        <v>2276</v>
      </c>
      <c r="R4047" t="s">
        <v>2350</v>
      </c>
      <c r="S4047" t="s">
        <v>2350</v>
      </c>
      <c r="X4047" t="s">
        <v>1929</v>
      </c>
      <c r="Y4047" t="s">
        <v>2279</v>
      </c>
      <c r="Z4047" t="s">
        <v>528</v>
      </c>
      <c r="AA4047" t="s">
        <v>2470</v>
      </c>
      <c r="AB4047" t="s">
        <v>2581</v>
      </c>
      <c r="AC4047" t="s">
        <v>152</v>
      </c>
      <c r="AD4047" t="s">
        <v>2278</v>
      </c>
      <c r="AF4047" t="s">
        <v>49</v>
      </c>
      <c r="AI4047" t="s">
        <v>49</v>
      </c>
      <c r="AM4047" t="s">
        <v>201</v>
      </c>
      <c r="AN4047" t="s">
        <v>154</v>
      </c>
      <c r="AP4047" t="s">
        <v>51</v>
      </c>
    </row>
    <row r="4048" spans="1:45" x14ac:dyDescent="0.2">
      <c r="A4048" t="s">
        <v>2110</v>
      </c>
      <c r="B4048" t="s">
        <v>2111</v>
      </c>
      <c r="C4048">
        <v>2007</v>
      </c>
      <c r="D4048" t="s">
        <v>811</v>
      </c>
      <c r="F4048" t="s">
        <v>628</v>
      </c>
      <c r="G4048" s="1" t="s">
        <v>91</v>
      </c>
      <c r="H4048" t="s">
        <v>96</v>
      </c>
      <c r="I4048" t="s">
        <v>2036</v>
      </c>
      <c r="J4048">
        <f t="shared" si="92"/>
        <v>8.3333333333333329E-2</v>
      </c>
      <c r="K4048" t="s">
        <v>101</v>
      </c>
      <c r="M4048">
        <f t="shared" si="93"/>
        <v>7.5200000000000003E-2</v>
      </c>
      <c r="N4048" t="s">
        <v>128</v>
      </c>
      <c r="O4048" t="s">
        <v>2547</v>
      </c>
      <c r="P4048" t="s">
        <v>2548</v>
      </c>
      <c r="Q4048" t="s">
        <v>2276</v>
      </c>
      <c r="R4048" t="s">
        <v>2350</v>
      </c>
      <c r="S4048" t="s">
        <v>2350</v>
      </c>
      <c r="X4048" t="s">
        <v>2549</v>
      </c>
      <c r="Y4048" t="s">
        <v>2279</v>
      </c>
      <c r="Z4048" t="s">
        <v>528</v>
      </c>
      <c r="AA4048" t="s">
        <v>2470</v>
      </c>
      <c r="AB4048" t="s">
        <v>2582</v>
      </c>
      <c r="AC4048" t="s">
        <v>152</v>
      </c>
      <c r="AD4048" t="s">
        <v>2278</v>
      </c>
      <c r="AF4048" t="s">
        <v>49</v>
      </c>
      <c r="AI4048" t="s">
        <v>49</v>
      </c>
      <c r="AM4048" t="s">
        <v>201</v>
      </c>
      <c r="AN4048" t="s">
        <v>165</v>
      </c>
      <c r="AP4048" t="s">
        <v>49</v>
      </c>
    </row>
    <row r="4049" spans="1:45" x14ac:dyDescent="0.2">
      <c r="A4049" t="s">
        <v>2110</v>
      </c>
      <c r="B4049" t="s">
        <v>2111</v>
      </c>
      <c r="C4049">
        <v>2007</v>
      </c>
      <c r="D4049" t="s">
        <v>811</v>
      </c>
      <c r="F4049" t="s">
        <v>628</v>
      </c>
      <c r="G4049" s="1" t="s">
        <v>91</v>
      </c>
      <c r="H4049" t="s">
        <v>96</v>
      </c>
      <c r="I4049" t="s">
        <v>2036</v>
      </c>
      <c r="J4049">
        <f t="shared" si="92"/>
        <v>8.3333333333333329E-2</v>
      </c>
      <c r="K4049" t="s">
        <v>101</v>
      </c>
      <c r="M4049">
        <f t="shared" si="93"/>
        <v>7.5200000000000003E-2</v>
      </c>
      <c r="N4049" t="s">
        <v>128</v>
      </c>
      <c r="O4049" t="s">
        <v>2547</v>
      </c>
      <c r="P4049" t="s">
        <v>2548</v>
      </c>
      <c r="Q4049" t="s">
        <v>2276</v>
      </c>
      <c r="R4049" t="s">
        <v>2350</v>
      </c>
      <c r="S4049" t="s">
        <v>2350</v>
      </c>
      <c r="X4049" t="s">
        <v>1929</v>
      </c>
      <c r="Y4049" t="s">
        <v>2279</v>
      </c>
      <c r="Z4049" t="s">
        <v>528</v>
      </c>
      <c r="AA4049" t="s">
        <v>2470</v>
      </c>
      <c r="AB4049" t="s">
        <v>2581</v>
      </c>
      <c r="AC4049" t="s">
        <v>152</v>
      </c>
      <c r="AD4049" t="s">
        <v>2278</v>
      </c>
      <c r="AF4049" t="s">
        <v>49</v>
      </c>
      <c r="AI4049" t="s">
        <v>49</v>
      </c>
      <c r="AM4049" t="s">
        <v>201</v>
      </c>
      <c r="AN4049" t="s">
        <v>165</v>
      </c>
      <c r="AP4049" t="s">
        <v>49</v>
      </c>
    </row>
    <row r="4050" spans="1:45" x14ac:dyDescent="0.2">
      <c r="A4050" t="s">
        <v>2112</v>
      </c>
      <c r="B4050" t="s">
        <v>2113</v>
      </c>
      <c r="C4050">
        <v>2007</v>
      </c>
      <c r="Q4050" s="1" t="s">
        <v>2272</v>
      </c>
      <c r="R4050" s="1" t="s">
        <v>2272</v>
      </c>
      <c r="S4050" s="1" t="s">
        <v>2272</v>
      </c>
      <c r="Y4050" t="s">
        <v>2272</v>
      </c>
      <c r="Z4050" t="s">
        <v>2272</v>
      </c>
      <c r="AA4050" t="s">
        <v>2272</v>
      </c>
      <c r="AB4050" t="s">
        <v>2272</v>
      </c>
      <c r="AD4050" t="s">
        <v>2272</v>
      </c>
      <c r="AR4050" t="s">
        <v>144</v>
      </c>
      <c r="AS4050" t="s">
        <v>2583</v>
      </c>
    </row>
    <row r="4051" spans="1:45" x14ac:dyDescent="0.2">
      <c r="A4051" t="s">
        <v>2114</v>
      </c>
      <c r="B4051" t="s">
        <v>2115</v>
      </c>
      <c r="C4051">
        <v>2006</v>
      </c>
      <c r="D4051" t="s">
        <v>44</v>
      </c>
      <c r="F4051" t="s">
        <v>588</v>
      </c>
      <c r="G4051" t="s">
        <v>86</v>
      </c>
      <c r="H4051" t="s">
        <v>350</v>
      </c>
      <c r="I4051">
        <v>2004</v>
      </c>
      <c r="J4051">
        <v>3.3000000000000002E-2</v>
      </c>
      <c r="K4051" t="s">
        <v>101</v>
      </c>
      <c r="L4051">
        <v>4</v>
      </c>
      <c r="M4051">
        <v>9.6199999999999994E-2</v>
      </c>
      <c r="N4051" t="s">
        <v>121</v>
      </c>
      <c r="O4051" t="s">
        <v>121</v>
      </c>
      <c r="P4051" t="s">
        <v>286</v>
      </c>
      <c r="Q4051" s="1" t="s">
        <v>2292</v>
      </c>
      <c r="R4051" s="1" t="s">
        <v>264</v>
      </c>
      <c r="S4051" s="1" t="s">
        <v>264</v>
      </c>
      <c r="X4051" t="s">
        <v>189</v>
      </c>
      <c r="Y4051" t="s">
        <v>2279</v>
      </c>
      <c r="Z4051" t="s">
        <v>2280</v>
      </c>
      <c r="AA4051" t="s">
        <v>2358</v>
      </c>
      <c r="AB4051" t="s">
        <v>189</v>
      </c>
      <c r="AC4051" t="s">
        <v>152</v>
      </c>
      <c r="AD4051" t="s">
        <v>2278</v>
      </c>
    </row>
    <row r="4052" spans="1:45" x14ac:dyDescent="0.2">
      <c r="A4052" t="s">
        <v>2114</v>
      </c>
      <c r="B4052" t="s">
        <v>2115</v>
      </c>
      <c r="C4052">
        <v>2006</v>
      </c>
      <c r="D4052" t="s">
        <v>44</v>
      </c>
      <c r="F4052" t="s">
        <v>588</v>
      </c>
      <c r="G4052" t="s">
        <v>86</v>
      </c>
      <c r="H4052" t="s">
        <v>350</v>
      </c>
      <c r="I4052">
        <v>2004</v>
      </c>
      <c r="J4052">
        <v>3.3000000000000002E-2</v>
      </c>
      <c r="K4052" t="s">
        <v>101</v>
      </c>
      <c r="L4052">
        <v>4</v>
      </c>
      <c r="M4052">
        <v>9.6199999999999994E-2</v>
      </c>
      <c r="N4052" t="s">
        <v>121</v>
      </c>
      <c r="O4052" t="s">
        <v>121</v>
      </c>
      <c r="P4052" t="s">
        <v>286</v>
      </c>
      <c r="Q4052" s="1" t="s">
        <v>2292</v>
      </c>
      <c r="R4052" s="1" t="s">
        <v>264</v>
      </c>
      <c r="S4052" s="1" t="s">
        <v>264</v>
      </c>
      <c r="X4052" t="s">
        <v>293</v>
      </c>
      <c r="Y4052" t="s">
        <v>2273</v>
      </c>
      <c r="Z4052" t="s">
        <v>249</v>
      </c>
      <c r="AA4052" t="s">
        <v>2359</v>
      </c>
      <c r="AB4052" t="s">
        <v>1419</v>
      </c>
      <c r="AC4052" t="s">
        <v>152</v>
      </c>
      <c r="AD4052" t="s">
        <v>137</v>
      </c>
    </row>
    <row r="4053" spans="1:45" x14ac:dyDescent="0.2">
      <c r="A4053" t="s">
        <v>2114</v>
      </c>
      <c r="B4053" t="s">
        <v>2115</v>
      </c>
      <c r="C4053">
        <v>2006</v>
      </c>
      <c r="D4053" t="s">
        <v>44</v>
      </c>
      <c r="F4053" t="s">
        <v>588</v>
      </c>
      <c r="G4053" t="s">
        <v>86</v>
      </c>
      <c r="H4053" t="s">
        <v>350</v>
      </c>
      <c r="I4053">
        <v>2004</v>
      </c>
      <c r="J4053">
        <v>3.3000000000000002E-2</v>
      </c>
      <c r="K4053" t="s">
        <v>101</v>
      </c>
      <c r="L4053">
        <v>4</v>
      </c>
      <c r="M4053">
        <v>9.6199999999999994E-2</v>
      </c>
      <c r="N4053" t="s">
        <v>121</v>
      </c>
      <c r="O4053" t="s">
        <v>121</v>
      </c>
      <c r="P4053" t="s">
        <v>286</v>
      </c>
      <c r="Q4053" s="1" t="s">
        <v>2292</v>
      </c>
      <c r="R4053" s="1" t="s">
        <v>264</v>
      </c>
      <c r="S4053" s="1" t="s">
        <v>264</v>
      </c>
      <c r="X4053" t="s">
        <v>171</v>
      </c>
      <c r="Y4053" t="s">
        <v>2273</v>
      </c>
      <c r="Z4053" t="s">
        <v>249</v>
      </c>
      <c r="AA4053" t="s">
        <v>2359</v>
      </c>
      <c r="AB4053" t="s">
        <v>1979</v>
      </c>
      <c r="AC4053" t="s">
        <v>152</v>
      </c>
      <c r="AD4053" t="s">
        <v>137</v>
      </c>
    </row>
    <row r="4054" spans="1:45" x14ac:dyDescent="0.2">
      <c r="A4054" t="s">
        <v>2114</v>
      </c>
      <c r="B4054" t="s">
        <v>2115</v>
      </c>
      <c r="C4054">
        <v>2006</v>
      </c>
      <c r="D4054" t="s">
        <v>44</v>
      </c>
      <c r="F4054" t="s">
        <v>588</v>
      </c>
      <c r="G4054" t="s">
        <v>86</v>
      </c>
      <c r="H4054" t="s">
        <v>350</v>
      </c>
      <c r="I4054">
        <v>2004</v>
      </c>
      <c r="J4054">
        <v>3.3000000000000002E-2</v>
      </c>
      <c r="K4054" t="s">
        <v>101</v>
      </c>
      <c r="L4054">
        <v>4</v>
      </c>
      <c r="M4054">
        <v>9.6199999999999994E-2</v>
      </c>
      <c r="N4054" t="s">
        <v>121</v>
      </c>
      <c r="O4054" t="s">
        <v>121</v>
      </c>
      <c r="P4054" t="s">
        <v>286</v>
      </c>
      <c r="Q4054" s="1" t="s">
        <v>2292</v>
      </c>
      <c r="R4054" s="1" t="s">
        <v>264</v>
      </c>
      <c r="S4054" s="1" t="s">
        <v>264</v>
      </c>
      <c r="X4054" t="s">
        <v>211</v>
      </c>
      <c r="Y4054" t="s">
        <v>2279</v>
      </c>
      <c r="Z4054" t="s">
        <v>2280</v>
      </c>
      <c r="AA4054" t="s">
        <v>2358</v>
      </c>
      <c r="AB4054" t="s">
        <v>2290</v>
      </c>
      <c r="AC4054" t="s">
        <v>152</v>
      </c>
      <c r="AD4054" t="s">
        <v>2278</v>
      </c>
    </row>
    <row r="4055" spans="1:45" x14ac:dyDescent="0.2">
      <c r="A4055" t="s">
        <v>2114</v>
      </c>
      <c r="B4055" t="s">
        <v>2115</v>
      </c>
      <c r="C4055">
        <v>2006</v>
      </c>
      <c r="D4055" t="s">
        <v>44</v>
      </c>
      <c r="F4055" t="s">
        <v>588</v>
      </c>
      <c r="G4055" t="s">
        <v>86</v>
      </c>
      <c r="H4055" t="s">
        <v>350</v>
      </c>
      <c r="I4055">
        <v>2004</v>
      </c>
      <c r="J4055">
        <v>3.3000000000000002E-2</v>
      </c>
      <c r="K4055" t="s">
        <v>101</v>
      </c>
      <c r="L4055">
        <v>4</v>
      </c>
      <c r="M4055">
        <v>50000</v>
      </c>
      <c r="N4055" t="s">
        <v>121</v>
      </c>
      <c r="O4055" t="s">
        <v>121</v>
      </c>
      <c r="P4055" t="s">
        <v>286</v>
      </c>
      <c r="Q4055" s="1" t="s">
        <v>2292</v>
      </c>
      <c r="R4055" s="1" t="s">
        <v>264</v>
      </c>
      <c r="S4055" s="1" t="s">
        <v>264</v>
      </c>
      <c r="T4055" t="s">
        <v>421</v>
      </c>
      <c r="U4055" t="s">
        <v>421</v>
      </c>
      <c r="X4055" t="s">
        <v>161</v>
      </c>
      <c r="Y4055" t="s">
        <v>2272</v>
      </c>
      <c r="Z4055" t="s">
        <v>2272</v>
      </c>
      <c r="AA4055" t="s">
        <v>2272</v>
      </c>
      <c r="AB4055" t="s">
        <v>2272</v>
      </c>
      <c r="AC4055" t="s">
        <v>162</v>
      </c>
      <c r="AD4055" t="s">
        <v>2272</v>
      </c>
      <c r="AH4055" s="4" t="s">
        <v>49</v>
      </c>
      <c r="AI4055" t="s">
        <v>49</v>
      </c>
      <c r="AM4055" t="s">
        <v>233</v>
      </c>
      <c r="AN4055" t="s">
        <v>154</v>
      </c>
      <c r="AQ4055" s="5">
        <v>1</v>
      </c>
    </row>
    <row r="4056" spans="1:45" x14ac:dyDescent="0.2">
      <c r="A4056" t="s">
        <v>2114</v>
      </c>
      <c r="B4056" t="s">
        <v>2115</v>
      </c>
      <c r="C4056">
        <v>2006</v>
      </c>
      <c r="D4056" t="s">
        <v>44</v>
      </c>
      <c r="F4056" t="s">
        <v>588</v>
      </c>
      <c r="G4056" t="s">
        <v>86</v>
      </c>
      <c r="H4056" t="s">
        <v>350</v>
      </c>
      <c r="I4056">
        <v>2004</v>
      </c>
      <c r="J4056">
        <v>3.3000000000000002E-2</v>
      </c>
      <c r="K4056" t="s">
        <v>101</v>
      </c>
      <c r="L4056">
        <v>4</v>
      </c>
      <c r="M4056">
        <v>50000</v>
      </c>
      <c r="N4056" t="s">
        <v>121</v>
      </c>
      <c r="O4056" t="s">
        <v>121</v>
      </c>
      <c r="P4056" t="s">
        <v>286</v>
      </c>
      <c r="Q4056" s="1" t="s">
        <v>2292</v>
      </c>
      <c r="R4056" s="1" t="s">
        <v>264</v>
      </c>
      <c r="S4056" s="1" t="s">
        <v>264</v>
      </c>
      <c r="T4056" t="s">
        <v>421</v>
      </c>
      <c r="U4056" t="s">
        <v>421</v>
      </c>
      <c r="X4056" t="s">
        <v>161</v>
      </c>
      <c r="Y4056" t="s">
        <v>2272</v>
      </c>
      <c r="Z4056" t="s">
        <v>2272</v>
      </c>
      <c r="AA4056" t="s">
        <v>2272</v>
      </c>
      <c r="AB4056" t="s">
        <v>2272</v>
      </c>
      <c r="AC4056" t="s">
        <v>162</v>
      </c>
      <c r="AD4056" t="s">
        <v>2272</v>
      </c>
      <c r="AH4056" s="4" t="s">
        <v>49</v>
      </c>
      <c r="AI4056" t="s">
        <v>49</v>
      </c>
      <c r="AM4056" t="s">
        <v>233</v>
      </c>
      <c r="AN4056" t="s">
        <v>166</v>
      </c>
      <c r="AQ4056" s="5">
        <v>0</v>
      </c>
    </row>
    <row r="4057" spans="1:45" x14ac:dyDescent="0.2">
      <c r="A4057" t="s">
        <v>2114</v>
      </c>
      <c r="B4057" t="s">
        <v>2115</v>
      </c>
      <c r="C4057">
        <v>2006</v>
      </c>
      <c r="D4057" t="s">
        <v>44</v>
      </c>
      <c r="F4057" t="s">
        <v>588</v>
      </c>
      <c r="G4057" t="s">
        <v>86</v>
      </c>
      <c r="H4057" t="s">
        <v>350</v>
      </c>
      <c r="I4057">
        <v>2004</v>
      </c>
      <c r="J4057">
        <v>3.3000000000000002E-2</v>
      </c>
      <c r="K4057" t="s">
        <v>101</v>
      </c>
      <c r="L4057">
        <v>4</v>
      </c>
      <c r="M4057">
        <v>50000</v>
      </c>
      <c r="N4057" t="s">
        <v>121</v>
      </c>
      <c r="O4057" t="s">
        <v>121</v>
      </c>
      <c r="P4057" t="s">
        <v>286</v>
      </c>
      <c r="Q4057" s="1" t="s">
        <v>2292</v>
      </c>
      <c r="R4057" s="1" t="s">
        <v>264</v>
      </c>
      <c r="S4057" s="1" t="s">
        <v>264</v>
      </c>
      <c r="T4057" t="s">
        <v>421</v>
      </c>
      <c r="U4057" t="s">
        <v>421</v>
      </c>
      <c r="X4057" t="s">
        <v>161</v>
      </c>
      <c r="Y4057" t="s">
        <v>2272</v>
      </c>
      <c r="Z4057" t="s">
        <v>2272</v>
      </c>
      <c r="AA4057" t="s">
        <v>2272</v>
      </c>
      <c r="AB4057" t="s">
        <v>2272</v>
      </c>
      <c r="AC4057" t="s">
        <v>162</v>
      </c>
      <c r="AD4057" t="s">
        <v>2272</v>
      </c>
      <c r="AH4057" s="4" t="s">
        <v>49</v>
      </c>
      <c r="AI4057" t="s">
        <v>49</v>
      </c>
      <c r="AM4057" t="s">
        <v>233</v>
      </c>
      <c r="AN4057" t="s">
        <v>171</v>
      </c>
      <c r="AQ4057" s="5">
        <v>0</v>
      </c>
    </row>
    <row r="4058" spans="1:45" x14ac:dyDescent="0.2">
      <c r="A4058" t="s">
        <v>2114</v>
      </c>
      <c r="B4058" t="s">
        <v>2115</v>
      </c>
      <c r="C4058">
        <v>2006</v>
      </c>
      <c r="D4058" t="s">
        <v>44</v>
      </c>
      <c r="F4058" t="s">
        <v>588</v>
      </c>
      <c r="G4058" t="s">
        <v>86</v>
      </c>
      <c r="H4058" t="s">
        <v>350</v>
      </c>
      <c r="I4058">
        <v>2004</v>
      </c>
      <c r="J4058">
        <v>3.3000000000000002E-2</v>
      </c>
      <c r="K4058" t="s">
        <v>101</v>
      </c>
      <c r="L4058">
        <v>4</v>
      </c>
      <c r="M4058">
        <v>50000</v>
      </c>
      <c r="N4058" t="s">
        <v>121</v>
      </c>
      <c r="O4058" t="s">
        <v>121</v>
      </c>
      <c r="P4058" t="s">
        <v>286</v>
      </c>
      <c r="Q4058" s="1" t="s">
        <v>2292</v>
      </c>
      <c r="R4058" s="1" t="s">
        <v>264</v>
      </c>
      <c r="S4058" s="1" t="s">
        <v>264</v>
      </c>
      <c r="T4058" t="s">
        <v>421</v>
      </c>
      <c r="U4058" t="s">
        <v>421</v>
      </c>
      <c r="X4058" t="s">
        <v>161</v>
      </c>
      <c r="Y4058" t="s">
        <v>2272</v>
      </c>
      <c r="Z4058" t="s">
        <v>2272</v>
      </c>
      <c r="AA4058" t="s">
        <v>2272</v>
      </c>
      <c r="AB4058" t="s">
        <v>2272</v>
      </c>
      <c r="AC4058" t="s">
        <v>162</v>
      </c>
      <c r="AD4058" t="s">
        <v>2272</v>
      </c>
      <c r="AH4058" s="4" t="s">
        <v>49</v>
      </c>
      <c r="AI4058" t="s">
        <v>49</v>
      </c>
      <c r="AM4058" t="s">
        <v>233</v>
      </c>
      <c r="AN4058" t="s">
        <v>165</v>
      </c>
      <c r="AP4058" t="s">
        <v>49</v>
      </c>
    </row>
    <row r="4059" spans="1:45" x14ac:dyDescent="0.2">
      <c r="A4059" t="s">
        <v>2114</v>
      </c>
      <c r="B4059" t="s">
        <v>2115</v>
      </c>
      <c r="C4059">
        <v>2006</v>
      </c>
      <c r="D4059" t="s">
        <v>44</v>
      </c>
      <c r="F4059" t="s">
        <v>588</v>
      </c>
      <c r="G4059" t="s">
        <v>86</v>
      </c>
      <c r="H4059" t="s">
        <v>350</v>
      </c>
      <c r="I4059">
        <v>2004</v>
      </c>
      <c r="J4059">
        <v>3.3000000000000002E-2</v>
      </c>
      <c r="K4059" t="s">
        <v>101</v>
      </c>
      <c r="L4059">
        <v>4</v>
      </c>
      <c r="M4059">
        <v>50000</v>
      </c>
      <c r="N4059" t="s">
        <v>121</v>
      </c>
      <c r="O4059" t="s">
        <v>121</v>
      </c>
      <c r="P4059" t="s">
        <v>286</v>
      </c>
      <c r="Q4059" s="1" t="s">
        <v>2292</v>
      </c>
      <c r="R4059" s="1" t="s">
        <v>264</v>
      </c>
      <c r="S4059" s="1" t="s">
        <v>264</v>
      </c>
      <c r="T4059" t="s">
        <v>421</v>
      </c>
      <c r="U4059" t="s">
        <v>421</v>
      </c>
      <c r="X4059" t="s">
        <v>161</v>
      </c>
      <c r="Y4059" t="s">
        <v>2272</v>
      </c>
      <c r="Z4059" t="s">
        <v>2272</v>
      </c>
      <c r="AA4059" t="s">
        <v>2272</v>
      </c>
      <c r="AB4059" t="s">
        <v>2272</v>
      </c>
      <c r="AC4059" t="s">
        <v>162</v>
      </c>
      <c r="AD4059" t="s">
        <v>2272</v>
      </c>
      <c r="AF4059" t="s">
        <v>49</v>
      </c>
      <c r="AK4059" t="s">
        <v>49</v>
      </c>
      <c r="AM4059" t="s">
        <v>424</v>
      </c>
      <c r="AN4059" t="s">
        <v>166</v>
      </c>
      <c r="AQ4059" s="5">
        <v>0</v>
      </c>
    </row>
    <row r="4060" spans="1:45" x14ac:dyDescent="0.2">
      <c r="A4060" t="s">
        <v>2114</v>
      </c>
      <c r="B4060" t="s">
        <v>2115</v>
      </c>
      <c r="C4060">
        <v>2006</v>
      </c>
      <c r="D4060" t="s">
        <v>44</v>
      </c>
      <c r="F4060" t="s">
        <v>588</v>
      </c>
      <c r="G4060" t="s">
        <v>86</v>
      </c>
      <c r="H4060" t="s">
        <v>350</v>
      </c>
      <c r="I4060">
        <v>2004</v>
      </c>
      <c r="J4060">
        <v>3.3000000000000002E-2</v>
      </c>
      <c r="K4060" t="s">
        <v>101</v>
      </c>
      <c r="L4060">
        <v>4</v>
      </c>
      <c r="M4060">
        <v>50000</v>
      </c>
      <c r="N4060" t="s">
        <v>121</v>
      </c>
      <c r="O4060" t="s">
        <v>121</v>
      </c>
      <c r="P4060" t="s">
        <v>286</v>
      </c>
      <c r="Q4060" s="1" t="s">
        <v>2292</v>
      </c>
      <c r="R4060" s="1" t="s">
        <v>264</v>
      </c>
      <c r="S4060" s="1" t="s">
        <v>264</v>
      </c>
      <c r="T4060" t="s">
        <v>421</v>
      </c>
      <c r="U4060" t="s">
        <v>421</v>
      </c>
      <c r="X4060" t="s">
        <v>161</v>
      </c>
      <c r="Y4060" t="s">
        <v>2272</v>
      </c>
      <c r="Z4060" t="s">
        <v>2272</v>
      </c>
      <c r="AA4060" t="s">
        <v>2272</v>
      </c>
      <c r="AB4060" t="s">
        <v>2272</v>
      </c>
      <c r="AC4060" t="s">
        <v>162</v>
      </c>
      <c r="AD4060" t="s">
        <v>2272</v>
      </c>
      <c r="AF4060" t="s">
        <v>49</v>
      </c>
      <c r="AK4060" t="s">
        <v>49</v>
      </c>
      <c r="AM4060" t="s">
        <v>424</v>
      </c>
      <c r="AN4060" t="s">
        <v>171</v>
      </c>
      <c r="AQ4060" s="5">
        <v>0</v>
      </c>
    </row>
    <row r="4061" spans="1:45" x14ac:dyDescent="0.2">
      <c r="A4061" t="s">
        <v>2116</v>
      </c>
      <c r="B4061" t="s">
        <v>2117</v>
      </c>
      <c r="C4061">
        <v>2006</v>
      </c>
      <c r="D4061" t="s">
        <v>44</v>
      </c>
      <c r="F4061" t="s">
        <v>81</v>
      </c>
      <c r="G4061" t="s">
        <v>86</v>
      </c>
      <c r="H4061" t="s">
        <v>350</v>
      </c>
      <c r="I4061" t="s">
        <v>2118</v>
      </c>
      <c r="K4061" t="s">
        <v>109</v>
      </c>
      <c r="L4061">
        <v>12</v>
      </c>
      <c r="M4061">
        <f>15*2</f>
        <v>30</v>
      </c>
      <c r="N4061" t="s">
        <v>123</v>
      </c>
      <c r="O4061" t="s">
        <v>123</v>
      </c>
      <c r="P4061" t="s">
        <v>518</v>
      </c>
      <c r="Q4061" s="1" t="s">
        <v>2281</v>
      </c>
      <c r="R4061" s="1" t="s">
        <v>2282</v>
      </c>
      <c r="S4061" s="1" t="s">
        <v>123</v>
      </c>
      <c r="T4061" t="s">
        <v>421</v>
      </c>
      <c r="U4061" t="s">
        <v>421</v>
      </c>
      <c r="X4061" t="s">
        <v>161</v>
      </c>
      <c r="Y4061" t="s">
        <v>2272</v>
      </c>
      <c r="Z4061" t="s">
        <v>2272</v>
      </c>
      <c r="AA4061" t="s">
        <v>2272</v>
      </c>
      <c r="AB4061" t="s">
        <v>2272</v>
      </c>
      <c r="AC4061" t="s">
        <v>162</v>
      </c>
      <c r="AD4061" t="s">
        <v>2272</v>
      </c>
      <c r="AF4061" t="s">
        <v>49</v>
      </c>
      <c r="AL4061" t="s">
        <v>49</v>
      </c>
      <c r="AM4061" t="s">
        <v>2119</v>
      </c>
      <c r="AN4061" t="s">
        <v>166</v>
      </c>
      <c r="AQ4061" s="5">
        <v>1</v>
      </c>
    </row>
    <row r="4062" spans="1:45" x14ac:dyDescent="0.2">
      <c r="A4062" t="s">
        <v>2116</v>
      </c>
      <c r="B4062" t="s">
        <v>2117</v>
      </c>
      <c r="C4062">
        <v>2006</v>
      </c>
      <c r="D4062" t="s">
        <v>44</v>
      </c>
      <c r="F4062" t="s">
        <v>81</v>
      </c>
      <c r="G4062" t="s">
        <v>86</v>
      </c>
      <c r="H4062" t="s">
        <v>350</v>
      </c>
      <c r="I4062" t="s">
        <v>2118</v>
      </c>
      <c r="K4062" t="s">
        <v>109</v>
      </c>
      <c r="L4062">
        <v>12</v>
      </c>
      <c r="M4062">
        <f>15*2</f>
        <v>30</v>
      </c>
      <c r="N4062" t="s">
        <v>1293</v>
      </c>
      <c r="O4062" t="s">
        <v>2121</v>
      </c>
      <c r="P4062" t="s">
        <v>2120</v>
      </c>
      <c r="Q4062" s="1" t="s">
        <v>2281</v>
      </c>
      <c r="R4062" s="1" t="s">
        <v>2282</v>
      </c>
      <c r="S4062" s="1" t="s">
        <v>2304</v>
      </c>
      <c r="T4062" t="s">
        <v>421</v>
      </c>
      <c r="U4062" t="s">
        <v>421</v>
      </c>
      <c r="X4062" t="s">
        <v>161</v>
      </c>
      <c r="Y4062" t="s">
        <v>2272</v>
      </c>
      <c r="Z4062" t="s">
        <v>2272</v>
      </c>
      <c r="AA4062" t="s">
        <v>2272</v>
      </c>
      <c r="AB4062" t="s">
        <v>2272</v>
      </c>
      <c r="AC4062" t="s">
        <v>162</v>
      </c>
      <c r="AD4062" t="s">
        <v>2272</v>
      </c>
      <c r="AF4062" t="s">
        <v>49</v>
      </c>
      <c r="AL4062" t="s">
        <v>49</v>
      </c>
      <c r="AM4062" t="s">
        <v>2119</v>
      </c>
      <c r="AN4062" t="s">
        <v>166</v>
      </c>
      <c r="AQ4062" s="5">
        <v>1</v>
      </c>
    </row>
    <row r="4063" spans="1:45" x14ac:dyDescent="0.2">
      <c r="A4063" t="s">
        <v>2116</v>
      </c>
      <c r="B4063" t="s">
        <v>2117</v>
      </c>
      <c r="C4063">
        <v>2006</v>
      </c>
      <c r="D4063" t="s">
        <v>45</v>
      </c>
      <c r="F4063" t="s">
        <v>81</v>
      </c>
      <c r="G4063" t="s">
        <v>86</v>
      </c>
      <c r="H4063" t="s">
        <v>350</v>
      </c>
      <c r="I4063">
        <v>2002</v>
      </c>
      <c r="J4063">
        <v>1.9E-2</v>
      </c>
      <c r="K4063" t="s">
        <v>1097</v>
      </c>
      <c r="N4063" t="s">
        <v>123</v>
      </c>
      <c r="O4063" t="s">
        <v>123</v>
      </c>
      <c r="P4063" t="s">
        <v>518</v>
      </c>
      <c r="Q4063" s="1" t="s">
        <v>2281</v>
      </c>
      <c r="R4063" s="1" t="s">
        <v>2282</v>
      </c>
      <c r="S4063" s="1" t="s">
        <v>123</v>
      </c>
      <c r="Y4063" t="s">
        <v>2272</v>
      </c>
      <c r="Z4063" t="s">
        <v>2272</v>
      </c>
      <c r="AA4063" t="s">
        <v>2272</v>
      </c>
      <c r="AB4063" t="s">
        <v>2272</v>
      </c>
      <c r="AD4063" t="s">
        <v>2272</v>
      </c>
    </row>
    <row r="4064" spans="1:45" x14ac:dyDescent="0.2">
      <c r="A4064" t="s">
        <v>2116</v>
      </c>
      <c r="B4064" t="s">
        <v>2117</v>
      </c>
      <c r="C4064">
        <v>2006</v>
      </c>
      <c r="D4064" t="s">
        <v>45</v>
      </c>
      <c r="F4064" t="s">
        <v>81</v>
      </c>
      <c r="G4064" t="s">
        <v>86</v>
      </c>
      <c r="H4064" t="s">
        <v>350</v>
      </c>
      <c r="I4064">
        <v>2002</v>
      </c>
      <c r="J4064">
        <v>1.9E-2</v>
      </c>
      <c r="K4064" t="s">
        <v>1097</v>
      </c>
      <c r="N4064" t="s">
        <v>1293</v>
      </c>
      <c r="O4064" t="s">
        <v>2121</v>
      </c>
      <c r="P4064" t="s">
        <v>2120</v>
      </c>
      <c r="Q4064" s="1" t="s">
        <v>2281</v>
      </c>
      <c r="R4064" s="1" t="s">
        <v>2282</v>
      </c>
      <c r="S4064" s="1" t="s">
        <v>2304</v>
      </c>
      <c r="Y4064" t="s">
        <v>2272</v>
      </c>
      <c r="Z4064" t="s">
        <v>2272</v>
      </c>
      <c r="AA4064" t="s">
        <v>2272</v>
      </c>
      <c r="AB4064" t="s">
        <v>2272</v>
      </c>
      <c r="AD4064" t="s">
        <v>2272</v>
      </c>
    </row>
    <row r="4065" spans="1:45" x14ac:dyDescent="0.2">
      <c r="A4065" t="s">
        <v>2116</v>
      </c>
      <c r="B4065" t="s">
        <v>2117</v>
      </c>
      <c r="C4065">
        <v>2006</v>
      </c>
      <c r="D4065" t="s">
        <v>811</v>
      </c>
      <c r="F4065" t="s">
        <v>81</v>
      </c>
      <c r="G4065" t="s">
        <v>86</v>
      </c>
      <c r="H4065" t="s">
        <v>350</v>
      </c>
      <c r="I4065">
        <v>2002</v>
      </c>
      <c r="J4065">
        <v>0.12</v>
      </c>
      <c r="K4065" t="s">
        <v>101</v>
      </c>
      <c r="L4065">
        <v>12</v>
      </c>
      <c r="M4065">
        <f t="shared" ref="M4065:M4072" si="94">0.23*0.12</f>
        <v>2.76E-2</v>
      </c>
      <c r="N4065" t="s">
        <v>123</v>
      </c>
      <c r="O4065" t="s">
        <v>123</v>
      </c>
      <c r="P4065" t="s">
        <v>518</v>
      </c>
      <c r="Q4065" s="1" t="s">
        <v>2281</v>
      </c>
      <c r="R4065" s="1" t="s">
        <v>2282</v>
      </c>
      <c r="S4065" s="1" t="s">
        <v>123</v>
      </c>
      <c r="T4065" t="s">
        <v>421</v>
      </c>
      <c r="U4065" t="s">
        <v>421</v>
      </c>
      <c r="X4065" t="s">
        <v>161</v>
      </c>
      <c r="Y4065" t="s">
        <v>2272</v>
      </c>
      <c r="Z4065" t="s">
        <v>2272</v>
      </c>
      <c r="AA4065" t="s">
        <v>2272</v>
      </c>
      <c r="AB4065" t="s">
        <v>2272</v>
      </c>
      <c r="AC4065" t="s">
        <v>162</v>
      </c>
      <c r="AD4065" t="s">
        <v>2272</v>
      </c>
      <c r="AF4065" t="s">
        <v>49</v>
      </c>
      <c r="AL4065" t="s">
        <v>49</v>
      </c>
      <c r="AM4065" t="s">
        <v>2122</v>
      </c>
      <c r="AN4065" t="s">
        <v>166</v>
      </c>
      <c r="AQ4065" s="5">
        <v>2</v>
      </c>
    </row>
    <row r="4066" spans="1:45" x14ac:dyDescent="0.2">
      <c r="A4066" t="s">
        <v>2116</v>
      </c>
      <c r="B4066" t="s">
        <v>2117</v>
      </c>
      <c r="C4066">
        <v>2006</v>
      </c>
      <c r="D4066" t="s">
        <v>811</v>
      </c>
      <c r="F4066" t="s">
        <v>81</v>
      </c>
      <c r="G4066" t="s">
        <v>86</v>
      </c>
      <c r="H4066" t="s">
        <v>350</v>
      </c>
      <c r="I4066">
        <v>2002</v>
      </c>
      <c r="J4066">
        <v>0.12</v>
      </c>
      <c r="K4066" t="s">
        <v>101</v>
      </c>
      <c r="L4066">
        <v>12</v>
      </c>
      <c r="M4066">
        <f t="shared" si="94"/>
        <v>2.76E-2</v>
      </c>
      <c r="N4066" t="s">
        <v>1293</v>
      </c>
      <c r="O4066" t="s">
        <v>2121</v>
      </c>
      <c r="P4066" t="s">
        <v>2120</v>
      </c>
      <c r="Q4066" s="1" t="s">
        <v>2281</v>
      </c>
      <c r="R4066" s="1" t="s">
        <v>2282</v>
      </c>
      <c r="S4066" s="1" t="s">
        <v>2304</v>
      </c>
      <c r="T4066" t="s">
        <v>421</v>
      </c>
      <c r="U4066" t="s">
        <v>421</v>
      </c>
      <c r="X4066" t="s">
        <v>161</v>
      </c>
      <c r="Y4066" t="s">
        <v>2272</v>
      </c>
      <c r="Z4066" t="s">
        <v>2272</v>
      </c>
      <c r="AA4066" t="s">
        <v>2272</v>
      </c>
      <c r="AB4066" t="s">
        <v>2272</v>
      </c>
      <c r="AC4066" t="s">
        <v>162</v>
      </c>
      <c r="AD4066" t="s">
        <v>2272</v>
      </c>
      <c r="AF4066" t="s">
        <v>49</v>
      </c>
      <c r="AL4066" t="s">
        <v>49</v>
      </c>
      <c r="AM4066" t="s">
        <v>2122</v>
      </c>
      <c r="AN4066" t="s">
        <v>166</v>
      </c>
      <c r="AQ4066" s="5">
        <v>2</v>
      </c>
    </row>
    <row r="4067" spans="1:45" x14ac:dyDescent="0.2">
      <c r="A4067" t="s">
        <v>2116</v>
      </c>
      <c r="B4067" t="s">
        <v>2117</v>
      </c>
      <c r="C4067">
        <v>2006</v>
      </c>
      <c r="D4067" t="s">
        <v>811</v>
      </c>
      <c r="F4067" t="s">
        <v>81</v>
      </c>
      <c r="G4067" t="s">
        <v>86</v>
      </c>
      <c r="H4067" t="s">
        <v>350</v>
      </c>
      <c r="I4067">
        <v>2002</v>
      </c>
      <c r="J4067">
        <v>0.12</v>
      </c>
      <c r="K4067" t="s">
        <v>101</v>
      </c>
      <c r="L4067">
        <v>12</v>
      </c>
      <c r="M4067">
        <f t="shared" si="94"/>
        <v>2.76E-2</v>
      </c>
      <c r="N4067" t="s">
        <v>123</v>
      </c>
      <c r="O4067" t="s">
        <v>123</v>
      </c>
      <c r="P4067" t="s">
        <v>518</v>
      </c>
      <c r="Q4067" s="1" t="s">
        <v>2281</v>
      </c>
      <c r="R4067" s="1" t="s">
        <v>2282</v>
      </c>
      <c r="S4067" s="1" t="s">
        <v>123</v>
      </c>
      <c r="T4067" t="s">
        <v>396</v>
      </c>
      <c r="U4067" t="s">
        <v>2304</v>
      </c>
      <c r="X4067" t="s">
        <v>161</v>
      </c>
      <c r="Y4067" t="s">
        <v>2272</v>
      </c>
      <c r="Z4067" t="s">
        <v>2272</v>
      </c>
      <c r="AA4067" t="s">
        <v>2272</v>
      </c>
      <c r="AB4067" t="s">
        <v>2272</v>
      </c>
      <c r="AC4067" t="s">
        <v>162</v>
      </c>
      <c r="AD4067" t="s">
        <v>2272</v>
      </c>
      <c r="AF4067" t="s">
        <v>49</v>
      </c>
      <c r="AL4067" t="s">
        <v>49</v>
      </c>
      <c r="AM4067" t="s">
        <v>2122</v>
      </c>
      <c r="AN4067" t="s">
        <v>166</v>
      </c>
      <c r="AQ4067" s="5">
        <v>1</v>
      </c>
    </row>
    <row r="4068" spans="1:45" x14ac:dyDescent="0.2">
      <c r="A4068" t="s">
        <v>2116</v>
      </c>
      <c r="B4068" t="s">
        <v>2117</v>
      </c>
      <c r="C4068">
        <v>2006</v>
      </c>
      <c r="D4068" t="s">
        <v>811</v>
      </c>
      <c r="F4068" t="s">
        <v>81</v>
      </c>
      <c r="G4068" t="s">
        <v>86</v>
      </c>
      <c r="H4068" t="s">
        <v>350</v>
      </c>
      <c r="I4068">
        <v>2002</v>
      </c>
      <c r="J4068">
        <v>0.12</v>
      </c>
      <c r="K4068" t="s">
        <v>101</v>
      </c>
      <c r="L4068">
        <v>12</v>
      </c>
      <c r="M4068">
        <f t="shared" si="94"/>
        <v>2.76E-2</v>
      </c>
      <c r="N4068" t="s">
        <v>1293</v>
      </c>
      <c r="O4068" t="s">
        <v>2121</v>
      </c>
      <c r="P4068" t="s">
        <v>2120</v>
      </c>
      <c r="Q4068" s="1" t="s">
        <v>2281</v>
      </c>
      <c r="R4068" s="1" t="s">
        <v>2282</v>
      </c>
      <c r="S4068" s="1" t="s">
        <v>2304</v>
      </c>
      <c r="T4068" t="s">
        <v>396</v>
      </c>
      <c r="U4068" t="s">
        <v>123</v>
      </c>
      <c r="X4068" t="s">
        <v>161</v>
      </c>
      <c r="Y4068" t="s">
        <v>2272</v>
      </c>
      <c r="Z4068" t="s">
        <v>2272</v>
      </c>
      <c r="AA4068" t="s">
        <v>2272</v>
      </c>
      <c r="AB4068" t="s">
        <v>2272</v>
      </c>
      <c r="AC4068" t="s">
        <v>162</v>
      </c>
      <c r="AD4068" t="s">
        <v>2272</v>
      </c>
      <c r="AF4068" t="s">
        <v>49</v>
      </c>
      <c r="AL4068" t="s">
        <v>49</v>
      </c>
      <c r="AM4068" t="s">
        <v>2122</v>
      </c>
      <c r="AN4068" t="s">
        <v>166</v>
      </c>
      <c r="AQ4068" s="5">
        <v>2</v>
      </c>
    </row>
    <row r="4069" spans="1:45" x14ac:dyDescent="0.2">
      <c r="A4069" t="s">
        <v>2116</v>
      </c>
      <c r="B4069" t="s">
        <v>2117</v>
      </c>
      <c r="C4069">
        <v>2006</v>
      </c>
      <c r="D4069" t="s">
        <v>811</v>
      </c>
      <c r="F4069" t="s">
        <v>81</v>
      </c>
      <c r="G4069" t="s">
        <v>86</v>
      </c>
      <c r="H4069" t="s">
        <v>350</v>
      </c>
      <c r="I4069">
        <v>2002</v>
      </c>
      <c r="J4069">
        <v>0.12</v>
      </c>
      <c r="K4069" t="s">
        <v>101</v>
      </c>
      <c r="L4069">
        <v>12</v>
      </c>
      <c r="M4069">
        <f t="shared" si="94"/>
        <v>2.76E-2</v>
      </c>
      <c r="N4069" t="s">
        <v>123</v>
      </c>
      <c r="O4069" t="s">
        <v>123</v>
      </c>
      <c r="P4069" t="s">
        <v>518</v>
      </c>
      <c r="Q4069" s="1" t="s">
        <v>2281</v>
      </c>
      <c r="R4069" s="1" t="s">
        <v>2282</v>
      </c>
      <c r="S4069" s="1" t="s">
        <v>123</v>
      </c>
      <c r="T4069" t="s">
        <v>421</v>
      </c>
      <c r="U4069" t="s">
        <v>421</v>
      </c>
      <c r="X4069" t="s">
        <v>161</v>
      </c>
      <c r="Y4069" t="s">
        <v>2272</v>
      </c>
      <c r="Z4069" t="s">
        <v>2272</v>
      </c>
      <c r="AA4069" t="s">
        <v>2272</v>
      </c>
      <c r="AB4069" t="s">
        <v>2272</v>
      </c>
      <c r="AC4069" t="s">
        <v>162</v>
      </c>
      <c r="AD4069" t="s">
        <v>2272</v>
      </c>
      <c r="AF4069" t="s">
        <v>49</v>
      </c>
      <c r="AL4069" t="s">
        <v>49</v>
      </c>
      <c r="AM4069" t="s">
        <v>2123</v>
      </c>
      <c r="AN4069" t="s">
        <v>166</v>
      </c>
      <c r="AQ4069" s="5">
        <v>1</v>
      </c>
    </row>
    <row r="4070" spans="1:45" x14ac:dyDescent="0.2">
      <c r="A4070" t="s">
        <v>2116</v>
      </c>
      <c r="B4070" t="s">
        <v>2117</v>
      </c>
      <c r="C4070">
        <v>2006</v>
      </c>
      <c r="D4070" t="s">
        <v>811</v>
      </c>
      <c r="F4070" t="s">
        <v>81</v>
      </c>
      <c r="G4070" t="s">
        <v>86</v>
      </c>
      <c r="H4070" t="s">
        <v>350</v>
      </c>
      <c r="I4070">
        <v>2002</v>
      </c>
      <c r="J4070">
        <v>0.12</v>
      </c>
      <c r="K4070" t="s">
        <v>101</v>
      </c>
      <c r="L4070">
        <v>12</v>
      </c>
      <c r="M4070">
        <f t="shared" si="94"/>
        <v>2.76E-2</v>
      </c>
      <c r="N4070" t="s">
        <v>1293</v>
      </c>
      <c r="O4070" t="s">
        <v>2121</v>
      </c>
      <c r="P4070" t="s">
        <v>2120</v>
      </c>
      <c r="Q4070" s="1" t="s">
        <v>2281</v>
      </c>
      <c r="R4070" s="1" t="s">
        <v>2282</v>
      </c>
      <c r="S4070" s="1" t="s">
        <v>2304</v>
      </c>
      <c r="T4070" t="s">
        <v>421</v>
      </c>
      <c r="U4070" t="s">
        <v>421</v>
      </c>
      <c r="X4070" t="s">
        <v>161</v>
      </c>
      <c r="Y4070" t="s">
        <v>2272</v>
      </c>
      <c r="Z4070" t="s">
        <v>2272</v>
      </c>
      <c r="AA4070" t="s">
        <v>2272</v>
      </c>
      <c r="AB4070" t="s">
        <v>2272</v>
      </c>
      <c r="AC4070" t="s">
        <v>162</v>
      </c>
      <c r="AD4070" t="s">
        <v>2272</v>
      </c>
      <c r="AF4070" t="s">
        <v>49</v>
      </c>
      <c r="AL4070" t="s">
        <v>49</v>
      </c>
      <c r="AM4070" t="s">
        <v>2123</v>
      </c>
      <c r="AN4070" t="s">
        <v>166</v>
      </c>
      <c r="AQ4070" s="5">
        <v>1</v>
      </c>
    </row>
    <row r="4071" spans="1:45" x14ac:dyDescent="0.2">
      <c r="A4071" t="s">
        <v>2116</v>
      </c>
      <c r="B4071" t="s">
        <v>2117</v>
      </c>
      <c r="C4071">
        <v>2006</v>
      </c>
      <c r="D4071" t="s">
        <v>811</v>
      </c>
      <c r="F4071" t="s">
        <v>81</v>
      </c>
      <c r="G4071" t="s">
        <v>86</v>
      </c>
      <c r="H4071" t="s">
        <v>350</v>
      </c>
      <c r="I4071">
        <v>2002</v>
      </c>
      <c r="J4071">
        <v>0.12</v>
      </c>
      <c r="K4071" t="s">
        <v>101</v>
      </c>
      <c r="L4071">
        <v>12</v>
      </c>
      <c r="M4071">
        <f t="shared" si="94"/>
        <v>2.76E-2</v>
      </c>
      <c r="N4071" t="s">
        <v>123</v>
      </c>
      <c r="O4071" t="s">
        <v>123</v>
      </c>
      <c r="P4071" t="s">
        <v>518</v>
      </c>
      <c r="Q4071" s="1" t="s">
        <v>2281</v>
      </c>
      <c r="R4071" s="1" t="s">
        <v>2282</v>
      </c>
      <c r="S4071" s="1" t="s">
        <v>123</v>
      </c>
      <c r="T4071" t="s">
        <v>396</v>
      </c>
      <c r="U4071" t="s">
        <v>2304</v>
      </c>
      <c r="X4071" t="s">
        <v>161</v>
      </c>
      <c r="Y4071" t="s">
        <v>2272</v>
      </c>
      <c r="Z4071" t="s">
        <v>2272</v>
      </c>
      <c r="AA4071" t="s">
        <v>2272</v>
      </c>
      <c r="AB4071" t="s">
        <v>2272</v>
      </c>
      <c r="AC4071" t="s">
        <v>162</v>
      </c>
      <c r="AD4071" t="s">
        <v>2272</v>
      </c>
      <c r="AF4071" t="s">
        <v>49</v>
      </c>
      <c r="AL4071" t="s">
        <v>49</v>
      </c>
      <c r="AM4071" t="s">
        <v>2123</v>
      </c>
      <c r="AN4071" t="s">
        <v>166</v>
      </c>
      <c r="AQ4071" s="5">
        <v>1</v>
      </c>
    </row>
    <row r="4072" spans="1:45" x14ac:dyDescent="0.2">
      <c r="A4072" t="s">
        <v>2116</v>
      </c>
      <c r="B4072" t="s">
        <v>2117</v>
      </c>
      <c r="C4072">
        <v>2006</v>
      </c>
      <c r="D4072" t="s">
        <v>811</v>
      </c>
      <c r="F4072" t="s">
        <v>81</v>
      </c>
      <c r="G4072" t="s">
        <v>86</v>
      </c>
      <c r="H4072" t="s">
        <v>350</v>
      </c>
      <c r="I4072">
        <v>2002</v>
      </c>
      <c r="J4072">
        <v>0.12</v>
      </c>
      <c r="K4072" t="s">
        <v>101</v>
      </c>
      <c r="L4072">
        <v>12</v>
      </c>
      <c r="M4072">
        <f t="shared" si="94"/>
        <v>2.76E-2</v>
      </c>
      <c r="N4072" t="s">
        <v>1293</v>
      </c>
      <c r="O4072" t="s">
        <v>2121</v>
      </c>
      <c r="P4072" t="s">
        <v>2120</v>
      </c>
      <c r="Q4072" s="1" t="s">
        <v>2281</v>
      </c>
      <c r="R4072" s="1" t="s">
        <v>2282</v>
      </c>
      <c r="S4072" s="1" t="s">
        <v>2304</v>
      </c>
      <c r="T4072" t="s">
        <v>396</v>
      </c>
      <c r="U4072" t="s">
        <v>123</v>
      </c>
      <c r="X4072" t="s">
        <v>161</v>
      </c>
      <c r="Y4072" t="s">
        <v>2272</v>
      </c>
      <c r="Z4072" t="s">
        <v>2272</v>
      </c>
      <c r="AA4072" t="s">
        <v>2272</v>
      </c>
      <c r="AB4072" t="s">
        <v>2272</v>
      </c>
      <c r="AC4072" t="s">
        <v>162</v>
      </c>
      <c r="AD4072" t="s">
        <v>2272</v>
      </c>
      <c r="AF4072" t="s">
        <v>49</v>
      </c>
      <c r="AL4072" t="s">
        <v>49</v>
      </c>
      <c r="AM4072" t="s">
        <v>2123</v>
      </c>
      <c r="AN4072" t="s">
        <v>166</v>
      </c>
      <c r="AQ4072" s="5">
        <v>2</v>
      </c>
    </row>
    <row r="4073" spans="1:45" x14ac:dyDescent="0.2">
      <c r="A4073" t="s">
        <v>2124</v>
      </c>
      <c r="B4073" t="s">
        <v>2125</v>
      </c>
      <c r="C4073">
        <v>2006</v>
      </c>
      <c r="D4073" t="s">
        <v>811</v>
      </c>
      <c r="F4073" t="s">
        <v>955</v>
      </c>
      <c r="G4073" t="s">
        <v>85</v>
      </c>
      <c r="H4073" t="s">
        <v>96</v>
      </c>
      <c r="I4073">
        <v>2002</v>
      </c>
      <c r="J4073">
        <v>0.08</v>
      </c>
      <c r="L4073">
        <v>350</v>
      </c>
      <c r="M4073">
        <f>3*3</f>
        <v>9</v>
      </c>
      <c r="Q4073" s="1" t="s">
        <v>2272</v>
      </c>
      <c r="R4073" s="1" t="s">
        <v>2272</v>
      </c>
      <c r="S4073" s="1" t="s">
        <v>2272</v>
      </c>
      <c r="Y4073" t="s">
        <v>2272</v>
      </c>
      <c r="Z4073" t="s">
        <v>2272</v>
      </c>
      <c r="AA4073" t="s">
        <v>2272</v>
      </c>
      <c r="AB4073" t="s">
        <v>2272</v>
      </c>
      <c r="AD4073" t="s">
        <v>2272</v>
      </c>
      <c r="AR4073" t="s">
        <v>144</v>
      </c>
      <c r="AS4073" t="s">
        <v>2585</v>
      </c>
    </row>
    <row r="4074" spans="1:45" x14ac:dyDescent="0.2">
      <c r="A4074" t="s">
        <v>2126</v>
      </c>
      <c r="B4074" t="s">
        <v>2127</v>
      </c>
      <c r="C4074">
        <v>2006</v>
      </c>
      <c r="D4074" t="s">
        <v>44</v>
      </c>
      <c r="F4074" t="s">
        <v>81</v>
      </c>
      <c r="G4074" t="s">
        <v>88</v>
      </c>
      <c r="H4074" t="s">
        <v>350</v>
      </c>
      <c r="I4074" t="s">
        <v>2128</v>
      </c>
      <c r="J4074">
        <v>1</v>
      </c>
      <c r="K4074" t="s">
        <v>101</v>
      </c>
      <c r="L4074">
        <v>2</v>
      </c>
      <c r="M4074">
        <f t="shared" ref="M4074:M4080" si="95">0.5*0.5</f>
        <v>0.25</v>
      </c>
      <c r="N4074" t="s">
        <v>122</v>
      </c>
      <c r="O4074" t="s">
        <v>122</v>
      </c>
      <c r="Q4074" s="1" t="s">
        <v>2281</v>
      </c>
      <c r="R4074" s="1" t="s">
        <v>122</v>
      </c>
      <c r="S4074" s="1" t="s">
        <v>2294</v>
      </c>
      <c r="X4074" t="s">
        <v>223</v>
      </c>
      <c r="Y4074" t="s">
        <v>2279</v>
      </c>
      <c r="Z4074" t="s">
        <v>528</v>
      </c>
      <c r="AA4074" t="s">
        <v>2360</v>
      </c>
      <c r="AB4074" t="s">
        <v>2581</v>
      </c>
      <c r="AC4074" t="s">
        <v>315</v>
      </c>
      <c r="AD4074" t="s">
        <v>2278</v>
      </c>
      <c r="AF4074" t="s">
        <v>49</v>
      </c>
      <c r="AI4074" t="s">
        <v>49</v>
      </c>
      <c r="AM4074" t="s">
        <v>192</v>
      </c>
      <c r="AN4074" t="s">
        <v>154</v>
      </c>
      <c r="AP4074" t="s">
        <v>157</v>
      </c>
    </row>
    <row r="4075" spans="1:45" x14ac:dyDescent="0.2">
      <c r="A4075" t="s">
        <v>2126</v>
      </c>
      <c r="B4075" t="s">
        <v>2127</v>
      </c>
      <c r="C4075">
        <v>2006</v>
      </c>
      <c r="D4075" t="s">
        <v>44</v>
      </c>
      <c r="F4075" t="s">
        <v>81</v>
      </c>
      <c r="G4075" t="s">
        <v>88</v>
      </c>
      <c r="H4075" t="s">
        <v>350</v>
      </c>
      <c r="I4075" t="s">
        <v>2128</v>
      </c>
      <c r="J4075">
        <v>1</v>
      </c>
      <c r="K4075" t="s">
        <v>101</v>
      </c>
      <c r="L4075">
        <v>2</v>
      </c>
      <c r="M4075">
        <f t="shared" si="95"/>
        <v>0.25</v>
      </c>
      <c r="N4075" t="s">
        <v>122</v>
      </c>
      <c r="O4075" t="s">
        <v>122</v>
      </c>
      <c r="Q4075" s="1" t="s">
        <v>2281</v>
      </c>
      <c r="R4075" s="1" t="s">
        <v>122</v>
      </c>
      <c r="S4075" s="1" t="s">
        <v>2294</v>
      </c>
      <c r="X4075" t="s">
        <v>211</v>
      </c>
      <c r="Y4075" t="s">
        <v>2279</v>
      </c>
      <c r="Z4075" t="s">
        <v>2280</v>
      </c>
      <c r="AA4075" t="s">
        <v>2358</v>
      </c>
      <c r="AB4075" t="s">
        <v>2290</v>
      </c>
      <c r="AC4075" t="s">
        <v>152</v>
      </c>
      <c r="AD4075" t="s">
        <v>2278</v>
      </c>
      <c r="AE4075" t="s">
        <v>415</v>
      </c>
      <c r="AF4075" t="s">
        <v>49</v>
      </c>
      <c r="AI4075" t="s">
        <v>49</v>
      </c>
      <c r="AM4075" t="s">
        <v>192</v>
      </c>
      <c r="AN4075" t="s">
        <v>154</v>
      </c>
      <c r="AP4075" t="s">
        <v>157</v>
      </c>
    </row>
    <row r="4076" spans="1:45" x14ac:dyDescent="0.2">
      <c r="A4076" t="s">
        <v>2126</v>
      </c>
      <c r="B4076" t="s">
        <v>2127</v>
      </c>
      <c r="C4076">
        <v>2006</v>
      </c>
      <c r="D4076" t="s">
        <v>44</v>
      </c>
      <c r="F4076" t="s">
        <v>81</v>
      </c>
      <c r="G4076" t="s">
        <v>88</v>
      </c>
      <c r="H4076" t="s">
        <v>350</v>
      </c>
      <c r="I4076" t="s">
        <v>2128</v>
      </c>
      <c r="J4076">
        <v>1</v>
      </c>
      <c r="K4076" t="s">
        <v>101</v>
      </c>
      <c r="L4076">
        <v>2</v>
      </c>
      <c r="M4076">
        <f t="shared" si="95"/>
        <v>0.25</v>
      </c>
      <c r="N4076" t="s">
        <v>122</v>
      </c>
      <c r="O4076" t="s">
        <v>122</v>
      </c>
      <c r="Q4076" s="1" t="s">
        <v>2281</v>
      </c>
      <c r="R4076" s="1" t="s">
        <v>122</v>
      </c>
      <c r="S4076" s="1" t="s">
        <v>2294</v>
      </c>
      <c r="X4076" t="s">
        <v>1196</v>
      </c>
      <c r="Y4076" t="s">
        <v>2279</v>
      </c>
      <c r="Z4076" t="s">
        <v>2280</v>
      </c>
      <c r="AA4076" t="s">
        <v>2286</v>
      </c>
      <c r="AB4076" t="s">
        <v>2305</v>
      </c>
      <c r="AC4076" t="s">
        <v>152</v>
      </c>
      <c r="AD4076" t="s">
        <v>2278</v>
      </c>
      <c r="AF4076" t="s">
        <v>49</v>
      </c>
      <c r="AI4076" t="s">
        <v>49</v>
      </c>
      <c r="AM4076" t="s">
        <v>192</v>
      </c>
      <c r="AN4076" t="s">
        <v>154</v>
      </c>
      <c r="AP4076" t="s">
        <v>157</v>
      </c>
    </row>
    <row r="4077" spans="1:45" x14ac:dyDescent="0.2">
      <c r="A4077" t="s">
        <v>2126</v>
      </c>
      <c r="B4077" t="s">
        <v>2127</v>
      </c>
      <c r="C4077">
        <v>2006</v>
      </c>
      <c r="D4077" t="s">
        <v>44</v>
      </c>
      <c r="F4077" t="s">
        <v>81</v>
      </c>
      <c r="G4077" t="s">
        <v>88</v>
      </c>
      <c r="H4077" t="s">
        <v>350</v>
      </c>
      <c r="I4077" t="s">
        <v>2128</v>
      </c>
      <c r="J4077">
        <v>1</v>
      </c>
      <c r="K4077" t="s">
        <v>101</v>
      </c>
      <c r="L4077">
        <v>2</v>
      </c>
      <c r="M4077">
        <f t="shared" si="95"/>
        <v>0.25</v>
      </c>
      <c r="N4077" t="s">
        <v>122</v>
      </c>
      <c r="O4077" t="s">
        <v>122</v>
      </c>
      <c r="Q4077" s="1" t="s">
        <v>2281</v>
      </c>
      <c r="R4077" s="1" t="s">
        <v>122</v>
      </c>
      <c r="S4077" s="1" t="s">
        <v>2294</v>
      </c>
      <c r="X4077" t="s">
        <v>2129</v>
      </c>
      <c r="Y4077" t="s">
        <v>2279</v>
      </c>
      <c r="Z4077" t="s">
        <v>2280</v>
      </c>
      <c r="AA4077" t="s">
        <v>2358</v>
      </c>
      <c r="AB4077" t="s">
        <v>189</v>
      </c>
      <c r="AC4077" t="s">
        <v>152</v>
      </c>
      <c r="AD4077" t="s">
        <v>2278</v>
      </c>
    </row>
    <row r="4078" spans="1:45" x14ac:dyDescent="0.2">
      <c r="A4078" t="s">
        <v>2126</v>
      </c>
      <c r="B4078" t="s">
        <v>2127</v>
      </c>
      <c r="C4078">
        <v>2006</v>
      </c>
      <c r="D4078" t="s">
        <v>44</v>
      </c>
      <c r="F4078" t="s">
        <v>81</v>
      </c>
      <c r="G4078" t="s">
        <v>88</v>
      </c>
      <c r="H4078" t="s">
        <v>350</v>
      </c>
      <c r="I4078" t="s">
        <v>2128</v>
      </c>
      <c r="J4078">
        <v>1</v>
      </c>
      <c r="K4078" t="s">
        <v>101</v>
      </c>
      <c r="L4078">
        <v>2</v>
      </c>
      <c r="M4078">
        <f t="shared" si="95"/>
        <v>0.25</v>
      </c>
      <c r="N4078" t="s">
        <v>122</v>
      </c>
      <c r="O4078" t="s">
        <v>122</v>
      </c>
      <c r="Q4078" s="1" t="s">
        <v>2281</v>
      </c>
      <c r="R4078" s="1" t="s">
        <v>122</v>
      </c>
      <c r="S4078" s="1" t="s">
        <v>2294</v>
      </c>
      <c r="X4078" t="s">
        <v>223</v>
      </c>
      <c r="Y4078" t="s">
        <v>2279</v>
      </c>
      <c r="Z4078" t="s">
        <v>528</v>
      </c>
      <c r="AA4078" t="s">
        <v>2360</v>
      </c>
      <c r="AB4078" t="s">
        <v>2581</v>
      </c>
      <c r="AC4078" t="s">
        <v>315</v>
      </c>
      <c r="AD4078" t="s">
        <v>2278</v>
      </c>
      <c r="AF4078" t="s">
        <v>49</v>
      </c>
      <c r="AI4078" t="s">
        <v>49</v>
      </c>
      <c r="AM4078" t="s">
        <v>192</v>
      </c>
      <c r="AN4078" t="s">
        <v>166</v>
      </c>
      <c r="AP4078" t="s">
        <v>51</v>
      </c>
    </row>
    <row r="4079" spans="1:45" x14ac:dyDescent="0.2">
      <c r="A4079" t="s">
        <v>2126</v>
      </c>
      <c r="B4079" t="s">
        <v>2127</v>
      </c>
      <c r="C4079">
        <v>2006</v>
      </c>
      <c r="D4079" t="s">
        <v>44</v>
      </c>
      <c r="F4079" t="s">
        <v>81</v>
      </c>
      <c r="G4079" t="s">
        <v>88</v>
      </c>
      <c r="H4079" t="s">
        <v>350</v>
      </c>
      <c r="I4079" t="s">
        <v>2128</v>
      </c>
      <c r="J4079">
        <v>1</v>
      </c>
      <c r="K4079" t="s">
        <v>101</v>
      </c>
      <c r="L4079">
        <v>2</v>
      </c>
      <c r="M4079">
        <f t="shared" si="95"/>
        <v>0.25</v>
      </c>
      <c r="N4079" t="s">
        <v>122</v>
      </c>
      <c r="O4079" t="s">
        <v>122</v>
      </c>
      <c r="Q4079" s="1" t="s">
        <v>2281</v>
      </c>
      <c r="R4079" s="1" t="s">
        <v>122</v>
      </c>
      <c r="S4079" s="1" t="s">
        <v>2294</v>
      </c>
      <c r="X4079" t="s">
        <v>211</v>
      </c>
      <c r="Y4079" t="s">
        <v>2279</v>
      </c>
      <c r="Z4079" t="s">
        <v>2280</v>
      </c>
      <c r="AA4079" t="s">
        <v>2358</v>
      </c>
      <c r="AB4079" t="s">
        <v>2290</v>
      </c>
      <c r="AC4079" t="s">
        <v>152</v>
      </c>
      <c r="AD4079" t="s">
        <v>2278</v>
      </c>
      <c r="AE4079" t="s">
        <v>415</v>
      </c>
      <c r="AF4079" t="s">
        <v>49</v>
      </c>
      <c r="AI4079" t="s">
        <v>49</v>
      </c>
      <c r="AM4079" t="s">
        <v>192</v>
      </c>
      <c r="AN4079" t="s">
        <v>166</v>
      </c>
      <c r="AP4079" t="s">
        <v>51</v>
      </c>
    </row>
    <row r="4080" spans="1:45" x14ac:dyDescent="0.2">
      <c r="A4080" t="s">
        <v>2126</v>
      </c>
      <c r="B4080" t="s">
        <v>2127</v>
      </c>
      <c r="C4080">
        <v>2006</v>
      </c>
      <c r="D4080" t="s">
        <v>44</v>
      </c>
      <c r="F4080" t="s">
        <v>81</v>
      </c>
      <c r="G4080" t="s">
        <v>88</v>
      </c>
      <c r="H4080" t="s">
        <v>350</v>
      </c>
      <c r="I4080" t="s">
        <v>2128</v>
      </c>
      <c r="J4080">
        <v>1</v>
      </c>
      <c r="K4080" t="s">
        <v>101</v>
      </c>
      <c r="L4080">
        <v>2</v>
      </c>
      <c r="M4080">
        <f t="shared" si="95"/>
        <v>0.25</v>
      </c>
      <c r="N4080" t="s">
        <v>122</v>
      </c>
      <c r="O4080" t="s">
        <v>122</v>
      </c>
      <c r="Q4080" s="1" t="s">
        <v>2281</v>
      </c>
      <c r="R4080" s="1" t="s">
        <v>122</v>
      </c>
      <c r="S4080" s="1" t="s">
        <v>2294</v>
      </c>
      <c r="X4080" t="s">
        <v>1196</v>
      </c>
      <c r="Y4080" t="s">
        <v>2279</v>
      </c>
      <c r="Z4080" t="s">
        <v>2280</v>
      </c>
      <c r="AA4080" t="s">
        <v>2286</v>
      </c>
      <c r="AB4080" t="s">
        <v>2305</v>
      </c>
      <c r="AC4080" t="s">
        <v>152</v>
      </c>
      <c r="AD4080" t="s">
        <v>2278</v>
      </c>
      <c r="AF4080" t="s">
        <v>49</v>
      </c>
      <c r="AI4080" t="s">
        <v>49</v>
      </c>
      <c r="AM4080" t="s">
        <v>192</v>
      </c>
      <c r="AN4080" t="s">
        <v>166</v>
      </c>
      <c r="AP4080" t="s">
        <v>51</v>
      </c>
    </row>
    <row r="4081" spans="1:45" x14ac:dyDescent="0.2">
      <c r="A4081" t="s">
        <v>2130</v>
      </c>
      <c r="B4081" t="s">
        <v>1927</v>
      </c>
      <c r="C4081">
        <v>2006</v>
      </c>
      <c r="Q4081" s="1" t="s">
        <v>2272</v>
      </c>
      <c r="R4081" s="1" t="s">
        <v>2272</v>
      </c>
      <c r="S4081" s="1" t="s">
        <v>2272</v>
      </c>
      <c r="Y4081" t="s">
        <v>2272</v>
      </c>
      <c r="Z4081" t="s">
        <v>2272</v>
      </c>
      <c r="AA4081" t="s">
        <v>2272</v>
      </c>
      <c r="AB4081" t="s">
        <v>2272</v>
      </c>
      <c r="AD4081" t="s">
        <v>2272</v>
      </c>
      <c r="AR4081" t="s">
        <v>144</v>
      </c>
      <c r="AS4081" t="s">
        <v>2583</v>
      </c>
    </row>
    <row r="4082" spans="1:45" x14ac:dyDescent="0.2">
      <c r="A4082" t="s">
        <v>2131</v>
      </c>
      <c r="B4082" t="s">
        <v>2132</v>
      </c>
      <c r="C4082">
        <v>2006</v>
      </c>
      <c r="Q4082" s="1" t="s">
        <v>2272</v>
      </c>
      <c r="R4082" s="1" t="s">
        <v>2272</v>
      </c>
      <c r="S4082" s="1" t="s">
        <v>2272</v>
      </c>
      <c r="Y4082" t="s">
        <v>2272</v>
      </c>
      <c r="Z4082" t="s">
        <v>2272</v>
      </c>
      <c r="AA4082" t="s">
        <v>2272</v>
      </c>
      <c r="AB4082" t="s">
        <v>2272</v>
      </c>
      <c r="AD4082" t="s">
        <v>2272</v>
      </c>
      <c r="AR4082" t="s">
        <v>144</v>
      </c>
      <c r="AS4082" t="s">
        <v>2583</v>
      </c>
    </row>
    <row r="4083" spans="1:45" x14ac:dyDescent="0.2">
      <c r="A4083" t="s">
        <v>2133</v>
      </c>
      <c r="B4083" t="s">
        <v>2134</v>
      </c>
      <c r="C4083">
        <v>2006</v>
      </c>
      <c r="Q4083" s="1" t="s">
        <v>2272</v>
      </c>
      <c r="R4083" s="1" t="s">
        <v>2272</v>
      </c>
      <c r="S4083" s="1" t="s">
        <v>2272</v>
      </c>
      <c r="Y4083" t="s">
        <v>2272</v>
      </c>
      <c r="Z4083" t="s">
        <v>2272</v>
      </c>
      <c r="AA4083" t="s">
        <v>2272</v>
      </c>
      <c r="AB4083" t="s">
        <v>2272</v>
      </c>
      <c r="AD4083" t="s">
        <v>2272</v>
      </c>
      <c r="AR4083" t="s">
        <v>144</v>
      </c>
      <c r="AS4083" t="s">
        <v>2583</v>
      </c>
    </row>
    <row r="4084" spans="1:45" x14ac:dyDescent="0.2">
      <c r="A4084" t="s">
        <v>2135</v>
      </c>
      <c r="B4084" t="s">
        <v>1905</v>
      </c>
      <c r="C4084">
        <v>2006</v>
      </c>
      <c r="D4084" t="s">
        <v>44</v>
      </c>
      <c r="F4084" t="s">
        <v>2136</v>
      </c>
      <c r="G4084" t="s">
        <v>1434</v>
      </c>
      <c r="H4084" t="s">
        <v>350</v>
      </c>
      <c r="I4084" t="s">
        <v>2138</v>
      </c>
      <c r="J4084">
        <v>5</v>
      </c>
      <c r="K4084" t="s">
        <v>101</v>
      </c>
      <c r="M4084">
        <v>0</v>
      </c>
      <c r="N4084" t="s">
        <v>1293</v>
      </c>
      <c r="O4084" t="s">
        <v>2041</v>
      </c>
      <c r="P4084" t="s">
        <v>2137</v>
      </c>
      <c r="Q4084" s="1" t="s">
        <v>2281</v>
      </c>
      <c r="R4084" s="1" t="s">
        <v>2282</v>
      </c>
      <c r="S4084" s="1" t="s">
        <v>2304</v>
      </c>
      <c r="X4084" t="s">
        <v>1448</v>
      </c>
      <c r="Y4084" t="s">
        <v>2272</v>
      </c>
      <c r="Z4084" t="s">
        <v>2272</v>
      </c>
      <c r="AA4084" t="s">
        <v>2272</v>
      </c>
      <c r="AB4084" t="s">
        <v>2272</v>
      </c>
      <c r="AC4084" t="s">
        <v>162</v>
      </c>
      <c r="AD4084" t="s">
        <v>2272</v>
      </c>
      <c r="AF4084" t="s">
        <v>49</v>
      </c>
      <c r="AJ4084" t="s">
        <v>49</v>
      </c>
      <c r="AM4084" t="s">
        <v>1038</v>
      </c>
      <c r="AN4084" t="s">
        <v>166</v>
      </c>
    </row>
    <row r="4085" spans="1:45" x14ac:dyDescent="0.2">
      <c r="A4085" t="s">
        <v>2139</v>
      </c>
      <c r="B4085" t="s">
        <v>1378</v>
      </c>
      <c r="C4085">
        <v>2006</v>
      </c>
      <c r="D4085" t="s">
        <v>811</v>
      </c>
      <c r="F4085" t="s">
        <v>53</v>
      </c>
      <c r="G4085" t="s">
        <v>86</v>
      </c>
      <c r="H4085" t="s">
        <v>96</v>
      </c>
      <c r="I4085">
        <v>2004</v>
      </c>
      <c r="J4085">
        <v>0.08</v>
      </c>
      <c r="K4085" t="s">
        <v>101</v>
      </c>
      <c r="L4085">
        <v>40</v>
      </c>
      <c r="M4085">
        <v>1E-3</v>
      </c>
      <c r="N4085" t="s">
        <v>120</v>
      </c>
      <c r="O4085" t="s">
        <v>120</v>
      </c>
      <c r="P4085" t="s">
        <v>754</v>
      </c>
      <c r="Q4085" s="1" t="s">
        <v>2276</v>
      </c>
      <c r="R4085" s="1" t="s">
        <v>755</v>
      </c>
      <c r="S4085" s="1" t="s">
        <v>2352</v>
      </c>
      <c r="T4085" t="s">
        <v>421</v>
      </c>
      <c r="U4085" t="s">
        <v>421</v>
      </c>
      <c r="V4085" t="s">
        <v>194</v>
      </c>
      <c r="W4085" t="s">
        <v>754</v>
      </c>
      <c r="X4085" t="s">
        <v>1448</v>
      </c>
      <c r="Y4085" t="s">
        <v>2272</v>
      </c>
      <c r="Z4085" t="s">
        <v>2272</v>
      </c>
      <c r="AA4085" t="s">
        <v>2272</v>
      </c>
      <c r="AB4085" t="s">
        <v>2272</v>
      </c>
      <c r="AC4085" t="s">
        <v>162</v>
      </c>
      <c r="AD4085" t="s">
        <v>2272</v>
      </c>
      <c r="AF4085" t="s">
        <v>49</v>
      </c>
      <c r="AL4085" t="s">
        <v>49</v>
      </c>
      <c r="AM4085" t="s">
        <v>2140</v>
      </c>
      <c r="AN4085" t="s">
        <v>166</v>
      </c>
      <c r="AQ4085" s="5">
        <v>1</v>
      </c>
    </row>
    <row r="4086" spans="1:45" x14ac:dyDescent="0.2">
      <c r="A4086" t="s">
        <v>2139</v>
      </c>
      <c r="B4086" t="s">
        <v>1378</v>
      </c>
      <c r="C4086">
        <v>2006</v>
      </c>
      <c r="D4086" t="s">
        <v>811</v>
      </c>
      <c r="F4086" t="s">
        <v>53</v>
      </c>
      <c r="G4086" t="s">
        <v>86</v>
      </c>
      <c r="H4086" t="s">
        <v>96</v>
      </c>
      <c r="I4086">
        <v>2004</v>
      </c>
      <c r="J4086">
        <v>0.33</v>
      </c>
      <c r="K4086" t="s">
        <v>104</v>
      </c>
      <c r="L4086">
        <v>40</v>
      </c>
      <c r="M4086">
        <v>0.09</v>
      </c>
      <c r="N4086" t="s">
        <v>120</v>
      </c>
      <c r="O4086" t="s">
        <v>120</v>
      </c>
      <c r="P4086" t="s">
        <v>754</v>
      </c>
      <c r="Q4086" s="1" t="s">
        <v>2276</v>
      </c>
      <c r="R4086" s="1" t="s">
        <v>755</v>
      </c>
      <c r="S4086" s="1" t="s">
        <v>2352</v>
      </c>
      <c r="T4086" t="s">
        <v>421</v>
      </c>
      <c r="U4086" t="s">
        <v>421</v>
      </c>
      <c r="V4086" t="s">
        <v>194</v>
      </c>
      <c r="W4086" t="s">
        <v>754</v>
      </c>
      <c r="X4086" t="s">
        <v>1448</v>
      </c>
      <c r="Y4086" t="s">
        <v>2272</v>
      </c>
      <c r="Z4086" t="s">
        <v>2272</v>
      </c>
      <c r="AA4086" t="s">
        <v>2272</v>
      </c>
      <c r="AB4086" t="s">
        <v>2272</v>
      </c>
      <c r="AC4086" t="s">
        <v>162</v>
      </c>
      <c r="AD4086" t="s">
        <v>2272</v>
      </c>
      <c r="AF4086" t="s">
        <v>49</v>
      </c>
      <c r="AL4086" t="s">
        <v>49</v>
      </c>
      <c r="AM4086" t="s">
        <v>182</v>
      </c>
      <c r="AN4086" t="s">
        <v>166</v>
      </c>
      <c r="AQ4086" s="5">
        <v>1</v>
      </c>
    </row>
    <row r="4087" spans="1:45" x14ac:dyDescent="0.2">
      <c r="A4087" t="s">
        <v>2139</v>
      </c>
      <c r="B4087" t="s">
        <v>1378</v>
      </c>
      <c r="C4087">
        <v>2006</v>
      </c>
      <c r="D4087" t="s">
        <v>811</v>
      </c>
      <c r="F4087" t="s">
        <v>53</v>
      </c>
      <c r="G4087" t="s">
        <v>86</v>
      </c>
      <c r="H4087" t="s">
        <v>96</v>
      </c>
      <c r="I4087">
        <v>2004</v>
      </c>
      <c r="J4087">
        <v>0.33</v>
      </c>
      <c r="K4087" t="s">
        <v>104</v>
      </c>
      <c r="L4087">
        <v>40</v>
      </c>
      <c r="M4087">
        <v>0.09</v>
      </c>
      <c r="N4087" t="s">
        <v>120</v>
      </c>
      <c r="O4087" t="s">
        <v>120</v>
      </c>
      <c r="P4087" t="s">
        <v>754</v>
      </c>
      <c r="Q4087" s="1" t="s">
        <v>2276</v>
      </c>
      <c r="R4087" s="1" t="s">
        <v>755</v>
      </c>
      <c r="S4087" s="1" t="s">
        <v>2352</v>
      </c>
      <c r="T4087" t="s">
        <v>421</v>
      </c>
      <c r="U4087" t="s">
        <v>421</v>
      </c>
      <c r="V4087" t="s">
        <v>194</v>
      </c>
      <c r="W4087" t="s">
        <v>754</v>
      </c>
      <c r="X4087" t="s">
        <v>1448</v>
      </c>
      <c r="Y4087" t="s">
        <v>2272</v>
      </c>
      <c r="Z4087" t="s">
        <v>2272</v>
      </c>
      <c r="AA4087" t="s">
        <v>2272</v>
      </c>
      <c r="AB4087" t="s">
        <v>2272</v>
      </c>
      <c r="AC4087" t="s">
        <v>162</v>
      </c>
      <c r="AD4087" t="s">
        <v>2272</v>
      </c>
      <c r="AF4087" t="s">
        <v>49</v>
      </c>
      <c r="AL4087" t="s">
        <v>49</v>
      </c>
      <c r="AM4087" t="s">
        <v>182</v>
      </c>
      <c r="AN4087" t="s">
        <v>109</v>
      </c>
      <c r="AO4087" t="s">
        <v>150</v>
      </c>
      <c r="AQ4087" s="5">
        <v>0</v>
      </c>
    </row>
    <row r="4088" spans="1:45" x14ac:dyDescent="0.2">
      <c r="A4088" t="s">
        <v>2139</v>
      </c>
      <c r="B4088" t="s">
        <v>1378</v>
      </c>
      <c r="C4088">
        <v>2006</v>
      </c>
      <c r="D4088" t="s">
        <v>811</v>
      </c>
      <c r="F4088" t="s">
        <v>53</v>
      </c>
      <c r="G4088" t="s">
        <v>86</v>
      </c>
      <c r="H4088" t="s">
        <v>96</v>
      </c>
      <c r="I4088">
        <v>2004</v>
      </c>
      <c r="J4088">
        <v>0.33</v>
      </c>
      <c r="K4088" t="s">
        <v>104</v>
      </c>
      <c r="L4088">
        <v>40</v>
      </c>
      <c r="M4088">
        <v>0.09</v>
      </c>
      <c r="N4088" t="s">
        <v>120</v>
      </c>
      <c r="O4088" t="s">
        <v>120</v>
      </c>
      <c r="P4088" t="s">
        <v>754</v>
      </c>
      <c r="Q4088" s="1" t="s">
        <v>2276</v>
      </c>
      <c r="R4088" s="1" t="s">
        <v>755</v>
      </c>
      <c r="S4088" s="1" t="s">
        <v>2352</v>
      </c>
      <c r="T4088" t="s">
        <v>421</v>
      </c>
      <c r="U4088" t="s">
        <v>421</v>
      </c>
      <c r="V4088" t="s">
        <v>194</v>
      </c>
      <c r="W4088" t="s">
        <v>754</v>
      </c>
      <c r="X4088" t="s">
        <v>1448</v>
      </c>
      <c r="Y4088" t="s">
        <v>2272</v>
      </c>
      <c r="Z4088" t="s">
        <v>2272</v>
      </c>
      <c r="AA4088" t="s">
        <v>2272</v>
      </c>
      <c r="AB4088" t="s">
        <v>2272</v>
      </c>
      <c r="AC4088" t="s">
        <v>162</v>
      </c>
      <c r="AD4088" t="s">
        <v>2272</v>
      </c>
      <c r="AF4088" t="s">
        <v>49</v>
      </c>
      <c r="AL4088" t="s">
        <v>49</v>
      </c>
      <c r="AM4088" t="s">
        <v>182</v>
      </c>
      <c r="AN4088" t="s">
        <v>109</v>
      </c>
      <c r="AO4088" t="s">
        <v>2141</v>
      </c>
      <c r="AQ4088" s="5">
        <v>0</v>
      </c>
    </row>
    <row r="4089" spans="1:45" x14ac:dyDescent="0.2">
      <c r="A4089" t="s">
        <v>2142</v>
      </c>
      <c r="B4089" t="s">
        <v>2062</v>
      </c>
      <c r="C4089">
        <v>2006</v>
      </c>
      <c r="D4089" t="s">
        <v>44</v>
      </c>
      <c r="F4089" t="s">
        <v>81</v>
      </c>
      <c r="G4089" t="s">
        <v>91</v>
      </c>
      <c r="H4089" t="s">
        <v>96</v>
      </c>
      <c r="I4089">
        <v>2003</v>
      </c>
      <c r="J4089">
        <v>0.33</v>
      </c>
      <c r="K4089" t="s">
        <v>101</v>
      </c>
      <c r="M4089">
        <f>0.25*0.25</f>
        <v>6.25E-2</v>
      </c>
      <c r="N4089" t="s">
        <v>124</v>
      </c>
      <c r="O4089" t="s">
        <v>124</v>
      </c>
      <c r="P4089" t="s">
        <v>2063</v>
      </c>
      <c r="Q4089" s="1" t="s">
        <v>2292</v>
      </c>
      <c r="R4089" s="1" t="s">
        <v>124</v>
      </c>
      <c r="S4089" s="1" t="s">
        <v>124</v>
      </c>
      <c r="V4089" t="s">
        <v>194</v>
      </c>
      <c r="W4089" t="s">
        <v>279</v>
      </c>
      <c r="X4089" t="s">
        <v>2144</v>
      </c>
      <c r="Y4089" t="s">
        <v>2273</v>
      </c>
      <c r="Z4089" t="s">
        <v>249</v>
      </c>
      <c r="AA4089" t="s">
        <v>2359</v>
      </c>
      <c r="AB4089" t="s">
        <v>1419</v>
      </c>
      <c r="AC4089" t="s">
        <v>152</v>
      </c>
      <c r="AD4089" t="s">
        <v>2288</v>
      </c>
    </row>
    <row r="4090" spans="1:45" x14ac:dyDescent="0.2">
      <c r="A4090" t="s">
        <v>2142</v>
      </c>
      <c r="B4090" t="s">
        <v>2062</v>
      </c>
      <c r="C4090">
        <v>2006</v>
      </c>
      <c r="D4090" t="s">
        <v>44</v>
      </c>
      <c r="F4090" t="s">
        <v>81</v>
      </c>
      <c r="G4090" t="s">
        <v>91</v>
      </c>
      <c r="H4090" t="s">
        <v>96</v>
      </c>
      <c r="I4090">
        <v>2003</v>
      </c>
      <c r="J4090">
        <v>0.33</v>
      </c>
      <c r="K4090" t="s">
        <v>101</v>
      </c>
      <c r="M4090">
        <f>0.25*0.25</f>
        <v>6.25E-2</v>
      </c>
      <c r="N4090" t="s">
        <v>124</v>
      </c>
      <c r="O4090" t="s">
        <v>124</v>
      </c>
      <c r="P4090" t="s">
        <v>2063</v>
      </c>
      <c r="Q4090" s="1" t="s">
        <v>2292</v>
      </c>
      <c r="R4090" s="1" t="s">
        <v>124</v>
      </c>
      <c r="S4090" s="1" t="s">
        <v>124</v>
      </c>
      <c r="V4090" t="s">
        <v>194</v>
      </c>
      <c r="W4090" t="s">
        <v>279</v>
      </c>
      <c r="X4090" t="s">
        <v>189</v>
      </c>
      <c r="Y4090" t="s">
        <v>2279</v>
      </c>
      <c r="Z4090" t="s">
        <v>2280</v>
      </c>
      <c r="AA4090" t="s">
        <v>2358</v>
      </c>
      <c r="AB4090" t="s">
        <v>189</v>
      </c>
      <c r="AC4090" t="s">
        <v>152</v>
      </c>
      <c r="AD4090" t="s">
        <v>2278</v>
      </c>
    </row>
    <row r="4091" spans="1:45" x14ac:dyDescent="0.2">
      <c r="A4091" t="s">
        <v>2142</v>
      </c>
      <c r="B4091" t="s">
        <v>2062</v>
      </c>
      <c r="C4091">
        <v>2006</v>
      </c>
      <c r="D4091" t="s">
        <v>44</v>
      </c>
      <c r="F4091" t="s">
        <v>81</v>
      </c>
      <c r="G4091" t="s">
        <v>91</v>
      </c>
      <c r="H4091" t="s">
        <v>96</v>
      </c>
      <c r="I4091">
        <v>2003</v>
      </c>
      <c r="J4091">
        <v>0.33</v>
      </c>
      <c r="K4091" t="s">
        <v>101</v>
      </c>
      <c r="M4091">
        <f>0.25*0.25</f>
        <v>6.25E-2</v>
      </c>
      <c r="N4091" t="s">
        <v>124</v>
      </c>
      <c r="O4091" t="s">
        <v>124</v>
      </c>
      <c r="P4091" t="s">
        <v>2063</v>
      </c>
      <c r="Q4091" s="1" t="s">
        <v>2292</v>
      </c>
      <c r="R4091" s="1" t="s">
        <v>124</v>
      </c>
      <c r="S4091" s="1" t="s">
        <v>124</v>
      </c>
      <c r="V4091" t="s">
        <v>194</v>
      </c>
      <c r="W4091" t="s">
        <v>279</v>
      </c>
      <c r="X4091" t="s">
        <v>642</v>
      </c>
      <c r="Y4091" t="s">
        <v>2273</v>
      </c>
      <c r="Z4091" t="s">
        <v>249</v>
      </c>
      <c r="AA4091" t="s">
        <v>2359</v>
      </c>
      <c r="AB4091" t="s">
        <v>1979</v>
      </c>
      <c r="AC4091" t="s">
        <v>152</v>
      </c>
      <c r="AD4091" t="s">
        <v>137</v>
      </c>
    </row>
    <row r="4092" spans="1:45" x14ac:dyDescent="0.2">
      <c r="A4092" t="s">
        <v>2142</v>
      </c>
      <c r="B4092" t="s">
        <v>2062</v>
      </c>
      <c r="C4092">
        <v>2006</v>
      </c>
      <c r="D4092" t="s">
        <v>44</v>
      </c>
      <c r="F4092" t="s">
        <v>81</v>
      </c>
      <c r="G4092" t="s">
        <v>91</v>
      </c>
      <c r="H4092" t="s">
        <v>96</v>
      </c>
      <c r="I4092" t="s">
        <v>2143</v>
      </c>
      <c r="J4092">
        <v>2</v>
      </c>
      <c r="K4092" t="s">
        <v>42</v>
      </c>
      <c r="M4092">
        <f t="shared" ref="M4092:M4101" si="96">0.5*0.5</f>
        <v>0.25</v>
      </c>
      <c r="N4092" t="s">
        <v>124</v>
      </c>
      <c r="O4092" t="s">
        <v>124</v>
      </c>
      <c r="P4092" t="s">
        <v>2063</v>
      </c>
      <c r="Q4092" s="1" t="s">
        <v>2292</v>
      </c>
      <c r="R4092" s="1" t="s">
        <v>124</v>
      </c>
      <c r="S4092" s="1" t="s">
        <v>124</v>
      </c>
      <c r="V4092" t="s">
        <v>194</v>
      </c>
      <c r="W4092" t="s">
        <v>279</v>
      </c>
      <c r="X4092" t="s">
        <v>2144</v>
      </c>
      <c r="Y4092" t="s">
        <v>2273</v>
      </c>
      <c r="Z4092" t="s">
        <v>249</v>
      </c>
      <c r="AA4092" t="s">
        <v>2359</v>
      </c>
      <c r="AB4092" t="s">
        <v>1419</v>
      </c>
      <c r="AC4092" t="s">
        <v>152</v>
      </c>
      <c r="AD4092" t="s">
        <v>2288</v>
      </c>
    </row>
    <row r="4093" spans="1:45" x14ac:dyDescent="0.2">
      <c r="A4093" t="s">
        <v>2142</v>
      </c>
      <c r="B4093" t="s">
        <v>2062</v>
      </c>
      <c r="C4093">
        <v>2006</v>
      </c>
      <c r="D4093" t="s">
        <v>44</v>
      </c>
      <c r="F4093" t="s">
        <v>81</v>
      </c>
      <c r="G4093" t="s">
        <v>91</v>
      </c>
      <c r="H4093" t="s">
        <v>96</v>
      </c>
      <c r="I4093" t="s">
        <v>2143</v>
      </c>
      <c r="J4093">
        <v>2</v>
      </c>
      <c r="K4093" t="s">
        <v>42</v>
      </c>
      <c r="M4093">
        <f t="shared" si="96"/>
        <v>0.25</v>
      </c>
      <c r="N4093" t="s">
        <v>124</v>
      </c>
      <c r="O4093" t="s">
        <v>124</v>
      </c>
      <c r="P4093" t="s">
        <v>2063</v>
      </c>
      <c r="Q4093" s="1" t="s">
        <v>2292</v>
      </c>
      <c r="R4093" s="1" t="s">
        <v>124</v>
      </c>
      <c r="S4093" s="1" t="s">
        <v>124</v>
      </c>
      <c r="V4093" t="s">
        <v>194</v>
      </c>
      <c r="W4093" t="s">
        <v>279</v>
      </c>
      <c r="X4093" t="s">
        <v>189</v>
      </c>
      <c r="Y4093" t="s">
        <v>2279</v>
      </c>
      <c r="Z4093" t="s">
        <v>2280</v>
      </c>
      <c r="AA4093" t="s">
        <v>2358</v>
      </c>
      <c r="AB4093" t="s">
        <v>189</v>
      </c>
      <c r="AC4093" t="s">
        <v>152</v>
      </c>
      <c r="AD4093" t="s">
        <v>2278</v>
      </c>
    </row>
    <row r="4094" spans="1:45" x14ac:dyDescent="0.2">
      <c r="A4094" t="s">
        <v>2142</v>
      </c>
      <c r="B4094" t="s">
        <v>2062</v>
      </c>
      <c r="C4094">
        <v>2006</v>
      </c>
      <c r="D4094" t="s">
        <v>44</v>
      </c>
      <c r="F4094" t="s">
        <v>81</v>
      </c>
      <c r="G4094" t="s">
        <v>91</v>
      </c>
      <c r="H4094" t="s">
        <v>96</v>
      </c>
      <c r="I4094" t="s">
        <v>2143</v>
      </c>
      <c r="J4094">
        <v>2</v>
      </c>
      <c r="K4094" t="s">
        <v>42</v>
      </c>
      <c r="M4094">
        <f t="shared" si="96"/>
        <v>0.25</v>
      </c>
      <c r="N4094" t="s">
        <v>124</v>
      </c>
      <c r="O4094" t="s">
        <v>124</v>
      </c>
      <c r="P4094" t="s">
        <v>2063</v>
      </c>
      <c r="Q4094" s="1" t="s">
        <v>2292</v>
      </c>
      <c r="R4094" s="1" t="s">
        <v>124</v>
      </c>
      <c r="S4094" s="1" t="s">
        <v>124</v>
      </c>
      <c r="V4094" t="s">
        <v>194</v>
      </c>
      <c r="W4094" t="s">
        <v>279</v>
      </c>
      <c r="X4094" t="s">
        <v>305</v>
      </c>
      <c r="Y4094" t="s">
        <v>2273</v>
      </c>
      <c r="Z4094" t="s">
        <v>249</v>
      </c>
      <c r="AA4094" t="s">
        <v>2359</v>
      </c>
      <c r="AB4094" t="s">
        <v>1979</v>
      </c>
      <c r="AC4094" t="s">
        <v>315</v>
      </c>
      <c r="AD4094" t="s">
        <v>2288</v>
      </c>
    </row>
    <row r="4095" spans="1:45" x14ac:dyDescent="0.2">
      <c r="A4095" t="s">
        <v>2142</v>
      </c>
      <c r="B4095" t="s">
        <v>2062</v>
      </c>
      <c r="C4095">
        <v>2006</v>
      </c>
      <c r="D4095" t="s">
        <v>44</v>
      </c>
      <c r="F4095" t="s">
        <v>81</v>
      </c>
      <c r="G4095" t="s">
        <v>91</v>
      </c>
      <c r="H4095" t="s">
        <v>96</v>
      </c>
      <c r="I4095" t="s">
        <v>2143</v>
      </c>
      <c r="J4095">
        <v>2</v>
      </c>
      <c r="K4095" t="s">
        <v>42</v>
      </c>
      <c r="M4095">
        <f t="shared" si="96"/>
        <v>0.25</v>
      </c>
      <c r="N4095" t="s">
        <v>124</v>
      </c>
      <c r="O4095" t="s">
        <v>124</v>
      </c>
      <c r="P4095" t="s">
        <v>279</v>
      </c>
      <c r="Q4095" s="1" t="s">
        <v>2292</v>
      </c>
      <c r="R4095" s="1" t="s">
        <v>124</v>
      </c>
      <c r="S4095" s="1" t="s">
        <v>124</v>
      </c>
      <c r="V4095" t="s">
        <v>194</v>
      </c>
      <c r="W4095" t="s">
        <v>279</v>
      </c>
      <c r="X4095" t="s">
        <v>2144</v>
      </c>
      <c r="Y4095" t="s">
        <v>2273</v>
      </c>
      <c r="Z4095" t="s">
        <v>249</v>
      </c>
      <c r="AA4095" t="s">
        <v>2359</v>
      </c>
      <c r="AB4095" t="s">
        <v>1419</v>
      </c>
      <c r="AC4095" t="s">
        <v>152</v>
      </c>
      <c r="AD4095" t="s">
        <v>2288</v>
      </c>
    </row>
    <row r="4096" spans="1:45" x14ac:dyDescent="0.2">
      <c r="A4096" t="s">
        <v>2142</v>
      </c>
      <c r="B4096" t="s">
        <v>2062</v>
      </c>
      <c r="C4096">
        <v>2006</v>
      </c>
      <c r="D4096" t="s">
        <v>44</v>
      </c>
      <c r="F4096" t="s">
        <v>81</v>
      </c>
      <c r="G4096" t="s">
        <v>91</v>
      </c>
      <c r="H4096" t="s">
        <v>96</v>
      </c>
      <c r="I4096" t="s">
        <v>2143</v>
      </c>
      <c r="J4096">
        <v>2</v>
      </c>
      <c r="K4096" t="s">
        <v>42</v>
      </c>
      <c r="M4096">
        <f t="shared" si="96"/>
        <v>0.25</v>
      </c>
      <c r="N4096" t="s">
        <v>124</v>
      </c>
      <c r="O4096" t="s">
        <v>124</v>
      </c>
      <c r="P4096" t="s">
        <v>279</v>
      </c>
      <c r="Q4096" s="1" t="s">
        <v>2292</v>
      </c>
      <c r="R4096" s="1" t="s">
        <v>124</v>
      </c>
      <c r="S4096" s="1" t="s">
        <v>124</v>
      </c>
      <c r="V4096" t="s">
        <v>194</v>
      </c>
      <c r="W4096" t="s">
        <v>279</v>
      </c>
      <c r="X4096" t="s">
        <v>189</v>
      </c>
      <c r="Y4096" t="s">
        <v>2279</v>
      </c>
      <c r="Z4096" t="s">
        <v>2280</v>
      </c>
      <c r="AA4096" t="s">
        <v>2358</v>
      </c>
      <c r="AB4096" t="s">
        <v>189</v>
      </c>
      <c r="AC4096" t="s">
        <v>152</v>
      </c>
      <c r="AD4096" t="s">
        <v>2278</v>
      </c>
    </row>
    <row r="4097" spans="1:43" x14ac:dyDescent="0.2">
      <c r="A4097" t="s">
        <v>2142</v>
      </c>
      <c r="B4097" t="s">
        <v>2062</v>
      </c>
      <c r="C4097">
        <v>2006</v>
      </c>
      <c r="D4097" t="s">
        <v>44</v>
      </c>
      <c r="F4097" t="s">
        <v>81</v>
      </c>
      <c r="G4097" t="s">
        <v>91</v>
      </c>
      <c r="H4097" t="s">
        <v>96</v>
      </c>
      <c r="I4097" t="s">
        <v>2143</v>
      </c>
      <c r="J4097">
        <v>2</v>
      </c>
      <c r="K4097" t="s">
        <v>42</v>
      </c>
      <c r="M4097">
        <f t="shared" si="96"/>
        <v>0.25</v>
      </c>
      <c r="N4097" t="s">
        <v>124</v>
      </c>
      <c r="O4097" t="s">
        <v>124</v>
      </c>
      <c r="P4097" t="s">
        <v>279</v>
      </c>
      <c r="Q4097" s="1" t="s">
        <v>2292</v>
      </c>
      <c r="R4097" s="1" t="s">
        <v>124</v>
      </c>
      <c r="S4097" s="1" t="s">
        <v>124</v>
      </c>
      <c r="V4097" t="s">
        <v>194</v>
      </c>
      <c r="W4097" t="s">
        <v>279</v>
      </c>
      <c r="X4097" t="s">
        <v>305</v>
      </c>
      <c r="Y4097" t="s">
        <v>2273</v>
      </c>
      <c r="Z4097" t="s">
        <v>249</v>
      </c>
      <c r="AA4097" t="s">
        <v>2359</v>
      </c>
      <c r="AB4097" t="s">
        <v>1979</v>
      </c>
      <c r="AC4097" t="s">
        <v>315</v>
      </c>
      <c r="AD4097" t="s">
        <v>2288</v>
      </c>
    </row>
    <row r="4098" spans="1:43" x14ac:dyDescent="0.2">
      <c r="A4098" t="s">
        <v>2142</v>
      </c>
      <c r="B4098" t="s">
        <v>2062</v>
      </c>
      <c r="C4098">
        <v>2006</v>
      </c>
      <c r="D4098" t="s">
        <v>44</v>
      </c>
      <c r="F4098" t="s">
        <v>81</v>
      </c>
      <c r="G4098" t="s">
        <v>91</v>
      </c>
      <c r="H4098" t="s">
        <v>96</v>
      </c>
      <c r="I4098" t="s">
        <v>2143</v>
      </c>
      <c r="J4098">
        <v>2</v>
      </c>
      <c r="K4098" t="s">
        <v>102</v>
      </c>
      <c r="M4098">
        <f t="shared" si="96"/>
        <v>0.25</v>
      </c>
      <c r="N4098" t="s">
        <v>124</v>
      </c>
      <c r="O4098" t="s">
        <v>124</v>
      </c>
      <c r="P4098" t="s">
        <v>2063</v>
      </c>
      <c r="Q4098" s="1" t="s">
        <v>2292</v>
      </c>
      <c r="R4098" s="1" t="s">
        <v>124</v>
      </c>
      <c r="S4098" s="1" t="s">
        <v>124</v>
      </c>
      <c r="T4098" t="s">
        <v>421</v>
      </c>
      <c r="U4098" t="s">
        <v>421</v>
      </c>
      <c r="V4098" t="s">
        <v>194</v>
      </c>
      <c r="W4098" t="s">
        <v>279</v>
      </c>
      <c r="X4098" t="s">
        <v>1448</v>
      </c>
      <c r="Y4098" t="s">
        <v>2272</v>
      </c>
      <c r="Z4098" t="s">
        <v>2272</v>
      </c>
      <c r="AA4098" t="s">
        <v>2272</v>
      </c>
      <c r="AB4098" t="s">
        <v>2272</v>
      </c>
      <c r="AC4098" t="s">
        <v>162</v>
      </c>
      <c r="AD4098" t="s">
        <v>2272</v>
      </c>
      <c r="AG4098" t="s">
        <v>49</v>
      </c>
      <c r="AI4098" t="s">
        <v>49</v>
      </c>
      <c r="AM4098" t="s">
        <v>442</v>
      </c>
      <c r="AN4098" t="s">
        <v>166</v>
      </c>
      <c r="AQ4098" s="5">
        <v>0</v>
      </c>
    </row>
    <row r="4099" spans="1:43" x14ac:dyDescent="0.2">
      <c r="A4099" t="s">
        <v>2142</v>
      </c>
      <c r="B4099" t="s">
        <v>2062</v>
      </c>
      <c r="C4099">
        <v>2006</v>
      </c>
      <c r="D4099" t="s">
        <v>44</v>
      </c>
      <c r="F4099" t="s">
        <v>81</v>
      </c>
      <c r="G4099" t="s">
        <v>91</v>
      </c>
      <c r="H4099" t="s">
        <v>96</v>
      </c>
      <c r="I4099" t="s">
        <v>2143</v>
      </c>
      <c r="J4099">
        <v>2</v>
      </c>
      <c r="K4099" t="s">
        <v>102</v>
      </c>
      <c r="M4099">
        <f t="shared" si="96"/>
        <v>0.25</v>
      </c>
      <c r="N4099" t="s">
        <v>124</v>
      </c>
      <c r="O4099" t="s">
        <v>124</v>
      </c>
      <c r="P4099" t="s">
        <v>279</v>
      </c>
      <c r="Q4099" s="1" t="s">
        <v>2292</v>
      </c>
      <c r="R4099" s="1" t="s">
        <v>124</v>
      </c>
      <c r="S4099" s="1" t="s">
        <v>124</v>
      </c>
      <c r="T4099" t="s">
        <v>421</v>
      </c>
      <c r="U4099" t="s">
        <v>421</v>
      </c>
      <c r="V4099" t="s">
        <v>194</v>
      </c>
      <c r="W4099" t="s">
        <v>279</v>
      </c>
      <c r="X4099" t="s">
        <v>1448</v>
      </c>
      <c r="Y4099" t="s">
        <v>2272</v>
      </c>
      <c r="Z4099" t="s">
        <v>2272</v>
      </c>
      <c r="AA4099" t="s">
        <v>2272</v>
      </c>
      <c r="AB4099" t="s">
        <v>2272</v>
      </c>
      <c r="AC4099" t="s">
        <v>162</v>
      </c>
      <c r="AD4099" t="s">
        <v>2272</v>
      </c>
      <c r="AG4099" t="s">
        <v>49</v>
      </c>
      <c r="AI4099" t="s">
        <v>49</v>
      </c>
      <c r="AM4099" t="s">
        <v>442</v>
      </c>
      <c r="AN4099" t="s">
        <v>166</v>
      </c>
      <c r="AQ4099" s="5">
        <v>1</v>
      </c>
    </row>
    <row r="4100" spans="1:43" x14ac:dyDescent="0.2">
      <c r="A4100" t="s">
        <v>2142</v>
      </c>
      <c r="B4100" t="s">
        <v>2062</v>
      </c>
      <c r="C4100">
        <v>2006</v>
      </c>
      <c r="D4100" t="s">
        <v>44</v>
      </c>
      <c r="F4100" t="s">
        <v>81</v>
      </c>
      <c r="G4100" t="s">
        <v>91</v>
      </c>
      <c r="H4100" t="s">
        <v>96</v>
      </c>
      <c r="I4100" t="s">
        <v>2143</v>
      </c>
      <c r="J4100">
        <v>2</v>
      </c>
      <c r="K4100" t="s">
        <v>102</v>
      </c>
      <c r="M4100">
        <f t="shared" si="96"/>
        <v>0.25</v>
      </c>
      <c r="N4100" t="s">
        <v>124</v>
      </c>
      <c r="O4100" t="s">
        <v>124</v>
      </c>
      <c r="P4100" t="s">
        <v>2063</v>
      </c>
      <c r="Q4100" s="1" t="s">
        <v>2292</v>
      </c>
      <c r="R4100" s="1" t="s">
        <v>124</v>
      </c>
      <c r="S4100" s="1" t="s">
        <v>124</v>
      </c>
      <c r="T4100" t="s">
        <v>421</v>
      </c>
      <c r="U4100" t="s">
        <v>421</v>
      </c>
      <c r="V4100" t="s">
        <v>194</v>
      </c>
      <c r="W4100" t="s">
        <v>279</v>
      </c>
      <c r="X4100" t="s">
        <v>1448</v>
      </c>
      <c r="Y4100" t="s">
        <v>2272</v>
      </c>
      <c r="Z4100" t="s">
        <v>2272</v>
      </c>
      <c r="AA4100" t="s">
        <v>2272</v>
      </c>
      <c r="AB4100" t="s">
        <v>2272</v>
      </c>
      <c r="AC4100" t="s">
        <v>162</v>
      </c>
      <c r="AD4100" t="s">
        <v>2272</v>
      </c>
      <c r="AG4100" t="s">
        <v>49</v>
      </c>
      <c r="AI4100" t="s">
        <v>49</v>
      </c>
      <c r="AM4100" t="s">
        <v>442</v>
      </c>
      <c r="AN4100" t="s">
        <v>171</v>
      </c>
      <c r="AQ4100" s="5">
        <v>0</v>
      </c>
    </row>
    <row r="4101" spans="1:43" x14ac:dyDescent="0.2">
      <c r="A4101" t="s">
        <v>2142</v>
      </c>
      <c r="B4101" t="s">
        <v>2062</v>
      </c>
      <c r="C4101">
        <v>2006</v>
      </c>
      <c r="D4101" t="s">
        <v>44</v>
      </c>
      <c r="F4101" t="s">
        <v>81</v>
      </c>
      <c r="G4101" t="s">
        <v>91</v>
      </c>
      <c r="H4101" t="s">
        <v>96</v>
      </c>
      <c r="I4101" t="s">
        <v>2143</v>
      </c>
      <c r="J4101">
        <v>2</v>
      </c>
      <c r="K4101" t="s">
        <v>102</v>
      </c>
      <c r="M4101">
        <f t="shared" si="96"/>
        <v>0.25</v>
      </c>
      <c r="N4101" t="s">
        <v>124</v>
      </c>
      <c r="O4101" t="s">
        <v>124</v>
      </c>
      <c r="P4101" t="s">
        <v>279</v>
      </c>
      <c r="Q4101" s="1" t="s">
        <v>2292</v>
      </c>
      <c r="R4101" s="1" t="s">
        <v>124</v>
      </c>
      <c r="S4101" s="1" t="s">
        <v>124</v>
      </c>
      <c r="T4101" t="s">
        <v>421</v>
      </c>
      <c r="U4101" t="s">
        <v>421</v>
      </c>
      <c r="V4101" t="s">
        <v>194</v>
      </c>
      <c r="W4101" t="s">
        <v>279</v>
      </c>
      <c r="X4101" t="s">
        <v>1448</v>
      </c>
      <c r="Y4101" t="s">
        <v>2272</v>
      </c>
      <c r="Z4101" t="s">
        <v>2272</v>
      </c>
      <c r="AA4101" t="s">
        <v>2272</v>
      </c>
      <c r="AB4101" t="s">
        <v>2272</v>
      </c>
      <c r="AC4101" t="s">
        <v>162</v>
      </c>
      <c r="AD4101" t="s">
        <v>2272</v>
      </c>
      <c r="AG4101" t="s">
        <v>49</v>
      </c>
      <c r="AI4101" t="s">
        <v>49</v>
      </c>
      <c r="AM4101" t="s">
        <v>442</v>
      </c>
      <c r="AN4101" t="s">
        <v>171</v>
      </c>
      <c r="AQ4101" s="5">
        <v>0</v>
      </c>
    </row>
    <row r="4102" spans="1:43" x14ac:dyDescent="0.2">
      <c r="A4102" t="s">
        <v>2145</v>
      </c>
      <c r="B4102" t="s">
        <v>1968</v>
      </c>
      <c r="C4102">
        <v>2005</v>
      </c>
      <c r="H4102" t="s">
        <v>350</v>
      </c>
      <c r="I4102" t="s">
        <v>2550</v>
      </c>
      <c r="L4102">
        <v>1.82</v>
      </c>
      <c r="M4102">
        <f t="shared" ref="M4102:M4133" si="97">1.2*1.2</f>
        <v>1.44</v>
      </c>
      <c r="N4102" t="s">
        <v>127</v>
      </c>
      <c r="O4102" t="s">
        <v>2552</v>
      </c>
      <c r="P4102" t="s">
        <v>2553</v>
      </c>
      <c r="Q4102" t="s">
        <v>2351</v>
      </c>
      <c r="R4102" t="s">
        <v>2351</v>
      </c>
      <c r="S4102" t="s">
        <v>2351</v>
      </c>
      <c r="T4102" t="s">
        <v>421</v>
      </c>
      <c r="U4102" t="s">
        <v>421</v>
      </c>
      <c r="X4102" t="s">
        <v>161</v>
      </c>
      <c r="Y4102" t="s">
        <v>2272</v>
      </c>
      <c r="Z4102" t="s">
        <v>2272</v>
      </c>
      <c r="AA4102" t="s">
        <v>2272</v>
      </c>
      <c r="AB4102" t="s">
        <v>2272</v>
      </c>
      <c r="AC4102" t="s">
        <v>162</v>
      </c>
      <c r="AD4102" t="s">
        <v>2272</v>
      </c>
      <c r="AF4102" t="s">
        <v>49</v>
      </c>
      <c r="AG4102" t="s">
        <v>49</v>
      </c>
      <c r="AJ4102" t="s">
        <v>49</v>
      </c>
      <c r="AM4102" t="s">
        <v>2554</v>
      </c>
      <c r="AN4102" t="s">
        <v>154</v>
      </c>
      <c r="AQ4102" s="5">
        <v>1</v>
      </c>
    </row>
    <row r="4103" spans="1:43" x14ac:dyDescent="0.2">
      <c r="A4103" t="s">
        <v>2145</v>
      </c>
      <c r="B4103" t="s">
        <v>1968</v>
      </c>
      <c r="C4103">
        <v>2005</v>
      </c>
      <c r="H4103" t="s">
        <v>350</v>
      </c>
      <c r="I4103" t="s">
        <v>2550</v>
      </c>
      <c r="L4103">
        <v>1.82</v>
      </c>
      <c r="M4103">
        <f t="shared" si="97"/>
        <v>1.44</v>
      </c>
      <c r="N4103" t="s">
        <v>127</v>
      </c>
      <c r="O4103" t="s">
        <v>2552</v>
      </c>
      <c r="P4103" t="s">
        <v>2553</v>
      </c>
      <c r="Q4103" t="s">
        <v>2351</v>
      </c>
      <c r="R4103" t="s">
        <v>2351</v>
      </c>
      <c r="S4103" t="s">
        <v>2351</v>
      </c>
      <c r="T4103" t="s">
        <v>421</v>
      </c>
      <c r="U4103" t="s">
        <v>421</v>
      </c>
      <c r="X4103" t="s">
        <v>161</v>
      </c>
      <c r="Y4103" t="s">
        <v>2272</v>
      </c>
      <c r="Z4103" t="s">
        <v>2272</v>
      </c>
      <c r="AA4103" t="s">
        <v>2272</v>
      </c>
      <c r="AB4103" t="s">
        <v>2272</v>
      </c>
      <c r="AC4103" t="s">
        <v>162</v>
      </c>
      <c r="AD4103" t="s">
        <v>2272</v>
      </c>
      <c r="AF4103" t="s">
        <v>49</v>
      </c>
      <c r="AG4103" t="s">
        <v>49</v>
      </c>
      <c r="AJ4103" t="s">
        <v>49</v>
      </c>
      <c r="AM4103" t="s">
        <v>2554</v>
      </c>
      <c r="AN4103" t="s">
        <v>165</v>
      </c>
    </row>
    <row r="4104" spans="1:43" x14ac:dyDescent="0.2">
      <c r="A4104" t="s">
        <v>2145</v>
      </c>
      <c r="B4104" t="s">
        <v>1968</v>
      </c>
      <c r="C4104">
        <v>2005</v>
      </c>
      <c r="H4104" t="s">
        <v>350</v>
      </c>
      <c r="I4104" t="s">
        <v>2550</v>
      </c>
      <c r="L4104">
        <v>1.82</v>
      </c>
      <c r="M4104">
        <f t="shared" si="97"/>
        <v>1.44</v>
      </c>
      <c r="N4104" t="s">
        <v>127</v>
      </c>
      <c r="O4104" t="s">
        <v>2552</v>
      </c>
      <c r="P4104" t="s">
        <v>2553</v>
      </c>
      <c r="Q4104" t="s">
        <v>2351</v>
      </c>
      <c r="R4104" t="s">
        <v>2351</v>
      </c>
      <c r="S4104" t="s">
        <v>2351</v>
      </c>
      <c r="T4104" t="s">
        <v>421</v>
      </c>
      <c r="U4104" t="s">
        <v>421</v>
      </c>
      <c r="X4104" t="s">
        <v>161</v>
      </c>
      <c r="Y4104" t="s">
        <v>2272</v>
      </c>
      <c r="Z4104" t="s">
        <v>2272</v>
      </c>
      <c r="AA4104" t="s">
        <v>2272</v>
      </c>
      <c r="AB4104" t="s">
        <v>2272</v>
      </c>
      <c r="AC4104" t="s">
        <v>162</v>
      </c>
      <c r="AD4104" t="s">
        <v>2272</v>
      </c>
      <c r="AF4104" t="s">
        <v>49</v>
      </c>
      <c r="AL4104" t="s">
        <v>49</v>
      </c>
      <c r="AM4104" t="s">
        <v>2555</v>
      </c>
      <c r="AN4104" t="s">
        <v>166</v>
      </c>
      <c r="AQ4104" s="5">
        <v>1</v>
      </c>
    </row>
    <row r="4105" spans="1:43" x14ac:dyDescent="0.2">
      <c r="A4105" t="s">
        <v>2145</v>
      </c>
      <c r="B4105" t="s">
        <v>1968</v>
      </c>
      <c r="C4105">
        <v>2005</v>
      </c>
      <c r="H4105" t="s">
        <v>350</v>
      </c>
      <c r="I4105" t="s">
        <v>2550</v>
      </c>
      <c r="L4105">
        <v>1.82</v>
      </c>
      <c r="M4105">
        <f t="shared" si="97"/>
        <v>1.44</v>
      </c>
      <c r="N4105" t="s">
        <v>127</v>
      </c>
      <c r="O4105" t="s">
        <v>2552</v>
      </c>
      <c r="P4105" t="s">
        <v>2553</v>
      </c>
      <c r="Q4105" t="s">
        <v>2351</v>
      </c>
      <c r="R4105" t="s">
        <v>2351</v>
      </c>
      <c r="S4105" t="s">
        <v>2351</v>
      </c>
      <c r="T4105" t="s">
        <v>421</v>
      </c>
      <c r="U4105" t="s">
        <v>421</v>
      </c>
      <c r="X4105" t="s">
        <v>161</v>
      </c>
      <c r="Y4105" t="s">
        <v>2272</v>
      </c>
      <c r="Z4105" t="s">
        <v>2272</v>
      </c>
      <c r="AA4105" t="s">
        <v>2272</v>
      </c>
      <c r="AB4105" t="s">
        <v>2272</v>
      </c>
      <c r="AC4105" t="s">
        <v>162</v>
      </c>
      <c r="AD4105" t="s">
        <v>2272</v>
      </c>
      <c r="AG4105" t="s">
        <v>49</v>
      </c>
      <c r="AL4105" t="s">
        <v>49</v>
      </c>
      <c r="AM4105" t="s">
        <v>2556</v>
      </c>
      <c r="AN4105" t="s">
        <v>166</v>
      </c>
      <c r="AQ4105" s="5">
        <v>1</v>
      </c>
    </row>
    <row r="4106" spans="1:43" x14ac:dyDescent="0.2">
      <c r="A4106" t="s">
        <v>2145</v>
      </c>
      <c r="B4106" t="s">
        <v>1968</v>
      </c>
      <c r="C4106">
        <v>2005</v>
      </c>
      <c r="H4106" t="s">
        <v>350</v>
      </c>
      <c r="I4106" t="s">
        <v>2550</v>
      </c>
      <c r="L4106">
        <v>1.82</v>
      </c>
      <c r="M4106">
        <f t="shared" si="97"/>
        <v>1.44</v>
      </c>
      <c r="N4106" t="s">
        <v>127</v>
      </c>
      <c r="O4106" t="s">
        <v>2552</v>
      </c>
      <c r="P4106" t="s">
        <v>2553</v>
      </c>
      <c r="Q4106" t="s">
        <v>2351</v>
      </c>
      <c r="R4106" t="s">
        <v>2351</v>
      </c>
      <c r="S4106" t="s">
        <v>2351</v>
      </c>
      <c r="T4106" t="s">
        <v>421</v>
      </c>
      <c r="U4106" t="s">
        <v>421</v>
      </c>
      <c r="X4106" t="s">
        <v>161</v>
      </c>
      <c r="Y4106" t="s">
        <v>2272</v>
      </c>
      <c r="Z4106" t="s">
        <v>2272</v>
      </c>
      <c r="AA4106" t="s">
        <v>2272</v>
      </c>
      <c r="AB4106" t="s">
        <v>2272</v>
      </c>
      <c r="AC4106" t="s">
        <v>162</v>
      </c>
      <c r="AD4106" t="s">
        <v>2272</v>
      </c>
      <c r="AG4106" t="s">
        <v>49</v>
      </c>
      <c r="AL4106" t="s">
        <v>49</v>
      </c>
      <c r="AM4106" t="s">
        <v>2557</v>
      </c>
      <c r="AN4106" t="s">
        <v>166</v>
      </c>
      <c r="AQ4106" s="5">
        <v>0</v>
      </c>
    </row>
    <row r="4107" spans="1:43" x14ac:dyDescent="0.2">
      <c r="A4107" t="s">
        <v>2145</v>
      </c>
      <c r="B4107" t="s">
        <v>1968</v>
      </c>
      <c r="C4107">
        <v>2005</v>
      </c>
      <c r="H4107" t="s">
        <v>350</v>
      </c>
      <c r="I4107" t="s">
        <v>2550</v>
      </c>
      <c r="L4107">
        <v>1.82</v>
      </c>
      <c r="M4107">
        <f t="shared" si="97"/>
        <v>1.44</v>
      </c>
      <c r="N4107" t="s">
        <v>127</v>
      </c>
      <c r="O4107" t="s">
        <v>2552</v>
      </c>
      <c r="P4107" t="s">
        <v>2553</v>
      </c>
      <c r="Q4107" t="s">
        <v>2351</v>
      </c>
      <c r="R4107" t="s">
        <v>2351</v>
      </c>
      <c r="S4107" t="s">
        <v>2351</v>
      </c>
      <c r="T4107" t="s">
        <v>421</v>
      </c>
      <c r="U4107" t="s">
        <v>421</v>
      </c>
      <c r="X4107" t="s">
        <v>161</v>
      </c>
      <c r="Y4107" t="s">
        <v>2272</v>
      </c>
      <c r="Z4107" t="s">
        <v>2272</v>
      </c>
      <c r="AA4107" t="s">
        <v>2272</v>
      </c>
      <c r="AB4107" t="s">
        <v>2272</v>
      </c>
      <c r="AC4107" t="s">
        <v>162</v>
      </c>
      <c r="AD4107" t="s">
        <v>2272</v>
      </c>
      <c r="AG4107" t="s">
        <v>49</v>
      </c>
      <c r="AL4107" t="s">
        <v>49</v>
      </c>
      <c r="AM4107" t="s">
        <v>2558</v>
      </c>
      <c r="AN4107" t="s">
        <v>166</v>
      </c>
      <c r="AQ4107" s="5">
        <v>1</v>
      </c>
    </row>
    <row r="4108" spans="1:43" x14ac:dyDescent="0.2">
      <c r="A4108" t="s">
        <v>2145</v>
      </c>
      <c r="B4108" t="s">
        <v>1968</v>
      </c>
      <c r="C4108">
        <v>2005</v>
      </c>
      <c r="H4108" t="s">
        <v>350</v>
      </c>
      <c r="I4108" t="s">
        <v>2550</v>
      </c>
      <c r="L4108">
        <v>1.82</v>
      </c>
      <c r="M4108">
        <f t="shared" si="97"/>
        <v>1.44</v>
      </c>
      <c r="N4108" t="s">
        <v>127</v>
      </c>
      <c r="O4108" t="s">
        <v>2552</v>
      </c>
      <c r="P4108" t="s">
        <v>2553</v>
      </c>
      <c r="Q4108" t="s">
        <v>2351</v>
      </c>
      <c r="R4108" t="s">
        <v>2351</v>
      </c>
      <c r="S4108" t="s">
        <v>2351</v>
      </c>
      <c r="T4108" t="s">
        <v>421</v>
      </c>
      <c r="U4108" t="s">
        <v>421</v>
      </c>
      <c r="X4108" t="s">
        <v>161</v>
      </c>
      <c r="Y4108" t="s">
        <v>2272</v>
      </c>
      <c r="Z4108" t="s">
        <v>2272</v>
      </c>
      <c r="AA4108" t="s">
        <v>2272</v>
      </c>
      <c r="AB4108" t="s">
        <v>2272</v>
      </c>
      <c r="AC4108" t="s">
        <v>162</v>
      </c>
      <c r="AD4108" t="s">
        <v>2272</v>
      </c>
      <c r="AG4108" t="s">
        <v>49</v>
      </c>
      <c r="AL4108" t="s">
        <v>49</v>
      </c>
      <c r="AM4108" t="s">
        <v>2559</v>
      </c>
      <c r="AN4108" t="s">
        <v>166</v>
      </c>
      <c r="AQ4108" s="5">
        <v>2</v>
      </c>
    </row>
    <row r="4109" spans="1:43" x14ac:dyDescent="0.2">
      <c r="A4109" t="s">
        <v>2145</v>
      </c>
      <c r="B4109" t="s">
        <v>1968</v>
      </c>
      <c r="C4109">
        <v>2005</v>
      </c>
      <c r="H4109" t="s">
        <v>350</v>
      </c>
      <c r="I4109" t="s">
        <v>2550</v>
      </c>
      <c r="L4109">
        <v>1.82</v>
      </c>
      <c r="M4109">
        <f t="shared" si="97"/>
        <v>1.44</v>
      </c>
      <c r="N4109" t="s">
        <v>127</v>
      </c>
      <c r="O4109" t="s">
        <v>2552</v>
      </c>
      <c r="P4109" t="s">
        <v>2553</v>
      </c>
      <c r="Q4109" t="s">
        <v>2351</v>
      </c>
      <c r="R4109" t="s">
        <v>2351</v>
      </c>
      <c r="S4109" t="s">
        <v>2351</v>
      </c>
      <c r="T4109" t="s">
        <v>421</v>
      </c>
      <c r="U4109" t="s">
        <v>421</v>
      </c>
      <c r="X4109" t="s">
        <v>161</v>
      </c>
      <c r="Y4109" t="s">
        <v>2272</v>
      </c>
      <c r="Z4109" t="s">
        <v>2272</v>
      </c>
      <c r="AA4109" t="s">
        <v>2272</v>
      </c>
      <c r="AB4109" t="s">
        <v>2272</v>
      </c>
      <c r="AC4109" t="s">
        <v>162</v>
      </c>
      <c r="AD4109" t="s">
        <v>2272</v>
      </c>
      <c r="AG4109" t="s">
        <v>49</v>
      </c>
      <c r="AL4109" t="s">
        <v>49</v>
      </c>
      <c r="AM4109" t="s">
        <v>2243</v>
      </c>
      <c r="AN4109" t="s">
        <v>166</v>
      </c>
      <c r="AQ4109" s="5">
        <v>0</v>
      </c>
    </row>
    <row r="4110" spans="1:43" x14ac:dyDescent="0.2">
      <c r="A4110" t="s">
        <v>2145</v>
      </c>
      <c r="B4110" t="s">
        <v>1968</v>
      </c>
      <c r="C4110">
        <v>2005</v>
      </c>
      <c r="H4110" t="s">
        <v>350</v>
      </c>
      <c r="I4110" t="s">
        <v>2550</v>
      </c>
      <c r="L4110">
        <v>1.82</v>
      </c>
      <c r="M4110">
        <f t="shared" si="97"/>
        <v>1.44</v>
      </c>
      <c r="N4110" t="s">
        <v>127</v>
      </c>
      <c r="O4110" t="s">
        <v>2552</v>
      </c>
      <c r="P4110" t="s">
        <v>2553</v>
      </c>
      <c r="Q4110" t="s">
        <v>2351</v>
      </c>
      <c r="R4110" t="s">
        <v>2351</v>
      </c>
      <c r="S4110" t="s">
        <v>2351</v>
      </c>
      <c r="T4110" t="s">
        <v>421</v>
      </c>
      <c r="U4110" t="s">
        <v>421</v>
      </c>
      <c r="X4110" t="s">
        <v>161</v>
      </c>
      <c r="Y4110" t="s">
        <v>2272</v>
      </c>
      <c r="Z4110" t="s">
        <v>2272</v>
      </c>
      <c r="AA4110" t="s">
        <v>2272</v>
      </c>
      <c r="AB4110" t="s">
        <v>2272</v>
      </c>
      <c r="AC4110" t="s">
        <v>162</v>
      </c>
      <c r="AD4110" t="s">
        <v>2272</v>
      </c>
      <c r="AG4110" t="s">
        <v>49</v>
      </c>
      <c r="AL4110" t="s">
        <v>49</v>
      </c>
      <c r="AM4110" t="s">
        <v>2560</v>
      </c>
      <c r="AN4110" t="s">
        <v>166</v>
      </c>
      <c r="AQ4110" s="5">
        <v>2</v>
      </c>
    </row>
    <row r="4111" spans="1:43" x14ac:dyDescent="0.2">
      <c r="A4111" t="s">
        <v>2145</v>
      </c>
      <c r="B4111" t="s">
        <v>1968</v>
      </c>
      <c r="C4111">
        <v>2005</v>
      </c>
      <c r="H4111" t="s">
        <v>350</v>
      </c>
      <c r="I4111" t="s">
        <v>2550</v>
      </c>
      <c r="L4111">
        <v>1.82</v>
      </c>
      <c r="M4111">
        <f t="shared" si="97"/>
        <v>1.44</v>
      </c>
      <c r="N4111" t="s">
        <v>127</v>
      </c>
      <c r="O4111" t="s">
        <v>2552</v>
      </c>
      <c r="P4111" t="s">
        <v>2553</v>
      </c>
      <c r="Q4111" t="s">
        <v>2351</v>
      </c>
      <c r="R4111" t="s">
        <v>2351</v>
      </c>
      <c r="S4111" t="s">
        <v>2351</v>
      </c>
      <c r="T4111" t="s">
        <v>421</v>
      </c>
      <c r="U4111" t="s">
        <v>421</v>
      </c>
      <c r="X4111" t="s">
        <v>161</v>
      </c>
      <c r="Y4111" t="s">
        <v>2272</v>
      </c>
      <c r="Z4111" t="s">
        <v>2272</v>
      </c>
      <c r="AA4111" t="s">
        <v>2272</v>
      </c>
      <c r="AB4111" t="s">
        <v>2272</v>
      </c>
      <c r="AC4111" t="s">
        <v>162</v>
      </c>
      <c r="AD4111" t="s">
        <v>2272</v>
      </c>
      <c r="AG4111" t="s">
        <v>49</v>
      </c>
      <c r="AL4111" t="s">
        <v>49</v>
      </c>
      <c r="AM4111" t="s">
        <v>2561</v>
      </c>
      <c r="AN4111" t="s">
        <v>166</v>
      </c>
      <c r="AQ4111" s="5">
        <v>2</v>
      </c>
    </row>
    <row r="4112" spans="1:43" x14ac:dyDescent="0.2">
      <c r="A4112" t="s">
        <v>2145</v>
      </c>
      <c r="B4112" t="s">
        <v>1968</v>
      </c>
      <c r="C4112">
        <v>2005</v>
      </c>
      <c r="H4112" t="s">
        <v>350</v>
      </c>
      <c r="I4112" t="s">
        <v>2550</v>
      </c>
      <c r="L4112">
        <v>1.82</v>
      </c>
      <c r="M4112">
        <f t="shared" si="97"/>
        <v>1.44</v>
      </c>
      <c r="N4112" t="s">
        <v>127</v>
      </c>
      <c r="O4112" t="s">
        <v>2552</v>
      </c>
      <c r="P4112" t="s">
        <v>2553</v>
      </c>
      <c r="Q4112" t="s">
        <v>2351</v>
      </c>
      <c r="R4112" t="s">
        <v>2351</v>
      </c>
      <c r="S4112" t="s">
        <v>2351</v>
      </c>
      <c r="T4112" t="s">
        <v>421</v>
      </c>
      <c r="U4112" t="s">
        <v>421</v>
      </c>
      <c r="X4112" t="s">
        <v>161</v>
      </c>
      <c r="Y4112" t="s">
        <v>2272</v>
      </c>
      <c r="Z4112" t="s">
        <v>2272</v>
      </c>
      <c r="AA4112" t="s">
        <v>2272</v>
      </c>
      <c r="AB4112" t="s">
        <v>2272</v>
      </c>
      <c r="AC4112" t="s">
        <v>162</v>
      </c>
      <c r="AD4112" t="s">
        <v>2272</v>
      </c>
      <c r="AG4112" t="s">
        <v>49</v>
      </c>
      <c r="AL4112" t="s">
        <v>49</v>
      </c>
      <c r="AM4112" t="s">
        <v>2562</v>
      </c>
      <c r="AN4112" t="s">
        <v>166</v>
      </c>
      <c r="AQ4112" s="5">
        <v>2</v>
      </c>
    </row>
    <row r="4113" spans="1:43" x14ac:dyDescent="0.2">
      <c r="A4113" t="s">
        <v>2145</v>
      </c>
      <c r="B4113" t="s">
        <v>1968</v>
      </c>
      <c r="C4113">
        <v>2005</v>
      </c>
      <c r="H4113" t="s">
        <v>350</v>
      </c>
      <c r="I4113" t="s">
        <v>2550</v>
      </c>
      <c r="L4113">
        <v>1.82</v>
      </c>
      <c r="M4113">
        <f t="shared" si="97"/>
        <v>1.44</v>
      </c>
      <c r="N4113" t="s">
        <v>127</v>
      </c>
      <c r="O4113" t="s">
        <v>2552</v>
      </c>
      <c r="P4113" t="s">
        <v>2553</v>
      </c>
      <c r="Q4113" t="s">
        <v>2351</v>
      </c>
      <c r="R4113" t="s">
        <v>2351</v>
      </c>
      <c r="S4113" t="s">
        <v>2351</v>
      </c>
      <c r="T4113" t="s">
        <v>421</v>
      </c>
      <c r="U4113" t="s">
        <v>421</v>
      </c>
      <c r="X4113" t="s">
        <v>161</v>
      </c>
      <c r="Y4113" t="s">
        <v>2272</v>
      </c>
      <c r="Z4113" t="s">
        <v>2272</v>
      </c>
      <c r="AA4113" t="s">
        <v>2272</v>
      </c>
      <c r="AB4113" t="s">
        <v>2272</v>
      </c>
      <c r="AC4113" t="s">
        <v>162</v>
      </c>
      <c r="AD4113" t="s">
        <v>2272</v>
      </c>
      <c r="AG4113" t="s">
        <v>49</v>
      </c>
      <c r="AL4113" t="s">
        <v>49</v>
      </c>
      <c r="AM4113" t="s">
        <v>2563</v>
      </c>
      <c r="AN4113" t="s">
        <v>166</v>
      </c>
      <c r="AQ4113" s="5">
        <v>1</v>
      </c>
    </row>
    <row r="4114" spans="1:43" x14ac:dyDescent="0.2">
      <c r="A4114" t="s">
        <v>2145</v>
      </c>
      <c r="B4114" t="s">
        <v>1968</v>
      </c>
      <c r="C4114">
        <v>2005</v>
      </c>
      <c r="H4114" t="s">
        <v>350</v>
      </c>
      <c r="I4114" t="s">
        <v>2550</v>
      </c>
      <c r="L4114">
        <v>1.82</v>
      </c>
      <c r="M4114">
        <f t="shared" si="97"/>
        <v>1.44</v>
      </c>
      <c r="N4114" t="s">
        <v>127</v>
      </c>
      <c r="O4114" t="s">
        <v>2552</v>
      </c>
      <c r="P4114" t="s">
        <v>2553</v>
      </c>
      <c r="Q4114" t="s">
        <v>2351</v>
      </c>
      <c r="R4114" t="s">
        <v>2351</v>
      </c>
      <c r="S4114" t="s">
        <v>2351</v>
      </c>
      <c r="T4114" t="s">
        <v>421</v>
      </c>
      <c r="U4114" t="s">
        <v>421</v>
      </c>
      <c r="X4114" t="s">
        <v>161</v>
      </c>
      <c r="Y4114" t="s">
        <v>2272</v>
      </c>
      <c r="Z4114" t="s">
        <v>2272</v>
      </c>
      <c r="AA4114" t="s">
        <v>2272</v>
      </c>
      <c r="AB4114" t="s">
        <v>2272</v>
      </c>
      <c r="AC4114" t="s">
        <v>162</v>
      </c>
      <c r="AD4114" t="s">
        <v>2272</v>
      </c>
      <c r="AG4114" t="s">
        <v>49</v>
      </c>
      <c r="AL4114" t="s">
        <v>49</v>
      </c>
      <c r="AM4114" t="s">
        <v>2321</v>
      </c>
      <c r="AN4114" t="s">
        <v>166</v>
      </c>
      <c r="AQ4114" s="5">
        <v>2</v>
      </c>
    </row>
    <row r="4115" spans="1:43" x14ac:dyDescent="0.2">
      <c r="A4115" t="s">
        <v>2145</v>
      </c>
      <c r="B4115" t="s">
        <v>1968</v>
      </c>
      <c r="C4115">
        <v>2005</v>
      </c>
      <c r="H4115" t="s">
        <v>350</v>
      </c>
      <c r="I4115" t="s">
        <v>2550</v>
      </c>
      <c r="L4115">
        <v>1.82</v>
      </c>
      <c r="M4115">
        <f t="shared" si="97"/>
        <v>1.44</v>
      </c>
      <c r="N4115" t="s">
        <v>127</v>
      </c>
      <c r="O4115" t="s">
        <v>2552</v>
      </c>
      <c r="P4115" t="s">
        <v>2553</v>
      </c>
      <c r="Q4115" t="s">
        <v>2351</v>
      </c>
      <c r="R4115" t="s">
        <v>2351</v>
      </c>
      <c r="S4115" t="s">
        <v>2351</v>
      </c>
      <c r="T4115" t="s">
        <v>421</v>
      </c>
      <c r="U4115" t="s">
        <v>421</v>
      </c>
      <c r="X4115" t="s">
        <v>161</v>
      </c>
      <c r="Y4115" t="s">
        <v>2272</v>
      </c>
      <c r="Z4115" t="s">
        <v>2272</v>
      </c>
      <c r="AA4115" t="s">
        <v>2272</v>
      </c>
      <c r="AB4115" t="s">
        <v>2272</v>
      </c>
      <c r="AC4115" t="s">
        <v>162</v>
      </c>
      <c r="AD4115" t="s">
        <v>2272</v>
      </c>
      <c r="AG4115" t="s">
        <v>49</v>
      </c>
      <c r="AL4115" t="s">
        <v>49</v>
      </c>
      <c r="AM4115" t="s">
        <v>1094</v>
      </c>
      <c r="AN4115" t="s">
        <v>166</v>
      </c>
      <c r="AQ4115" s="5">
        <v>1</v>
      </c>
    </row>
    <row r="4116" spans="1:43" x14ac:dyDescent="0.2">
      <c r="A4116" t="s">
        <v>2145</v>
      </c>
      <c r="B4116" t="s">
        <v>1968</v>
      </c>
      <c r="C4116">
        <v>2005</v>
      </c>
      <c r="H4116" t="s">
        <v>350</v>
      </c>
      <c r="I4116" t="s">
        <v>2550</v>
      </c>
      <c r="L4116">
        <v>1.82</v>
      </c>
      <c r="M4116">
        <f t="shared" si="97"/>
        <v>1.44</v>
      </c>
      <c r="N4116" t="s">
        <v>127</v>
      </c>
      <c r="O4116" t="s">
        <v>2552</v>
      </c>
      <c r="P4116" t="s">
        <v>2553</v>
      </c>
      <c r="Q4116" t="s">
        <v>2351</v>
      </c>
      <c r="R4116" t="s">
        <v>2351</v>
      </c>
      <c r="S4116" t="s">
        <v>2351</v>
      </c>
      <c r="T4116" t="s">
        <v>421</v>
      </c>
      <c r="U4116" t="s">
        <v>421</v>
      </c>
      <c r="X4116" t="s">
        <v>161</v>
      </c>
      <c r="Y4116" t="s">
        <v>2272</v>
      </c>
      <c r="Z4116" t="s">
        <v>2272</v>
      </c>
      <c r="AA4116" t="s">
        <v>2272</v>
      </c>
      <c r="AB4116" t="s">
        <v>2272</v>
      </c>
      <c r="AC4116" t="s">
        <v>162</v>
      </c>
      <c r="AD4116" t="s">
        <v>2272</v>
      </c>
      <c r="AG4116" t="s">
        <v>49</v>
      </c>
      <c r="AL4116" t="s">
        <v>49</v>
      </c>
      <c r="AM4116" t="s">
        <v>2564</v>
      </c>
      <c r="AN4116" t="s">
        <v>166</v>
      </c>
      <c r="AQ4116" s="5">
        <v>2</v>
      </c>
    </row>
    <row r="4117" spans="1:43" x14ac:dyDescent="0.2">
      <c r="A4117" t="s">
        <v>2145</v>
      </c>
      <c r="B4117" t="s">
        <v>1968</v>
      </c>
      <c r="C4117">
        <v>2005</v>
      </c>
      <c r="H4117" t="s">
        <v>350</v>
      </c>
      <c r="I4117" t="s">
        <v>2550</v>
      </c>
      <c r="L4117">
        <v>1.82</v>
      </c>
      <c r="M4117">
        <f t="shared" si="97"/>
        <v>1.44</v>
      </c>
      <c r="N4117" t="s">
        <v>127</v>
      </c>
      <c r="O4117" t="s">
        <v>2552</v>
      </c>
      <c r="P4117" t="s">
        <v>2553</v>
      </c>
      <c r="Q4117" t="s">
        <v>2351</v>
      </c>
      <c r="R4117" t="s">
        <v>2351</v>
      </c>
      <c r="S4117" t="s">
        <v>2351</v>
      </c>
      <c r="T4117" t="s">
        <v>421</v>
      </c>
      <c r="U4117" t="s">
        <v>421</v>
      </c>
      <c r="X4117" t="s">
        <v>161</v>
      </c>
      <c r="Y4117" t="s">
        <v>2272</v>
      </c>
      <c r="Z4117" t="s">
        <v>2272</v>
      </c>
      <c r="AA4117" t="s">
        <v>2272</v>
      </c>
      <c r="AB4117" t="s">
        <v>2272</v>
      </c>
      <c r="AC4117" t="s">
        <v>162</v>
      </c>
      <c r="AD4117" t="s">
        <v>2272</v>
      </c>
      <c r="AG4117" t="s">
        <v>49</v>
      </c>
      <c r="AL4117" t="s">
        <v>49</v>
      </c>
      <c r="AM4117" t="s">
        <v>2565</v>
      </c>
      <c r="AN4117" t="s">
        <v>166</v>
      </c>
      <c r="AQ4117" s="5">
        <v>2</v>
      </c>
    </row>
    <row r="4118" spans="1:43" x14ac:dyDescent="0.2">
      <c r="A4118" t="s">
        <v>2145</v>
      </c>
      <c r="B4118" t="s">
        <v>1968</v>
      </c>
      <c r="C4118">
        <v>2005</v>
      </c>
      <c r="H4118" t="s">
        <v>350</v>
      </c>
      <c r="I4118" t="s">
        <v>2550</v>
      </c>
      <c r="L4118">
        <v>1.82</v>
      </c>
      <c r="M4118">
        <f t="shared" si="97"/>
        <v>1.44</v>
      </c>
      <c r="N4118" t="s">
        <v>127</v>
      </c>
      <c r="O4118" t="s">
        <v>2552</v>
      </c>
      <c r="P4118" t="s">
        <v>2553</v>
      </c>
      <c r="Q4118" t="s">
        <v>2351</v>
      </c>
      <c r="R4118" t="s">
        <v>2351</v>
      </c>
      <c r="S4118" t="s">
        <v>2351</v>
      </c>
      <c r="T4118" t="s">
        <v>421</v>
      </c>
      <c r="U4118" t="s">
        <v>421</v>
      </c>
      <c r="X4118" t="s">
        <v>161</v>
      </c>
      <c r="Y4118" t="s">
        <v>2272</v>
      </c>
      <c r="Z4118" t="s">
        <v>2272</v>
      </c>
      <c r="AA4118" t="s">
        <v>2272</v>
      </c>
      <c r="AB4118" t="s">
        <v>2272</v>
      </c>
      <c r="AC4118" t="s">
        <v>162</v>
      </c>
      <c r="AD4118" t="s">
        <v>2272</v>
      </c>
      <c r="AG4118" t="s">
        <v>49</v>
      </c>
      <c r="AL4118" t="s">
        <v>49</v>
      </c>
      <c r="AM4118" t="s">
        <v>2566</v>
      </c>
      <c r="AN4118" t="s">
        <v>166</v>
      </c>
      <c r="AQ4118" s="5">
        <v>2</v>
      </c>
    </row>
    <row r="4119" spans="1:43" x14ac:dyDescent="0.2">
      <c r="A4119" t="s">
        <v>2145</v>
      </c>
      <c r="B4119" t="s">
        <v>1968</v>
      </c>
      <c r="C4119">
        <v>2005</v>
      </c>
      <c r="H4119" t="s">
        <v>350</v>
      </c>
      <c r="I4119" t="s">
        <v>2550</v>
      </c>
      <c r="L4119">
        <v>1.82</v>
      </c>
      <c r="M4119">
        <f t="shared" si="97"/>
        <v>1.44</v>
      </c>
      <c r="N4119" t="s">
        <v>127</v>
      </c>
      <c r="O4119" t="s">
        <v>2552</v>
      </c>
      <c r="P4119" t="s">
        <v>2553</v>
      </c>
      <c r="Q4119" t="s">
        <v>2351</v>
      </c>
      <c r="R4119" t="s">
        <v>2351</v>
      </c>
      <c r="S4119" t="s">
        <v>2351</v>
      </c>
      <c r="T4119" t="s">
        <v>421</v>
      </c>
      <c r="U4119" t="s">
        <v>421</v>
      </c>
      <c r="X4119" t="s">
        <v>161</v>
      </c>
      <c r="Y4119" t="s">
        <v>2272</v>
      </c>
      <c r="Z4119" t="s">
        <v>2272</v>
      </c>
      <c r="AA4119" t="s">
        <v>2272</v>
      </c>
      <c r="AB4119" t="s">
        <v>2272</v>
      </c>
      <c r="AC4119" t="s">
        <v>162</v>
      </c>
      <c r="AD4119" t="s">
        <v>2272</v>
      </c>
      <c r="AF4119" t="s">
        <v>49</v>
      </c>
      <c r="AG4119" t="s">
        <v>49</v>
      </c>
      <c r="AK4119" t="s">
        <v>49</v>
      </c>
      <c r="AM4119" t="s">
        <v>2567</v>
      </c>
      <c r="AN4119" t="s">
        <v>166</v>
      </c>
      <c r="AQ4119" s="5">
        <v>1</v>
      </c>
    </row>
    <row r="4120" spans="1:43" x14ac:dyDescent="0.2">
      <c r="A4120" t="s">
        <v>2145</v>
      </c>
      <c r="B4120" t="s">
        <v>1968</v>
      </c>
      <c r="C4120">
        <v>2005</v>
      </c>
      <c r="H4120" t="s">
        <v>350</v>
      </c>
      <c r="I4120" t="s">
        <v>2550</v>
      </c>
      <c r="L4120">
        <v>1.82</v>
      </c>
      <c r="M4120">
        <f t="shared" si="97"/>
        <v>1.44</v>
      </c>
      <c r="N4120" t="s">
        <v>127</v>
      </c>
      <c r="O4120" t="s">
        <v>2552</v>
      </c>
      <c r="P4120" t="s">
        <v>2553</v>
      </c>
      <c r="Q4120" t="s">
        <v>2351</v>
      </c>
      <c r="R4120" t="s">
        <v>2351</v>
      </c>
      <c r="S4120" t="s">
        <v>2351</v>
      </c>
      <c r="T4120" t="s">
        <v>421</v>
      </c>
      <c r="U4120" t="s">
        <v>421</v>
      </c>
      <c r="X4120" t="s">
        <v>161</v>
      </c>
      <c r="Y4120" t="s">
        <v>2272</v>
      </c>
      <c r="Z4120" t="s">
        <v>2272</v>
      </c>
      <c r="AA4120" t="s">
        <v>2272</v>
      </c>
      <c r="AB4120" t="s">
        <v>2272</v>
      </c>
      <c r="AC4120" t="s">
        <v>162</v>
      </c>
      <c r="AD4120" t="s">
        <v>2272</v>
      </c>
      <c r="AF4120" t="s">
        <v>49</v>
      </c>
      <c r="AG4120" t="s">
        <v>49</v>
      </c>
      <c r="AK4120" t="s">
        <v>49</v>
      </c>
      <c r="AM4120" t="s">
        <v>2568</v>
      </c>
      <c r="AN4120" t="s">
        <v>166</v>
      </c>
      <c r="AQ4120" s="5">
        <v>1</v>
      </c>
    </row>
    <row r="4121" spans="1:43" x14ac:dyDescent="0.2">
      <c r="A4121" t="s">
        <v>2145</v>
      </c>
      <c r="B4121" t="s">
        <v>1968</v>
      </c>
      <c r="C4121">
        <v>2005</v>
      </c>
      <c r="H4121" t="s">
        <v>350</v>
      </c>
      <c r="I4121" t="s">
        <v>2550</v>
      </c>
      <c r="L4121">
        <v>1.82</v>
      </c>
      <c r="M4121">
        <f t="shared" si="97"/>
        <v>1.44</v>
      </c>
      <c r="N4121" t="s">
        <v>127</v>
      </c>
      <c r="O4121" t="s">
        <v>2552</v>
      </c>
      <c r="P4121" t="s">
        <v>2553</v>
      </c>
      <c r="Q4121" t="s">
        <v>2351</v>
      </c>
      <c r="R4121" t="s">
        <v>2351</v>
      </c>
      <c r="S4121" t="s">
        <v>2351</v>
      </c>
      <c r="T4121" t="s">
        <v>421</v>
      </c>
      <c r="U4121" t="s">
        <v>421</v>
      </c>
      <c r="X4121" t="s">
        <v>161</v>
      </c>
      <c r="Y4121" t="s">
        <v>2272</v>
      </c>
      <c r="Z4121" t="s">
        <v>2272</v>
      </c>
      <c r="AA4121" t="s">
        <v>2272</v>
      </c>
      <c r="AB4121" t="s">
        <v>2272</v>
      </c>
      <c r="AC4121" t="s">
        <v>162</v>
      </c>
      <c r="AD4121" t="s">
        <v>2272</v>
      </c>
      <c r="AG4121" t="s">
        <v>49</v>
      </c>
      <c r="AL4121" t="s">
        <v>49</v>
      </c>
      <c r="AM4121" t="s">
        <v>2569</v>
      </c>
      <c r="AN4121" t="s">
        <v>166</v>
      </c>
      <c r="AQ4121" s="5">
        <v>2</v>
      </c>
    </row>
    <row r="4122" spans="1:43" x14ac:dyDescent="0.2">
      <c r="A4122" t="s">
        <v>2145</v>
      </c>
      <c r="B4122" t="s">
        <v>1968</v>
      </c>
      <c r="C4122">
        <v>2005</v>
      </c>
      <c r="H4122" t="s">
        <v>350</v>
      </c>
      <c r="I4122" t="s">
        <v>2550</v>
      </c>
      <c r="L4122">
        <v>1.82</v>
      </c>
      <c r="M4122">
        <f t="shared" si="97"/>
        <v>1.44</v>
      </c>
      <c r="N4122" t="s">
        <v>127</v>
      </c>
      <c r="O4122" t="s">
        <v>2552</v>
      </c>
      <c r="P4122" t="s">
        <v>2553</v>
      </c>
      <c r="Q4122" t="s">
        <v>2351</v>
      </c>
      <c r="R4122" t="s">
        <v>2351</v>
      </c>
      <c r="S4122" t="s">
        <v>2351</v>
      </c>
      <c r="T4122" t="s">
        <v>421</v>
      </c>
      <c r="U4122" t="s">
        <v>421</v>
      </c>
      <c r="X4122" t="s">
        <v>161</v>
      </c>
      <c r="Y4122" t="s">
        <v>2272</v>
      </c>
      <c r="Z4122" t="s">
        <v>2272</v>
      </c>
      <c r="AA4122" t="s">
        <v>2272</v>
      </c>
      <c r="AB4122" t="s">
        <v>2272</v>
      </c>
      <c r="AC4122" t="s">
        <v>162</v>
      </c>
      <c r="AD4122" t="s">
        <v>2272</v>
      </c>
      <c r="AF4122" t="s">
        <v>49</v>
      </c>
      <c r="AL4122" t="s">
        <v>49</v>
      </c>
      <c r="AM4122" t="s">
        <v>2570</v>
      </c>
      <c r="AN4122" t="s">
        <v>166</v>
      </c>
      <c r="AQ4122" s="5">
        <v>1</v>
      </c>
    </row>
    <row r="4123" spans="1:43" x14ac:dyDescent="0.2">
      <c r="A4123" t="s">
        <v>2145</v>
      </c>
      <c r="B4123" t="s">
        <v>1968</v>
      </c>
      <c r="C4123">
        <v>2005</v>
      </c>
      <c r="H4123" t="s">
        <v>350</v>
      </c>
      <c r="I4123" t="s">
        <v>2550</v>
      </c>
      <c r="L4123">
        <v>1.82</v>
      </c>
      <c r="M4123">
        <f t="shared" si="97"/>
        <v>1.44</v>
      </c>
      <c r="N4123" t="s">
        <v>127</v>
      </c>
      <c r="O4123" t="s">
        <v>2552</v>
      </c>
      <c r="P4123" t="s">
        <v>2553</v>
      </c>
      <c r="Q4123" t="s">
        <v>2351</v>
      </c>
      <c r="R4123" t="s">
        <v>2351</v>
      </c>
      <c r="S4123" t="s">
        <v>2351</v>
      </c>
      <c r="T4123" t="s">
        <v>421</v>
      </c>
      <c r="U4123" t="s">
        <v>421</v>
      </c>
      <c r="X4123" t="s">
        <v>161</v>
      </c>
      <c r="Y4123" t="s">
        <v>2272</v>
      </c>
      <c r="Z4123" t="s">
        <v>2272</v>
      </c>
      <c r="AA4123" t="s">
        <v>2272</v>
      </c>
      <c r="AB4123" t="s">
        <v>2272</v>
      </c>
      <c r="AC4123" t="s">
        <v>162</v>
      </c>
      <c r="AD4123" t="s">
        <v>2272</v>
      </c>
      <c r="AF4123" t="s">
        <v>49</v>
      </c>
      <c r="AL4123" t="s">
        <v>49</v>
      </c>
      <c r="AM4123" t="s">
        <v>2189</v>
      </c>
      <c r="AN4123" t="s">
        <v>166</v>
      </c>
      <c r="AQ4123" s="5">
        <v>1</v>
      </c>
    </row>
    <row r="4124" spans="1:43" x14ac:dyDescent="0.2">
      <c r="A4124" t="s">
        <v>2145</v>
      </c>
      <c r="B4124" t="s">
        <v>1968</v>
      </c>
      <c r="C4124">
        <v>2005</v>
      </c>
      <c r="H4124" t="s">
        <v>350</v>
      </c>
      <c r="I4124" t="s">
        <v>2550</v>
      </c>
      <c r="L4124">
        <v>1.82</v>
      </c>
      <c r="M4124">
        <f t="shared" si="97"/>
        <v>1.44</v>
      </c>
      <c r="N4124" t="s">
        <v>127</v>
      </c>
      <c r="O4124" t="s">
        <v>2177</v>
      </c>
      <c r="P4124" t="s">
        <v>2551</v>
      </c>
      <c r="Q4124" t="s">
        <v>2281</v>
      </c>
      <c r="R4124" t="s">
        <v>2291</v>
      </c>
      <c r="S4124" t="s">
        <v>2291</v>
      </c>
      <c r="X4124" t="s">
        <v>642</v>
      </c>
      <c r="Y4124" t="s">
        <v>2279</v>
      </c>
      <c r="Z4124" t="s">
        <v>2280</v>
      </c>
      <c r="AA4124" t="s">
        <v>2358</v>
      </c>
      <c r="AB4124" t="s">
        <v>2580</v>
      </c>
      <c r="AC4124" t="s">
        <v>152</v>
      </c>
      <c r="AD4124" t="s">
        <v>2278</v>
      </c>
      <c r="AF4124" t="s">
        <v>49</v>
      </c>
      <c r="AL4124" t="s">
        <v>49</v>
      </c>
      <c r="AM4124" t="s">
        <v>2555</v>
      </c>
      <c r="AN4124" t="s">
        <v>166</v>
      </c>
      <c r="AP4124" t="s">
        <v>51</v>
      </c>
    </row>
    <row r="4125" spans="1:43" x14ac:dyDescent="0.2">
      <c r="A4125" t="s">
        <v>2145</v>
      </c>
      <c r="B4125" t="s">
        <v>1968</v>
      </c>
      <c r="C4125">
        <v>2005</v>
      </c>
      <c r="H4125" t="s">
        <v>350</v>
      </c>
      <c r="I4125" t="s">
        <v>2550</v>
      </c>
      <c r="L4125">
        <v>1.82</v>
      </c>
      <c r="M4125">
        <f t="shared" si="97"/>
        <v>1.44</v>
      </c>
      <c r="N4125" t="s">
        <v>127</v>
      </c>
      <c r="O4125" t="s">
        <v>2177</v>
      </c>
      <c r="P4125" t="s">
        <v>2551</v>
      </c>
      <c r="Q4125" t="s">
        <v>2281</v>
      </c>
      <c r="R4125" t="s">
        <v>2291</v>
      </c>
      <c r="S4125" t="s">
        <v>2291</v>
      </c>
      <c r="X4125" t="s">
        <v>189</v>
      </c>
      <c r="Y4125" t="s">
        <v>2279</v>
      </c>
      <c r="Z4125" t="s">
        <v>2280</v>
      </c>
      <c r="AA4125" t="s">
        <v>2358</v>
      </c>
      <c r="AB4125" t="s">
        <v>189</v>
      </c>
      <c r="AC4125" t="s">
        <v>152</v>
      </c>
      <c r="AD4125" t="s">
        <v>2278</v>
      </c>
    </row>
    <row r="4126" spans="1:43" x14ac:dyDescent="0.2">
      <c r="A4126" t="s">
        <v>2145</v>
      </c>
      <c r="B4126" t="s">
        <v>1968</v>
      </c>
      <c r="C4126">
        <v>2005</v>
      </c>
      <c r="H4126" t="s">
        <v>350</v>
      </c>
      <c r="I4126" t="s">
        <v>2550</v>
      </c>
      <c r="L4126">
        <v>1.82</v>
      </c>
      <c r="M4126">
        <f t="shared" si="97"/>
        <v>1.44</v>
      </c>
      <c r="N4126" t="s">
        <v>127</v>
      </c>
      <c r="O4126" t="s">
        <v>2177</v>
      </c>
      <c r="P4126" t="s">
        <v>2551</v>
      </c>
      <c r="Q4126" t="s">
        <v>2281</v>
      </c>
      <c r="R4126" t="s">
        <v>2291</v>
      </c>
      <c r="S4126" t="s">
        <v>2291</v>
      </c>
      <c r="X4126" t="s">
        <v>642</v>
      </c>
      <c r="Y4126" t="s">
        <v>2273</v>
      </c>
      <c r="Z4126" t="s">
        <v>249</v>
      </c>
      <c r="AA4126" t="s">
        <v>2359</v>
      </c>
      <c r="AB4126" t="s">
        <v>1979</v>
      </c>
      <c r="AC4126" t="s">
        <v>152</v>
      </c>
      <c r="AD4126" t="s">
        <v>137</v>
      </c>
    </row>
    <row r="4127" spans="1:43" x14ac:dyDescent="0.2">
      <c r="A4127" t="s">
        <v>2145</v>
      </c>
      <c r="B4127" t="s">
        <v>1968</v>
      </c>
      <c r="C4127">
        <v>2005</v>
      </c>
      <c r="H4127" t="s">
        <v>350</v>
      </c>
      <c r="I4127" t="s">
        <v>2550</v>
      </c>
      <c r="L4127">
        <v>1.82</v>
      </c>
      <c r="M4127">
        <f t="shared" si="97"/>
        <v>1.44</v>
      </c>
      <c r="N4127" t="s">
        <v>127</v>
      </c>
      <c r="O4127" t="s">
        <v>405</v>
      </c>
      <c r="P4127" t="s">
        <v>1972</v>
      </c>
      <c r="Q4127" t="s">
        <v>2281</v>
      </c>
      <c r="R4127" t="s">
        <v>2291</v>
      </c>
      <c r="S4127" t="s">
        <v>2291</v>
      </c>
      <c r="X4127" t="s">
        <v>642</v>
      </c>
      <c r="Y4127" t="s">
        <v>2279</v>
      </c>
      <c r="Z4127" t="s">
        <v>2280</v>
      </c>
      <c r="AA4127" t="s">
        <v>2358</v>
      </c>
      <c r="AB4127" t="s">
        <v>2580</v>
      </c>
      <c r="AC4127" t="s">
        <v>152</v>
      </c>
      <c r="AD4127" t="s">
        <v>2278</v>
      </c>
    </row>
    <row r="4128" spans="1:43" x14ac:dyDescent="0.2">
      <c r="A4128" t="s">
        <v>2145</v>
      </c>
      <c r="B4128" t="s">
        <v>1968</v>
      </c>
      <c r="C4128">
        <v>2005</v>
      </c>
      <c r="H4128" t="s">
        <v>350</v>
      </c>
      <c r="I4128" t="s">
        <v>2550</v>
      </c>
      <c r="L4128">
        <v>1.82</v>
      </c>
      <c r="M4128">
        <f t="shared" si="97"/>
        <v>1.44</v>
      </c>
      <c r="N4128" t="s">
        <v>127</v>
      </c>
      <c r="O4128" t="s">
        <v>405</v>
      </c>
      <c r="P4128" t="s">
        <v>1972</v>
      </c>
      <c r="Q4128" t="s">
        <v>2281</v>
      </c>
      <c r="R4128" t="s">
        <v>2291</v>
      </c>
      <c r="S4128" t="s">
        <v>2291</v>
      </c>
      <c r="X4128" t="s">
        <v>189</v>
      </c>
      <c r="Y4128" t="s">
        <v>2279</v>
      </c>
      <c r="Z4128" t="s">
        <v>2280</v>
      </c>
      <c r="AA4128" t="s">
        <v>2358</v>
      </c>
      <c r="AB4128" t="s">
        <v>189</v>
      </c>
      <c r="AC4128" t="s">
        <v>152</v>
      </c>
      <c r="AD4128" t="s">
        <v>2278</v>
      </c>
      <c r="AF4128" t="s">
        <v>49</v>
      </c>
      <c r="AL4128" t="s">
        <v>49</v>
      </c>
      <c r="AM4128" t="s">
        <v>2555</v>
      </c>
      <c r="AN4128" t="s">
        <v>166</v>
      </c>
      <c r="AP4128" t="s">
        <v>51</v>
      </c>
    </row>
    <row r="4129" spans="1:42" x14ac:dyDescent="0.2">
      <c r="A4129" t="s">
        <v>2145</v>
      </c>
      <c r="B4129" t="s">
        <v>1968</v>
      </c>
      <c r="C4129">
        <v>2005</v>
      </c>
      <c r="H4129" t="s">
        <v>350</v>
      </c>
      <c r="I4129" t="s">
        <v>2550</v>
      </c>
      <c r="L4129">
        <v>1.82</v>
      </c>
      <c r="M4129">
        <f t="shared" si="97"/>
        <v>1.44</v>
      </c>
      <c r="N4129" t="s">
        <v>127</v>
      </c>
      <c r="O4129" t="s">
        <v>405</v>
      </c>
      <c r="P4129" t="s">
        <v>1972</v>
      </c>
      <c r="Q4129" t="s">
        <v>2281</v>
      </c>
      <c r="R4129" t="s">
        <v>2291</v>
      </c>
      <c r="S4129" t="s">
        <v>2291</v>
      </c>
      <c r="X4129" t="s">
        <v>150</v>
      </c>
      <c r="Y4129" t="s">
        <v>2273</v>
      </c>
      <c r="Z4129" t="s">
        <v>249</v>
      </c>
      <c r="AA4129" t="s">
        <v>2359</v>
      </c>
      <c r="AB4129" t="s">
        <v>1419</v>
      </c>
      <c r="AC4129" t="s">
        <v>152</v>
      </c>
      <c r="AD4129" t="s">
        <v>2288</v>
      </c>
      <c r="AF4129" t="s">
        <v>49</v>
      </c>
      <c r="AL4129" t="s">
        <v>49</v>
      </c>
      <c r="AM4129" t="s">
        <v>2555</v>
      </c>
      <c r="AN4129" t="s">
        <v>166</v>
      </c>
      <c r="AP4129" t="s">
        <v>51</v>
      </c>
    </row>
    <row r="4130" spans="1:42" x14ac:dyDescent="0.2">
      <c r="A4130" t="s">
        <v>2145</v>
      </c>
      <c r="B4130" t="s">
        <v>1968</v>
      </c>
      <c r="C4130">
        <v>2005</v>
      </c>
      <c r="H4130" t="s">
        <v>350</v>
      </c>
      <c r="I4130" t="s">
        <v>2550</v>
      </c>
      <c r="L4130">
        <v>1.82</v>
      </c>
      <c r="M4130">
        <f t="shared" si="97"/>
        <v>1.44</v>
      </c>
      <c r="N4130" t="s">
        <v>127</v>
      </c>
      <c r="O4130" t="s">
        <v>2177</v>
      </c>
      <c r="P4130" t="s">
        <v>2551</v>
      </c>
      <c r="Q4130" t="s">
        <v>2281</v>
      </c>
      <c r="R4130" t="s">
        <v>2291</v>
      </c>
      <c r="S4130" t="s">
        <v>2291</v>
      </c>
      <c r="X4130" t="s">
        <v>642</v>
      </c>
      <c r="Y4130" t="s">
        <v>2279</v>
      </c>
      <c r="Z4130" t="s">
        <v>2280</v>
      </c>
      <c r="AA4130" t="s">
        <v>2358</v>
      </c>
      <c r="AB4130" t="s">
        <v>2580</v>
      </c>
      <c r="AC4130" t="s">
        <v>152</v>
      </c>
      <c r="AD4130" t="s">
        <v>2278</v>
      </c>
      <c r="AG4130" t="s">
        <v>49</v>
      </c>
      <c r="AL4130" t="s">
        <v>49</v>
      </c>
      <c r="AM4130" t="s">
        <v>1094</v>
      </c>
      <c r="AN4130" t="s">
        <v>166</v>
      </c>
      <c r="AP4130" t="s">
        <v>51</v>
      </c>
    </row>
    <row r="4131" spans="1:42" x14ac:dyDescent="0.2">
      <c r="A4131" t="s">
        <v>2145</v>
      </c>
      <c r="B4131" t="s">
        <v>1968</v>
      </c>
      <c r="C4131">
        <v>2005</v>
      </c>
      <c r="H4131" t="s">
        <v>350</v>
      </c>
      <c r="I4131" t="s">
        <v>2550</v>
      </c>
      <c r="L4131">
        <v>1.82</v>
      </c>
      <c r="M4131">
        <f t="shared" si="97"/>
        <v>1.44</v>
      </c>
      <c r="N4131" t="s">
        <v>127</v>
      </c>
      <c r="O4131" t="s">
        <v>405</v>
      </c>
      <c r="P4131" t="s">
        <v>1972</v>
      </c>
      <c r="Q4131" t="s">
        <v>2281</v>
      </c>
      <c r="R4131" t="s">
        <v>2291</v>
      </c>
      <c r="S4131" t="s">
        <v>2291</v>
      </c>
      <c r="X4131" t="s">
        <v>189</v>
      </c>
      <c r="Y4131" t="s">
        <v>2279</v>
      </c>
      <c r="Z4131" t="s">
        <v>2280</v>
      </c>
      <c r="AA4131" t="s">
        <v>2358</v>
      </c>
      <c r="AB4131" t="s">
        <v>189</v>
      </c>
      <c r="AC4131" t="s">
        <v>152</v>
      </c>
      <c r="AD4131" t="s">
        <v>2278</v>
      </c>
      <c r="AG4131" t="s">
        <v>49</v>
      </c>
      <c r="AL4131" t="s">
        <v>49</v>
      </c>
      <c r="AM4131" t="s">
        <v>1094</v>
      </c>
      <c r="AN4131" t="s">
        <v>166</v>
      </c>
      <c r="AP4131" t="s">
        <v>51</v>
      </c>
    </row>
    <row r="4132" spans="1:42" x14ac:dyDescent="0.2">
      <c r="A4132" t="s">
        <v>2145</v>
      </c>
      <c r="B4132" t="s">
        <v>1968</v>
      </c>
      <c r="C4132">
        <v>2005</v>
      </c>
      <c r="H4132" t="s">
        <v>350</v>
      </c>
      <c r="I4132" t="s">
        <v>2550</v>
      </c>
      <c r="L4132">
        <v>1.82</v>
      </c>
      <c r="M4132">
        <f t="shared" si="97"/>
        <v>1.44</v>
      </c>
      <c r="N4132" t="s">
        <v>127</v>
      </c>
      <c r="O4132" t="s">
        <v>405</v>
      </c>
      <c r="P4132" t="s">
        <v>1972</v>
      </c>
      <c r="Q4132" t="s">
        <v>2281</v>
      </c>
      <c r="R4132" t="s">
        <v>2291</v>
      </c>
      <c r="S4132" t="s">
        <v>2291</v>
      </c>
      <c r="X4132" t="s">
        <v>150</v>
      </c>
      <c r="Y4132" t="s">
        <v>2273</v>
      </c>
      <c r="Z4132" t="s">
        <v>249</v>
      </c>
      <c r="AA4132" t="s">
        <v>2359</v>
      </c>
      <c r="AB4132" t="s">
        <v>1419</v>
      </c>
      <c r="AC4132" t="s">
        <v>152</v>
      </c>
      <c r="AD4132" t="s">
        <v>2288</v>
      </c>
      <c r="AG4132" t="s">
        <v>49</v>
      </c>
      <c r="AL4132" t="s">
        <v>49</v>
      </c>
      <c r="AM4132" t="s">
        <v>1094</v>
      </c>
      <c r="AN4132" t="s">
        <v>166</v>
      </c>
      <c r="AP4132" t="s">
        <v>49</v>
      </c>
    </row>
    <row r="4133" spans="1:42" x14ac:dyDescent="0.2">
      <c r="A4133" t="s">
        <v>2145</v>
      </c>
      <c r="B4133" t="s">
        <v>1968</v>
      </c>
      <c r="C4133">
        <v>2005</v>
      </c>
      <c r="H4133" t="s">
        <v>350</v>
      </c>
      <c r="I4133" t="s">
        <v>2550</v>
      </c>
      <c r="L4133">
        <v>1.82</v>
      </c>
      <c r="M4133">
        <f t="shared" si="97"/>
        <v>1.44</v>
      </c>
      <c r="N4133" t="s">
        <v>127</v>
      </c>
      <c r="O4133" t="s">
        <v>2177</v>
      </c>
      <c r="P4133" t="s">
        <v>2551</v>
      </c>
      <c r="Q4133" t="s">
        <v>2281</v>
      </c>
      <c r="R4133" t="s">
        <v>2291</v>
      </c>
      <c r="S4133" t="s">
        <v>2291</v>
      </c>
      <c r="X4133" t="s">
        <v>642</v>
      </c>
      <c r="Y4133" t="s">
        <v>2279</v>
      </c>
      <c r="Z4133" t="s">
        <v>2280</v>
      </c>
      <c r="AA4133" t="s">
        <v>2358</v>
      </c>
      <c r="AB4133" t="s">
        <v>2580</v>
      </c>
      <c r="AC4133" t="s">
        <v>152</v>
      </c>
      <c r="AD4133" t="s">
        <v>2278</v>
      </c>
      <c r="AG4133" t="s">
        <v>49</v>
      </c>
      <c r="AL4133" t="s">
        <v>49</v>
      </c>
      <c r="AM4133" t="s">
        <v>2563</v>
      </c>
      <c r="AN4133" t="s">
        <v>166</v>
      </c>
      <c r="AP4133" t="s">
        <v>51</v>
      </c>
    </row>
    <row r="4134" spans="1:42" x14ac:dyDescent="0.2">
      <c r="A4134" t="s">
        <v>2145</v>
      </c>
      <c r="B4134" t="s">
        <v>1968</v>
      </c>
      <c r="C4134">
        <v>2005</v>
      </c>
      <c r="H4134" t="s">
        <v>350</v>
      </c>
      <c r="I4134" t="s">
        <v>2550</v>
      </c>
      <c r="L4134">
        <v>1.82</v>
      </c>
      <c r="M4134">
        <f t="shared" ref="M4134:M4153" si="98">1.2*1.2</f>
        <v>1.44</v>
      </c>
      <c r="N4134" t="s">
        <v>127</v>
      </c>
      <c r="O4134" t="s">
        <v>405</v>
      </c>
      <c r="P4134" t="s">
        <v>1972</v>
      </c>
      <c r="Q4134" t="s">
        <v>2281</v>
      </c>
      <c r="R4134" t="s">
        <v>2291</v>
      </c>
      <c r="S4134" t="s">
        <v>2291</v>
      </c>
      <c r="X4134" t="s">
        <v>189</v>
      </c>
      <c r="Y4134" t="s">
        <v>2279</v>
      </c>
      <c r="Z4134" t="s">
        <v>2280</v>
      </c>
      <c r="AA4134" t="s">
        <v>2358</v>
      </c>
      <c r="AB4134" t="s">
        <v>189</v>
      </c>
      <c r="AC4134" t="s">
        <v>152</v>
      </c>
      <c r="AD4134" t="s">
        <v>2278</v>
      </c>
      <c r="AG4134" t="s">
        <v>49</v>
      </c>
      <c r="AL4134" t="s">
        <v>49</v>
      </c>
      <c r="AM4134" t="s">
        <v>2563</v>
      </c>
      <c r="AN4134" t="s">
        <v>166</v>
      </c>
      <c r="AP4134" t="s">
        <v>51</v>
      </c>
    </row>
    <row r="4135" spans="1:42" x14ac:dyDescent="0.2">
      <c r="A4135" t="s">
        <v>2145</v>
      </c>
      <c r="B4135" t="s">
        <v>1968</v>
      </c>
      <c r="C4135">
        <v>2005</v>
      </c>
      <c r="H4135" t="s">
        <v>350</v>
      </c>
      <c r="I4135" t="s">
        <v>2550</v>
      </c>
      <c r="L4135">
        <v>1.82</v>
      </c>
      <c r="M4135">
        <f t="shared" si="98"/>
        <v>1.44</v>
      </c>
      <c r="N4135" t="s">
        <v>127</v>
      </c>
      <c r="O4135" t="s">
        <v>405</v>
      </c>
      <c r="P4135" t="s">
        <v>1972</v>
      </c>
      <c r="Q4135" t="s">
        <v>2281</v>
      </c>
      <c r="R4135" t="s">
        <v>2291</v>
      </c>
      <c r="S4135" t="s">
        <v>2291</v>
      </c>
      <c r="X4135" t="s">
        <v>150</v>
      </c>
      <c r="Y4135" t="s">
        <v>2273</v>
      </c>
      <c r="Z4135" t="s">
        <v>249</v>
      </c>
      <c r="AA4135" t="s">
        <v>2359</v>
      </c>
      <c r="AB4135" t="s">
        <v>1419</v>
      </c>
      <c r="AC4135" t="s">
        <v>152</v>
      </c>
      <c r="AD4135" t="s">
        <v>2288</v>
      </c>
      <c r="AG4135" t="s">
        <v>49</v>
      </c>
      <c r="AL4135" t="s">
        <v>49</v>
      </c>
      <c r="AM4135" t="s">
        <v>2563</v>
      </c>
      <c r="AN4135" t="s">
        <v>166</v>
      </c>
      <c r="AP4135" t="s">
        <v>49</v>
      </c>
    </row>
    <row r="4136" spans="1:42" x14ac:dyDescent="0.2">
      <c r="A4136" t="s">
        <v>2145</v>
      </c>
      <c r="B4136" t="s">
        <v>1968</v>
      </c>
      <c r="C4136">
        <v>2005</v>
      </c>
      <c r="H4136" t="s">
        <v>350</v>
      </c>
      <c r="I4136" t="s">
        <v>2550</v>
      </c>
      <c r="L4136">
        <v>1.82</v>
      </c>
      <c r="M4136">
        <f t="shared" si="98"/>
        <v>1.44</v>
      </c>
      <c r="N4136" t="s">
        <v>127</v>
      </c>
      <c r="O4136" t="s">
        <v>2177</v>
      </c>
      <c r="P4136" t="s">
        <v>2551</v>
      </c>
      <c r="Q4136" t="s">
        <v>2281</v>
      </c>
      <c r="R4136" t="s">
        <v>2291</v>
      </c>
      <c r="S4136" t="s">
        <v>2291</v>
      </c>
      <c r="X4136" t="s">
        <v>642</v>
      </c>
      <c r="Y4136" t="s">
        <v>2279</v>
      </c>
      <c r="Z4136" t="s">
        <v>2280</v>
      </c>
      <c r="AA4136" t="s">
        <v>2358</v>
      </c>
      <c r="AB4136" t="s">
        <v>2580</v>
      </c>
      <c r="AC4136" t="s">
        <v>152</v>
      </c>
      <c r="AD4136" t="s">
        <v>2278</v>
      </c>
      <c r="AG4136" t="s">
        <v>49</v>
      </c>
      <c r="AL4136" t="s">
        <v>49</v>
      </c>
      <c r="AM4136" t="s">
        <v>2558</v>
      </c>
      <c r="AN4136" t="s">
        <v>166</v>
      </c>
      <c r="AP4136" t="s">
        <v>51</v>
      </c>
    </row>
    <row r="4137" spans="1:42" x14ac:dyDescent="0.2">
      <c r="A4137" t="s">
        <v>2145</v>
      </c>
      <c r="B4137" t="s">
        <v>1968</v>
      </c>
      <c r="C4137">
        <v>2005</v>
      </c>
      <c r="H4137" t="s">
        <v>350</v>
      </c>
      <c r="I4137" t="s">
        <v>2550</v>
      </c>
      <c r="L4137">
        <v>1.82</v>
      </c>
      <c r="M4137">
        <f t="shared" si="98"/>
        <v>1.44</v>
      </c>
      <c r="N4137" t="s">
        <v>127</v>
      </c>
      <c r="O4137" t="s">
        <v>405</v>
      </c>
      <c r="P4137" t="s">
        <v>1972</v>
      </c>
      <c r="Q4137" t="s">
        <v>2281</v>
      </c>
      <c r="R4137" t="s">
        <v>2291</v>
      </c>
      <c r="S4137" t="s">
        <v>2291</v>
      </c>
      <c r="X4137" t="s">
        <v>189</v>
      </c>
      <c r="Y4137" t="s">
        <v>2279</v>
      </c>
      <c r="Z4137" t="s">
        <v>2280</v>
      </c>
      <c r="AA4137" t="s">
        <v>2358</v>
      </c>
      <c r="AB4137" t="s">
        <v>189</v>
      </c>
      <c r="AC4137" t="s">
        <v>152</v>
      </c>
      <c r="AD4137" t="s">
        <v>2278</v>
      </c>
      <c r="AG4137" t="s">
        <v>49</v>
      </c>
      <c r="AL4137" t="s">
        <v>49</v>
      </c>
      <c r="AM4137" t="s">
        <v>2558</v>
      </c>
      <c r="AN4137" t="s">
        <v>166</v>
      </c>
      <c r="AP4137" t="s">
        <v>51</v>
      </c>
    </row>
    <row r="4138" spans="1:42" x14ac:dyDescent="0.2">
      <c r="A4138" t="s">
        <v>2145</v>
      </c>
      <c r="B4138" t="s">
        <v>1968</v>
      </c>
      <c r="C4138">
        <v>2005</v>
      </c>
      <c r="H4138" t="s">
        <v>350</v>
      </c>
      <c r="I4138" t="s">
        <v>2550</v>
      </c>
      <c r="L4138">
        <v>1.82</v>
      </c>
      <c r="M4138">
        <f t="shared" si="98"/>
        <v>1.44</v>
      </c>
      <c r="N4138" t="s">
        <v>127</v>
      </c>
      <c r="O4138" t="s">
        <v>405</v>
      </c>
      <c r="P4138" t="s">
        <v>1972</v>
      </c>
      <c r="Q4138" t="s">
        <v>2281</v>
      </c>
      <c r="R4138" t="s">
        <v>2291</v>
      </c>
      <c r="S4138" t="s">
        <v>2291</v>
      </c>
      <c r="X4138" t="s">
        <v>150</v>
      </c>
      <c r="Y4138" t="s">
        <v>2273</v>
      </c>
      <c r="Z4138" t="s">
        <v>249</v>
      </c>
      <c r="AA4138" t="s">
        <v>2359</v>
      </c>
      <c r="AB4138" t="s">
        <v>1419</v>
      </c>
      <c r="AC4138" t="s">
        <v>152</v>
      </c>
      <c r="AD4138" t="s">
        <v>2288</v>
      </c>
      <c r="AG4138" t="s">
        <v>49</v>
      </c>
      <c r="AL4138" t="s">
        <v>49</v>
      </c>
      <c r="AM4138" t="s">
        <v>2558</v>
      </c>
      <c r="AN4138" t="s">
        <v>166</v>
      </c>
      <c r="AP4138" t="s">
        <v>49</v>
      </c>
    </row>
    <row r="4139" spans="1:42" x14ac:dyDescent="0.2">
      <c r="A4139" t="s">
        <v>2145</v>
      </c>
      <c r="B4139" t="s">
        <v>1968</v>
      </c>
      <c r="C4139">
        <v>2005</v>
      </c>
      <c r="H4139" t="s">
        <v>350</v>
      </c>
      <c r="I4139" t="s">
        <v>2550</v>
      </c>
      <c r="L4139">
        <v>1.82</v>
      </c>
      <c r="M4139">
        <f t="shared" si="98"/>
        <v>1.44</v>
      </c>
      <c r="N4139" t="s">
        <v>127</v>
      </c>
      <c r="O4139" t="s">
        <v>2177</v>
      </c>
      <c r="P4139" t="s">
        <v>2551</v>
      </c>
      <c r="Q4139" t="s">
        <v>2281</v>
      </c>
      <c r="R4139" t="s">
        <v>2291</v>
      </c>
      <c r="S4139" t="s">
        <v>2291</v>
      </c>
      <c r="X4139" t="s">
        <v>642</v>
      </c>
      <c r="Y4139" t="s">
        <v>2279</v>
      </c>
      <c r="Z4139" t="s">
        <v>2280</v>
      </c>
      <c r="AA4139" t="s">
        <v>2358</v>
      </c>
      <c r="AB4139" t="s">
        <v>2580</v>
      </c>
      <c r="AC4139" t="s">
        <v>152</v>
      </c>
      <c r="AD4139" t="s">
        <v>2278</v>
      </c>
      <c r="AG4139" t="s">
        <v>49</v>
      </c>
      <c r="AL4139" t="s">
        <v>49</v>
      </c>
      <c r="AM4139" t="s">
        <v>2243</v>
      </c>
      <c r="AN4139" t="s">
        <v>166</v>
      </c>
      <c r="AP4139" t="s">
        <v>51</v>
      </c>
    </row>
    <row r="4140" spans="1:42" x14ac:dyDescent="0.2">
      <c r="A4140" t="s">
        <v>2145</v>
      </c>
      <c r="B4140" t="s">
        <v>1968</v>
      </c>
      <c r="C4140">
        <v>2005</v>
      </c>
      <c r="H4140" t="s">
        <v>350</v>
      </c>
      <c r="I4140" t="s">
        <v>2550</v>
      </c>
      <c r="L4140">
        <v>1.82</v>
      </c>
      <c r="M4140">
        <f t="shared" si="98"/>
        <v>1.44</v>
      </c>
      <c r="N4140" t="s">
        <v>127</v>
      </c>
      <c r="O4140" t="s">
        <v>405</v>
      </c>
      <c r="P4140" t="s">
        <v>1972</v>
      </c>
      <c r="Q4140" t="s">
        <v>2281</v>
      </c>
      <c r="R4140" t="s">
        <v>2291</v>
      </c>
      <c r="S4140" t="s">
        <v>2291</v>
      </c>
      <c r="X4140" t="s">
        <v>189</v>
      </c>
      <c r="Y4140" t="s">
        <v>2279</v>
      </c>
      <c r="Z4140" t="s">
        <v>2280</v>
      </c>
      <c r="AA4140" t="s">
        <v>2358</v>
      </c>
      <c r="AB4140" t="s">
        <v>189</v>
      </c>
      <c r="AC4140" t="s">
        <v>152</v>
      </c>
      <c r="AD4140" t="s">
        <v>2278</v>
      </c>
      <c r="AG4140" t="s">
        <v>49</v>
      </c>
      <c r="AL4140" t="s">
        <v>49</v>
      </c>
      <c r="AM4140" t="s">
        <v>2243</v>
      </c>
      <c r="AN4140" t="s">
        <v>166</v>
      </c>
      <c r="AP4140" t="s">
        <v>51</v>
      </c>
    </row>
    <row r="4141" spans="1:42" x14ac:dyDescent="0.2">
      <c r="A4141" t="s">
        <v>2145</v>
      </c>
      <c r="B4141" t="s">
        <v>1968</v>
      </c>
      <c r="C4141">
        <v>2005</v>
      </c>
      <c r="H4141" t="s">
        <v>350</v>
      </c>
      <c r="I4141" t="s">
        <v>2550</v>
      </c>
      <c r="L4141">
        <v>1.82</v>
      </c>
      <c r="M4141">
        <f t="shared" si="98"/>
        <v>1.44</v>
      </c>
      <c r="N4141" t="s">
        <v>127</v>
      </c>
      <c r="O4141" t="s">
        <v>405</v>
      </c>
      <c r="P4141" t="s">
        <v>1972</v>
      </c>
      <c r="Q4141" t="s">
        <v>2281</v>
      </c>
      <c r="R4141" t="s">
        <v>2291</v>
      </c>
      <c r="S4141" t="s">
        <v>2291</v>
      </c>
      <c r="X4141" t="s">
        <v>150</v>
      </c>
      <c r="Y4141" t="s">
        <v>2273</v>
      </c>
      <c r="Z4141" t="s">
        <v>249</v>
      </c>
      <c r="AA4141" t="s">
        <v>2359</v>
      </c>
      <c r="AB4141" t="s">
        <v>1419</v>
      </c>
      <c r="AC4141" t="s">
        <v>152</v>
      </c>
      <c r="AD4141" t="s">
        <v>2288</v>
      </c>
      <c r="AG4141" t="s">
        <v>49</v>
      </c>
      <c r="AL4141" t="s">
        <v>49</v>
      </c>
      <c r="AM4141" t="s">
        <v>2243</v>
      </c>
      <c r="AN4141" t="s">
        <v>166</v>
      </c>
      <c r="AP4141" t="s">
        <v>49</v>
      </c>
    </row>
    <row r="4142" spans="1:42" x14ac:dyDescent="0.2">
      <c r="A4142" t="s">
        <v>2145</v>
      </c>
      <c r="B4142" t="s">
        <v>1968</v>
      </c>
      <c r="C4142">
        <v>2005</v>
      </c>
      <c r="H4142" t="s">
        <v>350</v>
      </c>
      <c r="I4142" t="s">
        <v>2550</v>
      </c>
      <c r="L4142">
        <v>1.82</v>
      </c>
      <c r="M4142">
        <f t="shared" si="98"/>
        <v>1.44</v>
      </c>
      <c r="N4142" t="s">
        <v>127</v>
      </c>
      <c r="O4142" t="s">
        <v>2177</v>
      </c>
      <c r="P4142" t="s">
        <v>2551</v>
      </c>
      <c r="Q4142" t="s">
        <v>2281</v>
      </c>
      <c r="R4142" t="s">
        <v>2291</v>
      </c>
      <c r="S4142" t="s">
        <v>2291</v>
      </c>
      <c r="X4142" t="s">
        <v>642</v>
      </c>
      <c r="Y4142" t="s">
        <v>2279</v>
      </c>
      <c r="Z4142" t="s">
        <v>2280</v>
      </c>
      <c r="AA4142" t="s">
        <v>2358</v>
      </c>
      <c r="AB4142" t="s">
        <v>2580</v>
      </c>
      <c r="AC4142" t="s">
        <v>152</v>
      </c>
      <c r="AD4142" t="s">
        <v>2278</v>
      </c>
      <c r="AF4142" t="s">
        <v>49</v>
      </c>
      <c r="AG4142" t="s">
        <v>49</v>
      </c>
      <c r="AK4142" t="s">
        <v>49</v>
      </c>
      <c r="AM4142" t="s">
        <v>2567</v>
      </c>
      <c r="AN4142" t="s">
        <v>166</v>
      </c>
      <c r="AP4142" t="s">
        <v>51</v>
      </c>
    </row>
    <row r="4143" spans="1:42" x14ac:dyDescent="0.2">
      <c r="A4143" t="s">
        <v>2145</v>
      </c>
      <c r="B4143" t="s">
        <v>1968</v>
      </c>
      <c r="C4143">
        <v>2005</v>
      </c>
      <c r="H4143" t="s">
        <v>350</v>
      </c>
      <c r="I4143" t="s">
        <v>2550</v>
      </c>
      <c r="L4143">
        <v>1.82</v>
      </c>
      <c r="M4143">
        <f t="shared" si="98"/>
        <v>1.44</v>
      </c>
      <c r="N4143" t="s">
        <v>127</v>
      </c>
      <c r="O4143" t="s">
        <v>405</v>
      </c>
      <c r="P4143" t="s">
        <v>1972</v>
      </c>
      <c r="Q4143" t="s">
        <v>2281</v>
      </c>
      <c r="R4143" t="s">
        <v>2291</v>
      </c>
      <c r="S4143" t="s">
        <v>2291</v>
      </c>
      <c r="X4143" t="s">
        <v>189</v>
      </c>
      <c r="Y4143" t="s">
        <v>2279</v>
      </c>
      <c r="Z4143" t="s">
        <v>2280</v>
      </c>
      <c r="AA4143" t="s">
        <v>2358</v>
      </c>
      <c r="AB4143" t="s">
        <v>189</v>
      </c>
      <c r="AC4143" t="s">
        <v>152</v>
      </c>
      <c r="AD4143" t="s">
        <v>2278</v>
      </c>
      <c r="AF4143" t="s">
        <v>49</v>
      </c>
      <c r="AG4143" t="s">
        <v>49</v>
      </c>
      <c r="AK4143" t="s">
        <v>49</v>
      </c>
      <c r="AM4143" t="s">
        <v>2567</v>
      </c>
      <c r="AN4143" t="s">
        <v>166</v>
      </c>
      <c r="AP4143" t="s">
        <v>51</v>
      </c>
    </row>
    <row r="4144" spans="1:42" x14ac:dyDescent="0.2">
      <c r="A4144" t="s">
        <v>2145</v>
      </c>
      <c r="B4144" t="s">
        <v>1968</v>
      </c>
      <c r="C4144">
        <v>2005</v>
      </c>
      <c r="H4144" t="s">
        <v>350</v>
      </c>
      <c r="I4144" t="s">
        <v>2550</v>
      </c>
      <c r="L4144">
        <v>1.82</v>
      </c>
      <c r="M4144">
        <f t="shared" si="98"/>
        <v>1.44</v>
      </c>
      <c r="N4144" t="s">
        <v>127</v>
      </c>
      <c r="O4144" t="s">
        <v>405</v>
      </c>
      <c r="P4144" t="s">
        <v>1972</v>
      </c>
      <c r="Q4144" t="s">
        <v>2281</v>
      </c>
      <c r="R4144" t="s">
        <v>2291</v>
      </c>
      <c r="S4144" t="s">
        <v>2291</v>
      </c>
      <c r="X4144" t="s">
        <v>150</v>
      </c>
      <c r="Y4144" t="s">
        <v>2273</v>
      </c>
      <c r="Z4144" t="s">
        <v>249</v>
      </c>
      <c r="AA4144" t="s">
        <v>2359</v>
      </c>
      <c r="AB4144" t="s">
        <v>1419</v>
      </c>
      <c r="AC4144" t="s">
        <v>152</v>
      </c>
      <c r="AD4144" t="s">
        <v>2288</v>
      </c>
      <c r="AF4144" t="s">
        <v>49</v>
      </c>
      <c r="AG4144" t="s">
        <v>49</v>
      </c>
      <c r="AK4144" t="s">
        <v>49</v>
      </c>
      <c r="AM4144" t="s">
        <v>2567</v>
      </c>
      <c r="AN4144" t="s">
        <v>166</v>
      </c>
      <c r="AP4144" t="s">
        <v>51</v>
      </c>
    </row>
    <row r="4145" spans="1:45" x14ac:dyDescent="0.2">
      <c r="A4145" t="s">
        <v>2145</v>
      </c>
      <c r="B4145" t="s">
        <v>1968</v>
      </c>
      <c r="C4145">
        <v>2005</v>
      </c>
      <c r="H4145" t="s">
        <v>350</v>
      </c>
      <c r="I4145" t="s">
        <v>2550</v>
      </c>
      <c r="L4145">
        <v>1.82</v>
      </c>
      <c r="M4145">
        <f t="shared" si="98"/>
        <v>1.44</v>
      </c>
      <c r="N4145" t="s">
        <v>127</v>
      </c>
      <c r="O4145" t="s">
        <v>2177</v>
      </c>
      <c r="P4145" t="s">
        <v>2551</v>
      </c>
      <c r="Q4145" t="s">
        <v>2281</v>
      </c>
      <c r="R4145" t="s">
        <v>2291</v>
      </c>
      <c r="S4145" t="s">
        <v>2291</v>
      </c>
      <c r="X4145" t="s">
        <v>642</v>
      </c>
      <c r="Y4145" t="s">
        <v>2279</v>
      </c>
      <c r="Z4145" t="s">
        <v>2280</v>
      </c>
      <c r="AA4145" t="s">
        <v>2358</v>
      </c>
      <c r="AB4145" t="s">
        <v>2580</v>
      </c>
      <c r="AC4145" t="s">
        <v>152</v>
      </c>
      <c r="AD4145" t="s">
        <v>2278</v>
      </c>
      <c r="AF4145" t="s">
        <v>49</v>
      </c>
      <c r="AG4145" t="s">
        <v>49</v>
      </c>
      <c r="AK4145" t="s">
        <v>49</v>
      </c>
      <c r="AM4145" t="s">
        <v>2568</v>
      </c>
      <c r="AN4145" t="s">
        <v>166</v>
      </c>
      <c r="AP4145" t="s">
        <v>49</v>
      </c>
    </row>
    <row r="4146" spans="1:45" x14ac:dyDescent="0.2">
      <c r="A4146" t="s">
        <v>2145</v>
      </c>
      <c r="B4146" t="s">
        <v>1968</v>
      </c>
      <c r="C4146">
        <v>2005</v>
      </c>
      <c r="H4146" t="s">
        <v>350</v>
      </c>
      <c r="I4146" t="s">
        <v>2550</v>
      </c>
      <c r="L4146">
        <v>1.82</v>
      </c>
      <c r="M4146">
        <f t="shared" si="98"/>
        <v>1.44</v>
      </c>
      <c r="N4146" t="s">
        <v>127</v>
      </c>
      <c r="O4146" t="s">
        <v>405</v>
      </c>
      <c r="P4146" t="s">
        <v>1972</v>
      </c>
      <c r="Q4146" t="s">
        <v>2281</v>
      </c>
      <c r="R4146" t="s">
        <v>2291</v>
      </c>
      <c r="S4146" t="s">
        <v>2291</v>
      </c>
      <c r="X4146" t="s">
        <v>189</v>
      </c>
      <c r="Y4146" t="s">
        <v>2279</v>
      </c>
      <c r="Z4146" t="s">
        <v>2280</v>
      </c>
      <c r="AA4146" t="s">
        <v>2358</v>
      </c>
      <c r="AB4146" t="s">
        <v>189</v>
      </c>
      <c r="AC4146" t="s">
        <v>152</v>
      </c>
      <c r="AD4146" t="s">
        <v>2278</v>
      </c>
      <c r="AF4146" t="s">
        <v>49</v>
      </c>
      <c r="AG4146" t="s">
        <v>49</v>
      </c>
      <c r="AK4146" t="s">
        <v>49</v>
      </c>
      <c r="AM4146" t="s">
        <v>2568</v>
      </c>
      <c r="AN4146" t="s">
        <v>166</v>
      </c>
      <c r="AP4146" t="s">
        <v>51</v>
      </c>
    </row>
    <row r="4147" spans="1:45" x14ac:dyDescent="0.2">
      <c r="A4147" t="s">
        <v>2145</v>
      </c>
      <c r="B4147" t="s">
        <v>1968</v>
      </c>
      <c r="C4147">
        <v>2005</v>
      </c>
      <c r="H4147" t="s">
        <v>350</v>
      </c>
      <c r="I4147" t="s">
        <v>2550</v>
      </c>
      <c r="L4147">
        <v>1.82</v>
      </c>
      <c r="M4147">
        <f t="shared" si="98"/>
        <v>1.44</v>
      </c>
      <c r="N4147" t="s">
        <v>127</v>
      </c>
      <c r="O4147" t="s">
        <v>405</v>
      </c>
      <c r="P4147" t="s">
        <v>1972</v>
      </c>
      <c r="Q4147" t="s">
        <v>2281</v>
      </c>
      <c r="R4147" t="s">
        <v>2291</v>
      </c>
      <c r="S4147" t="s">
        <v>2291</v>
      </c>
      <c r="X4147" t="s">
        <v>150</v>
      </c>
      <c r="Y4147" t="s">
        <v>2273</v>
      </c>
      <c r="Z4147" t="s">
        <v>249</v>
      </c>
      <c r="AA4147" t="s">
        <v>2359</v>
      </c>
      <c r="AB4147" t="s">
        <v>1419</v>
      </c>
      <c r="AC4147" t="s">
        <v>152</v>
      </c>
      <c r="AD4147" t="s">
        <v>2288</v>
      </c>
      <c r="AF4147" t="s">
        <v>49</v>
      </c>
      <c r="AG4147" t="s">
        <v>49</v>
      </c>
      <c r="AK4147" t="s">
        <v>49</v>
      </c>
      <c r="AM4147" t="s">
        <v>2568</v>
      </c>
      <c r="AN4147" t="s">
        <v>166</v>
      </c>
      <c r="AP4147" t="s">
        <v>51</v>
      </c>
    </row>
    <row r="4148" spans="1:45" x14ac:dyDescent="0.2">
      <c r="A4148" t="s">
        <v>2145</v>
      </c>
      <c r="B4148" t="s">
        <v>1968</v>
      </c>
      <c r="C4148">
        <v>2005</v>
      </c>
      <c r="H4148" t="s">
        <v>350</v>
      </c>
      <c r="I4148" t="s">
        <v>2550</v>
      </c>
      <c r="L4148">
        <v>1.82</v>
      </c>
      <c r="M4148">
        <f t="shared" si="98"/>
        <v>1.44</v>
      </c>
      <c r="N4148" t="s">
        <v>127</v>
      </c>
      <c r="O4148" t="s">
        <v>2177</v>
      </c>
      <c r="P4148" t="s">
        <v>2551</v>
      </c>
      <c r="Q4148" t="s">
        <v>2281</v>
      </c>
      <c r="R4148" t="s">
        <v>2291</v>
      </c>
      <c r="S4148" t="s">
        <v>2291</v>
      </c>
      <c r="X4148" t="s">
        <v>642</v>
      </c>
      <c r="Y4148" t="s">
        <v>2279</v>
      </c>
      <c r="Z4148" t="s">
        <v>2280</v>
      </c>
      <c r="AA4148" t="s">
        <v>2358</v>
      </c>
      <c r="AB4148" t="s">
        <v>2580</v>
      </c>
      <c r="AC4148" t="s">
        <v>152</v>
      </c>
      <c r="AD4148" t="s">
        <v>2278</v>
      </c>
      <c r="AF4148" t="s">
        <v>49</v>
      </c>
      <c r="AL4148" t="s">
        <v>49</v>
      </c>
      <c r="AM4148" t="s">
        <v>2189</v>
      </c>
      <c r="AN4148" t="s">
        <v>166</v>
      </c>
      <c r="AP4148" t="s">
        <v>51</v>
      </c>
    </row>
    <row r="4149" spans="1:45" x14ac:dyDescent="0.2">
      <c r="A4149" t="s">
        <v>2145</v>
      </c>
      <c r="B4149" t="s">
        <v>1968</v>
      </c>
      <c r="C4149">
        <v>2005</v>
      </c>
      <c r="H4149" t="s">
        <v>350</v>
      </c>
      <c r="I4149" t="s">
        <v>2550</v>
      </c>
      <c r="L4149">
        <v>1.82</v>
      </c>
      <c r="M4149">
        <f t="shared" si="98"/>
        <v>1.44</v>
      </c>
      <c r="N4149" t="s">
        <v>127</v>
      </c>
      <c r="O4149" t="s">
        <v>405</v>
      </c>
      <c r="P4149" t="s">
        <v>1972</v>
      </c>
      <c r="Q4149" t="s">
        <v>2281</v>
      </c>
      <c r="R4149" t="s">
        <v>2291</v>
      </c>
      <c r="S4149" t="s">
        <v>2291</v>
      </c>
      <c r="X4149" t="s">
        <v>189</v>
      </c>
      <c r="Y4149" t="s">
        <v>2279</v>
      </c>
      <c r="Z4149" t="s">
        <v>2280</v>
      </c>
      <c r="AA4149" t="s">
        <v>2358</v>
      </c>
      <c r="AB4149" t="s">
        <v>189</v>
      </c>
      <c r="AC4149" t="s">
        <v>152</v>
      </c>
      <c r="AD4149" t="s">
        <v>2278</v>
      </c>
      <c r="AF4149" t="s">
        <v>49</v>
      </c>
      <c r="AL4149" t="s">
        <v>49</v>
      </c>
      <c r="AM4149" t="s">
        <v>2189</v>
      </c>
      <c r="AN4149" t="s">
        <v>166</v>
      </c>
      <c r="AP4149" t="s">
        <v>51</v>
      </c>
    </row>
    <row r="4150" spans="1:45" x14ac:dyDescent="0.2">
      <c r="A4150" t="s">
        <v>2145</v>
      </c>
      <c r="B4150" t="s">
        <v>1968</v>
      </c>
      <c r="C4150">
        <v>2005</v>
      </c>
      <c r="H4150" t="s">
        <v>350</v>
      </c>
      <c r="I4150" t="s">
        <v>2550</v>
      </c>
      <c r="L4150">
        <v>1.82</v>
      </c>
      <c r="M4150">
        <f t="shared" si="98"/>
        <v>1.44</v>
      </c>
      <c r="N4150" t="s">
        <v>127</v>
      </c>
      <c r="O4150" t="s">
        <v>405</v>
      </c>
      <c r="P4150" t="s">
        <v>1972</v>
      </c>
      <c r="Q4150" t="s">
        <v>2281</v>
      </c>
      <c r="R4150" t="s">
        <v>2291</v>
      </c>
      <c r="S4150" t="s">
        <v>2291</v>
      </c>
      <c r="X4150" t="s">
        <v>150</v>
      </c>
      <c r="Y4150" t="s">
        <v>2273</v>
      </c>
      <c r="Z4150" t="s">
        <v>249</v>
      </c>
      <c r="AA4150" t="s">
        <v>2359</v>
      </c>
      <c r="AB4150" t="s">
        <v>1419</v>
      </c>
      <c r="AC4150" t="s">
        <v>152</v>
      </c>
      <c r="AD4150" t="s">
        <v>2288</v>
      </c>
      <c r="AF4150" t="s">
        <v>49</v>
      </c>
      <c r="AL4150" t="s">
        <v>49</v>
      </c>
      <c r="AM4150" t="s">
        <v>2189</v>
      </c>
      <c r="AN4150" t="s">
        <v>166</v>
      </c>
      <c r="AP4150" t="s">
        <v>49</v>
      </c>
    </row>
    <row r="4151" spans="1:45" x14ac:dyDescent="0.2">
      <c r="A4151" t="s">
        <v>2145</v>
      </c>
      <c r="B4151" t="s">
        <v>1968</v>
      </c>
      <c r="C4151">
        <v>2005</v>
      </c>
      <c r="H4151" t="s">
        <v>350</v>
      </c>
      <c r="I4151" t="s">
        <v>2550</v>
      </c>
      <c r="L4151">
        <v>1.82</v>
      </c>
      <c r="M4151">
        <f t="shared" si="98"/>
        <v>1.44</v>
      </c>
      <c r="N4151" t="s">
        <v>127</v>
      </c>
      <c r="O4151" t="s">
        <v>2177</v>
      </c>
      <c r="P4151" t="s">
        <v>2551</v>
      </c>
      <c r="Q4151" t="s">
        <v>2281</v>
      </c>
      <c r="R4151" t="s">
        <v>2291</v>
      </c>
      <c r="S4151" t="s">
        <v>2291</v>
      </c>
      <c r="X4151" t="s">
        <v>642</v>
      </c>
      <c r="Y4151" t="s">
        <v>2279</v>
      </c>
      <c r="Z4151" t="s">
        <v>2280</v>
      </c>
      <c r="AA4151" t="s">
        <v>2358</v>
      </c>
      <c r="AB4151" t="s">
        <v>2580</v>
      </c>
      <c r="AC4151" t="s">
        <v>152</v>
      </c>
      <c r="AD4151" t="s">
        <v>2278</v>
      </c>
      <c r="AF4151" t="s">
        <v>49</v>
      </c>
      <c r="AL4151" t="s">
        <v>49</v>
      </c>
      <c r="AM4151" t="s">
        <v>2570</v>
      </c>
      <c r="AN4151" t="s">
        <v>166</v>
      </c>
      <c r="AP4151" t="s">
        <v>49</v>
      </c>
    </row>
    <row r="4152" spans="1:45" x14ac:dyDescent="0.2">
      <c r="A4152" t="s">
        <v>2145</v>
      </c>
      <c r="B4152" t="s">
        <v>1968</v>
      </c>
      <c r="C4152">
        <v>2005</v>
      </c>
      <c r="H4152" t="s">
        <v>350</v>
      </c>
      <c r="I4152" t="s">
        <v>2550</v>
      </c>
      <c r="L4152">
        <v>1.82</v>
      </c>
      <c r="M4152">
        <f t="shared" si="98"/>
        <v>1.44</v>
      </c>
      <c r="N4152" t="s">
        <v>127</v>
      </c>
      <c r="O4152" t="s">
        <v>405</v>
      </c>
      <c r="P4152" t="s">
        <v>1972</v>
      </c>
      <c r="Q4152" t="s">
        <v>2281</v>
      </c>
      <c r="R4152" t="s">
        <v>2291</v>
      </c>
      <c r="S4152" t="s">
        <v>2291</v>
      </c>
      <c r="X4152" t="s">
        <v>189</v>
      </c>
      <c r="Y4152" t="s">
        <v>2279</v>
      </c>
      <c r="Z4152" t="s">
        <v>2280</v>
      </c>
      <c r="AA4152" t="s">
        <v>2358</v>
      </c>
      <c r="AB4152" t="s">
        <v>189</v>
      </c>
      <c r="AC4152" t="s">
        <v>152</v>
      </c>
      <c r="AD4152" t="s">
        <v>2278</v>
      </c>
      <c r="AF4152" t="s">
        <v>49</v>
      </c>
      <c r="AL4152" t="s">
        <v>49</v>
      </c>
      <c r="AM4152" t="s">
        <v>2570</v>
      </c>
      <c r="AN4152" t="s">
        <v>166</v>
      </c>
      <c r="AP4152" t="s">
        <v>51</v>
      </c>
    </row>
    <row r="4153" spans="1:45" x14ac:dyDescent="0.2">
      <c r="A4153" t="s">
        <v>2145</v>
      </c>
      <c r="B4153" t="s">
        <v>1968</v>
      </c>
      <c r="C4153">
        <v>2005</v>
      </c>
      <c r="H4153" t="s">
        <v>350</v>
      </c>
      <c r="I4153" t="s">
        <v>2550</v>
      </c>
      <c r="L4153">
        <v>1.82</v>
      </c>
      <c r="M4153">
        <f t="shared" si="98"/>
        <v>1.44</v>
      </c>
      <c r="N4153" t="s">
        <v>127</v>
      </c>
      <c r="O4153" t="s">
        <v>405</v>
      </c>
      <c r="P4153" t="s">
        <v>1972</v>
      </c>
      <c r="Q4153" t="s">
        <v>2281</v>
      </c>
      <c r="R4153" t="s">
        <v>2291</v>
      </c>
      <c r="S4153" t="s">
        <v>2291</v>
      </c>
      <c r="X4153" t="s">
        <v>150</v>
      </c>
      <c r="Y4153" t="s">
        <v>2273</v>
      </c>
      <c r="Z4153" t="s">
        <v>249</v>
      </c>
      <c r="AA4153" t="s">
        <v>2359</v>
      </c>
      <c r="AB4153" t="s">
        <v>1419</v>
      </c>
      <c r="AC4153" t="s">
        <v>152</v>
      </c>
      <c r="AD4153" t="s">
        <v>2288</v>
      </c>
      <c r="AF4153" t="s">
        <v>49</v>
      </c>
      <c r="AL4153" t="s">
        <v>49</v>
      </c>
      <c r="AM4153" t="s">
        <v>2570</v>
      </c>
      <c r="AN4153" t="s">
        <v>166</v>
      </c>
      <c r="AP4153" t="s">
        <v>51</v>
      </c>
    </row>
    <row r="4154" spans="1:45" x14ac:dyDescent="0.2">
      <c r="A4154" t="s">
        <v>2146</v>
      </c>
      <c r="B4154" t="s">
        <v>2018</v>
      </c>
      <c r="C4154">
        <v>2005</v>
      </c>
      <c r="D4154" t="s">
        <v>44</v>
      </c>
      <c r="F4154" t="s">
        <v>82</v>
      </c>
      <c r="G4154" t="s">
        <v>86</v>
      </c>
      <c r="H4154" t="s">
        <v>350</v>
      </c>
      <c r="I4154" t="s">
        <v>2147</v>
      </c>
      <c r="J4154">
        <v>3</v>
      </c>
      <c r="K4154" t="s">
        <v>42</v>
      </c>
      <c r="L4154">
        <v>4.5</v>
      </c>
      <c r="N4154" t="s">
        <v>127</v>
      </c>
      <c r="O4154" t="s">
        <v>337</v>
      </c>
      <c r="P4154" t="s">
        <v>604</v>
      </c>
      <c r="Q4154" s="1" t="s">
        <v>2281</v>
      </c>
      <c r="R4154" s="1" t="s">
        <v>122</v>
      </c>
      <c r="S4154" s="1" t="s">
        <v>2293</v>
      </c>
      <c r="Y4154" t="s">
        <v>2272</v>
      </c>
      <c r="Z4154" t="s">
        <v>2272</v>
      </c>
      <c r="AA4154" t="s">
        <v>2272</v>
      </c>
      <c r="AB4154" t="s">
        <v>2272</v>
      </c>
      <c r="AD4154" t="s">
        <v>2272</v>
      </c>
      <c r="AR4154" t="s">
        <v>144</v>
      </c>
      <c r="AS4154" t="s">
        <v>2585</v>
      </c>
    </row>
    <row r="4155" spans="1:45" x14ac:dyDescent="0.2">
      <c r="A4155" t="s">
        <v>2148</v>
      </c>
      <c r="B4155" t="s">
        <v>1664</v>
      </c>
      <c r="C4155">
        <v>2005</v>
      </c>
      <c r="D4155" t="s">
        <v>44</v>
      </c>
      <c r="F4155" t="s">
        <v>2149</v>
      </c>
      <c r="G4155" t="s">
        <v>87</v>
      </c>
      <c r="H4155" t="s">
        <v>350</v>
      </c>
      <c r="I4155">
        <v>1998</v>
      </c>
      <c r="K4155" t="s">
        <v>101</v>
      </c>
      <c r="L4155">
        <v>12</v>
      </c>
      <c r="N4155" t="s">
        <v>122</v>
      </c>
      <c r="O4155" t="s">
        <v>2155</v>
      </c>
      <c r="Q4155" s="1" t="s">
        <v>2281</v>
      </c>
      <c r="R4155" s="1" t="s">
        <v>122</v>
      </c>
      <c r="S4155" s="1" t="s">
        <v>2294</v>
      </c>
      <c r="X4155" t="s">
        <v>502</v>
      </c>
      <c r="Y4155" t="s">
        <v>2279</v>
      </c>
      <c r="Z4155" t="s">
        <v>2280</v>
      </c>
      <c r="AA4155" t="s">
        <v>2358</v>
      </c>
      <c r="AB4155" t="s">
        <v>2459</v>
      </c>
      <c r="AC4155" t="s">
        <v>162</v>
      </c>
      <c r="AD4155" t="s">
        <v>2278</v>
      </c>
      <c r="AH4155" s="4" t="s">
        <v>49</v>
      </c>
      <c r="AK4155" t="s">
        <v>49</v>
      </c>
      <c r="AM4155" t="s">
        <v>2159</v>
      </c>
      <c r="AN4155" t="s">
        <v>165</v>
      </c>
      <c r="AP4155" t="s">
        <v>49</v>
      </c>
    </row>
    <row r="4156" spans="1:45" x14ac:dyDescent="0.2">
      <c r="A4156" t="s">
        <v>2148</v>
      </c>
      <c r="B4156" t="s">
        <v>1664</v>
      </c>
      <c r="C4156">
        <v>2005</v>
      </c>
      <c r="D4156" t="s">
        <v>44</v>
      </c>
      <c r="F4156" t="s">
        <v>2149</v>
      </c>
      <c r="G4156" t="s">
        <v>87</v>
      </c>
      <c r="H4156" t="s">
        <v>350</v>
      </c>
      <c r="I4156">
        <v>1998</v>
      </c>
      <c r="K4156" t="s">
        <v>101</v>
      </c>
      <c r="L4156">
        <v>12</v>
      </c>
      <c r="N4156" t="s">
        <v>121</v>
      </c>
      <c r="O4156" t="s">
        <v>121</v>
      </c>
      <c r="Q4156" s="1" t="s">
        <v>2292</v>
      </c>
      <c r="R4156" s="1" t="s">
        <v>264</v>
      </c>
      <c r="S4156" s="1" t="s">
        <v>264</v>
      </c>
      <c r="X4156" t="s">
        <v>211</v>
      </c>
      <c r="Y4156" t="s">
        <v>2279</v>
      </c>
      <c r="Z4156" t="s">
        <v>2280</v>
      </c>
      <c r="AA4156" t="s">
        <v>2358</v>
      </c>
      <c r="AB4156" t="s">
        <v>2290</v>
      </c>
      <c r="AC4156" t="s">
        <v>152</v>
      </c>
      <c r="AD4156" t="s">
        <v>2278</v>
      </c>
      <c r="AH4156" s="4" t="s">
        <v>49</v>
      </c>
      <c r="AK4156" t="s">
        <v>49</v>
      </c>
      <c r="AM4156" t="s">
        <v>2159</v>
      </c>
      <c r="AN4156" t="s">
        <v>165</v>
      </c>
      <c r="AP4156" t="s">
        <v>49</v>
      </c>
    </row>
    <row r="4157" spans="1:45" x14ac:dyDescent="0.2">
      <c r="A4157" t="s">
        <v>2148</v>
      </c>
      <c r="B4157" t="s">
        <v>1664</v>
      </c>
      <c r="C4157">
        <v>2005</v>
      </c>
      <c r="D4157" t="s">
        <v>44</v>
      </c>
      <c r="F4157" t="s">
        <v>2149</v>
      </c>
      <c r="G4157" t="s">
        <v>87</v>
      </c>
      <c r="H4157" t="s">
        <v>350</v>
      </c>
      <c r="I4157">
        <v>1998</v>
      </c>
      <c r="K4157" t="s">
        <v>101</v>
      </c>
      <c r="L4157">
        <v>12</v>
      </c>
      <c r="N4157" t="s">
        <v>128</v>
      </c>
      <c r="O4157" t="s">
        <v>755</v>
      </c>
      <c r="P4157" t="s">
        <v>2150</v>
      </c>
      <c r="Q4157" s="1" t="s">
        <v>2276</v>
      </c>
      <c r="R4157" s="1" t="s">
        <v>755</v>
      </c>
      <c r="S4157" s="1" t="s">
        <v>2352</v>
      </c>
      <c r="X4157" t="s">
        <v>211</v>
      </c>
      <c r="Y4157" t="s">
        <v>2279</v>
      </c>
      <c r="Z4157" t="s">
        <v>2280</v>
      </c>
      <c r="AA4157" t="s">
        <v>2358</v>
      </c>
      <c r="AB4157" t="s">
        <v>2290</v>
      </c>
      <c r="AC4157" t="s">
        <v>152</v>
      </c>
      <c r="AD4157" t="s">
        <v>2278</v>
      </c>
      <c r="AH4157" s="4" t="s">
        <v>49</v>
      </c>
      <c r="AK4157" t="s">
        <v>49</v>
      </c>
      <c r="AM4157" t="s">
        <v>2159</v>
      </c>
      <c r="AN4157" t="s">
        <v>165</v>
      </c>
      <c r="AP4157" t="s">
        <v>49</v>
      </c>
    </row>
    <row r="4158" spans="1:45" x14ac:dyDescent="0.2">
      <c r="A4158" t="s">
        <v>2148</v>
      </c>
      <c r="B4158" t="s">
        <v>1664</v>
      </c>
      <c r="C4158">
        <v>2005</v>
      </c>
      <c r="D4158" t="s">
        <v>44</v>
      </c>
      <c r="F4158" t="s">
        <v>2149</v>
      </c>
      <c r="G4158" t="s">
        <v>87</v>
      </c>
      <c r="H4158" t="s">
        <v>350</v>
      </c>
      <c r="I4158">
        <v>1998</v>
      </c>
      <c r="K4158" t="s">
        <v>101</v>
      </c>
      <c r="L4158">
        <v>12</v>
      </c>
      <c r="N4158" t="s">
        <v>128</v>
      </c>
      <c r="O4158" t="s">
        <v>669</v>
      </c>
      <c r="P4158" t="s">
        <v>2151</v>
      </c>
      <c r="Q4158" s="1" t="s">
        <v>2276</v>
      </c>
      <c r="R4158" s="1" t="s">
        <v>669</v>
      </c>
      <c r="S4158" s="1" t="s">
        <v>168</v>
      </c>
      <c r="X4158" t="s">
        <v>211</v>
      </c>
      <c r="Y4158" t="s">
        <v>2279</v>
      </c>
      <c r="Z4158" t="s">
        <v>2280</v>
      </c>
      <c r="AA4158" t="s">
        <v>2358</v>
      </c>
      <c r="AB4158" t="s">
        <v>2290</v>
      </c>
      <c r="AC4158" t="s">
        <v>152</v>
      </c>
      <c r="AD4158" t="s">
        <v>2278</v>
      </c>
      <c r="AH4158" s="4" t="s">
        <v>49</v>
      </c>
      <c r="AK4158" t="s">
        <v>49</v>
      </c>
      <c r="AM4158" t="s">
        <v>2159</v>
      </c>
      <c r="AN4158" t="s">
        <v>165</v>
      </c>
      <c r="AP4158" t="s">
        <v>49</v>
      </c>
    </row>
    <row r="4159" spans="1:45" x14ac:dyDescent="0.2">
      <c r="A4159" t="s">
        <v>2148</v>
      </c>
      <c r="B4159" t="s">
        <v>1664</v>
      </c>
      <c r="C4159">
        <v>2005</v>
      </c>
      <c r="D4159" t="s">
        <v>44</v>
      </c>
      <c r="F4159" t="s">
        <v>2149</v>
      </c>
      <c r="G4159" t="s">
        <v>87</v>
      </c>
      <c r="H4159" t="s">
        <v>350</v>
      </c>
      <c r="I4159">
        <v>1998</v>
      </c>
      <c r="K4159" t="s">
        <v>101</v>
      </c>
      <c r="L4159">
        <v>12</v>
      </c>
      <c r="N4159" t="s">
        <v>122</v>
      </c>
      <c r="O4159" t="s">
        <v>247</v>
      </c>
      <c r="P4159" t="s">
        <v>2152</v>
      </c>
      <c r="Q4159" s="1" t="s">
        <v>2281</v>
      </c>
      <c r="R4159" s="1" t="s">
        <v>122</v>
      </c>
      <c r="S4159" s="1" t="s">
        <v>2293</v>
      </c>
      <c r="X4159" t="s">
        <v>211</v>
      </c>
      <c r="Y4159" t="s">
        <v>2279</v>
      </c>
      <c r="Z4159" t="s">
        <v>2280</v>
      </c>
      <c r="AA4159" t="s">
        <v>2358</v>
      </c>
      <c r="AB4159" t="s">
        <v>2290</v>
      </c>
      <c r="AC4159" t="s">
        <v>152</v>
      </c>
      <c r="AD4159" t="s">
        <v>2278</v>
      </c>
      <c r="AH4159" s="4" t="s">
        <v>49</v>
      </c>
      <c r="AK4159" t="s">
        <v>49</v>
      </c>
      <c r="AM4159" t="s">
        <v>2159</v>
      </c>
      <c r="AN4159" t="s">
        <v>165</v>
      </c>
      <c r="AP4159" t="s">
        <v>49</v>
      </c>
    </row>
    <row r="4160" spans="1:45" x14ac:dyDescent="0.2">
      <c r="A4160" t="s">
        <v>2148</v>
      </c>
      <c r="B4160" t="s">
        <v>1664</v>
      </c>
      <c r="C4160">
        <v>2005</v>
      </c>
      <c r="D4160" t="s">
        <v>44</v>
      </c>
      <c r="F4160" t="s">
        <v>2149</v>
      </c>
      <c r="G4160" t="s">
        <v>87</v>
      </c>
      <c r="H4160" t="s">
        <v>350</v>
      </c>
      <c r="I4160">
        <v>1998</v>
      </c>
      <c r="K4160" t="s">
        <v>101</v>
      </c>
      <c r="L4160">
        <v>12</v>
      </c>
      <c r="N4160" t="s">
        <v>122</v>
      </c>
      <c r="O4160" t="s">
        <v>2153</v>
      </c>
      <c r="P4160" t="s">
        <v>2154</v>
      </c>
      <c r="Q4160" s="1" t="s">
        <v>2281</v>
      </c>
      <c r="R4160" s="1" t="s">
        <v>122</v>
      </c>
      <c r="S4160" s="1" t="s">
        <v>2294</v>
      </c>
      <c r="X4160" t="s">
        <v>211</v>
      </c>
      <c r="Y4160" t="s">
        <v>2279</v>
      </c>
      <c r="Z4160" t="s">
        <v>2280</v>
      </c>
      <c r="AA4160" t="s">
        <v>2358</v>
      </c>
      <c r="AB4160" t="s">
        <v>2290</v>
      </c>
      <c r="AC4160" t="s">
        <v>152</v>
      </c>
      <c r="AD4160" t="s">
        <v>2278</v>
      </c>
      <c r="AH4160" s="4" t="s">
        <v>49</v>
      </c>
      <c r="AK4160" t="s">
        <v>49</v>
      </c>
      <c r="AM4160" t="s">
        <v>2159</v>
      </c>
      <c r="AN4160" t="s">
        <v>165</v>
      </c>
      <c r="AP4160" t="s">
        <v>49</v>
      </c>
    </row>
    <row r="4161" spans="1:42" x14ac:dyDescent="0.2">
      <c r="A4161" t="s">
        <v>2148</v>
      </c>
      <c r="B4161" t="s">
        <v>1664</v>
      </c>
      <c r="C4161">
        <v>2005</v>
      </c>
      <c r="D4161" t="s">
        <v>44</v>
      </c>
      <c r="F4161" t="s">
        <v>2149</v>
      </c>
      <c r="G4161" t="s">
        <v>87</v>
      </c>
      <c r="H4161" t="s">
        <v>350</v>
      </c>
      <c r="I4161">
        <v>1998</v>
      </c>
      <c r="K4161" t="s">
        <v>101</v>
      </c>
      <c r="L4161">
        <v>12</v>
      </c>
      <c r="N4161" t="s">
        <v>122</v>
      </c>
      <c r="O4161" t="s">
        <v>2155</v>
      </c>
      <c r="Q4161" s="1" t="s">
        <v>2281</v>
      </c>
      <c r="R4161" s="1" t="s">
        <v>122</v>
      </c>
      <c r="S4161" s="1" t="s">
        <v>2294</v>
      </c>
      <c r="X4161" t="s">
        <v>211</v>
      </c>
      <c r="Y4161" t="s">
        <v>2279</v>
      </c>
      <c r="Z4161" t="s">
        <v>2280</v>
      </c>
      <c r="AA4161" t="s">
        <v>2358</v>
      </c>
      <c r="AB4161" t="s">
        <v>2290</v>
      </c>
      <c r="AC4161" t="s">
        <v>152</v>
      </c>
      <c r="AD4161" t="s">
        <v>2278</v>
      </c>
      <c r="AH4161" s="4" t="s">
        <v>49</v>
      </c>
      <c r="AK4161" t="s">
        <v>49</v>
      </c>
      <c r="AM4161" t="s">
        <v>2159</v>
      </c>
      <c r="AN4161" t="s">
        <v>165</v>
      </c>
      <c r="AP4161" t="s">
        <v>49</v>
      </c>
    </row>
    <row r="4162" spans="1:42" x14ac:dyDescent="0.2">
      <c r="A4162" t="s">
        <v>2148</v>
      </c>
      <c r="B4162" t="s">
        <v>1664</v>
      </c>
      <c r="C4162">
        <v>2005</v>
      </c>
      <c r="D4162" t="s">
        <v>44</v>
      </c>
      <c r="F4162" t="s">
        <v>2149</v>
      </c>
      <c r="G4162" t="s">
        <v>87</v>
      </c>
      <c r="H4162" t="s">
        <v>350</v>
      </c>
      <c r="I4162">
        <v>1998</v>
      </c>
      <c r="K4162" t="s">
        <v>101</v>
      </c>
      <c r="L4162">
        <v>12</v>
      </c>
      <c r="N4162" t="s">
        <v>122</v>
      </c>
      <c r="O4162" t="s">
        <v>2156</v>
      </c>
      <c r="P4162" t="s">
        <v>2157</v>
      </c>
      <c r="Q4162" s="1" t="s">
        <v>2281</v>
      </c>
      <c r="R4162" s="1" t="s">
        <v>122</v>
      </c>
      <c r="S4162" s="1" t="s">
        <v>2293</v>
      </c>
      <c r="X4162" t="s">
        <v>211</v>
      </c>
      <c r="Y4162" t="s">
        <v>2279</v>
      </c>
      <c r="Z4162" t="s">
        <v>2280</v>
      </c>
      <c r="AA4162" t="s">
        <v>2358</v>
      </c>
      <c r="AB4162" t="s">
        <v>2290</v>
      </c>
      <c r="AC4162" t="s">
        <v>152</v>
      </c>
      <c r="AD4162" t="s">
        <v>2278</v>
      </c>
      <c r="AH4162" s="4" t="s">
        <v>49</v>
      </c>
      <c r="AK4162" t="s">
        <v>49</v>
      </c>
      <c r="AM4162" t="s">
        <v>2159</v>
      </c>
      <c r="AN4162" t="s">
        <v>165</v>
      </c>
      <c r="AP4162" t="s">
        <v>49</v>
      </c>
    </row>
    <row r="4163" spans="1:42" x14ac:dyDescent="0.2">
      <c r="A4163" t="s">
        <v>2148</v>
      </c>
      <c r="B4163" t="s">
        <v>1664</v>
      </c>
      <c r="C4163">
        <v>2005</v>
      </c>
      <c r="D4163" t="s">
        <v>44</v>
      </c>
      <c r="F4163" t="s">
        <v>2149</v>
      </c>
      <c r="G4163" t="s">
        <v>87</v>
      </c>
      <c r="H4163" t="s">
        <v>350</v>
      </c>
      <c r="I4163">
        <v>1998</v>
      </c>
      <c r="K4163" t="s">
        <v>101</v>
      </c>
      <c r="L4163">
        <v>12</v>
      </c>
      <c r="N4163" t="s">
        <v>131</v>
      </c>
      <c r="O4163" t="s">
        <v>695</v>
      </c>
      <c r="Q4163" s="1" t="s">
        <v>2281</v>
      </c>
      <c r="R4163" s="1" t="s">
        <v>2295</v>
      </c>
      <c r="S4163" s="1" t="s">
        <v>2295</v>
      </c>
      <c r="X4163" t="s">
        <v>211</v>
      </c>
      <c r="Y4163" t="s">
        <v>2279</v>
      </c>
      <c r="Z4163" t="s">
        <v>2280</v>
      </c>
      <c r="AA4163" t="s">
        <v>2358</v>
      </c>
      <c r="AB4163" t="s">
        <v>2290</v>
      </c>
      <c r="AC4163" t="s">
        <v>152</v>
      </c>
      <c r="AD4163" t="s">
        <v>2278</v>
      </c>
      <c r="AH4163" s="4" t="s">
        <v>49</v>
      </c>
      <c r="AK4163" t="s">
        <v>49</v>
      </c>
      <c r="AM4163" t="s">
        <v>2159</v>
      </c>
      <c r="AN4163" t="s">
        <v>165</v>
      </c>
      <c r="AP4163" t="s">
        <v>49</v>
      </c>
    </row>
    <row r="4164" spans="1:42" x14ac:dyDescent="0.2">
      <c r="A4164" t="s">
        <v>2148</v>
      </c>
      <c r="B4164" t="s">
        <v>1664</v>
      </c>
      <c r="C4164">
        <v>2005</v>
      </c>
      <c r="D4164" t="s">
        <v>44</v>
      </c>
      <c r="F4164" t="s">
        <v>2149</v>
      </c>
      <c r="G4164" t="s">
        <v>87</v>
      </c>
      <c r="H4164" t="s">
        <v>350</v>
      </c>
      <c r="I4164">
        <v>1998</v>
      </c>
      <c r="K4164" t="s">
        <v>101</v>
      </c>
      <c r="L4164">
        <v>12</v>
      </c>
      <c r="N4164" t="s">
        <v>127</v>
      </c>
      <c r="O4164" t="s">
        <v>2158</v>
      </c>
      <c r="Q4164" s="1" t="s">
        <v>2281</v>
      </c>
      <c r="R4164" s="1" t="s">
        <v>2291</v>
      </c>
      <c r="S4164" s="1" t="s">
        <v>2291</v>
      </c>
      <c r="X4164" t="s">
        <v>211</v>
      </c>
      <c r="Y4164" t="s">
        <v>2279</v>
      </c>
      <c r="Z4164" t="s">
        <v>2280</v>
      </c>
      <c r="AA4164" t="s">
        <v>2358</v>
      </c>
      <c r="AB4164" t="s">
        <v>2290</v>
      </c>
      <c r="AC4164" t="s">
        <v>152</v>
      </c>
      <c r="AD4164" t="s">
        <v>2278</v>
      </c>
      <c r="AH4164" s="4" t="s">
        <v>49</v>
      </c>
      <c r="AK4164" t="s">
        <v>49</v>
      </c>
      <c r="AM4164" t="s">
        <v>2159</v>
      </c>
      <c r="AN4164" t="s">
        <v>165</v>
      </c>
      <c r="AP4164" t="s">
        <v>49</v>
      </c>
    </row>
    <row r="4165" spans="1:42" x14ac:dyDescent="0.2">
      <c r="A4165" t="s">
        <v>2148</v>
      </c>
      <c r="B4165" t="s">
        <v>1664</v>
      </c>
      <c r="C4165">
        <v>2005</v>
      </c>
      <c r="D4165" t="s">
        <v>44</v>
      </c>
      <c r="F4165" t="s">
        <v>2149</v>
      </c>
      <c r="G4165" t="s">
        <v>87</v>
      </c>
      <c r="H4165" t="s">
        <v>350</v>
      </c>
      <c r="I4165">
        <v>1998</v>
      </c>
      <c r="K4165" t="s">
        <v>101</v>
      </c>
      <c r="L4165">
        <v>12</v>
      </c>
      <c r="N4165" t="s">
        <v>121</v>
      </c>
      <c r="O4165" t="s">
        <v>121</v>
      </c>
      <c r="Q4165" s="1" t="s">
        <v>2292</v>
      </c>
      <c r="R4165" s="1" t="s">
        <v>264</v>
      </c>
      <c r="S4165" s="1" t="s">
        <v>264</v>
      </c>
      <c r="X4165" t="s">
        <v>211</v>
      </c>
      <c r="Y4165" t="s">
        <v>2279</v>
      </c>
      <c r="Z4165" t="s">
        <v>2280</v>
      </c>
      <c r="AA4165" t="s">
        <v>2358</v>
      </c>
      <c r="AB4165" t="s">
        <v>2290</v>
      </c>
      <c r="AC4165" t="s">
        <v>152</v>
      </c>
      <c r="AD4165" t="s">
        <v>2278</v>
      </c>
      <c r="AH4165" s="4" t="s">
        <v>49</v>
      </c>
      <c r="AK4165" t="s">
        <v>49</v>
      </c>
      <c r="AM4165" t="s">
        <v>2159</v>
      </c>
      <c r="AN4165" t="s">
        <v>154</v>
      </c>
      <c r="AP4165" t="s">
        <v>49</v>
      </c>
    </row>
    <row r="4166" spans="1:42" x14ac:dyDescent="0.2">
      <c r="A4166" t="s">
        <v>2148</v>
      </c>
      <c r="B4166" t="s">
        <v>1664</v>
      </c>
      <c r="C4166">
        <v>2005</v>
      </c>
      <c r="D4166" t="s">
        <v>44</v>
      </c>
      <c r="F4166" t="s">
        <v>2149</v>
      </c>
      <c r="G4166" t="s">
        <v>87</v>
      </c>
      <c r="H4166" t="s">
        <v>350</v>
      </c>
      <c r="I4166">
        <v>1998</v>
      </c>
      <c r="K4166" t="s">
        <v>101</v>
      </c>
      <c r="L4166">
        <v>12</v>
      </c>
      <c r="N4166" t="s">
        <v>128</v>
      </c>
      <c r="O4166" t="s">
        <v>755</v>
      </c>
      <c r="P4166" t="s">
        <v>2150</v>
      </c>
      <c r="Q4166" s="1" t="s">
        <v>2276</v>
      </c>
      <c r="R4166" s="1" t="s">
        <v>755</v>
      </c>
      <c r="S4166" s="1" t="s">
        <v>2352</v>
      </c>
      <c r="X4166" t="s">
        <v>211</v>
      </c>
      <c r="Y4166" t="s">
        <v>2279</v>
      </c>
      <c r="Z4166" t="s">
        <v>2280</v>
      </c>
      <c r="AA4166" t="s">
        <v>2358</v>
      </c>
      <c r="AB4166" t="s">
        <v>2290</v>
      </c>
      <c r="AC4166" t="s">
        <v>152</v>
      </c>
      <c r="AD4166" t="s">
        <v>2278</v>
      </c>
      <c r="AH4166" s="4" t="s">
        <v>49</v>
      </c>
      <c r="AK4166" t="s">
        <v>49</v>
      </c>
      <c r="AM4166" t="s">
        <v>2159</v>
      </c>
      <c r="AN4166" t="s">
        <v>154</v>
      </c>
      <c r="AP4166" t="s">
        <v>49</v>
      </c>
    </row>
    <row r="4167" spans="1:42" x14ac:dyDescent="0.2">
      <c r="A4167" t="s">
        <v>2148</v>
      </c>
      <c r="B4167" t="s">
        <v>1664</v>
      </c>
      <c r="C4167">
        <v>2005</v>
      </c>
      <c r="D4167" t="s">
        <v>44</v>
      </c>
      <c r="F4167" t="s">
        <v>2149</v>
      </c>
      <c r="G4167" t="s">
        <v>87</v>
      </c>
      <c r="H4167" t="s">
        <v>350</v>
      </c>
      <c r="I4167">
        <v>1998</v>
      </c>
      <c r="K4167" t="s">
        <v>101</v>
      </c>
      <c r="L4167">
        <v>12</v>
      </c>
      <c r="N4167" t="s">
        <v>128</v>
      </c>
      <c r="O4167" t="s">
        <v>669</v>
      </c>
      <c r="P4167" t="s">
        <v>2151</v>
      </c>
      <c r="Q4167" s="1" t="s">
        <v>2276</v>
      </c>
      <c r="R4167" s="1" t="s">
        <v>669</v>
      </c>
      <c r="S4167" s="1" t="s">
        <v>168</v>
      </c>
      <c r="X4167" t="s">
        <v>211</v>
      </c>
      <c r="Y4167" t="s">
        <v>2279</v>
      </c>
      <c r="Z4167" t="s">
        <v>2280</v>
      </c>
      <c r="AA4167" t="s">
        <v>2358</v>
      </c>
      <c r="AB4167" t="s">
        <v>2290</v>
      </c>
      <c r="AC4167" t="s">
        <v>152</v>
      </c>
      <c r="AD4167" t="s">
        <v>2278</v>
      </c>
      <c r="AH4167" s="4" t="s">
        <v>49</v>
      </c>
      <c r="AK4167" t="s">
        <v>49</v>
      </c>
      <c r="AM4167" t="s">
        <v>2159</v>
      </c>
      <c r="AN4167" t="s">
        <v>154</v>
      </c>
      <c r="AP4167" t="s">
        <v>49</v>
      </c>
    </row>
    <row r="4168" spans="1:42" x14ac:dyDescent="0.2">
      <c r="A4168" t="s">
        <v>2148</v>
      </c>
      <c r="B4168" t="s">
        <v>1664</v>
      </c>
      <c r="C4168">
        <v>2005</v>
      </c>
      <c r="D4168" t="s">
        <v>44</v>
      </c>
      <c r="F4168" t="s">
        <v>2149</v>
      </c>
      <c r="G4168" t="s">
        <v>87</v>
      </c>
      <c r="H4168" t="s">
        <v>350</v>
      </c>
      <c r="I4168">
        <v>1998</v>
      </c>
      <c r="K4168" t="s">
        <v>101</v>
      </c>
      <c r="L4168">
        <v>12</v>
      </c>
      <c r="N4168" t="s">
        <v>122</v>
      </c>
      <c r="O4168" t="s">
        <v>247</v>
      </c>
      <c r="P4168" t="s">
        <v>2152</v>
      </c>
      <c r="Q4168" s="1" t="s">
        <v>2281</v>
      </c>
      <c r="R4168" s="1" t="s">
        <v>122</v>
      </c>
      <c r="S4168" s="1" t="s">
        <v>2293</v>
      </c>
      <c r="X4168" t="s">
        <v>211</v>
      </c>
      <c r="Y4168" t="s">
        <v>2279</v>
      </c>
      <c r="Z4168" t="s">
        <v>2280</v>
      </c>
      <c r="AA4168" t="s">
        <v>2358</v>
      </c>
      <c r="AB4168" t="s">
        <v>2290</v>
      </c>
      <c r="AC4168" t="s">
        <v>152</v>
      </c>
      <c r="AD4168" t="s">
        <v>2278</v>
      </c>
      <c r="AH4168" s="4" t="s">
        <v>49</v>
      </c>
      <c r="AK4168" t="s">
        <v>49</v>
      </c>
      <c r="AM4168" t="s">
        <v>2159</v>
      </c>
      <c r="AN4168" t="s">
        <v>154</v>
      </c>
      <c r="AP4168" t="s">
        <v>49</v>
      </c>
    </row>
    <row r="4169" spans="1:42" x14ac:dyDescent="0.2">
      <c r="A4169" t="s">
        <v>2148</v>
      </c>
      <c r="B4169" t="s">
        <v>1664</v>
      </c>
      <c r="C4169">
        <v>2005</v>
      </c>
      <c r="D4169" t="s">
        <v>44</v>
      </c>
      <c r="F4169" t="s">
        <v>2149</v>
      </c>
      <c r="G4169" t="s">
        <v>87</v>
      </c>
      <c r="H4169" t="s">
        <v>350</v>
      </c>
      <c r="I4169">
        <v>1998</v>
      </c>
      <c r="K4169" t="s">
        <v>101</v>
      </c>
      <c r="L4169">
        <v>12</v>
      </c>
      <c r="N4169" t="s">
        <v>122</v>
      </c>
      <c r="O4169" t="s">
        <v>2153</v>
      </c>
      <c r="P4169" t="s">
        <v>2154</v>
      </c>
      <c r="Q4169" s="1" t="s">
        <v>2281</v>
      </c>
      <c r="R4169" s="1" t="s">
        <v>122</v>
      </c>
      <c r="S4169" s="1" t="s">
        <v>2294</v>
      </c>
      <c r="X4169" t="s">
        <v>211</v>
      </c>
      <c r="Y4169" t="s">
        <v>2279</v>
      </c>
      <c r="Z4169" t="s">
        <v>2280</v>
      </c>
      <c r="AA4169" t="s">
        <v>2358</v>
      </c>
      <c r="AB4169" t="s">
        <v>2290</v>
      </c>
      <c r="AC4169" t="s">
        <v>152</v>
      </c>
      <c r="AD4169" t="s">
        <v>2278</v>
      </c>
      <c r="AH4169" s="4" t="s">
        <v>49</v>
      </c>
      <c r="AK4169" t="s">
        <v>49</v>
      </c>
      <c r="AM4169" t="s">
        <v>2159</v>
      </c>
      <c r="AN4169" t="s">
        <v>154</v>
      </c>
      <c r="AP4169" t="s">
        <v>49</v>
      </c>
    </row>
    <row r="4170" spans="1:42" x14ac:dyDescent="0.2">
      <c r="A4170" t="s">
        <v>2148</v>
      </c>
      <c r="B4170" t="s">
        <v>1664</v>
      </c>
      <c r="C4170">
        <v>2005</v>
      </c>
      <c r="D4170" t="s">
        <v>44</v>
      </c>
      <c r="F4170" t="s">
        <v>2149</v>
      </c>
      <c r="G4170" t="s">
        <v>87</v>
      </c>
      <c r="H4170" t="s">
        <v>350</v>
      </c>
      <c r="I4170">
        <v>1998</v>
      </c>
      <c r="K4170" t="s">
        <v>101</v>
      </c>
      <c r="L4170">
        <v>12</v>
      </c>
      <c r="N4170" t="s">
        <v>122</v>
      </c>
      <c r="O4170" t="s">
        <v>2155</v>
      </c>
      <c r="Q4170" s="1" t="s">
        <v>2281</v>
      </c>
      <c r="R4170" s="1" t="s">
        <v>122</v>
      </c>
      <c r="S4170" s="1" t="s">
        <v>2294</v>
      </c>
      <c r="X4170" t="s">
        <v>211</v>
      </c>
      <c r="Y4170" t="s">
        <v>2279</v>
      </c>
      <c r="Z4170" t="s">
        <v>2280</v>
      </c>
      <c r="AA4170" t="s">
        <v>2358</v>
      </c>
      <c r="AB4170" t="s">
        <v>2290</v>
      </c>
      <c r="AC4170" t="s">
        <v>152</v>
      </c>
      <c r="AD4170" t="s">
        <v>2278</v>
      </c>
      <c r="AH4170" s="4" t="s">
        <v>49</v>
      </c>
      <c r="AK4170" t="s">
        <v>49</v>
      </c>
      <c r="AM4170" t="s">
        <v>2159</v>
      </c>
      <c r="AN4170" t="s">
        <v>154</v>
      </c>
      <c r="AP4170" t="s">
        <v>49</v>
      </c>
    </row>
    <row r="4171" spans="1:42" x14ac:dyDescent="0.2">
      <c r="A4171" t="s">
        <v>2148</v>
      </c>
      <c r="B4171" t="s">
        <v>1664</v>
      </c>
      <c r="C4171">
        <v>2005</v>
      </c>
      <c r="D4171" t="s">
        <v>44</v>
      </c>
      <c r="F4171" t="s">
        <v>2149</v>
      </c>
      <c r="G4171" t="s">
        <v>87</v>
      </c>
      <c r="H4171" t="s">
        <v>350</v>
      </c>
      <c r="I4171">
        <v>1998</v>
      </c>
      <c r="K4171" t="s">
        <v>101</v>
      </c>
      <c r="L4171">
        <v>12</v>
      </c>
      <c r="N4171" t="s">
        <v>122</v>
      </c>
      <c r="O4171" t="s">
        <v>2156</v>
      </c>
      <c r="P4171" t="s">
        <v>2157</v>
      </c>
      <c r="Q4171" s="1" t="s">
        <v>2281</v>
      </c>
      <c r="R4171" s="1" t="s">
        <v>122</v>
      </c>
      <c r="S4171" s="1" t="s">
        <v>2293</v>
      </c>
      <c r="X4171" t="s">
        <v>211</v>
      </c>
      <c r="Y4171" t="s">
        <v>2279</v>
      </c>
      <c r="Z4171" t="s">
        <v>2280</v>
      </c>
      <c r="AA4171" t="s">
        <v>2358</v>
      </c>
      <c r="AB4171" t="s">
        <v>2290</v>
      </c>
      <c r="AC4171" t="s">
        <v>152</v>
      </c>
      <c r="AD4171" t="s">
        <v>2278</v>
      </c>
      <c r="AH4171" s="4" t="s">
        <v>49</v>
      </c>
      <c r="AK4171" t="s">
        <v>49</v>
      </c>
      <c r="AM4171" t="s">
        <v>2159</v>
      </c>
      <c r="AN4171" t="s">
        <v>154</v>
      </c>
      <c r="AP4171" t="s">
        <v>49</v>
      </c>
    </row>
    <row r="4172" spans="1:42" x14ac:dyDescent="0.2">
      <c r="A4172" t="s">
        <v>2148</v>
      </c>
      <c r="B4172" t="s">
        <v>1664</v>
      </c>
      <c r="C4172">
        <v>2005</v>
      </c>
      <c r="D4172" t="s">
        <v>44</v>
      </c>
      <c r="F4172" t="s">
        <v>2149</v>
      </c>
      <c r="G4172" t="s">
        <v>87</v>
      </c>
      <c r="H4172" t="s">
        <v>350</v>
      </c>
      <c r="I4172">
        <v>1998</v>
      </c>
      <c r="K4172" t="s">
        <v>101</v>
      </c>
      <c r="L4172">
        <v>12</v>
      </c>
      <c r="N4172" t="s">
        <v>131</v>
      </c>
      <c r="O4172" t="s">
        <v>695</v>
      </c>
      <c r="Q4172" s="1" t="s">
        <v>2281</v>
      </c>
      <c r="R4172" s="1" t="s">
        <v>2295</v>
      </c>
      <c r="S4172" s="1" t="s">
        <v>2295</v>
      </c>
      <c r="X4172" t="s">
        <v>211</v>
      </c>
      <c r="Y4172" t="s">
        <v>2279</v>
      </c>
      <c r="Z4172" t="s">
        <v>2280</v>
      </c>
      <c r="AA4172" t="s">
        <v>2358</v>
      </c>
      <c r="AB4172" t="s">
        <v>2290</v>
      </c>
      <c r="AC4172" t="s">
        <v>152</v>
      </c>
      <c r="AD4172" t="s">
        <v>2278</v>
      </c>
      <c r="AH4172" s="4" t="s">
        <v>49</v>
      </c>
      <c r="AK4172" t="s">
        <v>49</v>
      </c>
      <c r="AM4172" t="s">
        <v>2159</v>
      </c>
      <c r="AN4172" t="s">
        <v>154</v>
      </c>
      <c r="AP4172" t="s">
        <v>49</v>
      </c>
    </row>
    <row r="4173" spans="1:42" x14ac:dyDescent="0.2">
      <c r="A4173" t="s">
        <v>2148</v>
      </c>
      <c r="B4173" t="s">
        <v>1664</v>
      </c>
      <c r="C4173">
        <v>2005</v>
      </c>
      <c r="D4173" t="s">
        <v>44</v>
      </c>
      <c r="F4173" t="s">
        <v>2149</v>
      </c>
      <c r="G4173" t="s">
        <v>87</v>
      </c>
      <c r="H4173" t="s">
        <v>350</v>
      </c>
      <c r="I4173">
        <v>1998</v>
      </c>
      <c r="K4173" t="s">
        <v>101</v>
      </c>
      <c r="L4173">
        <v>12</v>
      </c>
      <c r="N4173" t="s">
        <v>127</v>
      </c>
      <c r="O4173" t="s">
        <v>2158</v>
      </c>
      <c r="Q4173" s="1" t="s">
        <v>2281</v>
      </c>
      <c r="R4173" s="1" t="s">
        <v>2291</v>
      </c>
      <c r="S4173" s="1" t="s">
        <v>2291</v>
      </c>
      <c r="X4173" t="s">
        <v>211</v>
      </c>
      <c r="Y4173" t="s">
        <v>2279</v>
      </c>
      <c r="Z4173" t="s">
        <v>2280</v>
      </c>
      <c r="AA4173" t="s">
        <v>2358</v>
      </c>
      <c r="AB4173" t="s">
        <v>2290</v>
      </c>
      <c r="AC4173" t="s">
        <v>152</v>
      </c>
      <c r="AD4173" t="s">
        <v>2278</v>
      </c>
      <c r="AH4173" s="4" t="s">
        <v>49</v>
      </c>
      <c r="AK4173" t="s">
        <v>49</v>
      </c>
      <c r="AM4173" t="s">
        <v>2159</v>
      </c>
      <c r="AN4173" t="s">
        <v>154</v>
      </c>
      <c r="AP4173" t="s">
        <v>49</v>
      </c>
    </row>
    <row r="4174" spans="1:42" x14ac:dyDescent="0.2">
      <c r="A4174" t="s">
        <v>2148</v>
      </c>
      <c r="B4174" t="s">
        <v>1664</v>
      </c>
      <c r="C4174">
        <v>2005</v>
      </c>
      <c r="D4174" t="s">
        <v>44</v>
      </c>
      <c r="F4174" t="s">
        <v>2149</v>
      </c>
      <c r="G4174" t="s">
        <v>87</v>
      </c>
      <c r="H4174" t="s">
        <v>350</v>
      </c>
      <c r="I4174">
        <v>1998</v>
      </c>
      <c r="K4174" t="s">
        <v>101</v>
      </c>
      <c r="L4174">
        <v>12</v>
      </c>
      <c r="N4174" t="s">
        <v>121</v>
      </c>
      <c r="O4174" t="s">
        <v>121</v>
      </c>
      <c r="Q4174" s="1" t="s">
        <v>2292</v>
      </c>
      <c r="R4174" s="1" t="s">
        <v>264</v>
      </c>
      <c r="S4174" s="1" t="s">
        <v>264</v>
      </c>
      <c r="X4174" t="s">
        <v>211</v>
      </c>
      <c r="Y4174" t="s">
        <v>2279</v>
      </c>
      <c r="Z4174" t="s">
        <v>2280</v>
      </c>
      <c r="AA4174" t="s">
        <v>2358</v>
      </c>
      <c r="AB4174" t="s">
        <v>2290</v>
      </c>
      <c r="AC4174" t="s">
        <v>152</v>
      </c>
      <c r="AD4174" t="s">
        <v>2278</v>
      </c>
      <c r="AH4174" s="4" t="s">
        <v>49</v>
      </c>
      <c r="AK4174" t="s">
        <v>49</v>
      </c>
      <c r="AM4174" t="s">
        <v>2159</v>
      </c>
      <c r="AN4174" t="s">
        <v>166</v>
      </c>
      <c r="AP4174" t="s">
        <v>49</v>
      </c>
    </row>
    <row r="4175" spans="1:42" x14ac:dyDescent="0.2">
      <c r="A4175" t="s">
        <v>2148</v>
      </c>
      <c r="B4175" t="s">
        <v>1664</v>
      </c>
      <c r="C4175">
        <v>2005</v>
      </c>
      <c r="D4175" t="s">
        <v>44</v>
      </c>
      <c r="F4175" t="s">
        <v>2149</v>
      </c>
      <c r="G4175" t="s">
        <v>87</v>
      </c>
      <c r="H4175" t="s">
        <v>350</v>
      </c>
      <c r="I4175">
        <v>1998</v>
      </c>
      <c r="K4175" t="s">
        <v>101</v>
      </c>
      <c r="L4175">
        <v>12</v>
      </c>
      <c r="N4175" t="s">
        <v>128</v>
      </c>
      <c r="O4175" t="s">
        <v>755</v>
      </c>
      <c r="P4175" t="s">
        <v>2150</v>
      </c>
      <c r="Q4175" s="1" t="s">
        <v>2276</v>
      </c>
      <c r="R4175" s="1" t="s">
        <v>755</v>
      </c>
      <c r="S4175" s="1" t="s">
        <v>2352</v>
      </c>
      <c r="X4175" t="s">
        <v>211</v>
      </c>
      <c r="Y4175" t="s">
        <v>2279</v>
      </c>
      <c r="Z4175" t="s">
        <v>2280</v>
      </c>
      <c r="AA4175" t="s">
        <v>2358</v>
      </c>
      <c r="AB4175" t="s">
        <v>2290</v>
      </c>
      <c r="AC4175" t="s">
        <v>152</v>
      </c>
      <c r="AD4175" t="s">
        <v>2278</v>
      </c>
      <c r="AH4175" s="4" t="s">
        <v>49</v>
      </c>
      <c r="AK4175" t="s">
        <v>49</v>
      </c>
      <c r="AM4175" t="s">
        <v>2159</v>
      </c>
      <c r="AN4175" t="s">
        <v>166</v>
      </c>
      <c r="AP4175" t="s">
        <v>49</v>
      </c>
    </row>
    <row r="4176" spans="1:42" x14ac:dyDescent="0.2">
      <c r="A4176" t="s">
        <v>2148</v>
      </c>
      <c r="B4176" t="s">
        <v>1664</v>
      </c>
      <c r="C4176">
        <v>2005</v>
      </c>
      <c r="D4176" t="s">
        <v>44</v>
      </c>
      <c r="F4176" t="s">
        <v>2149</v>
      </c>
      <c r="G4176" t="s">
        <v>87</v>
      </c>
      <c r="H4176" t="s">
        <v>350</v>
      </c>
      <c r="I4176">
        <v>1998</v>
      </c>
      <c r="K4176" t="s">
        <v>101</v>
      </c>
      <c r="L4176">
        <v>12</v>
      </c>
      <c r="N4176" t="s">
        <v>128</v>
      </c>
      <c r="O4176" t="s">
        <v>669</v>
      </c>
      <c r="P4176" t="s">
        <v>2151</v>
      </c>
      <c r="Q4176" s="1" t="s">
        <v>2276</v>
      </c>
      <c r="R4176" s="1" t="s">
        <v>669</v>
      </c>
      <c r="S4176" s="1" t="s">
        <v>168</v>
      </c>
      <c r="X4176" t="s">
        <v>211</v>
      </c>
      <c r="Y4176" t="s">
        <v>2279</v>
      </c>
      <c r="Z4176" t="s">
        <v>2280</v>
      </c>
      <c r="AA4176" t="s">
        <v>2358</v>
      </c>
      <c r="AB4176" t="s">
        <v>2290</v>
      </c>
      <c r="AC4176" t="s">
        <v>152</v>
      </c>
      <c r="AD4176" t="s">
        <v>2278</v>
      </c>
      <c r="AH4176" s="4" t="s">
        <v>49</v>
      </c>
      <c r="AK4176" t="s">
        <v>49</v>
      </c>
      <c r="AM4176" t="s">
        <v>2159</v>
      </c>
      <c r="AN4176" t="s">
        <v>166</v>
      </c>
      <c r="AP4176" t="s">
        <v>49</v>
      </c>
    </row>
    <row r="4177" spans="1:42" x14ac:dyDescent="0.2">
      <c r="A4177" t="s">
        <v>2148</v>
      </c>
      <c r="B4177" t="s">
        <v>1664</v>
      </c>
      <c r="C4177">
        <v>2005</v>
      </c>
      <c r="D4177" t="s">
        <v>44</v>
      </c>
      <c r="F4177" t="s">
        <v>2149</v>
      </c>
      <c r="G4177" t="s">
        <v>87</v>
      </c>
      <c r="H4177" t="s">
        <v>350</v>
      </c>
      <c r="I4177">
        <v>1998</v>
      </c>
      <c r="K4177" t="s">
        <v>101</v>
      </c>
      <c r="L4177">
        <v>12</v>
      </c>
      <c r="N4177" t="s">
        <v>122</v>
      </c>
      <c r="O4177" t="s">
        <v>247</v>
      </c>
      <c r="P4177" t="s">
        <v>2152</v>
      </c>
      <c r="Q4177" s="1" t="s">
        <v>2281</v>
      </c>
      <c r="R4177" s="1" t="s">
        <v>122</v>
      </c>
      <c r="S4177" s="1" t="s">
        <v>2293</v>
      </c>
      <c r="X4177" t="s">
        <v>211</v>
      </c>
      <c r="Y4177" t="s">
        <v>2279</v>
      </c>
      <c r="Z4177" t="s">
        <v>2280</v>
      </c>
      <c r="AA4177" t="s">
        <v>2358</v>
      </c>
      <c r="AB4177" t="s">
        <v>2290</v>
      </c>
      <c r="AC4177" t="s">
        <v>152</v>
      </c>
      <c r="AD4177" t="s">
        <v>2278</v>
      </c>
      <c r="AH4177" s="4" t="s">
        <v>49</v>
      </c>
      <c r="AK4177" t="s">
        <v>49</v>
      </c>
      <c r="AM4177" t="s">
        <v>2159</v>
      </c>
      <c r="AN4177" t="s">
        <v>166</v>
      </c>
      <c r="AP4177" t="s">
        <v>49</v>
      </c>
    </row>
    <row r="4178" spans="1:42" x14ac:dyDescent="0.2">
      <c r="A4178" t="s">
        <v>2148</v>
      </c>
      <c r="B4178" t="s">
        <v>1664</v>
      </c>
      <c r="C4178">
        <v>2005</v>
      </c>
      <c r="D4178" t="s">
        <v>44</v>
      </c>
      <c r="F4178" t="s">
        <v>2149</v>
      </c>
      <c r="G4178" t="s">
        <v>87</v>
      </c>
      <c r="H4178" t="s">
        <v>350</v>
      </c>
      <c r="I4178">
        <v>1998</v>
      </c>
      <c r="K4178" t="s">
        <v>101</v>
      </c>
      <c r="L4178">
        <v>12</v>
      </c>
      <c r="N4178" t="s">
        <v>122</v>
      </c>
      <c r="O4178" t="s">
        <v>2153</v>
      </c>
      <c r="P4178" t="s">
        <v>2154</v>
      </c>
      <c r="Q4178" s="1" t="s">
        <v>2281</v>
      </c>
      <c r="R4178" s="1" t="s">
        <v>122</v>
      </c>
      <c r="S4178" s="1" t="s">
        <v>2294</v>
      </c>
      <c r="X4178" t="s">
        <v>211</v>
      </c>
      <c r="Y4178" t="s">
        <v>2279</v>
      </c>
      <c r="Z4178" t="s">
        <v>2280</v>
      </c>
      <c r="AA4178" t="s">
        <v>2358</v>
      </c>
      <c r="AB4178" t="s">
        <v>2290</v>
      </c>
      <c r="AC4178" t="s">
        <v>152</v>
      </c>
      <c r="AD4178" t="s">
        <v>2278</v>
      </c>
      <c r="AH4178" s="4" t="s">
        <v>49</v>
      </c>
      <c r="AK4178" t="s">
        <v>49</v>
      </c>
      <c r="AM4178" t="s">
        <v>2159</v>
      </c>
      <c r="AN4178" t="s">
        <v>166</v>
      </c>
      <c r="AP4178" t="s">
        <v>49</v>
      </c>
    </row>
    <row r="4179" spans="1:42" x14ac:dyDescent="0.2">
      <c r="A4179" t="s">
        <v>2148</v>
      </c>
      <c r="B4179" t="s">
        <v>1664</v>
      </c>
      <c r="C4179">
        <v>2005</v>
      </c>
      <c r="D4179" t="s">
        <v>44</v>
      </c>
      <c r="F4179" t="s">
        <v>2149</v>
      </c>
      <c r="G4179" t="s">
        <v>87</v>
      </c>
      <c r="H4179" t="s">
        <v>350</v>
      </c>
      <c r="I4179">
        <v>1998</v>
      </c>
      <c r="K4179" t="s">
        <v>101</v>
      </c>
      <c r="L4179">
        <v>12</v>
      </c>
      <c r="N4179" t="s">
        <v>122</v>
      </c>
      <c r="O4179" t="s">
        <v>2155</v>
      </c>
      <c r="Q4179" s="1" t="s">
        <v>2281</v>
      </c>
      <c r="R4179" s="1" t="s">
        <v>122</v>
      </c>
      <c r="S4179" s="1" t="s">
        <v>2294</v>
      </c>
      <c r="X4179" t="s">
        <v>211</v>
      </c>
      <c r="Y4179" t="s">
        <v>2279</v>
      </c>
      <c r="Z4179" t="s">
        <v>2280</v>
      </c>
      <c r="AA4179" t="s">
        <v>2358</v>
      </c>
      <c r="AB4179" t="s">
        <v>2290</v>
      </c>
      <c r="AC4179" t="s">
        <v>152</v>
      </c>
      <c r="AD4179" t="s">
        <v>2278</v>
      </c>
      <c r="AH4179" s="4" t="s">
        <v>49</v>
      </c>
      <c r="AK4179" t="s">
        <v>49</v>
      </c>
      <c r="AM4179" t="s">
        <v>2159</v>
      </c>
      <c r="AN4179" t="s">
        <v>166</v>
      </c>
      <c r="AP4179" t="s">
        <v>49</v>
      </c>
    </row>
    <row r="4180" spans="1:42" x14ac:dyDescent="0.2">
      <c r="A4180" t="s">
        <v>2148</v>
      </c>
      <c r="B4180" t="s">
        <v>1664</v>
      </c>
      <c r="C4180">
        <v>2005</v>
      </c>
      <c r="D4180" t="s">
        <v>44</v>
      </c>
      <c r="F4180" t="s">
        <v>2149</v>
      </c>
      <c r="G4180" t="s">
        <v>87</v>
      </c>
      <c r="H4180" t="s">
        <v>350</v>
      </c>
      <c r="I4180">
        <v>1998</v>
      </c>
      <c r="K4180" t="s">
        <v>101</v>
      </c>
      <c r="L4180">
        <v>12</v>
      </c>
      <c r="N4180" t="s">
        <v>122</v>
      </c>
      <c r="O4180" t="s">
        <v>2156</v>
      </c>
      <c r="P4180" t="s">
        <v>2157</v>
      </c>
      <c r="Q4180" s="1" t="s">
        <v>2281</v>
      </c>
      <c r="R4180" s="1" t="s">
        <v>122</v>
      </c>
      <c r="S4180" s="1" t="s">
        <v>2293</v>
      </c>
      <c r="X4180" t="s">
        <v>211</v>
      </c>
      <c r="Y4180" t="s">
        <v>2279</v>
      </c>
      <c r="Z4180" t="s">
        <v>2280</v>
      </c>
      <c r="AA4180" t="s">
        <v>2358</v>
      </c>
      <c r="AB4180" t="s">
        <v>2290</v>
      </c>
      <c r="AC4180" t="s">
        <v>152</v>
      </c>
      <c r="AD4180" t="s">
        <v>2278</v>
      </c>
      <c r="AH4180" s="4" t="s">
        <v>49</v>
      </c>
      <c r="AK4180" t="s">
        <v>49</v>
      </c>
      <c r="AM4180" t="s">
        <v>2159</v>
      </c>
      <c r="AN4180" t="s">
        <v>166</v>
      </c>
      <c r="AP4180" t="s">
        <v>49</v>
      </c>
    </row>
    <row r="4181" spans="1:42" x14ac:dyDescent="0.2">
      <c r="A4181" t="s">
        <v>2148</v>
      </c>
      <c r="B4181" t="s">
        <v>1664</v>
      </c>
      <c r="C4181">
        <v>2005</v>
      </c>
      <c r="D4181" t="s">
        <v>44</v>
      </c>
      <c r="F4181" t="s">
        <v>2149</v>
      </c>
      <c r="G4181" t="s">
        <v>87</v>
      </c>
      <c r="H4181" t="s">
        <v>350</v>
      </c>
      <c r="I4181">
        <v>1998</v>
      </c>
      <c r="K4181" t="s">
        <v>101</v>
      </c>
      <c r="L4181">
        <v>12</v>
      </c>
      <c r="N4181" t="s">
        <v>131</v>
      </c>
      <c r="O4181" t="s">
        <v>695</v>
      </c>
      <c r="Q4181" s="1" t="s">
        <v>2281</v>
      </c>
      <c r="R4181" s="1" t="s">
        <v>2295</v>
      </c>
      <c r="S4181" s="1" t="s">
        <v>2295</v>
      </c>
      <c r="X4181" t="s">
        <v>211</v>
      </c>
      <c r="Y4181" t="s">
        <v>2279</v>
      </c>
      <c r="Z4181" t="s">
        <v>2280</v>
      </c>
      <c r="AA4181" t="s">
        <v>2358</v>
      </c>
      <c r="AB4181" t="s">
        <v>2290</v>
      </c>
      <c r="AC4181" t="s">
        <v>152</v>
      </c>
      <c r="AD4181" t="s">
        <v>2278</v>
      </c>
      <c r="AH4181" s="4" t="s">
        <v>49</v>
      </c>
      <c r="AK4181" t="s">
        <v>49</v>
      </c>
      <c r="AM4181" t="s">
        <v>2159</v>
      </c>
      <c r="AN4181" t="s">
        <v>166</v>
      </c>
      <c r="AP4181" t="s">
        <v>49</v>
      </c>
    </row>
    <row r="4182" spans="1:42" x14ac:dyDescent="0.2">
      <c r="A4182" t="s">
        <v>2148</v>
      </c>
      <c r="B4182" t="s">
        <v>1664</v>
      </c>
      <c r="C4182">
        <v>2005</v>
      </c>
      <c r="D4182" t="s">
        <v>44</v>
      </c>
      <c r="F4182" t="s">
        <v>2149</v>
      </c>
      <c r="G4182" t="s">
        <v>87</v>
      </c>
      <c r="H4182" t="s">
        <v>350</v>
      </c>
      <c r="I4182">
        <v>1998</v>
      </c>
      <c r="K4182" t="s">
        <v>101</v>
      </c>
      <c r="L4182">
        <v>12</v>
      </c>
      <c r="N4182" t="s">
        <v>127</v>
      </c>
      <c r="O4182" t="s">
        <v>2158</v>
      </c>
      <c r="Q4182" s="1" t="s">
        <v>2281</v>
      </c>
      <c r="R4182" s="1" t="s">
        <v>2291</v>
      </c>
      <c r="S4182" s="1" t="s">
        <v>2291</v>
      </c>
      <c r="X4182" t="s">
        <v>211</v>
      </c>
      <c r="Y4182" t="s">
        <v>2279</v>
      </c>
      <c r="Z4182" t="s">
        <v>2280</v>
      </c>
      <c r="AA4182" t="s">
        <v>2358</v>
      </c>
      <c r="AB4182" t="s">
        <v>2290</v>
      </c>
      <c r="AC4182" t="s">
        <v>152</v>
      </c>
      <c r="AD4182" t="s">
        <v>2278</v>
      </c>
      <c r="AH4182" s="4" t="s">
        <v>49</v>
      </c>
      <c r="AK4182" t="s">
        <v>49</v>
      </c>
      <c r="AM4182" t="s">
        <v>2159</v>
      </c>
      <c r="AN4182" t="s">
        <v>166</v>
      </c>
      <c r="AP4182" t="s">
        <v>49</v>
      </c>
    </row>
    <row r="4183" spans="1:42" x14ac:dyDescent="0.2">
      <c r="A4183" t="s">
        <v>2148</v>
      </c>
      <c r="B4183" t="s">
        <v>1664</v>
      </c>
      <c r="C4183">
        <v>2005</v>
      </c>
      <c r="D4183" t="s">
        <v>44</v>
      </c>
      <c r="F4183" t="s">
        <v>2149</v>
      </c>
      <c r="G4183" t="s">
        <v>87</v>
      </c>
      <c r="H4183" t="s">
        <v>350</v>
      </c>
      <c r="I4183">
        <v>1998</v>
      </c>
      <c r="K4183" t="s">
        <v>101</v>
      </c>
      <c r="L4183">
        <v>12</v>
      </c>
      <c r="N4183" t="s">
        <v>121</v>
      </c>
      <c r="O4183" t="s">
        <v>121</v>
      </c>
      <c r="Q4183" s="1" t="s">
        <v>2292</v>
      </c>
      <c r="R4183" s="1" t="s">
        <v>264</v>
      </c>
      <c r="S4183" s="1" t="s">
        <v>264</v>
      </c>
      <c r="X4183" t="s">
        <v>211</v>
      </c>
      <c r="Y4183" t="s">
        <v>2279</v>
      </c>
      <c r="Z4183" t="s">
        <v>2280</v>
      </c>
      <c r="AA4183" t="s">
        <v>2358</v>
      </c>
      <c r="AB4183" t="s">
        <v>2290</v>
      </c>
      <c r="AC4183" t="s">
        <v>152</v>
      </c>
      <c r="AD4183" t="s">
        <v>2278</v>
      </c>
      <c r="AH4183" s="4" t="s">
        <v>49</v>
      </c>
      <c r="AK4183" t="s">
        <v>49</v>
      </c>
      <c r="AM4183" t="s">
        <v>2160</v>
      </c>
      <c r="AN4183" t="s">
        <v>166</v>
      </c>
      <c r="AP4183" t="s">
        <v>49</v>
      </c>
    </row>
    <row r="4184" spans="1:42" x14ac:dyDescent="0.2">
      <c r="A4184" t="s">
        <v>2148</v>
      </c>
      <c r="B4184" t="s">
        <v>1664</v>
      </c>
      <c r="C4184">
        <v>2005</v>
      </c>
      <c r="D4184" t="s">
        <v>44</v>
      </c>
      <c r="F4184" t="s">
        <v>2149</v>
      </c>
      <c r="G4184" t="s">
        <v>87</v>
      </c>
      <c r="H4184" t="s">
        <v>350</v>
      </c>
      <c r="I4184">
        <v>1998</v>
      </c>
      <c r="K4184" t="s">
        <v>101</v>
      </c>
      <c r="L4184">
        <v>12</v>
      </c>
      <c r="N4184" t="s">
        <v>128</v>
      </c>
      <c r="O4184" t="s">
        <v>755</v>
      </c>
      <c r="P4184" t="s">
        <v>2150</v>
      </c>
      <c r="Q4184" s="1" t="s">
        <v>2276</v>
      </c>
      <c r="R4184" s="1" t="s">
        <v>755</v>
      </c>
      <c r="S4184" s="1" t="s">
        <v>2352</v>
      </c>
      <c r="X4184" t="s">
        <v>211</v>
      </c>
      <c r="Y4184" t="s">
        <v>2279</v>
      </c>
      <c r="Z4184" t="s">
        <v>2280</v>
      </c>
      <c r="AA4184" t="s">
        <v>2358</v>
      </c>
      <c r="AB4184" t="s">
        <v>2290</v>
      </c>
      <c r="AC4184" t="s">
        <v>152</v>
      </c>
      <c r="AD4184" t="s">
        <v>2278</v>
      </c>
      <c r="AH4184" s="4" t="s">
        <v>49</v>
      </c>
      <c r="AK4184" t="s">
        <v>49</v>
      </c>
      <c r="AM4184" t="s">
        <v>2160</v>
      </c>
      <c r="AN4184" t="s">
        <v>166</v>
      </c>
      <c r="AP4184" t="s">
        <v>49</v>
      </c>
    </row>
    <row r="4185" spans="1:42" x14ac:dyDescent="0.2">
      <c r="A4185" t="s">
        <v>2148</v>
      </c>
      <c r="B4185" t="s">
        <v>1664</v>
      </c>
      <c r="C4185">
        <v>2005</v>
      </c>
      <c r="D4185" t="s">
        <v>44</v>
      </c>
      <c r="F4185" t="s">
        <v>2149</v>
      </c>
      <c r="G4185" t="s">
        <v>87</v>
      </c>
      <c r="H4185" t="s">
        <v>350</v>
      </c>
      <c r="I4185">
        <v>1998</v>
      </c>
      <c r="K4185" t="s">
        <v>101</v>
      </c>
      <c r="L4185">
        <v>12</v>
      </c>
      <c r="N4185" t="s">
        <v>128</v>
      </c>
      <c r="O4185" t="s">
        <v>669</v>
      </c>
      <c r="P4185" t="s">
        <v>2151</v>
      </c>
      <c r="Q4185" s="1" t="s">
        <v>2276</v>
      </c>
      <c r="R4185" s="1" t="s">
        <v>669</v>
      </c>
      <c r="S4185" s="1" t="s">
        <v>168</v>
      </c>
      <c r="X4185" t="s">
        <v>211</v>
      </c>
      <c r="Y4185" t="s">
        <v>2279</v>
      </c>
      <c r="Z4185" t="s">
        <v>2280</v>
      </c>
      <c r="AA4185" t="s">
        <v>2358</v>
      </c>
      <c r="AB4185" t="s">
        <v>2290</v>
      </c>
      <c r="AC4185" t="s">
        <v>152</v>
      </c>
      <c r="AD4185" t="s">
        <v>2278</v>
      </c>
      <c r="AH4185" s="4" t="s">
        <v>49</v>
      </c>
      <c r="AK4185" t="s">
        <v>49</v>
      </c>
      <c r="AM4185" t="s">
        <v>2160</v>
      </c>
      <c r="AN4185" t="s">
        <v>166</v>
      </c>
      <c r="AP4185" t="s">
        <v>49</v>
      </c>
    </row>
    <row r="4186" spans="1:42" x14ac:dyDescent="0.2">
      <c r="A4186" t="s">
        <v>2148</v>
      </c>
      <c r="B4186" t="s">
        <v>1664</v>
      </c>
      <c r="C4186">
        <v>2005</v>
      </c>
      <c r="D4186" t="s">
        <v>44</v>
      </c>
      <c r="F4186" t="s">
        <v>2149</v>
      </c>
      <c r="G4186" t="s">
        <v>87</v>
      </c>
      <c r="H4186" t="s">
        <v>350</v>
      </c>
      <c r="I4186">
        <v>1998</v>
      </c>
      <c r="K4186" t="s">
        <v>101</v>
      </c>
      <c r="L4186">
        <v>12</v>
      </c>
      <c r="N4186" t="s">
        <v>122</v>
      </c>
      <c r="O4186" t="s">
        <v>247</v>
      </c>
      <c r="P4186" t="s">
        <v>2152</v>
      </c>
      <c r="Q4186" s="1" t="s">
        <v>2281</v>
      </c>
      <c r="R4186" s="1" t="s">
        <v>122</v>
      </c>
      <c r="S4186" s="1" t="s">
        <v>2293</v>
      </c>
      <c r="X4186" t="s">
        <v>211</v>
      </c>
      <c r="Y4186" t="s">
        <v>2279</v>
      </c>
      <c r="Z4186" t="s">
        <v>2280</v>
      </c>
      <c r="AA4186" t="s">
        <v>2358</v>
      </c>
      <c r="AB4186" t="s">
        <v>2290</v>
      </c>
      <c r="AC4186" t="s">
        <v>152</v>
      </c>
      <c r="AD4186" t="s">
        <v>2278</v>
      </c>
      <c r="AH4186" s="4" t="s">
        <v>49</v>
      </c>
      <c r="AK4186" t="s">
        <v>49</v>
      </c>
      <c r="AM4186" t="s">
        <v>2160</v>
      </c>
      <c r="AN4186" t="s">
        <v>166</v>
      </c>
      <c r="AP4186" t="s">
        <v>49</v>
      </c>
    </row>
    <row r="4187" spans="1:42" x14ac:dyDescent="0.2">
      <c r="A4187" t="s">
        <v>2148</v>
      </c>
      <c r="B4187" t="s">
        <v>1664</v>
      </c>
      <c r="C4187">
        <v>2005</v>
      </c>
      <c r="D4187" t="s">
        <v>44</v>
      </c>
      <c r="F4187" t="s">
        <v>2149</v>
      </c>
      <c r="G4187" t="s">
        <v>87</v>
      </c>
      <c r="H4187" t="s">
        <v>350</v>
      </c>
      <c r="I4187">
        <v>1998</v>
      </c>
      <c r="K4187" t="s">
        <v>101</v>
      </c>
      <c r="L4187">
        <v>12</v>
      </c>
      <c r="N4187" t="s">
        <v>122</v>
      </c>
      <c r="O4187" t="s">
        <v>2153</v>
      </c>
      <c r="P4187" t="s">
        <v>2154</v>
      </c>
      <c r="Q4187" s="1" t="s">
        <v>2281</v>
      </c>
      <c r="R4187" s="1" t="s">
        <v>122</v>
      </c>
      <c r="S4187" s="1" t="s">
        <v>2294</v>
      </c>
      <c r="X4187" t="s">
        <v>211</v>
      </c>
      <c r="Y4187" t="s">
        <v>2279</v>
      </c>
      <c r="Z4187" t="s">
        <v>2280</v>
      </c>
      <c r="AA4187" t="s">
        <v>2358</v>
      </c>
      <c r="AB4187" t="s">
        <v>2290</v>
      </c>
      <c r="AC4187" t="s">
        <v>152</v>
      </c>
      <c r="AD4187" t="s">
        <v>2278</v>
      </c>
      <c r="AH4187" s="4" t="s">
        <v>49</v>
      </c>
      <c r="AK4187" t="s">
        <v>49</v>
      </c>
      <c r="AM4187" t="s">
        <v>2160</v>
      </c>
      <c r="AN4187" t="s">
        <v>166</v>
      </c>
      <c r="AP4187" t="s">
        <v>49</v>
      </c>
    </row>
    <row r="4188" spans="1:42" x14ac:dyDescent="0.2">
      <c r="A4188" t="s">
        <v>2148</v>
      </c>
      <c r="B4188" t="s">
        <v>1664</v>
      </c>
      <c r="C4188">
        <v>2005</v>
      </c>
      <c r="D4188" t="s">
        <v>44</v>
      </c>
      <c r="F4188" t="s">
        <v>2149</v>
      </c>
      <c r="G4188" t="s">
        <v>87</v>
      </c>
      <c r="H4188" t="s">
        <v>350</v>
      </c>
      <c r="I4188">
        <v>1998</v>
      </c>
      <c r="K4188" t="s">
        <v>101</v>
      </c>
      <c r="L4188">
        <v>12</v>
      </c>
      <c r="N4188" t="s">
        <v>122</v>
      </c>
      <c r="O4188" t="s">
        <v>2155</v>
      </c>
      <c r="Q4188" s="1" t="s">
        <v>2281</v>
      </c>
      <c r="R4188" s="1" t="s">
        <v>122</v>
      </c>
      <c r="S4188" s="1" t="s">
        <v>2294</v>
      </c>
      <c r="X4188" t="s">
        <v>211</v>
      </c>
      <c r="Y4188" t="s">
        <v>2279</v>
      </c>
      <c r="Z4188" t="s">
        <v>2280</v>
      </c>
      <c r="AA4188" t="s">
        <v>2358</v>
      </c>
      <c r="AB4188" t="s">
        <v>2290</v>
      </c>
      <c r="AC4188" t="s">
        <v>152</v>
      </c>
      <c r="AD4188" t="s">
        <v>2278</v>
      </c>
      <c r="AH4188" s="4" t="s">
        <v>49</v>
      </c>
      <c r="AK4188" t="s">
        <v>49</v>
      </c>
      <c r="AM4188" t="s">
        <v>2160</v>
      </c>
      <c r="AN4188" t="s">
        <v>166</v>
      </c>
      <c r="AP4188" t="s">
        <v>49</v>
      </c>
    </row>
    <row r="4189" spans="1:42" x14ac:dyDescent="0.2">
      <c r="A4189" t="s">
        <v>2148</v>
      </c>
      <c r="B4189" t="s">
        <v>1664</v>
      </c>
      <c r="C4189">
        <v>2005</v>
      </c>
      <c r="D4189" t="s">
        <v>44</v>
      </c>
      <c r="F4189" t="s">
        <v>2149</v>
      </c>
      <c r="G4189" t="s">
        <v>87</v>
      </c>
      <c r="H4189" t="s">
        <v>350</v>
      </c>
      <c r="I4189">
        <v>1998</v>
      </c>
      <c r="K4189" t="s">
        <v>101</v>
      </c>
      <c r="L4189">
        <v>12</v>
      </c>
      <c r="N4189" t="s">
        <v>122</v>
      </c>
      <c r="O4189" t="s">
        <v>2156</v>
      </c>
      <c r="P4189" t="s">
        <v>2157</v>
      </c>
      <c r="Q4189" s="1" t="s">
        <v>2281</v>
      </c>
      <c r="R4189" s="1" t="s">
        <v>122</v>
      </c>
      <c r="S4189" s="1" t="s">
        <v>2293</v>
      </c>
      <c r="X4189" t="s">
        <v>211</v>
      </c>
      <c r="Y4189" t="s">
        <v>2279</v>
      </c>
      <c r="Z4189" t="s">
        <v>2280</v>
      </c>
      <c r="AA4189" t="s">
        <v>2358</v>
      </c>
      <c r="AB4189" t="s">
        <v>2290</v>
      </c>
      <c r="AC4189" t="s">
        <v>152</v>
      </c>
      <c r="AD4189" t="s">
        <v>2278</v>
      </c>
      <c r="AH4189" s="4" t="s">
        <v>49</v>
      </c>
      <c r="AK4189" t="s">
        <v>49</v>
      </c>
      <c r="AM4189" t="s">
        <v>2160</v>
      </c>
      <c r="AN4189" t="s">
        <v>166</v>
      </c>
      <c r="AP4189" t="s">
        <v>49</v>
      </c>
    </row>
    <row r="4190" spans="1:42" x14ac:dyDescent="0.2">
      <c r="A4190" t="s">
        <v>2148</v>
      </c>
      <c r="B4190" t="s">
        <v>1664</v>
      </c>
      <c r="C4190">
        <v>2005</v>
      </c>
      <c r="D4190" t="s">
        <v>44</v>
      </c>
      <c r="F4190" t="s">
        <v>2149</v>
      </c>
      <c r="G4190" t="s">
        <v>87</v>
      </c>
      <c r="H4190" t="s">
        <v>350</v>
      </c>
      <c r="I4190">
        <v>1998</v>
      </c>
      <c r="K4190" t="s">
        <v>101</v>
      </c>
      <c r="L4190">
        <v>12</v>
      </c>
      <c r="N4190" t="s">
        <v>131</v>
      </c>
      <c r="O4190" t="s">
        <v>695</v>
      </c>
      <c r="Q4190" s="1" t="s">
        <v>2281</v>
      </c>
      <c r="R4190" s="1" t="s">
        <v>2295</v>
      </c>
      <c r="S4190" s="1" t="s">
        <v>2295</v>
      </c>
      <c r="X4190" t="s">
        <v>211</v>
      </c>
      <c r="Y4190" t="s">
        <v>2279</v>
      </c>
      <c r="Z4190" t="s">
        <v>2280</v>
      </c>
      <c r="AA4190" t="s">
        <v>2358</v>
      </c>
      <c r="AB4190" t="s">
        <v>2290</v>
      </c>
      <c r="AC4190" t="s">
        <v>152</v>
      </c>
      <c r="AD4190" t="s">
        <v>2278</v>
      </c>
      <c r="AH4190" s="4" t="s">
        <v>49</v>
      </c>
      <c r="AK4190" t="s">
        <v>49</v>
      </c>
      <c r="AM4190" t="s">
        <v>2160</v>
      </c>
      <c r="AN4190" t="s">
        <v>166</v>
      </c>
      <c r="AP4190" t="s">
        <v>49</v>
      </c>
    </row>
    <row r="4191" spans="1:42" x14ac:dyDescent="0.2">
      <c r="A4191" t="s">
        <v>2148</v>
      </c>
      <c r="B4191" t="s">
        <v>1664</v>
      </c>
      <c r="C4191">
        <v>2005</v>
      </c>
      <c r="D4191" t="s">
        <v>44</v>
      </c>
      <c r="F4191" t="s">
        <v>2149</v>
      </c>
      <c r="G4191" t="s">
        <v>87</v>
      </c>
      <c r="H4191" t="s">
        <v>350</v>
      </c>
      <c r="I4191">
        <v>1998</v>
      </c>
      <c r="K4191" t="s">
        <v>101</v>
      </c>
      <c r="L4191">
        <v>12</v>
      </c>
      <c r="N4191" t="s">
        <v>127</v>
      </c>
      <c r="O4191" t="s">
        <v>2158</v>
      </c>
      <c r="Q4191" s="1" t="s">
        <v>2281</v>
      </c>
      <c r="R4191" s="1" t="s">
        <v>2291</v>
      </c>
      <c r="S4191" s="1" t="s">
        <v>2291</v>
      </c>
      <c r="X4191" t="s">
        <v>211</v>
      </c>
      <c r="Y4191" t="s">
        <v>2279</v>
      </c>
      <c r="Z4191" t="s">
        <v>2280</v>
      </c>
      <c r="AA4191" t="s">
        <v>2358</v>
      </c>
      <c r="AB4191" t="s">
        <v>2290</v>
      </c>
      <c r="AC4191" t="s">
        <v>152</v>
      </c>
      <c r="AD4191" t="s">
        <v>2278</v>
      </c>
      <c r="AH4191" s="4" t="s">
        <v>49</v>
      </c>
      <c r="AK4191" t="s">
        <v>49</v>
      </c>
      <c r="AM4191" t="s">
        <v>2160</v>
      </c>
      <c r="AN4191" t="s">
        <v>166</v>
      </c>
      <c r="AP4191" t="s">
        <v>49</v>
      </c>
    </row>
    <row r="4192" spans="1:42" x14ac:dyDescent="0.2">
      <c r="A4192" t="s">
        <v>2148</v>
      </c>
      <c r="B4192" t="s">
        <v>1664</v>
      </c>
      <c r="C4192">
        <v>2005</v>
      </c>
      <c r="D4192" t="s">
        <v>44</v>
      </c>
      <c r="F4192" t="s">
        <v>2149</v>
      </c>
      <c r="G4192" t="s">
        <v>87</v>
      </c>
      <c r="H4192" t="s">
        <v>350</v>
      </c>
      <c r="I4192">
        <v>1998</v>
      </c>
      <c r="K4192" t="s">
        <v>101</v>
      </c>
      <c r="L4192">
        <v>12</v>
      </c>
      <c r="N4192" t="s">
        <v>121</v>
      </c>
      <c r="O4192" t="s">
        <v>121</v>
      </c>
      <c r="Q4192" s="1" t="s">
        <v>2292</v>
      </c>
      <c r="R4192" s="1" t="s">
        <v>264</v>
      </c>
      <c r="S4192" s="1" t="s">
        <v>264</v>
      </c>
      <c r="X4192" t="s">
        <v>211</v>
      </c>
      <c r="Y4192" t="s">
        <v>2279</v>
      </c>
      <c r="Z4192" t="s">
        <v>2280</v>
      </c>
      <c r="AA4192" t="s">
        <v>2358</v>
      </c>
      <c r="AB4192" t="s">
        <v>2290</v>
      </c>
      <c r="AC4192" t="s">
        <v>152</v>
      </c>
      <c r="AD4192" t="s">
        <v>2278</v>
      </c>
      <c r="AH4192" s="4" t="s">
        <v>49</v>
      </c>
      <c r="AK4192" t="s">
        <v>49</v>
      </c>
      <c r="AM4192" t="s">
        <v>2161</v>
      </c>
      <c r="AN4192" t="s">
        <v>166</v>
      </c>
      <c r="AP4192" t="s">
        <v>49</v>
      </c>
    </row>
    <row r="4193" spans="1:42" x14ac:dyDescent="0.2">
      <c r="A4193" t="s">
        <v>2148</v>
      </c>
      <c r="B4193" t="s">
        <v>1664</v>
      </c>
      <c r="C4193">
        <v>2005</v>
      </c>
      <c r="D4193" t="s">
        <v>44</v>
      </c>
      <c r="F4193" t="s">
        <v>2149</v>
      </c>
      <c r="G4193" t="s">
        <v>87</v>
      </c>
      <c r="H4193" t="s">
        <v>350</v>
      </c>
      <c r="I4193">
        <v>1998</v>
      </c>
      <c r="K4193" t="s">
        <v>101</v>
      </c>
      <c r="L4193">
        <v>12</v>
      </c>
      <c r="N4193" t="s">
        <v>128</v>
      </c>
      <c r="O4193" t="s">
        <v>755</v>
      </c>
      <c r="P4193" t="s">
        <v>2150</v>
      </c>
      <c r="Q4193" s="1" t="s">
        <v>2276</v>
      </c>
      <c r="R4193" s="1" t="s">
        <v>755</v>
      </c>
      <c r="S4193" s="1" t="s">
        <v>2352</v>
      </c>
      <c r="X4193" t="s">
        <v>211</v>
      </c>
      <c r="Y4193" t="s">
        <v>2279</v>
      </c>
      <c r="Z4193" t="s">
        <v>2280</v>
      </c>
      <c r="AA4193" t="s">
        <v>2358</v>
      </c>
      <c r="AB4193" t="s">
        <v>2290</v>
      </c>
      <c r="AC4193" t="s">
        <v>152</v>
      </c>
      <c r="AD4193" t="s">
        <v>2278</v>
      </c>
      <c r="AH4193" s="4" t="s">
        <v>49</v>
      </c>
      <c r="AK4193" t="s">
        <v>49</v>
      </c>
      <c r="AM4193" t="s">
        <v>2161</v>
      </c>
      <c r="AN4193" t="s">
        <v>166</v>
      </c>
      <c r="AP4193" t="s">
        <v>49</v>
      </c>
    </row>
    <row r="4194" spans="1:42" x14ac:dyDescent="0.2">
      <c r="A4194" t="s">
        <v>2148</v>
      </c>
      <c r="B4194" t="s">
        <v>1664</v>
      </c>
      <c r="C4194">
        <v>2005</v>
      </c>
      <c r="D4194" t="s">
        <v>44</v>
      </c>
      <c r="F4194" t="s">
        <v>2149</v>
      </c>
      <c r="G4194" t="s">
        <v>87</v>
      </c>
      <c r="H4194" t="s">
        <v>350</v>
      </c>
      <c r="I4194">
        <v>1998</v>
      </c>
      <c r="K4194" t="s">
        <v>101</v>
      </c>
      <c r="L4194">
        <v>12</v>
      </c>
      <c r="N4194" t="s">
        <v>128</v>
      </c>
      <c r="O4194" t="s">
        <v>669</v>
      </c>
      <c r="P4194" t="s">
        <v>2151</v>
      </c>
      <c r="Q4194" s="1" t="s">
        <v>2276</v>
      </c>
      <c r="R4194" s="1" t="s">
        <v>669</v>
      </c>
      <c r="S4194" s="1" t="s">
        <v>168</v>
      </c>
      <c r="X4194" t="s">
        <v>211</v>
      </c>
      <c r="Y4194" t="s">
        <v>2279</v>
      </c>
      <c r="Z4194" t="s">
        <v>2280</v>
      </c>
      <c r="AA4194" t="s">
        <v>2358</v>
      </c>
      <c r="AB4194" t="s">
        <v>2290</v>
      </c>
      <c r="AC4194" t="s">
        <v>152</v>
      </c>
      <c r="AD4194" t="s">
        <v>2278</v>
      </c>
      <c r="AH4194" s="4" t="s">
        <v>49</v>
      </c>
      <c r="AK4194" t="s">
        <v>49</v>
      </c>
      <c r="AM4194" t="s">
        <v>2161</v>
      </c>
      <c r="AN4194" t="s">
        <v>166</v>
      </c>
      <c r="AP4194" t="s">
        <v>49</v>
      </c>
    </row>
    <row r="4195" spans="1:42" x14ac:dyDescent="0.2">
      <c r="A4195" t="s">
        <v>2148</v>
      </c>
      <c r="B4195" t="s">
        <v>1664</v>
      </c>
      <c r="C4195">
        <v>2005</v>
      </c>
      <c r="D4195" t="s">
        <v>44</v>
      </c>
      <c r="F4195" t="s">
        <v>2149</v>
      </c>
      <c r="G4195" t="s">
        <v>87</v>
      </c>
      <c r="H4195" t="s">
        <v>350</v>
      </c>
      <c r="I4195">
        <v>1998</v>
      </c>
      <c r="K4195" t="s">
        <v>101</v>
      </c>
      <c r="L4195">
        <v>12</v>
      </c>
      <c r="N4195" t="s">
        <v>122</v>
      </c>
      <c r="O4195" t="s">
        <v>247</v>
      </c>
      <c r="P4195" t="s">
        <v>2152</v>
      </c>
      <c r="Q4195" s="1" t="s">
        <v>2281</v>
      </c>
      <c r="R4195" s="1" t="s">
        <v>122</v>
      </c>
      <c r="S4195" s="1" t="s">
        <v>2293</v>
      </c>
      <c r="X4195" t="s">
        <v>211</v>
      </c>
      <c r="Y4195" t="s">
        <v>2279</v>
      </c>
      <c r="Z4195" t="s">
        <v>2280</v>
      </c>
      <c r="AA4195" t="s">
        <v>2358</v>
      </c>
      <c r="AB4195" t="s">
        <v>2290</v>
      </c>
      <c r="AC4195" t="s">
        <v>152</v>
      </c>
      <c r="AD4195" t="s">
        <v>2278</v>
      </c>
      <c r="AH4195" s="4" t="s">
        <v>49</v>
      </c>
      <c r="AK4195" t="s">
        <v>49</v>
      </c>
      <c r="AM4195" t="s">
        <v>2161</v>
      </c>
      <c r="AN4195" t="s">
        <v>166</v>
      </c>
      <c r="AP4195" t="s">
        <v>49</v>
      </c>
    </row>
    <row r="4196" spans="1:42" x14ac:dyDescent="0.2">
      <c r="A4196" t="s">
        <v>2148</v>
      </c>
      <c r="B4196" t="s">
        <v>1664</v>
      </c>
      <c r="C4196">
        <v>2005</v>
      </c>
      <c r="D4196" t="s">
        <v>44</v>
      </c>
      <c r="F4196" t="s">
        <v>2149</v>
      </c>
      <c r="G4196" t="s">
        <v>87</v>
      </c>
      <c r="H4196" t="s">
        <v>350</v>
      </c>
      <c r="I4196">
        <v>1998</v>
      </c>
      <c r="K4196" t="s">
        <v>101</v>
      </c>
      <c r="L4196">
        <v>12</v>
      </c>
      <c r="N4196" t="s">
        <v>122</v>
      </c>
      <c r="O4196" t="s">
        <v>2153</v>
      </c>
      <c r="P4196" t="s">
        <v>2154</v>
      </c>
      <c r="Q4196" s="1" t="s">
        <v>2281</v>
      </c>
      <c r="R4196" s="1" t="s">
        <v>122</v>
      </c>
      <c r="S4196" s="1" t="s">
        <v>2294</v>
      </c>
      <c r="X4196" t="s">
        <v>211</v>
      </c>
      <c r="Y4196" t="s">
        <v>2279</v>
      </c>
      <c r="Z4196" t="s">
        <v>2280</v>
      </c>
      <c r="AA4196" t="s">
        <v>2358</v>
      </c>
      <c r="AB4196" t="s">
        <v>2290</v>
      </c>
      <c r="AC4196" t="s">
        <v>152</v>
      </c>
      <c r="AD4196" t="s">
        <v>2278</v>
      </c>
      <c r="AH4196" s="4" t="s">
        <v>49</v>
      </c>
      <c r="AK4196" t="s">
        <v>49</v>
      </c>
      <c r="AM4196" t="s">
        <v>2161</v>
      </c>
      <c r="AN4196" t="s">
        <v>166</v>
      </c>
      <c r="AP4196" t="s">
        <v>49</v>
      </c>
    </row>
    <row r="4197" spans="1:42" x14ac:dyDescent="0.2">
      <c r="A4197" t="s">
        <v>2148</v>
      </c>
      <c r="B4197" t="s">
        <v>1664</v>
      </c>
      <c r="C4197">
        <v>2005</v>
      </c>
      <c r="D4197" t="s">
        <v>44</v>
      </c>
      <c r="F4197" t="s">
        <v>2149</v>
      </c>
      <c r="G4197" t="s">
        <v>87</v>
      </c>
      <c r="H4197" t="s">
        <v>350</v>
      </c>
      <c r="I4197">
        <v>1998</v>
      </c>
      <c r="K4197" t="s">
        <v>101</v>
      </c>
      <c r="L4197">
        <v>12</v>
      </c>
      <c r="N4197" t="s">
        <v>122</v>
      </c>
      <c r="O4197" t="s">
        <v>2155</v>
      </c>
      <c r="Q4197" s="1" t="s">
        <v>2281</v>
      </c>
      <c r="R4197" s="1" t="s">
        <v>122</v>
      </c>
      <c r="S4197" s="1" t="s">
        <v>2294</v>
      </c>
      <c r="X4197" t="s">
        <v>211</v>
      </c>
      <c r="Y4197" t="s">
        <v>2279</v>
      </c>
      <c r="Z4197" t="s">
        <v>2280</v>
      </c>
      <c r="AA4197" t="s">
        <v>2358</v>
      </c>
      <c r="AB4197" t="s">
        <v>2290</v>
      </c>
      <c r="AC4197" t="s">
        <v>152</v>
      </c>
      <c r="AD4197" t="s">
        <v>2278</v>
      </c>
      <c r="AH4197" s="4" t="s">
        <v>49</v>
      </c>
      <c r="AK4197" t="s">
        <v>49</v>
      </c>
      <c r="AM4197" t="s">
        <v>2161</v>
      </c>
      <c r="AN4197" t="s">
        <v>166</v>
      </c>
      <c r="AP4197" t="s">
        <v>49</v>
      </c>
    </row>
    <row r="4198" spans="1:42" x14ac:dyDescent="0.2">
      <c r="A4198" t="s">
        <v>2148</v>
      </c>
      <c r="B4198" t="s">
        <v>1664</v>
      </c>
      <c r="C4198">
        <v>2005</v>
      </c>
      <c r="D4198" t="s">
        <v>44</v>
      </c>
      <c r="F4198" t="s">
        <v>2149</v>
      </c>
      <c r="G4198" t="s">
        <v>87</v>
      </c>
      <c r="H4198" t="s">
        <v>350</v>
      </c>
      <c r="I4198">
        <v>1998</v>
      </c>
      <c r="K4198" t="s">
        <v>101</v>
      </c>
      <c r="L4198">
        <v>12</v>
      </c>
      <c r="N4198" t="s">
        <v>122</v>
      </c>
      <c r="O4198" t="s">
        <v>2156</v>
      </c>
      <c r="P4198" t="s">
        <v>2157</v>
      </c>
      <c r="Q4198" s="1" t="s">
        <v>2281</v>
      </c>
      <c r="R4198" s="1" t="s">
        <v>122</v>
      </c>
      <c r="S4198" s="1" t="s">
        <v>2293</v>
      </c>
      <c r="X4198" t="s">
        <v>211</v>
      </c>
      <c r="Y4198" t="s">
        <v>2279</v>
      </c>
      <c r="Z4198" t="s">
        <v>2280</v>
      </c>
      <c r="AA4198" t="s">
        <v>2358</v>
      </c>
      <c r="AB4198" t="s">
        <v>2290</v>
      </c>
      <c r="AC4198" t="s">
        <v>152</v>
      </c>
      <c r="AD4198" t="s">
        <v>2278</v>
      </c>
      <c r="AH4198" s="4" t="s">
        <v>49</v>
      </c>
      <c r="AK4198" t="s">
        <v>49</v>
      </c>
      <c r="AM4198" t="s">
        <v>2161</v>
      </c>
      <c r="AN4198" t="s">
        <v>166</v>
      </c>
      <c r="AP4198" t="s">
        <v>49</v>
      </c>
    </row>
    <row r="4199" spans="1:42" x14ac:dyDescent="0.2">
      <c r="A4199" t="s">
        <v>2148</v>
      </c>
      <c r="B4199" t="s">
        <v>1664</v>
      </c>
      <c r="C4199">
        <v>2005</v>
      </c>
      <c r="D4199" t="s">
        <v>44</v>
      </c>
      <c r="F4199" t="s">
        <v>2149</v>
      </c>
      <c r="G4199" t="s">
        <v>87</v>
      </c>
      <c r="H4199" t="s">
        <v>350</v>
      </c>
      <c r="I4199">
        <v>1998</v>
      </c>
      <c r="K4199" t="s">
        <v>101</v>
      </c>
      <c r="L4199">
        <v>12</v>
      </c>
      <c r="N4199" t="s">
        <v>131</v>
      </c>
      <c r="O4199" t="s">
        <v>695</v>
      </c>
      <c r="Q4199" s="1" t="s">
        <v>2281</v>
      </c>
      <c r="R4199" s="1" t="s">
        <v>2295</v>
      </c>
      <c r="S4199" s="1" t="s">
        <v>2295</v>
      </c>
      <c r="X4199" t="s">
        <v>211</v>
      </c>
      <c r="Y4199" t="s">
        <v>2279</v>
      </c>
      <c r="Z4199" t="s">
        <v>2280</v>
      </c>
      <c r="AA4199" t="s">
        <v>2358</v>
      </c>
      <c r="AB4199" t="s">
        <v>2290</v>
      </c>
      <c r="AC4199" t="s">
        <v>152</v>
      </c>
      <c r="AD4199" t="s">
        <v>2278</v>
      </c>
      <c r="AH4199" s="4" t="s">
        <v>49</v>
      </c>
      <c r="AK4199" t="s">
        <v>49</v>
      </c>
      <c r="AM4199" t="s">
        <v>2161</v>
      </c>
      <c r="AN4199" t="s">
        <v>166</v>
      </c>
      <c r="AP4199" t="s">
        <v>49</v>
      </c>
    </row>
    <row r="4200" spans="1:42" x14ac:dyDescent="0.2">
      <c r="A4200" t="s">
        <v>2148</v>
      </c>
      <c r="B4200" t="s">
        <v>1664</v>
      </c>
      <c r="C4200">
        <v>2005</v>
      </c>
      <c r="D4200" t="s">
        <v>44</v>
      </c>
      <c r="F4200" t="s">
        <v>2149</v>
      </c>
      <c r="G4200" t="s">
        <v>87</v>
      </c>
      <c r="H4200" t="s">
        <v>350</v>
      </c>
      <c r="I4200">
        <v>1998</v>
      </c>
      <c r="K4200" t="s">
        <v>101</v>
      </c>
      <c r="L4200">
        <v>12</v>
      </c>
      <c r="N4200" t="s">
        <v>127</v>
      </c>
      <c r="O4200" t="s">
        <v>2158</v>
      </c>
      <c r="Q4200" s="1" t="s">
        <v>2281</v>
      </c>
      <c r="R4200" s="1" t="s">
        <v>2291</v>
      </c>
      <c r="S4200" s="1" t="s">
        <v>2291</v>
      </c>
      <c r="X4200" t="s">
        <v>211</v>
      </c>
      <c r="Y4200" t="s">
        <v>2279</v>
      </c>
      <c r="Z4200" t="s">
        <v>2280</v>
      </c>
      <c r="AA4200" t="s">
        <v>2358</v>
      </c>
      <c r="AB4200" t="s">
        <v>2290</v>
      </c>
      <c r="AC4200" t="s">
        <v>152</v>
      </c>
      <c r="AD4200" t="s">
        <v>2278</v>
      </c>
      <c r="AH4200" s="4" t="s">
        <v>49</v>
      </c>
      <c r="AK4200" t="s">
        <v>49</v>
      </c>
      <c r="AM4200" t="s">
        <v>2161</v>
      </c>
      <c r="AN4200" t="s">
        <v>166</v>
      </c>
      <c r="AP4200" t="s">
        <v>49</v>
      </c>
    </row>
    <row r="4201" spans="1:42" x14ac:dyDescent="0.2">
      <c r="A4201" t="s">
        <v>2148</v>
      </c>
      <c r="B4201" t="s">
        <v>1664</v>
      </c>
      <c r="C4201">
        <v>2005</v>
      </c>
      <c r="D4201" t="s">
        <v>44</v>
      </c>
      <c r="F4201" t="s">
        <v>2149</v>
      </c>
      <c r="G4201" t="s">
        <v>87</v>
      </c>
      <c r="H4201" t="s">
        <v>350</v>
      </c>
      <c r="I4201">
        <v>1998</v>
      </c>
      <c r="K4201" t="s">
        <v>101</v>
      </c>
      <c r="L4201">
        <v>12</v>
      </c>
      <c r="N4201" t="s">
        <v>121</v>
      </c>
      <c r="O4201" t="s">
        <v>121</v>
      </c>
      <c r="Q4201" s="1" t="s">
        <v>2292</v>
      </c>
      <c r="R4201" s="1" t="s">
        <v>264</v>
      </c>
      <c r="S4201" s="1" t="s">
        <v>264</v>
      </c>
      <c r="X4201" t="s">
        <v>211</v>
      </c>
      <c r="Y4201" t="s">
        <v>2279</v>
      </c>
      <c r="Z4201" t="s">
        <v>2280</v>
      </c>
      <c r="AA4201" t="s">
        <v>2358</v>
      </c>
      <c r="AB4201" t="s">
        <v>2290</v>
      </c>
      <c r="AC4201" t="s">
        <v>152</v>
      </c>
      <c r="AD4201" t="s">
        <v>2278</v>
      </c>
      <c r="AH4201" s="4" t="s">
        <v>49</v>
      </c>
      <c r="AK4201" t="s">
        <v>49</v>
      </c>
      <c r="AM4201" t="s">
        <v>2162</v>
      </c>
      <c r="AN4201" t="s">
        <v>166</v>
      </c>
      <c r="AP4201" t="s">
        <v>49</v>
      </c>
    </row>
    <row r="4202" spans="1:42" x14ac:dyDescent="0.2">
      <c r="A4202" t="s">
        <v>2148</v>
      </c>
      <c r="B4202" t="s">
        <v>1664</v>
      </c>
      <c r="C4202">
        <v>2005</v>
      </c>
      <c r="D4202" t="s">
        <v>44</v>
      </c>
      <c r="F4202" t="s">
        <v>2149</v>
      </c>
      <c r="G4202" t="s">
        <v>87</v>
      </c>
      <c r="H4202" t="s">
        <v>350</v>
      </c>
      <c r="I4202">
        <v>1998</v>
      </c>
      <c r="K4202" t="s">
        <v>101</v>
      </c>
      <c r="L4202">
        <v>12</v>
      </c>
      <c r="N4202" t="s">
        <v>128</v>
      </c>
      <c r="O4202" t="s">
        <v>755</v>
      </c>
      <c r="P4202" t="s">
        <v>2150</v>
      </c>
      <c r="Q4202" s="1" t="s">
        <v>2276</v>
      </c>
      <c r="R4202" s="1" t="s">
        <v>755</v>
      </c>
      <c r="S4202" s="1" t="s">
        <v>2352</v>
      </c>
      <c r="X4202" t="s">
        <v>211</v>
      </c>
      <c r="Y4202" t="s">
        <v>2279</v>
      </c>
      <c r="Z4202" t="s">
        <v>2280</v>
      </c>
      <c r="AA4202" t="s">
        <v>2358</v>
      </c>
      <c r="AB4202" t="s">
        <v>2290</v>
      </c>
      <c r="AC4202" t="s">
        <v>152</v>
      </c>
      <c r="AD4202" t="s">
        <v>2278</v>
      </c>
      <c r="AH4202" s="4" t="s">
        <v>49</v>
      </c>
      <c r="AK4202" t="s">
        <v>49</v>
      </c>
      <c r="AM4202" t="s">
        <v>2162</v>
      </c>
      <c r="AN4202" t="s">
        <v>166</v>
      </c>
      <c r="AP4202" t="s">
        <v>49</v>
      </c>
    </row>
    <row r="4203" spans="1:42" x14ac:dyDescent="0.2">
      <c r="A4203" t="s">
        <v>2148</v>
      </c>
      <c r="B4203" t="s">
        <v>1664</v>
      </c>
      <c r="C4203">
        <v>2005</v>
      </c>
      <c r="D4203" t="s">
        <v>44</v>
      </c>
      <c r="F4203" t="s">
        <v>2149</v>
      </c>
      <c r="G4203" t="s">
        <v>87</v>
      </c>
      <c r="H4203" t="s">
        <v>350</v>
      </c>
      <c r="I4203">
        <v>1998</v>
      </c>
      <c r="K4203" t="s">
        <v>101</v>
      </c>
      <c r="L4203">
        <v>12</v>
      </c>
      <c r="N4203" t="s">
        <v>128</v>
      </c>
      <c r="O4203" t="s">
        <v>669</v>
      </c>
      <c r="P4203" t="s">
        <v>2151</v>
      </c>
      <c r="Q4203" s="1" t="s">
        <v>2276</v>
      </c>
      <c r="R4203" s="1" t="s">
        <v>669</v>
      </c>
      <c r="S4203" s="1" t="s">
        <v>168</v>
      </c>
      <c r="X4203" t="s">
        <v>211</v>
      </c>
      <c r="Y4203" t="s">
        <v>2279</v>
      </c>
      <c r="Z4203" t="s">
        <v>2280</v>
      </c>
      <c r="AA4203" t="s">
        <v>2358</v>
      </c>
      <c r="AB4203" t="s">
        <v>2290</v>
      </c>
      <c r="AC4203" t="s">
        <v>152</v>
      </c>
      <c r="AD4203" t="s">
        <v>2278</v>
      </c>
      <c r="AH4203" s="4" t="s">
        <v>49</v>
      </c>
      <c r="AK4203" t="s">
        <v>49</v>
      </c>
      <c r="AM4203" t="s">
        <v>2162</v>
      </c>
      <c r="AN4203" t="s">
        <v>166</v>
      </c>
      <c r="AP4203" t="s">
        <v>49</v>
      </c>
    </row>
    <row r="4204" spans="1:42" x14ac:dyDescent="0.2">
      <c r="A4204" t="s">
        <v>2148</v>
      </c>
      <c r="B4204" t="s">
        <v>1664</v>
      </c>
      <c r="C4204">
        <v>2005</v>
      </c>
      <c r="D4204" t="s">
        <v>44</v>
      </c>
      <c r="F4204" t="s">
        <v>2149</v>
      </c>
      <c r="G4204" t="s">
        <v>87</v>
      </c>
      <c r="H4204" t="s">
        <v>350</v>
      </c>
      <c r="I4204">
        <v>1998</v>
      </c>
      <c r="K4204" t="s">
        <v>101</v>
      </c>
      <c r="L4204">
        <v>12</v>
      </c>
      <c r="N4204" t="s">
        <v>122</v>
      </c>
      <c r="O4204" t="s">
        <v>247</v>
      </c>
      <c r="P4204" t="s">
        <v>2152</v>
      </c>
      <c r="Q4204" s="1" t="s">
        <v>2281</v>
      </c>
      <c r="R4204" s="1" t="s">
        <v>122</v>
      </c>
      <c r="S4204" s="1" t="s">
        <v>2293</v>
      </c>
      <c r="X4204" t="s">
        <v>211</v>
      </c>
      <c r="Y4204" t="s">
        <v>2279</v>
      </c>
      <c r="Z4204" t="s">
        <v>2280</v>
      </c>
      <c r="AA4204" t="s">
        <v>2358</v>
      </c>
      <c r="AB4204" t="s">
        <v>2290</v>
      </c>
      <c r="AC4204" t="s">
        <v>152</v>
      </c>
      <c r="AD4204" t="s">
        <v>2278</v>
      </c>
      <c r="AH4204" s="4" t="s">
        <v>49</v>
      </c>
      <c r="AK4204" t="s">
        <v>49</v>
      </c>
      <c r="AM4204" t="s">
        <v>2162</v>
      </c>
      <c r="AN4204" t="s">
        <v>166</v>
      </c>
      <c r="AP4204" t="s">
        <v>49</v>
      </c>
    </row>
    <row r="4205" spans="1:42" x14ac:dyDescent="0.2">
      <c r="A4205" t="s">
        <v>2148</v>
      </c>
      <c r="B4205" t="s">
        <v>1664</v>
      </c>
      <c r="C4205">
        <v>2005</v>
      </c>
      <c r="D4205" t="s">
        <v>44</v>
      </c>
      <c r="F4205" t="s">
        <v>2149</v>
      </c>
      <c r="G4205" t="s">
        <v>87</v>
      </c>
      <c r="H4205" t="s">
        <v>350</v>
      </c>
      <c r="I4205">
        <v>1998</v>
      </c>
      <c r="K4205" t="s">
        <v>101</v>
      </c>
      <c r="L4205">
        <v>12</v>
      </c>
      <c r="N4205" t="s">
        <v>122</v>
      </c>
      <c r="O4205" t="s">
        <v>2153</v>
      </c>
      <c r="P4205" t="s">
        <v>2154</v>
      </c>
      <c r="Q4205" s="1" t="s">
        <v>2281</v>
      </c>
      <c r="R4205" s="1" t="s">
        <v>122</v>
      </c>
      <c r="S4205" s="1" t="s">
        <v>2294</v>
      </c>
      <c r="X4205" t="s">
        <v>211</v>
      </c>
      <c r="Y4205" t="s">
        <v>2279</v>
      </c>
      <c r="Z4205" t="s">
        <v>2280</v>
      </c>
      <c r="AA4205" t="s">
        <v>2358</v>
      </c>
      <c r="AB4205" t="s">
        <v>2290</v>
      </c>
      <c r="AC4205" t="s">
        <v>152</v>
      </c>
      <c r="AD4205" t="s">
        <v>2278</v>
      </c>
      <c r="AH4205" s="4" t="s">
        <v>49</v>
      </c>
      <c r="AK4205" t="s">
        <v>49</v>
      </c>
      <c r="AM4205" t="s">
        <v>2162</v>
      </c>
      <c r="AN4205" t="s">
        <v>166</v>
      </c>
      <c r="AP4205" t="s">
        <v>49</v>
      </c>
    </row>
    <row r="4206" spans="1:42" x14ac:dyDescent="0.2">
      <c r="A4206" t="s">
        <v>2148</v>
      </c>
      <c r="B4206" t="s">
        <v>1664</v>
      </c>
      <c r="C4206">
        <v>2005</v>
      </c>
      <c r="D4206" t="s">
        <v>44</v>
      </c>
      <c r="F4206" t="s">
        <v>2149</v>
      </c>
      <c r="G4206" t="s">
        <v>87</v>
      </c>
      <c r="H4206" t="s">
        <v>350</v>
      </c>
      <c r="I4206">
        <v>1998</v>
      </c>
      <c r="K4206" t="s">
        <v>101</v>
      </c>
      <c r="L4206">
        <v>12</v>
      </c>
      <c r="N4206" t="s">
        <v>122</v>
      </c>
      <c r="O4206" t="s">
        <v>2155</v>
      </c>
      <c r="Q4206" s="1" t="s">
        <v>2281</v>
      </c>
      <c r="R4206" s="1" t="s">
        <v>122</v>
      </c>
      <c r="S4206" s="1" t="s">
        <v>2294</v>
      </c>
      <c r="X4206" t="s">
        <v>211</v>
      </c>
      <c r="Y4206" t="s">
        <v>2279</v>
      </c>
      <c r="Z4206" t="s">
        <v>2280</v>
      </c>
      <c r="AA4206" t="s">
        <v>2358</v>
      </c>
      <c r="AB4206" t="s">
        <v>2290</v>
      </c>
      <c r="AC4206" t="s">
        <v>152</v>
      </c>
      <c r="AD4206" t="s">
        <v>2278</v>
      </c>
      <c r="AH4206" s="4" t="s">
        <v>49</v>
      </c>
      <c r="AK4206" t="s">
        <v>49</v>
      </c>
      <c r="AM4206" t="s">
        <v>2162</v>
      </c>
      <c r="AN4206" t="s">
        <v>166</v>
      </c>
      <c r="AP4206" t="s">
        <v>49</v>
      </c>
    </row>
    <row r="4207" spans="1:42" x14ac:dyDescent="0.2">
      <c r="A4207" t="s">
        <v>2148</v>
      </c>
      <c r="B4207" t="s">
        <v>1664</v>
      </c>
      <c r="C4207">
        <v>2005</v>
      </c>
      <c r="D4207" t="s">
        <v>44</v>
      </c>
      <c r="F4207" t="s">
        <v>2149</v>
      </c>
      <c r="G4207" t="s">
        <v>87</v>
      </c>
      <c r="H4207" t="s">
        <v>350</v>
      </c>
      <c r="I4207">
        <v>1998</v>
      </c>
      <c r="K4207" t="s">
        <v>101</v>
      </c>
      <c r="L4207">
        <v>12</v>
      </c>
      <c r="N4207" t="s">
        <v>122</v>
      </c>
      <c r="O4207" t="s">
        <v>2156</v>
      </c>
      <c r="P4207" t="s">
        <v>2157</v>
      </c>
      <c r="Q4207" s="1" t="s">
        <v>2281</v>
      </c>
      <c r="R4207" s="1" t="s">
        <v>122</v>
      </c>
      <c r="S4207" s="1" t="s">
        <v>2293</v>
      </c>
      <c r="X4207" t="s">
        <v>211</v>
      </c>
      <c r="Y4207" t="s">
        <v>2279</v>
      </c>
      <c r="Z4207" t="s">
        <v>2280</v>
      </c>
      <c r="AA4207" t="s">
        <v>2358</v>
      </c>
      <c r="AB4207" t="s">
        <v>2290</v>
      </c>
      <c r="AC4207" t="s">
        <v>152</v>
      </c>
      <c r="AD4207" t="s">
        <v>2278</v>
      </c>
      <c r="AH4207" s="4" t="s">
        <v>49</v>
      </c>
      <c r="AK4207" t="s">
        <v>49</v>
      </c>
      <c r="AM4207" t="s">
        <v>2162</v>
      </c>
      <c r="AN4207" t="s">
        <v>166</v>
      </c>
      <c r="AP4207" t="s">
        <v>49</v>
      </c>
    </row>
    <row r="4208" spans="1:42" x14ac:dyDescent="0.2">
      <c r="A4208" t="s">
        <v>2148</v>
      </c>
      <c r="B4208" t="s">
        <v>1664</v>
      </c>
      <c r="C4208">
        <v>2005</v>
      </c>
      <c r="D4208" t="s">
        <v>44</v>
      </c>
      <c r="F4208" t="s">
        <v>2149</v>
      </c>
      <c r="G4208" t="s">
        <v>87</v>
      </c>
      <c r="H4208" t="s">
        <v>350</v>
      </c>
      <c r="I4208">
        <v>1998</v>
      </c>
      <c r="K4208" t="s">
        <v>101</v>
      </c>
      <c r="L4208">
        <v>12</v>
      </c>
      <c r="N4208" t="s">
        <v>131</v>
      </c>
      <c r="O4208" t="s">
        <v>695</v>
      </c>
      <c r="Q4208" s="1" t="s">
        <v>2281</v>
      </c>
      <c r="R4208" s="1" t="s">
        <v>2295</v>
      </c>
      <c r="S4208" s="1" t="s">
        <v>2295</v>
      </c>
      <c r="X4208" t="s">
        <v>211</v>
      </c>
      <c r="Y4208" t="s">
        <v>2279</v>
      </c>
      <c r="Z4208" t="s">
        <v>2280</v>
      </c>
      <c r="AA4208" t="s">
        <v>2358</v>
      </c>
      <c r="AB4208" t="s">
        <v>2290</v>
      </c>
      <c r="AC4208" t="s">
        <v>152</v>
      </c>
      <c r="AD4208" t="s">
        <v>2278</v>
      </c>
      <c r="AH4208" s="4" t="s">
        <v>49</v>
      </c>
      <c r="AK4208" t="s">
        <v>49</v>
      </c>
      <c r="AM4208" t="s">
        <v>2162</v>
      </c>
      <c r="AN4208" t="s">
        <v>166</v>
      </c>
      <c r="AP4208" t="s">
        <v>49</v>
      </c>
    </row>
    <row r="4209" spans="1:42" x14ac:dyDescent="0.2">
      <c r="A4209" t="s">
        <v>2148</v>
      </c>
      <c r="B4209" t="s">
        <v>1664</v>
      </c>
      <c r="C4209">
        <v>2005</v>
      </c>
      <c r="D4209" t="s">
        <v>44</v>
      </c>
      <c r="F4209" t="s">
        <v>2149</v>
      </c>
      <c r="G4209" t="s">
        <v>87</v>
      </c>
      <c r="H4209" t="s">
        <v>350</v>
      </c>
      <c r="I4209">
        <v>1998</v>
      </c>
      <c r="K4209" t="s">
        <v>101</v>
      </c>
      <c r="L4209">
        <v>12</v>
      </c>
      <c r="N4209" t="s">
        <v>127</v>
      </c>
      <c r="O4209" t="s">
        <v>2158</v>
      </c>
      <c r="Q4209" s="1" t="s">
        <v>2281</v>
      </c>
      <c r="R4209" s="1" t="s">
        <v>2291</v>
      </c>
      <c r="S4209" s="1" t="s">
        <v>2291</v>
      </c>
      <c r="X4209" t="s">
        <v>211</v>
      </c>
      <c r="Y4209" t="s">
        <v>2279</v>
      </c>
      <c r="Z4209" t="s">
        <v>2280</v>
      </c>
      <c r="AA4209" t="s">
        <v>2358</v>
      </c>
      <c r="AB4209" t="s">
        <v>2290</v>
      </c>
      <c r="AC4209" t="s">
        <v>152</v>
      </c>
      <c r="AD4209" t="s">
        <v>2278</v>
      </c>
      <c r="AH4209" s="4" t="s">
        <v>49</v>
      </c>
      <c r="AK4209" t="s">
        <v>49</v>
      </c>
      <c r="AM4209" t="s">
        <v>2162</v>
      </c>
      <c r="AN4209" t="s">
        <v>166</v>
      </c>
      <c r="AP4209" t="s">
        <v>49</v>
      </c>
    </row>
    <row r="4210" spans="1:42" x14ac:dyDescent="0.2">
      <c r="A4210" t="s">
        <v>2148</v>
      </c>
      <c r="B4210" t="s">
        <v>1664</v>
      </c>
      <c r="C4210">
        <v>2005</v>
      </c>
      <c r="D4210" t="s">
        <v>44</v>
      </c>
      <c r="F4210" t="s">
        <v>2149</v>
      </c>
      <c r="G4210" t="s">
        <v>87</v>
      </c>
      <c r="H4210" t="s">
        <v>350</v>
      </c>
      <c r="I4210">
        <v>1998</v>
      </c>
      <c r="K4210" t="s">
        <v>101</v>
      </c>
      <c r="L4210">
        <v>12</v>
      </c>
      <c r="N4210" t="s">
        <v>121</v>
      </c>
      <c r="O4210" t="s">
        <v>121</v>
      </c>
      <c r="Q4210" s="1" t="s">
        <v>2292</v>
      </c>
      <c r="R4210" s="1" t="s">
        <v>264</v>
      </c>
      <c r="S4210" s="1" t="s">
        <v>264</v>
      </c>
      <c r="X4210" t="s">
        <v>211</v>
      </c>
      <c r="Y4210" t="s">
        <v>2279</v>
      </c>
      <c r="Z4210" t="s">
        <v>2280</v>
      </c>
      <c r="AA4210" t="s">
        <v>2358</v>
      </c>
      <c r="AB4210" t="s">
        <v>2290</v>
      </c>
      <c r="AC4210" t="s">
        <v>152</v>
      </c>
      <c r="AD4210" t="s">
        <v>2278</v>
      </c>
      <c r="AH4210" s="4" t="s">
        <v>49</v>
      </c>
      <c r="AI4210" t="s">
        <v>49</v>
      </c>
      <c r="AM4210" t="s">
        <v>233</v>
      </c>
      <c r="AN4210" t="s">
        <v>154</v>
      </c>
      <c r="AP4210" t="s">
        <v>49</v>
      </c>
    </row>
    <row r="4211" spans="1:42" x14ac:dyDescent="0.2">
      <c r="A4211" t="s">
        <v>2148</v>
      </c>
      <c r="B4211" t="s">
        <v>1664</v>
      </c>
      <c r="C4211">
        <v>2005</v>
      </c>
      <c r="D4211" t="s">
        <v>44</v>
      </c>
      <c r="F4211" t="s">
        <v>2149</v>
      </c>
      <c r="G4211" t="s">
        <v>87</v>
      </c>
      <c r="H4211" t="s">
        <v>350</v>
      </c>
      <c r="I4211">
        <v>1998</v>
      </c>
      <c r="K4211" t="s">
        <v>101</v>
      </c>
      <c r="L4211">
        <v>12</v>
      </c>
      <c r="N4211" t="s">
        <v>128</v>
      </c>
      <c r="O4211" t="s">
        <v>755</v>
      </c>
      <c r="P4211" t="s">
        <v>2150</v>
      </c>
      <c r="Q4211" s="1" t="s">
        <v>2276</v>
      </c>
      <c r="R4211" s="1" t="s">
        <v>755</v>
      </c>
      <c r="S4211" s="1" t="s">
        <v>2352</v>
      </c>
      <c r="X4211" t="s">
        <v>211</v>
      </c>
      <c r="Y4211" t="s">
        <v>2279</v>
      </c>
      <c r="Z4211" t="s">
        <v>2280</v>
      </c>
      <c r="AA4211" t="s">
        <v>2358</v>
      </c>
      <c r="AB4211" t="s">
        <v>2290</v>
      </c>
      <c r="AC4211" t="s">
        <v>152</v>
      </c>
      <c r="AD4211" t="s">
        <v>2278</v>
      </c>
      <c r="AH4211" s="4" t="s">
        <v>49</v>
      </c>
      <c r="AI4211" t="s">
        <v>49</v>
      </c>
      <c r="AM4211" t="s">
        <v>233</v>
      </c>
      <c r="AN4211" t="s">
        <v>154</v>
      </c>
      <c r="AP4211" t="s">
        <v>49</v>
      </c>
    </row>
    <row r="4212" spans="1:42" x14ac:dyDescent="0.2">
      <c r="A4212" t="s">
        <v>2148</v>
      </c>
      <c r="B4212" t="s">
        <v>1664</v>
      </c>
      <c r="C4212">
        <v>2005</v>
      </c>
      <c r="D4212" t="s">
        <v>44</v>
      </c>
      <c r="F4212" t="s">
        <v>2149</v>
      </c>
      <c r="G4212" t="s">
        <v>87</v>
      </c>
      <c r="H4212" t="s">
        <v>350</v>
      </c>
      <c r="I4212">
        <v>1998</v>
      </c>
      <c r="K4212" t="s">
        <v>101</v>
      </c>
      <c r="L4212">
        <v>12</v>
      </c>
      <c r="N4212" t="s">
        <v>128</v>
      </c>
      <c r="O4212" t="s">
        <v>669</v>
      </c>
      <c r="P4212" t="s">
        <v>2151</v>
      </c>
      <c r="Q4212" s="1" t="s">
        <v>2276</v>
      </c>
      <c r="R4212" s="1" t="s">
        <v>669</v>
      </c>
      <c r="S4212" s="1" t="s">
        <v>168</v>
      </c>
      <c r="X4212" t="s">
        <v>211</v>
      </c>
      <c r="Y4212" t="s">
        <v>2279</v>
      </c>
      <c r="Z4212" t="s">
        <v>2280</v>
      </c>
      <c r="AA4212" t="s">
        <v>2358</v>
      </c>
      <c r="AB4212" t="s">
        <v>2290</v>
      </c>
      <c r="AC4212" t="s">
        <v>152</v>
      </c>
      <c r="AD4212" t="s">
        <v>2278</v>
      </c>
      <c r="AH4212" s="4" t="s">
        <v>49</v>
      </c>
      <c r="AI4212" t="s">
        <v>49</v>
      </c>
      <c r="AM4212" t="s">
        <v>233</v>
      </c>
      <c r="AN4212" t="s">
        <v>154</v>
      </c>
      <c r="AP4212" t="s">
        <v>49</v>
      </c>
    </row>
    <row r="4213" spans="1:42" x14ac:dyDescent="0.2">
      <c r="A4213" t="s">
        <v>2148</v>
      </c>
      <c r="B4213" t="s">
        <v>1664</v>
      </c>
      <c r="C4213">
        <v>2005</v>
      </c>
      <c r="D4213" t="s">
        <v>44</v>
      </c>
      <c r="F4213" t="s">
        <v>2149</v>
      </c>
      <c r="G4213" t="s">
        <v>87</v>
      </c>
      <c r="H4213" t="s">
        <v>350</v>
      </c>
      <c r="I4213">
        <v>1998</v>
      </c>
      <c r="K4213" t="s">
        <v>101</v>
      </c>
      <c r="L4213">
        <v>12</v>
      </c>
      <c r="N4213" t="s">
        <v>122</v>
      </c>
      <c r="O4213" t="s">
        <v>247</v>
      </c>
      <c r="P4213" t="s">
        <v>2152</v>
      </c>
      <c r="Q4213" s="1" t="s">
        <v>2281</v>
      </c>
      <c r="R4213" s="1" t="s">
        <v>122</v>
      </c>
      <c r="S4213" s="1" t="s">
        <v>2293</v>
      </c>
      <c r="X4213" t="s">
        <v>211</v>
      </c>
      <c r="Y4213" t="s">
        <v>2279</v>
      </c>
      <c r="Z4213" t="s">
        <v>2280</v>
      </c>
      <c r="AA4213" t="s">
        <v>2358</v>
      </c>
      <c r="AB4213" t="s">
        <v>2290</v>
      </c>
      <c r="AC4213" t="s">
        <v>152</v>
      </c>
      <c r="AD4213" t="s">
        <v>2278</v>
      </c>
      <c r="AH4213" s="4" t="s">
        <v>49</v>
      </c>
      <c r="AI4213" t="s">
        <v>49</v>
      </c>
      <c r="AM4213" t="s">
        <v>233</v>
      </c>
      <c r="AN4213" t="s">
        <v>154</v>
      </c>
      <c r="AP4213" t="s">
        <v>49</v>
      </c>
    </row>
    <row r="4214" spans="1:42" x14ac:dyDescent="0.2">
      <c r="A4214" t="s">
        <v>2148</v>
      </c>
      <c r="B4214" t="s">
        <v>1664</v>
      </c>
      <c r="C4214">
        <v>2005</v>
      </c>
      <c r="D4214" t="s">
        <v>44</v>
      </c>
      <c r="F4214" t="s">
        <v>2149</v>
      </c>
      <c r="G4214" t="s">
        <v>87</v>
      </c>
      <c r="H4214" t="s">
        <v>350</v>
      </c>
      <c r="I4214">
        <v>1998</v>
      </c>
      <c r="K4214" t="s">
        <v>101</v>
      </c>
      <c r="L4214">
        <v>12</v>
      </c>
      <c r="N4214" t="s">
        <v>122</v>
      </c>
      <c r="O4214" t="s">
        <v>2153</v>
      </c>
      <c r="P4214" t="s">
        <v>2154</v>
      </c>
      <c r="Q4214" s="1" t="s">
        <v>2281</v>
      </c>
      <c r="R4214" s="1" t="s">
        <v>122</v>
      </c>
      <c r="S4214" s="1" t="s">
        <v>2294</v>
      </c>
      <c r="X4214" t="s">
        <v>211</v>
      </c>
      <c r="Y4214" t="s">
        <v>2279</v>
      </c>
      <c r="Z4214" t="s">
        <v>2280</v>
      </c>
      <c r="AA4214" t="s">
        <v>2358</v>
      </c>
      <c r="AB4214" t="s">
        <v>2290</v>
      </c>
      <c r="AC4214" t="s">
        <v>152</v>
      </c>
      <c r="AD4214" t="s">
        <v>2278</v>
      </c>
      <c r="AH4214" s="4" t="s">
        <v>49</v>
      </c>
      <c r="AI4214" t="s">
        <v>49</v>
      </c>
      <c r="AM4214" t="s">
        <v>233</v>
      </c>
      <c r="AN4214" t="s">
        <v>154</v>
      </c>
      <c r="AP4214" t="s">
        <v>49</v>
      </c>
    </row>
    <row r="4215" spans="1:42" x14ac:dyDescent="0.2">
      <c r="A4215" t="s">
        <v>2148</v>
      </c>
      <c r="B4215" t="s">
        <v>1664</v>
      </c>
      <c r="C4215">
        <v>2005</v>
      </c>
      <c r="D4215" t="s">
        <v>44</v>
      </c>
      <c r="F4215" t="s">
        <v>2149</v>
      </c>
      <c r="G4215" t="s">
        <v>87</v>
      </c>
      <c r="H4215" t="s">
        <v>350</v>
      </c>
      <c r="I4215">
        <v>1998</v>
      </c>
      <c r="K4215" t="s">
        <v>101</v>
      </c>
      <c r="L4215">
        <v>12</v>
      </c>
      <c r="N4215" t="s">
        <v>122</v>
      </c>
      <c r="O4215" t="s">
        <v>2155</v>
      </c>
      <c r="Q4215" s="1" t="s">
        <v>2281</v>
      </c>
      <c r="R4215" s="1" t="s">
        <v>122</v>
      </c>
      <c r="S4215" s="1" t="s">
        <v>2294</v>
      </c>
      <c r="X4215" t="s">
        <v>211</v>
      </c>
      <c r="Y4215" t="s">
        <v>2279</v>
      </c>
      <c r="Z4215" t="s">
        <v>2280</v>
      </c>
      <c r="AA4215" t="s">
        <v>2358</v>
      </c>
      <c r="AB4215" t="s">
        <v>2290</v>
      </c>
      <c r="AC4215" t="s">
        <v>152</v>
      </c>
      <c r="AD4215" t="s">
        <v>2278</v>
      </c>
      <c r="AH4215" s="4" t="s">
        <v>49</v>
      </c>
      <c r="AI4215" t="s">
        <v>49</v>
      </c>
      <c r="AM4215" t="s">
        <v>233</v>
      </c>
      <c r="AN4215" t="s">
        <v>154</v>
      </c>
      <c r="AP4215" t="s">
        <v>49</v>
      </c>
    </row>
    <row r="4216" spans="1:42" x14ac:dyDescent="0.2">
      <c r="A4216" t="s">
        <v>2148</v>
      </c>
      <c r="B4216" t="s">
        <v>1664</v>
      </c>
      <c r="C4216">
        <v>2005</v>
      </c>
      <c r="D4216" t="s">
        <v>44</v>
      </c>
      <c r="F4216" t="s">
        <v>2149</v>
      </c>
      <c r="G4216" t="s">
        <v>87</v>
      </c>
      <c r="H4216" t="s">
        <v>350</v>
      </c>
      <c r="I4216">
        <v>1998</v>
      </c>
      <c r="K4216" t="s">
        <v>101</v>
      </c>
      <c r="L4216">
        <v>12</v>
      </c>
      <c r="N4216" t="s">
        <v>122</v>
      </c>
      <c r="O4216" t="s">
        <v>2156</v>
      </c>
      <c r="P4216" t="s">
        <v>2157</v>
      </c>
      <c r="Q4216" s="1" t="s">
        <v>2281</v>
      </c>
      <c r="R4216" s="1" t="s">
        <v>122</v>
      </c>
      <c r="S4216" s="1" t="s">
        <v>2293</v>
      </c>
      <c r="X4216" t="s">
        <v>211</v>
      </c>
      <c r="Y4216" t="s">
        <v>2279</v>
      </c>
      <c r="Z4216" t="s">
        <v>2280</v>
      </c>
      <c r="AA4216" t="s">
        <v>2358</v>
      </c>
      <c r="AB4216" t="s">
        <v>2290</v>
      </c>
      <c r="AC4216" t="s">
        <v>152</v>
      </c>
      <c r="AD4216" t="s">
        <v>2278</v>
      </c>
      <c r="AH4216" s="4" t="s">
        <v>49</v>
      </c>
      <c r="AI4216" t="s">
        <v>49</v>
      </c>
      <c r="AM4216" t="s">
        <v>233</v>
      </c>
      <c r="AN4216" t="s">
        <v>154</v>
      </c>
      <c r="AP4216" t="s">
        <v>49</v>
      </c>
    </row>
    <row r="4217" spans="1:42" x14ac:dyDescent="0.2">
      <c r="A4217" t="s">
        <v>2148</v>
      </c>
      <c r="B4217" t="s">
        <v>1664</v>
      </c>
      <c r="C4217">
        <v>2005</v>
      </c>
      <c r="D4217" t="s">
        <v>44</v>
      </c>
      <c r="F4217" t="s">
        <v>2149</v>
      </c>
      <c r="G4217" t="s">
        <v>87</v>
      </c>
      <c r="H4217" t="s">
        <v>350</v>
      </c>
      <c r="I4217">
        <v>1998</v>
      </c>
      <c r="K4217" t="s">
        <v>101</v>
      </c>
      <c r="L4217">
        <v>12</v>
      </c>
      <c r="N4217" t="s">
        <v>131</v>
      </c>
      <c r="O4217" t="s">
        <v>695</v>
      </c>
      <c r="Q4217" s="1" t="s">
        <v>2281</v>
      </c>
      <c r="R4217" s="1" t="s">
        <v>2295</v>
      </c>
      <c r="S4217" s="1" t="s">
        <v>2295</v>
      </c>
      <c r="X4217" t="s">
        <v>211</v>
      </c>
      <c r="Y4217" t="s">
        <v>2279</v>
      </c>
      <c r="Z4217" t="s">
        <v>2280</v>
      </c>
      <c r="AA4217" t="s">
        <v>2358</v>
      </c>
      <c r="AB4217" t="s">
        <v>2290</v>
      </c>
      <c r="AC4217" t="s">
        <v>152</v>
      </c>
      <c r="AD4217" t="s">
        <v>2278</v>
      </c>
      <c r="AH4217" s="4" t="s">
        <v>49</v>
      </c>
      <c r="AI4217" t="s">
        <v>49</v>
      </c>
      <c r="AM4217" t="s">
        <v>233</v>
      </c>
      <c r="AN4217" t="s">
        <v>154</v>
      </c>
      <c r="AP4217" t="s">
        <v>49</v>
      </c>
    </row>
    <row r="4218" spans="1:42" x14ac:dyDescent="0.2">
      <c r="A4218" t="s">
        <v>2148</v>
      </c>
      <c r="B4218" t="s">
        <v>1664</v>
      </c>
      <c r="C4218">
        <v>2005</v>
      </c>
      <c r="D4218" t="s">
        <v>44</v>
      </c>
      <c r="F4218" t="s">
        <v>2149</v>
      </c>
      <c r="G4218" t="s">
        <v>87</v>
      </c>
      <c r="H4218" t="s">
        <v>350</v>
      </c>
      <c r="I4218">
        <v>1998</v>
      </c>
      <c r="K4218" t="s">
        <v>101</v>
      </c>
      <c r="L4218">
        <v>12</v>
      </c>
      <c r="N4218" t="s">
        <v>127</v>
      </c>
      <c r="O4218" t="s">
        <v>2158</v>
      </c>
      <c r="Q4218" s="1" t="s">
        <v>2281</v>
      </c>
      <c r="R4218" s="1" t="s">
        <v>2291</v>
      </c>
      <c r="S4218" s="1" t="s">
        <v>2291</v>
      </c>
      <c r="X4218" t="s">
        <v>211</v>
      </c>
      <c r="Y4218" t="s">
        <v>2279</v>
      </c>
      <c r="Z4218" t="s">
        <v>2280</v>
      </c>
      <c r="AA4218" t="s">
        <v>2358</v>
      </c>
      <c r="AB4218" t="s">
        <v>2290</v>
      </c>
      <c r="AC4218" t="s">
        <v>152</v>
      </c>
      <c r="AD4218" t="s">
        <v>2278</v>
      </c>
      <c r="AH4218" s="4" t="s">
        <v>49</v>
      </c>
      <c r="AI4218" t="s">
        <v>49</v>
      </c>
      <c r="AM4218" t="s">
        <v>233</v>
      </c>
      <c r="AN4218" t="s">
        <v>154</v>
      </c>
      <c r="AP4218" t="s">
        <v>49</v>
      </c>
    </row>
    <row r="4219" spans="1:42" x14ac:dyDescent="0.2">
      <c r="A4219" t="s">
        <v>2148</v>
      </c>
      <c r="B4219" t="s">
        <v>1664</v>
      </c>
      <c r="C4219">
        <v>2005</v>
      </c>
      <c r="D4219" t="s">
        <v>44</v>
      </c>
      <c r="F4219" t="s">
        <v>2149</v>
      </c>
      <c r="G4219" t="s">
        <v>87</v>
      </c>
      <c r="H4219" t="s">
        <v>350</v>
      </c>
      <c r="I4219">
        <v>1998</v>
      </c>
      <c r="K4219" t="s">
        <v>101</v>
      </c>
      <c r="L4219">
        <v>12</v>
      </c>
      <c r="N4219" t="s">
        <v>121</v>
      </c>
      <c r="O4219" t="s">
        <v>121</v>
      </c>
      <c r="Q4219" s="1" t="s">
        <v>2292</v>
      </c>
      <c r="R4219" s="1" t="s">
        <v>264</v>
      </c>
      <c r="S4219" s="1" t="s">
        <v>264</v>
      </c>
      <c r="X4219" t="s">
        <v>211</v>
      </c>
      <c r="Y4219" t="s">
        <v>2279</v>
      </c>
      <c r="Z4219" t="s">
        <v>2280</v>
      </c>
      <c r="AA4219" t="s">
        <v>2358</v>
      </c>
      <c r="AB4219" t="s">
        <v>2290</v>
      </c>
      <c r="AC4219" t="s">
        <v>152</v>
      </c>
      <c r="AD4219" t="s">
        <v>2278</v>
      </c>
      <c r="AH4219" s="4" t="s">
        <v>49</v>
      </c>
      <c r="AI4219" t="s">
        <v>49</v>
      </c>
      <c r="AM4219" t="s">
        <v>233</v>
      </c>
      <c r="AN4219" t="s">
        <v>166</v>
      </c>
      <c r="AP4219" t="s">
        <v>49</v>
      </c>
    </row>
    <row r="4220" spans="1:42" x14ac:dyDescent="0.2">
      <c r="A4220" t="s">
        <v>2148</v>
      </c>
      <c r="B4220" t="s">
        <v>1664</v>
      </c>
      <c r="C4220">
        <v>2005</v>
      </c>
      <c r="D4220" t="s">
        <v>44</v>
      </c>
      <c r="F4220" t="s">
        <v>2149</v>
      </c>
      <c r="G4220" t="s">
        <v>87</v>
      </c>
      <c r="H4220" t="s">
        <v>350</v>
      </c>
      <c r="I4220">
        <v>1998</v>
      </c>
      <c r="K4220" t="s">
        <v>101</v>
      </c>
      <c r="L4220">
        <v>12</v>
      </c>
      <c r="N4220" t="s">
        <v>128</v>
      </c>
      <c r="O4220" t="s">
        <v>755</v>
      </c>
      <c r="P4220" t="s">
        <v>2150</v>
      </c>
      <c r="Q4220" s="1" t="s">
        <v>2276</v>
      </c>
      <c r="R4220" s="1" t="s">
        <v>755</v>
      </c>
      <c r="S4220" s="1" t="s">
        <v>2352</v>
      </c>
      <c r="X4220" t="s">
        <v>211</v>
      </c>
      <c r="Y4220" t="s">
        <v>2279</v>
      </c>
      <c r="Z4220" t="s">
        <v>2280</v>
      </c>
      <c r="AA4220" t="s">
        <v>2358</v>
      </c>
      <c r="AB4220" t="s">
        <v>2290</v>
      </c>
      <c r="AC4220" t="s">
        <v>152</v>
      </c>
      <c r="AD4220" t="s">
        <v>2278</v>
      </c>
      <c r="AH4220" s="4" t="s">
        <v>49</v>
      </c>
      <c r="AI4220" t="s">
        <v>49</v>
      </c>
      <c r="AM4220" t="s">
        <v>233</v>
      </c>
      <c r="AN4220" t="s">
        <v>166</v>
      </c>
      <c r="AP4220" t="s">
        <v>49</v>
      </c>
    </row>
    <row r="4221" spans="1:42" x14ac:dyDescent="0.2">
      <c r="A4221" t="s">
        <v>2148</v>
      </c>
      <c r="B4221" t="s">
        <v>1664</v>
      </c>
      <c r="C4221">
        <v>2005</v>
      </c>
      <c r="D4221" t="s">
        <v>44</v>
      </c>
      <c r="F4221" t="s">
        <v>2149</v>
      </c>
      <c r="G4221" t="s">
        <v>87</v>
      </c>
      <c r="H4221" t="s">
        <v>350</v>
      </c>
      <c r="I4221">
        <v>1998</v>
      </c>
      <c r="K4221" t="s">
        <v>101</v>
      </c>
      <c r="L4221">
        <v>12</v>
      </c>
      <c r="N4221" t="s">
        <v>128</v>
      </c>
      <c r="O4221" t="s">
        <v>669</v>
      </c>
      <c r="P4221" t="s">
        <v>2151</v>
      </c>
      <c r="Q4221" s="1" t="s">
        <v>2276</v>
      </c>
      <c r="R4221" s="1" t="s">
        <v>669</v>
      </c>
      <c r="S4221" s="1" t="s">
        <v>168</v>
      </c>
      <c r="X4221" t="s">
        <v>211</v>
      </c>
      <c r="Y4221" t="s">
        <v>2279</v>
      </c>
      <c r="Z4221" t="s">
        <v>2280</v>
      </c>
      <c r="AA4221" t="s">
        <v>2358</v>
      </c>
      <c r="AB4221" t="s">
        <v>2290</v>
      </c>
      <c r="AC4221" t="s">
        <v>152</v>
      </c>
      <c r="AD4221" t="s">
        <v>2278</v>
      </c>
      <c r="AH4221" s="4" t="s">
        <v>49</v>
      </c>
      <c r="AI4221" t="s">
        <v>49</v>
      </c>
      <c r="AM4221" t="s">
        <v>233</v>
      </c>
      <c r="AN4221" t="s">
        <v>166</v>
      </c>
      <c r="AP4221" t="s">
        <v>49</v>
      </c>
    </row>
    <row r="4222" spans="1:42" x14ac:dyDescent="0.2">
      <c r="A4222" t="s">
        <v>2148</v>
      </c>
      <c r="B4222" t="s">
        <v>1664</v>
      </c>
      <c r="C4222">
        <v>2005</v>
      </c>
      <c r="D4222" t="s">
        <v>44</v>
      </c>
      <c r="F4222" t="s">
        <v>2149</v>
      </c>
      <c r="G4222" t="s">
        <v>87</v>
      </c>
      <c r="H4222" t="s">
        <v>350</v>
      </c>
      <c r="I4222">
        <v>1998</v>
      </c>
      <c r="K4222" t="s">
        <v>101</v>
      </c>
      <c r="L4222">
        <v>12</v>
      </c>
      <c r="N4222" t="s">
        <v>122</v>
      </c>
      <c r="O4222" t="s">
        <v>247</v>
      </c>
      <c r="P4222" t="s">
        <v>2152</v>
      </c>
      <c r="Q4222" s="1" t="s">
        <v>2281</v>
      </c>
      <c r="R4222" s="1" t="s">
        <v>122</v>
      </c>
      <c r="S4222" s="1" t="s">
        <v>2293</v>
      </c>
      <c r="X4222" t="s">
        <v>211</v>
      </c>
      <c r="Y4222" t="s">
        <v>2279</v>
      </c>
      <c r="Z4222" t="s">
        <v>2280</v>
      </c>
      <c r="AA4222" t="s">
        <v>2358</v>
      </c>
      <c r="AB4222" t="s">
        <v>2290</v>
      </c>
      <c r="AC4222" t="s">
        <v>152</v>
      </c>
      <c r="AD4222" t="s">
        <v>2278</v>
      </c>
      <c r="AH4222" s="4" t="s">
        <v>49</v>
      </c>
      <c r="AI4222" t="s">
        <v>49</v>
      </c>
      <c r="AM4222" t="s">
        <v>233</v>
      </c>
      <c r="AN4222" t="s">
        <v>166</v>
      </c>
      <c r="AP4222" t="s">
        <v>49</v>
      </c>
    </row>
    <row r="4223" spans="1:42" x14ac:dyDescent="0.2">
      <c r="A4223" t="s">
        <v>2148</v>
      </c>
      <c r="B4223" t="s">
        <v>1664</v>
      </c>
      <c r="C4223">
        <v>2005</v>
      </c>
      <c r="D4223" t="s">
        <v>44</v>
      </c>
      <c r="F4223" t="s">
        <v>2149</v>
      </c>
      <c r="G4223" t="s">
        <v>87</v>
      </c>
      <c r="H4223" t="s">
        <v>350</v>
      </c>
      <c r="I4223">
        <v>1998</v>
      </c>
      <c r="K4223" t="s">
        <v>101</v>
      </c>
      <c r="L4223">
        <v>12</v>
      </c>
      <c r="N4223" t="s">
        <v>122</v>
      </c>
      <c r="O4223" t="s">
        <v>2153</v>
      </c>
      <c r="P4223" t="s">
        <v>2154</v>
      </c>
      <c r="Q4223" s="1" t="s">
        <v>2281</v>
      </c>
      <c r="R4223" s="1" t="s">
        <v>122</v>
      </c>
      <c r="S4223" s="1" t="s">
        <v>2294</v>
      </c>
      <c r="X4223" t="s">
        <v>211</v>
      </c>
      <c r="Y4223" t="s">
        <v>2279</v>
      </c>
      <c r="Z4223" t="s">
        <v>2280</v>
      </c>
      <c r="AA4223" t="s">
        <v>2358</v>
      </c>
      <c r="AB4223" t="s">
        <v>2290</v>
      </c>
      <c r="AC4223" t="s">
        <v>152</v>
      </c>
      <c r="AD4223" t="s">
        <v>2278</v>
      </c>
      <c r="AH4223" s="4" t="s">
        <v>49</v>
      </c>
      <c r="AI4223" t="s">
        <v>49</v>
      </c>
      <c r="AM4223" t="s">
        <v>233</v>
      </c>
      <c r="AN4223" t="s">
        <v>166</v>
      </c>
      <c r="AP4223" t="s">
        <v>49</v>
      </c>
    </row>
    <row r="4224" spans="1:42" x14ac:dyDescent="0.2">
      <c r="A4224" t="s">
        <v>2148</v>
      </c>
      <c r="B4224" t="s">
        <v>1664</v>
      </c>
      <c r="C4224">
        <v>2005</v>
      </c>
      <c r="D4224" t="s">
        <v>44</v>
      </c>
      <c r="F4224" t="s">
        <v>2149</v>
      </c>
      <c r="G4224" t="s">
        <v>87</v>
      </c>
      <c r="H4224" t="s">
        <v>350</v>
      </c>
      <c r="I4224">
        <v>1998</v>
      </c>
      <c r="K4224" t="s">
        <v>101</v>
      </c>
      <c r="L4224">
        <v>12</v>
      </c>
      <c r="N4224" t="s">
        <v>122</v>
      </c>
      <c r="O4224" t="s">
        <v>2155</v>
      </c>
      <c r="Q4224" s="1" t="s">
        <v>2281</v>
      </c>
      <c r="R4224" s="1" t="s">
        <v>122</v>
      </c>
      <c r="S4224" s="1" t="s">
        <v>2294</v>
      </c>
      <c r="X4224" t="s">
        <v>211</v>
      </c>
      <c r="Y4224" t="s">
        <v>2279</v>
      </c>
      <c r="Z4224" t="s">
        <v>2280</v>
      </c>
      <c r="AA4224" t="s">
        <v>2358</v>
      </c>
      <c r="AB4224" t="s">
        <v>2290</v>
      </c>
      <c r="AC4224" t="s">
        <v>152</v>
      </c>
      <c r="AD4224" t="s">
        <v>2278</v>
      </c>
      <c r="AH4224" s="4" t="s">
        <v>49</v>
      </c>
      <c r="AI4224" t="s">
        <v>49</v>
      </c>
      <c r="AM4224" t="s">
        <v>233</v>
      </c>
      <c r="AN4224" t="s">
        <v>166</v>
      </c>
      <c r="AP4224" t="s">
        <v>49</v>
      </c>
    </row>
    <row r="4225" spans="1:45" x14ac:dyDescent="0.2">
      <c r="A4225" t="s">
        <v>2148</v>
      </c>
      <c r="B4225" t="s">
        <v>1664</v>
      </c>
      <c r="C4225">
        <v>2005</v>
      </c>
      <c r="D4225" t="s">
        <v>44</v>
      </c>
      <c r="F4225" t="s">
        <v>2149</v>
      </c>
      <c r="G4225" t="s">
        <v>87</v>
      </c>
      <c r="H4225" t="s">
        <v>350</v>
      </c>
      <c r="I4225">
        <v>1998</v>
      </c>
      <c r="K4225" t="s">
        <v>101</v>
      </c>
      <c r="L4225">
        <v>12</v>
      </c>
      <c r="N4225" t="s">
        <v>122</v>
      </c>
      <c r="O4225" t="s">
        <v>2156</v>
      </c>
      <c r="P4225" t="s">
        <v>2157</v>
      </c>
      <c r="Q4225" s="1" t="s">
        <v>2281</v>
      </c>
      <c r="R4225" s="1" t="s">
        <v>122</v>
      </c>
      <c r="S4225" s="1" t="s">
        <v>2293</v>
      </c>
      <c r="X4225" t="s">
        <v>211</v>
      </c>
      <c r="Y4225" t="s">
        <v>2279</v>
      </c>
      <c r="Z4225" t="s">
        <v>2280</v>
      </c>
      <c r="AA4225" t="s">
        <v>2358</v>
      </c>
      <c r="AB4225" t="s">
        <v>2290</v>
      </c>
      <c r="AC4225" t="s">
        <v>152</v>
      </c>
      <c r="AD4225" t="s">
        <v>2278</v>
      </c>
      <c r="AH4225" s="4" t="s">
        <v>49</v>
      </c>
      <c r="AI4225" t="s">
        <v>49</v>
      </c>
      <c r="AM4225" t="s">
        <v>233</v>
      </c>
      <c r="AN4225" t="s">
        <v>166</v>
      </c>
      <c r="AP4225" t="s">
        <v>49</v>
      </c>
    </row>
    <row r="4226" spans="1:45" x14ac:dyDescent="0.2">
      <c r="A4226" t="s">
        <v>2148</v>
      </c>
      <c r="B4226" t="s">
        <v>1664</v>
      </c>
      <c r="C4226">
        <v>2005</v>
      </c>
      <c r="D4226" t="s">
        <v>44</v>
      </c>
      <c r="F4226" t="s">
        <v>2149</v>
      </c>
      <c r="G4226" t="s">
        <v>87</v>
      </c>
      <c r="H4226" t="s">
        <v>350</v>
      </c>
      <c r="I4226">
        <v>1998</v>
      </c>
      <c r="K4226" t="s">
        <v>101</v>
      </c>
      <c r="L4226">
        <v>12</v>
      </c>
      <c r="N4226" t="s">
        <v>131</v>
      </c>
      <c r="O4226" t="s">
        <v>695</v>
      </c>
      <c r="Q4226" s="1" t="s">
        <v>2281</v>
      </c>
      <c r="R4226" s="1" t="s">
        <v>2295</v>
      </c>
      <c r="S4226" s="1" t="s">
        <v>2295</v>
      </c>
      <c r="X4226" t="s">
        <v>211</v>
      </c>
      <c r="Y4226" t="s">
        <v>2279</v>
      </c>
      <c r="Z4226" t="s">
        <v>2280</v>
      </c>
      <c r="AA4226" t="s">
        <v>2358</v>
      </c>
      <c r="AB4226" t="s">
        <v>2290</v>
      </c>
      <c r="AC4226" t="s">
        <v>152</v>
      </c>
      <c r="AD4226" t="s">
        <v>2278</v>
      </c>
      <c r="AH4226" s="4" t="s">
        <v>49</v>
      </c>
      <c r="AI4226" t="s">
        <v>49</v>
      </c>
      <c r="AM4226" t="s">
        <v>233</v>
      </c>
      <c r="AN4226" t="s">
        <v>166</v>
      </c>
      <c r="AP4226" t="s">
        <v>49</v>
      </c>
    </row>
    <row r="4227" spans="1:45" x14ac:dyDescent="0.2">
      <c r="A4227" t="s">
        <v>2148</v>
      </c>
      <c r="B4227" t="s">
        <v>1664</v>
      </c>
      <c r="C4227">
        <v>2005</v>
      </c>
      <c r="D4227" t="s">
        <v>44</v>
      </c>
      <c r="F4227" t="s">
        <v>2149</v>
      </c>
      <c r="G4227" t="s">
        <v>87</v>
      </c>
      <c r="H4227" t="s">
        <v>350</v>
      </c>
      <c r="I4227">
        <v>1998</v>
      </c>
      <c r="K4227" t="s">
        <v>101</v>
      </c>
      <c r="L4227">
        <v>12</v>
      </c>
      <c r="N4227" t="s">
        <v>127</v>
      </c>
      <c r="O4227" t="s">
        <v>2158</v>
      </c>
      <c r="Q4227" s="1" t="s">
        <v>2281</v>
      </c>
      <c r="R4227" s="1" t="s">
        <v>2291</v>
      </c>
      <c r="S4227" s="1" t="s">
        <v>2291</v>
      </c>
      <c r="X4227" t="s">
        <v>211</v>
      </c>
      <c r="Y4227" t="s">
        <v>2279</v>
      </c>
      <c r="Z4227" t="s">
        <v>2280</v>
      </c>
      <c r="AA4227" t="s">
        <v>2358</v>
      </c>
      <c r="AB4227" t="s">
        <v>2290</v>
      </c>
      <c r="AC4227" t="s">
        <v>152</v>
      </c>
      <c r="AD4227" t="s">
        <v>2278</v>
      </c>
      <c r="AH4227" s="4" t="s">
        <v>49</v>
      </c>
      <c r="AI4227" t="s">
        <v>49</v>
      </c>
      <c r="AM4227" t="s">
        <v>233</v>
      </c>
      <c r="AN4227" t="s">
        <v>166</v>
      </c>
      <c r="AP4227" t="s">
        <v>49</v>
      </c>
    </row>
    <row r="4228" spans="1:45" x14ac:dyDescent="0.2">
      <c r="A4228" t="s">
        <v>2163</v>
      </c>
      <c r="B4228" t="s">
        <v>2016</v>
      </c>
      <c r="C4228">
        <v>2004</v>
      </c>
      <c r="D4228" t="s">
        <v>44</v>
      </c>
      <c r="F4228" t="s">
        <v>588</v>
      </c>
      <c r="G4228" t="s">
        <v>86</v>
      </c>
      <c r="H4228" t="s">
        <v>350</v>
      </c>
      <c r="I4228">
        <v>2000</v>
      </c>
      <c r="J4228">
        <v>8.3000000000000004E-2</v>
      </c>
      <c r="K4228" t="s">
        <v>101</v>
      </c>
      <c r="L4228">
        <v>100</v>
      </c>
      <c r="M4228">
        <v>0</v>
      </c>
      <c r="N4228" t="s">
        <v>132</v>
      </c>
      <c r="O4228" t="s">
        <v>132</v>
      </c>
      <c r="P4228" t="s">
        <v>2164</v>
      </c>
      <c r="Q4228" s="1" t="s">
        <v>2276</v>
      </c>
      <c r="R4228" s="1" t="s">
        <v>669</v>
      </c>
      <c r="S4228" s="1" t="s">
        <v>168</v>
      </c>
      <c r="X4228" t="s">
        <v>293</v>
      </c>
      <c r="Y4228" t="s">
        <v>2273</v>
      </c>
      <c r="Z4228" t="s">
        <v>249</v>
      </c>
      <c r="AA4228" t="s">
        <v>2359</v>
      </c>
      <c r="AB4228" t="s">
        <v>1419</v>
      </c>
      <c r="AC4228" t="s">
        <v>152</v>
      </c>
      <c r="AD4228" t="s">
        <v>137</v>
      </c>
      <c r="AF4228" t="s">
        <v>49</v>
      </c>
    </row>
    <row r="4229" spans="1:45" x14ac:dyDescent="0.2">
      <c r="A4229" t="s">
        <v>2163</v>
      </c>
      <c r="B4229" t="s">
        <v>2016</v>
      </c>
      <c r="C4229">
        <v>2004</v>
      </c>
      <c r="D4229" t="s">
        <v>44</v>
      </c>
      <c r="F4229" t="s">
        <v>588</v>
      </c>
      <c r="G4229" t="s">
        <v>86</v>
      </c>
      <c r="H4229" t="s">
        <v>350</v>
      </c>
      <c r="I4229">
        <v>2000</v>
      </c>
      <c r="J4229">
        <v>8.3000000000000004E-2</v>
      </c>
      <c r="K4229" t="s">
        <v>101</v>
      </c>
      <c r="L4229">
        <v>100</v>
      </c>
      <c r="M4229">
        <v>0</v>
      </c>
      <c r="N4229" t="s">
        <v>132</v>
      </c>
      <c r="O4229" t="s">
        <v>132</v>
      </c>
      <c r="P4229" t="s">
        <v>2164</v>
      </c>
      <c r="Q4229" s="1" t="s">
        <v>2276</v>
      </c>
      <c r="R4229" s="1" t="s">
        <v>669</v>
      </c>
      <c r="S4229" s="1" t="s">
        <v>168</v>
      </c>
      <c r="X4229" t="s">
        <v>172</v>
      </c>
      <c r="Y4229" t="s">
        <v>2273</v>
      </c>
      <c r="Z4229" t="s">
        <v>249</v>
      </c>
      <c r="AA4229" t="s">
        <v>2359</v>
      </c>
      <c r="AB4229" t="s">
        <v>1979</v>
      </c>
      <c r="AC4229" t="s">
        <v>152</v>
      </c>
      <c r="AD4229" t="s">
        <v>137</v>
      </c>
      <c r="AF4229" t="s">
        <v>49</v>
      </c>
    </row>
    <row r="4230" spans="1:45" x14ac:dyDescent="0.2">
      <c r="A4230" t="s">
        <v>2163</v>
      </c>
      <c r="B4230" t="s">
        <v>2016</v>
      </c>
      <c r="C4230">
        <v>2004</v>
      </c>
      <c r="D4230" t="s">
        <v>44</v>
      </c>
      <c r="F4230" t="s">
        <v>588</v>
      </c>
      <c r="G4230" t="s">
        <v>86</v>
      </c>
      <c r="H4230" t="s">
        <v>350</v>
      </c>
      <c r="I4230">
        <v>2000</v>
      </c>
      <c r="J4230">
        <v>8.3000000000000004E-2</v>
      </c>
      <c r="K4230" t="s">
        <v>101</v>
      </c>
      <c r="L4230">
        <v>100</v>
      </c>
      <c r="M4230">
        <v>0</v>
      </c>
      <c r="N4230" t="s">
        <v>132</v>
      </c>
      <c r="O4230" t="s">
        <v>132</v>
      </c>
      <c r="P4230" t="s">
        <v>2165</v>
      </c>
      <c r="Q4230" s="1" t="s">
        <v>2276</v>
      </c>
      <c r="R4230" s="1" t="s">
        <v>669</v>
      </c>
      <c r="S4230" s="1" t="s">
        <v>168</v>
      </c>
      <c r="T4230" t="s">
        <v>396</v>
      </c>
      <c r="U4230" t="s">
        <v>168</v>
      </c>
      <c r="X4230" t="s">
        <v>161</v>
      </c>
      <c r="Y4230" t="s">
        <v>2272</v>
      </c>
      <c r="Z4230" t="s">
        <v>2272</v>
      </c>
      <c r="AA4230" t="s">
        <v>2272</v>
      </c>
      <c r="AB4230" t="s">
        <v>2272</v>
      </c>
      <c r="AC4230" t="s">
        <v>162</v>
      </c>
      <c r="AD4230" t="s">
        <v>2272</v>
      </c>
      <c r="AF4230" t="s">
        <v>49</v>
      </c>
      <c r="AJ4230" t="s">
        <v>49</v>
      </c>
      <c r="AM4230" t="s">
        <v>1090</v>
      </c>
      <c r="AN4230" t="s">
        <v>171</v>
      </c>
      <c r="AQ4230" s="5">
        <v>2</v>
      </c>
    </row>
    <row r="4231" spans="1:45" x14ac:dyDescent="0.2">
      <c r="A4231" t="s">
        <v>2163</v>
      </c>
      <c r="B4231" t="s">
        <v>2016</v>
      </c>
      <c r="C4231">
        <v>2004</v>
      </c>
      <c r="D4231" t="s">
        <v>44</v>
      </c>
      <c r="F4231" t="s">
        <v>588</v>
      </c>
      <c r="G4231" t="s">
        <v>86</v>
      </c>
      <c r="H4231" t="s">
        <v>350</v>
      </c>
      <c r="I4231">
        <v>2000</v>
      </c>
      <c r="J4231">
        <v>8.3000000000000004E-2</v>
      </c>
      <c r="K4231" t="s">
        <v>101</v>
      </c>
      <c r="L4231">
        <v>100</v>
      </c>
      <c r="M4231">
        <v>0</v>
      </c>
      <c r="N4231" t="s">
        <v>132</v>
      </c>
      <c r="O4231" t="s">
        <v>132</v>
      </c>
      <c r="P4231" t="s">
        <v>169</v>
      </c>
      <c r="Q4231" s="1" t="s">
        <v>2276</v>
      </c>
      <c r="R4231" s="1" t="s">
        <v>669</v>
      </c>
      <c r="S4231" s="1" t="s">
        <v>168</v>
      </c>
      <c r="T4231" t="s">
        <v>396</v>
      </c>
      <c r="U4231" s="1" t="s">
        <v>168</v>
      </c>
      <c r="X4231" t="s">
        <v>161</v>
      </c>
      <c r="Y4231" t="s">
        <v>2272</v>
      </c>
      <c r="Z4231" t="s">
        <v>2272</v>
      </c>
      <c r="AA4231" t="s">
        <v>2272</v>
      </c>
      <c r="AB4231" t="s">
        <v>2272</v>
      </c>
      <c r="AC4231" t="s">
        <v>162</v>
      </c>
      <c r="AD4231" t="s">
        <v>2272</v>
      </c>
      <c r="AF4231" t="s">
        <v>49</v>
      </c>
      <c r="AJ4231" t="s">
        <v>49</v>
      </c>
      <c r="AM4231" t="s">
        <v>1090</v>
      </c>
      <c r="AN4231" t="s">
        <v>171</v>
      </c>
      <c r="AQ4231" s="5">
        <v>1</v>
      </c>
    </row>
    <row r="4232" spans="1:45" x14ac:dyDescent="0.2">
      <c r="A4232" t="s">
        <v>2163</v>
      </c>
      <c r="B4232" t="s">
        <v>2016</v>
      </c>
      <c r="C4232">
        <v>2004</v>
      </c>
      <c r="D4232" t="s">
        <v>44</v>
      </c>
      <c r="F4232" t="s">
        <v>588</v>
      </c>
      <c r="G4232" t="s">
        <v>86</v>
      </c>
      <c r="H4232" t="s">
        <v>350</v>
      </c>
      <c r="I4232">
        <v>2000</v>
      </c>
      <c r="J4232">
        <v>8.3000000000000004E-2</v>
      </c>
      <c r="K4232" t="s">
        <v>101</v>
      </c>
      <c r="L4232">
        <v>100</v>
      </c>
      <c r="M4232">
        <v>0</v>
      </c>
      <c r="N4232" t="s">
        <v>132</v>
      </c>
      <c r="O4232" t="s">
        <v>132</v>
      </c>
      <c r="P4232" t="s">
        <v>2165</v>
      </c>
      <c r="Q4232" s="1" t="s">
        <v>2276</v>
      </c>
      <c r="R4232" s="1" t="s">
        <v>669</v>
      </c>
      <c r="S4232" s="1" t="s">
        <v>168</v>
      </c>
      <c r="T4232" t="s">
        <v>396</v>
      </c>
      <c r="U4232" s="1" t="s">
        <v>168</v>
      </c>
      <c r="X4232" t="s">
        <v>161</v>
      </c>
      <c r="Y4232" t="s">
        <v>2272</v>
      </c>
      <c r="Z4232" t="s">
        <v>2272</v>
      </c>
      <c r="AA4232" t="s">
        <v>2272</v>
      </c>
      <c r="AB4232" t="s">
        <v>2272</v>
      </c>
      <c r="AC4232" t="s">
        <v>162</v>
      </c>
      <c r="AD4232" t="s">
        <v>2272</v>
      </c>
      <c r="AF4232" t="s">
        <v>49</v>
      </c>
      <c r="AK4232" t="s">
        <v>49</v>
      </c>
      <c r="AM4232" t="s">
        <v>2166</v>
      </c>
      <c r="AN4232" t="s">
        <v>171</v>
      </c>
      <c r="AQ4232" s="5">
        <v>0</v>
      </c>
    </row>
    <row r="4233" spans="1:45" x14ac:dyDescent="0.2">
      <c r="A4233" t="s">
        <v>2163</v>
      </c>
      <c r="B4233" t="s">
        <v>2016</v>
      </c>
      <c r="C4233">
        <v>2004</v>
      </c>
      <c r="D4233" t="s">
        <v>44</v>
      </c>
      <c r="F4233" t="s">
        <v>588</v>
      </c>
      <c r="G4233" t="s">
        <v>86</v>
      </c>
      <c r="H4233" t="s">
        <v>350</v>
      </c>
      <c r="I4233">
        <v>2000</v>
      </c>
      <c r="J4233">
        <v>8.3000000000000004E-2</v>
      </c>
      <c r="K4233" t="s">
        <v>101</v>
      </c>
      <c r="L4233">
        <v>100</v>
      </c>
      <c r="M4233">
        <v>0</v>
      </c>
      <c r="N4233" t="s">
        <v>132</v>
      </c>
      <c r="O4233" t="s">
        <v>132</v>
      </c>
      <c r="P4233" t="s">
        <v>169</v>
      </c>
      <c r="Q4233" s="1" t="s">
        <v>2276</v>
      </c>
      <c r="R4233" s="1" t="s">
        <v>669</v>
      </c>
      <c r="S4233" s="1" t="s">
        <v>168</v>
      </c>
      <c r="T4233" t="s">
        <v>396</v>
      </c>
      <c r="U4233" s="1" t="s">
        <v>168</v>
      </c>
      <c r="X4233" t="s">
        <v>161</v>
      </c>
      <c r="Y4233" t="s">
        <v>2272</v>
      </c>
      <c r="Z4233" t="s">
        <v>2272</v>
      </c>
      <c r="AA4233" t="s">
        <v>2272</v>
      </c>
      <c r="AB4233" t="s">
        <v>2272</v>
      </c>
      <c r="AC4233" t="s">
        <v>162</v>
      </c>
      <c r="AD4233" t="s">
        <v>2272</v>
      </c>
      <c r="AF4233" t="s">
        <v>49</v>
      </c>
      <c r="AK4233" t="s">
        <v>49</v>
      </c>
      <c r="AM4233" t="s">
        <v>2166</v>
      </c>
      <c r="AN4233" t="s">
        <v>171</v>
      </c>
      <c r="AQ4233" s="5">
        <v>0</v>
      </c>
    </row>
    <row r="4234" spans="1:45" x14ac:dyDescent="0.2">
      <c r="A4234" t="s">
        <v>2163</v>
      </c>
      <c r="B4234" t="s">
        <v>2016</v>
      </c>
      <c r="C4234">
        <v>2004</v>
      </c>
      <c r="D4234" t="s">
        <v>44</v>
      </c>
      <c r="F4234" t="s">
        <v>588</v>
      </c>
      <c r="G4234" t="s">
        <v>86</v>
      </c>
      <c r="H4234" t="s">
        <v>350</v>
      </c>
      <c r="I4234">
        <v>2000</v>
      </c>
      <c r="J4234">
        <v>8.3000000000000004E-2</v>
      </c>
      <c r="K4234" t="s">
        <v>101</v>
      </c>
      <c r="L4234">
        <v>100</v>
      </c>
      <c r="M4234">
        <v>0</v>
      </c>
      <c r="N4234" t="s">
        <v>132</v>
      </c>
      <c r="O4234" t="s">
        <v>132</v>
      </c>
      <c r="P4234" t="s">
        <v>2165</v>
      </c>
      <c r="Q4234" s="1" t="s">
        <v>2276</v>
      </c>
      <c r="R4234" s="1" t="s">
        <v>669</v>
      </c>
      <c r="S4234" s="1" t="s">
        <v>168</v>
      </c>
      <c r="T4234" t="s">
        <v>396</v>
      </c>
      <c r="U4234" s="1" t="s">
        <v>168</v>
      </c>
      <c r="X4234" t="s">
        <v>161</v>
      </c>
      <c r="Y4234" t="s">
        <v>2272</v>
      </c>
      <c r="Z4234" t="s">
        <v>2272</v>
      </c>
      <c r="AA4234" t="s">
        <v>2272</v>
      </c>
      <c r="AB4234" t="s">
        <v>2272</v>
      </c>
      <c r="AC4234" t="s">
        <v>162</v>
      </c>
      <c r="AD4234" t="s">
        <v>2272</v>
      </c>
      <c r="AF4234" t="s">
        <v>49</v>
      </c>
      <c r="AK4234" t="s">
        <v>49</v>
      </c>
      <c r="AM4234" t="s">
        <v>1790</v>
      </c>
      <c r="AN4234" t="s">
        <v>171</v>
      </c>
      <c r="AQ4234" s="5">
        <v>2</v>
      </c>
    </row>
    <row r="4235" spans="1:45" x14ac:dyDescent="0.2">
      <c r="A4235" t="s">
        <v>2163</v>
      </c>
      <c r="B4235" t="s">
        <v>2016</v>
      </c>
      <c r="C4235">
        <v>2004</v>
      </c>
      <c r="D4235" t="s">
        <v>44</v>
      </c>
      <c r="F4235" t="s">
        <v>588</v>
      </c>
      <c r="G4235" t="s">
        <v>86</v>
      </c>
      <c r="H4235" t="s">
        <v>350</v>
      </c>
      <c r="I4235">
        <v>2000</v>
      </c>
      <c r="J4235">
        <v>8.3000000000000004E-2</v>
      </c>
      <c r="K4235" t="s">
        <v>101</v>
      </c>
      <c r="L4235">
        <v>100</v>
      </c>
      <c r="M4235">
        <v>0</v>
      </c>
      <c r="N4235" t="s">
        <v>132</v>
      </c>
      <c r="O4235" t="s">
        <v>132</v>
      </c>
      <c r="P4235" t="s">
        <v>169</v>
      </c>
      <c r="Q4235" s="1" t="s">
        <v>2276</v>
      </c>
      <c r="R4235" s="1" t="s">
        <v>669</v>
      </c>
      <c r="S4235" s="1" t="s">
        <v>168</v>
      </c>
      <c r="T4235" t="s">
        <v>396</v>
      </c>
      <c r="U4235" s="1" t="s">
        <v>168</v>
      </c>
      <c r="X4235" t="s">
        <v>161</v>
      </c>
      <c r="Y4235" t="s">
        <v>2272</v>
      </c>
      <c r="Z4235" t="s">
        <v>2272</v>
      </c>
      <c r="AA4235" t="s">
        <v>2272</v>
      </c>
      <c r="AB4235" t="s">
        <v>2272</v>
      </c>
      <c r="AC4235" t="s">
        <v>162</v>
      </c>
      <c r="AD4235" t="s">
        <v>2272</v>
      </c>
      <c r="AF4235" t="s">
        <v>49</v>
      </c>
      <c r="AK4235" t="s">
        <v>49</v>
      </c>
      <c r="AM4235" t="s">
        <v>1790</v>
      </c>
      <c r="AN4235" t="s">
        <v>171</v>
      </c>
      <c r="AQ4235" s="5">
        <v>1</v>
      </c>
    </row>
    <row r="4236" spans="1:45" x14ac:dyDescent="0.2">
      <c r="A4236" t="s">
        <v>2163</v>
      </c>
      <c r="B4236" t="s">
        <v>2016</v>
      </c>
      <c r="C4236">
        <v>2004</v>
      </c>
      <c r="D4236" t="s">
        <v>44</v>
      </c>
      <c r="F4236" t="s">
        <v>588</v>
      </c>
      <c r="G4236" t="s">
        <v>86</v>
      </c>
      <c r="H4236" t="s">
        <v>350</v>
      </c>
      <c r="I4236">
        <v>2000</v>
      </c>
      <c r="J4236">
        <v>8.3000000000000004E-2</v>
      </c>
      <c r="K4236" t="s">
        <v>101</v>
      </c>
      <c r="L4236">
        <v>100</v>
      </c>
      <c r="M4236">
        <v>0</v>
      </c>
      <c r="N4236" t="s">
        <v>132</v>
      </c>
      <c r="O4236" t="s">
        <v>132</v>
      </c>
      <c r="P4236" t="s">
        <v>2165</v>
      </c>
      <c r="Q4236" s="1" t="s">
        <v>2276</v>
      </c>
      <c r="R4236" s="1" t="s">
        <v>669</v>
      </c>
      <c r="S4236" s="1" t="s">
        <v>168</v>
      </c>
      <c r="T4236" t="s">
        <v>396</v>
      </c>
      <c r="U4236" s="1" t="s">
        <v>168</v>
      </c>
      <c r="X4236" t="s">
        <v>161</v>
      </c>
      <c r="Y4236" t="s">
        <v>2272</v>
      </c>
      <c r="Z4236" t="s">
        <v>2272</v>
      </c>
      <c r="AA4236" t="s">
        <v>2272</v>
      </c>
      <c r="AB4236" t="s">
        <v>2272</v>
      </c>
      <c r="AC4236" t="s">
        <v>162</v>
      </c>
      <c r="AD4236" t="s">
        <v>2272</v>
      </c>
      <c r="AF4236" t="s">
        <v>49</v>
      </c>
      <c r="AK4236" t="s">
        <v>49</v>
      </c>
      <c r="AM4236" t="s">
        <v>153</v>
      </c>
      <c r="AN4236" t="s">
        <v>171</v>
      </c>
      <c r="AQ4236" s="5">
        <v>0</v>
      </c>
    </row>
    <row r="4237" spans="1:45" x14ac:dyDescent="0.2">
      <c r="A4237" t="s">
        <v>2163</v>
      </c>
      <c r="B4237" t="s">
        <v>2016</v>
      </c>
      <c r="C4237">
        <v>2004</v>
      </c>
      <c r="D4237" t="s">
        <v>44</v>
      </c>
      <c r="F4237" t="s">
        <v>588</v>
      </c>
      <c r="G4237" t="s">
        <v>86</v>
      </c>
      <c r="H4237" t="s">
        <v>350</v>
      </c>
      <c r="I4237">
        <v>2000</v>
      </c>
      <c r="J4237">
        <v>8.3000000000000004E-2</v>
      </c>
      <c r="K4237" t="s">
        <v>101</v>
      </c>
      <c r="L4237">
        <v>100</v>
      </c>
      <c r="M4237">
        <v>0</v>
      </c>
      <c r="N4237" t="s">
        <v>132</v>
      </c>
      <c r="O4237" t="s">
        <v>132</v>
      </c>
      <c r="P4237" t="s">
        <v>169</v>
      </c>
      <c r="Q4237" s="1" t="s">
        <v>2276</v>
      </c>
      <c r="R4237" s="1" t="s">
        <v>669</v>
      </c>
      <c r="S4237" s="1" t="s">
        <v>168</v>
      </c>
      <c r="T4237" t="s">
        <v>396</v>
      </c>
      <c r="U4237" s="1" t="s">
        <v>168</v>
      </c>
      <c r="X4237" t="s">
        <v>161</v>
      </c>
      <c r="Y4237" t="s">
        <v>2272</v>
      </c>
      <c r="Z4237" t="s">
        <v>2272</v>
      </c>
      <c r="AA4237" t="s">
        <v>2272</v>
      </c>
      <c r="AB4237" t="s">
        <v>2272</v>
      </c>
      <c r="AC4237" t="s">
        <v>162</v>
      </c>
      <c r="AD4237" t="s">
        <v>2272</v>
      </c>
      <c r="AF4237" t="s">
        <v>49</v>
      </c>
      <c r="AK4237" t="s">
        <v>49</v>
      </c>
      <c r="AM4237" t="s">
        <v>153</v>
      </c>
      <c r="AN4237" t="s">
        <v>171</v>
      </c>
      <c r="AQ4237" s="5">
        <v>0</v>
      </c>
    </row>
    <row r="4238" spans="1:45" x14ac:dyDescent="0.2">
      <c r="A4238" t="s">
        <v>2163</v>
      </c>
      <c r="B4238" t="s">
        <v>2016</v>
      </c>
      <c r="C4238">
        <v>2004</v>
      </c>
      <c r="D4238" t="s">
        <v>44</v>
      </c>
      <c r="F4238" t="s">
        <v>588</v>
      </c>
      <c r="G4238" t="s">
        <v>86</v>
      </c>
      <c r="H4238" t="s">
        <v>350</v>
      </c>
      <c r="I4238">
        <v>2000</v>
      </c>
      <c r="J4238">
        <v>8.3000000000000004E-2</v>
      </c>
      <c r="K4238" t="s">
        <v>101</v>
      </c>
      <c r="L4238">
        <v>100</v>
      </c>
      <c r="M4238">
        <v>0</v>
      </c>
      <c r="N4238" t="s">
        <v>132</v>
      </c>
      <c r="O4238" t="s">
        <v>132</v>
      </c>
      <c r="P4238" t="s">
        <v>2165</v>
      </c>
      <c r="Q4238" s="1" t="s">
        <v>2276</v>
      </c>
      <c r="R4238" s="1" t="s">
        <v>669</v>
      </c>
      <c r="S4238" s="1" t="s">
        <v>168</v>
      </c>
      <c r="T4238" t="s">
        <v>396</v>
      </c>
      <c r="U4238" s="1" t="s">
        <v>168</v>
      </c>
      <c r="X4238" t="s">
        <v>161</v>
      </c>
      <c r="Y4238" t="s">
        <v>2272</v>
      </c>
      <c r="Z4238" t="s">
        <v>2272</v>
      </c>
      <c r="AA4238" t="s">
        <v>2272</v>
      </c>
      <c r="AB4238" t="s">
        <v>2272</v>
      </c>
      <c r="AC4238" t="s">
        <v>162</v>
      </c>
      <c r="AD4238" t="s">
        <v>2272</v>
      </c>
      <c r="AF4238" t="s">
        <v>49</v>
      </c>
      <c r="AJ4238" t="s">
        <v>49</v>
      </c>
      <c r="AM4238" t="s">
        <v>1960</v>
      </c>
      <c r="AN4238" t="s">
        <v>154</v>
      </c>
      <c r="AQ4238" s="5">
        <v>2</v>
      </c>
    </row>
    <row r="4239" spans="1:45" x14ac:dyDescent="0.2">
      <c r="A4239" t="s">
        <v>2163</v>
      </c>
      <c r="B4239" t="s">
        <v>2016</v>
      </c>
      <c r="C4239">
        <v>2004</v>
      </c>
      <c r="D4239" t="s">
        <v>44</v>
      </c>
      <c r="F4239" t="s">
        <v>588</v>
      </c>
      <c r="G4239" t="s">
        <v>86</v>
      </c>
      <c r="H4239" t="s">
        <v>350</v>
      </c>
      <c r="I4239">
        <v>2000</v>
      </c>
      <c r="J4239">
        <v>8.3000000000000004E-2</v>
      </c>
      <c r="K4239" t="s">
        <v>101</v>
      </c>
      <c r="L4239">
        <v>100</v>
      </c>
      <c r="M4239">
        <v>0</v>
      </c>
      <c r="N4239" t="s">
        <v>132</v>
      </c>
      <c r="O4239" t="s">
        <v>132</v>
      </c>
      <c r="P4239" t="s">
        <v>169</v>
      </c>
      <c r="Q4239" s="1" t="s">
        <v>2276</v>
      </c>
      <c r="R4239" s="1" t="s">
        <v>669</v>
      </c>
      <c r="S4239" s="1" t="s">
        <v>168</v>
      </c>
      <c r="T4239" t="s">
        <v>396</v>
      </c>
      <c r="U4239" t="s">
        <v>168</v>
      </c>
      <c r="X4239" t="s">
        <v>161</v>
      </c>
      <c r="Y4239" t="s">
        <v>2272</v>
      </c>
      <c r="Z4239" t="s">
        <v>2272</v>
      </c>
      <c r="AA4239" t="s">
        <v>2272</v>
      </c>
      <c r="AB4239" t="s">
        <v>2272</v>
      </c>
      <c r="AC4239" t="s">
        <v>162</v>
      </c>
      <c r="AD4239" t="s">
        <v>2272</v>
      </c>
      <c r="AF4239" t="s">
        <v>49</v>
      </c>
      <c r="AJ4239" t="s">
        <v>49</v>
      </c>
      <c r="AM4239" t="s">
        <v>1960</v>
      </c>
      <c r="AN4239" t="s">
        <v>154</v>
      </c>
      <c r="AQ4239" s="5">
        <v>1</v>
      </c>
    </row>
    <row r="4240" spans="1:45" x14ac:dyDescent="0.2">
      <c r="A4240" t="s">
        <v>2167</v>
      </c>
      <c r="B4240" t="s">
        <v>2168</v>
      </c>
      <c r="C4240">
        <v>2004</v>
      </c>
      <c r="Q4240" s="1" t="s">
        <v>2272</v>
      </c>
      <c r="R4240" s="1" t="s">
        <v>2272</v>
      </c>
      <c r="S4240" s="1" t="s">
        <v>2272</v>
      </c>
      <c r="Y4240" t="s">
        <v>2272</v>
      </c>
      <c r="Z4240" t="s">
        <v>2272</v>
      </c>
      <c r="AA4240" t="s">
        <v>2272</v>
      </c>
      <c r="AB4240" t="s">
        <v>2272</v>
      </c>
      <c r="AD4240" t="s">
        <v>2272</v>
      </c>
      <c r="AR4240" t="s">
        <v>144</v>
      </c>
      <c r="AS4240" t="s">
        <v>2583</v>
      </c>
    </row>
    <row r="4241" spans="1:43" x14ac:dyDescent="0.2">
      <c r="A4241" t="s">
        <v>2169</v>
      </c>
      <c r="B4241" t="s">
        <v>2170</v>
      </c>
      <c r="C4241">
        <v>2004</v>
      </c>
      <c r="D4241" t="s">
        <v>44</v>
      </c>
      <c r="F4241" t="s">
        <v>81</v>
      </c>
      <c r="G4241" t="s">
        <v>91</v>
      </c>
      <c r="H4241" t="s">
        <v>350</v>
      </c>
      <c r="I4241" t="s">
        <v>2171</v>
      </c>
      <c r="J4241">
        <v>19</v>
      </c>
      <c r="K4241" t="s">
        <v>102</v>
      </c>
      <c r="L4241">
        <v>140</v>
      </c>
      <c r="M4241">
        <v>1</v>
      </c>
      <c r="N4241" t="s">
        <v>120</v>
      </c>
      <c r="O4241" t="s">
        <v>1102</v>
      </c>
      <c r="P4241" t="s">
        <v>581</v>
      </c>
      <c r="Q4241" s="1" t="s">
        <v>2276</v>
      </c>
      <c r="R4241" s="1" t="s">
        <v>669</v>
      </c>
      <c r="S4241" s="1" t="s">
        <v>168</v>
      </c>
      <c r="T4241" t="s">
        <v>421</v>
      </c>
      <c r="U4241" t="s">
        <v>421</v>
      </c>
      <c r="X4241" t="s">
        <v>161</v>
      </c>
      <c r="Y4241" t="s">
        <v>2272</v>
      </c>
      <c r="Z4241" t="s">
        <v>2272</v>
      </c>
      <c r="AA4241" t="s">
        <v>2272</v>
      </c>
      <c r="AB4241" t="s">
        <v>2272</v>
      </c>
      <c r="AC4241" t="s">
        <v>162</v>
      </c>
      <c r="AD4241" t="s">
        <v>2272</v>
      </c>
      <c r="AF4241" t="s">
        <v>49</v>
      </c>
      <c r="AH4241" s="4" t="s">
        <v>49</v>
      </c>
      <c r="AI4241" t="s">
        <v>49</v>
      </c>
      <c r="AM4241" t="s">
        <v>202</v>
      </c>
      <c r="AN4241" t="s">
        <v>154</v>
      </c>
    </row>
    <row r="4242" spans="1:43" x14ac:dyDescent="0.2">
      <c r="A4242" t="s">
        <v>2169</v>
      </c>
      <c r="B4242" t="s">
        <v>2170</v>
      </c>
      <c r="C4242">
        <v>2004</v>
      </c>
      <c r="D4242" t="s">
        <v>44</v>
      </c>
      <c r="F4242" t="s">
        <v>81</v>
      </c>
      <c r="G4242" t="s">
        <v>91</v>
      </c>
      <c r="H4242" t="s">
        <v>350</v>
      </c>
      <c r="I4242" t="s">
        <v>2171</v>
      </c>
      <c r="J4242">
        <v>19</v>
      </c>
      <c r="K4242" t="s">
        <v>102</v>
      </c>
      <c r="L4242">
        <v>140</v>
      </c>
      <c r="M4242">
        <v>1</v>
      </c>
      <c r="N4242" t="s">
        <v>120</v>
      </c>
      <c r="O4242" t="s">
        <v>1102</v>
      </c>
      <c r="P4242" t="s">
        <v>581</v>
      </c>
      <c r="Q4242" s="1" t="s">
        <v>2276</v>
      </c>
      <c r="R4242" s="1" t="s">
        <v>669</v>
      </c>
      <c r="S4242" s="1" t="s">
        <v>168</v>
      </c>
      <c r="T4242" t="s">
        <v>421</v>
      </c>
      <c r="U4242" t="s">
        <v>421</v>
      </c>
      <c r="X4242" t="s">
        <v>161</v>
      </c>
      <c r="Y4242" t="s">
        <v>2272</v>
      </c>
      <c r="Z4242" t="s">
        <v>2272</v>
      </c>
      <c r="AA4242" t="s">
        <v>2272</v>
      </c>
      <c r="AB4242" t="s">
        <v>2272</v>
      </c>
      <c r="AC4242" t="s">
        <v>162</v>
      </c>
      <c r="AD4242" t="s">
        <v>2272</v>
      </c>
      <c r="AF4242" t="s">
        <v>49</v>
      </c>
      <c r="AH4242" s="4" t="s">
        <v>49</v>
      </c>
      <c r="AI4242" t="s">
        <v>49</v>
      </c>
      <c r="AM4242" t="s">
        <v>202</v>
      </c>
      <c r="AN4242" t="s">
        <v>166</v>
      </c>
    </row>
    <row r="4243" spans="1:43" x14ac:dyDescent="0.2">
      <c r="A4243" t="s">
        <v>2169</v>
      </c>
      <c r="B4243" t="s">
        <v>2170</v>
      </c>
      <c r="C4243">
        <v>2004</v>
      </c>
      <c r="D4243" t="s">
        <v>44</v>
      </c>
      <c r="F4243" t="s">
        <v>81</v>
      </c>
      <c r="G4243" t="s">
        <v>91</v>
      </c>
      <c r="H4243" t="s">
        <v>350</v>
      </c>
      <c r="I4243" t="s">
        <v>2171</v>
      </c>
      <c r="J4243">
        <v>19</v>
      </c>
      <c r="K4243" t="s">
        <v>102</v>
      </c>
      <c r="L4243">
        <v>140</v>
      </c>
      <c r="M4243">
        <v>1</v>
      </c>
      <c r="N4243" t="s">
        <v>120</v>
      </c>
      <c r="O4243" t="s">
        <v>1102</v>
      </c>
      <c r="P4243" t="s">
        <v>581</v>
      </c>
      <c r="Q4243" s="1" t="s">
        <v>2276</v>
      </c>
      <c r="R4243" s="1" t="s">
        <v>669</v>
      </c>
      <c r="S4243" s="1" t="s">
        <v>168</v>
      </c>
      <c r="T4243" t="s">
        <v>421</v>
      </c>
      <c r="U4243" t="s">
        <v>421</v>
      </c>
      <c r="X4243" t="s">
        <v>161</v>
      </c>
      <c r="Y4243" t="s">
        <v>2272</v>
      </c>
      <c r="Z4243" t="s">
        <v>2272</v>
      </c>
      <c r="AA4243" t="s">
        <v>2272</v>
      </c>
      <c r="AB4243" t="s">
        <v>2272</v>
      </c>
      <c r="AC4243" t="s">
        <v>162</v>
      </c>
      <c r="AD4243" t="s">
        <v>2272</v>
      </c>
      <c r="AF4243" t="s">
        <v>49</v>
      </c>
      <c r="AH4243" s="4" t="s">
        <v>49</v>
      </c>
      <c r="AI4243" t="s">
        <v>49</v>
      </c>
      <c r="AM4243" t="s">
        <v>202</v>
      </c>
      <c r="AN4243" t="s">
        <v>191</v>
      </c>
    </row>
    <row r="4244" spans="1:43" x14ac:dyDescent="0.2">
      <c r="A4244" t="s">
        <v>2169</v>
      </c>
      <c r="B4244" t="s">
        <v>2170</v>
      </c>
      <c r="C4244">
        <v>2004</v>
      </c>
      <c r="D4244" t="s">
        <v>44</v>
      </c>
      <c r="F4244" t="s">
        <v>81</v>
      </c>
      <c r="G4244" t="s">
        <v>91</v>
      </c>
      <c r="H4244" t="s">
        <v>350</v>
      </c>
      <c r="I4244" t="s">
        <v>2171</v>
      </c>
      <c r="J4244">
        <v>19</v>
      </c>
      <c r="K4244" t="s">
        <v>102</v>
      </c>
      <c r="L4244">
        <v>140</v>
      </c>
      <c r="M4244">
        <v>1</v>
      </c>
      <c r="N4244" t="s">
        <v>120</v>
      </c>
      <c r="O4244" t="s">
        <v>1102</v>
      </c>
      <c r="P4244" t="s">
        <v>581</v>
      </c>
      <c r="Q4244" s="1" t="s">
        <v>2276</v>
      </c>
      <c r="R4244" s="1" t="s">
        <v>669</v>
      </c>
      <c r="S4244" s="1" t="s">
        <v>168</v>
      </c>
      <c r="T4244" t="s">
        <v>421</v>
      </c>
      <c r="U4244" t="s">
        <v>421</v>
      </c>
      <c r="X4244" t="s">
        <v>161</v>
      </c>
      <c r="Y4244" t="s">
        <v>2272</v>
      </c>
      <c r="Z4244" t="s">
        <v>2272</v>
      </c>
      <c r="AA4244" t="s">
        <v>2272</v>
      </c>
      <c r="AB4244" t="s">
        <v>2272</v>
      </c>
      <c r="AC4244" t="s">
        <v>162</v>
      </c>
      <c r="AD4244" t="s">
        <v>2272</v>
      </c>
      <c r="AF4244" t="s">
        <v>49</v>
      </c>
      <c r="AH4244" s="4" t="s">
        <v>49</v>
      </c>
      <c r="AI4244" t="s">
        <v>49</v>
      </c>
      <c r="AM4244" t="s">
        <v>202</v>
      </c>
      <c r="AN4244" t="s">
        <v>165</v>
      </c>
    </row>
    <row r="4245" spans="1:43" x14ac:dyDescent="0.2">
      <c r="A4245" t="s">
        <v>2172</v>
      </c>
      <c r="B4245" t="s">
        <v>2173</v>
      </c>
      <c r="C4245">
        <v>2004</v>
      </c>
      <c r="D4245" t="s">
        <v>44</v>
      </c>
      <c r="F4245" t="s">
        <v>955</v>
      </c>
      <c r="G4245" t="s">
        <v>85</v>
      </c>
      <c r="H4245" t="s">
        <v>350</v>
      </c>
      <c r="I4245">
        <v>1999</v>
      </c>
      <c r="K4245" t="s">
        <v>101</v>
      </c>
      <c r="L4245">
        <v>30</v>
      </c>
      <c r="N4245" t="s">
        <v>127</v>
      </c>
      <c r="O4245" t="s">
        <v>2174</v>
      </c>
      <c r="Q4245" s="1" t="s">
        <v>2351</v>
      </c>
      <c r="R4245" s="1" t="s">
        <v>2351</v>
      </c>
      <c r="S4245" s="1" t="s">
        <v>2351</v>
      </c>
      <c r="X4245" t="s">
        <v>163</v>
      </c>
      <c r="Y4245" t="s">
        <v>2279</v>
      </c>
      <c r="Z4245" t="s">
        <v>2280</v>
      </c>
      <c r="AA4245" t="s">
        <v>2286</v>
      </c>
      <c r="AB4245" t="s">
        <v>2287</v>
      </c>
      <c r="AC4245" t="s">
        <v>162</v>
      </c>
      <c r="AD4245" t="s">
        <v>2278</v>
      </c>
      <c r="AF4245" t="s">
        <v>49</v>
      </c>
      <c r="AI4245" t="s">
        <v>49</v>
      </c>
      <c r="AM4245" t="s">
        <v>202</v>
      </c>
      <c r="AN4245" t="s">
        <v>165</v>
      </c>
      <c r="AP4245" t="s">
        <v>49</v>
      </c>
    </row>
    <row r="4246" spans="1:43" x14ac:dyDescent="0.2">
      <c r="A4246" t="s">
        <v>2175</v>
      </c>
      <c r="B4246" t="s">
        <v>2176</v>
      </c>
      <c r="C4246">
        <v>2004</v>
      </c>
      <c r="D4246" t="s">
        <v>44</v>
      </c>
      <c r="F4246" t="s">
        <v>638</v>
      </c>
      <c r="G4246" t="s">
        <v>90</v>
      </c>
      <c r="H4246" t="s">
        <v>96</v>
      </c>
      <c r="L4246">
        <v>200</v>
      </c>
      <c r="M4246">
        <v>0.1225</v>
      </c>
      <c r="N4246" t="s">
        <v>127</v>
      </c>
      <c r="O4246" t="s">
        <v>2177</v>
      </c>
      <c r="P4246" t="s">
        <v>640</v>
      </c>
      <c r="Q4246" s="1" t="s">
        <v>2281</v>
      </c>
      <c r="R4246" s="1" t="s">
        <v>2291</v>
      </c>
      <c r="S4246" s="1" t="s">
        <v>2291</v>
      </c>
      <c r="T4246" t="s">
        <v>421</v>
      </c>
      <c r="U4246" t="s">
        <v>421</v>
      </c>
      <c r="X4246" t="s">
        <v>161</v>
      </c>
      <c r="Y4246" t="s">
        <v>2272</v>
      </c>
      <c r="Z4246" t="s">
        <v>2272</v>
      </c>
      <c r="AA4246" t="s">
        <v>2272</v>
      </c>
      <c r="AB4246" t="s">
        <v>2272</v>
      </c>
      <c r="AC4246" t="s">
        <v>162</v>
      </c>
      <c r="AD4246" t="s">
        <v>2272</v>
      </c>
      <c r="AF4246" t="s">
        <v>49</v>
      </c>
      <c r="AJ4246" t="s">
        <v>49</v>
      </c>
      <c r="AM4246" t="s">
        <v>1960</v>
      </c>
      <c r="AN4246" t="s">
        <v>165</v>
      </c>
      <c r="AP4246" t="s">
        <v>49</v>
      </c>
    </row>
    <row r="4247" spans="1:43" x14ac:dyDescent="0.2">
      <c r="A4247" t="s">
        <v>2175</v>
      </c>
      <c r="B4247" t="s">
        <v>2176</v>
      </c>
      <c r="C4247">
        <v>2004</v>
      </c>
      <c r="D4247" t="s">
        <v>44</v>
      </c>
      <c r="F4247" t="s">
        <v>638</v>
      </c>
      <c r="G4247" t="s">
        <v>90</v>
      </c>
      <c r="H4247" t="s">
        <v>96</v>
      </c>
      <c r="L4247">
        <v>200</v>
      </c>
      <c r="M4247">
        <v>0.1225</v>
      </c>
      <c r="N4247" t="s">
        <v>127</v>
      </c>
      <c r="O4247" t="s">
        <v>2177</v>
      </c>
      <c r="P4247" t="s">
        <v>640</v>
      </c>
      <c r="Q4247" s="1" t="s">
        <v>2281</v>
      </c>
      <c r="R4247" s="1" t="s">
        <v>2291</v>
      </c>
      <c r="S4247" s="1" t="s">
        <v>2291</v>
      </c>
      <c r="T4247" t="s">
        <v>421</v>
      </c>
      <c r="U4247" t="s">
        <v>421</v>
      </c>
      <c r="X4247" t="s">
        <v>161</v>
      </c>
      <c r="Y4247" t="s">
        <v>2272</v>
      </c>
      <c r="Z4247" t="s">
        <v>2272</v>
      </c>
      <c r="AA4247" t="s">
        <v>2272</v>
      </c>
      <c r="AB4247" t="s">
        <v>2272</v>
      </c>
      <c r="AC4247" t="s">
        <v>162</v>
      </c>
      <c r="AD4247" t="s">
        <v>2272</v>
      </c>
      <c r="AF4247" t="s">
        <v>49</v>
      </c>
      <c r="AJ4247" t="s">
        <v>49</v>
      </c>
      <c r="AM4247" t="s">
        <v>1960</v>
      </c>
      <c r="AN4247" t="s">
        <v>154</v>
      </c>
      <c r="AQ4247" s="5">
        <v>1</v>
      </c>
    </row>
    <row r="4248" spans="1:43" x14ac:dyDescent="0.2">
      <c r="A4248" t="s">
        <v>2175</v>
      </c>
      <c r="B4248" t="s">
        <v>2176</v>
      </c>
      <c r="C4248">
        <v>2004</v>
      </c>
      <c r="D4248" t="s">
        <v>44</v>
      </c>
      <c r="F4248" t="s">
        <v>638</v>
      </c>
      <c r="G4248" t="s">
        <v>90</v>
      </c>
      <c r="H4248" t="s">
        <v>96</v>
      </c>
      <c r="L4248">
        <v>200</v>
      </c>
      <c r="M4248">
        <v>0.1225</v>
      </c>
      <c r="N4248" t="s">
        <v>127</v>
      </c>
      <c r="O4248" t="s">
        <v>2177</v>
      </c>
      <c r="P4248" t="s">
        <v>640</v>
      </c>
      <c r="Q4248" s="1" t="s">
        <v>2281</v>
      </c>
      <c r="R4248" s="1" t="s">
        <v>2291</v>
      </c>
      <c r="S4248" s="1" t="s">
        <v>2291</v>
      </c>
      <c r="T4248" t="s">
        <v>421</v>
      </c>
      <c r="U4248" t="s">
        <v>421</v>
      </c>
      <c r="X4248" t="s">
        <v>161</v>
      </c>
      <c r="Y4248" t="s">
        <v>2272</v>
      </c>
      <c r="Z4248" t="s">
        <v>2272</v>
      </c>
      <c r="AA4248" t="s">
        <v>2272</v>
      </c>
      <c r="AB4248" t="s">
        <v>2272</v>
      </c>
      <c r="AC4248" t="s">
        <v>162</v>
      </c>
      <c r="AD4248" t="s">
        <v>2272</v>
      </c>
      <c r="AF4248" t="s">
        <v>49</v>
      </c>
      <c r="AI4248" t="s">
        <v>49</v>
      </c>
      <c r="AM4248" t="s">
        <v>192</v>
      </c>
      <c r="AN4248" t="s">
        <v>166</v>
      </c>
      <c r="AQ4248" s="5">
        <v>1</v>
      </c>
    </row>
    <row r="4249" spans="1:43" x14ac:dyDescent="0.2">
      <c r="A4249" t="s">
        <v>2178</v>
      </c>
      <c r="B4249" t="s">
        <v>2179</v>
      </c>
      <c r="C4249">
        <v>2004</v>
      </c>
      <c r="D4249" t="s">
        <v>44</v>
      </c>
      <c r="F4249" t="s">
        <v>628</v>
      </c>
      <c r="G4249" t="s">
        <v>91</v>
      </c>
      <c r="H4249" t="s">
        <v>350</v>
      </c>
      <c r="I4249">
        <v>2001</v>
      </c>
      <c r="J4249">
        <v>0.3</v>
      </c>
      <c r="K4249" t="s">
        <v>101</v>
      </c>
      <c r="M4249">
        <v>0.25</v>
      </c>
      <c r="N4249" t="s">
        <v>120</v>
      </c>
      <c r="O4249" t="s">
        <v>120</v>
      </c>
      <c r="P4249" t="s">
        <v>2180</v>
      </c>
      <c r="Q4249" s="1" t="s">
        <v>2276</v>
      </c>
      <c r="R4249" s="1" t="s">
        <v>669</v>
      </c>
      <c r="S4249" s="1" t="s">
        <v>168</v>
      </c>
      <c r="T4249" t="s">
        <v>396</v>
      </c>
      <c r="U4249" t="s">
        <v>2423</v>
      </c>
      <c r="X4249" t="s">
        <v>161</v>
      </c>
      <c r="Y4249" t="s">
        <v>2272</v>
      </c>
      <c r="Z4249" t="s">
        <v>2272</v>
      </c>
      <c r="AA4249" t="s">
        <v>2272</v>
      </c>
      <c r="AB4249" t="s">
        <v>2272</v>
      </c>
      <c r="AC4249" t="s">
        <v>162</v>
      </c>
      <c r="AD4249" t="s">
        <v>2272</v>
      </c>
      <c r="AF4249" t="s">
        <v>49</v>
      </c>
      <c r="AI4249" t="s">
        <v>49</v>
      </c>
      <c r="AM4249" t="s">
        <v>202</v>
      </c>
      <c r="AN4249" t="s">
        <v>154</v>
      </c>
      <c r="AQ4249" s="5">
        <v>0</v>
      </c>
    </row>
    <row r="4250" spans="1:43" x14ac:dyDescent="0.2">
      <c r="A4250" t="s">
        <v>2178</v>
      </c>
      <c r="B4250" t="s">
        <v>2179</v>
      </c>
      <c r="C4250">
        <v>2004</v>
      </c>
      <c r="D4250" t="s">
        <v>44</v>
      </c>
      <c r="F4250" t="s">
        <v>628</v>
      </c>
      <c r="G4250" t="s">
        <v>91</v>
      </c>
      <c r="H4250" t="s">
        <v>350</v>
      </c>
      <c r="I4250">
        <v>2001</v>
      </c>
      <c r="J4250">
        <v>0.3</v>
      </c>
      <c r="K4250" t="s">
        <v>101</v>
      </c>
      <c r="M4250">
        <v>0.25</v>
      </c>
      <c r="N4250" t="s">
        <v>120</v>
      </c>
      <c r="O4250" t="s">
        <v>120</v>
      </c>
      <c r="P4250" t="s">
        <v>2181</v>
      </c>
      <c r="Q4250" s="1" t="s">
        <v>2276</v>
      </c>
      <c r="R4250" s="1" t="s">
        <v>669</v>
      </c>
      <c r="S4250" s="1" t="s">
        <v>168</v>
      </c>
      <c r="T4250" t="s">
        <v>396</v>
      </c>
      <c r="U4250" t="s">
        <v>2423</v>
      </c>
      <c r="X4250" t="s">
        <v>161</v>
      </c>
      <c r="Y4250" t="s">
        <v>2272</v>
      </c>
      <c r="Z4250" t="s">
        <v>2272</v>
      </c>
      <c r="AA4250" t="s">
        <v>2272</v>
      </c>
      <c r="AB4250" t="s">
        <v>2272</v>
      </c>
      <c r="AC4250" t="s">
        <v>162</v>
      </c>
      <c r="AD4250" t="s">
        <v>2272</v>
      </c>
      <c r="AF4250" t="s">
        <v>49</v>
      </c>
      <c r="AI4250" t="s">
        <v>49</v>
      </c>
      <c r="AM4250" t="s">
        <v>202</v>
      </c>
      <c r="AN4250" t="s">
        <v>154</v>
      </c>
      <c r="AQ4250" s="5">
        <v>0</v>
      </c>
    </row>
    <row r="4251" spans="1:43" x14ac:dyDescent="0.2">
      <c r="A4251" t="s">
        <v>2178</v>
      </c>
      <c r="B4251" t="s">
        <v>2179</v>
      </c>
      <c r="C4251">
        <v>2004</v>
      </c>
      <c r="D4251" t="s">
        <v>44</v>
      </c>
      <c r="F4251" t="s">
        <v>628</v>
      </c>
      <c r="G4251" t="s">
        <v>91</v>
      </c>
      <c r="H4251" t="s">
        <v>350</v>
      </c>
      <c r="I4251">
        <v>2001</v>
      </c>
      <c r="J4251">
        <v>0.3</v>
      </c>
      <c r="K4251" t="s">
        <v>101</v>
      </c>
      <c r="M4251">
        <v>0.25</v>
      </c>
      <c r="N4251" t="s">
        <v>120</v>
      </c>
      <c r="O4251" t="s">
        <v>120</v>
      </c>
      <c r="P4251" t="s">
        <v>2182</v>
      </c>
      <c r="Q4251" s="1" t="s">
        <v>2276</v>
      </c>
      <c r="R4251" s="1" t="s">
        <v>669</v>
      </c>
      <c r="S4251" s="1" t="s">
        <v>168</v>
      </c>
      <c r="T4251" t="s">
        <v>396</v>
      </c>
      <c r="U4251" t="s">
        <v>2423</v>
      </c>
      <c r="X4251" t="s">
        <v>161</v>
      </c>
      <c r="Y4251" t="s">
        <v>2272</v>
      </c>
      <c r="Z4251" t="s">
        <v>2272</v>
      </c>
      <c r="AA4251" t="s">
        <v>2272</v>
      </c>
      <c r="AB4251" t="s">
        <v>2272</v>
      </c>
      <c r="AC4251" t="s">
        <v>162</v>
      </c>
      <c r="AD4251" t="s">
        <v>2272</v>
      </c>
      <c r="AF4251" t="s">
        <v>49</v>
      </c>
      <c r="AI4251" t="s">
        <v>49</v>
      </c>
      <c r="AM4251" t="s">
        <v>202</v>
      </c>
      <c r="AN4251" t="s">
        <v>154</v>
      </c>
      <c r="AQ4251" s="5">
        <v>0</v>
      </c>
    </row>
    <row r="4252" spans="1:43" x14ac:dyDescent="0.2">
      <c r="A4252" t="s">
        <v>2178</v>
      </c>
      <c r="B4252" t="s">
        <v>2179</v>
      </c>
      <c r="C4252">
        <v>2004</v>
      </c>
      <c r="D4252" t="s">
        <v>44</v>
      </c>
      <c r="F4252" t="s">
        <v>628</v>
      </c>
      <c r="G4252" t="s">
        <v>91</v>
      </c>
      <c r="H4252" t="s">
        <v>350</v>
      </c>
      <c r="I4252">
        <v>2001</v>
      </c>
      <c r="J4252">
        <v>0.3</v>
      </c>
      <c r="K4252" t="s">
        <v>101</v>
      </c>
      <c r="M4252">
        <v>0.25</v>
      </c>
      <c r="N4252" t="s">
        <v>120</v>
      </c>
      <c r="O4252" t="s">
        <v>120</v>
      </c>
      <c r="P4252" t="s">
        <v>2183</v>
      </c>
      <c r="Q4252" s="1" t="s">
        <v>2276</v>
      </c>
      <c r="R4252" s="1" t="s">
        <v>751</v>
      </c>
      <c r="S4252" s="1" t="s">
        <v>2346</v>
      </c>
      <c r="T4252" t="s">
        <v>396</v>
      </c>
      <c r="U4252" t="s">
        <v>2366</v>
      </c>
      <c r="X4252" t="s">
        <v>161</v>
      </c>
      <c r="Y4252" t="s">
        <v>2272</v>
      </c>
      <c r="Z4252" t="s">
        <v>2272</v>
      </c>
      <c r="AA4252" t="s">
        <v>2272</v>
      </c>
      <c r="AB4252" t="s">
        <v>2272</v>
      </c>
      <c r="AC4252" t="s">
        <v>162</v>
      </c>
      <c r="AD4252" t="s">
        <v>2272</v>
      </c>
      <c r="AF4252" t="s">
        <v>49</v>
      </c>
      <c r="AI4252" t="s">
        <v>49</v>
      </c>
      <c r="AM4252" t="s">
        <v>202</v>
      </c>
      <c r="AN4252" t="s">
        <v>154</v>
      </c>
      <c r="AQ4252" s="5">
        <v>0</v>
      </c>
    </row>
    <row r="4253" spans="1:43" x14ac:dyDescent="0.2">
      <c r="A4253" t="s">
        <v>2178</v>
      </c>
      <c r="B4253" t="s">
        <v>2179</v>
      </c>
      <c r="C4253">
        <v>2004</v>
      </c>
      <c r="D4253" t="s">
        <v>44</v>
      </c>
      <c r="F4253" t="s">
        <v>628</v>
      </c>
      <c r="G4253" t="s">
        <v>91</v>
      </c>
      <c r="H4253" t="s">
        <v>350</v>
      </c>
      <c r="I4253">
        <v>2001</v>
      </c>
      <c r="J4253">
        <v>0.3</v>
      </c>
      <c r="K4253" t="s">
        <v>101</v>
      </c>
      <c r="M4253">
        <v>0.25</v>
      </c>
      <c r="N4253" t="s">
        <v>120</v>
      </c>
      <c r="O4253" t="s">
        <v>120</v>
      </c>
      <c r="P4253" t="s">
        <v>2180</v>
      </c>
      <c r="Q4253" s="1" t="s">
        <v>2276</v>
      </c>
      <c r="R4253" s="1" t="s">
        <v>669</v>
      </c>
      <c r="S4253" s="1" t="s">
        <v>168</v>
      </c>
      <c r="T4253" t="s">
        <v>421</v>
      </c>
      <c r="U4253" t="s">
        <v>421</v>
      </c>
      <c r="X4253" t="s">
        <v>161</v>
      </c>
      <c r="Y4253" t="s">
        <v>2272</v>
      </c>
      <c r="Z4253" t="s">
        <v>2272</v>
      </c>
      <c r="AA4253" t="s">
        <v>2272</v>
      </c>
      <c r="AB4253" t="s">
        <v>2272</v>
      </c>
      <c r="AC4253" t="s">
        <v>162</v>
      </c>
      <c r="AD4253" t="s">
        <v>2272</v>
      </c>
      <c r="AF4253" t="s">
        <v>49</v>
      </c>
      <c r="AI4253" t="s">
        <v>49</v>
      </c>
      <c r="AM4253" t="s">
        <v>202</v>
      </c>
      <c r="AN4253" t="s">
        <v>154</v>
      </c>
      <c r="AQ4253" s="5">
        <v>1</v>
      </c>
    </row>
    <row r="4254" spans="1:43" x14ac:dyDescent="0.2">
      <c r="A4254" t="s">
        <v>2178</v>
      </c>
      <c r="B4254" t="s">
        <v>2179</v>
      </c>
      <c r="C4254">
        <v>2004</v>
      </c>
      <c r="D4254" t="s">
        <v>44</v>
      </c>
      <c r="F4254" t="s">
        <v>628</v>
      </c>
      <c r="G4254" t="s">
        <v>91</v>
      </c>
      <c r="H4254" t="s">
        <v>350</v>
      </c>
      <c r="I4254">
        <v>2001</v>
      </c>
      <c r="J4254">
        <v>0.3</v>
      </c>
      <c r="K4254" t="s">
        <v>101</v>
      </c>
      <c r="M4254">
        <v>0.25</v>
      </c>
      <c r="N4254" t="s">
        <v>120</v>
      </c>
      <c r="O4254" t="s">
        <v>120</v>
      </c>
      <c r="P4254" t="s">
        <v>2181</v>
      </c>
      <c r="Q4254" s="1" t="s">
        <v>2276</v>
      </c>
      <c r="R4254" s="1" t="s">
        <v>669</v>
      </c>
      <c r="S4254" s="1" t="s">
        <v>168</v>
      </c>
      <c r="T4254" t="s">
        <v>421</v>
      </c>
      <c r="U4254" t="s">
        <v>421</v>
      </c>
      <c r="X4254" t="s">
        <v>161</v>
      </c>
      <c r="Y4254" t="s">
        <v>2272</v>
      </c>
      <c r="Z4254" t="s">
        <v>2272</v>
      </c>
      <c r="AA4254" t="s">
        <v>2272</v>
      </c>
      <c r="AB4254" t="s">
        <v>2272</v>
      </c>
      <c r="AC4254" t="s">
        <v>162</v>
      </c>
      <c r="AD4254" t="s">
        <v>2272</v>
      </c>
      <c r="AF4254" t="s">
        <v>49</v>
      </c>
      <c r="AI4254" t="s">
        <v>49</v>
      </c>
      <c r="AM4254" t="s">
        <v>202</v>
      </c>
      <c r="AN4254" t="s">
        <v>154</v>
      </c>
      <c r="AQ4254" s="5">
        <v>1</v>
      </c>
    </row>
    <row r="4255" spans="1:43" x14ac:dyDescent="0.2">
      <c r="A4255" t="s">
        <v>2178</v>
      </c>
      <c r="B4255" t="s">
        <v>2179</v>
      </c>
      <c r="C4255">
        <v>2004</v>
      </c>
      <c r="D4255" t="s">
        <v>44</v>
      </c>
      <c r="F4255" t="s">
        <v>628</v>
      </c>
      <c r="G4255" t="s">
        <v>91</v>
      </c>
      <c r="H4255" t="s">
        <v>350</v>
      </c>
      <c r="I4255">
        <v>2001</v>
      </c>
      <c r="J4255">
        <v>0.3</v>
      </c>
      <c r="K4255" t="s">
        <v>101</v>
      </c>
      <c r="M4255">
        <v>0.25</v>
      </c>
      <c r="N4255" t="s">
        <v>120</v>
      </c>
      <c r="O4255" t="s">
        <v>120</v>
      </c>
      <c r="P4255" t="s">
        <v>2182</v>
      </c>
      <c r="Q4255" s="1" t="s">
        <v>2276</v>
      </c>
      <c r="R4255" s="1" t="s">
        <v>669</v>
      </c>
      <c r="S4255" s="1" t="s">
        <v>168</v>
      </c>
      <c r="T4255" t="s">
        <v>421</v>
      </c>
      <c r="U4255" t="s">
        <v>421</v>
      </c>
      <c r="X4255" t="s">
        <v>161</v>
      </c>
      <c r="Y4255" t="s">
        <v>2272</v>
      </c>
      <c r="Z4255" t="s">
        <v>2272</v>
      </c>
      <c r="AA4255" t="s">
        <v>2272</v>
      </c>
      <c r="AB4255" t="s">
        <v>2272</v>
      </c>
      <c r="AC4255" t="s">
        <v>162</v>
      </c>
      <c r="AD4255" t="s">
        <v>2272</v>
      </c>
      <c r="AF4255" t="s">
        <v>49</v>
      </c>
      <c r="AI4255" t="s">
        <v>49</v>
      </c>
      <c r="AM4255" t="s">
        <v>202</v>
      </c>
      <c r="AN4255" t="s">
        <v>154</v>
      </c>
      <c r="AQ4255" s="5">
        <v>1</v>
      </c>
    </row>
    <row r="4256" spans="1:43" x14ac:dyDescent="0.2">
      <c r="A4256" t="s">
        <v>2178</v>
      </c>
      <c r="B4256" t="s">
        <v>2179</v>
      </c>
      <c r="C4256">
        <v>2004</v>
      </c>
      <c r="D4256" t="s">
        <v>44</v>
      </c>
      <c r="F4256" t="s">
        <v>628</v>
      </c>
      <c r="G4256" t="s">
        <v>91</v>
      </c>
      <c r="H4256" t="s">
        <v>350</v>
      </c>
      <c r="I4256">
        <v>2001</v>
      </c>
      <c r="J4256">
        <v>0.3</v>
      </c>
      <c r="K4256" t="s">
        <v>101</v>
      </c>
      <c r="M4256">
        <v>0.25</v>
      </c>
      <c r="N4256" t="s">
        <v>120</v>
      </c>
      <c r="O4256" t="s">
        <v>120</v>
      </c>
      <c r="P4256" t="s">
        <v>2183</v>
      </c>
      <c r="Q4256" s="1" t="s">
        <v>2276</v>
      </c>
      <c r="R4256" s="1" t="s">
        <v>751</v>
      </c>
      <c r="S4256" s="1" t="s">
        <v>2346</v>
      </c>
      <c r="T4256" t="s">
        <v>421</v>
      </c>
      <c r="U4256" t="s">
        <v>421</v>
      </c>
      <c r="X4256" t="s">
        <v>161</v>
      </c>
      <c r="Y4256" t="s">
        <v>2272</v>
      </c>
      <c r="Z4256" t="s">
        <v>2272</v>
      </c>
      <c r="AA4256" t="s">
        <v>2272</v>
      </c>
      <c r="AB4256" t="s">
        <v>2272</v>
      </c>
      <c r="AC4256" t="s">
        <v>162</v>
      </c>
      <c r="AD4256" t="s">
        <v>2272</v>
      </c>
      <c r="AF4256" t="s">
        <v>49</v>
      </c>
      <c r="AI4256" t="s">
        <v>49</v>
      </c>
      <c r="AM4256" t="s">
        <v>202</v>
      </c>
      <c r="AN4256" t="s">
        <v>154</v>
      </c>
      <c r="AQ4256" s="5">
        <v>1</v>
      </c>
    </row>
    <row r="4257" spans="1:43" x14ac:dyDescent="0.2">
      <c r="A4257" t="s">
        <v>2178</v>
      </c>
      <c r="B4257" t="s">
        <v>2179</v>
      </c>
      <c r="C4257">
        <v>2004</v>
      </c>
      <c r="D4257" t="s">
        <v>44</v>
      </c>
      <c r="F4257" t="s">
        <v>628</v>
      </c>
      <c r="G4257" t="s">
        <v>91</v>
      </c>
      <c r="H4257" t="s">
        <v>350</v>
      </c>
      <c r="I4257">
        <v>2001</v>
      </c>
      <c r="J4257">
        <v>0.3</v>
      </c>
      <c r="K4257" t="s">
        <v>101</v>
      </c>
      <c r="M4257">
        <v>0.25</v>
      </c>
      <c r="N4257" t="s">
        <v>120</v>
      </c>
      <c r="O4257" t="s">
        <v>120</v>
      </c>
      <c r="P4257" t="s">
        <v>2180</v>
      </c>
      <c r="Q4257" s="1" t="s">
        <v>2276</v>
      </c>
      <c r="R4257" s="1" t="s">
        <v>669</v>
      </c>
      <c r="S4257" s="1" t="s">
        <v>168</v>
      </c>
      <c r="T4257" t="s">
        <v>396</v>
      </c>
      <c r="U4257" t="s">
        <v>2423</v>
      </c>
      <c r="X4257" t="s">
        <v>161</v>
      </c>
      <c r="Y4257" t="s">
        <v>2272</v>
      </c>
      <c r="Z4257" t="s">
        <v>2272</v>
      </c>
      <c r="AA4257" t="s">
        <v>2272</v>
      </c>
      <c r="AB4257" t="s">
        <v>2272</v>
      </c>
      <c r="AC4257" t="s">
        <v>162</v>
      </c>
      <c r="AD4257" t="s">
        <v>2272</v>
      </c>
      <c r="AF4257" t="s">
        <v>49</v>
      </c>
      <c r="AJ4257" t="s">
        <v>49</v>
      </c>
      <c r="AM4257" t="s">
        <v>2184</v>
      </c>
      <c r="AN4257" t="s">
        <v>154</v>
      </c>
      <c r="AQ4257" s="5">
        <v>3</v>
      </c>
    </row>
    <row r="4258" spans="1:43" x14ac:dyDescent="0.2">
      <c r="A4258" t="s">
        <v>2178</v>
      </c>
      <c r="B4258" t="s">
        <v>2179</v>
      </c>
      <c r="C4258">
        <v>2004</v>
      </c>
      <c r="D4258" t="s">
        <v>44</v>
      </c>
      <c r="F4258" t="s">
        <v>628</v>
      </c>
      <c r="G4258" t="s">
        <v>91</v>
      </c>
      <c r="H4258" t="s">
        <v>350</v>
      </c>
      <c r="I4258">
        <v>2001</v>
      </c>
      <c r="J4258">
        <v>0.3</v>
      </c>
      <c r="K4258" t="s">
        <v>101</v>
      </c>
      <c r="M4258">
        <v>0.25</v>
      </c>
      <c r="N4258" t="s">
        <v>120</v>
      </c>
      <c r="O4258" t="s">
        <v>120</v>
      </c>
      <c r="P4258" t="s">
        <v>2181</v>
      </c>
      <c r="Q4258" s="1" t="s">
        <v>2276</v>
      </c>
      <c r="R4258" s="1" t="s">
        <v>669</v>
      </c>
      <c r="S4258" s="1" t="s">
        <v>168</v>
      </c>
      <c r="T4258" t="s">
        <v>396</v>
      </c>
      <c r="U4258" t="s">
        <v>2423</v>
      </c>
      <c r="X4258" t="s">
        <v>161</v>
      </c>
      <c r="Y4258" t="s">
        <v>2272</v>
      </c>
      <c r="Z4258" t="s">
        <v>2272</v>
      </c>
      <c r="AA4258" t="s">
        <v>2272</v>
      </c>
      <c r="AB4258" t="s">
        <v>2272</v>
      </c>
      <c r="AC4258" t="s">
        <v>162</v>
      </c>
      <c r="AD4258" t="s">
        <v>2272</v>
      </c>
      <c r="AF4258" t="s">
        <v>49</v>
      </c>
      <c r="AJ4258" t="s">
        <v>49</v>
      </c>
      <c r="AM4258" t="s">
        <v>2184</v>
      </c>
      <c r="AN4258" t="s">
        <v>154</v>
      </c>
      <c r="AQ4258" s="5">
        <v>1</v>
      </c>
    </row>
    <row r="4259" spans="1:43" x14ac:dyDescent="0.2">
      <c r="A4259" t="s">
        <v>2178</v>
      </c>
      <c r="B4259" t="s">
        <v>2179</v>
      </c>
      <c r="C4259">
        <v>2004</v>
      </c>
      <c r="D4259" t="s">
        <v>44</v>
      </c>
      <c r="F4259" t="s">
        <v>628</v>
      </c>
      <c r="G4259" t="s">
        <v>91</v>
      </c>
      <c r="H4259" t="s">
        <v>350</v>
      </c>
      <c r="I4259">
        <v>2001</v>
      </c>
      <c r="J4259">
        <v>0.3</v>
      </c>
      <c r="K4259" t="s">
        <v>101</v>
      </c>
      <c r="M4259">
        <v>0.25</v>
      </c>
      <c r="N4259" t="s">
        <v>120</v>
      </c>
      <c r="O4259" t="s">
        <v>120</v>
      </c>
      <c r="P4259" t="s">
        <v>2182</v>
      </c>
      <c r="Q4259" s="1" t="s">
        <v>2276</v>
      </c>
      <c r="R4259" s="1" t="s">
        <v>669</v>
      </c>
      <c r="S4259" s="1" t="s">
        <v>168</v>
      </c>
      <c r="T4259" t="s">
        <v>396</v>
      </c>
      <c r="U4259" t="s">
        <v>2423</v>
      </c>
      <c r="X4259" t="s">
        <v>161</v>
      </c>
      <c r="Y4259" t="s">
        <v>2272</v>
      </c>
      <c r="Z4259" t="s">
        <v>2272</v>
      </c>
      <c r="AA4259" t="s">
        <v>2272</v>
      </c>
      <c r="AB4259" t="s">
        <v>2272</v>
      </c>
      <c r="AC4259" t="s">
        <v>162</v>
      </c>
      <c r="AD4259" t="s">
        <v>2272</v>
      </c>
      <c r="AF4259" t="s">
        <v>49</v>
      </c>
      <c r="AJ4259" t="s">
        <v>49</v>
      </c>
      <c r="AM4259" t="s">
        <v>2184</v>
      </c>
      <c r="AN4259" t="s">
        <v>154</v>
      </c>
      <c r="AQ4259" s="5">
        <v>2</v>
      </c>
    </row>
    <row r="4260" spans="1:43" x14ac:dyDescent="0.2">
      <c r="A4260" t="s">
        <v>2178</v>
      </c>
      <c r="B4260" t="s">
        <v>2179</v>
      </c>
      <c r="C4260">
        <v>2004</v>
      </c>
      <c r="D4260" t="s">
        <v>44</v>
      </c>
      <c r="F4260" t="s">
        <v>628</v>
      </c>
      <c r="G4260" t="s">
        <v>91</v>
      </c>
      <c r="H4260" t="s">
        <v>350</v>
      </c>
      <c r="I4260">
        <v>2001</v>
      </c>
      <c r="J4260">
        <v>0.3</v>
      </c>
      <c r="K4260" t="s">
        <v>101</v>
      </c>
      <c r="M4260">
        <v>0.25</v>
      </c>
      <c r="N4260" t="s">
        <v>120</v>
      </c>
      <c r="O4260" t="s">
        <v>120</v>
      </c>
      <c r="P4260" t="s">
        <v>2183</v>
      </c>
      <c r="Q4260" s="1" t="s">
        <v>2276</v>
      </c>
      <c r="R4260" s="1" t="s">
        <v>751</v>
      </c>
      <c r="S4260" s="1" t="s">
        <v>2346</v>
      </c>
      <c r="T4260" t="s">
        <v>396</v>
      </c>
      <c r="U4260" t="s">
        <v>2366</v>
      </c>
      <c r="X4260" t="s">
        <v>161</v>
      </c>
      <c r="Y4260" t="s">
        <v>2272</v>
      </c>
      <c r="Z4260" t="s">
        <v>2272</v>
      </c>
      <c r="AA4260" t="s">
        <v>2272</v>
      </c>
      <c r="AB4260" t="s">
        <v>2272</v>
      </c>
      <c r="AC4260" t="s">
        <v>162</v>
      </c>
      <c r="AD4260" t="s">
        <v>2272</v>
      </c>
      <c r="AF4260" t="s">
        <v>49</v>
      </c>
      <c r="AJ4260" t="s">
        <v>49</v>
      </c>
      <c r="AM4260" t="s">
        <v>2184</v>
      </c>
      <c r="AN4260" t="s">
        <v>154</v>
      </c>
      <c r="AQ4260" s="5">
        <v>1</v>
      </c>
    </row>
    <row r="4261" spans="1:43" x14ac:dyDescent="0.2">
      <c r="A4261" t="s">
        <v>2178</v>
      </c>
      <c r="B4261" t="s">
        <v>2179</v>
      </c>
      <c r="C4261">
        <v>2004</v>
      </c>
      <c r="D4261" t="s">
        <v>44</v>
      </c>
      <c r="F4261" t="s">
        <v>628</v>
      </c>
      <c r="G4261" t="s">
        <v>91</v>
      </c>
      <c r="H4261" t="s">
        <v>350</v>
      </c>
      <c r="I4261">
        <v>2001</v>
      </c>
      <c r="J4261">
        <v>0.3</v>
      </c>
      <c r="K4261" t="s">
        <v>101</v>
      </c>
      <c r="M4261">
        <v>0.25</v>
      </c>
      <c r="N4261" t="s">
        <v>120</v>
      </c>
      <c r="O4261" t="s">
        <v>120</v>
      </c>
      <c r="P4261" t="s">
        <v>2180</v>
      </c>
      <c r="Q4261" s="1" t="s">
        <v>2276</v>
      </c>
      <c r="R4261" s="1" t="s">
        <v>669</v>
      </c>
      <c r="S4261" s="1" t="s">
        <v>168</v>
      </c>
      <c r="T4261" t="s">
        <v>421</v>
      </c>
      <c r="U4261" t="s">
        <v>421</v>
      </c>
      <c r="X4261" t="s">
        <v>161</v>
      </c>
      <c r="Y4261" t="s">
        <v>2272</v>
      </c>
      <c r="Z4261" t="s">
        <v>2272</v>
      </c>
      <c r="AA4261" t="s">
        <v>2272</v>
      </c>
      <c r="AB4261" t="s">
        <v>2272</v>
      </c>
      <c r="AC4261" t="s">
        <v>162</v>
      </c>
      <c r="AD4261" t="s">
        <v>2272</v>
      </c>
      <c r="AF4261" t="s">
        <v>49</v>
      </c>
      <c r="AJ4261" t="s">
        <v>49</v>
      </c>
      <c r="AM4261" t="s">
        <v>2184</v>
      </c>
      <c r="AN4261" t="s">
        <v>154</v>
      </c>
      <c r="AQ4261" s="5">
        <v>2</v>
      </c>
    </row>
    <row r="4262" spans="1:43" x14ac:dyDescent="0.2">
      <c r="A4262" t="s">
        <v>2178</v>
      </c>
      <c r="B4262" t="s">
        <v>2179</v>
      </c>
      <c r="C4262">
        <v>2004</v>
      </c>
      <c r="D4262" t="s">
        <v>44</v>
      </c>
      <c r="F4262" t="s">
        <v>628</v>
      </c>
      <c r="G4262" t="s">
        <v>91</v>
      </c>
      <c r="H4262" t="s">
        <v>350</v>
      </c>
      <c r="I4262">
        <v>2001</v>
      </c>
      <c r="J4262">
        <v>0.3</v>
      </c>
      <c r="K4262" t="s">
        <v>101</v>
      </c>
      <c r="M4262">
        <v>0.25</v>
      </c>
      <c r="N4262" t="s">
        <v>120</v>
      </c>
      <c r="O4262" t="s">
        <v>120</v>
      </c>
      <c r="P4262" t="s">
        <v>2181</v>
      </c>
      <c r="Q4262" s="1" t="s">
        <v>2276</v>
      </c>
      <c r="R4262" s="1" t="s">
        <v>669</v>
      </c>
      <c r="S4262" s="1" t="s">
        <v>168</v>
      </c>
      <c r="T4262" t="s">
        <v>421</v>
      </c>
      <c r="U4262" t="s">
        <v>421</v>
      </c>
      <c r="X4262" t="s">
        <v>161</v>
      </c>
      <c r="Y4262" t="s">
        <v>2272</v>
      </c>
      <c r="Z4262" t="s">
        <v>2272</v>
      </c>
      <c r="AA4262" t="s">
        <v>2272</v>
      </c>
      <c r="AB4262" t="s">
        <v>2272</v>
      </c>
      <c r="AC4262" t="s">
        <v>162</v>
      </c>
      <c r="AD4262" t="s">
        <v>2272</v>
      </c>
      <c r="AF4262" t="s">
        <v>49</v>
      </c>
      <c r="AJ4262" t="s">
        <v>49</v>
      </c>
      <c r="AM4262" t="s">
        <v>2184</v>
      </c>
      <c r="AN4262" t="s">
        <v>154</v>
      </c>
      <c r="AQ4262" s="5">
        <v>1</v>
      </c>
    </row>
    <row r="4263" spans="1:43" x14ac:dyDescent="0.2">
      <c r="A4263" t="s">
        <v>2178</v>
      </c>
      <c r="B4263" t="s">
        <v>2179</v>
      </c>
      <c r="C4263">
        <v>2004</v>
      </c>
      <c r="D4263" t="s">
        <v>44</v>
      </c>
      <c r="F4263" t="s">
        <v>628</v>
      </c>
      <c r="G4263" t="s">
        <v>91</v>
      </c>
      <c r="H4263" t="s">
        <v>350</v>
      </c>
      <c r="I4263">
        <v>2001</v>
      </c>
      <c r="J4263">
        <v>0.3</v>
      </c>
      <c r="K4263" t="s">
        <v>101</v>
      </c>
      <c r="M4263">
        <v>0.25</v>
      </c>
      <c r="N4263" t="s">
        <v>120</v>
      </c>
      <c r="O4263" t="s">
        <v>120</v>
      </c>
      <c r="P4263" t="s">
        <v>2182</v>
      </c>
      <c r="Q4263" s="1" t="s">
        <v>2276</v>
      </c>
      <c r="R4263" s="1" t="s">
        <v>669</v>
      </c>
      <c r="S4263" s="1" t="s">
        <v>168</v>
      </c>
      <c r="T4263" t="s">
        <v>421</v>
      </c>
      <c r="U4263" t="s">
        <v>421</v>
      </c>
      <c r="X4263" t="s">
        <v>161</v>
      </c>
      <c r="Y4263" t="s">
        <v>2272</v>
      </c>
      <c r="Z4263" t="s">
        <v>2272</v>
      </c>
      <c r="AA4263" t="s">
        <v>2272</v>
      </c>
      <c r="AB4263" t="s">
        <v>2272</v>
      </c>
      <c r="AC4263" t="s">
        <v>162</v>
      </c>
      <c r="AD4263" t="s">
        <v>2272</v>
      </c>
      <c r="AF4263" t="s">
        <v>49</v>
      </c>
      <c r="AJ4263" t="s">
        <v>49</v>
      </c>
      <c r="AM4263" t="s">
        <v>2184</v>
      </c>
      <c r="AN4263" t="s">
        <v>154</v>
      </c>
      <c r="AQ4263" s="5">
        <v>0</v>
      </c>
    </row>
    <row r="4264" spans="1:43" x14ac:dyDescent="0.2">
      <c r="A4264" t="s">
        <v>2178</v>
      </c>
      <c r="B4264" t="s">
        <v>2179</v>
      </c>
      <c r="C4264">
        <v>2004</v>
      </c>
      <c r="D4264" t="s">
        <v>44</v>
      </c>
      <c r="F4264" t="s">
        <v>628</v>
      </c>
      <c r="G4264" t="s">
        <v>91</v>
      </c>
      <c r="H4264" t="s">
        <v>350</v>
      </c>
      <c r="I4264">
        <v>2001</v>
      </c>
      <c r="J4264">
        <v>0.3</v>
      </c>
      <c r="K4264" t="s">
        <v>101</v>
      </c>
      <c r="M4264">
        <v>0.25</v>
      </c>
      <c r="N4264" t="s">
        <v>120</v>
      </c>
      <c r="O4264" t="s">
        <v>120</v>
      </c>
      <c r="P4264" t="s">
        <v>2183</v>
      </c>
      <c r="Q4264" s="1" t="s">
        <v>2276</v>
      </c>
      <c r="R4264" s="1" t="s">
        <v>751</v>
      </c>
      <c r="S4264" s="1" t="s">
        <v>2346</v>
      </c>
      <c r="T4264" t="s">
        <v>421</v>
      </c>
      <c r="U4264" t="s">
        <v>421</v>
      </c>
      <c r="X4264" t="s">
        <v>161</v>
      </c>
      <c r="Y4264" t="s">
        <v>2272</v>
      </c>
      <c r="Z4264" t="s">
        <v>2272</v>
      </c>
      <c r="AA4264" t="s">
        <v>2272</v>
      </c>
      <c r="AB4264" t="s">
        <v>2272</v>
      </c>
      <c r="AC4264" t="s">
        <v>162</v>
      </c>
      <c r="AD4264" t="s">
        <v>2272</v>
      </c>
      <c r="AF4264" t="s">
        <v>49</v>
      </c>
      <c r="AJ4264" t="s">
        <v>49</v>
      </c>
      <c r="AM4264" t="s">
        <v>2184</v>
      </c>
      <c r="AN4264" t="s">
        <v>154</v>
      </c>
      <c r="AQ4264" s="5">
        <v>1</v>
      </c>
    </row>
    <row r="4265" spans="1:43" x14ac:dyDescent="0.2">
      <c r="A4265" t="s">
        <v>2178</v>
      </c>
      <c r="B4265" t="s">
        <v>2179</v>
      </c>
      <c r="C4265">
        <v>2004</v>
      </c>
      <c r="D4265" t="s">
        <v>44</v>
      </c>
      <c r="F4265" t="s">
        <v>628</v>
      </c>
      <c r="G4265" t="s">
        <v>91</v>
      </c>
      <c r="H4265" t="s">
        <v>350</v>
      </c>
      <c r="I4265">
        <v>2001</v>
      </c>
      <c r="J4265">
        <v>0.3</v>
      </c>
      <c r="K4265" t="s">
        <v>101</v>
      </c>
      <c r="M4265">
        <v>0.25</v>
      </c>
      <c r="N4265" t="s">
        <v>120</v>
      </c>
      <c r="O4265" t="s">
        <v>120</v>
      </c>
      <c r="P4265" t="s">
        <v>2180</v>
      </c>
      <c r="Q4265" s="1" t="s">
        <v>2276</v>
      </c>
      <c r="R4265" s="1" t="s">
        <v>669</v>
      </c>
      <c r="S4265" s="1" t="s">
        <v>168</v>
      </c>
      <c r="T4265" t="s">
        <v>396</v>
      </c>
      <c r="U4265" t="s">
        <v>2423</v>
      </c>
      <c r="X4265" t="s">
        <v>161</v>
      </c>
      <c r="Y4265" t="s">
        <v>2272</v>
      </c>
      <c r="Z4265" t="s">
        <v>2272</v>
      </c>
      <c r="AA4265" t="s">
        <v>2272</v>
      </c>
      <c r="AB4265" t="s">
        <v>2272</v>
      </c>
      <c r="AC4265" t="s">
        <v>162</v>
      </c>
      <c r="AD4265" t="s">
        <v>2272</v>
      </c>
      <c r="AF4265" t="s">
        <v>49</v>
      </c>
      <c r="AJ4265" t="s">
        <v>49</v>
      </c>
      <c r="AM4265" t="s">
        <v>2185</v>
      </c>
      <c r="AN4265" t="s">
        <v>154</v>
      </c>
      <c r="AQ4265" s="5">
        <v>1</v>
      </c>
    </row>
    <row r="4266" spans="1:43" x14ac:dyDescent="0.2">
      <c r="A4266" t="s">
        <v>2178</v>
      </c>
      <c r="B4266" t="s">
        <v>2179</v>
      </c>
      <c r="C4266">
        <v>2004</v>
      </c>
      <c r="D4266" t="s">
        <v>44</v>
      </c>
      <c r="F4266" t="s">
        <v>628</v>
      </c>
      <c r="G4266" t="s">
        <v>91</v>
      </c>
      <c r="H4266" t="s">
        <v>350</v>
      </c>
      <c r="I4266">
        <v>2001</v>
      </c>
      <c r="J4266">
        <v>0.3</v>
      </c>
      <c r="K4266" t="s">
        <v>101</v>
      </c>
      <c r="M4266">
        <v>0.25</v>
      </c>
      <c r="N4266" t="s">
        <v>120</v>
      </c>
      <c r="O4266" t="s">
        <v>120</v>
      </c>
      <c r="P4266" t="s">
        <v>2181</v>
      </c>
      <c r="Q4266" s="1" t="s">
        <v>2276</v>
      </c>
      <c r="R4266" s="1" t="s">
        <v>669</v>
      </c>
      <c r="S4266" s="1" t="s">
        <v>168</v>
      </c>
      <c r="T4266" t="s">
        <v>396</v>
      </c>
      <c r="U4266" t="s">
        <v>2423</v>
      </c>
      <c r="X4266" t="s">
        <v>161</v>
      </c>
      <c r="Y4266" t="s">
        <v>2272</v>
      </c>
      <c r="Z4266" t="s">
        <v>2272</v>
      </c>
      <c r="AA4266" t="s">
        <v>2272</v>
      </c>
      <c r="AB4266" t="s">
        <v>2272</v>
      </c>
      <c r="AC4266" t="s">
        <v>162</v>
      </c>
      <c r="AD4266" t="s">
        <v>2272</v>
      </c>
      <c r="AF4266" t="s">
        <v>49</v>
      </c>
      <c r="AJ4266" t="s">
        <v>49</v>
      </c>
      <c r="AM4266" t="s">
        <v>2185</v>
      </c>
      <c r="AN4266" t="s">
        <v>154</v>
      </c>
      <c r="AQ4266" s="5">
        <v>1</v>
      </c>
    </row>
    <row r="4267" spans="1:43" x14ac:dyDescent="0.2">
      <c r="A4267" t="s">
        <v>2178</v>
      </c>
      <c r="B4267" t="s">
        <v>2179</v>
      </c>
      <c r="C4267">
        <v>2004</v>
      </c>
      <c r="D4267" t="s">
        <v>44</v>
      </c>
      <c r="F4267" t="s">
        <v>628</v>
      </c>
      <c r="G4267" t="s">
        <v>91</v>
      </c>
      <c r="H4267" t="s">
        <v>350</v>
      </c>
      <c r="I4267">
        <v>2001</v>
      </c>
      <c r="J4267">
        <v>0.3</v>
      </c>
      <c r="K4267" t="s">
        <v>101</v>
      </c>
      <c r="M4267">
        <v>0.25</v>
      </c>
      <c r="N4267" t="s">
        <v>120</v>
      </c>
      <c r="O4267" t="s">
        <v>120</v>
      </c>
      <c r="P4267" t="s">
        <v>2182</v>
      </c>
      <c r="Q4267" s="1" t="s">
        <v>2276</v>
      </c>
      <c r="R4267" s="1" t="s">
        <v>669</v>
      </c>
      <c r="S4267" s="1" t="s">
        <v>168</v>
      </c>
      <c r="T4267" t="s">
        <v>396</v>
      </c>
      <c r="U4267" t="s">
        <v>2423</v>
      </c>
      <c r="X4267" t="s">
        <v>161</v>
      </c>
      <c r="Y4267" t="s">
        <v>2272</v>
      </c>
      <c r="Z4267" t="s">
        <v>2272</v>
      </c>
      <c r="AA4267" t="s">
        <v>2272</v>
      </c>
      <c r="AB4267" t="s">
        <v>2272</v>
      </c>
      <c r="AC4267" t="s">
        <v>162</v>
      </c>
      <c r="AD4267" t="s">
        <v>2272</v>
      </c>
      <c r="AF4267" t="s">
        <v>49</v>
      </c>
      <c r="AJ4267" t="s">
        <v>49</v>
      </c>
      <c r="AM4267" t="s">
        <v>2185</v>
      </c>
      <c r="AN4267" t="s">
        <v>154</v>
      </c>
      <c r="AQ4267" s="5">
        <v>2</v>
      </c>
    </row>
    <row r="4268" spans="1:43" x14ac:dyDescent="0.2">
      <c r="A4268" t="s">
        <v>2178</v>
      </c>
      <c r="B4268" t="s">
        <v>2179</v>
      </c>
      <c r="C4268">
        <v>2004</v>
      </c>
      <c r="D4268" t="s">
        <v>44</v>
      </c>
      <c r="F4268" t="s">
        <v>628</v>
      </c>
      <c r="G4268" t="s">
        <v>91</v>
      </c>
      <c r="H4268" t="s">
        <v>350</v>
      </c>
      <c r="I4268">
        <v>2001</v>
      </c>
      <c r="J4268">
        <v>0.3</v>
      </c>
      <c r="K4268" t="s">
        <v>101</v>
      </c>
      <c r="M4268">
        <v>0.25</v>
      </c>
      <c r="N4268" t="s">
        <v>120</v>
      </c>
      <c r="O4268" t="s">
        <v>120</v>
      </c>
      <c r="P4268" t="s">
        <v>2183</v>
      </c>
      <c r="Q4268" s="1" t="s">
        <v>2276</v>
      </c>
      <c r="R4268" s="1" t="s">
        <v>751</v>
      </c>
      <c r="S4268" s="1" t="s">
        <v>2346</v>
      </c>
      <c r="T4268" t="s">
        <v>396</v>
      </c>
      <c r="U4268" t="s">
        <v>2366</v>
      </c>
      <c r="X4268" t="s">
        <v>161</v>
      </c>
      <c r="Y4268" t="s">
        <v>2272</v>
      </c>
      <c r="Z4268" t="s">
        <v>2272</v>
      </c>
      <c r="AA4268" t="s">
        <v>2272</v>
      </c>
      <c r="AB4268" t="s">
        <v>2272</v>
      </c>
      <c r="AC4268" t="s">
        <v>162</v>
      </c>
      <c r="AD4268" t="s">
        <v>2272</v>
      </c>
      <c r="AF4268" t="s">
        <v>49</v>
      </c>
      <c r="AJ4268" t="s">
        <v>49</v>
      </c>
      <c r="AM4268" t="s">
        <v>2185</v>
      </c>
      <c r="AN4268" t="s">
        <v>154</v>
      </c>
      <c r="AQ4268" s="5">
        <v>1</v>
      </c>
    </row>
    <row r="4269" spans="1:43" x14ac:dyDescent="0.2">
      <c r="A4269" t="s">
        <v>2178</v>
      </c>
      <c r="B4269" t="s">
        <v>2179</v>
      </c>
      <c r="C4269">
        <v>2004</v>
      </c>
      <c r="D4269" t="s">
        <v>44</v>
      </c>
      <c r="F4269" t="s">
        <v>628</v>
      </c>
      <c r="G4269" t="s">
        <v>91</v>
      </c>
      <c r="H4269" t="s">
        <v>350</v>
      </c>
      <c r="I4269">
        <v>2001</v>
      </c>
      <c r="J4269">
        <v>0.3</v>
      </c>
      <c r="K4269" t="s">
        <v>101</v>
      </c>
      <c r="M4269">
        <v>0.25</v>
      </c>
      <c r="N4269" t="s">
        <v>120</v>
      </c>
      <c r="O4269" t="s">
        <v>120</v>
      </c>
      <c r="P4269" t="s">
        <v>2180</v>
      </c>
      <c r="Q4269" s="1" t="s">
        <v>2276</v>
      </c>
      <c r="R4269" s="1" t="s">
        <v>669</v>
      </c>
      <c r="S4269" s="1" t="s">
        <v>168</v>
      </c>
      <c r="T4269" t="s">
        <v>396</v>
      </c>
      <c r="U4269" t="s">
        <v>2423</v>
      </c>
      <c r="X4269" t="s">
        <v>161</v>
      </c>
      <c r="Y4269" t="s">
        <v>2272</v>
      </c>
      <c r="Z4269" t="s">
        <v>2272</v>
      </c>
      <c r="AA4269" t="s">
        <v>2272</v>
      </c>
      <c r="AB4269" t="s">
        <v>2272</v>
      </c>
      <c r="AC4269" t="s">
        <v>162</v>
      </c>
      <c r="AD4269" t="s">
        <v>2272</v>
      </c>
      <c r="AF4269" t="s">
        <v>49</v>
      </c>
      <c r="AI4269" t="s">
        <v>49</v>
      </c>
      <c r="AM4269" t="s">
        <v>202</v>
      </c>
      <c r="AN4269" t="s">
        <v>165</v>
      </c>
      <c r="AP4269" t="s">
        <v>49</v>
      </c>
    </row>
    <row r="4270" spans="1:43" x14ac:dyDescent="0.2">
      <c r="A4270" t="s">
        <v>2178</v>
      </c>
      <c r="B4270" t="s">
        <v>2179</v>
      </c>
      <c r="C4270">
        <v>2004</v>
      </c>
      <c r="D4270" t="s">
        <v>44</v>
      </c>
      <c r="F4270" t="s">
        <v>628</v>
      </c>
      <c r="G4270" t="s">
        <v>91</v>
      </c>
      <c r="H4270" t="s">
        <v>350</v>
      </c>
      <c r="I4270">
        <v>2001</v>
      </c>
      <c r="J4270">
        <v>0.3</v>
      </c>
      <c r="K4270" t="s">
        <v>101</v>
      </c>
      <c r="M4270">
        <v>0.25</v>
      </c>
      <c r="N4270" t="s">
        <v>120</v>
      </c>
      <c r="O4270" t="s">
        <v>120</v>
      </c>
      <c r="P4270" t="s">
        <v>2181</v>
      </c>
      <c r="Q4270" s="1" t="s">
        <v>2276</v>
      </c>
      <c r="R4270" s="1" t="s">
        <v>669</v>
      </c>
      <c r="S4270" s="1" t="s">
        <v>168</v>
      </c>
      <c r="T4270" t="s">
        <v>396</v>
      </c>
      <c r="U4270" t="s">
        <v>2423</v>
      </c>
      <c r="X4270" t="s">
        <v>161</v>
      </c>
      <c r="Y4270" t="s">
        <v>2272</v>
      </c>
      <c r="Z4270" t="s">
        <v>2272</v>
      </c>
      <c r="AA4270" t="s">
        <v>2272</v>
      </c>
      <c r="AB4270" t="s">
        <v>2272</v>
      </c>
      <c r="AC4270" t="s">
        <v>162</v>
      </c>
      <c r="AD4270" t="s">
        <v>2272</v>
      </c>
      <c r="AF4270" t="s">
        <v>49</v>
      </c>
      <c r="AI4270" t="s">
        <v>49</v>
      </c>
      <c r="AM4270" t="s">
        <v>202</v>
      </c>
      <c r="AN4270" t="s">
        <v>165</v>
      </c>
      <c r="AP4270" t="s">
        <v>49</v>
      </c>
    </row>
    <row r="4271" spans="1:43" x14ac:dyDescent="0.2">
      <c r="A4271" t="s">
        <v>2178</v>
      </c>
      <c r="B4271" t="s">
        <v>2179</v>
      </c>
      <c r="C4271">
        <v>2004</v>
      </c>
      <c r="D4271" t="s">
        <v>44</v>
      </c>
      <c r="F4271" t="s">
        <v>628</v>
      </c>
      <c r="G4271" t="s">
        <v>91</v>
      </c>
      <c r="H4271" t="s">
        <v>350</v>
      </c>
      <c r="I4271">
        <v>2001</v>
      </c>
      <c r="J4271">
        <v>0.3</v>
      </c>
      <c r="K4271" t="s">
        <v>101</v>
      </c>
      <c r="M4271">
        <v>0.25</v>
      </c>
      <c r="N4271" t="s">
        <v>120</v>
      </c>
      <c r="O4271" t="s">
        <v>120</v>
      </c>
      <c r="P4271" t="s">
        <v>2182</v>
      </c>
      <c r="Q4271" s="1" t="s">
        <v>2276</v>
      </c>
      <c r="R4271" s="1" t="s">
        <v>669</v>
      </c>
      <c r="S4271" s="1" t="s">
        <v>168</v>
      </c>
      <c r="T4271" t="s">
        <v>396</v>
      </c>
      <c r="U4271" t="s">
        <v>2423</v>
      </c>
      <c r="X4271" t="s">
        <v>161</v>
      </c>
      <c r="Y4271" t="s">
        <v>2272</v>
      </c>
      <c r="Z4271" t="s">
        <v>2272</v>
      </c>
      <c r="AA4271" t="s">
        <v>2272</v>
      </c>
      <c r="AB4271" t="s">
        <v>2272</v>
      </c>
      <c r="AC4271" t="s">
        <v>162</v>
      </c>
      <c r="AD4271" t="s">
        <v>2272</v>
      </c>
      <c r="AF4271" t="s">
        <v>49</v>
      </c>
      <c r="AI4271" t="s">
        <v>49</v>
      </c>
      <c r="AM4271" t="s">
        <v>202</v>
      </c>
      <c r="AN4271" t="s">
        <v>165</v>
      </c>
      <c r="AP4271" t="s">
        <v>49</v>
      </c>
    </row>
    <row r="4272" spans="1:43" x14ac:dyDescent="0.2">
      <c r="A4272" t="s">
        <v>2178</v>
      </c>
      <c r="B4272" t="s">
        <v>2179</v>
      </c>
      <c r="C4272">
        <v>2004</v>
      </c>
      <c r="D4272" t="s">
        <v>44</v>
      </c>
      <c r="F4272" t="s">
        <v>628</v>
      </c>
      <c r="G4272" t="s">
        <v>91</v>
      </c>
      <c r="H4272" t="s">
        <v>350</v>
      </c>
      <c r="I4272">
        <v>2001</v>
      </c>
      <c r="J4272">
        <v>0.3</v>
      </c>
      <c r="K4272" t="s">
        <v>101</v>
      </c>
      <c r="M4272">
        <v>0.25</v>
      </c>
      <c r="N4272" t="s">
        <v>120</v>
      </c>
      <c r="O4272" t="s">
        <v>120</v>
      </c>
      <c r="P4272" t="s">
        <v>2183</v>
      </c>
      <c r="Q4272" s="1" t="s">
        <v>2276</v>
      </c>
      <c r="R4272" s="1" t="s">
        <v>751</v>
      </c>
      <c r="S4272" s="1" t="s">
        <v>2346</v>
      </c>
      <c r="T4272" t="s">
        <v>396</v>
      </c>
      <c r="U4272" t="s">
        <v>2366</v>
      </c>
      <c r="X4272" t="s">
        <v>161</v>
      </c>
      <c r="Y4272" t="s">
        <v>2272</v>
      </c>
      <c r="Z4272" t="s">
        <v>2272</v>
      </c>
      <c r="AA4272" t="s">
        <v>2272</v>
      </c>
      <c r="AB4272" t="s">
        <v>2272</v>
      </c>
      <c r="AC4272" t="s">
        <v>162</v>
      </c>
      <c r="AD4272" t="s">
        <v>2272</v>
      </c>
      <c r="AF4272" t="s">
        <v>49</v>
      </c>
      <c r="AI4272" t="s">
        <v>49</v>
      </c>
      <c r="AM4272" t="s">
        <v>202</v>
      </c>
      <c r="AN4272" t="s">
        <v>165</v>
      </c>
      <c r="AP4272" t="s">
        <v>49</v>
      </c>
    </row>
    <row r="4273" spans="1:42" x14ac:dyDescent="0.2">
      <c r="A4273" t="s">
        <v>2178</v>
      </c>
      <c r="B4273" t="s">
        <v>2179</v>
      </c>
      <c r="C4273">
        <v>2004</v>
      </c>
      <c r="D4273" t="s">
        <v>44</v>
      </c>
      <c r="F4273" t="s">
        <v>628</v>
      </c>
      <c r="G4273" t="s">
        <v>91</v>
      </c>
      <c r="H4273" t="s">
        <v>350</v>
      </c>
      <c r="I4273">
        <v>2001</v>
      </c>
      <c r="J4273">
        <v>0.3</v>
      </c>
      <c r="K4273" t="s">
        <v>101</v>
      </c>
      <c r="M4273">
        <v>0.25</v>
      </c>
      <c r="N4273" t="s">
        <v>120</v>
      </c>
      <c r="O4273" t="s">
        <v>120</v>
      </c>
      <c r="P4273" t="s">
        <v>2180</v>
      </c>
      <c r="Q4273" s="1" t="s">
        <v>2276</v>
      </c>
      <c r="R4273" s="1" t="s">
        <v>669</v>
      </c>
      <c r="S4273" s="1" t="s">
        <v>168</v>
      </c>
      <c r="T4273" t="s">
        <v>421</v>
      </c>
      <c r="U4273" t="s">
        <v>421</v>
      </c>
      <c r="X4273" t="s">
        <v>161</v>
      </c>
      <c r="Y4273" t="s">
        <v>2272</v>
      </c>
      <c r="Z4273" t="s">
        <v>2272</v>
      </c>
      <c r="AA4273" t="s">
        <v>2272</v>
      </c>
      <c r="AB4273" t="s">
        <v>2272</v>
      </c>
      <c r="AC4273" t="s">
        <v>162</v>
      </c>
      <c r="AD4273" t="s">
        <v>2272</v>
      </c>
      <c r="AF4273" t="s">
        <v>49</v>
      </c>
      <c r="AI4273" t="s">
        <v>49</v>
      </c>
      <c r="AM4273" t="s">
        <v>202</v>
      </c>
      <c r="AN4273" t="s">
        <v>165</v>
      </c>
      <c r="AP4273" t="s">
        <v>49</v>
      </c>
    </row>
    <row r="4274" spans="1:42" x14ac:dyDescent="0.2">
      <c r="A4274" t="s">
        <v>2178</v>
      </c>
      <c r="B4274" t="s">
        <v>2179</v>
      </c>
      <c r="C4274">
        <v>2004</v>
      </c>
      <c r="D4274" t="s">
        <v>44</v>
      </c>
      <c r="F4274" t="s">
        <v>628</v>
      </c>
      <c r="G4274" t="s">
        <v>91</v>
      </c>
      <c r="H4274" t="s">
        <v>350</v>
      </c>
      <c r="I4274">
        <v>2001</v>
      </c>
      <c r="J4274">
        <v>0.3</v>
      </c>
      <c r="K4274" t="s">
        <v>101</v>
      </c>
      <c r="M4274">
        <v>0.25</v>
      </c>
      <c r="N4274" t="s">
        <v>120</v>
      </c>
      <c r="O4274" t="s">
        <v>120</v>
      </c>
      <c r="P4274" t="s">
        <v>2181</v>
      </c>
      <c r="Q4274" s="1" t="s">
        <v>2276</v>
      </c>
      <c r="R4274" s="1" t="s">
        <v>669</v>
      </c>
      <c r="S4274" s="1" t="s">
        <v>168</v>
      </c>
      <c r="T4274" t="s">
        <v>421</v>
      </c>
      <c r="U4274" t="s">
        <v>421</v>
      </c>
      <c r="X4274" t="s">
        <v>161</v>
      </c>
      <c r="Y4274" t="s">
        <v>2272</v>
      </c>
      <c r="Z4274" t="s">
        <v>2272</v>
      </c>
      <c r="AA4274" t="s">
        <v>2272</v>
      </c>
      <c r="AB4274" t="s">
        <v>2272</v>
      </c>
      <c r="AC4274" t="s">
        <v>162</v>
      </c>
      <c r="AD4274" t="s">
        <v>2272</v>
      </c>
      <c r="AF4274" t="s">
        <v>49</v>
      </c>
      <c r="AI4274" t="s">
        <v>49</v>
      </c>
      <c r="AM4274" t="s">
        <v>202</v>
      </c>
      <c r="AN4274" t="s">
        <v>165</v>
      </c>
      <c r="AP4274" t="s">
        <v>49</v>
      </c>
    </row>
    <row r="4275" spans="1:42" x14ac:dyDescent="0.2">
      <c r="A4275" t="s">
        <v>2178</v>
      </c>
      <c r="B4275" t="s">
        <v>2179</v>
      </c>
      <c r="C4275">
        <v>2004</v>
      </c>
      <c r="D4275" t="s">
        <v>44</v>
      </c>
      <c r="F4275" t="s">
        <v>628</v>
      </c>
      <c r="G4275" t="s">
        <v>91</v>
      </c>
      <c r="H4275" t="s">
        <v>350</v>
      </c>
      <c r="I4275">
        <v>2001</v>
      </c>
      <c r="J4275">
        <v>0.3</v>
      </c>
      <c r="K4275" t="s">
        <v>101</v>
      </c>
      <c r="M4275">
        <v>0.25</v>
      </c>
      <c r="N4275" t="s">
        <v>120</v>
      </c>
      <c r="O4275" t="s">
        <v>120</v>
      </c>
      <c r="P4275" t="s">
        <v>2182</v>
      </c>
      <c r="Q4275" s="1" t="s">
        <v>2276</v>
      </c>
      <c r="R4275" s="1" t="s">
        <v>669</v>
      </c>
      <c r="S4275" s="1" t="s">
        <v>168</v>
      </c>
      <c r="T4275" t="s">
        <v>421</v>
      </c>
      <c r="U4275" t="s">
        <v>421</v>
      </c>
      <c r="X4275" t="s">
        <v>161</v>
      </c>
      <c r="Y4275" t="s">
        <v>2272</v>
      </c>
      <c r="Z4275" t="s">
        <v>2272</v>
      </c>
      <c r="AA4275" t="s">
        <v>2272</v>
      </c>
      <c r="AB4275" t="s">
        <v>2272</v>
      </c>
      <c r="AC4275" t="s">
        <v>162</v>
      </c>
      <c r="AD4275" t="s">
        <v>2272</v>
      </c>
      <c r="AF4275" t="s">
        <v>49</v>
      </c>
      <c r="AI4275" t="s">
        <v>49</v>
      </c>
      <c r="AM4275" t="s">
        <v>202</v>
      </c>
      <c r="AN4275" t="s">
        <v>165</v>
      </c>
      <c r="AP4275" t="s">
        <v>49</v>
      </c>
    </row>
    <row r="4276" spans="1:42" x14ac:dyDescent="0.2">
      <c r="A4276" t="s">
        <v>2178</v>
      </c>
      <c r="B4276" t="s">
        <v>2179</v>
      </c>
      <c r="C4276">
        <v>2004</v>
      </c>
      <c r="D4276" t="s">
        <v>44</v>
      </c>
      <c r="F4276" t="s">
        <v>628</v>
      </c>
      <c r="G4276" t="s">
        <v>91</v>
      </c>
      <c r="H4276" t="s">
        <v>350</v>
      </c>
      <c r="I4276">
        <v>2001</v>
      </c>
      <c r="J4276">
        <v>0.3</v>
      </c>
      <c r="K4276" t="s">
        <v>101</v>
      </c>
      <c r="M4276">
        <v>0.25</v>
      </c>
      <c r="N4276" t="s">
        <v>120</v>
      </c>
      <c r="O4276" t="s">
        <v>120</v>
      </c>
      <c r="P4276" t="s">
        <v>2183</v>
      </c>
      <c r="Q4276" s="1" t="s">
        <v>2276</v>
      </c>
      <c r="R4276" s="1" t="s">
        <v>751</v>
      </c>
      <c r="S4276" s="1" t="s">
        <v>2346</v>
      </c>
      <c r="T4276" t="s">
        <v>421</v>
      </c>
      <c r="U4276" t="s">
        <v>421</v>
      </c>
      <c r="X4276" t="s">
        <v>161</v>
      </c>
      <c r="Y4276" t="s">
        <v>2272</v>
      </c>
      <c r="Z4276" t="s">
        <v>2272</v>
      </c>
      <c r="AA4276" t="s">
        <v>2272</v>
      </c>
      <c r="AB4276" t="s">
        <v>2272</v>
      </c>
      <c r="AC4276" t="s">
        <v>162</v>
      </c>
      <c r="AD4276" t="s">
        <v>2272</v>
      </c>
      <c r="AF4276" t="s">
        <v>49</v>
      </c>
      <c r="AI4276" t="s">
        <v>49</v>
      </c>
      <c r="AM4276" t="s">
        <v>202</v>
      </c>
      <c r="AN4276" t="s">
        <v>165</v>
      </c>
      <c r="AP4276" t="s">
        <v>49</v>
      </c>
    </row>
    <row r="4277" spans="1:42" x14ac:dyDescent="0.2">
      <c r="A4277" t="s">
        <v>2178</v>
      </c>
      <c r="B4277" t="s">
        <v>2179</v>
      </c>
      <c r="C4277">
        <v>2004</v>
      </c>
      <c r="D4277" t="s">
        <v>44</v>
      </c>
      <c r="F4277" t="s">
        <v>628</v>
      </c>
      <c r="G4277" t="s">
        <v>91</v>
      </c>
      <c r="H4277" t="s">
        <v>350</v>
      </c>
      <c r="I4277">
        <v>2001</v>
      </c>
      <c r="J4277">
        <v>0.3</v>
      </c>
      <c r="K4277" t="s">
        <v>101</v>
      </c>
      <c r="M4277">
        <v>0.25</v>
      </c>
      <c r="N4277" t="s">
        <v>120</v>
      </c>
      <c r="O4277" t="s">
        <v>120</v>
      </c>
      <c r="P4277" t="s">
        <v>2180</v>
      </c>
      <c r="Q4277" s="1" t="s">
        <v>2276</v>
      </c>
      <c r="R4277" s="1" t="s">
        <v>669</v>
      </c>
      <c r="S4277" s="1" t="s">
        <v>168</v>
      </c>
      <c r="T4277" t="s">
        <v>396</v>
      </c>
      <c r="U4277" t="s">
        <v>2423</v>
      </c>
      <c r="X4277" t="s">
        <v>161</v>
      </c>
      <c r="Y4277" t="s">
        <v>2272</v>
      </c>
      <c r="Z4277" t="s">
        <v>2272</v>
      </c>
      <c r="AA4277" t="s">
        <v>2272</v>
      </c>
      <c r="AB4277" t="s">
        <v>2272</v>
      </c>
      <c r="AC4277" t="s">
        <v>162</v>
      </c>
      <c r="AD4277" t="s">
        <v>2272</v>
      </c>
      <c r="AF4277" t="s">
        <v>49</v>
      </c>
      <c r="AJ4277" t="s">
        <v>49</v>
      </c>
      <c r="AM4277" t="s">
        <v>2184</v>
      </c>
      <c r="AN4277" t="s">
        <v>165</v>
      </c>
      <c r="AP4277" t="s">
        <v>49</v>
      </c>
    </row>
    <row r="4278" spans="1:42" x14ac:dyDescent="0.2">
      <c r="A4278" t="s">
        <v>2178</v>
      </c>
      <c r="B4278" t="s">
        <v>2179</v>
      </c>
      <c r="C4278">
        <v>2004</v>
      </c>
      <c r="D4278" t="s">
        <v>44</v>
      </c>
      <c r="F4278" t="s">
        <v>628</v>
      </c>
      <c r="G4278" t="s">
        <v>91</v>
      </c>
      <c r="H4278" t="s">
        <v>350</v>
      </c>
      <c r="I4278">
        <v>2001</v>
      </c>
      <c r="J4278">
        <v>0.3</v>
      </c>
      <c r="K4278" t="s">
        <v>101</v>
      </c>
      <c r="M4278">
        <v>0.25</v>
      </c>
      <c r="N4278" t="s">
        <v>120</v>
      </c>
      <c r="O4278" t="s">
        <v>120</v>
      </c>
      <c r="P4278" t="s">
        <v>2181</v>
      </c>
      <c r="Q4278" s="1" t="s">
        <v>2276</v>
      </c>
      <c r="R4278" s="1" t="s">
        <v>669</v>
      </c>
      <c r="S4278" s="1" t="s">
        <v>168</v>
      </c>
      <c r="T4278" t="s">
        <v>396</v>
      </c>
      <c r="U4278" t="s">
        <v>2423</v>
      </c>
      <c r="X4278" t="s">
        <v>161</v>
      </c>
      <c r="Y4278" t="s">
        <v>2272</v>
      </c>
      <c r="Z4278" t="s">
        <v>2272</v>
      </c>
      <c r="AA4278" t="s">
        <v>2272</v>
      </c>
      <c r="AB4278" t="s">
        <v>2272</v>
      </c>
      <c r="AC4278" t="s">
        <v>162</v>
      </c>
      <c r="AD4278" t="s">
        <v>2272</v>
      </c>
      <c r="AF4278" t="s">
        <v>49</v>
      </c>
      <c r="AJ4278" t="s">
        <v>49</v>
      </c>
      <c r="AM4278" t="s">
        <v>2184</v>
      </c>
      <c r="AN4278" t="s">
        <v>165</v>
      </c>
      <c r="AP4278" t="s">
        <v>49</v>
      </c>
    </row>
    <row r="4279" spans="1:42" x14ac:dyDescent="0.2">
      <c r="A4279" t="s">
        <v>2178</v>
      </c>
      <c r="B4279" t="s">
        <v>2179</v>
      </c>
      <c r="C4279">
        <v>2004</v>
      </c>
      <c r="D4279" t="s">
        <v>44</v>
      </c>
      <c r="F4279" t="s">
        <v>628</v>
      </c>
      <c r="G4279" t="s">
        <v>91</v>
      </c>
      <c r="H4279" t="s">
        <v>350</v>
      </c>
      <c r="I4279">
        <v>2001</v>
      </c>
      <c r="J4279">
        <v>0.3</v>
      </c>
      <c r="K4279" t="s">
        <v>101</v>
      </c>
      <c r="M4279">
        <v>0.25</v>
      </c>
      <c r="N4279" t="s">
        <v>120</v>
      </c>
      <c r="O4279" t="s">
        <v>120</v>
      </c>
      <c r="P4279" t="s">
        <v>2182</v>
      </c>
      <c r="Q4279" s="1" t="s">
        <v>2276</v>
      </c>
      <c r="R4279" s="1" t="s">
        <v>669</v>
      </c>
      <c r="S4279" s="1" t="s">
        <v>168</v>
      </c>
      <c r="T4279" t="s">
        <v>396</v>
      </c>
      <c r="U4279" t="s">
        <v>2423</v>
      </c>
      <c r="X4279" t="s">
        <v>161</v>
      </c>
      <c r="Y4279" t="s">
        <v>2272</v>
      </c>
      <c r="Z4279" t="s">
        <v>2272</v>
      </c>
      <c r="AA4279" t="s">
        <v>2272</v>
      </c>
      <c r="AB4279" t="s">
        <v>2272</v>
      </c>
      <c r="AC4279" t="s">
        <v>162</v>
      </c>
      <c r="AD4279" t="s">
        <v>2272</v>
      </c>
      <c r="AF4279" t="s">
        <v>49</v>
      </c>
      <c r="AJ4279" t="s">
        <v>49</v>
      </c>
      <c r="AM4279" t="s">
        <v>2184</v>
      </c>
      <c r="AN4279" t="s">
        <v>165</v>
      </c>
      <c r="AP4279" t="s">
        <v>49</v>
      </c>
    </row>
    <row r="4280" spans="1:42" x14ac:dyDescent="0.2">
      <c r="A4280" t="s">
        <v>2178</v>
      </c>
      <c r="B4280" t="s">
        <v>2179</v>
      </c>
      <c r="C4280">
        <v>2004</v>
      </c>
      <c r="D4280" t="s">
        <v>44</v>
      </c>
      <c r="F4280" t="s">
        <v>628</v>
      </c>
      <c r="G4280" t="s">
        <v>91</v>
      </c>
      <c r="H4280" t="s">
        <v>350</v>
      </c>
      <c r="I4280">
        <v>2001</v>
      </c>
      <c r="J4280">
        <v>0.3</v>
      </c>
      <c r="K4280" t="s">
        <v>101</v>
      </c>
      <c r="M4280">
        <v>0.25</v>
      </c>
      <c r="N4280" t="s">
        <v>120</v>
      </c>
      <c r="O4280" t="s">
        <v>120</v>
      </c>
      <c r="P4280" t="s">
        <v>2183</v>
      </c>
      <c r="Q4280" s="1" t="s">
        <v>2276</v>
      </c>
      <c r="R4280" s="1" t="s">
        <v>751</v>
      </c>
      <c r="S4280" s="1" t="s">
        <v>2346</v>
      </c>
      <c r="T4280" t="s">
        <v>396</v>
      </c>
      <c r="U4280" t="s">
        <v>2366</v>
      </c>
      <c r="X4280" t="s">
        <v>161</v>
      </c>
      <c r="Y4280" t="s">
        <v>2272</v>
      </c>
      <c r="Z4280" t="s">
        <v>2272</v>
      </c>
      <c r="AA4280" t="s">
        <v>2272</v>
      </c>
      <c r="AB4280" t="s">
        <v>2272</v>
      </c>
      <c r="AC4280" t="s">
        <v>162</v>
      </c>
      <c r="AD4280" t="s">
        <v>2272</v>
      </c>
      <c r="AF4280" t="s">
        <v>49</v>
      </c>
      <c r="AJ4280" t="s">
        <v>49</v>
      </c>
      <c r="AM4280" t="s">
        <v>2184</v>
      </c>
      <c r="AN4280" t="s">
        <v>165</v>
      </c>
      <c r="AP4280" t="s">
        <v>49</v>
      </c>
    </row>
    <row r="4281" spans="1:42" x14ac:dyDescent="0.2">
      <c r="A4281" t="s">
        <v>2178</v>
      </c>
      <c r="B4281" t="s">
        <v>2179</v>
      </c>
      <c r="C4281">
        <v>2004</v>
      </c>
      <c r="D4281" t="s">
        <v>44</v>
      </c>
      <c r="F4281" t="s">
        <v>628</v>
      </c>
      <c r="G4281" t="s">
        <v>91</v>
      </c>
      <c r="H4281" t="s">
        <v>350</v>
      </c>
      <c r="I4281">
        <v>2001</v>
      </c>
      <c r="J4281">
        <v>0.3</v>
      </c>
      <c r="K4281" t="s">
        <v>101</v>
      </c>
      <c r="M4281">
        <v>0.25</v>
      </c>
      <c r="N4281" t="s">
        <v>120</v>
      </c>
      <c r="O4281" t="s">
        <v>120</v>
      </c>
      <c r="P4281" t="s">
        <v>2180</v>
      </c>
      <c r="Q4281" s="1" t="s">
        <v>2276</v>
      </c>
      <c r="R4281" s="1" t="s">
        <v>669</v>
      </c>
      <c r="S4281" s="1" t="s">
        <v>168</v>
      </c>
      <c r="T4281" t="s">
        <v>421</v>
      </c>
      <c r="U4281" t="s">
        <v>421</v>
      </c>
      <c r="X4281" t="s">
        <v>161</v>
      </c>
      <c r="Y4281" t="s">
        <v>2272</v>
      </c>
      <c r="Z4281" t="s">
        <v>2272</v>
      </c>
      <c r="AA4281" t="s">
        <v>2272</v>
      </c>
      <c r="AB4281" t="s">
        <v>2272</v>
      </c>
      <c r="AC4281" t="s">
        <v>162</v>
      </c>
      <c r="AD4281" t="s">
        <v>2272</v>
      </c>
      <c r="AF4281" t="s">
        <v>49</v>
      </c>
      <c r="AJ4281" t="s">
        <v>49</v>
      </c>
      <c r="AM4281" t="s">
        <v>2184</v>
      </c>
      <c r="AN4281" t="s">
        <v>165</v>
      </c>
      <c r="AP4281" t="s">
        <v>49</v>
      </c>
    </row>
    <row r="4282" spans="1:42" x14ac:dyDescent="0.2">
      <c r="A4282" t="s">
        <v>2178</v>
      </c>
      <c r="B4282" t="s">
        <v>2179</v>
      </c>
      <c r="C4282">
        <v>2004</v>
      </c>
      <c r="D4282" t="s">
        <v>44</v>
      </c>
      <c r="F4282" t="s">
        <v>628</v>
      </c>
      <c r="G4282" t="s">
        <v>91</v>
      </c>
      <c r="H4282" t="s">
        <v>350</v>
      </c>
      <c r="I4282">
        <v>2001</v>
      </c>
      <c r="J4282">
        <v>0.3</v>
      </c>
      <c r="K4282" t="s">
        <v>101</v>
      </c>
      <c r="M4282">
        <v>0.25</v>
      </c>
      <c r="N4282" t="s">
        <v>120</v>
      </c>
      <c r="O4282" t="s">
        <v>120</v>
      </c>
      <c r="P4282" t="s">
        <v>2181</v>
      </c>
      <c r="Q4282" s="1" t="s">
        <v>2276</v>
      </c>
      <c r="R4282" s="1" t="s">
        <v>669</v>
      </c>
      <c r="S4282" s="1" t="s">
        <v>168</v>
      </c>
      <c r="T4282" t="s">
        <v>421</v>
      </c>
      <c r="U4282" t="s">
        <v>421</v>
      </c>
      <c r="X4282" t="s">
        <v>161</v>
      </c>
      <c r="Y4282" t="s">
        <v>2272</v>
      </c>
      <c r="Z4282" t="s">
        <v>2272</v>
      </c>
      <c r="AA4282" t="s">
        <v>2272</v>
      </c>
      <c r="AB4282" t="s">
        <v>2272</v>
      </c>
      <c r="AC4282" t="s">
        <v>162</v>
      </c>
      <c r="AD4282" t="s">
        <v>2272</v>
      </c>
      <c r="AF4282" t="s">
        <v>49</v>
      </c>
      <c r="AJ4282" t="s">
        <v>49</v>
      </c>
      <c r="AM4282" t="s">
        <v>2184</v>
      </c>
      <c r="AN4282" t="s">
        <v>165</v>
      </c>
      <c r="AP4282" t="s">
        <v>49</v>
      </c>
    </row>
    <row r="4283" spans="1:42" x14ac:dyDescent="0.2">
      <c r="A4283" t="s">
        <v>2178</v>
      </c>
      <c r="B4283" t="s">
        <v>2179</v>
      </c>
      <c r="C4283">
        <v>2004</v>
      </c>
      <c r="D4283" t="s">
        <v>44</v>
      </c>
      <c r="F4283" t="s">
        <v>628</v>
      </c>
      <c r="G4283" t="s">
        <v>91</v>
      </c>
      <c r="H4283" t="s">
        <v>350</v>
      </c>
      <c r="I4283">
        <v>2001</v>
      </c>
      <c r="J4283">
        <v>0.3</v>
      </c>
      <c r="K4283" t="s">
        <v>101</v>
      </c>
      <c r="M4283">
        <v>0.25</v>
      </c>
      <c r="N4283" t="s">
        <v>120</v>
      </c>
      <c r="O4283" t="s">
        <v>120</v>
      </c>
      <c r="P4283" t="s">
        <v>2182</v>
      </c>
      <c r="Q4283" s="1" t="s">
        <v>2276</v>
      </c>
      <c r="R4283" s="1" t="s">
        <v>669</v>
      </c>
      <c r="S4283" s="1" t="s">
        <v>168</v>
      </c>
      <c r="T4283" t="s">
        <v>421</v>
      </c>
      <c r="U4283" t="s">
        <v>421</v>
      </c>
      <c r="X4283" t="s">
        <v>161</v>
      </c>
      <c r="Y4283" t="s">
        <v>2272</v>
      </c>
      <c r="Z4283" t="s">
        <v>2272</v>
      </c>
      <c r="AA4283" t="s">
        <v>2272</v>
      </c>
      <c r="AB4283" t="s">
        <v>2272</v>
      </c>
      <c r="AC4283" t="s">
        <v>162</v>
      </c>
      <c r="AD4283" t="s">
        <v>2272</v>
      </c>
      <c r="AF4283" t="s">
        <v>49</v>
      </c>
      <c r="AJ4283" t="s">
        <v>49</v>
      </c>
      <c r="AM4283" t="s">
        <v>2184</v>
      </c>
      <c r="AN4283" t="s">
        <v>165</v>
      </c>
      <c r="AP4283" t="s">
        <v>49</v>
      </c>
    </row>
    <row r="4284" spans="1:42" x14ac:dyDescent="0.2">
      <c r="A4284" t="s">
        <v>2178</v>
      </c>
      <c r="B4284" t="s">
        <v>2179</v>
      </c>
      <c r="C4284">
        <v>2004</v>
      </c>
      <c r="D4284" t="s">
        <v>44</v>
      </c>
      <c r="F4284" t="s">
        <v>628</v>
      </c>
      <c r="G4284" t="s">
        <v>91</v>
      </c>
      <c r="H4284" t="s">
        <v>350</v>
      </c>
      <c r="I4284">
        <v>2001</v>
      </c>
      <c r="J4284">
        <v>0.3</v>
      </c>
      <c r="K4284" t="s">
        <v>101</v>
      </c>
      <c r="M4284">
        <v>0.25</v>
      </c>
      <c r="N4284" t="s">
        <v>120</v>
      </c>
      <c r="O4284" t="s">
        <v>120</v>
      </c>
      <c r="P4284" t="s">
        <v>2183</v>
      </c>
      <c r="Q4284" s="1" t="s">
        <v>2276</v>
      </c>
      <c r="R4284" s="1" t="s">
        <v>751</v>
      </c>
      <c r="S4284" s="1" t="s">
        <v>2346</v>
      </c>
      <c r="T4284" t="s">
        <v>421</v>
      </c>
      <c r="U4284" t="s">
        <v>421</v>
      </c>
      <c r="X4284" t="s">
        <v>161</v>
      </c>
      <c r="Y4284" t="s">
        <v>2272</v>
      </c>
      <c r="Z4284" t="s">
        <v>2272</v>
      </c>
      <c r="AA4284" t="s">
        <v>2272</v>
      </c>
      <c r="AB4284" t="s">
        <v>2272</v>
      </c>
      <c r="AC4284" t="s">
        <v>162</v>
      </c>
      <c r="AD4284" t="s">
        <v>2272</v>
      </c>
      <c r="AF4284" t="s">
        <v>49</v>
      </c>
      <c r="AJ4284" t="s">
        <v>49</v>
      </c>
      <c r="AM4284" t="s">
        <v>2184</v>
      </c>
      <c r="AN4284" t="s">
        <v>165</v>
      </c>
      <c r="AP4284" t="s">
        <v>49</v>
      </c>
    </row>
    <row r="4285" spans="1:42" x14ac:dyDescent="0.2">
      <c r="A4285" t="s">
        <v>2178</v>
      </c>
      <c r="B4285" t="s">
        <v>2179</v>
      </c>
      <c r="C4285">
        <v>2004</v>
      </c>
      <c r="D4285" t="s">
        <v>44</v>
      </c>
      <c r="F4285" t="s">
        <v>628</v>
      </c>
      <c r="G4285" t="s">
        <v>91</v>
      </c>
      <c r="H4285" t="s">
        <v>350</v>
      </c>
      <c r="I4285">
        <v>2001</v>
      </c>
      <c r="J4285">
        <v>0.3</v>
      </c>
      <c r="K4285" t="s">
        <v>101</v>
      </c>
      <c r="M4285">
        <v>0.25</v>
      </c>
      <c r="N4285" t="s">
        <v>120</v>
      </c>
      <c r="O4285" t="s">
        <v>120</v>
      </c>
      <c r="P4285" t="s">
        <v>2180</v>
      </c>
      <c r="Q4285" s="1" t="s">
        <v>2276</v>
      </c>
      <c r="R4285" s="1" t="s">
        <v>669</v>
      </c>
      <c r="S4285" s="1" t="s">
        <v>168</v>
      </c>
      <c r="T4285" t="s">
        <v>396</v>
      </c>
      <c r="U4285" t="s">
        <v>2423</v>
      </c>
      <c r="X4285" t="s">
        <v>161</v>
      </c>
      <c r="Y4285" t="s">
        <v>2272</v>
      </c>
      <c r="Z4285" t="s">
        <v>2272</v>
      </c>
      <c r="AA4285" t="s">
        <v>2272</v>
      </c>
      <c r="AB4285" t="s">
        <v>2272</v>
      </c>
      <c r="AC4285" t="s">
        <v>162</v>
      </c>
      <c r="AD4285" t="s">
        <v>2272</v>
      </c>
      <c r="AF4285" t="s">
        <v>49</v>
      </c>
      <c r="AJ4285" t="s">
        <v>49</v>
      </c>
      <c r="AM4285" t="s">
        <v>2185</v>
      </c>
      <c r="AN4285" t="s">
        <v>165</v>
      </c>
      <c r="AP4285" t="s">
        <v>49</v>
      </c>
    </row>
    <row r="4286" spans="1:42" x14ac:dyDescent="0.2">
      <c r="A4286" t="s">
        <v>2178</v>
      </c>
      <c r="B4286" t="s">
        <v>2179</v>
      </c>
      <c r="C4286">
        <v>2004</v>
      </c>
      <c r="D4286" t="s">
        <v>44</v>
      </c>
      <c r="F4286" t="s">
        <v>628</v>
      </c>
      <c r="G4286" t="s">
        <v>91</v>
      </c>
      <c r="H4286" t="s">
        <v>350</v>
      </c>
      <c r="I4286">
        <v>2001</v>
      </c>
      <c r="J4286">
        <v>0.3</v>
      </c>
      <c r="K4286" t="s">
        <v>101</v>
      </c>
      <c r="M4286">
        <v>0.25</v>
      </c>
      <c r="N4286" t="s">
        <v>120</v>
      </c>
      <c r="O4286" t="s">
        <v>120</v>
      </c>
      <c r="P4286" t="s">
        <v>2181</v>
      </c>
      <c r="Q4286" s="1" t="s">
        <v>2276</v>
      </c>
      <c r="R4286" s="1" t="s">
        <v>669</v>
      </c>
      <c r="S4286" s="1" t="s">
        <v>168</v>
      </c>
      <c r="T4286" t="s">
        <v>396</v>
      </c>
      <c r="U4286" t="s">
        <v>2423</v>
      </c>
      <c r="X4286" t="s">
        <v>161</v>
      </c>
      <c r="Y4286" t="s">
        <v>2272</v>
      </c>
      <c r="Z4286" t="s">
        <v>2272</v>
      </c>
      <c r="AA4286" t="s">
        <v>2272</v>
      </c>
      <c r="AB4286" t="s">
        <v>2272</v>
      </c>
      <c r="AC4286" t="s">
        <v>162</v>
      </c>
      <c r="AD4286" t="s">
        <v>2272</v>
      </c>
      <c r="AF4286" t="s">
        <v>49</v>
      </c>
      <c r="AJ4286" t="s">
        <v>49</v>
      </c>
      <c r="AM4286" t="s">
        <v>2185</v>
      </c>
      <c r="AN4286" t="s">
        <v>165</v>
      </c>
      <c r="AP4286" t="s">
        <v>49</v>
      </c>
    </row>
    <row r="4287" spans="1:42" x14ac:dyDescent="0.2">
      <c r="A4287" t="s">
        <v>2178</v>
      </c>
      <c r="B4287" t="s">
        <v>2179</v>
      </c>
      <c r="C4287">
        <v>2004</v>
      </c>
      <c r="D4287" t="s">
        <v>44</v>
      </c>
      <c r="F4287" t="s">
        <v>628</v>
      </c>
      <c r="G4287" t="s">
        <v>91</v>
      </c>
      <c r="H4287" t="s">
        <v>350</v>
      </c>
      <c r="I4287">
        <v>2001</v>
      </c>
      <c r="J4287">
        <v>0.3</v>
      </c>
      <c r="K4287" t="s">
        <v>101</v>
      </c>
      <c r="M4287">
        <v>0.25</v>
      </c>
      <c r="N4287" t="s">
        <v>120</v>
      </c>
      <c r="O4287" t="s">
        <v>120</v>
      </c>
      <c r="P4287" t="s">
        <v>2182</v>
      </c>
      <c r="Q4287" s="1" t="s">
        <v>2276</v>
      </c>
      <c r="R4287" s="1" t="s">
        <v>669</v>
      </c>
      <c r="S4287" s="1" t="s">
        <v>168</v>
      </c>
      <c r="T4287" t="s">
        <v>396</v>
      </c>
      <c r="U4287" t="s">
        <v>2423</v>
      </c>
      <c r="X4287" t="s">
        <v>161</v>
      </c>
      <c r="Y4287" t="s">
        <v>2272</v>
      </c>
      <c r="Z4287" t="s">
        <v>2272</v>
      </c>
      <c r="AA4287" t="s">
        <v>2272</v>
      </c>
      <c r="AB4287" t="s">
        <v>2272</v>
      </c>
      <c r="AC4287" t="s">
        <v>162</v>
      </c>
      <c r="AD4287" t="s">
        <v>2272</v>
      </c>
      <c r="AF4287" t="s">
        <v>49</v>
      </c>
      <c r="AJ4287" t="s">
        <v>49</v>
      </c>
      <c r="AM4287" t="s">
        <v>2185</v>
      </c>
      <c r="AN4287" t="s">
        <v>165</v>
      </c>
      <c r="AP4287" t="s">
        <v>49</v>
      </c>
    </row>
    <row r="4288" spans="1:42" x14ac:dyDescent="0.2">
      <c r="A4288" t="s">
        <v>2178</v>
      </c>
      <c r="B4288" t="s">
        <v>2179</v>
      </c>
      <c r="C4288">
        <v>2004</v>
      </c>
      <c r="D4288" t="s">
        <v>44</v>
      </c>
      <c r="F4288" t="s">
        <v>628</v>
      </c>
      <c r="G4288" t="s">
        <v>91</v>
      </c>
      <c r="H4288" t="s">
        <v>350</v>
      </c>
      <c r="I4288">
        <v>2001</v>
      </c>
      <c r="J4288">
        <v>0.3</v>
      </c>
      <c r="K4288" t="s">
        <v>101</v>
      </c>
      <c r="M4288">
        <v>0.25</v>
      </c>
      <c r="N4288" t="s">
        <v>120</v>
      </c>
      <c r="O4288" t="s">
        <v>120</v>
      </c>
      <c r="P4288" t="s">
        <v>2183</v>
      </c>
      <c r="Q4288" s="1" t="s">
        <v>2276</v>
      </c>
      <c r="R4288" s="1" t="s">
        <v>751</v>
      </c>
      <c r="S4288" s="1" t="s">
        <v>2346</v>
      </c>
      <c r="T4288" t="s">
        <v>396</v>
      </c>
      <c r="U4288" t="s">
        <v>2366</v>
      </c>
      <c r="X4288" t="s">
        <v>161</v>
      </c>
      <c r="Y4288" t="s">
        <v>2272</v>
      </c>
      <c r="Z4288" t="s">
        <v>2272</v>
      </c>
      <c r="AA4288" t="s">
        <v>2272</v>
      </c>
      <c r="AB4288" t="s">
        <v>2272</v>
      </c>
      <c r="AC4288" t="s">
        <v>162</v>
      </c>
      <c r="AD4288" t="s">
        <v>2272</v>
      </c>
      <c r="AF4288" t="s">
        <v>49</v>
      </c>
      <c r="AJ4288" t="s">
        <v>49</v>
      </c>
      <c r="AM4288" t="s">
        <v>2185</v>
      </c>
      <c r="AN4288" t="s">
        <v>165</v>
      </c>
      <c r="AP4288" t="s">
        <v>49</v>
      </c>
    </row>
    <row r="4289" spans="1:43" x14ac:dyDescent="0.2">
      <c r="A4289" t="s">
        <v>2178</v>
      </c>
      <c r="B4289" t="s">
        <v>2179</v>
      </c>
      <c r="C4289">
        <v>2004</v>
      </c>
      <c r="D4289" t="s">
        <v>44</v>
      </c>
      <c r="F4289" t="s">
        <v>628</v>
      </c>
      <c r="G4289" t="s">
        <v>91</v>
      </c>
      <c r="H4289" t="s">
        <v>350</v>
      </c>
      <c r="I4289">
        <v>2001</v>
      </c>
      <c r="J4289">
        <v>0.3</v>
      </c>
      <c r="K4289" t="s">
        <v>101</v>
      </c>
      <c r="M4289">
        <v>0.25</v>
      </c>
      <c r="N4289" t="s">
        <v>120</v>
      </c>
      <c r="O4289" t="s">
        <v>120</v>
      </c>
      <c r="P4289" t="s">
        <v>2180</v>
      </c>
      <c r="Q4289" s="1" t="s">
        <v>2276</v>
      </c>
      <c r="R4289" s="1" t="s">
        <v>669</v>
      </c>
      <c r="S4289" s="1" t="s">
        <v>168</v>
      </c>
      <c r="T4289" t="s">
        <v>396</v>
      </c>
      <c r="U4289" t="s">
        <v>2423</v>
      </c>
      <c r="X4289" t="s">
        <v>161</v>
      </c>
      <c r="Y4289" t="s">
        <v>2272</v>
      </c>
      <c r="Z4289" t="s">
        <v>2272</v>
      </c>
      <c r="AA4289" t="s">
        <v>2272</v>
      </c>
      <c r="AB4289" t="s">
        <v>2272</v>
      </c>
      <c r="AC4289" t="s">
        <v>162</v>
      </c>
      <c r="AD4289" t="s">
        <v>2272</v>
      </c>
      <c r="AF4289" t="s">
        <v>49</v>
      </c>
      <c r="AL4289" t="s">
        <v>49</v>
      </c>
      <c r="AM4289" t="s">
        <v>2186</v>
      </c>
      <c r="AN4289" t="s">
        <v>166</v>
      </c>
      <c r="AQ4289" s="5">
        <v>2</v>
      </c>
    </row>
    <row r="4290" spans="1:43" x14ac:dyDescent="0.2">
      <c r="A4290" t="s">
        <v>2178</v>
      </c>
      <c r="B4290" t="s">
        <v>2179</v>
      </c>
      <c r="C4290">
        <v>2004</v>
      </c>
      <c r="D4290" t="s">
        <v>44</v>
      </c>
      <c r="F4290" t="s">
        <v>628</v>
      </c>
      <c r="G4290" t="s">
        <v>91</v>
      </c>
      <c r="H4290" t="s">
        <v>350</v>
      </c>
      <c r="I4290">
        <v>2001</v>
      </c>
      <c r="J4290">
        <v>0.3</v>
      </c>
      <c r="K4290" t="s">
        <v>101</v>
      </c>
      <c r="M4290">
        <v>0.25</v>
      </c>
      <c r="N4290" t="s">
        <v>120</v>
      </c>
      <c r="O4290" t="s">
        <v>120</v>
      </c>
      <c r="P4290" t="s">
        <v>2181</v>
      </c>
      <c r="Q4290" s="1" t="s">
        <v>2276</v>
      </c>
      <c r="R4290" s="1" t="s">
        <v>669</v>
      </c>
      <c r="S4290" s="1" t="s">
        <v>168</v>
      </c>
      <c r="T4290" t="s">
        <v>396</v>
      </c>
      <c r="U4290" t="s">
        <v>2423</v>
      </c>
      <c r="X4290" t="s">
        <v>161</v>
      </c>
      <c r="Y4290" t="s">
        <v>2272</v>
      </c>
      <c r="Z4290" t="s">
        <v>2272</v>
      </c>
      <c r="AA4290" t="s">
        <v>2272</v>
      </c>
      <c r="AB4290" t="s">
        <v>2272</v>
      </c>
      <c r="AC4290" t="s">
        <v>162</v>
      </c>
      <c r="AD4290" t="s">
        <v>2272</v>
      </c>
      <c r="AF4290" t="s">
        <v>49</v>
      </c>
      <c r="AL4290" t="s">
        <v>49</v>
      </c>
      <c r="AM4290" t="s">
        <v>2186</v>
      </c>
      <c r="AN4290" t="s">
        <v>166</v>
      </c>
      <c r="AQ4290" s="5">
        <v>1</v>
      </c>
    </row>
    <row r="4291" spans="1:43" x14ac:dyDescent="0.2">
      <c r="A4291" t="s">
        <v>2178</v>
      </c>
      <c r="B4291" t="s">
        <v>2179</v>
      </c>
      <c r="C4291">
        <v>2004</v>
      </c>
      <c r="D4291" t="s">
        <v>44</v>
      </c>
      <c r="F4291" t="s">
        <v>628</v>
      </c>
      <c r="G4291" t="s">
        <v>91</v>
      </c>
      <c r="H4291" t="s">
        <v>350</v>
      </c>
      <c r="I4291">
        <v>2001</v>
      </c>
      <c r="J4291">
        <v>0.3</v>
      </c>
      <c r="K4291" t="s">
        <v>101</v>
      </c>
      <c r="M4291">
        <v>0.25</v>
      </c>
      <c r="N4291" t="s">
        <v>120</v>
      </c>
      <c r="O4291" t="s">
        <v>120</v>
      </c>
      <c r="P4291" t="s">
        <v>2182</v>
      </c>
      <c r="Q4291" s="1" t="s">
        <v>2276</v>
      </c>
      <c r="R4291" s="1" t="s">
        <v>669</v>
      </c>
      <c r="S4291" s="1" t="s">
        <v>168</v>
      </c>
      <c r="T4291" t="s">
        <v>396</v>
      </c>
      <c r="U4291" t="s">
        <v>2423</v>
      </c>
      <c r="X4291" t="s">
        <v>161</v>
      </c>
      <c r="Y4291" t="s">
        <v>2272</v>
      </c>
      <c r="Z4291" t="s">
        <v>2272</v>
      </c>
      <c r="AA4291" t="s">
        <v>2272</v>
      </c>
      <c r="AB4291" t="s">
        <v>2272</v>
      </c>
      <c r="AC4291" t="s">
        <v>162</v>
      </c>
      <c r="AD4291" t="s">
        <v>2272</v>
      </c>
      <c r="AF4291" t="s">
        <v>49</v>
      </c>
      <c r="AL4291" t="s">
        <v>49</v>
      </c>
      <c r="AM4291" t="s">
        <v>2186</v>
      </c>
      <c r="AN4291" t="s">
        <v>166</v>
      </c>
      <c r="AQ4291" s="5">
        <v>1</v>
      </c>
    </row>
    <row r="4292" spans="1:43" x14ac:dyDescent="0.2">
      <c r="A4292" t="s">
        <v>2178</v>
      </c>
      <c r="B4292" t="s">
        <v>2179</v>
      </c>
      <c r="C4292">
        <v>2004</v>
      </c>
      <c r="D4292" t="s">
        <v>44</v>
      </c>
      <c r="F4292" t="s">
        <v>628</v>
      </c>
      <c r="G4292" t="s">
        <v>91</v>
      </c>
      <c r="H4292" t="s">
        <v>350</v>
      </c>
      <c r="I4292">
        <v>2001</v>
      </c>
      <c r="J4292">
        <v>0.3</v>
      </c>
      <c r="K4292" t="s">
        <v>101</v>
      </c>
      <c r="M4292">
        <v>0.25</v>
      </c>
      <c r="N4292" t="s">
        <v>120</v>
      </c>
      <c r="O4292" t="s">
        <v>120</v>
      </c>
      <c r="P4292" t="s">
        <v>2183</v>
      </c>
      <c r="Q4292" s="1" t="s">
        <v>2276</v>
      </c>
      <c r="R4292" s="1" t="s">
        <v>751</v>
      </c>
      <c r="S4292" s="1" t="s">
        <v>2346</v>
      </c>
      <c r="T4292" t="s">
        <v>396</v>
      </c>
      <c r="U4292" t="s">
        <v>2366</v>
      </c>
      <c r="X4292" t="s">
        <v>161</v>
      </c>
      <c r="Y4292" t="s">
        <v>2272</v>
      </c>
      <c r="Z4292" t="s">
        <v>2272</v>
      </c>
      <c r="AA4292" t="s">
        <v>2272</v>
      </c>
      <c r="AB4292" t="s">
        <v>2272</v>
      </c>
      <c r="AC4292" t="s">
        <v>162</v>
      </c>
      <c r="AD4292" t="s">
        <v>2272</v>
      </c>
      <c r="AF4292" t="s">
        <v>49</v>
      </c>
      <c r="AL4292" t="s">
        <v>49</v>
      </c>
      <c r="AM4292" t="s">
        <v>2186</v>
      </c>
      <c r="AN4292" t="s">
        <v>166</v>
      </c>
      <c r="AQ4292" s="5">
        <v>1</v>
      </c>
    </row>
    <row r="4293" spans="1:43" x14ac:dyDescent="0.2">
      <c r="A4293" t="s">
        <v>2178</v>
      </c>
      <c r="B4293" t="s">
        <v>2179</v>
      </c>
      <c r="C4293">
        <v>2004</v>
      </c>
      <c r="D4293" t="s">
        <v>44</v>
      </c>
      <c r="F4293" t="s">
        <v>628</v>
      </c>
      <c r="G4293" t="s">
        <v>91</v>
      </c>
      <c r="H4293" t="s">
        <v>350</v>
      </c>
      <c r="I4293">
        <v>2001</v>
      </c>
      <c r="J4293">
        <v>0.3</v>
      </c>
      <c r="K4293" t="s">
        <v>101</v>
      </c>
      <c r="M4293">
        <v>0.25</v>
      </c>
      <c r="N4293" t="s">
        <v>120</v>
      </c>
      <c r="O4293" t="s">
        <v>120</v>
      </c>
      <c r="P4293" t="s">
        <v>2180</v>
      </c>
      <c r="Q4293" s="1" t="s">
        <v>2276</v>
      </c>
      <c r="R4293" s="1" t="s">
        <v>669</v>
      </c>
      <c r="S4293" s="1" t="s">
        <v>168</v>
      </c>
      <c r="T4293" t="s">
        <v>421</v>
      </c>
      <c r="U4293" t="s">
        <v>421</v>
      </c>
      <c r="X4293" t="s">
        <v>161</v>
      </c>
      <c r="Y4293" t="s">
        <v>2272</v>
      </c>
      <c r="Z4293" t="s">
        <v>2272</v>
      </c>
      <c r="AA4293" t="s">
        <v>2272</v>
      </c>
      <c r="AB4293" t="s">
        <v>2272</v>
      </c>
      <c r="AC4293" t="s">
        <v>162</v>
      </c>
      <c r="AD4293" t="s">
        <v>2272</v>
      </c>
      <c r="AF4293" t="s">
        <v>49</v>
      </c>
      <c r="AL4293" t="s">
        <v>49</v>
      </c>
      <c r="AM4293" t="s">
        <v>2186</v>
      </c>
      <c r="AN4293" t="s">
        <v>166</v>
      </c>
      <c r="AQ4293" s="5">
        <v>0</v>
      </c>
    </row>
    <row r="4294" spans="1:43" x14ac:dyDescent="0.2">
      <c r="A4294" t="s">
        <v>2178</v>
      </c>
      <c r="B4294" t="s">
        <v>2179</v>
      </c>
      <c r="C4294">
        <v>2004</v>
      </c>
      <c r="D4294" t="s">
        <v>44</v>
      </c>
      <c r="F4294" t="s">
        <v>628</v>
      </c>
      <c r="G4294" t="s">
        <v>91</v>
      </c>
      <c r="H4294" t="s">
        <v>350</v>
      </c>
      <c r="I4294">
        <v>2001</v>
      </c>
      <c r="J4294">
        <v>0.3</v>
      </c>
      <c r="K4294" t="s">
        <v>101</v>
      </c>
      <c r="M4294">
        <v>0.25</v>
      </c>
      <c r="N4294" t="s">
        <v>120</v>
      </c>
      <c r="O4294" t="s">
        <v>120</v>
      </c>
      <c r="P4294" t="s">
        <v>2181</v>
      </c>
      <c r="Q4294" s="1" t="s">
        <v>2276</v>
      </c>
      <c r="R4294" s="1" t="s">
        <v>669</v>
      </c>
      <c r="S4294" s="1" t="s">
        <v>168</v>
      </c>
      <c r="T4294" t="s">
        <v>421</v>
      </c>
      <c r="U4294" t="s">
        <v>421</v>
      </c>
      <c r="X4294" t="s">
        <v>161</v>
      </c>
      <c r="Y4294" t="s">
        <v>2272</v>
      </c>
      <c r="Z4294" t="s">
        <v>2272</v>
      </c>
      <c r="AA4294" t="s">
        <v>2272</v>
      </c>
      <c r="AB4294" t="s">
        <v>2272</v>
      </c>
      <c r="AC4294" t="s">
        <v>162</v>
      </c>
      <c r="AD4294" t="s">
        <v>2272</v>
      </c>
      <c r="AF4294" t="s">
        <v>49</v>
      </c>
      <c r="AL4294" t="s">
        <v>49</v>
      </c>
      <c r="AM4294" t="s">
        <v>2186</v>
      </c>
      <c r="AN4294" t="s">
        <v>166</v>
      </c>
      <c r="AQ4294" s="5">
        <v>1</v>
      </c>
    </row>
    <row r="4295" spans="1:43" x14ac:dyDescent="0.2">
      <c r="A4295" t="s">
        <v>2178</v>
      </c>
      <c r="B4295" t="s">
        <v>2179</v>
      </c>
      <c r="C4295">
        <v>2004</v>
      </c>
      <c r="D4295" t="s">
        <v>44</v>
      </c>
      <c r="F4295" t="s">
        <v>628</v>
      </c>
      <c r="G4295" t="s">
        <v>91</v>
      </c>
      <c r="H4295" t="s">
        <v>350</v>
      </c>
      <c r="I4295">
        <v>2001</v>
      </c>
      <c r="J4295">
        <v>0.3</v>
      </c>
      <c r="K4295" t="s">
        <v>101</v>
      </c>
      <c r="M4295">
        <v>0.25</v>
      </c>
      <c r="N4295" t="s">
        <v>120</v>
      </c>
      <c r="O4295" t="s">
        <v>120</v>
      </c>
      <c r="P4295" t="s">
        <v>2182</v>
      </c>
      <c r="Q4295" s="1" t="s">
        <v>2276</v>
      </c>
      <c r="R4295" s="1" t="s">
        <v>669</v>
      </c>
      <c r="S4295" s="1" t="s">
        <v>168</v>
      </c>
      <c r="T4295" t="s">
        <v>421</v>
      </c>
      <c r="U4295" t="s">
        <v>421</v>
      </c>
      <c r="X4295" t="s">
        <v>161</v>
      </c>
      <c r="Y4295" t="s">
        <v>2272</v>
      </c>
      <c r="Z4295" t="s">
        <v>2272</v>
      </c>
      <c r="AA4295" t="s">
        <v>2272</v>
      </c>
      <c r="AB4295" t="s">
        <v>2272</v>
      </c>
      <c r="AC4295" t="s">
        <v>162</v>
      </c>
      <c r="AD4295" t="s">
        <v>2272</v>
      </c>
      <c r="AF4295" t="s">
        <v>49</v>
      </c>
      <c r="AL4295" t="s">
        <v>49</v>
      </c>
      <c r="AM4295" t="s">
        <v>2186</v>
      </c>
      <c r="AN4295" t="s">
        <v>166</v>
      </c>
      <c r="AQ4295" s="5">
        <v>1</v>
      </c>
    </row>
    <row r="4296" spans="1:43" x14ac:dyDescent="0.2">
      <c r="A4296" t="s">
        <v>2178</v>
      </c>
      <c r="B4296" t="s">
        <v>2179</v>
      </c>
      <c r="C4296">
        <v>2004</v>
      </c>
      <c r="D4296" t="s">
        <v>44</v>
      </c>
      <c r="F4296" t="s">
        <v>628</v>
      </c>
      <c r="G4296" t="s">
        <v>91</v>
      </c>
      <c r="H4296" t="s">
        <v>350</v>
      </c>
      <c r="I4296">
        <v>2001</v>
      </c>
      <c r="J4296">
        <v>0.3</v>
      </c>
      <c r="K4296" t="s">
        <v>101</v>
      </c>
      <c r="M4296">
        <v>0.25</v>
      </c>
      <c r="N4296" t="s">
        <v>120</v>
      </c>
      <c r="O4296" t="s">
        <v>120</v>
      </c>
      <c r="P4296" t="s">
        <v>2183</v>
      </c>
      <c r="Q4296" s="1" t="s">
        <v>2276</v>
      </c>
      <c r="R4296" s="1" t="s">
        <v>751</v>
      </c>
      <c r="S4296" s="1" t="s">
        <v>2346</v>
      </c>
      <c r="T4296" t="s">
        <v>421</v>
      </c>
      <c r="U4296" t="s">
        <v>421</v>
      </c>
      <c r="X4296" t="s">
        <v>161</v>
      </c>
      <c r="Y4296" t="s">
        <v>2272</v>
      </c>
      <c r="Z4296" t="s">
        <v>2272</v>
      </c>
      <c r="AA4296" t="s">
        <v>2272</v>
      </c>
      <c r="AB4296" t="s">
        <v>2272</v>
      </c>
      <c r="AC4296" t="s">
        <v>162</v>
      </c>
      <c r="AD4296" t="s">
        <v>2272</v>
      </c>
      <c r="AF4296" t="s">
        <v>49</v>
      </c>
      <c r="AL4296" t="s">
        <v>49</v>
      </c>
      <c r="AM4296" t="s">
        <v>2186</v>
      </c>
      <c r="AN4296" t="s">
        <v>166</v>
      </c>
      <c r="AQ4296" s="5">
        <v>1</v>
      </c>
    </row>
    <row r="4297" spans="1:43" x14ac:dyDescent="0.2">
      <c r="A4297" t="s">
        <v>2178</v>
      </c>
      <c r="B4297" t="s">
        <v>2179</v>
      </c>
      <c r="C4297">
        <v>2004</v>
      </c>
      <c r="D4297" t="s">
        <v>44</v>
      </c>
      <c r="F4297" t="s">
        <v>628</v>
      </c>
      <c r="G4297" t="s">
        <v>91</v>
      </c>
      <c r="H4297" t="s">
        <v>350</v>
      </c>
      <c r="I4297">
        <v>2001</v>
      </c>
      <c r="J4297">
        <v>0.3</v>
      </c>
      <c r="K4297" t="s">
        <v>101</v>
      </c>
      <c r="M4297">
        <v>0.25</v>
      </c>
      <c r="N4297" t="s">
        <v>120</v>
      </c>
      <c r="O4297" t="s">
        <v>120</v>
      </c>
      <c r="P4297" t="s">
        <v>2180</v>
      </c>
      <c r="Q4297" s="1" t="s">
        <v>2276</v>
      </c>
      <c r="R4297" s="1" t="s">
        <v>669</v>
      </c>
      <c r="S4297" s="1" t="s">
        <v>168</v>
      </c>
      <c r="T4297" t="s">
        <v>396</v>
      </c>
      <c r="U4297" t="s">
        <v>2423</v>
      </c>
      <c r="X4297" t="s">
        <v>161</v>
      </c>
      <c r="Y4297" t="s">
        <v>2272</v>
      </c>
      <c r="Z4297" t="s">
        <v>2272</v>
      </c>
      <c r="AA4297" t="s">
        <v>2272</v>
      </c>
      <c r="AB4297" t="s">
        <v>2272</v>
      </c>
      <c r="AC4297" t="s">
        <v>162</v>
      </c>
      <c r="AD4297" t="s">
        <v>2272</v>
      </c>
      <c r="AF4297" t="s">
        <v>49</v>
      </c>
      <c r="AL4297" t="s">
        <v>49</v>
      </c>
      <c r="AM4297" t="s">
        <v>2187</v>
      </c>
      <c r="AN4297" t="s">
        <v>166</v>
      </c>
      <c r="AQ4297" s="5">
        <v>2</v>
      </c>
    </row>
    <row r="4298" spans="1:43" x14ac:dyDescent="0.2">
      <c r="A4298" t="s">
        <v>2178</v>
      </c>
      <c r="B4298" t="s">
        <v>2179</v>
      </c>
      <c r="C4298">
        <v>2004</v>
      </c>
      <c r="D4298" t="s">
        <v>44</v>
      </c>
      <c r="F4298" t="s">
        <v>628</v>
      </c>
      <c r="G4298" t="s">
        <v>91</v>
      </c>
      <c r="H4298" t="s">
        <v>350</v>
      </c>
      <c r="I4298">
        <v>2001</v>
      </c>
      <c r="J4298">
        <v>0.3</v>
      </c>
      <c r="K4298" t="s">
        <v>101</v>
      </c>
      <c r="M4298">
        <v>0.25</v>
      </c>
      <c r="N4298" t="s">
        <v>120</v>
      </c>
      <c r="O4298" t="s">
        <v>120</v>
      </c>
      <c r="P4298" t="s">
        <v>2181</v>
      </c>
      <c r="Q4298" s="1" t="s">
        <v>2276</v>
      </c>
      <c r="R4298" s="1" t="s">
        <v>669</v>
      </c>
      <c r="S4298" s="1" t="s">
        <v>168</v>
      </c>
      <c r="T4298" t="s">
        <v>396</v>
      </c>
      <c r="U4298" t="s">
        <v>2423</v>
      </c>
      <c r="X4298" t="s">
        <v>161</v>
      </c>
      <c r="Y4298" t="s">
        <v>2272</v>
      </c>
      <c r="Z4298" t="s">
        <v>2272</v>
      </c>
      <c r="AA4298" t="s">
        <v>2272</v>
      </c>
      <c r="AB4298" t="s">
        <v>2272</v>
      </c>
      <c r="AC4298" t="s">
        <v>162</v>
      </c>
      <c r="AD4298" t="s">
        <v>2272</v>
      </c>
      <c r="AF4298" t="s">
        <v>49</v>
      </c>
      <c r="AL4298" t="s">
        <v>49</v>
      </c>
      <c r="AM4298" t="s">
        <v>2187</v>
      </c>
      <c r="AN4298" t="s">
        <v>166</v>
      </c>
      <c r="AQ4298" s="5">
        <v>3</v>
      </c>
    </row>
    <row r="4299" spans="1:43" x14ac:dyDescent="0.2">
      <c r="A4299" t="s">
        <v>2178</v>
      </c>
      <c r="B4299" t="s">
        <v>2179</v>
      </c>
      <c r="C4299">
        <v>2004</v>
      </c>
      <c r="D4299" t="s">
        <v>44</v>
      </c>
      <c r="F4299" t="s">
        <v>628</v>
      </c>
      <c r="G4299" t="s">
        <v>91</v>
      </c>
      <c r="H4299" t="s">
        <v>350</v>
      </c>
      <c r="I4299">
        <v>2001</v>
      </c>
      <c r="J4299">
        <v>0.3</v>
      </c>
      <c r="K4299" t="s">
        <v>101</v>
      </c>
      <c r="M4299">
        <v>0.25</v>
      </c>
      <c r="N4299" t="s">
        <v>120</v>
      </c>
      <c r="O4299" t="s">
        <v>120</v>
      </c>
      <c r="P4299" t="s">
        <v>2182</v>
      </c>
      <c r="Q4299" s="1" t="s">
        <v>2276</v>
      </c>
      <c r="R4299" s="1" t="s">
        <v>669</v>
      </c>
      <c r="S4299" s="1" t="s">
        <v>168</v>
      </c>
      <c r="T4299" t="s">
        <v>396</v>
      </c>
      <c r="U4299" t="s">
        <v>2423</v>
      </c>
      <c r="X4299" t="s">
        <v>161</v>
      </c>
      <c r="Y4299" t="s">
        <v>2272</v>
      </c>
      <c r="Z4299" t="s">
        <v>2272</v>
      </c>
      <c r="AA4299" t="s">
        <v>2272</v>
      </c>
      <c r="AB4299" t="s">
        <v>2272</v>
      </c>
      <c r="AC4299" t="s">
        <v>162</v>
      </c>
      <c r="AD4299" t="s">
        <v>2272</v>
      </c>
      <c r="AF4299" t="s">
        <v>49</v>
      </c>
      <c r="AL4299" t="s">
        <v>49</v>
      </c>
      <c r="AM4299" t="s">
        <v>2187</v>
      </c>
      <c r="AN4299" t="s">
        <v>166</v>
      </c>
      <c r="AQ4299" s="5">
        <v>3</v>
      </c>
    </row>
    <row r="4300" spans="1:43" x14ac:dyDescent="0.2">
      <c r="A4300" t="s">
        <v>2178</v>
      </c>
      <c r="B4300" t="s">
        <v>2179</v>
      </c>
      <c r="C4300">
        <v>2004</v>
      </c>
      <c r="D4300" t="s">
        <v>44</v>
      </c>
      <c r="F4300" t="s">
        <v>628</v>
      </c>
      <c r="G4300" t="s">
        <v>91</v>
      </c>
      <c r="H4300" t="s">
        <v>350</v>
      </c>
      <c r="I4300">
        <v>2001</v>
      </c>
      <c r="J4300">
        <v>0.3</v>
      </c>
      <c r="K4300" t="s">
        <v>101</v>
      </c>
      <c r="M4300">
        <v>0.25</v>
      </c>
      <c r="N4300" t="s">
        <v>120</v>
      </c>
      <c r="O4300" t="s">
        <v>120</v>
      </c>
      <c r="P4300" t="s">
        <v>2183</v>
      </c>
      <c r="Q4300" s="1" t="s">
        <v>2276</v>
      </c>
      <c r="R4300" s="1" t="s">
        <v>751</v>
      </c>
      <c r="S4300" s="1" t="s">
        <v>2346</v>
      </c>
      <c r="T4300" t="s">
        <v>396</v>
      </c>
      <c r="U4300" t="s">
        <v>2366</v>
      </c>
      <c r="X4300" t="s">
        <v>161</v>
      </c>
      <c r="Y4300" t="s">
        <v>2272</v>
      </c>
      <c r="Z4300" t="s">
        <v>2272</v>
      </c>
      <c r="AA4300" t="s">
        <v>2272</v>
      </c>
      <c r="AB4300" t="s">
        <v>2272</v>
      </c>
      <c r="AC4300" t="s">
        <v>162</v>
      </c>
      <c r="AD4300" t="s">
        <v>2272</v>
      </c>
      <c r="AF4300" t="s">
        <v>49</v>
      </c>
      <c r="AL4300" t="s">
        <v>49</v>
      </c>
      <c r="AM4300" t="s">
        <v>2187</v>
      </c>
      <c r="AN4300" t="s">
        <v>166</v>
      </c>
      <c r="AQ4300" s="5">
        <v>1</v>
      </c>
    </row>
    <row r="4301" spans="1:43" x14ac:dyDescent="0.2">
      <c r="A4301" t="s">
        <v>2178</v>
      </c>
      <c r="B4301" t="s">
        <v>2179</v>
      </c>
      <c r="C4301">
        <v>2004</v>
      </c>
      <c r="D4301" t="s">
        <v>44</v>
      </c>
      <c r="F4301" t="s">
        <v>628</v>
      </c>
      <c r="G4301" t="s">
        <v>91</v>
      </c>
      <c r="H4301" t="s">
        <v>350</v>
      </c>
      <c r="I4301">
        <v>2001</v>
      </c>
      <c r="J4301">
        <v>0.3</v>
      </c>
      <c r="K4301" t="s">
        <v>101</v>
      </c>
      <c r="M4301">
        <v>0.25</v>
      </c>
      <c r="N4301" t="s">
        <v>120</v>
      </c>
      <c r="O4301" t="s">
        <v>120</v>
      </c>
      <c r="P4301" t="s">
        <v>2180</v>
      </c>
      <c r="Q4301" s="1" t="s">
        <v>2276</v>
      </c>
      <c r="R4301" s="1" t="s">
        <v>669</v>
      </c>
      <c r="S4301" s="1" t="s">
        <v>168</v>
      </c>
      <c r="T4301" t="s">
        <v>421</v>
      </c>
      <c r="U4301" t="s">
        <v>421</v>
      </c>
      <c r="X4301" t="s">
        <v>161</v>
      </c>
      <c r="Y4301" t="s">
        <v>2272</v>
      </c>
      <c r="Z4301" t="s">
        <v>2272</v>
      </c>
      <c r="AA4301" t="s">
        <v>2272</v>
      </c>
      <c r="AB4301" t="s">
        <v>2272</v>
      </c>
      <c r="AC4301" t="s">
        <v>162</v>
      </c>
      <c r="AD4301" t="s">
        <v>2272</v>
      </c>
      <c r="AF4301" t="s">
        <v>49</v>
      </c>
      <c r="AL4301" t="s">
        <v>49</v>
      </c>
      <c r="AM4301" t="s">
        <v>2187</v>
      </c>
      <c r="AN4301" t="s">
        <v>166</v>
      </c>
      <c r="AQ4301" s="5">
        <v>0</v>
      </c>
    </row>
    <row r="4302" spans="1:43" x14ac:dyDescent="0.2">
      <c r="A4302" t="s">
        <v>2178</v>
      </c>
      <c r="B4302" t="s">
        <v>2179</v>
      </c>
      <c r="C4302">
        <v>2004</v>
      </c>
      <c r="D4302" t="s">
        <v>44</v>
      </c>
      <c r="F4302" t="s">
        <v>628</v>
      </c>
      <c r="G4302" t="s">
        <v>91</v>
      </c>
      <c r="H4302" t="s">
        <v>350</v>
      </c>
      <c r="I4302">
        <v>2001</v>
      </c>
      <c r="J4302">
        <v>0.3</v>
      </c>
      <c r="K4302" t="s">
        <v>101</v>
      </c>
      <c r="M4302">
        <v>0.25</v>
      </c>
      <c r="N4302" t="s">
        <v>120</v>
      </c>
      <c r="O4302" t="s">
        <v>120</v>
      </c>
      <c r="P4302" t="s">
        <v>2181</v>
      </c>
      <c r="Q4302" s="1" t="s">
        <v>2276</v>
      </c>
      <c r="R4302" s="1" t="s">
        <v>669</v>
      </c>
      <c r="S4302" s="1" t="s">
        <v>168</v>
      </c>
      <c r="T4302" t="s">
        <v>421</v>
      </c>
      <c r="U4302" t="s">
        <v>421</v>
      </c>
      <c r="X4302" t="s">
        <v>161</v>
      </c>
      <c r="Y4302" t="s">
        <v>2272</v>
      </c>
      <c r="Z4302" t="s">
        <v>2272</v>
      </c>
      <c r="AA4302" t="s">
        <v>2272</v>
      </c>
      <c r="AB4302" t="s">
        <v>2272</v>
      </c>
      <c r="AC4302" t="s">
        <v>162</v>
      </c>
      <c r="AD4302" t="s">
        <v>2272</v>
      </c>
      <c r="AF4302" t="s">
        <v>49</v>
      </c>
      <c r="AL4302" t="s">
        <v>49</v>
      </c>
      <c r="AM4302" t="s">
        <v>2187</v>
      </c>
      <c r="AN4302" t="s">
        <v>166</v>
      </c>
      <c r="AQ4302" s="5">
        <v>0</v>
      </c>
    </row>
    <row r="4303" spans="1:43" x14ac:dyDescent="0.2">
      <c r="A4303" t="s">
        <v>2178</v>
      </c>
      <c r="B4303" t="s">
        <v>2179</v>
      </c>
      <c r="C4303">
        <v>2004</v>
      </c>
      <c r="D4303" t="s">
        <v>44</v>
      </c>
      <c r="F4303" t="s">
        <v>628</v>
      </c>
      <c r="G4303" t="s">
        <v>91</v>
      </c>
      <c r="H4303" t="s">
        <v>350</v>
      </c>
      <c r="I4303">
        <v>2001</v>
      </c>
      <c r="J4303">
        <v>0.3</v>
      </c>
      <c r="K4303" t="s">
        <v>101</v>
      </c>
      <c r="M4303">
        <v>0.25</v>
      </c>
      <c r="N4303" t="s">
        <v>120</v>
      </c>
      <c r="O4303" t="s">
        <v>120</v>
      </c>
      <c r="P4303" t="s">
        <v>2182</v>
      </c>
      <c r="Q4303" s="1" t="s">
        <v>2276</v>
      </c>
      <c r="R4303" s="1" t="s">
        <v>669</v>
      </c>
      <c r="S4303" s="1" t="s">
        <v>168</v>
      </c>
      <c r="T4303" t="s">
        <v>421</v>
      </c>
      <c r="U4303" t="s">
        <v>421</v>
      </c>
      <c r="X4303" t="s">
        <v>161</v>
      </c>
      <c r="Y4303" t="s">
        <v>2272</v>
      </c>
      <c r="Z4303" t="s">
        <v>2272</v>
      </c>
      <c r="AA4303" t="s">
        <v>2272</v>
      </c>
      <c r="AB4303" t="s">
        <v>2272</v>
      </c>
      <c r="AC4303" t="s">
        <v>162</v>
      </c>
      <c r="AD4303" t="s">
        <v>2272</v>
      </c>
      <c r="AF4303" t="s">
        <v>49</v>
      </c>
      <c r="AL4303" t="s">
        <v>49</v>
      </c>
      <c r="AM4303" t="s">
        <v>2187</v>
      </c>
      <c r="AN4303" t="s">
        <v>166</v>
      </c>
      <c r="AQ4303" s="5">
        <v>0</v>
      </c>
    </row>
    <row r="4304" spans="1:43" x14ac:dyDescent="0.2">
      <c r="A4304" t="s">
        <v>2178</v>
      </c>
      <c r="B4304" t="s">
        <v>2179</v>
      </c>
      <c r="C4304">
        <v>2004</v>
      </c>
      <c r="D4304" t="s">
        <v>44</v>
      </c>
      <c r="F4304" t="s">
        <v>628</v>
      </c>
      <c r="G4304" t="s">
        <v>91</v>
      </c>
      <c r="H4304" t="s">
        <v>350</v>
      </c>
      <c r="I4304">
        <v>2001</v>
      </c>
      <c r="J4304">
        <v>0.3</v>
      </c>
      <c r="K4304" t="s">
        <v>101</v>
      </c>
      <c r="M4304">
        <v>0.25</v>
      </c>
      <c r="N4304" t="s">
        <v>120</v>
      </c>
      <c r="O4304" t="s">
        <v>120</v>
      </c>
      <c r="P4304" t="s">
        <v>2183</v>
      </c>
      <c r="Q4304" s="1" t="s">
        <v>2276</v>
      </c>
      <c r="R4304" s="1" t="s">
        <v>751</v>
      </c>
      <c r="S4304" s="1" t="s">
        <v>2346</v>
      </c>
      <c r="T4304" t="s">
        <v>421</v>
      </c>
      <c r="U4304" t="s">
        <v>421</v>
      </c>
      <c r="X4304" t="s">
        <v>161</v>
      </c>
      <c r="Y4304" t="s">
        <v>2272</v>
      </c>
      <c r="Z4304" t="s">
        <v>2272</v>
      </c>
      <c r="AA4304" t="s">
        <v>2272</v>
      </c>
      <c r="AB4304" t="s">
        <v>2272</v>
      </c>
      <c r="AC4304" t="s">
        <v>162</v>
      </c>
      <c r="AD4304" t="s">
        <v>2272</v>
      </c>
      <c r="AF4304" t="s">
        <v>49</v>
      </c>
      <c r="AL4304" t="s">
        <v>49</v>
      </c>
      <c r="AM4304" t="s">
        <v>2187</v>
      </c>
      <c r="AN4304" t="s">
        <v>166</v>
      </c>
      <c r="AQ4304" s="5">
        <v>1</v>
      </c>
    </row>
    <row r="4305" spans="1:43" x14ac:dyDescent="0.2">
      <c r="A4305" t="s">
        <v>2178</v>
      </c>
      <c r="B4305" t="s">
        <v>2179</v>
      </c>
      <c r="C4305">
        <v>2004</v>
      </c>
      <c r="D4305" t="s">
        <v>44</v>
      </c>
      <c r="F4305" t="s">
        <v>628</v>
      </c>
      <c r="G4305" t="s">
        <v>91</v>
      </c>
      <c r="H4305" t="s">
        <v>350</v>
      </c>
      <c r="I4305">
        <v>2001</v>
      </c>
      <c r="J4305">
        <v>0.3</v>
      </c>
      <c r="K4305" t="s">
        <v>101</v>
      </c>
      <c r="M4305">
        <v>0.25</v>
      </c>
      <c r="N4305" t="s">
        <v>120</v>
      </c>
      <c r="O4305" t="s">
        <v>120</v>
      </c>
      <c r="P4305" t="s">
        <v>2180</v>
      </c>
      <c r="Q4305" s="1" t="s">
        <v>2276</v>
      </c>
      <c r="R4305" s="1" t="s">
        <v>669</v>
      </c>
      <c r="S4305" s="1" t="s">
        <v>168</v>
      </c>
      <c r="T4305" t="s">
        <v>396</v>
      </c>
      <c r="U4305" t="s">
        <v>2423</v>
      </c>
      <c r="X4305" t="s">
        <v>161</v>
      </c>
      <c r="Y4305" t="s">
        <v>2272</v>
      </c>
      <c r="Z4305" t="s">
        <v>2272</v>
      </c>
      <c r="AA4305" t="s">
        <v>2272</v>
      </c>
      <c r="AB4305" t="s">
        <v>2272</v>
      </c>
      <c r="AC4305" t="s">
        <v>162</v>
      </c>
      <c r="AD4305" t="s">
        <v>2272</v>
      </c>
      <c r="AF4305" t="s">
        <v>49</v>
      </c>
      <c r="AL4305" t="s">
        <v>49</v>
      </c>
      <c r="AM4305" t="s">
        <v>2188</v>
      </c>
      <c r="AN4305" t="s">
        <v>166</v>
      </c>
      <c r="AQ4305" s="5">
        <v>3</v>
      </c>
    </row>
    <row r="4306" spans="1:43" x14ac:dyDescent="0.2">
      <c r="A4306" t="s">
        <v>2178</v>
      </c>
      <c r="B4306" t="s">
        <v>2179</v>
      </c>
      <c r="C4306">
        <v>2004</v>
      </c>
      <c r="D4306" t="s">
        <v>44</v>
      </c>
      <c r="F4306" t="s">
        <v>628</v>
      </c>
      <c r="G4306" t="s">
        <v>91</v>
      </c>
      <c r="H4306" t="s">
        <v>350</v>
      </c>
      <c r="I4306">
        <v>2001</v>
      </c>
      <c r="J4306">
        <v>0.3</v>
      </c>
      <c r="K4306" t="s">
        <v>101</v>
      </c>
      <c r="M4306">
        <v>0.25</v>
      </c>
      <c r="N4306" t="s">
        <v>120</v>
      </c>
      <c r="O4306" t="s">
        <v>120</v>
      </c>
      <c r="P4306" t="s">
        <v>2181</v>
      </c>
      <c r="Q4306" s="1" t="s">
        <v>2276</v>
      </c>
      <c r="R4306" s="1" t="s">
        <v>669</v>
      </c>
      <c r="S4306" s="1" t="s">
        <v>168</v>
      </c>
      <c r="T4306" t="s">
        <v>396</v>
      </c>
      <c r="U4306" t="s">
        <v>2423</v>
      </c>
      <c r="X4306" t="s">
        <v>161</v>
      </c>
      <c r="Y4306" t="s">
        <v>2272</v>
      </c>
      <c r="Z4306" t="s">
        <v>2272</v>
      </c>
      <c r="AA4306" t="s">
        <v>2272</v>
      </c>
      <c r="AB4306" t="s">
        <v>2272</v>
      </c>
      <c r="AC4306" t="s">
        <v>162</v>
      </c>
      <c r="AD4306" t="s">
        <v>2272</v>
      </c>
      <c r="AF4306" t="s">
        <v>49</v>
      </c>
      <c r="AL4306" t="s">
        <v>49</v>
      </c>
      <c r="AM4306" t="s">
        <v>2188</v>
      </c>
      <c r="AN4306" t="s">
        <v>166</v>
      </c>
      <c r="AQ4306" s="5">
        <v>2</v>
      </c>
    </row>
    <row r="4307" spans="1:43" x14ac:dyDescent="0.2">
      <c r="A4307" t="s">
        <v>2178</v>
      </c>
      <c r="B4307" t="s">
        <v>2179</v>
      </c>
      <c r="C4307">
        <v>2004</v>
      </c>
      <c r="D4307" t="s">
        <v>44</v>
      </c>
      <c r="F4307" t="s">
        <v>628</v>
      </c>
      <c r="G4307" t="s">
        <v>91</v>
      </c>
      <c r="H4307" t="s">
        <v>350</v>
      </c>
      <c r="I4307">
        <v>2001</v>
      </c>
      <c r="J4307">
        <v>0.3</v>
      </c>
      <c r="K4307" t="s">
        <v>101</v>
      </c>
      <c r="M4307">
        <v>0.25</v>
      </c>
      <c r="N4307" t="s">
        <v>120</v>
      </c>
      <c r="O4307" t="s">
        <v>120</v>
      </c>
      <c r="P4307" t="s">
        <v>2182</v>
      </c>
      <c r="Q4307" s="1" t="s">
        <v>2276</v>
      </c>
      <c r="R4307" s="1" t="s">
        <v>669</v>
      </c>
      <c r="S4307" s="1" t="s">
        <v>168</v>
      </c>
      <c r="T4307" t="s">
        <v>396</v>
      </c>
      <c r="U4307" t="s">
        <v>2423</v>
      </c>
      <c r="X4307" t="s">
        <v>161</v>
      </c>
      <c r="Y4307" t="s">
        <v>2272</v>
      </c>
      <c r="Z4307" t="s">
        <v>2272</v>
      </c>
      <c r="AA4307" t="s">
        <v>2272</v>
      </c>
      <c r="AB4307" t="s">
        <v>2272</v>
      </c>
      <c r="AC4307" t="s">
        <v>162</v>
      </c>
      <c r="AD4307" t="s">
        <v>2272</v>
      </c>
      <c r="AF4307" t="s">
        <v>49</v>
      </c>
      <c r="AL4307" t="s">
        <v>49</v>
      </c>
      <c r="AM4307" t="s">
        <v>2188</v>
      </c>
      <c r="AN4307" t="s">
        <v>166</v>
      </c>
      <c r="AQ4307" s="5">
        <v>2</v>
      </c>
    </row>
    <row r="4308" spans="1:43" x14ac:dyDescent="0.2">
      <c r="A4308" t="s">
        <v>2178</v>
      </c>
      <c r="B4308" t="s">
        <v>2179</v>
      </c>
      <c r="C4308">
        <v>2004</v>
      </c>
      <c r="D4308" t="s">
        <v>44</v>
      </c>
      <c r="F4308" t="s">
        <v>628</v>
      </c>
      <c r="G4308" t="s">
        <v>91</v>
      </c>
      <c r="H4308" t="s">
        <v>350</v>
      </c>
      <c r="I4308">
        <v>2001</v>
      </c>
      <c r="J4308">
        <v>0.3</v>
      </c>
      <c r="K4308" t="s">
        <v>101</v>
      </c>
      <c r="M4308">
        <v>0.25</v>
      </c>
      <c r="N4308" t="s">
        <v>120</v>
      </c>
      <c r="O4308" t="s">
        <v>120</v>
      </c>
      <c r="P4308" t="s">
        <v>2183</v>
      </c>
      <c r="Q4308" s="1" t="s">
        <v>2276</v>
      </c>
      <c r="R4308" s="1" t="s">
        <v>751</v>
      </c>
      <c r="S4308" s="1" t="s">
        <v>2346</v>
      </c>
      <c r="T4308" t="s">
        <v>396</v>
      </c>
      <c r="U4308" t="s">
        <v>2366</v>
      </c>
      <c r="X4308" t="s">
        <v>161</v>
      </c>
      <c r="Y4308" t="s">
        <v>2272</v>
      </c>
      <c r="Z4308" t="s">
        <v>2272</v>
      </c>
      <c r="AA4308" t="s">
        <v>2272</v>
      </c>
      <c r="AB4308" t="s">
        <v>2272</v>
      </c>
      <c r="AC4308" t="s">
        <v>162</v>
      </c>
      <c r="AD4308" t="s">
        <v>2272</v>
      </c>
      <c r="AF4308" t="s">
        <v>49</v>
      </c>
      <c r="AL4308" t="s">
        <v>49</v>
      </c>
      <c r="AM4308" t="s">
        <v>2188</v>
      </c>
      <c r="AN4308" t="s">
        <v>166</v>
      </c>
      <c r="AQ4308" s="5">
        <v>1</v>
      </c>
    </row>
    <row r="4309" spans="1:43" x14ac:dyDescent="0.2">
      <c r="A4309" t="s">
        <v>2178</v>
      </c>
      <c r="B4309" t="s">
        <v>2179</v>
      </c>
      <c r="C4309">
        <v>2004</v>
      </c>
      <c r="D4309" t="s">
        <v>44</v>
      </c>
      <c r="F4309" t="s">
        <v>628</v>
      </c>
      <c r="G4309" t="s">
        <v>91</v>
      </c>
      <c r="H4309" t="s">
        <v>350</v>
      </c>
      <c r="I4309">
        <v>2001</v>
      </c>
      <c r="J4309">
        <v>0.3</v>
      </c>
      <c r="K4309" t="s">
        <v>101</v>
      </c>
      <c r="M4309">
        <v>0.25</v>
      </c>
      <c r="N4309" t="s">
        <v>120</v>
      </c>
      <c r="O4309" t="s">
        <v>120</v>
      </c>
      <c r="P4309" t="s">
        <v>2180</v>
      </c>
      <c r="Q4309" s="1" t="s">
        <v>2276</v>
      </c>
      <c r="R4309" s="1" t="s">
        <v>669</v>
      </c>
      <c r="S4309" s="1" t="s">
        <v>168</v>
      </c>
      <c r="T4309" t="s">
        <v>421</v>
      </c>
      <c r="U4309" t="s">
        <v>421</v>
      </c>
      <c r="X4309" t="s">
        <v>161</v>
      </c>
      <c r="Y4309" t="s">
        <v>2272</v>
      </c>
      <c r="Z4309" t="s">
        <v>2272</v>
      </c>
      <c r="AA4309" t="s">
        <v>2272</v>
      </c>
      <c r="AB4309" t="s">
        <v>2272</v>
      </c>
      <c r="AC4309" t="s">
        <v>162</v>
      </c>
      <c r="AD4309" t="s">
        <v>2272</v>
      </c>
      <c r="AF4309" t="s">
        <v>49</v>
      </c>
      <c r="AL4309" t="s">
        <v>49</v>
      </c>
      <c r="AM4309" t="s">
        <v>2188</v>
      </c>
      <c r="AN4309" t="s">
        <v>166</v>
      </c>
      <c r="AQ4309" s="5">
        <v>0</v>
      </c>
    </row>
    <row r="4310" spans="1:43" x14ac:dyDescent="0.2">
      <c r="A4310" t="s">
        <v>2178</v>
      </c>
      <c r="B4310" t="s">
        <v>2179</v>
      </c>
      <c r="C4310">
        <v>2004</v>
      </c>
      <c r="D4310" t="s">
        <v>44</v>
      </c>
      <c r="F4310" t="s">
        <v>628</v>
      </c>
      <c r="G4310" t="s">
        <v>91</v>
      </c>
      <c r="H4310" t="s">
        <v>350</v>
      </c>
      <c r="I4310">
        <v>2001</v>
      </c>
      <c r="J4310">
        <v>0.3</v>
      </c>
      <c r="K4310" t="s">
        <v>101</v>
      </c>
      <c r="M4310">
        <v>0.25</v>
      </c>
      <c r="N4310" t="s">
        <v>120</v>
      </c>
      <c r="O4310" t="s">
        <v>120</v>
      </c>
      <c r="P4310" t="s">
        <v>2181</v>
      </c>
      <c r="Q4310" s="1" t="s">
        <v>2276</v>
      </c>
      <c r="R4310" s="1" t="s">
        <v>669</v>
      </c>
      <c r="S4310" s="1" t="s">
        <v>168</v>
      </c>
      <c r="T4310" t="s">
        <v>421</v>
      </c>
      <c r="U4310" t="s">
        <v>421</v>
      </c>
      <c r="X4310" t="s">
        <v>161</v>
      </c>
      <c r="Y4310" t="s">
        <v>2272</v>
      </c>
      <c r="Z4310" t="s">
        <v>2272</v>
      </c>
      <c r="AA4310" t="s">
        <v>2272</v>
      </c>
      <c r="AB4310" t="s">
        <v>2272</v>
      </c>
      <c r="AC4310" t="s">
        <v>162</v>
      </c>
      <c r="AD4310" t="s">
        <v>2272</v>
      </c>
      <c r="AF4310" t="s">
        <v>49</v>
      </c>
      <c r="AL4310" t="s">
        <v>49</v>
      </c>
      <c r="AM4310" t="s">
        <v>2188</v>
      </c>
      <c r="AN4310" t="s">
        <v>166</v>
      </c>
      <c r="AQ4310" s="5">
        <v>0</v>
      </c>
    </row>
    <row r="4311" spans="1:43" x14ac:dyDescent="0.2">
      <c r="A4311" t="s">
        <v>2178</v>
      </c>
      <c r="B4311" t="s">
        <v>2179</v>
      </c>
      <c r="C4311">
        <v>2004</v>
      </c>
      <c r="D4311" t="s">
        <v>44</v>
      </c>
      <c r="F4311" t="s">
        <v>628</v>
      </c>
      <c r="G4311" t="s">
        <v>91</v>
      </c>
      <c r="H4311" t="s">
        <v>350</v>
      </c>
      <c r="I4311">
        <v>2001</v>
      </c>
      <c r="J4311">
        <v>0.3</v>
      </c>
      <c r="K4311" t="s">
        <v>101</v>
      </c>
      <c r="M4311">
        <v>0.25</v>
      </c>
      <c r="N4311" t="s">
        <v>120</v>
      </c>
      <c r="O4311" t="s">
        <v>120</v>
      </c>
      <c r="P4311" t="s">
        <v>2182</v>
      </c>
      <c r="Q4311" s="1" t="s">
        <v>2276</v>
      </c>
      <c r="R4311" s="1" t="s">
        <v>669</v>
      </c>
      <c r="S4311" s="1" t="s">
        <v>168</v>
      </c>
      <c r="T4311" t="s">
        <v>421</v>
      </c>
      <c r="U4311" t="s">
        <v>421</v>
      </c>
      <c r="X4311" t="s">
        <v>161</v>
      </c>
      <c r="Y4311" t="s">
        <v>2272</v>
      </c>
      <c r="Z4311" t="s">
        <v>2272</v>
      </c>
      <c r="AA4311" t="s">
        <v>2272</v>
      </c>
      <c r="AB4311" t="s">
        <v>2272</v>
      </c>
      <c r="AC4311" t="s">
        <v>162</v>
      </c>
      <c r="AD4311" t="s">
        <v>2272</v>
      </c>
      <c r="AF4311" t="s">
        <v>49</v>
      </c>
      <c r="AL4311" t="s">
        <v>49</v>
      </c>
      <c r="AM4311" t="s">
        <v>2188</v>
      </c>
      <c r="AN4311" t="s">
        <v>166</v>
      </c>
      <c r="AQ4311" s="5">
        <v>0</v>
      </c>
    </row>
    <row r="4312" spans="1:43" x14ac:dyDescent="0.2">
      <c r="A4312" t="s">
        <v>2178</v>
      </c>
      <c r="B4312" t="s">
        <v>2179</v>
      </c>
      <c r="C4312">
        <v>2004</v>
      </c>
      <c r="D4312" t="s">
        <v>44</v>
      </c>
      <c r="F4312" t="s">
        <v>628</v>
      </c>
      <c r="G4312" t="s">
        <v>91</v>
      </c>
      <c r="H4312" t="s">
        <v>350</v>
      </c>
      <c r="I4312">
        <v>2001</v>
      </c>
      <c r="J4312">
        <v>0.3</v>
      </c>
      <c r="K4312" t="s">
        <v>101</v>
      </c>
      <c r="M4312">
        <v>0.25</v>
      </c>
      <c r="N4312" t="s">
        <v>120</v>
      </c>
      <c r="O4312" t="s">
        <v>120</v>
      </c>
      <c r="P4312" t="s">
        <v>2183</v>
      </c>
      <c r="Q4312" s="1" t="s">
        <v>2276</v>
      </c>
      <c r="R4312" s="1" t="s">
        <v>751</v>
      </c>
      <c r="S4312" s="1" t="s">
        <v>2346</v>
      </c>
      <c r="T4312" t="s">
        <v>421</v>
      </c>
      <c r="U4312" t="s">
        <v>421</v>
      </c>
      <c r="X4312" t="s">
        <v>161</v>
      </c>
      <c r="Y4312" t="s">
        <v>2272</v>
      </c>
      <c r="Z4312" t="s">
        <v>2272</v>
      </c>
      <c r="AA4312" t="s">
        <v>2272</v>
      </c>
      <c r="AB4312" t="s">
        <v>2272</v>
      </c>
      <c r="AC4312" t="s">
        <v>162</v>
      </c>
      <c r="AD4312" t="s">
        <v>2272</v>
      </c>
      <c r="AF4312" t="s">
        <v>49</v>
      </c>
      <c r="AL4312" t="s">
        <v>49</v>
      </c>
      <c r="AM4312" t="s">
        <v>2188</v>
      </c>
      <c r="AN4312" t="s">
        <v>166</v>
      </c>
      <c r="AQ4312" s="5">
        <v>0</v>
      </c>
    </row>
    <row r="4313" spans="1:43" x14ac:dyDescent="0.2">
      <c r="A4313" t="s">
        <v>2178</v>
      </c>
      <c r="B4313" t="s">
        <v>2179</v>
      </c>
      <c r="C4313">
        <v>2004</v>
      </c>
      <c r="D4313" t="s">
        <v>44</v>
      </c>
      <c r="F4313" t="s">
        <v>628</v>
      </c>
      <c r="G4313" t="s">
        <v>91</v>
      </c>
      <c r="H4313" t="s">
        <v>350</v>
      </c>
      <c r="I4313">
        <v>2001</v>
      </c>
      <c r="J4313">
        <v>0.3</v>
      </c>
      <c r="K4313" t="s">
        <v>101</v>
      </c>
      <c r="M4313">
        <v>0.25</v>
      </c>
      <c r="N4313" t="s">
        <v>120</v>
      </c>
      <c r="O4313" t="s">
        <v>120</v>
      </c>
      <c r="P4313" t="s">
        <v>2180</v>
      </c>
      <c r="Q4313" s="1" t="s">
        <v>2276</v>
      </c>
      <c r="R4313" s="1" t="s">
        <v>669</v>
      </c>
      <c r="S4313" s="1" t="s">
        <v>168</v>
      </c>
      <c r="T4313" t="s">
        <v>396</v>
      </c>
      <c r="U4313" t="s">
        <v>2423</v>
      </c>
      <c r="X4313" t="s">
        <v>161</v>
      </c>
      <c r="Y4313" t="s">
        <v>2272</v>
      </c>
      <c r="Z4313" t="s">
        <v>2272</v>
      </c>
      <c r="AA4313" t="s">
        <v>2272</v>
      </c>
      <c r="AB4313" t="s">
        <v>2272</v>
      </c>
      <c r="AC4313" t="s">
        <v>162</v>
      </c>
      <c r="AD4313" t="s">
        <v>2272</v>
      </c>
      <c r="AF4313" t="s">
        <v>49</v>
      </c>
      <c r="AL4313" t="s">
        <v>49</v>
      </c>
      <c r="AM4313" t="s">
        <v>2189</v>
      </c>
      <c r="AN4313" t="s">
        <v>166</v>
      </c>
      <c r="AQ4313" s="5">
        <v>2</v>
      </c>
    </row>
    <row r="4314" spans="1:43" x14ac:dyDescent="0.2">
      <c r="A4314" t="s">
        <v>2178</v>
      </c>
      <c r="B4314" t="s">
        <v>2179</v>
      </c>
      <c r="C4314">
        <v>2004</v>
      </c>
      <c r="D4314" t="s">
        <v>44</v>
      </c>
      <c r="F4314" t="s">
        <v>628</v>
      </c>
      <c r="G4314" t="s">
        <v>91</v>
      </c>
      <c r="H4314" t="s">
        <v>350</v>
      </c>
      <c r="I4314">
        <v>2001</v>
      </c>
      <c r="J4314">
        <v>0.3</v>
      </c>
      <c r="K4314" t="s">
        <v>101</v>
      </c>
      <c r="M4314">
        <v>0.25</v>
      </c>
      <c r="N4314" t="s">
        <v>120</v>
      </c>
      <c r="O4314" t="s">
        <v>120</v>
      </c>
      <c r="P4314" t="s">
        <v>2181</v>
      </c>
      <c r="Q4314" s="1" t="s">
        <v>2276</v>
      </c>
      <c r="R4314" s="1" t="s">
        <v>669</v>
      </c>
      <c r="S4314" s="1" t="s">
        <v>168</v>
      </c>
      <c r="T4314" t="s">
        <v>396</v>
      </c>
      <c r="U4314" t="s">
        <v>2423</v>
      </c>
      <c r="X4314" t="s">
        <v>161</v>
      </c>
      <c r="Y4314" t="s">
        <v>2272</v>
      </c>
      <c r="Z4314" t="s">
        <v>2272</v>
      </c>
      <c r="AA4314" t="s">
        <v>2272</v>
      </c>
      <c r="AB4314" t="s">
        <v>2272</v>
      </c>
      <c r="AC4314" t="s">
        <v>162</v>
      </c>
      <c r="AD4314" t="s">
        <v>2272</v>
      </c>
      <c r="AF4314" t="s">
        <v>49</v>
      </c>
      <c r="AL4314" t="s">
        <v>49</v>
      </c>
      <c r="AM4314" t="s">
        <v>2189</v>
      </c>
      <c r="AN4314" t="s">
        <v>166</v>
      </c>
      <c r="AQ4314" s="5">
        <v>2</v>
      </c>
    </row>
    <row r="4315" spans="1:43" x14ac:dyDescent="0.2">
      <c r="A4315" t="s">
        <v>2178</v>
      </c>
      <c r="B4315" t="s">
        <v>2179</v>
      </c>
      <c r="C4315">
        <v>2004</v>
      </c>
      <c r="D4315" t="s">
        <v>44</v>
      </c>
      <c r="F4315" t="s">
        <v>628</v>
      </c>
      <c r="G4315" t="s">
        <v>91</v>
      </c>
      <c r="H4315" t="s">
        <v>350</v>
      </c>
      <c r="I4315">
        <v>2001</v>
      </c>
      <c r="J4315">
        <v>0.3</v>
      </c>
      <c r="K4315" t="s">
        <v>101</v>
      </c>
      <c r="M4315">
        <v>0.25</v>
      </c>
      <c r="N4315" t="s">
        <v>120</v>
      </c>
      <c r="O4315" t="s">
        <v>120</v>
      </c>
      <c r="P4315" t="s">
        <v>2182</v>
      </c>
      <c r="Q4315" s="1" t="s">
        <v>2276</v>
      </c>
      <c r="R4315" s="1" t="s">
        <v>669</v>
      </c>
      <c r="S4315" s="1" t="s">
        <v>168</v>
      </c>
      <c r="T4315" t="s">
        <v>396</v>
      </c>
      <c r="U4315" t="s">
        <v>2423</v>
      </c>
      <c r="X4315" t="s">
        <v>161</v>
      </c>
      <c r="Y4315" t="s">
        <v>2272</v>
      </c>
      <c r="Z4315" t="s">
        <v>2272</v>
      </c>
      <c r="AA4315" t="s">
        <v>2272</v>
      </c>
      <c r="AB4315" t="s">
        <v>2272</v>
      </c>
      <c r="AC4315" t="s">
        <v>162</v>
      </c>
      <c r="AD4315" t="s">
        <v>2272</v>
      </c>
      <c r="AF4315" t="s">
        <v>49</v>
      </c>
      <c r="AL4315" t="s">
        <v>49</v>
      </c>
      <c r="AM4315" t="s">
        <v>2189</v>
      </c>
      <c r="AN4315" t="s">
        <v>166</v>
      </c>
      <c r="AQ4315" s="5">
        <v>1</v>
      </c>
    </row>
    <row r="4316" spans="1:43" x14ac:dyDescent="0.2">
      <c r="A4316" t="s">
        <v>2178</v>
      </c>
      <c r="B4316" t="s">
        <v>2179</v>
      </c>
      <c r="C4316">
        <v>2004</v>
      </c>
      <c r="D4316" t="s">
        <v>44</v>
      </c>
      <c r="F4316" t="s">
        <v>628</v>
      </c>
      <c r="G4316" t="s">
        <v>91</v>
      </c>
      <c r="H4316" t="s">
        <v>350</v>
      </c>
      <c r="I4316">
        <v>2001</v>
      </c>
      <c r="J4316">
        <v>0.3</v>
      </c>
      <c r="K4316" t="s">
        <v>101</v>
      </c>
      <c r="M4316">
        <v>0.25</v>
      </c>
      <c r="N4316" t="s">
        <v>120</v>
      </c>
      <c r="O4316" t="s">
        <v>120</v>
      </c>
      <c r="P4316" t="s">
        <v>2183</v>
      </c>
      <c r="Q4316" s="1" t="s">
        <v>2276</v>
      </c>
      <c r="R4316" s="1" t="s">
        <v>751</v>
      </c>
      <c r="S4316" s="1" t="s">
        <v>2346</v>
      </c>
      <c r="T4316" t="s">
        <v>396</v>
      </c>
      <c r="U4316" t="s">
        <v>2366</v>
      </c>
      <c r="X4316" t="s">
        <v>161</v>
      </c>
      <c r="Y4316" t="s">
        <v>2272</v>
      </c>
      <c r="Z4316" t="s">
        <v>2272</v>
      </c>
      <c r="AA4316" t="s">
        <v>2272</v>
      </c>
      <c r="AB4316" t="s">
        <v>2272</v>
      </c>
      <c r="AC4316" t="s">
        <v>162</v>
      </c>
      <c r="AD4316" t="s">
        <v>2272</v>
      </c>
      <c r="AF4316" t="s">
        <v>49</v>
      </c>
      <c r="AL4316" t="s">
        <v>49</v>
      </c>
      <c r="AM4316" t="s">
        <v>2189</v>
      </c>
      <c r="AN4316" t="s">
        <v>166</v>
      </c>
      <c r="AQ4316" s="5">
        <v>2</v>
      </c>
    </row>
    <row r="4317" spans="1:43" x14ac:dyDescent="0.2">
      <c r="A4317" t="s">
        <v>2178</v>
      </c>
      <c r="B4317" t="s">
        <v>2179</v>
      </c>
      <c r="C4317">
        <v>2004</v>
      </c>
      <c r="D4317" t="s">
        <v>44</v>
      </c>
      <c r="F4317" t="s">
        <v>628</v>
      </c>
      <c r="G4317" t="s">
        <v>91</v>
      </c>
      <c r="H4317" t="s">
        <v>350</v>
      </c>
      <c r="I4317">
        <v>2001</v>
      </c>
      <c r="J4317">
        <v>0.3</v>
      </c>
      <c r="K4317" t="s">
        <v>101</v>
      </c>
      <c r="M4317">
        <v>0.25</v>
      </c>
      <c r="N4317" t="s">
        <v>120</v>
      </c>
      <c r="O4317" t="s">
        <v>120</v>
      </c>
      <c r="P4317" t="s">
        <v>2180</v>
      </c>
      <c r="Q4317" s="1" t="s">
        <v>2276</v>
      </c>
      <c r="R4317" s="1" t="s">
        <v>669</v>
      </c>
      <c r="S4317" s="1" t="s">
        <v>168</v>
      </c>
      <c r="T4317" t="s">
        <v>421</v>
      </c>
      <c r="U4317" t="s">
        <v>421</v>
      </c>
      <c r="X4317" t="s">
        <v>161</v>
      </c>
      <c r="Y4317" t="s">
        <v>2272</v>
      </c>
      <c r="Z4317" t="s">
        <v>2272</v>
      </c>
      <c r="AA4317" t="s">
        <v>2272</v>
      </c>
      <c r="AB4317" t="s">
        <v>2272</v>
      </c>
      <c r="AC4317" t="s">
        <v>162</v>
      </c>
      <c r="AD4317" t="s">
        <v>2272</v>
      </c>
      <c r="AF4317" t="s">
        <v>49</v>
      </c>
      <c r="AL4317" t="s">
        <v>49</v>
      </c>
      <c r="AM4317" t="s">
        <v>2189</v>
      </c>
      <c r="AN4317" t="s">
        <v>166</v>
      </c>
      <c r="AQ4317" s="5">
        <v>2</v>
      </c>
    </row>
    <row r="4318" spans="1:43" x14ac:dyDescent="0.2">
      <c r="A4318" t="s">
        <v>2178</v>
      </c>
      <c r="B4318" t="s">
        <v>2179</v>
      </c>
      <c r="C4318">
        <v>2004</v>
      </c>
      <c r="D4318" t="s">
        <v>44</v>
      </c>
      <c r="F4318" t="s">
        <v>628</v>
      </c>
      <c r="G4318" t="s">
        <v>91</v>
      </c>
      <c r="H4318" t="s">
        <v>350</v>
      </c>
      <c r="I4318">
        <v>2001</v>
      </c>
      <c r="J4318">
        <v>0.3</v>
      </c>
      <c r="K4318" t="s">
        <v>101</v>
      </c>
      <c r="M4318">
        <v>0.25</v>
      </c>
      <c r="N4318" t="s">
        <v>120</v>
      </c>
      <c r="O4318" t="s">
        <v>120</v>
      </c>
      <c r="P4318" t="s">
        <v>2181</v>
      </c>
      <c r="Q4318" s="1" t="s">
        <v>2276</v>
      </c>
      <c r="R4318" s="1" t="s">
        <v>669</v>
      </c>
      <c r="S4318" s="1" t="s">
        <v>168</v>
      </c>
      <c r="T4318" t="s">
        <v>421</v>
      </c>
      <c r="U4318" t="s">
        <v>421</v>
      </c>
      <c r="X4318" t="s">
        <v>161</v>
      </c>
      <c r="Y4318" t="s">
        <v>2272</v>
      </c>
      <c r="Z4318" t="s">
        <v>2272</v>
      </c>
      <c r="AA4318" t="s">
        <v>2272</v>
      </c>
      <c r="AB4318" t="s">
        <v>2272</v>
      </c>
      <c r="AC4318" t="s">
        <v>162</v>
      </c>
      <c r="AD4318" t="s">
        <v>2272</v>
      </c>
      <c r="AF4318" t="s">
        <v>49</v>
      </c>
      <c r="AL4318" t="s">
        <v>49</v>
      </c>
      <c r="AM4318" t="s">
        <v>2189</v>
      </c>
      <c r="AN4318" t="s">
        <v>166</v>
      </c>
      <c r="AQ4318" s="5">
        <v>2</v>
      </c>
    </row>
    <row r="4319" spans="1:43" x14ac:dyDescent="0.2">
      <c r="A4319" t="s">
        <v>2178</v>
      </c>
      <c r="B4319" t="s">
        <v>2179</v>
      </c>
      <c r="C4319">
        <v>2004</v>
      </c>
      <c r="D4319" t="s">
        <v>44</v>
      </c>
      <c r="F4319" t="s">
        <v>628</v>
      </c>
      <c r="G4319" t="s">
        <v>91</v>
      </c>
      <c r="H4319" t="s">
        <v>350</v>
      </c>
      <c r="I4319">
        <v>2001</v>
      </c>
      <c r="J4319">
        <v>0.3</v>
      </c>
      <c r="K4319" t="s">
        <v>101</v>
      </c>
      <c r="M4319">
        <v>0.25</v>
      </c>
      <c r="N4319" t="s">
        <v>120</v>
      </c>
      <c r="O4319" t="s">
        <v>120</v>
      </c>
      <c r="P4319" t="s">
        <v>2182</v>
      </c>
      <c r="Q4319" s="1" t="s">
        <v>2276</v>
      </c>
      <c r="R4319" s="1" t="s">
        <v>669</v>
      </c>
      <c r="S4319" s="1" t="s">
        <v>168</v>
      </c>
      <c r="T4319" t="s">
        <v>421</v>
      </c>
      <c r="U4319" t="s">
        <v>421</v>
      </c>
      <c r="X4319" t="s">
        <v>161</v>
      </c>
      <c r="Y4319" t="s">
        <v>2272</v>
      </c>
      <c r="Z4319" t="s">
        <v>2272</v>
      </c>
      <c r="AA4319" t="s">
        <v>2272</v>
      </c>
      <c r="AB4319" t="s">
        <v>2272</v>
      </c>
      <c r="AC4319" t="s">
        <v>162</v>
      </c>
      <c r="AD4319" t="s">
        <v>2272</v>
      </c>
      <c r="AF4319" t="s">
        <v>49</v>
      </c>
      <c r="AL4319" t="s">
        <v>49</v>
      </c>
      <c r="AM4319" t="s">
        <v>2189</v>
      </c>
      <c r="AN4319" t="s">
        <v>166</v>
      </c>
      <c r="AQ4319" s="5">
        <v>1</v>
      </c>
    </row>
    <row r="4320" spans="1:43" x14ac:dyDescent="0.2">
      <c r="A4320" t="s">
        <v>2178</v>
      </c>
      <c r="B4320" t="s">
        <v>2179</v>
      </c>
      <c r="C4320">
        <v>2004</v>
      </c>
      <c r="D4320" t="s">
        <v>44</v>
      </c>
      <c r="F4320" t="s">
        <v>628</v>
      </c>
      <c r="G4320" t="s">
        <v>91</v>
      </c>
      <c r="H4320" t="s">
        <v>350</v>
      </c>
      <c r="I4320">
        <v>2001</v>
      </c>
      <c r="J4320">
        <v>0.3</v>
      </c>
      <c r="K4320" t="s">
        <v>101</v>
      </c>
      <c r="M4320">
        <v>0.25</v>
      </c>
      <c r="N4320" t="s">
        <v>120</v>
      </c>
      <c r="O4320" t="s">
        <v>120</v>
      </c>
      <c r="P4320" t="s">
        <v>2183</v>
      </c>
      <c r="Q4320" s="1" t="s">
        <v>2276</v>
      </c>
      <c r="R4320" s="1" t="s">
        <v>751</v>
      </c>
      <c r="S4320" s="1" t="s">
        <v>2346</v>
      </c>
      <c r="T4320" t="s">
        <v>421</v>
      </c>
      <c r="U4320" t="s">
        <v>421</v>
      </c>
      <c r="X4320" t="s">
        <v>161</v>
      </c>
      <c r="Y4320" t="s">
        <v>2272</v>
      </c>
      <c r="Z4320" t="s">
        <v>2272</v>
      </c>
      <c r="AA4320" t="s">
        <v>2272</v>
      </c>
      <c r="AB4320" t="s">
        <v>2272</v>
      </c>
      <c r="AC4320" t="s">
        <v>162</v>
      </c>
      <c r="AD4320" t="s">
        <v>2272</v>
      </c>
      <c r="AF4320" t="s">
        <v>49</v>
      </c>
      <c r="AL4320" t="s">
        <v>49</v>
      </c>
      <c r="AM4320" t="s">
        <v>2189</v>
      </c>
      <c r="AN4320" t="s">
        <v>166</v>
      </c>
      <c r="AQ4320" s="5">
        <v>2</v>
      </c>
    </row>
    <row r="4321" spans="1:43" x14ac:dyDescent="0.2">
      <c r="A4321" t="s">
        <v>2178</v>
      </c>
      <c r="B4321" t="s">
        <v>2179</v>
      </c>
      <c r="C4321">
        <v>2004</v>
      </c>
      <c r="D4321" t="s">
        <v>44</v>
      </c>
      <c r="F4321" t="s">
        <v>628</v>
      </c>
      <c r="G4321" t="s">
        <v>91</v>
      </c>
      <c r="H4321" t="s">
        <v>350</v>
      </c>
      <c r="I4321">
        <v>2001</v>
      </c>
      <c r="J4321">
        <v>0.3</v>
      </c>
      <c r="K4321" t="s">
        <v>101</v>
      </c>
      <c r="M4321">
        <v>0.25</v>
      </c>
      <c r="N4321" t="s">
        <v>120</v>
      </c>
      <c r="O4321" t="s">
        <v>120</v>
      </c>
      <c r="P4321" t="s">
        <v>2180</v>
      </c>
      <c r="Q4321" s="1" t="s">
        <v>2276</v>
      </c>
      <c r="R4321" s="1" t="s">
        <v>669</v>
      </c>
      <c r="S4321" s="1" t="s">
        <v>168</v>
      </c>
      <c r="T4321" t="s">
        <v>396</v>
      </c>
      <c r="U4321" t="s">
        <v>2423</v>
      </c>
      <c r="X4321" t="s">
        <v>161</v>
      </c>
      <c r="Y4321" t="s">
        <v>2272</v>
      </c>
      <c r="Z4321" t="s">
        <v>2272</v>
      </c>
      <c r="AA4321" t="s">
        <v>2272</v>
      </c>
      <c r="AB4321" t="s">
        <v>2272</v>
      </c>
      <c r="AC4321" t="s">
        <v>162</v>
      </c>
      <c r="AD4321" t="s">
        <v>2272</v>
      </c>
      <c r="AF4321" t="s">
        <v>49</v>
      </c>
      <c r="AL4321" t="s">
        <v>49</v>
      </c>
      <c r="AM4321" t="s">
        <v>2190</v>
      </c>
      <c r="AN4321" t="s">
        <v>166</v>
      </c>
      <c r="AQ4321" s="5">
        <v>1</v>
      </c>
    </row>
    <row r="4322" spans="1:43" x14ac:dyDescent="0.2">
      <c r="A4322" t="s">
        <v>2178</v>
      </c>
      <c r="B4322" t="s">
        <v>2179</v>
      </c>
      <c r="C4322">
        <v>2004</v>
      </c>
      <c r="D4322" t="s">
        <v>44</v>
      </c>
      <c r="F4322" t="s">
        <v>628</v>
      </c>
      <c r="G4322" t="s">
        <v>91</v>
      </c>
      <c r="H4322" t="s">
        <v>350</v>
      </c>
      <c r="I4322">
        <v>2001</v>
      </c>
      <c r="J4322">
        <v>0.3</v>
      </c>
      <c r="K4322" t="s">
        <v>101</v>
      </c>
      <c r="M4322">
        <v>0.25</v>
      </c>
      <c r="N4322" t="s">
        <v>120</v>
      </c>
      <c r="O4322" t="s">
        <v>120</v>
      </c>
      <c r="P4322" t="s">
        <v>2181</v>
      </c>
      <c r="Q4322" s="1" t="s">
        <v>2276</v>
      </c>
      <c r="R4322" s="1" t="s">
        <v>669</v>
      </c>
      <c r="S4322" s="1" t="s">
        <v>168</v>
      </c>
      <c r="T4322" t="s">
        <v>396</v>
      </c>
      <c r="U4322" t="s">
        <v>2423</v>
      </c>
      <c r="X4322" t="s">
        <v>161</v>
      </c>
      <c r="Y4322" t="s">
        <v>2272</v>
      </c>
      <c r="Z4322" t="s">
        <v>2272</v>
      </c>
      <c r="AA4322" t="s">
        <v>2272</v>
      </c>
      <c r="AB4322" t="s">
        <v>2272</v>
      </c>
      <c r="AC4322" t="s">
        <v>162</v>
      </c>
      <c r="AD4322" t="s">
        <v>2272</v>
      </c>
      <c r="AF4322" t="s">
        <v>49</v>
      </c>
      <c r="AL4322" t="s">
        <v>49</v>
      </c>
      <c r="AM4322" t="s">
        <v>2190</v>
      </c>
      <c r="AN4322" t="s">
        <v>166</v>
      </c>
      <c r="AQ4322" s="5">
        <v>2</v>
      </c>
    </row>
    <row r="4323" spans="1:43" x14ac:dyDescent="0.2">
      <c r="A4323" t="s">
        <v>2178</v>
      </c>
      <c r="B4323" t="s">
        <v>2179</v>
      </c>
      <c r="C4323">
        <v>2004</v>
      </c>
      <c r="D4323" t="s">
        <v>44</v>
      </c>
      <c r="F4323" t="s">
        <v>628</v>
      </c>
      <c r="G4323" t="s">
        <v>91</v>
      </c>
      <c r="H4323" t="s">
        <v>350</v>
      </c>
      <c r="I4323">
        <v>2001</v>
      </c>
      <c r="J4323">
        <v>0.3</v>
      </c>
      <c r="K4323" t="s">
        <v>101</v>
      </c>
      <c r="M4323">
        <v>0.25</v>
      </c>
      <c r="N4323" t="s">
        <v>120</v>
      </c>
      <c r="O4323" t="s">
        <v>120</v>
      </c>
      <c r="P4323" t="s">
        <v>2182</v>
      </c>
      <c r="Q4323" s="1" t="s">
        <v>2276</v>
      </c>
      <c r="R4323" s="1" t="s">
        <v>669</v>
      </c>
      <c r="S4323" s="1" t="s">
        <v>168</v>
      </c>
      <c r="T4323" t="s">
        <v>396</v>
      </c>
      <c r="U4323" t="s">
        <v>2423</v>
      </c>
      <c r="X4323" t="s">
        <v>161</v>
      </c>
      <c r="Y4323" t="s">
        <v>2272</v>
      </c>
      <c r="Z4323" t="s">
        <v>2272</v>
      </c>
      <c r="AA4323" t="s">
        <v>2272</v>
      </c>
      <c r="AB4323" t="s">
        <v>2272</v>
      </c>
      <c r="AC4323" t="s">
        <v>162</v>
      </c>
      <c r="AD4323" t="s">
        <v>2272</v>
      </c>
      <c r="AF4323" t="s">
        <v>49</v>
      </c>
      <c r="AL4323" t="s">
        <v>49</v>
      </c>
      <c r="AM4323" t="s">
        <v>2190</v>
      </c>
      <c r="AN4323" t="s">
        <v>166</v>
      </c>
      <c r="AQ4323" s="5">
        <v>3</v>
      </c>
    </row>
    <row r="4324" spans="1:43" x14ac:dyDescent="0.2">
      <c r="A4324" t="s">
        <v>2178</v>
      </c>
      <c r="B4324" t="s">
        <v>2179</v>
      </c>
      <c r="C4324">
        <v>2004</v>
      </c>
      <c r="D4324" t="s">
        <v>44</v>
      </c>
      <c r="F4324" t="s">
        <v>628</v>
      </c>
      <c r="G4324" t="s">
        <v>91</v>
      </c>
      <c r="H4324" t="s">
        <v>350</v>
      </c>
      <c r="I4324">
        <v>2001</v>
      </c>
      <c r="J4324">
        <v>0.3</v>
      </c>
      <c r="K4324" t="s">
        <v>101</v>
      </c>
      <c r="M4324">
        <v>0.25</v>
      </c>
      <c r="N4324" t="s">
        <v>120</v>
      </c>
      <c r="O4324" t="s">
        <v>120</v>
      </c>
      <c r="P4324" t="s">
        <v>2183</v>
      </c>
      <c r="Q4324" s="1" t="s">
        <v>2276</v>
      </c>
      <c r="R4324" s="1" t="s">
        <v>751</v>
      </c>
      <c r="S4324" s="1" t="s">
        <v>2346</v>
      </c>
      <c r="T4324" t="s">
        <v>396</v>
      </c>
      <c r="U4324" t="s">
        <v>2366</v>
      </c>
      <c r="X4324" t="s">
        <v>161</v>
      </c>
      <c r="Y4324" t="s">
        <v>2272</v>
      </c>
      <c r="Z4324" t="s">
        <v>2272</v>
      </c>
      <c r="AA4324" t="s">
        <v>2272</v>
      </c>
      <c r="AB4324" t="s">
        <v>2272</v>
      </c>
      <c r="AC4324" t="s">
        <v>162</v>
      </c>
      <c r="AD4324" t="s">
        <v>2272</v>
      </c>
      <c r="AF4324" t="s">
        <v>49</v>
      </c>
      <c r="AL4324" t="s">
        <v>49</v>
      </c>
      <c r="AM4324" t="s">
        <v>2190</v>
      </c>
      <c r="AN4324" t="s">
        <v>166</v>
      </c>
      <c r="AQ4324" s="5">
        <v>2</v>
      </c>
    </row>
    <row r="4325" spans="1:43" x14ac:dyDescent="0.2">
      <c r="A4325" t="s">
        <v>2178</v>
      </c>
      <c r="B4325" t="s">
        <v>2179</v>
      </c>
      <c r="C4325">
        <v>2004</v>
      </c>
      <c r="D4325" t="s">
        <v>44</v>
      </c>
      <c r="F4325" t="s">
        <v>628</v>
      </c>
      <c r="G4325" t="s">
        <v>91</v>
      </c>
      <c r="H4325" t="s">
        <v>350</v>
      </c>
      <c r="I4325">
        <v>2001</v>
      </c>
      <c r="J4325">
        <v>0.3</v>
      </c>
      <c r="K4325" t="s">
        <v>101</v>
      </c>
      <c r="M4325">
        <v>0.25</v>
      </c>
      <c r="N4325" t="s">
        <v>120</v>
      </c>
      <c r="O4325" t="s">
        <v>120</v>
      </c>
      <c r="P4325" t="s">
        <v>2180</v>
      </c>
      <c r="Q4325" s="1" t="s">
        <v>2276</v>
      </c>
      <c r="R4325" s="1" t="s">
        <v>669</v>
      </c>
      <c r="S4325" s="1" t="s">
        <v>168</v>
      </c>
      <c r="T4325" t="s">
        <v>421</v>
      </c>
      <c r="U4325" t="s">
        <v>421</v>
      </c>
      <c r="X4325" t="s">
        <v>161</v>
      </c>
      <c r="Y4325" t="s">
        <v>2272</v>
      </c>
      <c r="Z4325" t="s">
        <v>2272</v>
      </c>
      <c r="AA4325" t="s">
        <v>2272</v>
      </c>
      <c r="AB4325" t="s">
        <v>2272</v>
      </c>
      <c r="AC4325" t="s">
        <v>162</v>
      </c>
      <c r="AD4325" t="s">
        <v>2272</v>
      </c>
      <c r="AF4325" t="s">
        <v>49</v>
      </c>
      <c r="AL4325" t="s">
        <v>49</v>
      </c>
      <c r="AM4325" t="s">
        <v>2190</v>
      </c>
      <c r="AN4325" t="s">
        <v>166</v>
      </c>
      <c r="AQ4325" s="5">
        <v>0</v>
      </c>
    </row>
    <row r="4326" spans="1:43" x14ac:dyDescent="0.2">
      <c r="A4326" t="s">
        <v>2178</v>
      </c>
      <c r="B4326" t="s">
        <v>2179</v>
      </c>
      <c r="C4326">
        <v>2004</v>
      </c>
      <c r="D4326" t="s">
        <v>44</v>
      </c>
      <c r="F4326" t="s">
        <v>628</v>
      </c>
      <c r="G4326" t="s">
        <v>91</v>
      </c>
      <c r="H4326" t="s">
        <v>350</v>
      </c>
      <c r="I4326">
        <v>2001</v>
      </c>
      <c r="J4326">
        <v>0.3</v>
      </c>
      <c r="K4326" t="s">
        <v>101</v>
      </c>
      <c r="M4326">
        <v>0.25</v>
      </c>
      <c r="N4326" t="s">
        <v>120</v>
      </c>
      <c r="O4326" t="s">
        <v>120</v>
      </c>
      <c r="P4326" t="s">
        <v>2181</v>
      </c>
      <c r="Q4326" s="1" t="s">
        <v>2276</v>
      </c>
      <c r="R4326" s="1" t="s">
        <v>669</v>
      </c>
      <c r="S4326" s="1" t="s">
        <v>168</v>
      </c>
      <c r="T4326" t="s">
        <v>421</v>
      </c>
      <c r="U4326" t="s">
        <v>421</v>
      </c>
      <c r="X4326" t="s">
        <v>161</v>
      </c>
      <c r="Y4326" t="s">
        <v>2272</v>
      </c>
      <c r="Z4326" t="s">
        <v>2272</v>
      </c>
      <c r="AA4326" t="s">
        <v>2272</v>
      </c>
      <c r="AB4326" t="s">
        <v>2272</v>
      </c>
      <c r="AC4326" t="s">
        <v>162</v>
      </c>
      <c r="AD4326" t="s">
        <v>2272</v>
      </c>
      <c r="AF4326" t="s">
        <v>49</v>
      </c>
      <c r="AL4326" t="s">
        <v>49</v>
      </c>
      <c r="AM4326" t="s">
        <v>2190</v>
      </c>
      <c r="AN4326" t="s">
        <v>166</v>
      </c>
      <c r="AQ4326" s="5">
        <v>0</v>
      </c>
    </row>
    <row r="4327" spans="1:43" x14ac:dyDescent="0.2">
      <c r="A4327" t="s">
        <v>2178</v>
      </c>
      <c r="B4327" t="s">
        <v>2179</v>
      </c>
      <c r="C4327">
        <v>2004</v>
      </c>
      <c r="D4327" t="s">
        <v>44</v>
      </c>
      <c r="F4327" t="s">
        <v>628</v>
      </c>
      <c r="G4327" t="s">
        <v>91</v>
      </c>
      <c r="H4327" t="s">
        <v>350</v>
      </c>
      <c r="I4327">
        <v>2001</v>
      </c>
      <c r="J4327">
        <v>0.3</v>
      </c>
      <c r="K4327" t="s">
        <v>101</v>
      </c>
      <c r="M4327">
        <v>0.25</v>
      </c>
      <c r="N4327" t="s">
        <v>120</v>
      </c>
      <c r="O4327" t="s">
        <v>120</v>
      </c>
      <c r="P4327" t="s">
        <v>2182</v>
      </c>
      <c r="Q4327" s="1" t="s">
        <v>2276</v>
      </c>
      <c r="R4327" s="1" t="s">
        <v>669</v>
      </c>
      <c r="S4327" s="1" t="s">
        <v>168</v>
      </c>
      <c r="T4327" t="s">
        <v>421</v>
      </c>
      <c r="U4327" t="s">
        <v>421</v>
      </c>
      <c r="X4327" t="s">
        <v>161</v>
      </c>
      <c r="Y4327" t="s">
        <v>2272</v>
      </c>
      <c r="Z4327" t="s">
        <v>2272</v>
      </c>
      <c r="AA4327" t="s">
        <v>2272</v>
      </c>
      <c r="AB4327" t="s">
        <v>2272</v>
      </c>
      <c r="AC4327" t="s">
        <v>162</v>
      </c>
      <c r="AD4327" t="s">
        <v>2272</v>
      </c>
      <c r="AF4327" t="s">
        <v>49</v>
      </c>
      <c r="AL4327" t="s">
        <v>49</v>
      </c>
      <c r="AM4327" t="s">
        <v>2190</v>
      </c>
      <c r="AN4327" t="s">
        <v>166</v>
      </c>
      <c r="AQ4327" s="5">
        <v>0</v>
      </c>
    </row>
    <row r="4328" spans="1:43" x14ac:dyDescent="0.2">
      <c r="A4328" t="s">
        <v>2178</v>
      </c>
      <c r="B4328" t="s">
        <v>2179</v>
      </c>
      <c r="C4328">
        <v>2004</v>
      </c>
      <c r="D4328" t="s">
        <v>44</v>
      </c>
      <c r="F4328" t="s">
        <v>628</v>
      </c>
      <c r="G4328" t="s">
        <v>91</v>
      </c>
      <c r="H4328" t="s">
        <v>350</v>
      </c>
      <c r="I4328">
        <v>2001</v>
      </c>
      <c r="J4328">
        <v>0.3</v>
      </c>
      <c r="K4328" t="s">
        <v>101</v>
      </c>
      <c r="M4328">
        <v>0.25</v>
      </c>
      <c r="N4328" t="s">
        <v>120</v>
      </c>
      <c r="O4328" t="s">
        <v>120</v>
      </c>
      <c r="P4328" t="s">
        <v>2183</v>
      </c>
      <c r="Q4328" s="1" t="s">
        <v>2276</v>
      </c>
      <c r="R4328" s="1" t="s">
        <v>751</v>
      </c>
      <c r="S4328" s="1" t="s">
        <v>2346</v>
      </c>
      <c r="T4328" t="s">
        <v>421</v>
      </c>
      <c r="U4328" t="s">
        <v>421</v>
      </c>
      <c r="X4328" t="s">
        <v>161</v>
      </c>
      <c r="Y4328" t="s">
        <v>2272</v>
      </c>
      <c r="Z4328" t="s">
        <v>2272</v>
      </c>
      <c r="AA4328" t="s">
        <v>2272</v>
      </c>
      <c r="AB4328" t="s">
        <v>2272</v>
      </c>
      <c r="AC4328" t="s">
        <v>162</v>
      </c>
      <c r="AD4328" t="s">
        <v>2272</v>
      </c>
      <c r="AF4328" t="s">
        <v>49</v>
      </c>
      <c r="AL4328" t="s">
        <v>49</v>
      </c>
      <c r="AM4328" t="s">
        <v>2190</v>
      </c>
      <c r="AN4328" t="s">
        <v>166</v>
      </c>
      <c r="AQ4328" s="5">
        <v>0</v>
      </c>
    </row>
    <row r="4329" spans="1:43" x14ac:dyDescent="0.2">
      <c r="A4329" t="s">
        <v>2178</v>
      </c>
      <c r="B4329" t="s">
        <v>2179</v>
      </c>
      <c r="C4329">
        <v>2004</v>
      </c>
      <c r="D4329" t="s">
        <v>44</v>
      </c>
      <c r="F4329" t="s">
        <v>628</v>
      </c>
      <c r="G4329" t="s">
        <v>91</v>
      </c>
      <c r="H4329" t="s">
        <v>350</v>
      </c>
      <c r="I4329">
        <v>2001</v>
      </c>
      <c r="J4329">
        <v>0.3</v>
      </c>
      <c r="K4329" t="s">
        <v>101</v>
      </c>
      <c r="M4329">
        <v>0.25</v>
      </c>
      <c r="N4329" t="s">
        <v>120</v>
      </c>
      <c r="O4329" t="s">
        <v>120</v>
      </c>
      <c r="P4329" t="s">
        <v>2180</v>
      </c>
      <c r="Q4329" s="1" t="s">
        <v>2276</v>
      </c>
      <c r="R4329" s="1" t="s">
        <v>669</v>
      </c>
      <c r="S4329" s="1" t="s">
        <v>168</v>
      </c>
      <c r="T4329" t="s">
        <v>396</v>
      </c>
      <c r="U4329" t="s">
        <v>2423</v>
      </c>
      <c r="X4329" t="s">
        <v>161</v>
      </c>
      <c r="Y4329" t="s">
        <v>2272</v>
      </c>
      <c r="Z4329" t="s">
        <v>2272</v>
      </c>
      <c r="AA4329" t="s">
        <v>2272</v>
      </c>
      <c r="AB4329" t="s">
        <v>2272</v>
      </c>
      <c r="AC4329" t="s">
        <v>162</v>
      </c>
      <c r="AD4329" t="s">
        <v>2272</v>
      </c>
      <c r="AF4329" t="s">
        <v>49</v>
      </c>
      <c r="AL4329" t="s">
        <v>49</v>
      </c>
      <c r="AM4329" t="s">
        <v>2191</v>
      </c>
      <c r="AN4329" t="s">
        <v>166</v>
      </c>
      <c r="AQ4329" s="5">
        <v>3</v>
      </c>
    </row>
    <row r="4330" spans="1:43" x14ac:dyDescent="0.2">
      <c r="A4330" t="s">
        <v>2178</v>
      </c>
      <c r="B4330" t="s">
        <v>2179</v>
      </c>
      <c r="C4330">
        <v>2004</v>
      </c>
      <c r="D4330" t="s">
        <v>44</v>
      </c>
      <c r="F4330" t="s">
        <v>628</v>
      </c>
      <c r="G4330" t="s">
        <v>91</v>
      </c>
      <c r="H4330" t="s">
        <v>350</v>
      </c>
      <c r="I4330">
        <v>2001</v>
      </c>
      <c r="J4330">
        <v>0.3</v>
      </c>
      <c r="K4330" t="s">
        <v>101</v>
      </c>
      <c r="M4330">
        <v>0.25</v>
      </c>
      <c r="N4330" t="s">
        <v>120</v>
      </c>
      <c r="O4330" t="s">
        <v>120</v>
      </c>
      <c r="P4330" t="s">
        <v>2181</v>
      </c>
      <c r="Q4330" s="1" t="s">
        <v>2276</v>
      </c>
      <c r="R4330" s="1" t="s">
        <v>669</v>
      </c>
      <c r="S4330" s="1" t="s">
        <v>168</v>
      </c>
      <c r="T4330" t="s">
        <v>396</v>
      </c>
      <c r="U4330" t="s">
        <v>2423</v>
      </c>
      <c r="X4330" t="s">
        <v>161</v>
      </c>
      <c r="Y4330" t="s">
        <v>2272</v>
      </c>
      <c r="Z4330" t="s">
        <v>2272</v>
      </c>
      <c r="AA4330" t="s">
        <v>2272</v>
      </c>
      <c r="AB4330" t="s">
        <v>2272</v>
      </c>
      <c r="AC4330" t="s">
        <v>162</v>
      </c>
      <c r="AD4330" t="s">
        <v>2272</v>
      </c>
      <c r="AF4330" t="s">
        <v>49</v>
      </c>
      <c r="AL4330" t="s">
        <v>49</v>
      </c>
      <c r="AM4330" t="s">
        <v>2191</v>
      </c>
      <c r="AN4330" t="s">
        <v>166</v>
      </c>
      <c r="AQ4330" s="5">
        <v>1</v>
      </c>
    </row>
    <row r="4331" spans="1:43" x14ac:dyDescent="0.2">
      <c r="A4331" t="s">
        <v>2178</v>
      </c>
      <c r="B4331" t="s">
        <v>2179</v>
      </c>
      <c r="C4331">
        <v>2004</v>
      </c>
      <c r="D4331" t="s">
        <v>44</v>
      </c>
      <c r="F4331" t="s">
        <v>628</v>
      </c>
      <c r="G4331" t="s">
        <v>91</v>
      </c>
      <c r="H4331" t="s">
        <v>350</v>
      </c>
      <c r="I4331">
        <v>2001</v>
      </c>
      <c r="J4331">
        <v>0.3</v>
      </c>
      <c r="K4331" t="s">
        <v>101</v>
      </c>
      <c r="M4331">
        <v>0.25</v>
      </c>
      <c r="N4331" t="s">
        <v>120</v>
      </c>
      <c r="O4331" t="s">
        <v>120</v>
      </c>
      <c r="P4331" t="s">
        <v>2182</v>
      </c>
      <c r="Q4331" s="1" t="s">
        <v>2276</v>
      </c>
      <c r="R4331" s="1" t="s">
        <v>669</v>
      </c>
      <c r="S4331" s="1" t="s">
        <v>168</v>
      </c>
      <c r="T4331" t="s">
        <v>396</v>
      </c>
      <c r="U4331" t="s">
        <v>2423</v>
      </c>
      <c r="X4331" t="s">
        <v>161</v>
      </c>
      <c r="Y4331" t="s">
        <v>2272</v>
      </c>
      <c r="Z4331" t="s">
        <v>2272</v>
      </c>
      <c r="AA4331" t="s">
        <v>2272</v>
      </c>
      <c r="AB4331" t="s">
        <v>2272</v>
      </c>
      <c r="AC4331" t="s">
        <v>162</v>
      </c>
      <c r="AD4331" t="s">
        <v>2272</v>
      </c>
      <c r="AF4331" t="s">
        <v>49</v>
      </c>
      <c r="AL4331" t="s">
        <v>49</v>
      </c>
      <c r="AM4331" t="s">
        <v>2191</v>
      </c>
      <c r="AN4331" t="s">
        <v>166</v>
      </c>
      <c r="AQ4331" s="5">
        <v>3</v>
      </c>
    </row>
    <row r="4332" spans="1:43" x14ac:dyDescent="0.2">
      <c r="A4332" t="s">
        <v>2178</v>
      </c>
      <c r="B4332" t="s">
        <v>2179</v>
      </c>
      <c r="C4332">
        <v>2004</v>
      </c>
      <c r="D4332" t="s">
        <v>44</v>
      </c>
      <c r="F4332" t="s">
        <v>628</v>
      </c>
      <c r="G4332" t="s">
        <v>91</v>
      </c>
      <c r="H4332" t="s">
        <v>350</v>
      </c>
      <c r="I4332">
        <v>2001</v>
      </c>
      <c r="J4332">
        <v>0.3</v>
      </c>
      <c r="K4332" t="s">
        <v>101</v>
      </c>
      <c r="M4332">
        <v>0.25</v>
      </c>
      <c r="N4332" t="s">
        <v>120</v>
      </c>
      <c r="O4332" t="s">
        <v>120</v>
      </c>
      <c r="P4332" t="s">
        <v>2183</v>
      </c>
      <c r="Q4332" s="1" t="s">
        <v>2276</v>
      </c>
      <c r="R4332" s="1" t="s">
        <v>751</v>
      </c>
      <c r="S4332" s="1" t="s">
        <v>2346</v>
      </c>
      <c r="T4332" t="s">
        <v>396</v>
      </c>
      <c r="U4332" t="s">
        <v>2366</v>
      </c>
      <c r="X4332" t="s">
        <v>161</v>
      </c>
      <c r="Y4332" t="s">
        <v>2272</v>
      </c>
      <c r="Z4332" t="s">
        <v>2272</v>
      </c>
      <c r="AA4332" t="s">
        <v>2272</v>
      </c>
      <c r="AB4332" t="s">
        <v>2272</v>
      </c>
      <c r="AC4332" t="s">
        <v>162</v>
      </c>
      <c r="AD4332" t="s">
        <v>2272</v>
      </c>
      <c r="AF4332" t="s">
        <v>49</v>
      </c>
      <c r="AL4332" t="s">
        <v>49</v>
      </c>
      <c r="AM4332" t="s">
        <v>2191</v>
      </c>
      <c r="AN4332" t="s">
        <v>166</v>
      </c>
      <c r="AQ4332" s="5">
        <v>2</v>
      </c>
    </row>
    <row r="4333" spans="1:43" x14ac:dyDescent="0.2">
      <c r="A4333" t="s">
        <v>2178</v>
      </c>
      <c r="B4333" t="s">
        <v>2179</v>
      </c>
      <c r="C4333">
        <v>2004</v>
      </c>
      <c r="D4333" t="s">
        <v>44</v>
      </c>
      <c r="F4333" t="s">
        <v>628</v>
      </c>
      <c r="G4333" t="s">
        <v>91</v>
      </c>
      <c r="H4333" t="s">
        <v>350</v>
      </c>
      <c r="I4333">
        <v>2001</v>
      </c>
      <c r="J4333">
        <v>0.3</v>
      </c>
      <c r="K4333" t="s">
        <v>101</v>
      </c>
      <c r="M4333">
        <v>0.25</v>
      </c>
      <c r="N4333" t="s">
        <v>120</v>
      </c>
      <c r="O4333" t="s">
        <v>120</v>
      </c>
      <c r="P4333" t="s">
        <v>2180</v>
      </c>
      <c r="Q4333" s="1" t="s">
        <v>2276</v>
      </c>
      <c r="R4333" s="1" t="s">
        <v>669</v>
      </c>
      <c r="S4333" s="1" t="s">
        <v>168</v>
      </c>
      <c r="T4333" t="s">
        <v>421</v>
      </c>
      <c r="U4333" t="s">
        <v>421</v>
      </c>
      <c r="X4333" t="s">
        <v>161</v>
      </c>
      <c r="Y4333" t="s">
        <v>2272</v>
      </c>
      <c r="Z4333" t="s">
        <v>2272</v>
      </c>
      <c r="AA4333" t="s">
        <v>2272</v>
      </c>
      <c r="AB4333" t="s">
        <v>2272</v>
      </c>
      <c r="AC4333" t="s">
        <v>162</v>
      </c>
      <c r="AD4333" t="s">
        <v>2272</v>
      </c>
      <c r="AF4333" t="s">
        <v>49</v>
      </c>
      <c r="AL4333" t="s">
        <v>49</v>
      </c>
      <c r="AM4333" t="s">
        <v>2191</v>
      </c>
      <c r="AN4333" t="s">
        <v>166</v>
      </c>
      <c r="AQ4333" s="5">
        <v>0</v>
      </c>
    </row>
    <row r="4334" spans="1:43" x14ac:dyDescent="0.2">
      <c r="A4334" t="s">
        <v>2178</v>
      </c>
      <c r="B4334" t="s">
        <v>2179</v>
      </c>
      <c r="C4334">
        <v>2004</v>
      </c>
      <c r="D4334" t="s">
        <v>44</v>
      </c>
      <c r="F4334" t="s">
        <v>628</v>
      </c>
      <c r="G4334" t="s">
        <v>91</v>
      </c>
      <c r="H4334" t="s">
        <v>350</v>
      </c>
      <c r="I4334">
        <v>2001</v>
      </c>
      <c r="J4334">
        <v>0.3</v>
      </c>
      <c r="K4334" t="s">
        <v>101</v>
      </c>
      <c r="M4334">
        <v>0.25</v>
      </c>
      <c r="N4334" t="s">
        <v>120</v>
      </c>
      <c r="O4334" t="s">
        <v>120</v>
      </c>
      <c r="P4334" t="s">
        <v>2181</v>
      </c>
      <c r="Q4334" s="1" t="s">
        <v>2276</v>
      </c>
      <c r="R4334" s="1" t="s">
        <v>669</v>
      </c>
      <c r="S4334" s="1" t="s">
        <v>168</v>
      </c>
      <c r="T4334" t="s">
        <v>421</v>
      </c>
      <c r="U4334" t="s">
        <v>421</v>
      </c>
      <c r="X4334" t="s">
        <v>161</v>
      </c>
      <c r="Y4334" t="s">
        <v>2272</v>
      </c>
      <c r="Z4334" t="s">
        <v>2272</v>
      </c>
      <c r="AA4334" t="s">
        <v>2272</v>
      </c>
      <c r="AB4334" t="s">
        <v>2272</v>
      </c>
      <c r="AC4334" t="s">
        <v>162</v>
      </c>
      <c r="AD4334" t="s">
        <v>2272</v>
      </c>
      <c r="AF4334" t="s">
        <v>49</v>
      </c>
      <c r="AL4334" t="s">
        <v>49</v>
      </c>
      <c r="AM4334" t="s">
        <v>2191</v>
      </c>
      <c r="AN4334" t="s">
        <v>166</v>
      </c>
      <c r="AQ4334" s="5">
        <v>1</v>
      </c>
    </row>
    <row r="4335" spans="1:43" x14ac:dyDescent="0.2">
      <c r="A4335" t="s">
        <v>2178</v>
      </c>
      <c r="B4335" t="s">
        <v>2179</v>
      </c>
      <c r="C4335">
        <v>2004</v>
      </c>
      <c r="D4335" t="s">
        <v>44</v>
      </c>
      <c r="F4335" t="s">
        <v>628</v>
      </c>
      <c r="G4335" t="s">
        <v>91</v>
      </c>
      <c r="H4335" t="s">
        <v>350</v>
      </c>
      <c r="I4335">
        <v>2001</v>
      </c>
      <c r="J4335">
        <v>0.3</v>
      </c>
      <c r="K4335" t="s">
        <v>101</v>
      </c>
      <c r="M4335">
        <v>0.25</v>
      </c>
      <c r="N4335" t="s">
        <v>120</v>
      </c>
      <c r="O4335" t="s">
        <v>120</v>
      </c>
      <c r="P4335" t="s">
        <v>2182</v>
      </c>
      <c r="Q4335" s="1" t="s">
        <v>2276</v>
      </c>
      <c r="R4335" s="1" t="s">
        <v>669</v>
      </c>
      <c r="S4335" s="1" t="s">
        <v>168</v>
      </c>
      <c r="T4335" t="s">
        <v>421</v>
      </c>
      <c r="U4335" t="s">
        <v>421</v>
      </c>
      <c r="X4335" t="s">
        <v>161</v>
      </c>
      <c r="Y4335" t="s">
        <v>2272</v>
      </c>
      <c r="Z4335" t="s">
        <v>2272</v>
      </c>
      <c r="AA4335" t="s">
        <v>2272</v>
      </c>
      <c r="AB4335" t="s">
        <v>2272</v>
      </c>
      <c r="AC4335" t="s">
        <v>162</v>
      </c>
      <c r="AD4335" t="s">
        <v>2272</v>
      </c>
      <c r="AF4335" t="s">
        <v>49</v>
      </c>
      <c r="AL4335" t="s">
        <v>49</v>
      </c>
      <c r="AM4335" t="s">
        <v>2191</v>
      </c>
      <c r="AN4335" t="s">
        <v>166</v>
      </c>
      <c r="AQ4335" s="5">
        <v>0</v>
      </c>
    </row>
    <row r="4336" spans="1:43" x14ac:dyDescent="0.2">
      <c r="A4336" t="s">
        <v>2178</v>
      </c>
      <c r="B4336" t="s">
        <v>2179</v>
      </c>
      <c r="C4336">
        <v>2004</v>
      </c>
      <c r="D4336" t="s">
        <v>44</v>
      </c>
      <c r="F4336" t="s">
        <v>628</v>
      </c>
      <c r="G4336" t="s">
        <v>91</v>
      </c>
      <c r="H4336" t="s">
        <v>350</v>
      </c>
      <c r="I4336">
        <v>2001</v>
      </c>
      <c r="J4336">
        <v>0.3</v>
      </c>
      <c r="K4336" t="s">
        <v>101</v>
      </c>
      <c r="M4336">
        <v>0.25</v>
      </c>
      <c r="N4336" t="s">
        <v>120</v>
      </c>
      <c r="O4336" t="s">
        <v>120</v>
      </c>
      <c r="P4336" t="s">
        <v>2183</v>
      </c>
      <c r="Q4336" s="1" t="s">
        <v>2276</v>
      </c>
      <c r="R4336" s="1" t="s">
        <v>751</v>
      </c>
      <c r="S4336" s="1" t="s">
        <v>2346</v>
      </c>
      <c r="T4336" t="s">
        <v>421</v>
      </c>
      <c r="U4336" t="s">
        <v>421</v>
      </c>
      <c r="X4336" t="s">
        <v>161</v>
      </c>
      <c r="Y4336" t="s">
        <v>2272</v>
      </c>
      <c r="Z4336" t="s">
        <v>2272</v>
      </c>
      <c r="AA4336" t="s">
        <v>2272</v>
      </c>
      <c r="AB4336" t="s">
        <v>2272</v>
      </c>
      <c r="AC4336" t="s">
        <v>162</v>
      </c>
      <c r="AD4336" t="s">
        <v>2272</v>
      </c>
      <c r="AF4336" t="s">
        <v>49</v>
      </c>
      <c r="AL4336" t="s">
        <v>49</v>
      </c>
      <c r="AM4336" t="s">
        <v>2191</v>
      </c>
      <c r="AN4336" t="s">
        <v>166</v>
      </c>
      <c r="AQ4336" s="5">
        <v>0</v>
      </c>
    </row>
    <row r="4337" spans="1:43" x14ac:dyDescent="0.2">
      <c r="A4337" t="s">
        <v>2178</v>
      </c>
      <c r="B4337" t="s">
        <v>2179</v>
      </c>
      <c r="C4337">
        <v>2004</v>
      </c>
      <c r="D4337" t="s">
        <v>44</v>
      </c>
      <c r="F4337" t="s">
        <v>628</v>
      </c>
      <c r="G4337" t="s">
        <v>91</v>
      </c>
      <c r="H4337" t="s">
        <v>350</v>
      </c>
      <c r="I4337">
        <v>2001</v>
      </c>
      <c r="J4337">
        <v>0.3</v>
      </c>
      <c r="K4337" t="s">
        <v>101</v>
      </c>
      <c r="M4337">
        <v>0.25</v>
      </c>
      <c r="N4337" t="s">
        <v>120</v>
      </c>
      <c r="O4337" t="s">
        <v>120</v>
      </c>
      <c r="P4337" t="s">
        <v>2180</v>
      </c>
      <c r="Q4337" s="1" t="s">
        <v>2276</v>
      </c>
      <c r="R4337" s="1" t="s">
        <v>669</v>
      </c>
      <c r="S4337" s="1" t="s">
        <v>168</v>
      </c>
      <c r="T4337" t="s">
        <v>396</v>
      </c>
      <c r="U4337" t="s">
        <v>2423</v>
      </c>
      <c r="X4337" t="s">
        <v>161</v>
      </c>
      <c r="Y4337" t="s">
        <v>2272</v>
      </c>
      <c r="Z4337" t="s">
        <v>2272</v>
      </c>
      <c r="AA4337" t="s">
        <v>2272</v>
      </c>
      <c r="AB4337" t="s">
        <v>2272</v>
      </c>
      <c r="AC4337" t="s">
        <v>162</v>
      </c>
      <c r="AD4337" t="s">
        <v>2272</v>
      </c>
      <c r="AF4337" t="s">
        <v>49</v>
      </c>
      <c r="AL4337" t="s">
        <v>49</v>
      </c>
      <c r="AM4337" t="s">
        <v>2192</v>
      </c>
      <c r="AN4337" t="s">
        <v>166</v>
      </c>
      <c r="AQ4337" s="5">
        <v>3</v>
      </c>
    </row>
    <row r="4338" spans="1:43" x14ac:dyDescent="0.2">
      <c r="A4338" t="s">
        <v>2178</v>
      </c>
      <c r="B4338" t="s">
        <v>2179</v>
      </c>
      <c r="C4338">
        <v>2004</v>
      </c>
      <c r="D4338" t="s">
        <v>44</v>
      </c>
      <c r="F4338" t="s">
        <v>628</v>
      </c>
      <c r="G4338" t="s">
        <v>91</v>
      </c>
      <c r="H4338" t="s">
        <v>350</v>
      </c>
      <c r="I4338">
        <v>2001</v>
      </c>
      <c r="J4338">
        <v>0.3</v>
      </c>
      <c r="K4338" t="s">
        <v>101</v>
      </c>
      <c r="M4338">
        <v>0.25</v>
      </c>
      <c r="N4338" t="s">
        <v>120</v>
      </c>
      <c r="O4338" t="s">
        <v>120</v>
      </c>
      <c r="P4338" t="s">
        <v>2181</v>
      </c>
      <c r="Q4338" s="1" t="s">
        <v>2276</v>
      </c>
      <c r="R4338" s="1" t="s">
        <v>669</v>
      </c>
      <c r="S4338" s="1" t="s">
        <v>168</v>
      </c>
      <c r="T4338" t="s">
        <v>396</v>
      </c>
      <c r="U4338" t="s">
        <v>2423</v>
      </c>
      <c r="X4338" t="s">
        <v>161</v>
      </c>
      <c r="Y4338" t="s">
        <v>2272</v>
      </c>
      <c r="Z4338" t="s">
        <v>2272</v>
      </c>
      <c r="AA4338" t="s">
        <v>2272</v>
      </c>
      <c r="AB4338" t="s">
        <v>2272</v>
      </c>
      <c r="AC4338" t="s">
        <v>162</v>
      </c>
      <c r="AD4338" t="s">
        <v>2272</v>
      </c>
      <c r="AF4338" t="s">
        <v>49</v>
      </c>
      <c r="AL4338" t="s">
        <v>49</v>
      </c>
      <c r="AM4338" t="s">
        <v>2192</v>
      </c>
      <c r="AN4338" t="s">
        <v>166</v>
      </c>
      <c r="AQ4338" s="5">
        <v>2</v>
      </c>
    </row>
    <row r="4339" spans="1:43" x14ac:dyDescent="0.2">
      <c r="A4339" t="s">
        <v>2178</v>
      </c>
      <c r="B4339" t="s">
        <v>2179</v>
      </c>
      <c r="C4339">
        <v>2004</v>
      </c>
      <c r="D4339" t="s">
        <v>44</v>
      </c>
      <c r="F4339" t="s">
        <v>628</v>
      </c>
      <c r="G4339" t="s">
        <v>91</v>
      </c>
      <c r="H4339" t="s">
        <v>350</v>
      </c>
      <c r="I4339">
        <v>2001</v>
      </c>
      <c r="J4339">
        <v>0.3</v>
      </c>
      <c r="K4339" t="s">
        <v>101</v>
      </c>
      <c r="M4339">
        <v>0.25</v>
      </c>
      <c r="N4339" t="s">
        <v>120</v>
      </c>
      <c r="O4339" t="s">
        <v>120</v>
      </c>
      <c r="P4339" t="s">
        <v>2182</v>
      </c>
      <c r="Q4339" s="1" t="s">
        <v>2276</v>
      </c>
      <c r="R4339" s="1" t="s">
        <v>669</v>
      </c>
      <c r="S4339" s="1" t="s">
        <v>168</v>
      </c>
      <c r="T4339" t="s">
        <v>396</v>
      </c>
      <c r="U4339" t="s">
        <v>2423</v>
      </c>
      <c r="X4339" t="s">
        <v>161</v>
      </c>
      <c r="Y4339" t="s">
        <v>2272</v>
      </c>
      <c r="Z4339" t="s">
        <v>2272</v>
      </c>
      <c r="AA4339" t="s">
        <v>2272</v>
      </c>
      <c r="AB4339" t="s">
        <v>2272</v>
      </c>
      <c r="AC4339" t="s">
        <v>162</v>
      </c>
      <c r="AD4339" t="s">
        <v>2272</v>
      </c>
      <c r="AF4339" t="s">
        <v>49</v>
      </c>
      <c r="AL4339" t="s">
        <v>49</v>
      </c>
      <c r="AM4339" t="s">
        <v>2192</v>
      </c>
      <c r="AN4339" t="s">
        <v>166</v>
      </c>
      <c r="AQ4339" s="5">
        <v>3</v>
      </c>
    </row>
    <row r="4340" spans="1:43" x14ac:dyDescent="0.2">
      <c r="A4340" t="s">
        <v>2178</v>
      </c>
      <c r="B4340" t="s">
        <v>2179</v>
      </c>
      <c r="C4340">
        <v>2004</v>
      </c>
      <c r="D4340" t="s">
        <v>44</v>
      </c>
      <c r="F4340" t="s">
        <v>628</v>
      </c>
      <c r="G4340" t="s">
        <v>91</v>
      </c>
      <c r="H4340" t="s">
        <v>350</v>
      </c>
      <c r="I4340">
        <v>2001</v>
      </c>
      <c r="J4340">
        <v>0.3</v>
      </c>
      <c r="K4340" t="s">
        <v>101</v>
      </c>
      <c r="M4340">
        <v>0.25</v>
      </c>
      <c r="N4340" t="s">
        <v>120</v>
      </c>
      <c r="O4340" t="s">
        <v>120</v>
      </c>
      <c r="P4340" t="s">
        <v>2183</v>
      </c>
      <c r="Q4340" s="1" t="s">
        <v>2276</v>
      </c>
      <c r="R4340" s="1" t="s">
        <v>751</v>
      </c>
      <c r="S4340" s="1" t="s">
        <v>2346</v>
      </c>
      <c r="T4340" t="s">
        <v>396</v>
      </c>
      <c r="U4340" t="s">
        <v>2366</v>
      </c>
      <c r="X4340" t="s">
        <v>161</v>
      </c>
      <c r="Y4340" t="s">
        <v>2272</v>
      </c>
      <c r="Z4340" t="s">
        <v>2272</v>
      </c>
      <c r="AA4340" t="s">
        <v>2272</v>
      </c>
      <c r="AB4340" t="s">
        <v>2272</v>
      </c>
      <c r="AC4340" t="s">
        <v>162</v>
      </c>
      <c r="AD4340" t="s">
        <v>2272</v>
      </c>
      <c r="AF4340" t="s">
        <v>49</v>
      </c>
      <c r="AL4340" t="s">
        <v>49</v>
      </c>
      <c r="AM4340" t="s">
        <v>2192</v>
      </c>
      <c r="AN4340" t="s">
        <v>166</v>
      </c>
      <c r="AQ4340" s="5">
        <v>1</v>
      </c>
    </row>
    <row r="4341" spans="1:43" x14ac:dyDescent="0.2">
      <c r="A4341" t="s">
        <v>2178</v>
      </c>
      <c r="B4341" t="s">
        <v>2179</v>
      </c>
      <c r="C4341">
        <v>2004</v>
      </c>
      <c r="D4341" t="s">
        <v>44</v>
      </c>
      <c r="F4341" t="s">
        <v>628</v>
      </c>
      <c r="G4341" t="s">
        <v>91</v>
      </c>
      <c r="H4341" t="s">
        <v>350</v>
      </c>
      <c r="I4341">
        <v>2001</v>
      </c>
      <c r="J4341">
        <v>0.3</v>
      </c>
      <c r="K4341" t="s">
        <v>101</v>
      </c>
      <c r="M4341">
        <v>0.25</v>
      </c>
      <c r="N4341" t="s">
        <v>120</v>
      </c>
      <c r="O4341" t="s">
        <v>120</v>
      </c>
      <c r="P4341" t="s">
        <v>2180</v>
      </c>
      <c r="Q4341" s="1" t="s">
        <v>2276</v>
      </c>
      <c r="R4341" s="1" t="s">
        <v>669</v>
      </c>
      <c r="S4341" s="1" t="s">
        <v>168</v>
      </c>
      <c r="T4341" t="s">
        <v>421</v>
      </c>
      <c r="U4341" t="s">
        <v>421</v>
      </c>
      <c r="X4341" t="s">
        <v>161</v>
      </c>
      <c r="Y4341" t="s">
        <v>2272</v>
      </c>
      <c r="Z4341" t="s">
        <v>2272</v>
      </c>
      <c r="AA4341" t="s">
        <v>2272</v>
      </c>
      <c r="AB4341" t="s">
        <v>2272</v>
      </c>
      <c r="AC4341" t="s">
        <v>162</v>
      </c>
      <c r="AD4341" t="s">
        <v>2272</v>
      </c>
      <c r="AF4341" t="s">
        <v>49</v>
      </c>
      <c r="AL4341" t="s">
        <v>49</v>
      </c>
      <c r="AM4341" t="s">
        <v>2192</v>
      </c>
      <c r="AN4341" t="s">
        <v>166</v>
      </c>
      <c r="AQ4341" s="5">
        <v>0</v>
      </c>
    </row>
    <row r="4342" spans="1:43" x14ac:dyDescent="0.2">
      <c r="A4342" t="s">
        <v>2178</v>
      </c>
      <c r="B4342" t="s">
        <v>2179</v>
      </c>
      <c r="C4342">
        <v>2004</v>
      </c>
      <c r="D4342" t="s">
        <v>44</v>
      </c>
      <c r="F4342" t="s">
        <v>628</v>
      </c>
      <c r="G4342" t="s">
        <v>91</v>
      </c>
      <c r="H4342" t="s">
        <v>350</v>
      </c>
      <c r="I4342">
        <v>2001</v>
      </c>
      <c r="J4342">
        <v>0.3</v>
      </c>
      <c r="K4342" t="s">
        <v>101</v>
      </c>
      <c r="M4342">
        <v>0.25</v>
      </c>
      <c r="N4342" t="s">
        <v>120</v>
      </c>
      <c r="O4342" t="s">
        <v>120</v>
      </c>
      <c r="P4342" t="s">
        <v>2181</v>
      </c>
      <c r="Q4342" s="1" t="s">
        <v>2276</v>
      </c>
      <c r="R4342" s="1" t="s">
        <v>669</v>
      </c>
      <c r="S4342" s="1" t="s">
        <v>168</v>
      </c>
      <c r="T4342" t="s">
        <v>421</v>
      </c>
      <c r="U4342" t="s">
        <v>421</v>
      </c>
      <c r="X4342" t="s">
        <v>161</v>
      </c>
      <c r="Y4342" t="s">
        <v>2272</v>
      </c>
      <c r="Z4342" t="s">
        <v>2272</v>
      </c>
      <c r="AA4342" t="s">
        <v>2272</v>
      </c>
      <c r="AB4342" t="s">
        <v>2272</v>
      </c>
      <c r="AC4342" t="s">
        <v>162</v>
      </c>
      <c r="AD4342" t="s">
        <v>2272</v>
      </c>
      <c r="AF4342" t="s">
        <v>49</v>
      </c>
      <c r="AL4342" t="s">
        <v>49</v>
      </c>
      <c r="AM4342" t="s">
        <v>2192</v>
      </c>
      <c r="AN4342" t="s">
        <v>166</v>
      </c>
      <c r="AQ4342" s="5">
        <v>1</v>
      </c>
    </row>
    <row r="4343" spans="1:43" x14ac:dyDescent="0.2">
      <c r="A4343" t="s">
        <v>2178</v>
      </c>
      <c r="B4343" t="s">
        <v>2179</v>
      </c>
      <c r="C4343">
        <v>2004</v>
      </c>
      <c r="D4343" t="s">
        <v>44</v>
      </c>
      <c r="F4343" t="s">
        <v>628</v>
      </c>
      <c r="G4343" t="s">
        <v>91</v>
      </c>
      <c r="H4343" t="s">
        <v>350</v>
      </c>
      <c r="I4343">
        <v>2001</v>
      </c>
      <c r="J4343">
        <v>0.3</v>
      </c>
      <c r="K4343" t="s">
        <v>101</v>
      </c>
      <c r="M4343">
        <v>0.25</v>
      </c>
      <c r="N4343" t="s">
        <v>120</v>
      </c>
      <c r="O4343" t="s">
        <v>120</v>
      </c>
      <c r="P4343" t="s">
        <v>2182</v>
      </c>
      <c r="Q4343" s="1" t="s">
        <v>2276</v>
      </c>
      <c r="R4343" s="1" t="s">
        <v>669</v>
      </c>
      <c r="S4343" s="1" t="s">
        <v>168</v>
      </c>
      <c r="T4343" t="s">
        <v>421</v>
      </c>
      <c r="U4343" t="s">
        <v>421</v>
      </c>
      <c r="X4343" t="s">
        <v>161</v>
      </c>
      <c r="Y4343" t="s">
        <v>2272</v>
      </c>
      <c r="Z4343" t="s">
        <v>2272</v>
      </c>
      <c r="AA4343" t="s">
        <v>2272</v>
      </c>
      <c r="AB4343" t="s">
        <v>2272</v>
      </c>
      <c r="AC4343" t="s">
        <v>162</v>
      </c>
      <c r="AD4343" t="s">
        <v>2272</v>
      </c>
      <c r="AF4343" t="s">
        <v>49</v>
      </c>
      <c r="AL4343" t="s">
        <v>49</v>
      </c>
      <c r="AM4343" t="s">
        <v>2192</v>
      </c>
      <c r="AN4343" t="s">
        <v>166</v>
      </c>
      <c r="AQ4343" s="5">
        <v>0</v>
      </c>
    </row>
    <row r="4344" spans="1:43" x14ac:dyDescent="0.2">
      <c r="A4344" t="s">
        <v>2178</v>
      </c>
      <c r="B4344" t="s">
        <v>2179</v>
      </c>
      <c r="C4344">
        <v>2004</v>
      </c>
      <c r="D4344" t="s">
        <v>44</v>
      </c>
      <c r="F4344" t="s">
        <v>628</v>
      </c>
      <c r="G4344" t="s">
        <v>91</v>
      </c>
      <c r="H4344" t="s">
        <v>350</v>
      </c>
      <c r="I4344">
        <v>2001</v>
      </c>
      <c r="J4344">
        <v>0.3</v>
      </c>
      <c r="K4344" t="s">
        <v>101</v>
      </c>
      <c r="M4344">
        <v>0.25</v>
      </c>
      <c r="N4344" t="s">
        <v>120</v>
      </c>
      <c r="O4344" t="s">
        <v>120</v>
      </c>
      <c r="P4344" t="s">
        <v>2183</v>
      </c>
      <c r="Q4344" s="1" t="s">
        <v>2276</v>
      </c>
      <c r="R4344" s="1" t="s">
        <v>751</v>
      </c>
      <c r="S4344" s="1" t="s">
        <v>2346</v>
      </c>
      <c r="T4344" t="s">
        <v>421</v>
      </c>
      <c r="U4344" t="s">
        <v>421</v>
      </c>
      <c r="X4344" t="s">
        <v>161</v>
      </c>
      <c r="Y4344" t="s">
        <v>2272</v>
      </c>
      <c r="Z4344" t="s">
        <v>2272</v>
      </c>
      <c r="AA4344" t="s">
        <v>2272</v>
      </c>
      <c r="AB4344" t="s">
        <v>2272</v>
      </c>
      <c r="AC4344" t="s">
        <v>162</v>
      </c>
      <c r="AD4344" t="s">
        <v>2272</v>
      </c>
      <c r="AF4344" t="s">
        <v>49</v>
      </c>
      <c r="AL4344" t="s">
        <v>49</v>
      </c>
      <c r="AM4344" t="s">
        <v>2192</v>
      </c>
      <c r="AN4344" t="s">
        <v>166</v>
      </c>
      <c r="AQ4344" s="5">
        <v>1</v>
      </c>
    </row>
    <row r="4345" spans="1:43" x14ac:dyDescent="0.2">
      <c r="A4345" t="s">
        <v>2178</v>
      </c>
      <c r="B4345" t="s">
        <v>2179</v>
      </c>
      <c r="C4345">
        <v>2004</v>
      </c>
      <c r="D4345" t="s">
        <v>44</v>
      </c>
      <c r="F4345" t="s">
        <v>628</v>
      </c>
      <c r="G4345" t="s">
        <v>91</v>
      </c>
      <c r="H4345" t="s">
        <v>350</v>
      </c>
      <c r="I4345">
        <v>2001</v>
      </c>
      <c r="J4345">
        <v>0.3</v>
      </c>
      <c r="K4345" t="s">
        <v>101</v>
      </c>
      <c r="M4345">
        <v>0.25</v>
      </c>
      <c r="N4345" t="s">
        <v>120</v>
      </c>
      <c r="O4345" t="s">
        <v>120</v>
      </c>
      <c r="P4345" t="s">
        <v>2180</v>
      </c>
      <c r="Q4345" s="1" t="s">
        <v>2276</v>
      </c>
      <c r="R4345" s="1" t="s">
        <v>669</v>
      </c>
      <c r="S4345" s="1" t="s">
        <v>168</v>
      </c>
      <c r="T4345" t="s">
        <v>396</v>
      </c>
      <c r="U4345" t="s">
        <v>2423</v>
      </c>
      <c r="X4345" t="s">
        <v>161</v>
      </c>
      <c r="Y4345" t="s">
        <v>2272</v>
      </c>
      <c r="Z4345" t="s">
        <v>2272</v>
      </c>
      <c r="AA4345" t="s">
        <v>2272</v>
      </c>
      <c r="AB4345" t="s">
        <v>2272</v>
      </c>
      <c r="AC4345" t="s">
        <v>162</v>
      </c>
      <c r="AD4345" t="s">
        <v>2272</v>
      </c>
      <c r="AF4345" t="s">
        <v>49</v>
      </c>
      <c r="AL4345" t="s">
        <v>49</v>
      </c>
      <c r="AM4345" t="s">
        <v>518</v>
      </c>
      <c r="AN4345" t="s">
        <v>166</v>
      </c>
      <c r="AQ4345" s="5">
        <v>1</v>
      </c>
    </row>
    <row r="4346" spans="1:43" x14ac:dyDescent="0.2">
      <c r="A4346" t="s">
        <v>2178</v>
      </c>
      <c r="B4346" t="s">
        <v>2179</v>
      </c>
      <c r="C4346">
        <v>2004</v>
      </c>
      <c r="D4346" t="s">
        <v>44</v>
      </c>
      <c r="F4346" t="s">
        <v>628</v>
      </c>
      <c r="G4346" t="s">
        <v>91</v>
      </c>
      <c r="H4346" t="s">
        <v>350</v>
      </c>
      <c r="I4346">
        <v>2001</v>
      </c>
      <c r="J4346">
        <v>0.3</v>
      </c>
      <c r="K4346" t="s">
        <v>101</v>
      </c>
      <c r="M4346">
        <v>0.25</v>
      </c>
      <c r="N4346" t="s">
        <v>120</v>
      </c>
      <c r="O4346" t="s">
        <v>120</v>
      </c>
      <c r="P4346" t="s">
        <v>2181</v>
      </c>
      <c r="Q4346" s="1" t="s">
        <v>2276</v>
      </c>
      <c r="R4346" s="1" t="s">
        <v>669</v>
      </c>
      <c r="S4346" s="1" t="s">
        <v>168</v>
      </c>
      <c r="T4346" t="s">
        <v>396</v>
      </c>
      <c r="U4346" t="s">
        <v>2423</v>
      </c>
      <c r="X4346" t="s">
        <v>161</v>
      </c>
      <c r="Y4346" t="s">
        <v>2272</v>
      </c>
      <c r="Z4346" t="s">
        <v>2272</v>
      </c>
      <c r="AA4346" t="s">
        <v>2272</v>
      </c>
      <c r="AB4346" t="s">
        <v>2272</v>
      </c>
      <c r="AC4346" t="s">
        <v>162</v>
      </c>
      <c r="AD4346" t="s">
        <v>2272</v>
      </c>
      <c r="AF4346" t="s">
        <v>49</v>
      </c>
      <c r="AL4346" t="s">
        <v>49</v>
      </c>
      <c r="AM4346" t="s">
        <v>518</v>
      </c>
      <c r="AN4346" t="s">
        <v>166</v>
      </c>
      <c r="AQ4346" s="5">
        <v>3</v>
      </c>
    </row>
    <row r="4347" spans="1:43" x14ac:dyDescent="0.2">
      <c r="A4347" t="s">
        <v>2178</v>
      </c>
      <c r="B4347" t="s">
        <v>2179</v>
      </c>
      <c r="C4347">
        <v>2004</v>
      </c>
      <c r="D4347" t="s">
        <v>44</v>
      </c>
      <c r="F4347" t="s">
        <v>628</v>
      </c>
      <c r="G4347" t="s">
        <v>91</v>
      </c>
      <c r="H4347" t="s">
        <v>350</v>
      </c>
      <c r="I4347">
        <v>2001</v>
      </c>
      <c r="J4347">
        <v>0.3</v>
      </c>
      <c r="K4347" t="s">
        <v>101</v>
      </c>
      <c r="M4347">
        <v>0.25</v>
      </c>
      <c r="N4347" t="s">
        <v>120</v>
      </c>
      <c r="O4347" t="s">
        <v>120</v>
      </c>
      <c r="P4347" t="s">
        <v>2182</v>
      </c>
      <c r="Q4347" s="1" t="s">
        <v>2276</v>
      </c>
      <c r="R4347" s="1" t="s">
        <v>669</v>
      </c>
      <c r="S4347" s="1" t="s">
        <v>168</v>
      </c>
      <c r="T4347" t="s">
        <v>396</v>
      </c>
      <c r="U4347" t="s">
        <v>2423</v>
      </c>
      <c r="X4347" t="s">
        <v>161</v>
      </c>
      <c r="Y4347" t="s">
        <v>2272</v>
      </c>
      <c r="Z4347" t="s">
        <v>2272</v>
      </c>
      <c r="AA4347" t="s">
        <v>2272</v>
      </c>
      <c r="AB4347" t="s">
        <v>2272</v>
      </c>
      <c r="AC4347" t="s">
        <v>162</v>
      </c>
      <c r="AD4347" t="s">
        <v>2272</v>
      </c>
      <c r="AF4347" t="s">
        <v>49</v>
      </c>
      <c r="AL4347" t="s">
        <v>49</v>
      </c>
      <c r="AM4347" t="s">
        <v>518</v>
      </c>
      <c r="AN4347" t="s">
        <v>166</v>
      </c>
      <c r="AQ4347" s="5">
        <v>3</v>
      </c>
    </row>
    <row r="4348" spans="1:43" x14ac:dyDescent="0.2">
      <c r="A4348" t="s">
        <v>2178</v>
      </c>
      <c r="B4348" t="s">
        <v>2179</v>
      </c>
      <c r="C4348">
        <v>2004</v>
      </c>
      <c r="D4348" t="s">
        <v>44</v>
      </c>
      <c r="F4348" t="s">
        <v>628</v>
      </c>
      <c r="G4348" t="s">
        <v>91</v>
      </c>
      <c r="H4348" t="s">
        <v>350</v>
      </c>
      <c r="I4348">
        <v>2001</v>
      </c>
      <c r="J4348">
        <v>0.3</v>
      </c>
      <c r="K4348" t="s">
        <v>101</v>
      </c>
      <c r="M4348">
        <v>0.25</v>
      </c>
      <c r="N4348" t="s">
        <v>120</v>
      </c>
      <c r="O4348" t="s">
        <v>120</v>
      </c>
      <c r="P4348" t="s">
        <v>2183</v>
      </c>
      <c r="Q4348" s="1" t="s">
        <v>2276</v>
      </c>
      <c r="R4348" s="1" t="s">
        <v>751</v>
      </c>
      <c r="S4348" s="1" t="s">
        <v>2346</v>
      </c>
      <c r="T4348" t="s">
        <v>396</v>
      </c>
      <c r="U4348" t="s">
        <v>2366</v>
      </c>
      <c r="X4348" t="s">
        <v>161</v>
      </c>
      <c r="Y4348" t="s">
        <v>2272</v>
      </c>
      <c r="Z4348" t="s">
        <v>2272</v>
      </c>
      <c r="AA4348" t="s">
        <v>2272</v>
      </c>
      <c r="AB4348" t="s">
        <v>2272</v>
      </c>
      <c r="AC4348" t="s">
        <v>162</v>
      </c>
      <c r="AD4348" t="s">
        <v>2272</v>
      </c>
      <c r="AF4348" t="s">
        <v>49</v>
      </c>
      <c r="AL4348" t="s">
        <v>49</v>
      </c>
      <c r="AM4348" t="s">
        <v>518</v>
      </c>
      <c r="AN4348" t="s">
        <v>166</v>
      </c>
      <c r="AQ4348" s="5">
        <v>2</v>
      </c>
    </row>
    <row r="4349" spans="1:43" x14ac:dyDescent="0.2">
      <c r="A4349" t="s">
        <v>2178</v>
      </c>
      <c r="B4349" t="s">
        <v>2179</v>
      </c>
      <c r="C4349">
        <v>2004</v>
      </c>
      <c r="D4349" t="s">
        <v>44</v>
      </c>
      <c r="F4349" t="s">
        <v>628</v>
      </c>
      <c r="G4349" t="s">
        <v>91</v>
      </c>
      <c r="H4349" t="s">
        <v>350</v>
      </c>
      <c r="I4349">
        <v>2001</v>
      </c>
      <c r="J4349">
        <v>0.3</v>
      </c>
      <c r="K4349" t="s">
        <v>101</v>
      </c>
      <c r="M4349">
        <v>0.25</v>
      </c>
      <c r="N4349" t="s">
        <v>120</v>
      </c>
      <c r="O4349" t="s">
        <v>120</v>
      </c>
      <c r="P4349" t="s">
        <v>2180</v>
      </c>
      <c r="Q4349" s="1" t="s">
        <v>2276</v>
      </c>
      <c r="R4349" s="1" t="s">
        <v>669</v>
      </c>
      <c r="S4349" s="1" t="s">
        <v>168</v>
      </c>
      <c r="T4349" t="s">
        <v>421</v>
      </c>
      <c r="U4349" t="s">
        <v>421</v>
      </c>
      <c r="X4349" t="s">
        <v>161</v>
      </c>
      <c r="Y4349" t="s">
        <v>2272</v>
      </c>
      <c r="Z4349" t="s">
        <v>2272</v>
      </c>
      <c r="AA4349" t="s">
        <v>2272</v>
      </c>
      <c r="AB4349" t="s">
        <v>2272</v>
      </c>
      <c r="AC4349" t="s">
        <v>162</v>
      </c>
      <c r="AD4349" t="s">
        <v>2272</v>
      </c>
      <c r="AF4349" t="s">
        <v>49</v>
      </c>
      <c r="AL4349" t="s">
        <v>49</v>
      </c>
      <c r="AM4349" t="s">
        <v>518</v>
      </c>
      <c r="AN4349" t="s">
        <v>166</v>
      </c>
      <c r="AQ4349" s="5">
        <v>1</v>
      </c>
    </row>
    <row r="4350" spans="1:43" x14ac:dyDescent="0.2">
      <c r="A4350" t="s">
        <v>2178</v>
      </c>
      <c r="B4350" t="s">
        <v>2179</v>
      </c>
      <c r="C4350">
        <v>2004</v>
      </c>
      <c r="D4350" t="s">
        <v>44</v>
      </c>
      <c r="F4350" t="s">
        <v>628</v>
      </c>
      <c r="G4350" t="s">
        <v>91</v>
      </c>
      <c r="H4350" t="s">
        <v>350</v>
      </c>
      <c r="I4350">
        <v>2001</v>
      </c>
      <c r="J4350">
        <v>0.3</v>
      </c>
      <c r="K4350" t="s">
        <v>101</v>
      </c>
      <c r="M4350">
        <v>0.25</v>
      </c>
      <c r="N4350" t="s">
        <v>120</v>
      </c>
      <c r="O4350" t="s">
        <v>120</v>
      </c>
      <c r="P4350" t="s">
        <v>2181</v>
      </c>
      <c r="Q4350" s="1" t="s">
        <v>2276</v>
      </c>
      <c r="R4350" s="1" t="s">
        <v>669</v>
      </c>
      <c r="S4350" s="1" t="s">
        <v>168</v>
      </c>
      <c r="T4350" t="s">
        <v>421</v>
      </c>
      <c r="U4350" t="s">
        <v>421</v>
      </c>
      <c r="X4350" t="s">
        <v>161</v>
      </c>
      <c r="Y4350" t="s">
        <v>2272</v>
      </c>
      <c r="Z4350" t="s">
        <v>2272</v>
      </c>
      <c r="AA4350" t="s">
        <v>2272</v>
      </c>
      <c r="AB4350" t="s">
        <v>2272</v>
      </c>
      <c r="AC4350" t="s">
        <v>162</v>
      </c>
      <c r="AD4350" t="s">
        <v>2272</v>
      </c>
      <c r="AF4350" t="s">
        <v>49</v>
      </c>
      <c r="AL4350" t="s">
        <v>49</v>
      </c>
      <c r="AM4350" t="s">
        <v>518</v>
      </c>
      <c r="AN4350" t="s">
        <v>166</v>
      </c>
      <c r="AQ4350" s="5">
        <v>0</v>
      </c>
    </row>
    <row r="4351" spans="1:43" x14ac:dyDescent="0.2">
      <c r="A4351" t="s">
        <v>2178</v>
      </c>
      <c r="B4351" t="s">
        <v>2179</v>
      </c>
      <c r="C4351">
        <v>2004</v>
      </c>
      <c r="D4351" t="s">
        <v>44</v>
      </c>
      <c r="F4351" t="s">
        <v>628</v>
      </c>
      <c r="G4351" t="s">
        <v>91</v>
      </c>
      <c r="H4351" t="s">
        <v>350</v>
      </c>
      <c r="I4351">
        <v>2001</v>
      </c>
      <c r="J4351">
        <v>0.3</v>
      </c>
      <c r="K4351" t="s">
        <v>101</v>
      </c>
      <c r="M4351">
        <v>0.25</v>
      </c>
      <c r="N4351" t="s">
        <v>120</v>
      </c>
      <c r="O4351" t="s">
        <v>120</v>
      </c>
      <c r="P4351" t="s">
        <v>2182</v>
      </c>
      <c r="Q4351" s="1" t="s">
        <v>2276</v>
      </c>
      <c r="R4351" s="1" t="s">
        <v>669</v>
      </c>
      <c r="S4351" s="1" t="s">
        <v>168</v>
      </c>
      <c r="T4351" t="s">
        <v>421</v>
      </c>
      <c r="U4351" t="s">
        <v>421</v>
      </c>
      <c r="X4351" t="s">
        <v>161</v>
      </c>
      <c r="Y4351" t="s">
        <v>2272</v>
      </c>
      <c r="Z4351" t="s">
        <v>2272</v>
      </c>
      <c r="AA4351" t="s">
        <v>2272</v>
      </c>
      <c r="AB4351" t="s">
        <v>2272</v>
      </c>
      <c r="AC4351" t="s">
        <v>162</v>
      </c>
      <c r="AD4351" t="s">
        <v>2272</v>
      </c>
      <c r="AF4351" t="s">
        <v>49</v>
      </c>
      <c r="AL4351" t="s">
        <v>49</v>
      </c>
      <c r="AM4351" t="s">
        <v>518</v>
      </c>
      <c r="AN4351" t="s">
        <v>166</v>
      </c>
      <c r="AQ4351" s="5">
        <v>0</v>
      </c>
    </row>
    <row r="4352" spans="1:43" x14ac:dyDescent="0.2">
      <c r="A4352" t="s">
        <v>2178</v>
      </c>
      <c r="B4352" t="s">
        <v>2179</v>
      </c>
      <c r="C4352">
        <v>2004</v>
      </c>
      <c r="D4352" t="s">
        <v>44</v>
      </c>
      <c r="F4352" t="s">
        <v>628</v>
      </c>
      <c r="G4352" t="s">
        <v>91</v>
      </c>
      <c r="H4352" t="s">
        <v>350</v>
      </c>
      <c r="I4352">
        <v>2001</v>
      </c>
      <c r="J4352">
        <v>0.3</v>
      </c>
      <c r="K4352" t="s">
        <v>101</v>
      </c>
      <c r="M4352">
        <v>0.25</v>
      </c>
      <c r="N4352" t="s">
        <v>120</v>
      </c>
      <c r="O4352" t="s">
        <v>120</v>
      </c>
      <c r="P4352" t="s">
        <v>2183</v>
      </c>
      <c r="Q4352" s="1" t="s">
        <v>2276</v>
      </c>
      <c r="R4352" s="1" t="s">
        <v>751</v>
      </c>
      <c r="S4352" s="1" t="s">
        <v>2346</v>
      </c>
      <c r="T4352" t="s">
        <v>421</v>
      </c>
      <c r="U4352" t="s">
        <v>421</v>
      </c>
      <c r="X4352" t="s">
        <v>161</v>
      </c>
      <c r="Y4352" t="s">
        <v>2272</v>
      </c>
      <c r="Z4352" t="s">
        <v>2272</v>
      </c>
      <c r="AA4352" t="s">
        <v>2272</v>
      </c>
      <c r="AB4352" t="s">
        <v>2272</v>
      </c>
      <c r="AC4352" t="s">
        <v>162</v>
      </c>
      <c r="AD4352" t="s">
        <v>2272</v>
      </c>
      <c r="AF4352" t="s">
        <v>49</v>
      </c>
      <c r="AL4352" t="s">
        <v>49</v>
      </c>
      <c r="AM4352" t="s">
        <v>518</v>
      </c>
      <c r="AN4352" t="s">
        <v>166</v>
      </c>
      <c r="AQ4352" s="5">
        <v>1</v>
      </c>
    </row>
    <row r="4353" spans="1:43" x14ac:dyDescent="0.2">
      <c r="A4353" t="s">
        <v>2178</v>
      </c>
      <c r="B4353" t="s">
        <v>2179</v>
      </c>
      <c r="C4353">
        <v>2004</v>
      </c>
      <c r="D4353" t="s">
        <v>44</v>
      </c>
      <c r="F4353" t="s">
        <v>628</v>
      </c>
      <c r="G4353" t="s">
        <v>91</v>
      </c>
      <c r="H4353" t="s">
        <v>350</v>
      </c>
      <c r="I4353">
        <v>2001</v>
      </c>
      <c r="J4353">
        <v>0.3</v>
      </c>
      <c r="K4353" t="s">
        <v>101</v>
      </c>
      <c r="M4353">
        <v>0.25</v>
      </c>
      <c r="N4353" t="s">
        <v>120</v>
      </c>
      <c r="O4353" t="s">
        <v>120</v>
      </c>
      <c r="P4353" t="s">
        <v>2180</v>
      </c>
      <c r="Q4353" s="1" t="s">
        <v>2276</v>
      </c>
      <c r="R4353" s="1" t="s">
        <v>669</v>
      </c>
      <c r="S4353" s="1" t="s">
        <v>168</v>
      </c>
      <c r="T4353" t="s">
        <v>396</v>
      </c>
      <c r="U4353" t="s">
        <v>2423</v>
      </c>
      <c r="X4353" t="s">
        <v>161</v>
      </c>
      <c r="Y4353" t="s">
        <v>2272</v>
      </c>
      <c r="Z4353" t="s">
        <v>2272</v>
      </c>
      <c r="AA4353" t="s">
        <v>2272</v>
      </c>
      <c r="AB4353" t="s">
        <v>2272</v>
      </c>
      <c r="AC4353" t="s">
        <v>162</v>
      </c>
      <c r="AD4353" t="s">
        <v>2272</v>
      </c>
      <c r="AF4353" t="s">
        <v>49</v>
      </c>
      <c r="AL4353" t="s">
        <v>49</v>
      </c>
      <c r="AM4353" t="s">
        <v>2193</v>
      </c>
      <c r="AN4353" t="s">
        <v>166</v>
      </c>
      <c r="AQ4353" s="5">
        <v>2</v>
      </c>
    </row>
    <row r="4354" spans="1:43" x14ac:dyDescent="0.2">
      <c r="A4354" t="s">
        <v>2178</v>
      </c>
      <c r="B4354" t="s">
        <v>2179</v>
      </c>
      <c r="C4354">
        <v>2004</v>
      </c>
      <c r="D4354" t="s">
        <v>44</v>
      </c>
      <c r="F4354" t="s">
        <v>628</v>
      </c>
      <c r="G4354" t="s">
        <v>91</v>
      </c>
      <c r="H4354" t="s">
        <v>350</v>
      </c>
      <c r="I4354">
        <v>2001</v>
      </c>
      <c r="J4354">
        <v>0.3</v>
      </c>
      <c r="K4354" t="s">
        <v>101</v>
      </c>
      <c r="M4354">
        <v>0.25</v>
      </c>
      <c r="N4354" t="s">
        <v>120</v>
      </c>
      <c r="O4354" t="s">
        <v>120</v>
      </c>
      <c r="P4354" t="s">
        <v>2181</v>
      </c>
      <c r="Q4354" s="1" t="s">
        <v>2276</v>
      </c>
      <c r="R4354" s="1" t="s">
        <v>669</v>
      </c>
      <c r="S4354" s="1" t="s">
        <v>168</v>
      </c>
      <c r="T4354" t="s">
        <v>396</v>
      </c>
      <c r="U4354" t="s">
        <v>2423</v>
      </c>
      <c r="X4354" t="s">
        <v>161</v>
      </c>
      <c r="Y4354" t="s">
        <v>2272</v>
      </c>
      <c r="Z4354" t="s">
        <v>2272</v>
      </c>
      <c r="AA4354" t="s">
        <v>2272</v>
      </c>
      <c r="AB4354" t="s">
        <v>2272</v>
      </c>
      <c r="AC4354" t="s">
        <v>162</v>
      </c>
      <c r="AD4354" t="s">
        <v>2272</v>
      </c>
      <c r="AF4354" t="s">
        <v>49</v>
      </c>
      <c r="AL4354" t="s">
        <v>49</v>
      </c>
      <c r="AM4354" t="s">
        <v>2193</v>
      </c>
      <c r="AN4354" t="s">
        <v>166</v>
      </c>
      <c r="AQ4354" s="5">
        <v>2</v>
      </c>
    </row>
    <row r="4355" spans="1:43" x14ac:dyDescent="0.2">
      <c r="A4355" t="s">
        <v>2178</v>
      </c>
      <c r="B4355" t="s">
        <v>2179</v>
      </c>
      <c r="C4355">
        <v>2004</v>
      </c>
      <c r="D4355" t="s">
        <v>44</v>
      </c>
      <c r="F4355" t="s">
        <v>628</v>
      </c>
      <c r="G4355" t="s">
        <v>91</v>
      </c>
      <c r="H4355" t="s">
        <v>350</v>
      </c>
      <c r="I4355">
        <v>2001</v>
      </c>
      <c r="J4355">
        <v>0.3</v>
      </c>
      <c r="K4355" t="s">
        <v>101</v>
      </c>
      <c r="M4355">
        <v>0.25</v>
      </c>
      <c r="N4355" t="s">
        <v>120</v>
      </c>
      <c r="O4355" t="s">
        <v>120</v>
      </c>
      <c r="P4355" t="s">
        <v>2182</v>
      </c>
      <c r="Q4355" s="1" t="s">
        <v>2276</v>
      </c>
      <c r="R4355" s="1" t="s">
        <v>669</v>
      </c>
      <c r="S4355" s="1" t="s">
        <v>168</v>
      </c>
      <c r="T4355" t="s">
        <v>396</v>
      </c>
      <c r="U4355" t="s">
        <v>2423</v>
      </c>
      <c r="X4355" t="s">
        <v>161</v>
      </c>
      <c r="Y4355" t="s">
        <v>2272</v>
      </c>
      <c r="Z4355" t="s">
        <v>2272</v>
      </c>
      <c r="AA4355" t="s">
        <v>2272</v>
      </c>
      <c r="AB4355" t="s">
        <v>2272</v>
      </c>
      <c r="AC4355" t="s">
        <v>162</v>
      </c>
      <c r="AD4355" t="s">
        <v>2272</v>
      </c>
      <c r="AF4355" t="s">
        <v>49</v>
      </c>
      <c r="AL4355" t="s">
        <v>49</v>
      </c>
      <c r="AM4355" t="s">
        <v>2193</v>
      </c>
      <c r="AN4355" t="s">
        <v>166</v>
      </c>
      <c r="AQ4355" s="5">
        <v>1</v>
      </c>
    </row>
    <row r="4356" spans="1:43" x14ac:dyDescent="0.2">
      <c r="A4356" t="s">
        <v>2178</v>
      </c>
      <c r="B4356" t="s">
        <v>2179</v>
      </c>
      <c r="C4356">
        <v>2004</v>
      </c>
      <c r="D4356" t="s">
        <v>44</v>
      </c>
      <c r="F4356" t="s">
        <v>628</v>
      </c>
      <c r="G4356" t="s">
        <v>91</v>
      </c>
      <c r="H4356" t="s">
        <v>350</v>
      </c>
      <c r="I4356">
        <v>2001</v>
      </c>
      <c r="J4356">
        <v>0.3</v>
      </c>
      <c r="K4356" t="s">
        <v>101</v>
      </c>
      <c r="M4356">
        <v>0.25</v>
      </c>
      <c r="N4356" t="s">
        <v>120</v>
      </c>
      <c r="O4356" t="s">
        <v>120</v>
      </c>
      <c r="P4356" t="s">
        <v>2183</v>
      </c>
      <c r="Q4356" s="1" t="s">
        <v>2276</v>
      </c>
      <c r="R4356" s="1" t="s">
        <v>751</v>
      </c>
      <c r="S4356" s="1" t="s">
        <v>2346</v>
      </c>
      <c r="T4356" t="s">
        <v>396</v>
      </c>
      <c r="U4356" t="s">
        <v>2366</v>
      </c>
      <c r="X4356" t="s">
        <v>161</v>
      </c>
      <c r="Y4356" t="s">
        <v>2272</v>
      </c>
      <c r="Z4356" t="s">
        <v>2272</v>
      </c>
      <c r="AA4356" t="s">
        <v>2272</v>
      </c>
      <c r="AB4356" t="s">
        <v>2272</v>
      </c>
      <c r="AC4356" t="s">
        <v>162</v>
      </c>
      <c r="AD4356" t="s">
        <v>2272</v>
      </c>
      <c r="AF4356" t="s">
        <v>49</v>
      </c>
      <c r="AL4356" t="s">
        <v>49</v>
      </c>
      <c r="AM4356" t="s">
        <v>2193</v>
      </c>
      <c r="AN4356" t="s">
        <v>166</v>
      </c>
      <c r="AQ4356" s="5">
        <v>1</v>
      </c>
    </row>
    <row r="4357" spans="1:43" x14ac:dyDescent="0.2">
      <c r="A4357" t="s">
        <v>2178</v>
      </c>
      <c r="B4357" t="s">
        <v>2179</v>
      </c>
      <c r="C4357">
        <v>2004</v>
      </c>
      <c r="D4357" t="s">
        <v>44</v>
      </c>
      <c r="F4357" t="s">
        <v>628</v>
      </c>
      <c r="G4357" t="s">
        <v>91</v>
      </c>
      <c r="H4357" t="s">
        <v>350</v>
      </c>
      <c r="I4357">
        <v>2001</v>
      </c>
      <c r="J4357">
        <v>0.3</v>
      </c>
      <c r="K4357" t="s">
        <v>101</v>
      </c>
      <c r="M4357">
        <v>0.25</v>
      </c>
      <c r="N4357" t="s">
        <v>120</v>
      </c>
      <c r="O4357" t="s">
        <v>120</v>
      </c>
      <c r="P4357" t="s">
        <v>2180</v>
      </c>
      <c r="Q4357" s="1" t="s">
        <v>2276</v>
      </c>
      <c r="R4357" s="1" t="s">
        <v>669</v>
      </c>
      <c r="S4357" s="1" t="s">
        <v>168</v>
      </c>
      <c r="T4357" t="s">
        <v>421</v>
      </c>
      <c r="U4357" t="s">
        <v>421</v>
      </c>
      <c r="X4357" t="s">
        <v>161</v>
      </c>
      <c r="Y4357" t="s">
        <v>2272</v>
      </c>
      <c r="Z4357" t="s">
        <v>2272</v>
      </c>
      <c r="AA4357" t="s">
        <v>2272</v>
      </c>
      <c r="AB4357" t="s">
        <v>2272</v>
      </c>
      <c r="AC4357" t="s">
        <v>162</v>
      </c>
      <c r="AD4357" t="s">
        <v>2272</v>
      </c>
      <c r="AF4357" t="s">
        <v>49</v>
      </c>
      <c r="AL4357" t="s">
        <v>49</v>
      </c>
      <c r="AM4357" t="s">
        <v>2193</v>
      </c>
      <c r="AN4357" t="s">
        <v>166</v>
      </c>
      <c r="AQ4357" s="5">
        <v>2</v>
      </c>
    </row>
    <row r="4358" spans="1:43" x14ac:dyDescent="0.2">
      <c r="A4358" t="s">
        <v>2178</v>
      </c>
      <c r="B4358" t="s">
        <v>2179</v>
      </c>
      <c r="C4358">
        <v>2004</v>
      </c>
      <c r="D4358" t="s">
        <v>44</v>
      </c>
      <c r="F4358" t="s">
        <v>628</v>
      </c>
      <c r="G4358" t="s">
        <v>91</v>
      </c>
      <c r="H4358" t="s">
        <v>350</v>
      </c>
      <c r="I4358">
        <v>2001</v>
      </c>
      <c r="J4358">
        <v>0.3</v>
      </c>
      <c r="K4358" t="s">
        <v>101</v>
      </c>
      <c r="M4358">
        <v>0.25</v>
      </c>
      <c r="N4358" t="s">
        <v>120</v>
      </c>
      <c r="O4358" t="s">
        <v>120</v>
      </c>
      <c r="P4358" t="s">
        <v>2181</v>
      </c>
      <c r="Q4358" s="1" t="s">
        <v>2276</v>
      </c>
      <c r="R4358" s="1" t="s">
        <v>669</v>
      </c>
      <c r="S4358" s="1" t="s">
        <v>168</v>
      </c>
      <c r="T4358" t="s">
        <v>421</v>
      </c>
      <c r="U4358" t="s">
        <v>421</v>
      </c>
      <c r="X4358" t="s">
        <v>161</v>
      </c>
      <c r="Y4358" t="s">
        <v>2272</v>
      </c>
      <c r="Z4358" t="s">
        <v>2272</v>
      </c>
      <c r="AA4358" t="s">
        <v>2272</v>
      </c>
      <c r="AB4358" t="s">
        <v>2272</v>
      </c>
      <c r="AC4358" t="s">
        <v>162</v>
      </c>
      <c r="AD4358" t="s">
        <v>2272</v>
      </c>
      <c r="AF4358" t="s">
        <v>49</v>
      </c>
      <c r="AL4358" t="s">
        <v>49</v>
      </c>
      <c r="AM4358" t="s">
        <v>2193</v>
      </c>
      <c r="AN4358" t="s">
        <v>166</v>
      </c>
      <c r="AQ4358" s="5">
        <v>2</v>
      </c>
    </row>
    <row r="4359" spans="1:43" x14ac:dyDescent="0.2">
      <c r="A4359" t="s">
        <v>2178</v>
      </c>
      <c r="B4359" t="s">
        <v>2179</v>
      </c>
      <c r="C4359">
        <v>2004</v>
      </c>
      <c r="D4359" t="s">
        <v>44</v>
      </c>
      <c r="F4359" t="s">
        <v>628</v>
      </c>
      <c r="G4359" t="s">
        <v>91</v>
      </c>
      <c r="H4359" t="s">
        <v>350</v>
      </c>
      <c r="I4359">
        <v>2001</v>
      </c>
      <c r="J4359">
        <v>0.3</v>
      </c>
      <c r="K4359" t="s">
        <v>101</v>
      </c>
      <c r="M4359">
        <v>0.25</v>
      </c>
      <c r="N4359" t="s">
        <v>120</v>
      </c>
      <c r="O4359" t="s">
        <v>120</v>
      </c>
      <c r="P4359" t="s">
        <v>2182</v>
      </c>
      <c r="Q4359" s="1" t="s">
        <v>2276</v>
      </c>
      <c r="R4359" s="1" t="s">
        <v>669</v>
      </c>
      <c r="S4359" s="1" t="s">
        <v>168</v>
      </c>
      <c r="T4359" t="s">
        <v>421</v>
      </c>
      <c r="U4359" t="s">
        <v>421</v>
      </c>
      <c r="X4359" t="s">
        <v>161</v>
      </c>
      <c r="Y4359" t="s">
        <v>2272</v>
      </c>
      <c r="Z4359" t="s">
        <v>2272</v>
      </c>
      <c r="AA4359" t="s">
        <v>2272</v>
      </c>
      <c r="AB4359" t="s">
        <v>2272</v>
      </c>
      <c r="AC4359" t="s">
        <v>162</v>
      </c>
      <c r="AD4359" t="s">
        <v>2272</v>
      </c>
      <c r="AF4359" t="s">
        <v>49</v>
      </c>
      <c r="AL4359" t="s">
        <v>49</v>
      </c>
      <c r="AM4359" t="s">
        <v>2193</v>
      </c>
      <c r="AN4359" t="s">
        <v>166</v>
      </c>
      <c r="AQ4359" s="5">
        <v>1</v>
      </c>
    </row>
    <row r="4360" spans="1:43" x14ac:dyDescent="0.2">
      <c r="A4360" t="s">
        <v>2178</v>
      </c>
      <c r="B4360" t="s">
        <v>2179</v>
      </c>
      <c r="C4360">
        <v>2004</v>
      </c>
      <c r="D4360" t="s">
        <v>44</v>
      </c>
      <c r="F4360" t="s">
        <v>628</v>
      </c>
      <c r="G4360" t="s">
        <v>91</v>
      </c>
      <c r="H4360" t="s">
        <v>350</v>
      </c>
      <c r="I4360">
        <v>2001</v>
      </c>
      <c r="J4360">
        <v>0.3</v>
      </c>
      <c r="K4360" t="s">
        <v>101</v>
      </c>
      <c r="M4360">
        <v>0.25</v>
      </c>
      <c r="N4360" t="s">
        <v>120</v>
      </c>
      <c r="O4360" t="s">
        <v>120</v>
      </c>
      <c r="P4360" t="s">
        <v>2183</v>
      </c>
      <c r="Q4360" s="1" t="s">
        <v>2276</v>
      </c>
      <c r="R4360" s="1" t="s">
        <v>751</v>
      </c>
      <c r="S4360" s="1" t="s">
        <v>2346</v>
      </c>
      <c r="T4360" t="s">
        <v>421</v>
      </c>
      <c r="U4360" t="s">
        <v>421</v>
      </c>
      <c r="X4360" t="s">
        <v>161</v>
      </c>
      <c r="Y4360" t="s">
        <v>2272</v>
      </c>
      <c r="Z4360" t="s">
        <v>2272</v>
      </c>
      <c r="AA4360" t="s">
        <v>2272</v>
      </c>
      <c r="AB4360" t="s">
        <v>2272</v>
      </c>
      <c r="AC4360" t="s">
        <v>162</v>
      </c>
      <c r="AD4360" t="s">
        <v>2272</v>
      </c>
      <c r="AF4360" t="s">
        <v>49</v>
      </c>
      <c r="AL4360" t="s">
        <v>49</v>
      </c>
      <c r="AM4360" t="s">
        <v>2193</v>
      </c>
      <c r="AN4360" t="s">
        <v>166</v>
      </c>
      <c r="AQ4360" s="5">
        <v>1</v>
      </c>
    </row>
    <row r="4361" spans="1:43" x14ac:dyDescent="0.2">
      <c r="A4361" t="s">
        <v>2178</v>
      </c>
      <c r="B4361" t="s">
        <v>2179</v>
      </c>
      <c r="C4361">
        <v>2004</v>
      </c>
      <c r="D4361" t="s">
        <v>44</v>
      </c>
      <c r="F4361" t="s">
        <v>628</v>
      </c>
      <c r="G4361" t="s">
        <v>91</v>
      </c>
      <c r="H4361" t="s">
        <v>350</v>
      </c>
      <c r="I4361">
        <v>2001</v>
      </c>
      <c r="J4361">
        <v>0.3</v>
      </c>
      <c r="K4361" t="s">
        <v>101</v>
      </c>
      <c r="M4361">
        <v>0.25</v>
      </c>
      <c r="N4361" t="s">
        <v>120</v>
      </c>
      <c r="O4361" t="s">
        <v>120</v>
      </c>
      <c r="P4361" t="s">
        <v>2180</v>
      </c>
      <c r="Q4361" s="1" t="s">
        <v>2276</v>
      </c>
      <c r="R4361" s="1" t="s">
        <v>669</v>
      </c>
      <c r="S4361" s="1" t="s">
        <v>168</v>
      </c>
      <c r="T4361" t="s">
        <v>396</v>
      </c>
      <c r="U4361" t="s">
        <v>2423</v>
      </c>
      <c r="X4361" t="s">
        <v>161</v>
      </c>
      <c r="Y4361" t="s">
        <v>2272</v>
      </c>
      <c r="Z4361" t="s">
        <v>2272</v>
      </c>
      <c r="AA4361" t="s">
        <v>2272</v>
      </c>
      <c r="AB4361" t="s">
        <v>2272</v>
      </c>
      <c r="AC4361" t="s">
        <v>162</v>
      </c>
      <c r="AD4361" t="s">
        <v>2272</v>
      </c>
      <c r="AF4361" t="s">
        <v>49</v>
      </c>
      <c r="AL4361" t="s">
        <v>49</v>
      </c>
      <c r="AM4361" t="s">
        <v>2194</v>
      </c>
      <c r="AN4361" t="s">
        <v>166</v>
      </c>
      <c r="AQ4361" s="5">
        <v>4</v>
      </c>
    </row>
    <row r="4362" spans="1:43" x14ac:dyDescent="0.2">
      <c r="A4362" t="s">
        <v>2178</v>
      </c>
      <c r="B4362" t="s">
        <v>2179</v>
      </c>
      <c r="C4362">
        <v>2004</v>
      </c>
      <c r="D4362" t="s">
        <v>44</v>
      </c>
      <c r="F4362" t="s">
        <v>628</v>
      </c>
      <c r="G4362" t="s">
        <v>91</v>
      </c>
      <c r="H4362" t="s">
        <v>350</v>
      </c>
      <c r="I4362">
        <v>2001</v>
      </c>
      <c r="J4362">
        <v>0.3</v>
      </c>
      <c r="K4362" t="s">
        <v>101</v>
      </c>
      <c r="M4362">
        <v>0.25</v>
      </c>
      <c r="N4362" t="s">
        <v>120</v>
      </c>
      <c r="O4362" t="s">
        <v>120</v>
      </c>
      <c r="P4362" t="s">
        <v>2181</v>
      </c>
      <c r="Q4362" s="1" t="s">
        <v>2276</v>
      </c>
      <c r="R4362" s="1" t="s">
        <v>669</v>
      </c>
      <c r="S4362" s="1" t="s">
        <v>168</v>
      </c>
      <c r="T4362" t="s">
        <v>396</v>
      </c>
      <c r="U4362" t="s">
        <v>2423</v>
      </c>
      <c r="X4362" t="s">
        <v>161</v>
      </c>
      <c r="Y4362" t="s">
        <v>2272</v>
      </c>
      <c r="Z4362" t="s">
        <v>2272</v>
      </c>
      <c r="AA4362" t="s">
        <v>2272</v>
      </c>
      <c r="AB4362" t="s">
        <v>2272</v>
      </c>
      <c r="AC4362" t="s">
        <v>162</v>
      </c>
      <c r="AD4362" t="s">
        <v>2272</v>
      </c>
      <c r="AF4362" t="s">
        <v>49</v>
      </c>
      <c r="AL4362" t="s">
        <v>49</v>
      </c>
      <c r="AM4362" t="s">
        <v>2194</v>
      </c>
      <c r="AN4362" t="s">
        <v>166</v>
      </c>
      <c r="AQ4362" s="5">
        <v>3</v>
      </c>
    </row>
    <row r="4363" spans="1:43" x14ac:dyDescent="0.2">
      <c r="A4363" t="s">
        <v>2178</v>
      </c>
      <c r="B4363" t="s">
        <v>2179</v>
      </c>
      <c r="C4363">
        <v>2004</v>
      </c>
      <c r="D4363" t="s">
        <v>44</v>
      </c>
      <c r="F4363" t="s">
        <v>628</v>
      </c>
      <c r="G4363" t="s">
        <v>91</v>
      </c>
      <c r="H4363" t="s">
        <v>350</v>
      </c>
      <c r="I4363">
        <v>2001</v>
      </c>
      <c r="J4363">
        <v>0.3</v>
      </c>
      <c r="K4363" t="s">
        <v>101</v>
      </c>
      <c r="M4363">
        <v>0.25</v>
      </c>
      <c r="N4363" t="s">
        <v>120</v>
      </c>
      <c r="O4363" t="s">
        <v>120</v>
      </c>
      <c r="P4363" t="s">
        <v>2182</v>
      </c>
      <c r="Q4363" s="1" t="s">
        <v>2276</v>
      </c>
      <c r="R4363" s="1" t="s">
        <v>669</v>
      </c>
      <c r="S4363" s="1" t="s">
        <v>168</v>
      </c>
      <c r="T4363" t="s">
        <v>396</v>
      </c>
      <c r="U4363" t="s">
        <v>2423</v>
      </c>
      <c r="X4363" t="s">
        <v>161</v>
      </c>
      <c r="Y4363" t="s">
        <v>2272</v>
      </c>
      <c r="Z4363" t="s">
        <v>2272</v>
      </c>
      <c r="AA4363" t="s">
        <v>2272</v>
      </c>
      <c r="AB4363" t="s">
        <v>2272</v>
      </c>
      <c r="AC4363" t="s">
        <v>162</v>
      </c>
      <c r="AD4363" t="s">
        <v>2272</v>
      </c>
      <c r="AF4363" t="s">
        <v>49</v>
      </c>
      <c r="AL4363" t="s">
        <v>49</v>
      </c>
      <c r="AM4363" t="s">
        <v>2194</v>
      </c>
      <c r="AN4363" t="s">
        <v>166</v>
      </c>
      <c r="AQ4363" s="5">
        <v>1</v>
      </c>
    </row>
    <row r="4364" spans="1:43" x14ac:dyDescent="0.2">
      <c r="A4364" t="s">
        <v>2178</v>
      </c>
      <c r="B4364" t="s">
        <v>2179</v>
      </c>
      <c r="C4364">
        <v>2004</v>
      </c>
      <c r="D4364" t="s">
        <v>44</v>
      </c>
      <c r="F4364" t="s">
        <v>628</v>
      </c>
      <c r="G4364" t="s">
        <v>91</v>
      </c>
      <c r="H4364" t="s">
        <v>350</v>
      </c>
      <c r="I4364">
        <v>2001</v>
      </c>
      <c r="J4364">
        <v>0.3</v>
      </c>
      <c r="K4364" t="s">
        <v>101</v>
      </c>
      <c r="M4364">
        <v>0.25</v>
      </c>
      <c r="N4364" t="s">
        <v>120</v>
      </c>
      <c r="O4364" t="s">
        <v>120</v>
      </c>
      <c r="P4364" t="s">
        <v>2183</v>
      </c>
      <c r="Q4364" s="1" t="s">
        <v>2276</v>
      </c>
      <c r="R4364" s="1" t="s">
        <v>751</v>
      </c>
      <c r="S4364" s="1" t="s">
        <v>2346</v>
      </c>
      <c r="T4364" t="s">
        <v>396</v>
      </c>
      <c r="U4364" t="s">
        <v>2366</v>
      </c>
      <c r="X4364" t="s">
        <v>161</v>
      </c>
      <c r="Y4364" t="s">
        <v>2272</v>
      </c>
      <c r="Z4364" t="s">
        <v>2272</v>
      </c>
      <c r="AA4364" t="s">
        <v>2272</v>
      </c>
      <c r="AB4364" t="s">
        <v>2272</v>
      </c>
      <c r="AC4364" t="s">
        <v>162</v>
      </c>
      <c r="AD4364" t="s">
        <v>2272</v>
      </c>
      <c r="AF4364" t="s">
        <v>49</v>
      </c>
      <c r="AL4364" t="s">
        <v>49</v>
      </c>
      <c r="AM4364" t="s">
        <v>2194</v>
      </c>
      <c r="AN4364" t="s">
        <v>166</v>
      </c>
      <c r="AQ4364" s="5">
        <v>2</v>
      </c>
    </row>
    <row r="4365" spans="1:43" x14ac:dyDescent="0.2">
      <c r="A4365" t="s">
        <v>2178</v>
      </c>
      <c r="B4365" t="s">
        <v>2179</v>
      </c>
      <c r="C4365">
        <v>2004</v>
      </c>
      <c r="D4365" t="s">
        <v>44</v>
      </c>
      <c r="F4365" t="s">
        <v>628</v>
      </c>
      <c r="G4365" t="s">
        <v>91</v>
      </c>
      <c r="H4365" t="s">
        <v>350</v>
      </c>
      <c r="I4365">
        <v>2001</v>
      </c>
      <c r="J4365">
        <v>0.3</v>
      </c>
      <c r="K4365" t="s">
        <v>101</v>
      </c>
      <c r="M4365">
        <v>0.25</v>
      </c>
      <c r="N4365" t="s">
        <v>120</v>
      </c>
      <c r="O4365" t="s">
        <v>120</v>
      </c>
      <c r="P4365" t="s">
        <v>2180</v>
      </c>
      <c r="Q4365" s="1" t="s">
        <v>2276</v>
      </c>
      <c r="R4365" s="1" t="s">
        <v>669</v>
      </c>
      <c r="S4365" s="1" t="s">
        <v>168</v>
      </c>
      <c r="T4365" t="s">
        <v>421</v>
      </c>
      <c r="U4365" t="s">
        <v>421</v>
      </c>
      <c r="X4365" t="s">
        <v>161</v>
      </c>
      <c r="Y4365" t="s">
        <v>2272</v>
      </c>
      <c r="Z4365" t="s">
        <v>2272</v>
      </c>
      <c r="AA4365" t="s">
        <v>2272</v>
      </c>
      <c r="AB4365" t="s">
        <v>2272</v>
      </c>
      <c r="AC4365" t="s">
        <v>162</v>
      </c>
      <c r="AD4365" t="s">
        <v>2272</v>
      </c>
      <c r="AF4365" t="s">
        <v>49</v>
      </c>
      <c r="AL4365" t="s">
        <v>49</v>
      </c>
      <c r="AM4365" t="s">
        <v>2194</v>
      </c>
      <c r="AN4365" t="s">
        <v>166</v>
      </c>
      <c r="AQ4365" s="5">
        <v>2</v>
      </c>
    </row>
    <row r="4366" spans="1:43" x14ac:dyDescent="0.2">
      <c r="A4366" t="s">
        <v>2178</v>
      </c>
      <c r="B4366" t="s">
        <v>2179</v>
      </c>
      <c r="C4366">
        <v>2004</v>
      </c>
      <c r="D4366" t="s">
        <v>44</v>
      </c>
      <c r="F4366" t="s">
        <v>628</v>
      </c>
      <c r="G4366" t="s">
        <v>91</v>
      </c>
      <c r="H4366" t="s">
        <v>350</v>
      </c>
      <c r="I4366">
        <v>2001</v>
      </c>
      <c r="J4366">
        <v>0.3</v>
      </c>
      <c r="K4366" t="s">
        <v>101</v>
      </c>
      <c r="M4366">
        <v>0.25</v>
      </c>
      <c r="N4366" t="s">
        <v>120</v>
      </c>
      <c r="O4366" t="s">
        <v>120</v>
      </c>
      <c r="P4366" t="s">
        <v>2181</v>
      </c>
      <c r="Q4366" s="1" t="s">
        <v>2276</v>
      </c>
      <c r="R4366" s="1" t="s">
        <v>669</v>
      </c>
      <c r="S4366" s="1" t="s">
        <v>168</v>
      </c>
      <c r="T4366" t="s">
        <v>421</v>
      </c>
      <c r="U4366" t="s">
        <v>421</v>
      </c>
      <c r="X4366" t="s">
        <v>161</v>
      </c>
      <c r="Y4366" t="s">
        <v>2272</v>
      </c>
      <c r="Z4366" t="s">
        <v>2272</v>
      </c>
      <c r="AA4366" t="s">
        <v>2272</v>
      </c>
      <c r="AB4366" t="s">
        <v>2272</v>
      </c>
      <c r="AC4366" t="s">
        <v>162</v>
      </c>
      <c r="AD4366" t="s">
        <v>2272</v>
      </c>
      <c r="AF4366" t="s">
        <v>49</v>
      </c>
      <c r="AL4366" t="s">
        <v>49</v>
      </c>
      <c r="AM4366" t="s">
        <v>2194</v>
      </c>
      <c r="AN4366" t="s">
        <v>166</v>
      </c>
      <c r="AQ4366" s="5">
        <v>0</v>
      </c>
    </row>
    <row r="4367" spans="1:43" x14ac:dyDescent="0.2">
      <c r="A4367" t="s">
        <v>2178</v>
      </c>
      <c r="B4367" t="s">
        <v>2179</v>
      </c>
      <c r="C4367">
        <v>2004</v>
      </c>
      <c r="D4367" t="s">
        <v>44</v>
      </c>
      <c r="F4367" t="s">
        <v>628</v>
      </c>
      <c r="G4367" t="s">
        <v>91</v>
      </c>
      <c r="H4367" t="s">
        <v>350</v>
      </c>
      <c r="I4367">
        <v>2001</v>
      </c>
      <c r="J4367">
        <v>0.3</v>
      </c>
      <c r="K4367" t="s">
        <v>101</v>
      </c>
      <c r="M4367">
        <v>0.25</v>
      </c>
      <c r="N4367" t="s">
        <v>120</v>
      </c>
      <c r="O4367" t="s">
        <v>120</v>
      </c>
      <c r="P4367" t="s">
        <v>2182</v>
      </c>
      <c r="Q4367" s="1" t="s">
        <v>2276</v>
      </c>
      <c r="R4367" s="1" t="s">
        <v>669</v>
      </c>
      <c r="S4367" s="1" t="s">
        <v>168</v>
      </c>
      <c r="T4367" t="s">
        <v>421</v>
      </c>
      <c r="U4367" t="s">
        <v>421</v>
      </c>
      <c r="X4367" t="s">
        <v>161</v>
      </c>
      <c r="Y4367" t="s">
        <v>2272</v>
      </c>
      <c r="Z4367" t="s">
        <v>2272</v>
      </c>
      <c r="AA4367" t="s">
        <v>2272</v>
      </c>
      <c r="AB4367" t="s">
        <v>2272</v>
      </c>
      <c r="AC4367" t="s">
        <v>162</v>
      </c>
      <c r="AD4367" t="s">
        <v>2272</v>
      </c>
      <c r="AF4367" t="s">
        <v>49</v>
      </c>
      <c r="AL4367" t="s">
        <v>49</v>
      </c>
      <c r="AM4367" t="s">
        <v>2194</v>
      </c>
      <c r="AN4367" t="s">
        <v>166</v>
      </c>
      <c r="AQ4367" s="5">
        <v>1</v>
      </c>
    </row>
    <row r="4368" spans="1:43" x14ac:dyDescent="0.2">
      <c r="A4368" t="s">
        <v>2178</v>
      </c>
      <c r="B4368" t="s">
        <v>2179</v>
      </c>
      <c r="C4368">
        <v>2004</v>
      </c>
      <c r="D4368" t="s">
        <v>44</v>
      </c>
      <c r="F4368" t="s">
        <v>628</v>
      </c>
      <c r="G4368" t="s">
        <v>91</v>
      </c>
      <c r="H4368" t="s">
        <v>350</v>
      </c>
      <c r="I4368">
        <v>2001</v>
      </c>
      <c r="J4368">
        <v>0.3</v>
      </c>
      <c r="K4368" t="s">
        <v>101</v>
      </c>
      <c r="M4368">
        <v>0.25</v>
      </c>
      <c r="N4368" t="s">
        <v>120</v>
      </c>
      <c r="O4368" t="s">
        <v>120</v>
      </c>
      <c r="P4368" t="s">
        <v>2183</v>
      </c>
      <c r="Q4368" s="1" t="s">
        <v>2276</v>
      </c>
      <c r="R4368" s="1" t="s">
        <v>751</v>
      </c>
      <c r="S4368" s="1" t="s">
        <v>2346</v>
      </c>
      <c r="T4368" t="s">
        <v>421</v>
      </c>
      <c r="U4368" t="s">
        <v>421</v>
      </c>
      <c r="X4368" t="s">
        <v>161</v>
      </c>
      <c r="Y4368" t="s">
        <v>2272</v>
      </c>
      <c r="Z4368" t="s">
        <v>2272</v>
      </c>
      <c r="AA4368" t="s">
        <v>2272</v>
      </c>
      <c r="AB4368" t="s">
        <v>2272</v>
      </c>
      <c r="AC4368" t="s">
        <v>162</v>
      </c>
      <c r="AD4368" t="s">
        <v>2272</v>
      </c>
      <c r="AF4368" t="s">
        <v>49</v>
      </c>
      <c r="AL4368" t="s">
        <v>49</v>
      </c>
      <c r="AM4368" t="s">
        <v>2194</v>
      </c>
      <c r="AN4368" t="s">
        <v>166</v>
      </c>
      <c r="AQ4368" s="5">
        <v>1</v>
      </c>
    </row>
    <row r="4369" spans="1:43" x14ac:dyDescent="0.2">
      <c r="A4369" t="s">
        <v>2178</v>
      </c>
      <c r="B4369" t="s">
        <v>2179</v>
      </c>
      <c r="C4369">
        <v>2004</v>
      </c>
      <c r="D4369" t="s">
        <v>44</v>
      </c>
      <c r="F4369" t="s">
        <v>628</v>
      </c>
      <c r="G4369" t="s">
        <v>91</v>
      </c>
      <c r="H4369" t="s">
        <v>350</v>
      </c>
      <c r="I4369">
        <v>2001</v>
      </c>
      <c r="J4369">
        <v>0.3</v>
      </c>
      <c r="K4369" t="s">
        <v>101</v>
      </c>
      <c r="M4369">
        <v>0.25</v>
      </c>
      <c r="N4369" t="s">
        <v>120</v>
      </c>
      <c r="O4369" t="s">
        <v>120</v>
      </c>
      <c r="P4369" t="s">
        <v>2180</v>
      </c>
      <c r="Q4369" s="1" t="s">
        <v>2276</v>
      </c>
      <c r="R4369" s="1" t="s">
        <v>669</v>
      </c>
      <c r="S4369" s="1" t="s">
        <v>168</v>
      </c>
      <c r="T4369" t="s">
        <v>396</v>
      </c>
      <c r="U4369" t="s">
        <v>2423</v>
      </c>
      <c r="X4369" t="s">
        <v>161</v>
      </c>
      <c r="Y4369" t="s">
        <v>2272</v>
      </c>
      <c r="Z4369" t="s">
        <v>2272</v>
      </c>
      <c r="AA4369" t="s">
        <v>2272</v>
      </c>
      <c r="AB4369" t="s">
        <v>2272</v>
      </c>
      <c r="AC4369" t="s">
        <v>162</v>
      </c>
      <c r="AD4369" t="s">
        <v>2272</v>
      </c>
      <c r="AF4369" t="s">
        <v>49</v>
      </c>
      <c r="AL4369" t="s">
        <v>49</v>
      </c>
      <c r="AM4369" t="s">
        <v>2195</v>
      </c>
      <c r="AN4369" t="s">
        <v>166</v>
      </c>
      <c r="AQ4369" s="5">
        <v>3</v>
      </c>
    </row>
    <row r="4370" spans="1:43" x14ac:dyDescent="0.2">
      <c r="A4370" t="s">
        <v>2178</v>
      </c>
      <c r="B4370" t="s">
        <v>2179</v>
      </c>
      <c r="C4370">
        <v>2004</v>
      </c>
      <c r="D4370" t="s">
        <v>44</v>
      </c>
      <c r="F4370" t="s">
        <v>628</v>
      </c>
      <c r="G4370" t="s">
        <v>91</v>
      </c>
      <c r="H4370" t="s">
        <v>350</v>
      </c>
      <c r="I4370">
        <v>2001</v>
      </c>
      <c r="J4370">
        <v>0.3</v>
      </c>
      <c r="K4370" t="s">
        <v>101</v>
      </c>
      <c r="M4370">
        <v>0.25</v>
      </c>
      <c r="N4370" t="s">
        <v>120</v>
      </c>
      <c r="O4370" t="s">
        <v>120</v>
      </c>
      <c r="P4370" t="s">
        <v>2181</v>
      </c>
      <c r="Q4370" s="1" t="s">
        <v>2276</v>
      </c>
      <c r="R4370" s="1" t="s">
        <v>669</v>
      </c>
      <c r="S4370" s="1" t="s">
        <v>168</v>
      </c>
      <c r="T4370" t="s">
        <v>396</v>
      </c>
      <c r="U4370" t="s">
        <v>2423</v>
      </c>
      <c r="X4370" t="s">
        <v>161</v>
      </c>
      <c r="Y4370" t="s">
        <v>2272</v>
      </c>
      <c r="Z4370" t="s">
        <v>2272</v>
      </c>
      <c r="AA4370" t="s">
        <v>2272</v>
      </c>
      <c r="AB4370" t="s">
        <v>2272</v>
      </c>
      <c r="AC4370" t="s">
        <v>162</v>
      </c>
      <c r="AD4370" t="s">
        <v>2272</v>
      </c>
      <c r="AF4370" t="s">
        <v>49</v>
      </c>
      <c r="AL4370" t="s">
        <v>49</v>
      </c>
      <c r="AM4370" t="s">
        <v>2195</v>
      </c>
      <c r="AN4370" t="s">
        <v>166</v>
      </c>
      <c r="AQ4370" s="5">
        <v>2</v>
      </c>
    </row>
    <row r="4371" spans="1:43" x14ac:dyDescent="0.2">
      <c r="A4371" t="s">
        <v>2178</v>
      </c>
      <c r="B4371" t="s">
        <v>2179</v>
      </c>
      <c r="C4371">
        <v>2004</v>
      </c>
      <c r="D4371" t="s">
        <v>44</v>
      </c>
      <c r="F4371" t="s">
        <v>628</v>
      </c>
      <c r="G4371" t="s">
        <v>91</v>
      </c>
      <c r="H4371" t="s">
        <v>350</v>
      </c>
      <c r="I4371">
        <v>2001</v>
      </c>
      <c r="J4371">
        <v>0.3</v>
      </c>
      <c r="K4371" t="s">
        <v>101</v>
      </c>
      <c r="M4371">
        <v>0.25</v>
      </c>
      <c r="N4371" t="s">
        <v>120</v>
      </c>
      <c r="O4371" t="s">
        <v>120</v>
      </c>
      <c r="P4371" t="s">
        <v>2182</v>
      </c>
      <c r="Q4371" s="1" t="s">
        <v>2276</v>
      </c>
      <c r="R4371" s="1" t="s">
        <v>669</v>
      </c>
      <c r="S4371" s="1" t="s">
        <v>168</v>
      </c>
      <c r="T4371" t="s">
        <v>396</v>
      </c>
      <c r="U4371" t="s">
        <v>2423</v>
      </c>
      <c r="X4371" t="s">
        <v>161</v>
      </c>
      <c r="Y4371" t="s">
        <v>2272</v>
      </c>
      <c r="Z4371" t="s">
        <v>2272</v>
      </c>
      <c r="AA4371" t="s">
        <v>2272</v>
      </c>
      <c r="AB4371" t="s">
        <v>2272</v>
      </c>
      <c r="AC4371" t="s">
        <v>162</v>
      </c>
      <c r="AD4371" t="s">
        <v>2272</v>
      </c>
      <c r="AF4371" t="s">
        <v>49</v>
      </c>
      <c r="AL4371" t="s">
        <v>49</v>
      </c>
      <c r="AM4371" t="s">
        <v>2195</v>
      </c>
      <c r="AN4371" t="s">
        <v>166</v>
      </c>
      <c r="AQ4371" s="5">
        <v>2</v>
      </c>
    </row>
    <row r="4372" spans="1:43" x14ac:dyDescent="0.2">
      <c r="A4372" t="s">
        <v>2178</v>
      </c>
      <c r="B4372" t="s">
        <v>2179</v>
      </c>
      <c r="C4372">
        <v>2004</v>
      </c>
      <c r="D4372" t="s">
        <v>44</v>
      </c>
      <c r="F4372" t="s">
        <v>628</v>
      </c>
      <c r="G4372" t="s">
        <v>91</v>
      </c>
      <c r="H4372" t="s">
        <v>350</v>
      </c>
      <c r="I4372">
        <v>2001</v>
      </c>
      <c r="J4372">
        <v>0.3</v>
      </c>
      <c r="K4372" t="s">
        <v>101</v>
      </c>
      <c r="M4372">
        <v>0.25</v>
      </c>
      <c r="N4372" t="s">
        <v>120</v>
      </c>
      <c r="O4372" t="s">
        <v>120</v>
      </c>
      <c r="P4372" t="s">
        <v>2183</v>
      </c>
      <c r="Q4372" s="1" t="s">
        <v>2276</v>
      </c>
      <c r="R4372" s="1" t="s">
        <v>751</v>
      </c>
      <c r="S4372" s="1" t="s">
        <v>2346</v>
      </c>
      <c r="T4372" t="s">
        <v>396</v>
      </c>
      <c r="U4372" t="s">
        <v>2366</v>
      </c>
      <c r="X4372" t="s">
        <v>161</v>
      </c>
      <c r="Y4372" t="s">
        <v>2272</v>
      </c>
      <c r="Z4372" t="s">
        <v>2272</v>
      </c>
      <c r="AA4372" t="s">
        <v>2272</v>
      </c>
      <c r="AB4372" t="s">
        <v>2272</v>
      </c>
      <c r="AC4372" t="s">
        <v>162</v>
      </c>
      <c r="AD4372" t="s">
        <v>2272</v>
      </c>
      <c r="AF4372" t="s">
        <v>49</v>
      </c>
      <c r="AL4372" t="s">
        <v>49</v>
      </c>
      <c r="AM4372" t="s">
        <v>2195</v>
      </c>
      <c r="AN4372" t="s">
        <v>166</v>
      </c>
      <c r="AQ4372" s="5">
        <v>1</v>
      </c>
    </row>
    <row r="4373" spans="1:43" x14ac:dyDescent="0.2">
      <c r="A4373" t="s">
        <v>2178</v>
      </c>
      <c r="B4373" t="s">
        <v>2179</v>
      </c>
      <c r="C4373">
        <v>2004</v>
      </c>
      <c r="D4373" t="s">
        <v>44</v>
      </c>
      <c r="F4373" t="s">
        <v>628</v>
      </c>
      <c r="G4373" t="s">
        <v>91</v>
      </c>
      <c r="H4373" t="s">
        <v>350</v>
      </c>
      <c r="I4373">
        <v>2001</v>
      </c>
      <c r="J4373">
        <v>0.3</v>
      </c>
      <c r="K4373" t="s">
        <v>101</v>
      </c>
      <c r="M4373">
        <v>0.25</v>
      </c>
      <c r="N4373" t="s">
        <v>120</v>
      </c>
      <c r="O4373" t="s">
        <v>120</v>
      </c>
      <c r="P4373" t="s">
        <v>2180</v>
      </c>
      <c r="Q4373" s="1" t="s">
        <v>2276</v>
      </c>
      <c r="R4373" s="1" t="s">
        <v>669</v>
      </c>
      <c r="S4373" s="1" t="s">
        <v>168</v>
      </c>
      <c r="T4373" t="s">
        <v>421</v>
      </c>
      <c r="U4373" t="s">
        <v>421</v>
      </c>
      <c r="X4373" t="s">
        <v>161</v>
      </c>
      <c r="Y4373" t="s">
        <v>2272</v>
      </c>
      <c r="Z4373" t="s">
        <v>2272</v>
      </c>
      <c r="AA4373" t="s">
        <v>2272</v>
      </c>
      <c r="AB4373" t="s">
        <v>2272</v>
      </c>
      <c r="AC4373" t="s">
        <v>162</v>
      </c>
      <c r="AD4373" t="s">
        <v>2272</v>
      </c>
      <c r="AF4373" t="s">
        <v>49</v>
      </c>
      <c r="AL4373" t="s">
        <v>49</v>
      </c>
      <c r="AM4373" t="s">
        <v>2195</v>
      </c>
      <c r="AN4373" t="s">
        <v>166</v>
      </c>
      <c r="AQ4373" s="5">
        <v>0</v>
      </c>
    </row>
    <row r="4374" spans="1:43" x14ac:dyDescent="0.2">
      <c r="A4374" t="s">
        <v>2178</v>
      </c>
      <c r="B4374" t="s">
        <v>2179</v>
      </c>
      <c r="C4374">
        <v>2004</v>
      </c>
      <c r="D4374" t="s">
        <v>44</v>
      </c>
      <c r="F4374" t="s">
        <v>628</v>
      </c>
      <c r="G4374" t="s">
        <v>91</v>
      </c>
      <c r="H4374" t="s">
        <v>350</v>
      </c>
      <c r="I4374">
        <v>2001</v>
      </c>
      <c r="J4374">
        <v>0.3</v>
      </c>
      <c r="K4374" t="s">
        <v>101</v>
      </c>
      <c r="M4374">
        <v>0.25</v>
      </c>
      <c r="N4374" t="s">
        <v>120</v>
      </c>
      <c r="O4374" t="s">
        <v>120</v>
      </c>
      <c r="P4374" t="s">
        <v>2181</v>
      </c>
      <c r="Q4374" s="1" t="s">
        <v>2276</v>
      </c>
      <c r="R4374" s="1" t="s">
        <v>669</v>
      </c>
      <c r="S4374" s="1" t="s">
        <v>168</v>
      </c>
      <c r="T4374" t="s">
        <v>421</v>
      </c>
      <c r="U4374" t="s">
        <v>421</v>
      </c>
      <c r="X4374" t="s">
        <v>161</v>
      </c>
      <c r="Y4374" t="s">
        <v>2272</v>
      </c>
      <c r="Z4374" t="s">
        <v>2272</v>
      </c>
      <c r="AA4374" t="s">
        <v>2272</v>
      </c>
      <c r="AB4374" t="s">
        <v>2272</v>
      </c>
      <c r="AC4374" t="s">
        <v>162</v>
      </c>
      <c r="AD4374" t="s">
        <v>2272</v>
      </c>
      <c r="AF4374" t="s">
        <v>49</v>
      </c>
      <c r="AL4374" t="s">
        <v>49</v>
      </c>
      <c r="AM4374" t="s">
        <v>2195</v>
      </c>
      <c r="AN4374" t="s">
        <v>166</v>
      </c>
      <c r="AQ4374" s="5">
        <v>0</v>
      </c>
    </row>
    <row r="4375" spans="1:43" x14ac:dyDescent="0.2">
      <c r="A4375" t="s">
        <v>2178</v>
      </c>
      <c r="B4375" t="s">
        <v>2179</v>
      </c>
      <c r="C4375">
        <v>2004</v>
      </c>
      <c r="D4375" t="s">
        <v>44</v>
      </c>
      <c r="F4375" t="s">
        <v>628</v>
      </c>
      <c r="G4375" t="s">
        <v>91</v>
      </c>
      <c r="H4375" t="s">
        <v>350</v>
      </c>
      <c r="I4375">
        <v>2001</v>
      </c>
      <c r="J4375">
        <v>0.3</v>
      </c>
      <c r="K4375" t="s">
        <v>101</v>
      </c>
      <c r="M4375">
        <v>0.25</v>
      </c>
      <c r="N4375" t="s">
        <v>120</v>
      </c>
      <c r="O4375" t="s">
        <v>120</v>
      </c>
      <c r="P4375" t="s">
        <v>2182</v>
      </c>
      <c r="Q4375" s="1" t="s">
        <v>2276</v>
      </c>
      <c r="R4375" s="1" t="s">
        <v>669</v>
      </c>
      <c r="S4375" s="1" t="s">
        <v>168</v>
      </c>
      <c r="T4375" t="s">
        <v>421</v>
      </c>
      <c r="U4375" t="s">
        <v>421</v>
      </c>
      <c r="X4375" t="s">
        <v>161</v>
      </c>
      <c r="Y4375" t="s">
        <v>2272</v>
      </c>
      <c r="Z4375" t="s">
        <v>2272</v>
      </c>
      <c r="AA4375" t="s">
        <v>2272</v>
      </c>
      <c r="AB4375" t="s">
        <v>2272</v>
      </c>
      <c r="AC4375" t="s">
        <v>162</v>
      </c>
      <c r="AD4375" t="s">
        <v>2272</v>
      </c>
      <c r="AF4375" t="s">
        <v>49</v>
      </c>
      <c r="AL4375" t="s">
        <v>49</v>
      </c>
      <c r="AM4375" t="s">
        <v>2195</v>
      </c>
      <c r="AN4375" t="s">
        <v>166</v>
      </c>
      <c r="AQ4375" s="5">
        <v>0</v>
      </c>
    </row>
    <row r="4376" spans="1:43" x14ac:dyDescent="0.2">
      <c r="A4376" t="s">
        <v>2178</v>
      </c>
      <c r="B4376" t="s">
        <v>2179</v>
      </c>
      <c r="C4376">
        <v>2004</v>
      </c>
      <c r="D4376" t="s">
        <v>44</v>
      </c>
      <c r="F4376" t="s">
        <v>628</v>
      </c>
      <c r="G4376" t="s">
        <v>91</v>
      </c>
      <c r="H4376" t="s">
        <v>350</v>
      </c>
      <c r="I4376">
        <v>2001</v>
      </c>
      <c r="J4376">
        <v>0.3</v>
      </c>
      <c r="K4376" t="s">
        <v>101</v>
      </c>
      <c r="M4376">
        <v>0.25</v>
      </c>
      <c r="N4376" t="s">
        <v>120</v>
      </c>
      <c r="O4376" t="s">
        <v>120</v>
      </c>
      <c r="P4376" t="s">
        <v>2183</v>
      </c>
      <c r="Q4376" s="1" t="s">
        <v>2276</v>
      </c>
      <c r="R4376" s="1" t="s">
        <v>751</v>
      </c>
      <c r="S4376" s="1" t="s">
        <v>2346</v>
      </c>
      <c r="T4376" t="s">
        <v>421</v>
      </c>
      <c r="U4376" t="s">
        <v>421</v>
      </c>
      <c r="X4376" t="s">
        <v>161</v>
      </c>
      <c r="Y4376" t="s">
        <v>2272</v>
      </c>
      <c r="Z4376" t="s">
        <v>2272</v>
      </c>
      <c r="AA4376" t="s">
        <v>2272</v>
      </c>
      <c r="AB4376" t="s">
        <v>2272</v>
      </c>
      <c r="AC4376" t="s">
        <v>162</v>
      </c>
      <c r="AD4376" t="s">
        <v>2272</v>
      </c>
      <c r="AF4376" t="s">
        <v>49</v>
      </c>
      <c r="AL4376" t="s">
        <v>49</v>
      </c>
      <c r="AM4376" t="s">
        <v>2195</v>
      </c>
      <c r="AN4376" t="s">
        <v>166</v>
      </c>
      <c r="AQ4376" s="5">
        <v>0</v>
      </c>
    </row>
    <row r="4377" spans="1:43" x14ac:dyDescent="0.2">
      <c r="A4377" t="s">
        <v>2178</v>
      </c>
      <c r="B4377" t="s">
        <v>2179</v>
      </c>
      <c r="C4377">
        <v>2004</v>
      </c>
      <c r="D4377" t="s">
        <v>44</v>
      </c>
      <c r="F4377" t="s">
        <v>628</v>
      </c>
      <c r="G4377" t="s">
        <v>91</v>
      </c>
      <c r="H4377" t="s">
        <v>350</v>
      </c>
      <c r="I4377">
        <v>2001</v>
      </c>
      <c r="J4377">
        <v>0.3</v>
      </c>
      <c r="K4377" t="s">
        <v>101</v>
      </c>
      <c r="M4377">
        <v>0.25</v>
      </c>
      <c r="N4377" t="s">
        <v>120</v>
      </c>
      <c r="O4377" t="s">
        <v>120</v>
      </c>
      <c r="P4377" t="s">
        <v>2180</v>
      </c>
      <c r="Q4377" s="1" t="s">
        <v>2276</v>
      </c>
      <c r="R4377" s="1" t="s">
        <v>669</v>
      </c>
      <c r="S4377" s="1" t="s">
        <v>168</v>
      </c>
      <c r="T4377" t="s">
        <v>396</v>
      </c>
      <c r="U4377" t="s">
        <v>2423</v>
      </c>
      <c r="X4377" t="s">
        <v>161</v>
      </c>
      <c r="Y4377" t="s">
        <v>2272</v>
      </c>
      <c r="Z4377" t="s">
        <v>2272</v>
      </c>
      <c r="AA4377" t="s">
        <v>2272</v>
      </c>
      <c r="AB4377" t="s">
        <v>2272</v>
      </c>
      <c r="AC4377" t="s">
        <v>162</v>
      </c>
      <c r="AD4377" t="s">
        <v>2272</v>
      </c>
      <c r="AF4377" t="s">
        <v>49</v>
      </c>
      <c r="AL4377" t="s">
        <v>49</v>
      </c>
      <c r="AM4377" t="s">
        <v>2196</v>
      </c>
      <c r="AN4377" t="s">
        <v>166</v>
      </c>
      <c r="AQ4377" s="5">
        <v>2</v>
      </c>
    </row>
    <row r="4378" spans="1:43" x14ac:dyDescent="0.2">
      <c r="A4378" t="s">
        <v>2178</v>
      </c>
      <c r="B4378" t="s">
        <v>2179</v>
      </c>
      <c r="C4378">
        <v>2004</v>
      </c>
      <c r="D4378" t="s">
        <v>44</v>
      </c>
      <c r="F4378" t="s">
        <v>628</v>
      </c>
      <c r="G4378" t="s">
        <v>91</v>
      </c>
      <c r="H4378" t="s">
        <v>350</v>
      </c>
      <c r="I4378">
        <v>2001</v>
      </c>
      <c r="J4378">
        <v>0.3</v>
      </c>
      <c r="K4378" t="s">
        <v>101</v>
      </c>
      <c r="M4378">
        <v>0.25</v>
      </c>
      <c r="N4378" t="s">
        <v>120</v>
      </c>
      <c r="O4378" t="s">
        <v>120</v>
      </c>
      <c r="P4378" t="s">
        <v>2181</v>
      </c>
      <c r="Q4378" s="1" t="s">
        <v>2276</v>
      </c>
      <c r="R4378" s="1" t="s">
        <v>669</v>
      </c>
      <c r="S4378" s="1" t="s">
        <v>168</v>
      </c>
      <c r="T4378" t="s">
        <v>396</v>
      </c>
      <c r="U4378" t="s">
        <v>2423</v>
      </c>
      <c r="X4378" t="s">
        <v>161</v>
      </c>
      <c r="Y4378" t="s">
        <v>2272</v>
      </c>
      <c r="Z4378" t="s">
        <v>2272</v>
      </c>
      <c r="AA4378" t="s">
        <v>2272</v>
      </c>
      <c r="AB4378" t="s">
        <v>2272</v>
      </c>
      <c r="AC4378" t="s">
        <v>162</v>
      </c>
      <c r="AD4378" t="s">
        <v>2272</v>
      </c>
      <c r="AF4378" t="s">
        <v>49</v>
      </c>
      <c r="AL4378" t="s">
        <v>49</v>
      </c>
      <c r="AM4378" t="s">
        <v>2196</v>
      </c>
      <c r="AN4378" t="s">
        <v>166</v>
      </c>
      <c r="AQ4378" s="5">
        <v>3</v>
      </c>
    </row>
    <row r="4379" spans="1:43" x14ac:dyDescent="0.2">
      <c r="A4379" t="s">
        <v>2178</v>
      </c>
      <c r="B4379" t="s">
        <v>2179</v>
      </c>
      <c r="C4379">
        <v>2004</v>
      </c>
      <c r="D4379" t="s">
        <v>44</v>
      </c>
      <c r="F4379" t="s">
        <v>628</v>
      </c>
      <c r="G4379" t="s">
        <v>91</v>
      </c>
      <c r="H4379" t="s">
        <v>350</v>
      </c>
      <c r="I4379">
        <v>2001</v>
      </c>
      <c r="J4379">
        <v>0.3</v>
      </c>
      <c r="K4379" t="s">
        <v>101</v>
      </c>
      <c r="M4379">
        <v>0.25</v>
      </c>
      <c r="N4379" t="s">
        <v>120</v>
      </c>
      <c r="O4379" t="s">
        <v>120</v>
      </c>
      <c r="P4379" t="s">
        <v>2182</v>
      </c>
      <c r="Q4379" s="1" t="s">
        <v>2276</v>
      </c>
      <c r="R4379" s="1" t="s">
        <v>669</v>
      </c>
      <c r="S4379" s="1" t="s">
        <v>168</v>
      </c>
      <c r="T4379" t="s">
        <v>396</v>
      </c>
      <c r="U4379" t="s">
        <v>2423</v>
      </c>
      <c r="X4379" t="s">
        <v>161</v>
      </c>
      <c r="Y4379" t="s">
        <v>2272</v>
      </c>
      <c r="Z4379" t="s">
        <v>2272</v>
      </c>
      <c r="AA4379" t="s">
        <v>2272</v>
      </c>
      <c r="AB4379" t="s">
        <v>2272</v>
      </c>
      <c r="AC4379" t="s">
        <v>162</v>
      </c>
      <c r="AD4379" t="s">
        <v>2272</v>
      </c>
      <c r="AF4379" t="s">
        <v>49</v>
      </c>
      <c r="AL4379" t="s">
        <v>49</v>
      </c>
      <c r="AM4379" t="s">
        <v>2196</v>
      </c>
      <c r="AN4379" t="s">
        <v>166</v>
      </c>
      <c r="AQ4379" s="5">
        <v>1</v>
      </c>
    </row>
    <row r="4380" spans="1:43" x14ac:dyDescent="0.2">
      <c r="A4380" t="s">
        <v>2178</v>
      </c>
      <c r="B4380" t="s">
        <v>2179</v>
      </c>
      <c r="C4380">
        <v>2004</v>
      </c>
      <c r="D4380" t="s">
        <v>44</v>
      </c>
      <c r="F4380" t="s">
        <v>628</v>
      </c>
      <c r="G4380" t="s">
        <v>91</v>
      </c>
      <c r="H4380" t="s">
        <v>350</v>
      </c>
      <c r="I4380">
        <v>2001</v>
      </c>
      <c r="J4380">
        <v>0.3</v>
      </c>
      <c r="K4380" t="s">
        <v>101</v>
      </c>
      <c r="M4380">
        <v>0.25</v>
      </c>
      <c r="N4380" t="s">
        <v>120</v>
      </c>
      <c r="O4380" t="s">
        <v>120</v>
      </c>
      <c r="P4380" t="s">
        <v>2183</v>
      </c>
      <c r="Q4380" s="1" t="s">
        <v>2276</v>
      </c>
      <c r="R4380" s="1" t="s">
        <v>751</v>
      </c>
      <c r="S4380" s="1" t="s">
        <v>2346</v>
      </c>
      <c r="T4380" t="s">
        <v>396</v>
      </c>
      <c r="U4380" t="s">
        <v>2366</v>
      </c>
      <c r="X4380" t="s">
        <v>161</v>
      </c>
      <c r="Y4380" t="s">
        <v>2272</v>
      </c>
      <c r="Z4380" t="s">
        <v>2272</v>
      </c>
      <c r="AA4380" t="s">
        <v>2272</v>
      </c>
      <c r="AB4380" t="s">
        <v>2272</v>
      </c>
      <c r="AC4380" t="s">
        <v>162</v>
      </c>
      <c r="AD4380" t="s">
        <v>2272</v>
      </c>
      <c r="AF4380" t="s">
        <v>49</v>
      </c>
      <c r="AL4380" t="s">
        <v>49</v>
      </c>
      <c r="AM4380" t="s">
        <v>2196</v>
      </c>
      <c r="AN4380" t="s">
        <v>166</v>
      </c>
      <c r="AQ4380" s="5">
        <v>4</v>
      </c>
    </row>
    <row r="4381" spans="1:43" x14ac:dyDescent="0.2">
      <c r="A4381" t="s">
        <v>2178</v>
      </c>
      <c r="B4381" t="s">
        <v>2179</v>
      </c>
      <c r="C4381">
        <v>2004</v>
      </c>
      <c r="D4381" t="s">
        <v>44</v>
      </c>
      <c r="F4381" t="s">
        <v>628</v>
      </c>
      <c r="G4381" t="s">
        <v>91</v>
      </c>
      <c r="H4381" t="s">
        <v>350</v>
      </c>
      <c r="I4381">
        <v>2001</v>
      </c>
      <c r="J4381">
        <v>0.3</v>
      </c>
      <c r="K4381" t="s">
        <v>101</v>
      </c>
      <c r="M4381">
        <v>0.25</v>
      </c>
      <c r="N4381" t="s">
        <v>120</v>
      </c>
      <c r="O4381" t="s">
        <v>120</v>
      </c>
      <c r="P4381" t="s">
        <v>2180</v>
      </c>
      <c r="Q4381" s="1" t="s">
        <v>2276</v>
      </c>
      <c r="R4381" s="1" t="s">
        <v>669</v>
      </c>
      <c r="S4381" s="1" t="s">
        <v>168</v>
      </c>
      <c r="T4381" t="s">
        <v>421</v>
      </c>
      <c r="U4381" t="s">
        <v>421</v>
      </c>
      <c r="X4381" t="s">
        <v>161</v>
      </c>
      <c r="Y4381" t="s">
        <v>2272</v>
      </c>
      <c r="Z4381" t="s">
        <v>2272</v>
      </c>
      <c r="AA4381" t="s">
        <v>2272</v>
      </c>
      <c r="AB4381" t="s">
        <v>2272</v>
      </c>
      <c r="AC4381" t="s">
        <v>162</v>
      </c>
      <c r="AD4381" t="s">
        <v>2272</v>
      </c>
      <c r="AF4381" t="s">
        <v>49</v>
      </c>
      <c r="AL4381" t="s">
        <v>49</v>
      </c>
      <c r="AM4381" t="s">
        <v>2196</v>
      </c>
      <c r="AN4381" t="s">
        <v>166</v>
      </c>
      <c r="AQ4381" s="5">
        <v>1</v>
      </c>
    </row>
    <row r="4382" spans="1:43" x14ac:dyDescent="0.2">
      <c r="A4382" t="s">
        <v>2178</v>
      </c>
      <c r="B4382" t="s">
        <v>2179</v>
      </c>
      <c r="C4382">
        <v>2004</v>
      </c>
      <c r="D4382" t="s">
        <v>44</v>
      </c>
      <c r="F4382" t="s">
        <v>628</v>
      </c>
      <c r="G4382" t="s">
        <v>91</v>
      </c>
      <c r="H4382" t="s">
        <v>350</v>
      </c>
      <c r="I4382">
        <v>2001</v>
      </c>
      <c r="J4382">
        <v>0.3</v>
      </c>
      <c r="K4382" t="s">
        <v>101</v>
      </c>
      <c r="M4382">
        <v>0.25</v>
      </c>
      <c r="N4382" t="s">
        <v>120</v>
      </c>
      <c r="O4382" t="s">
        <v>120</v>
      </c>
      <c r="P4382" t="s">
        <v>2181</v>
      </c>
      <c r="Q4382" s="1" t="s">
        <v>2276</v>
      </c>
      <c r="R4382" s="1" t="s">
        <v>669</v>
      </c>
      <c r="S4382" s="1" t="s">
        <v>168</v>
      </c>
      <c r="T4382" t="s">
        <v>421</v>
      </c>
      <c r="U4382" t="s">
        <v>421</v>
      </c>
      <c r="X4382" t="s">
        <v>161</v>
      </c>
      <c r="Y4382" t="s">
        <v>2272</v>
      </c>
      <c r="Z4382" t="s">
        <v>2272</v>
      </c>
      <c r="AA4382" t="s">
        <v>2272</v>
      </c>
      <c r="AB4382" t="s">
        <v>2272</v>
      </c>
      <c r="AC4382" t="s">
        <v>162</v>
      </c>
      <c r="AD4382" t="s">
        <v>2272</v>
      </c>
      <c r="AF4382" t="s">
        <v>49</v>
      </c>
      <c r="AL4382" t="s">
        <v>49</v>
      </c>
      <c r="AM4382" t="s">
        <v>2196</v>
      </c>
      <c r="AN4382" t="s">
        <v>166</v>
      </c>
      <c r="AQ4382" s="5">
        <v>0</v>
      </c>
    </row>
    <row r="4383" spans="1:43" x14ac:dyDescent="0.2">
      <c r="A4383" t="s">
        <v>2178</v>
      </c>
      <c r="B4383" t="s">
        <v>2179</v>
      </c>
      <c r="C4383">
        <v>2004</v>
      </c>
      <c r="D4383" t="s">
        <v>44</v>
      </c>
      <c r="F4383" t="s">
        <v>628</v>
      </c>
      <c r="G4383" t="s">
        <v>91</v>
      </c>
      <c r="H4383" t="s">
        <v>350</v>
      </c>
      <c r="I4383">
        <v>2001</v>
      </c>
      <c r="J4383">
        <v>0.3</v>
      </c>
      <c r="K4383" t="s">
        <v>101</v>
      </c>
      <c r="M4383">
        <v>0.25</v>
      </c>
      <c r="N4383" t="s">
        <v>120</v>
      </c>
      <c r="O4383" t="s">
        <v>120</v>
      </c>
      <c r="P4383" t="s">
        <v>2182</v>
      </c>
      <c r="Q4383" s="1" t="s">
        <v>2276</v>
      </c>
      <c r="R4383" s="1" t="s">
        <v>669</v>
      </c>
      <c r="S4383" s="1" t="s">
        <v>168</v>
      </c>
      <c r="T4383" t="s">
        <v>421</v>
      </c>
      <c r="U4383" t="s">
        <v>421</v>
      </c>
      <c r="X4383" t="s">
        <v>161</v>
      </c>
      <c r="Y4383" t="s">
        <v>2272</v>
      </c>
      <c r="Z4383" t="s">
        <v>2272</v>
      </c>
      <c r="AA4383" t="s">
        <v>2272</v>
      </c>
      <c r="AB4383" t="s">
        <v>2272</v>
      </c>
      <c r="AC4383" t="s">
        <v>162</v>
      </c>
      <c r="AD4383" t="s">
        <v>2272</v>
      </c>
      <c r="AF4383" t="s">
        <v>49</v>
      </c>
      <c r="AL4383" t="s">
        <v>49</v>
      </c>
      <c r="AM4383" t="s">
        <v>2196</v>
      </c>
      <c r="AN4383" t="s">
        <v>166</v>
      </c>
      <c r="AQ4383" s="5">
        <v>1</v>
      </c>
    </row>
    <row r="4384" spans="1:43" x14ac:dyDescent="0.2">
      <c r="A4384" t="s">
        <v>2178</v>
      </c>
      <c r="B4384" t="s">
        <v>2179</v>
      </c>
      <c r="C4384">
        <v>2004</v>
      </c>
      <c r="D4384" t="s">
        <v>44</v>
      </c>
      <c r="F4384" t="s">
        <v>628</v>
      </c>
      <c r="G4384" t="s">
        <v>91</v>
      </c>
      <c r="H4384" t="s">
        <v>350</v>
      </c>
      <c r="I4384">
        <v>2001</v>
      </c>
      <c r="J4384">
        <v>0.3</v>
      </c>
      <c r="K4384" t="s">
        <v>101</v>
      </c>
      <c r="M4384">
        <v>0.25</v>
      </c>
      <c r="N4384" t="s">
        <v>120</v>
      </c>
      <c r="O4384" t="s">
        <v>120</v>
      </c>
      <c r="P4384" t="s">
        <v>2183</v>
      </c>
      <c r="Q4384" s="1" t="s">
        <v>2276</v>
      </c>
      <c r="R4384" s="1" t="s">
        <v>751</v>
      </c>
      <c r="S4384" s="1" t="s">
        <v>2346</v>
      </c>
      <c r="T4384" t="s">
        <v>421</v>
      </c>
      <c r="U4384" t="s">
        <v>421</v>
      </c>
      <c r="X4384" t="s">
        <v>161</v>
      </c>
      <c r="Y4384" t="s">
        <v>2272</v>
      </c>
      <c r="Z4384" t="s">
        <v>2272</v>
      </c>
      <c r="AA4384" t="s">
        <v>2272</v>
      </c>
      <c r="AB4384" t="s">
        <v>2272</v>
      </c>
      <c r="AC4384" t="s">
        <v>162</v>
      </c>
      <c r="AD4384" t="s">
        <v>2272</v>
      </c>
      <c r="AF4384" t="s">
        <v>49</v>
      </c>
      <c r="AL4384" t="s">
        <v>49</v>
      </c>
      <c r="AM4384" t="s">
        <v>2196</v>
      </c>
      <c r="AN4384" t="s">
        <v>166</v>
      </c>
      <c r="AQ4384" s="5">
        <v>0</v>
      </c>
    </row>
    <row r="4385" spans="1:43" x14ac:dyDescent="0.2">
      <c r="A4385" t="s">
        <v>2178</v>
      </c>
      <c r="B4385" t="s">
        <v>2179</v>
      </c>
      <c r="C4385">
        <v>2004</v>
      </c>
      <c r="D4385" t="s">
        <v>44</v>
      </c>
      <c r="F4385" t="s">
        <v>628</v>
      </c>
      <c r="G4385" t="s">
        <v>91</v>
      </c>
      <c r="H4385" t="s">
        <v>350</v>
      </c>
      <c r="I4385">
        <v>2001</v>
      </c>
      <c r="J4385">
        <v>0.3</v>
      </c>
      <c r="K4385" t="s">
        <v>101</v>
      </c>
      <c r="M4385">
        <v>0.25</v>
      </c>
      <c r="N4385" t="s">
        <v>120</v>
      </c>
      <c r="O4385" t="s">
        <v>120</v>
      </c>
      <c r="P4385" t="s">
        <v>2180</v>
      </c>
      <c r="Q4385" s="1" t="s">
        <v>2276</v>
      </c>
      <c r="R4385" s="1" t="s">
        <v>669</v>
      </c>
      <c r="S4385" s="1" t="s">
        <v>168</v>
      </c>
      <c r="T4385" t="s">
        <v>396</v>
      </c>
      <c r="U4385" t="s">
        <v>2423</v>
      </c>
      <c r="X4385" t="s">
        <v>161</v>
      </c>
      <c r="Y4385" t="s">
        <v>2272</v>
      </c>
      <c r="Z4385" t="s">
        <v>2272</v>
      </c>
      <c r="AA4385" t="s">
        <v>2272</v>
      </c>
      <c r="AB4385" t="s">
        <v>2272</v>
      </c>
      <c r="AC4385" t="s">
        <v>162</v>
      </c>
      <c r="AD4385" t="s">
        <v>2272</v>
      </c>
      <c r="AF4385" t="s">
        <v>49</v>
      </c>
      <c r="AL4385" t="s">
        <v>49</v>
      </c>
      <c r="AM4385" t="s">
        <v>2197</v>
      </c>
      <c r="AN4385" t="s">
        <v>166</v>
      </c>
    </row>
    <row r="4386" spans="1:43" x14ac:dyDescent="0.2">
      <c r="A4386" t="s">
        <v>2178</v>
      </c>
      <c r="B4386" t="s">
        <v>2179</v>
      </c>
      <c r="C4386">
        <v>2004</v>
      </c>
      <c r="D4386" t="s">
        <v>44</v>
      </c>
      <c r="F4386" t="s">
        <v>628</v>
      </c>
      <c r="G4386" t="s">
        <v>91</v>
      </c>
      <c r="H4386" t="s">
        <v>350</v>
      </c>
      <c r="I4386">
        <v>2001</v>
      </c>
      <c r="J4386">
        <v>0.3</v>
      </c>
      <c r="K4386" t="s">
        <v>101</v>
      </c>
      <c r="M4386">
        <v>0.25</v>
      </c>
      <c r="N4386" t="s">
        <v>120</v>
      </c>
      <c r="O4386" t="s">
        <v>120</v>
      </c>
      <c r="P4386" t="s">
        <v>2181</v>
      </c>
      <c r="Q4386" s="1" t="s">
        <v>2276</v>
      </c>
      <c r="R4386" s="1" t="s">
        <v>669</v>
      </c>
      <c r="S4386" s="1" t="s">
        <v>168</v>
      </c>
      <c r="T4386" t="s">
        <v>396</v>
      </c>
      <c r="U4386" t="s">
        <v>2423</v>
      </c>
      <c r="X4386" t="s">
        <v>161</v>
      </c>
      <c r="Y4386" t="s">
        <v>2272</v>
      </c>
      <c r="Z4386" t="s">
        <v>2272</v>
      </c>
      <c r="AA4386" t="s">
        <v>2272</v>
      </c>
      <c r="AB4386" t="s">
        <v>2272</v>
      </c>
      <c r="AC4386" t="s">
        <v>162</v>
      </c>
      <c r="AD4386" t="s">
        <v>2272</v>
      </c>
      <c r="AF4386" t="s">
        <v>49</v>
      </c>
      <c r="AL4386" t="s">
        <v>49</v>
      </c>
      <c r="AM4386" t="s">
        <v>2197</v>
      </c>
      <c r="AN4386" t="s">
        <v>166</v>
      </c>
    </row>
    <row r="4387" spans="1:43" x14ac:dyDescent="0.2">
      <c r="A4387" t="s">
        <v>2178</v>
      </c>
      <c r="B4387" t="s">
        <v>2179</v>
      </c>
      <c r="C4387">
        <v>2004</v>
      </c>
      <c r="D4387" t="s">
        <v>44</v>
      </c>
      <c r="F4387" t="s">
        <v>628</v>
      </c>
      <c r="G4387" t="s">
        <v>91</v>
      </c>
      <c r="H4387" t="s">
        <v>350</v>
      </c>
      <c r="I4387">
        <v>2001</v>
      </c>
      <c r="J4387">
        <v>0.3</v>
      </c>
      <c r="K4387" t="s">
        <v>101</v>
      </c>
      <c r="M4387">
        <v>0.25</v>
      </c>
      <c r="N4387" t="s">
        <v>120</v>
      </c>
      <c r="O4387" t="s">
        <v>120</v>
      </c>
      <c r="P4387" t="s">
        <v>2182</v>
      </c>
      <c r="Q4387" s="1" t="s">
        <v>2276</v>
      </c>
      <c r="R4387" s="1" t="s">
        <v>669</v>
      </c>
      <c r="S4387" s="1" t="s">
        <v>168</v>
      </c>
      <c r="T4387" t="s">
        <v>396</v>
      </c>
      <c r="U4387" t="s">
        <v>2423</v>
      </c>
      <c r="X4387" t="s">
        <v>161</v>
      </c>
      <c r="Y4387" t="s">
        <v>2272</v>
      </c>
      <c r="Z4387" t="s">
        <v>2272</v>
      </c>
      <c r="AA4387" t="s">
        <v>2272</v>
      </c>
      <c r="AB4387" t="s">
        <v>2272</v>
      </c>
      <c r="AC4387" t="s">
        <v>162</v>
      </c>
      <c r="AD4387" t="s">
        <v>2272</v>
      </c>
      <c r="AF4387" t="s">
        <v>49</v>
      </c>
      <c r="AL4387" t="s">
        <v>49</v>
      </c>
      <c r="AM4387" t="s">
        <v>2197</v>
      </c>
      <c r="AN4387" t="s">
        <v>166</v>
      </c>
    </row>
    <row r="4388" spans="1:43" x14ac:dyDescent="0.2">
      <c r="A4388" t="s">
        <v>2178</v>
      </c>
      <c r="B4388" t="s">
        <v>2179</v>
      </c>
      <c r="C4388">
        <v>2004</v>
      </c>
      <c r="D4388" t="s">
        <v>44</v>
      </c>
      <c r="F4388" t="s">
        <v>628</v>
      </c>
      <c r="G4388" t="s">
        <v>91</v>
      </c>
      <c r="H4388" t="s">
        <v>350</v>
      </c>
      <c r="I4388">
        <v>2001</v>
      </c>
      <c r="J4388">
        <v>0.3</v>
      </c>
      <c r="K4388" t="s">
        <v>101</v>
      </c>
      <c r="M4388">
        <v>0.25</v>
      </c>
      <c r="N4388" t="s">
        <v>120</v>
      </c>
      <c r="O4388" t="s">
        <v>120</v>
      </c>
      <c r="P4388" t="s">
        <v>2183</v>
      </c>
      <c r="Q4388" s="1" t="s">
        <v>2276</v>
      </c>
      <c r="R4388" s="1" t="s">
        <v>751</v>
      </c>
      <c r="S4388" s="1" t="s">
        <v>2346</v>
      </c>
      <c r="T4388" t="s">
        <v>396</v>
      </c>
      <c r="U4388" t="s">
        <v>2366</v>
      </c>
      <c r="X4388" t="s">
        <v>161</v>
      </c>
      <c r="Y4388" t="s">
        <v>2272</v>
      </c>
      <c r="Z4388" t="s">
        <v>2272</v>
      </c>
      <c r="AA4388" t="s">
        <v>2272</v>
      </c>
      <c r="AB4388" t="s">
        <v>2272</v>
      </c>
      <c r="AC4388" t="s">
        <v>162</v>
      </c>
      <c r="AD4388" t="s">
        <v>2272</v>
      </c>
      <c r="AF4388" t="s">
        <v>49</v>
      </c>
      <c r="AL4388" t="s">
        <v>49</v>
      </c>
      <c r="AM4388" t="s">
        <v>2197</v>
      </c>
      <c r="AN4388" t="s">
        <v>166</v>
      </c>
    </row>
    <row r="4389" spans="1:43" x14ac:dyDescent="0.2">
      <c r="A4389" t="s">
        <v>2178</v>
      </c>
      <c r="B4389" t="s">
        <v>2179</v>
      </c>
      <c r="C4389">
        <v>2004</v>
      </c>
      <c r="D4389" t="s">
        <v>44</v>
      </c>
      <c r="F4389" t="s">
        <v>628</v>
      </c>
      <c r="G4389" t="s">
        <v>91</v>
      </c>
      <c r="H4389" t="s">
        <v>350</v>
      </c>
      <c r="I4389">
        <v>2001</v>
      </c>
      <c r="J4389">
        <v>0.3</v>
      </c>
      <c r="K4389" t="s">
        <v>101</v>
      </c>
      <c r="M4389">
        <v>0.25</v>
      </c>
      <c r="N4389" t="s">
        <v>120</v>
      </c>
      <c r="O4389" t="s">
        <v>120</v>
      </c>
      <c r="P4389" t="s">
        <v>2180</v>
      </c>
      <c r="Q4389" s="1" t="s">
        <v>2276</v>
      </c>
      <c r="R4389" s="1" t="s">
        <v>669</v>
      </c>
      <c r="S4389" s="1" t="s">
        <v>168</v>
      </c>
      <c r="T4389" t="s">
        <v>421</v>
      </c>
      <c r="U4389" t="s">
        <v>421</v>
      </c>
      <c r="X4389" t="s">
        <v>161</v>
      </c>
      <c r="Y4389" t="s">
        <v>2272</v>
      </c>
      <c r="Z4389" t="s">
        <v>2272</v>
      </c>
      <c r="AA4389" t="s">
        <v>2272</v>
      </c>
      <c r="AB4389" t="s">
        <v>2272</v>
      </c>
      <c r="AC4389" t="s">
        <v>162</v>
      </c>
      <c r="AD4389" t="s">
        <v>2272</v>
      </c>
      <c r="AF4389" t="s">
        <v>49</v>
      </c>
      <c r="AL4389" t="s">
        <v>49</v>
      </c>
      <c r="AM4389" t="s">
        <v>2197</v>
      </c>
      <c r="AN4389" t="s">
        <v>166</v>
      </c>
    </row>
    <row r="4390" spans="1:43" x14ac:dyDescent="0.2">
      <c r="A4390" t="s">
        <v>2178</v>
      </c>
      <c r="B4390" t="s">
        <v>2179</v>
      </c>
      <c r="C4390">
        <v>2004</v>
      </c>
      <c r="D4390" t="s">
        <v>44</v>
      </c>
      <c r="F4390" t="s">
        <v>628</v>
      </c>
      <c r="G4390" t="s">
        <v>91</v>
      </c>
      <c r="H4390" t="s">
        <v>350</v>
      </c>
      <c r="I4390">
        <v>2001</v>
      </c>
      <c r="J4390">
        <v>0.3</v>
      </c>
      <c r="K4390" t="s">
        <v>101</v>
      </c>
      <c r="M4390">
        <v>0.25</v>
      </c>
      <c r="N4390" t="s">
        <v>120</v>
      </c>
      <c r="O4390" t="s">
        <v>120</v>
      </c>
      <c r="P4390" t="s">
        <v>2181</v>
      </c>
      <c r="Q4390" s="1" t="s">
        <v>2276</v>
      </c>
      <c r="R4390" s="1" t="s">
        <v>669</v>
      </c>
      <c r="S4390" s="1" t="s">
        <v>168</v>
      </c>
      <c r="T4390" t="s">
        <v>421</v>
      </c>
      <c r="U4390" t="s">
        <v>421</v>
      </c>
      <c r="X4390" t="s">
        <v>161</v>
      </c>
      <c r="Y4390" t="s">
        <v>2272</v>
      </c>
      <c r="Z4390" t="s">
        <v>2272</v>
      </c>
      <c r="AA4390" t="s">
        <v>2272</v>
      </c>
      <c r="AB4390" t="s">
        <v>2272</v>
      </c>
      <c r="AC4390" t="s">
        <v>162</v>
      </c>
      <c r="AD4390" t="s">
        <v>2272</v>
      </c>
      <c r="AF4390" t="s">
        <v>49</v>
      </c>
      <c r="AL4390" t="s">
        <v>49</v>
      </c>
      <c r="AM4390" t="s">
        <v>2197</v>
      </c>
      <c r="AN4390" t="s">
        <v>166</v>
      </c>
    </row>
    <row r="4391" spans="1:43" x14ac:dyDescent="0.2">
      <c r="A4391" t="s">
        <v>2178</v>
      </c>
      <c r="B4391" t="s">
        <v>2179</v>
      </c>
      <c r="C4391">
        <v>2004</v>
      </c>
      <c r="D4391" t="s">
        <v>44</v>
      </c>
      <c r="F4391" t="s">
        <v>628</v>
      </c>
      <c r="G4391" t="s">
        <v>91</v>
      </c>
      <c r="H4391" t="s">
        <v>350</v>
      </c>
      <c r="I4391">
        <v>2001</v>
      </c>
      <c r="J4391">
        <v>0.3</v>
      </c>
      <c r="K4391" t="s">
        <v>101</v>
      </c>
      <c r="M4391">
        <v>0.25</v>
      </c>
      <c r="N4391" t="s">
        <v>120</v>
      </c>
      <c r="O4391" t="s">
        <v>120</v>
      </c>
      <c r="P4391" t="s">
        <v>2182</v>
      </c>
      <c r="Q4391" s="1" t="s">
        <v>2276</v>
      </c>
      <c r="R4391" s="1" t="s">
        <v>669</v>
      </c>
      <c r="S4391" s="1" t="s">
        <v>168</v>
      </c>
      <c r="T4391" t="s">
        <v>421</v>
      </c>
      <c r="U4391" t="s">
        <v>421</v>
      </c>
      <c r="X4391" t="s">
        <v>161</v>
      </c>
      <c r="Y4391" t="s">
        <v>2272</v>
      </c>
      <c r="Z4391" t="s">
        <v>2272</v>
      </c>
      <c r="AA4391" t="s">
        <v>2272</v>
      </c>
      <c r="AB4391" t="s">
        <v>2272</v>
      </c>
      <c r="AC4391" t="s">
        <v>162</v>
      </c>
      <c r="AD4391" t="s">
        <v>2272</v>
      </c>
      <c r="AF4391" t="s">
        <v>49</v>
      </c>
      <c r="AL4391" t="s">
        <v>49</v>
      </c>
      <c r="AM4391" t="s">
        <v>2197</v>
      </c>
      <c r="AN4391" t="s">
        <v>166</v>
      </c>
    </row>
    <row r="4392" spans="1:43" x14ac:dyDescent="0.2">
      <c r="A4392" t="s">
        <v>2178</v>
      </c>
      <c r="B4392" t="s">
        <v>2179</v>
      </c>
      <c r="C4392">
        <v>2004</v>
      </c>
      <c r="D4392" t="s">
        <v>44</v>
      </c>
      <c r="F4392" t="s">
        <v>628</v>
      </c>
      <c r="G4392" t="s">
        <v>91</v>
      </c>
      <c r="H4392" t="s">
        <v>350</v>
      </c>
      <c r="I4392">
        <v>2001</v>
      </c>
      <c r="J4392">
        <v>0.3</v>
      </c>
      <c r="K4392" t="s">
        <v>101</v>
      </c>
      <c r="M4392">
        <v>0.25</v>
      </c>
      <c r="N4392" t="s">
        <v>120</v>
      </c>
      <c r="O4392" t="s">
        <v>120</v>
      </c>
      <c r="P4392" t="s">
        <v>2183</v>
      </c>
      <c r="Q4392" s="1" t="s">
        <v>2276</v>
      </c>
      <c r="R4392" s="1" t="s">
        <v>751</v>
      </c>
      <c r="S4392" s="1" t="s">
        <v>2346</v>
      </c>
      <c r="T4392" t="s">
        <v>421</v>
      </c>
      <c r="U4392" t="s">
        <v>421</v>
      </c>
      <c r="X4392" t="s">
        <v>161</v>
      </c>
      <c r="Y4392" t="s">
        <v>2272</v>
      </c>
      <c r="Z4392" t="s">
        <v>2272</v>
      </c>
      <c r="AA4392" t="s">
        <v>2272</v>
      </c>
      <c r="AB4392" t="s">
        <v>2272</v>
      </c>
      <c r="AC4392" t="s">
        <v>162</v>
      </c>
      <c r="AD4392" t="s">
        <v>2272</v>
      </c>
      <c r="AF4392" t="s">
        <v>49</v>
      </c>
      <c r="AL4392" t="s">
        <v>49</v>
      </c>
      <c r="AM4392" t="s">
        <v>2197</v>
      </c>
      <c r="AN4392" t="s">
        <v>166</v>
      </c>
    </row>
    <row r="4393" spans="1:43" x14ac:dyDescent="0.2">
      <c r="A4393" t="s">
        <v>2178</v>
      </c>
      <c r="B4393" t="s">
        <v>2179</v>
      </c>
      <c r="C4393">
        <v>2004</v>
      </c>
      <c r="D4393" t="s">
        <v>44</v>
      </c>
      <c r="F4393" t="s">
        <v>628</v>
      </c>
      <c r="G4393" t="s">
        <v>91</v>
      </c>
      <c r="H4393" t="s">
        <v>350</v>
      </c>
      <c r="I4393">
        <v>2001</v>
      </c>
      <c r="J4393">
        <v>0.3</v>
      </c>
      <c r="K4393" t="s">
        <v>101</v>
      </c>
      <c r="M4393">
        <v>0.25</v>
      </c>
      <c r="N4393" t="s">
        <v>120</v>
      </c>
      <c r="O4393" t="s">
        <v>120</v>
      </c>
      <c r="P4393" t="s">
        <v>2180</v>
      </c>
      <c r="Q4393" s="1" t="s">
        <v>2276</v>
      </c>
      <c r="R4393" s="1" t="s">
        <v>669</v>
      </c>
      <c r="S4393" s="1" t="s">
        <v>168</v>
      </c>
      <c r="T4393" t="s">
        <v>396</v>
      </c>
      <c r="U4393" t="s">
        <v>2423</v>
      </c>
      <c r="X4393" t="s">
        <v>161</v>
      </c>
      <c r="Y4393" t="s">
        <v>2272</v>
      </c>
      <c r="Z4393" t="s">
        <v>2272</v>
      </c>
      <c r="AA4393" t="s">
        <v>2272</v>
      </c>
      <c r="AB4393" t="s">
        <v>2272</v>
      </c>
      <c r="AC4393" t="s">
        <v>162</v>
      </c>
      <c r="AD4393" t="s">
        <v>2272</v>
      </c>
      <c r="AF4393" t="s">
        <v>49</v>
      </c>
      <c r="AL4393" t="s">
        <v>49</v>
      </c>
      <c r="AM4393" t="s">
        <v>2198</v>
      </c>
      <c r="AN4393" t="s">
        <v>166</v>
      </c>
      <c r="AQ4393" s="5">
        <v>3</v>
      </c>
    </row>
    <row r="4394" spans="1:43" x14ac:dyDescent="0.2">
      <c r="A4394" t="s">
        <v>2178</v>
      </c>
      <c r="B4394" t="s">
        <v>2179</v>
      </c>
      <c r="C4394">
        <v>2004</v>
      </c>
      <c r="D4394" t="s">
        <v>44</v>
      </c>
      <c r="F4394" t="s">
        <v>628</v>
      </c>
      <c r="G4394" t="s">
        <v>91</v>
      </c>
      <c r="H4394" t="s">
        <v>350</v>
      </c>
      <c r="I4394">
        <v>2001</v>
      </c>
      <c r="J4394">
        <v>0.3</v>
      </c>
      <c r="K4394" t="s">
        <v>101</v>
      </c>
      <c r="M4394">
        <v>0.25</v>
      </c>
      <c r="N4394" t="s">
        <v>120</v>
      </c>
      <c r="O4394" t="s">
        <v>120</v>
      </c>
      <c r="P4394" t="s">
        <v>2181</v>
      </c>
      <c r="Q4394" s="1" t="s">
        <v>2276</v>
      </c>
      <c r="R4394" s="1" t="s">
        <v>669</v>
      </c>
      <c r="S4394" s="1" t="s">
        <v>168</v>
      </c>
      <c r="T4394" t="s">
        <v>396</v>
      </c>
      <c r="U4394" t="s">
        <v>2423</v>
      </c>
      <c r="X4394" t="s">
        <v>161</v>
      </c>
      <c r="Y4394" t="s">
        <v>2272</v>
      </c>
      <c r="Z4394" t="s">
        <v>2272</v>
      </c>
      <c r="AA4394" t="s">
        <v>2272</v>
      </c>
      <c r="AB4394" t="s">
        <v>2272</v>
      </c>
      <c r="AC4394" t="s">
        <v>162</v>
      </c>
      <c r="AD4394" t="s">
        <v>2272</v>
      </c>
      <c r="AF4394" t="s">
        <v>49</v>
      </c>
      <c r="AL4394" t="s">
        <v>49</v>
      </c>
      <c r="AM4394" t="s">
        <v>2198</v>
      </c>
      <c r="AN4394" t="s">
        <v>166</v>
      </c>
      <c r="AQ4394" s="5">
        <v>1</v>
      </c>
    </row>
    <row r="4395" spans="1:43" x14ac:dyDescent="0.2">
      <c r="A4395" t="s">
        <v>2178</v>
      </c>
      <c r="B4395" t="s">
        <v>2179</v>
      </c>
      <c r="C4395">
        <v>2004</v>
      </c>
      <c r="D4395" t="s">
        <v>44</v>
      </c>
      <c r="F4395" t="s">
        <v>628</v>
      </c>
      <c r="G4395" t="s">
        <v>91</v>
      </c>
      <c r="H4395" t="s">
        <v>350</v>
      </c>
      <c r="I4395">
        <v>2001</v>
      </c>
      <c r="J4395">
        <v>0.3</v>
      </c>
      <c r="K4395" t="s">
        <v>101</v>
      </c>
      <c r="M4395">
        <v>0.25</v>
      </c>
      <c r="N4395" t="s">
        <v>120</v>
      </c>
      <c r="O4395" t="s">
        <v>120</v>
      </c>
      <c r="P4395" t="s">
        <v>2182</v>
      </c>
      <c r="Q4395" s="1" t="s">
        <v>2276</v>
      </c>
      <c r="R4395" s="1" t="s">
        <v>669</v>
      </c>
      <c r="S4395" s="1" t="s">
        <v>168</v>
      </c>
      <c r="T4395" t="s">
        <v>396</v>
      </c>
      <c r="U4395" t="s">
        <v>2423</v>
      </c>
      <c r="X4395" t="s">
        <v>161</v>
      </c>
      <c r="Y4395" t="s">
        <v>2272</v>
      </c>
      <c r="Z4395" t="s">
        <v>2272</v>
      </c>
      <c r="AA4395" t="s">
        <v>2272</v>
      </c>
      <c r="AB4395" t="s">
        <v>2272</v>
      </c>
      <c r="AC4395" t="s">
        <v>162</v>
      </c>
      <c r="AD4395" t="s">
        <v>2272</v>
      </c>
      <c r="AF4395" t="s">
        <v>49</v>
      </c>
      <c r="AL4395" t="s">
        <v>49</v>
      </c>
      <c r="AM4395" t="s">
        <v>2198</v>
      </c>
      <c r="AN4395" t="s">
        <v>166</v>
      </c>
      <c r="AQ4395" s="5">
        <v>2</v>
      </c>
    </row>
    <row r="4396" spans="1:43" x14ac:dyDescent="0.2">
      <c r="A4396" t="s">
        <v>2178</v>
      </c>
      <c r="B4396" t="s">
        <v>2179</v>
      </c>
      <c r="C4396">
        <v>2004</v>
      </c>
      <c r="D4396" t="s">
        <v>44</v>
      </c>
      <c r="F4396" t="s">
        <v>628</v>
      </c>
      <c r="G4396" t="s">
        <v>91</v>
      </c>
      <c r="H4396" t="s">
        <v>350</v>
      </c>
      <c r="I4396">
        <v>2001</v>
      </c>
      <c r="J4396">
        <v>0.3</v>
      </c>
      <c r="K4396" t="s">
        <v>101</v>
      </c>
      <c r="M4396">
        <v>0.25</v>
      </c>
      <c r="N4396" t="s">
        <v>120</v>
      </c>
      <c r="O4396" t="s">
        <v>120</v>
      </c>
      <c r="P4396" t="s">
        <v>2183</v>
      </c>
      <c r="Q4396" s="1" t="s">
        <v>2276</v>
      </c>
      <c r="R4396" s="1" t="s">
        <v>751</v>
      </c>
      <c r="S4396" s="1" t="s">
        <v>2346</v>
      </c>
      <c r="T4396" t="s">
        <v>396</v>
      </c>
      <c r="U4396" t="s">
        <v>2366</v>
      </c>
      <c r="X4396" t="s">
        <v>161</v>
      </c>
      <c r="Y4396" t="s">
        <v>2272</v>
      </c>
      <c r="Z4396" t="s">
        <v>2272</v>
      </c>
      <c r="AA4396" t="s">
        <v>2272</v>
      </c>
      <c r="AB4396" t="s">
        <v>2272</v>
      </c>
      <c r="AC4396" t="s">
        <v>162</v>
      </c>
      <c r="AD4396" t="s">
        <v>2272</v>
      </c>
      <c r="AF4396" t="s">
        <v>49</v>
      </c>
      <c r="AL4396" t="s">
        <v>49</v>
      </c>
      <c r="AM4396" t="s">
        <v>2198</v>
      </c>
      <c r="AN4396" t="s">
        <v>166</v>
      </c>
      <c r="AQ4396" s="5">
        <v>2</v>
      </c>
    </row>
    <row r="4397" spans="1:43" x14ac:dyDescent="0.2">
      <c r="A4397" t="s">
        <v>2178</v>
      </c>
      <c r="B4397" t="s">
        <v>2179</v>
      </c>
      <c r="C4397">
        <v>2004</v>
      </c>
      <c r="D4397" t="s">
        <v>44</v>
      </c>
      <c r="F4397" t="s">
        <v>628</v>
      </c>
      <c r="G4397" t="s">
        <v>91</v>
      </c>
      <c r="H4397" t="s">
        <v>350</v>
      </c>
      <c r="I4397">
        <v>2001</v>
      </c>
      <c r="J4397">
        <v>0.3</v>
      </c>
      <c r="K4397" t="s">
        <v>101</v>
      </c>
      <c r="M4397">
        <v>0.25</v>
      </c>
      <c r="N4397" t="s">
        <v>120</v>
      </c>
      <c r="O4397" t="s">
        <v>120</v>
      </c>
      <c r="P4397" t="s">
        <v>2180</v>
      </c>
      <c r="Q4397" s="1" t="s">
        <v>2276</v>
      </c>
      <c r="R4397" s="1" t="s">
        <v>669</v>
      </c>
      <c r="S4397" s="1" t="s">
        <v>168</v>
      </c>
      <c r="T4397" t="s">
        <v>421</v>
      </c>
      <c r="U4397" t="s">
        <v>421</v>
      </c>
      <c r="X4397" t="s">
        <v>161</v>
      </c>
      <c r="Y4397" t="s">
        <v>2272</v>
      </c>
      <c r="Z4397" t="s">
        <v>2272</v>
      </c>
      <c r="AA4397" t="s">
        <v>2272</v>
      </c>
      <c r="AB4397" t="s">
        <v>2272</v>
      </c>
      <c r="AC4397" t="s">
        <v>162</v>
      </c>
      <c r="AD4397" t="s">
        <v>2272</v>
      </c>
      <c r="AF4397" t="s">
        <v>49</v>
      </c>
      <c r="AL4397" t="s">
        <v>49</v>
      </c>
      <c r="AM4397" t="s">
        <v>2198</v>
      </c>
      <c r="AN4397" t="s">
        <v>166</v>
      </c>
      <c r="AQ4397" s="5">
        <v>2</v>
      </c>
    </row>
    <row r="4398" spans="1:43" x14ac:dyDescent="0.2">
      <c r="A4398" t="s">
        <v>2178</v>
      </c>
      <c r="B4398" t="s">
        <v>2179</v>
      </c>
      <c r="C4398">
        <v>2004</v>
      </c>
      <c r="D4398" t="s">
        <v>44</v>
      </c>
      <c r="F4398" t="s">
        <v>628</v>
      </c>
      <c r="G4398" t="s">
        <v>91</v>
      </c>
      <c r="H4398" t="s">
        <v>350</v>
      </c>
      <c r="I4398">
        <v>2001</v>
      </c>
      <c r="J4398">
        <v>0.3</v>
      </c>
      <c r="K4398" t="s">
        <v>101</v>
      </c>
      <c r="M4398">
        <v>0.25</v>
      </c>
      <c r="N4398" t="s">
        <v>120</v>
      </c>
      <c r="O4398" t="s">
        <v>120</v>
      </c>
      <c r="P4398" t="s">
        <v>2181</v>
      </c>
      <c r="Q4398" s="1" t="s">
        <v>2276</v>
      </c>
      <c r="R4398" s="1" t="s">
        <v>669</v>
      </c>
      <c r="S4398" s="1" t="s">
        <v>168</v>
      </c>
      <c r="T4398" t="s">
        <v>421</v>
      </c>
      <c r="U4398" t="s">
        <v>421</v>
      </c>
      <c r="X4398" t="s">
        <v>161</v>
      </c>
      <c r="Y4398" t="s">
        <v>2272</v>
      </c>
      <c r="Z4398" t="s">
        <v>2272</v>
      </c>
      <c r="AA4398" t="s">
        <v>2272</v>
      </c>
      <c r="AB4398" t="s">
        <v>2272</v>
      </c>
      <c r="AC4398" t="s">
        <v>162</v>
      </c>
      <c r="AD4398" t="s">
        <v>2272</v>
      </c>
      <c r="AF4398" t="s">
        <v>49</v>
      </c>
      <c r="AL4398" t="s">
        <v>49</v>
      </c>
      <c r="AM4398" t="s">
        <v>2198</v>
      </c>
      <c r="AN4398" t="s">
        <v>166</v>
      </c>
      <c r="AQ4398" s="5">
        <v>2</v>
      </c>
    </row>
    <row r="4399" spans="1:43" x14ac:dyDescent="0.2">
      <c r="A4399" t="s">
        <v>2178</v>
      </c>
      <c r="B4399" t="s">
        <v>2179</v>
      </c>
      <c r="C4399">
        <v>2004</v>
      </c>
      <c r="D4399" t="s">
        <v>44</v>
      </c>
      <c r="F4399" t="s">
        <v>628</v>
      </c>
      <c r="G4399" t="s">
        <v>91</v>
      </c>
      <c r="H4399" t="s">
        <v>350</v>
      </c>
      <c r="I4399">
        <v>2001</v>
      </c>
      <c r="J4399">
        <v>0.3</v>
      </c>
      <c r="K4399" t="s">
        <v>101</v>
      </c>
      <c r="M4399">
        <v>0.25</v>
      </c>
      <c r="N4399" t="s">
        <v>120</v>
      </c>
      <c r="O4399" t="s">
        <v>120</v>
      </c>
      <c r="P4399" t="s">
        <v>2182</v>
      </c>
      <c r="Q4399" s="1" t="s">
        <v>2276</v>
      </c>
      <c r="R4399" s="1" t="s">
        <v>669</v>
      </c>
      <c r="S4399" s="1" t="s">
        <v>168</v>
      </c>
      <c r="T4399" t="s">
        <v>421</v>
      </c>
      <c r="U4399" t="s">
        <v>421</v>
      </c>
      <c r="X4399" t="s">
        <v>161</v>
      </c>
      <c r="Y4399" t="s">
        <v>2272</v>
      </c>
      <c r="Z4399" t="s">
        <v>2272</v>
      </c>
      <c r="AA4399" t="s">
        <v>2272</v>
      </c>
      <c r="AB4399" t="s">
        <v>2272</v>
      </c>
      <c r="AC4399" t="s">
        <v>162</v>
      </c>
      <c r="AD4399" t="s">
        <v>2272</v>
      </c>
      <c r="AF4399" t="s">
        <v>49</v>
      </c>
      <c r="AL4399" t="s">
        <v>49</v>
      </c>
      <c r="AM4399" t="s">
        <v>2198</v>
      </c>
      <c r="AN4399" t="s">
        <v>166</v>
      </c>
      <c r="AQ4399" s="5">
        <v>2</v>
      </c>
    </row>
    <row r="4400" spans="1:43" x14ac:dyDescent="0.2">
      <c r="A4400" t="s">
        <v>2178</v>
      </c>
      <c r="B4400" t="s">
        <v>2179</v>
      </c>
      <c r="C4400">
        <v>2004</v>
      </c>
      <c r="D4400" t="s">
        <v>44</v>
      </c>
      <c r="F4400" t="s">
        <v>628</v>
      </c>
      <c r="G4400" t="s">
        <v>91</v>
      </c>
      <c r="H4400" t="s">
        <v>350</v>
      </c>
      <c r="I4400">
        <v>2001</v>
      </c>
      <c r="J4400">
        <v>0.3</v>
      </c>
      <c r="K4400" t="s">
        <v>101</v>
      </c>
      <c r="M4400">
        <v>0.25</v>
      </c>
      <c r="N4400" t="s">
        <v>120</v>
      </c>
      <c r="O4400" t="s">
        <v>120</v>
      </c>
      <c r="P4400" t="s">
        <v>2183</v>
      </c>
      <c r="Q4400" s="1" t="s">
        <v>2276</v>
      </c>
      <c r="R4400" s="1" t="s">
        <v>751</v>
      </c>
      <c r="S4400" s="1" t="s">
        <v>2346</v>
      </c>
      <c r="T4400" t="s">
        <v>421</v>
      </c>
      <c r="U4400" t="s">
        <v>421</v>
      </c>
      <c r="X4400" t="s">
        <v>161</v>
      </c>
      <c r="Y4400" t="s">
        <v>2272</v>
      </c>
      <c r="Z4400" t="s">
        <v>2272</v>
      </c>
      <c r="AA4400" t="s">
        <v>2272</v>
      </c>
      <c r="AB4400" t="s">
        <v>2272</v>
      </c>
      <c r="AC4400" t="s">
        <v>162</v>
      </c>
      <c r="AD4400" t="s">
        <v>2272</v>
      </c>
      <c r="AF4400" t="s">
        <v>49</v>
      </c>
      <c r="AL4400" t="s">
        <v>49</v>
      </c>
      <c r="AM4400" t="s">
        <v>2198</v>
      </c>
      <c r="AN4400" t="s">
        <v>166</v>
      </c>
      <c r="AQ4400" s="5">
        <v>2</v>
      </c>
    </row>
    <row r="4401" spans="1:43" x14ac:dyDescent="0.2">
      <c r="A4401" t="s">
        <v>2178</v>
      </c>
      <c r="B4401" t="s">
        <v>2179</v>
      </c>
      <c r="C4401">
        <v>2004</v>
      </c>
      <c r="D4401" t="s">
        <v>44</v>
      </c>
      <c r="F4401" t="s">
        <v>628</v>
      </c>
      <c r="G4401" t="s">
        <v>91</v>
      </c>
      <c r="H4401" t="s">
        <v>350</v>
      </c>
      <c r="I4401">
        <v>2001</v>
      </c>
      <c r="J4401">
        <v>0.3</v>
      </c>
      <c r="K4401" t="s">
        <v>101</v>
      </c>
      <c r="M4401">
        <v>0.25</v>
      </c>
      <c r="N4401" t="s">
        <v>120</v>
      </c>
      <c r="O4401" t="s">
        <v>120</v>
      </c>
      <c r="P4401" t="s">
        <v>2180</v>
      </c>
      <c r="Q4401" s="1" t="s">
        <v>2276</v>
      </c>
      <c r="R4401" s="1" t="s">
        <v>669</v>
      </c>
      <c r="S4401" s="1" t="s">
        <v>168</v>
      </c>
      <c r="T4401" t="s">
        <v>396</v>
      </c>
      <c r="U4401" t="s">
        <v>2423</v>
      </c>
      <c r="X4401" t="s">
        <v>161</v>
      </c>
      <c r="Y4401" t="s">
        <v>2272</v>
      </c>
      <c r="Z4401" t="s">
        <v>2272</v>
      </c>
      <c r="AA4401" t="s">
        <v>2272</v>
      </c>
      <c r="AB4401" t="s">
        <v>2272</v>
      </c>
      <c r="AC4401" t="s">
        <v>162</v>
      </c>
      <c r="AD4401" t="s">
        <v>2272</v>
      </c>
      <c r="AF4401" t="s">
        <v>49</v>
      </c>
      <c r="AL4401" t="s">
        <v>49</v>
      </c>
      <c r="AM4401" t="s">
        <v>2199</v>
      </c>
      <c r="AN4401" t="s">
        <v>166</v>
      </c>
    </row>
    <row r="4402" spans="1:43" x14ac:dyDescent="0.2">
      <c r="A4402" t="s">
        <v>2178</v>
      </c>
      <c r="B4402" t="s">
        <v>2179</v>
      </c>
      <c r="C4402">
        <v>2004</v>
      </c>
      <c r="D4402" t="s">
        <v>44</v>
      </c>
      <c r="F4402" t="s">
        <v>628</v>
      </c>
      <c r="G4402" t="s">
        <v>91</v>
      </c>
      <c r="H4402" t="s">
        <v>350</v>
      </c>
      <c r="I4402">
        <v>2001</v>
      </c>
      <c r="J4402">
        <v>0.3</v>
      </c>
      <c r="K4402" t="s">
        <v>101</v>
      </c>
      <c r="M4402">
        <v>0.25</v>
      </c>
      <c r="N4402" t="s">
        <v>120</v>
      </c>
      <c r="O4402" t="s">
        <v>120</v>
      </c>
      <c r="P4402" t="s">
        <v>2181</v>
      </c>
      <c r="Q4402" s="1" t="s">
        <v>2276</v>
      </c>
      <c r="R4402" s="1" t="s">
        <v>669</v>
      </c>
      <c r="S4402" s="1" t="s">
        <v>168</v>
      </c>
      <c r="T4402" t="s">
        <v>396</v>
      </c>
      <c r="U4402" t="s">
        <v>2423</v>
      </c>
      <c r="X4402" t="s">
        <v>161</v>
      </c>
      <c r="Y4402" t="s">
        <v>2272</v>
      </c>
      <c r="Z4402" t="s">
        <v>2272</v>
      </c>
      <c r="AA4402" t="s">
        <v>2272</v>
      </c>
      <c r="AB4402" t="s">
        <v>2272</v>
      </c>
      <c r="AC4402" t="s">
        <v>162</v>
      </c>
      <c r="AD4402" t="s">
        <v>2272</v>
      </c>
      <c r="AF4402" t="s">
        <v>49</v>
      </c>
      <c r="AL4402" t="s">
        <v>49</v>
      </c>
      <c r="AM4402" t="s">
        <v>2199</v>
      </c>
      <c r="AN4402" t="s">
        <v>166</v>
      </c>
    </row>
    <row r="4403" spans="1:43" x14ac:dyDescent="0.2">
      <c r="A4403" t="s">
        <v>2178</v>
      </c>
      <c r="B4403" t="s">
        <v>2179</v>
      </c>
      <c r="C4403">
        <v>2004</v>
      </c>
      <c r="D4403" t="s">
        <v>44</v>
      </c>
      <c r="F4403" t="s">
        <v>628</v>
      </c>
      <c r="G4403" t="s">
        <v>91</v>
      </c>
      <c r="H4403" t="s">
        <v>350</v>
      </c>
      <c r="I4403">
        <v>2001</v>
      </c>
      <c r="J4403">
        <v>0.3</v>
      </c>
      <c r="K4403" t="s">
        <v>101</v>
      </c>
      <c r="M4403">
        <v>0.25</v>
      </c>
      <c r="N4403" t="s">
        <v>120</v>
      </c>
      <c r="O4403" t="s">
        <v>120</v>
      </c>
      <c r="P4403" t="s">
        <v>2182</v>
      </c>
      <c r="Q4403" s="1" t="s">
        <v>2276</v>
      </c>
      <c r="R4403" s="1" t="s">
        <v>669</v>
      </c>
      <c r="S4403" s="1" t="s">
        <v>168</v>
      </c>
      <c r="T4403" t="s">
        <v>396</v>
      </c>
      <c r="U4403" t="s">
        <v>2423</v>
      </c>
      <c r="X4403" t="s">
        <v>161</v>
      </c>
      <c r="Y4403" t="s">
        <v>2272</v>
      </c>
      <c r="Z4403" t="s">
        <v>2272</v>
      </c>
      <c r="AA4403" t="s">
        <v>2272</v>
      </c>
      <c r="AB4403" t="s">
        <v>2272</v>
      </c>
      <c r="AC4403" t="s">
        <v>162</v>
      </c>
      <c r="AD4403" t="s">
        <v>2272</v>
      </c>
      <c r="AF4403" t="s">
        <v>49</v>
      </c>
      <c r="AL4403" t="s">
        <v>49</v>
      </c>
      <c r="AM4403" t="s">
        <v>2199</v>
      </c>
      <c r="AN4403" t="s">
        <v>166</v>
      </c>
    </row>
    <row r="4404" spans="1:43" x14ac:dyDescent="0.2">
      <c r="A4404" t="s">
        <v>2178</v>
      </c>
      <c r="B4404" t="s">
        <v>2179</v>
      </c>
      <c r="C4404">
        <v>2004</v>
      </c>
      <c r="D4404" t="s">
        <v>44</v>
      </c>
      <c r="F4404" t="s">
        <v>628</v>
      </c>
      <c r="G4404" t="s">
        <v>91</v>
      </c>
      <c r="H4404" t="s">
        <v>350</v>
      </c>
      <c r="I4404">
        <v>2001</v>
      </c>
      <c r="J4404">
        <v>0.3</v>
      </c>
      <c r="K4404" t="s">
        <v>101</v>
      </c>
      <c r="M4404">
        <v>0.25</v>
      </c>
      <c r="N4404" t="s">
        <v>120</v>
      </c>
      <c r="O4404" t="s">
        <v>120</v>
      </c>
      <c r="P4404" t="s">
        <v>2183</v>
      </c>
      <c r="Q4404" s="1" t="s">
        <v>2276</v>
      </c>
      <c r="R4404" s="1" t="s">
        <v>751</v>
      </c>
      <c r="S4404" s="1" t="s">
        <v>2346</v>
      </c>
      <c r="T4404" t="s">
        <v>396</v>
      </c>
      <c r="U4404" t="s">
        <v>2366</v>
      </c>
      <c r="X4404" t="s">
        <v>161</v>
      </c>
      <c r="Y4404" t="s">
        <v>2272</v>
      </c>
      <c r="Z4404" t="s">
        <v>2272</v>
      </c>
      <c r="AA4404" t="s">
        <v>2272</v>
      </c>
      <c r="AB4404" t="s">
        <v>2272</v>
      </c>
      <c r="AC4404" t="s">
        <v>162</v>
      </c>
      <c r="AD4404" t="s">
        <v>2272</v>
      </c>
      <c r="AF4404" t="s">
        <v>49</v>
      </c>
      <c r="AL4404" t="s">
        <v>49</v>
      </c>
      <c r="AM4404" t="s">
        <v>2199</v>
      </c>
      <c r="AN4404" t="s">
        <v>166</v>
      </c>
    </row>
    <row r="4405" spans="1:43" x14ac:dyDescent="0.2">
      <c r="A4405" t="s">
        <v>2178</v>
      </c>
      <c r="B4405" t="s">
        <v>2179</v>
      </c>
      <c r="C4405">
        <v>2004</v>
      </c>
      <c r="D4405" t="s">
        <v>44</v>
      </c>
      <c r="F4405" t="s">
        <v>628</v>
      </c>
      <c r="G4405" t="s">
        <v>91</v>
      </c>
      <c r="H4405" t="s">
        <v>350</v>
      </c>
      <c r="I4405">
        <v>2001</v>
      </c>
      <c r="J4405">
        <v>0.3</v>
      </c>
      <c r="K4405" t="s">
        <v>101</v>
      </c>
      <c r="M4405">
        <v>0.25</v>
      </c>
      <c r="N4405" t="s">
        <v>120</v>
      </c>
      <c r="O4405" t="s">
        <v>120</v>
      </c>
      <c r="P4405" t="s">
        <v>2180</v>
      </c>
      <c r="Q4405" s="1" t="s">
        <v>2276</v>
      </c>
      <c r="R4405" s="1" t="s">
        <v>669</v>
      </c>
      <c r="S4405" s="1" t="s">
        <v>168</v>
      </c>
      <c r="T4405" t="s">
        <v>421</v>
      </c>
      <c r="U4405" t="s">
        <v>421</v>
      </c>
      <c r="X4405" t="s">
        <v>161</v>
      </c>
      <c r="Y4405" t="s">
        <v>2272</v>
      </c>
      <c r="Z4405" t="s">
        <v>2272</v>
      </c>
      <c r="AA4405" t="s">
        <v>2272</v>
      </c>
      <c r="AB4405" t="s">
        <v>2272</v>
      </c>
      <c r="AC4405" t="s">
        <v>162</v>
      </c>
      <c r="AD4405" t="s">
        <v>2272</v>
      </c>
      <c r="AF4405" t="s">
        <v>49</v>
      </c>
      <c r="AL4405" t="s">
        <v>49</v>
      </c>
      <c r="AM4405" t="s">
        <v>2199</v>
      </c>
      <c r="AN4405" t="s">
        <v>166</v>
      </c>
    </row>
    <row r="4406" spans="1:43" x14ac:dyDescent="0.2">
      <c r="A4406" t="s">
        <v>2178</v>
      </c>
      <c r="B4406" t="s">
        <v>2179</v>
      </c>
      <c r="C4406">
        <v>2004</v>
      </c>
      <c r="D4406" t="s">
        <v>44</v>
      </c>
      <c r="F4406" t="s">
        <v>628</v>
      </c>
      <c r="G4406" t="s">
        <v>91</v>
      </c>
      <c r="H4406" t="s">
        <v>350</v>
      </c>
      <c r="I4406">
        <v>2001</v>
      </c>
      <c r="J4406">
        <v>0.3</v>
      </c>
      <c r="K4406" t="s">
        <v>101</v>
      </c>
      <c r="M4406">
        <v>0.25</v>
      </c>
      <c r="N4406" t="s">
        <v>120</v>
      </c>
      <c r="O4406" t="s">
        <v>120</v>
      </c>
      <c r="P4406" t="s">
        <v>2181</v>
      </c>
      <c r="Q4406" s="1" t="s">
        <v>2276</v>
      </c>
      <c r="R4406" s="1" t="s">
        <v>669</v>
      </c>
      <c r="S4406" s="1" t="s">
        <v>168</v>
      </c>
      <c r="T4406" t="s">
        <v>421</v>
      </c>
      <c r="U4406" t="s">
        <v>421</v>
      </c>
      <c r="X4406" t="s">
        <v>161</v>
      </c>
      <c r="Y4406" t="s">
        <v>2272</v>
      </c>
      <c r="Z4406" t="s">
        <v>2272</v>
      </c>
      <c r="AA4406" t="s">
        <v>2272</v>
      </c>
      <c r="AB4406" t="s">
        <v>2272</v>
      </c>
      <c r="AC4406" t="s">
        <v>162</v>
      </c>
      <c r="AD4406" t="s">
        <v>2272</v>
      </c>
      <c r="AF4406" t="s">
        <v>49</v>
      </c>
      <c r="AL4406" t="s">
        <v>49</v>
      </c>
      <c r="AM4406" t="s">
        <v>2199</v>
      </c>
      <c r="AN4406" t="s">
        <v>166</v>
      </c>
    </row>
    <row r="4407" spans="1:43" x14ac:dyDescent="0.2">
      <c r="A4407" t="s">
        <v>2178</v>
      </c>
      <c r="B4407" t="s">
        <v>2179</v>
      </c>
      <c r="C4407">
        <v>2004</v>
      </c>
      <c r="D4407" t="s">
        <v>44</v>
      </c>
      <c r="F4407" t="s">
        <v>628</v>
      </c>
      <c r="G4407" t="s">
        <v>91</v>
      </c>
      <c r="H4407" t="s">
        <v>350</v>
      </c>
      <c r="I4407">
        <v>2001</v>
      </c>
      <c r="J4407">
        <v>0.3</v>
      </c>
      <c r="K4407" t="s">
        <v>101</v>
      </c>
      <c r="M4407">
        <v>0.25</v>
      </c>
      <c r="N4407" t="s">
        <v>120</v>
      </c>
      <c r="O4407" t="s">
        <v>120</v>
      </c>
      <c r="P4407" t="s">
        <v>2182</v>
      </c>
      <c r="Q4407" s="1" t="s">
        <v>2276</v>
      </c>
      <c r="R4407" s="1" t="s">
        <v>669</v>
      </c>
      <c r="S4407" s="1" t="s">
        <v>168</v>
      </c>
      <c r="T4407" t="s">
        <v>421</v>
      </c>
      <c r="U4407" t="s">
        <v>421</v>
      </c>
      <c r="X4407" t="s">
        <v>161</v>
      </c>
      <c r="Y4407" t="s">
        <v>2272</v>
      </c>
      <c r="Z4407" t="s">
        <v>2272</v>
      </c>
      <c r="AA4407" t="s">
        <v>2272</v>
      </c>
      <c r="AB4407" t="s">
        <v>2272</v>
      </c>
      <c r="AC4407" t="s">
        <v>162</v>
      </c>
      <c r="AD4407" t="s">
        <v>2272</v>
      </c>
      <c r="AF4407" t="s">
        <v>49</v>
      </c>
      <c r="AL4407" t="s">
        <v>49</v>
      </c>
      <c r="AM4407" t="s">
        <v>2199</v>
      </c>
      <c r="AN4407" t="s">
        <v>166</v>
      </c>
    </row>
    <row r="4408" spans="1:43" x14ac:dyDescent="0.2">
      <c r="A4408" t="s">
        <v>2178</v>
      </c>
      <c r="B4408" t="s">
        <v>2179</v>
      </c>
      <c r="C4408">
        <v>2004</v>
      </c>
      <c r="D4408" t="s">
        <v>44</v>
      </c>
      <c r="F4408" t="s">
        <v>628</v>
      </c>
      <c r="G4408" t="s">
        <v>91</v>
      </c>
      <c r="H4408" t="s">
        <v>350</v>
      </c>
      <c r="I4408">
        <v>2001</v>
      </c>
      <c r="J4408">
        <v>0.3</v>
      </c>
      <c r="K4408" t="s">
        <v>101</v>
      </c>
      <c r="M4408">
        <v>0.25</v>
      </c>
      <c r="N4408" t="s">
        <v>120</v>
      </c>
      <c r="O4408" t="s">
        <v>120</v>
      </c>
      <c r="P4408" t="s">
        <v>2183</v>
      </c>
      <c r="Q4408" s="1" t="s">
        <v>2276</v>
      </c>
      <c r="R4408" s="1" t="s">
        <v>751</v>
      </c>
      <c r="S4408" s="1" t="s">
        <v>2346</v>
      </c>
      <c r="T4408" t="s">
        <v>421</v>
      </c>
      <c r="U4408" t="s">
        <v>421</v>
      </c>
      <c r="X4408" t="s">
        <v>161</v>
      </c>
      <c r="Y4408" t="s">
        <v>2272</v>
      </c>
      <c r="Z4408" t="s">
        <v>2272</v>
      </c>
      <c r="AA4408" t="s">
        <v>2272</v>
      </c>
      <c r="AB4408" t="s">
        <v>2272</v>
      </c>
      <c r="AC4408" t="s">
        <v>162</v>
      </c>
      <c r="AD4408" t="s">
        <v>2272</v>
      </c>
      <c r="AF4408" t="s">
        <v>49</v>
      </c>
      <c r="AL4408" t="s">
        <v>49</v>
      </c>
      <c r="AM4408" t="s">
        <v>2199</v>
      </c>
      <c r="AN4408" t="s">
        <v>166</v>
      </c>
    </row>
    <row r="4409" spans="1:43" x14ac:dyDescent="0.2">
      <c r="A4409" t="s">
        <v>2178</v>
      </c>
      <c r="B4409" t="s">
        <v>2179</v>
      </c>
      <c r="C4409">
        <v>2004</v>
      </c>
      <c r="D4409" t="s">
        <v>44</v>
      </c>
      <c r="F4409" t="s">
        <v>628</v>
      </c>
      <c r="G4409" t="s">
        <v>91</v>
      </c>
      <c r="H4409" t="s">
        <v>350</v>
      </c>
      <c r="I4409">
        <v>2001</v>
      </c>
      <c r="J4409">
        <v>0.3</v>
      </c>
      <c r="K4409" t="s">
        <v>101</v>
      </c>
      <c r="M4409">
        <v>0.25</v>
      </c>
      <c r="N4409" t="s">
        <v>120</v>
      </c>
      <c r="O4409" t="s">
        <v>120</v>
      </c>
      <c r="P4409" t="s">
        <v>2180</v>
      </c>
      <c r="Q4409" s="1" t="s">
        <v>2276</v>
      </c>
      <c r="R4409" s="1" t="s">
        <v>669</v>
      </c>
      <c r="S4409" s="1" t="s">
        <v>168</v>
      </c>
      <c r="T4409" t="s">
        <v>396</v>
      </c>
      <c r="U4409" t="s">
        <v>2423</v>
      </c>
      <c r="X4409" t="s">
        <v>161</v>
      </c>
      <c r="Y4409" t="s">
        <v>2272</v>
      </c>
      <c r="Z4409" t="s">
        <v>2272</v>
      </c>
      <c r="AA4409" t="s">
        <v>2272</v>
      </c>
      <c r="AB4409" t="s">
        <v>2272</v>
      </c>
      <c r="AC4409" t="s">
        <v>162</v>
      </c>
      <c r="AD4409" t="s">
        <v>2272</v>
      </c>
      <c r="AF4409" t="s">
        <v>49</v>
      </c>
      <c r="AL4409" t="s">
        <v>49</v>
      </c>
      <c r="AM4409" t="s">
        <v>2200</v>
      </c>
      <c r="AN4409" t="s">
        <v>166</v>
      </c>
      <c r="AQ4409" s="5">
        <v>4</v>
      </c>
    </row>
    <row r="4410" spans="1:43" x14ac:dyDescent="0.2">
      <c r="A4410" t="s">
        <v>2178</v>
      </c>
      <c r="B4410" t="s">
        <v>2179</v>
      </c>
      <c r="C4410">
        <v>2004</v>
      </c>
      <c r="D4410" t="s">
        <v>44</v>
      </c>
      <c r="F4410" t="s">
        <v>628</v>
      </c>
      <c r="G4410" t="s">
        <v>91</v>
      </c>
      <c r="H4410" t="s">
        <v>350</v>
      </c>
      <c r="I4410">
        <v>2001</v>
      </c>
      <c r="J4410">
        <v>0.3</v>
      </c>
      <c r="K4410" t="s">
        <v>101</v>
      </c>
      <c r="M4410">
        <v>0.25</v>
      </c>
      <c r="N4410" t="s">
        <v>120</v>
      </c>
      <c r="O4410" t="s">
        <v>120</v>
      </c>
      <c r="P4410" t="s">
        <v>2181</v>
      </c>
      <c r="Q4410" s="1" t="s">
        <v>2276</v>
      </c>
      <c r="R4410" s="1" t="s">
        <v>669</v>
      </c>
      <c r="S4410" s="1" t="s">
        <v>168</v>
      </c>
      <c r="T4410" t="s">
        <v>396</v>
      </c>
      <c r="U4410" t="s">
        <v>2423</v>
      </c>
      <c r="X4410" t="s">
        <v>161</v>
      </c>
      <c r="Y4410" t="s">
        <v>2272</v>
      </c>
      <c r="Z4410" t="s">
        <v>2272</v>
      </c>
      <c r="AA4410" t="s">
        <v>2272</v>
      </c>
      <c r="AB4410" t="s">
        <v>2272</v>
      </c>
      <c r="AC4410" t="s">
        <v>162</v>
      </c>
      <c r="AD4410" t="s">
        <v>2272</v>
      </c>
      <c r="AF4410" t="s">
        <v>49</v>
      </c>
      <c r="AL4410" t="s">
        <v>49</v>
      </c>
      <c r="AM4410" t="s">
        <v>2200</v>
      </c>
      <c r="AN4410" t="s">
        <v>166</v>
      </c>
      <c r="AQ4410" s="5">
        <v>2</v>
      </c>
    </row>
    <row r="4411" spans="1:43" x14ac:dyDescent="0.2">
      <c r="A4411" t="s">
        <v>2178</v>
      </c>
      <c r="B4411" t="s">
        <v>2179</v>
      </c>
      <c r="C4411">
        <v>2004</v>
      </c>
      <c r="D4411" t="s">
        <v>44</v>
      </c>
      <c r="F4411" t="s">
        <v>628</v>
      </c>
      <c r="G4411" t="s">
        <v>91</v>
      </c>
      <c r="H4411" t="s">
        <v>350</v>
      </c>
      <c r="I4411">
        <v>2001</v>
      </c>
      <c r="J4411">
        <v>0.3</v>
      </c>
      <c r="K4411" t="s">
        <v>101</v>
      </c>
      <c r="M4411">
        <v>0.25</v>
      </c>
      <c r="N4411" t="s">
        <v>120</v>
      </c>
      <c r="O4411" t="s">
        <v>120</v>
      </c>
      <c r="P4411" t="s">
        <v>2182</v>
      </c>
      <c r="Q4411" s="1" t="s">
        <v>2276</v>
      </c>
      <c r="R4411" s="1" t="s">
        <v>669</v>
      </c>
      <c r="S4411" s="1" t="s">
        <v>168</v>
      </c>
      <c r="T4411" t="s">
        <v>396</v>
      </c>
      <c r="U4411" t="s">
        <v>2423</v>
      </c>
      <c r="X4411" t="s">
        <v>161</v>
      </c>
      <c r="Y4411" t="s">
        <v>2272</v>
      </c>
      <c r="Z4411" t="s">
        <v>2272</v>
      </c>
      <c r="AA4411" t="s">
        <v>2272</v>
      </c>
      <c r="AB4411" t="s">
        <v>2272</v>
      </c>
      <c r="AC4411" t="s">
        <v>162</v>
      </c>
      <c r="AD4411" t="s">
        <v>2272</v>
      </c>
      <c r="AF4411" t="s">
        <v>49</v>
      </c>
      <c r="AL4411" t="s">
        <v>49</v>
      </c>
      <c r="AM4411" t="s">
        <v>2200</v>
      </c>
      <c r="AN4411" t="s">
        <v>166</v>
      </c>
      <c r="AQ4411" s="5">
        <v>1</v>
      </c>
    </row>
    <row r="4412" spans="1:43" x14ac:dyDescent="0.2">
      <c r="A4412" t="s">
        <v>2178</v>
      </c>
      <c r="B4412" t="s">
        <v>2179</v>
      </c>
      <c r="C4412">
        <v>2004</v>
      </c>
      <c r="D4412" t="s">
        <v>44</v>
      </c>
      <c r="F4412" t="s">
        <v>628</v>
      </c>
      <c r="G4412" t="s">
        <v>91</v>
      </c>
      <c r="H4412" t="s">
        <v>350</v>
      </c>
      <c r="I4412">
        <v>2001</v>
      </c>
      <c r="J4412">
        <v>0.3</v>
      </c>
      <c r="K4412" t="s">
        <v>101</v>
      </c>
      <c r="M4412">
        <v>0.25</v>
      </c>
      <c r="N4412" t="s">
        <v>120</v>
      </c>
      <c r="O4412" t="s">
        <v>120</v>
      </c>
      <c r="P4412" t="s">
        <v>2183</v>
      </c>
      <c r="Q4412" s="1" t="s">
        <v>2276</v>
      </c>
      <c r="R4412" s="1" t="s">
        <v>751</v>
      </c>
      <c r="S4412" s="1" t="s">
        <v>2346</v>
      </c>
      <c r="T4412" t="s">
        <v>396</v>
      </c>
      <c r="U4412" t="s">
        <v>2366</v>
      </c>
      <c r="X4412" t="s">
        <v>161</v>
      </c>
      <c r="Y4412" t="s">
        <v>2272</v>
      </c>
      <c r="Z4412" t="s">
        <v>2272</v>
      </c>
      <c r="AA4412" t="s">
        <v>2272</v>
      </c>
      <c r="AB4412" t="s">
        <v>2272</v>
      </c>
      <c r="AC4412" t="s">
        <v>162</v>
      </c>
      <c r="AD4412" t="s">
        <v>2272</v>
      </c>
      <c r="AF4412" t="s">
        <v>49</v>
      </c>
      <c r="AL4412" t="s">
        <v>49</v>
      </c>
      <c r="AM4412" t="s">
        <v>2200</v>
      </c>
      <c r="AN4412" t="s">
        <v>166</v>
      </c>
      <c r="AQ4412" s="5">
        <v>3</v>
      </c>
    </row>
    <row r="4413" spans="1:43" x14ac:dyDescent="0.2">
      <c r="A4413" t="s">
        <v>2178</v>
      </c>
      <c r="B4413" t="s">
        <v>2179</v>
      </c>
      <c r="C4413">
        <v>2004</v>
      </c>
      <c r="D4413" t="s">
        <v>44</v>
      </c>
      <c r="F4413" t="s">
        <v>628</v>
      </c>
      <c r="G4413" t="s">
        <v>91</v>
      </c>
      <c r="H4413" t="s">
        <v>350</v>
      </c>
      <c r="I4413">
        <v>2001</v>
      </c>
      <c r="J4413">
        <v>0.3</v>
      </c>
      <c r="K4413" t="s">
        <v>101</v>
      </c>
      <c r="M4413">
        <v>0.25</v>
      </c>
      <c r="N4413" t="s">
        <v>120</v>
      </c>
      <c r="O4413" t="s">
        <v>120</v>
      </c>
      <c r="P4413" t="s">
        <v>2180</v>
      </c>
      <c r="Q4413" s="1" t="s">
        <v>2276</v>
      </c>
      <c r="R4413" s="1" t="s">
        <v>669</v>
      </c>
      <c r="S4413" s="1" t="s">
        <v>168</v>
      </c>
      <c r="T4413" t="s">
        <v>421</v>
      </c>
      <c r="U4413" t="s">
        <v>421</v>
      </c>
      <c r="X4413" t="s">
        <v>161</v>
      </c>
      <c r="Y4413" t="s">
        <v>2272</v>
      </c>
      <c r="Z4413" t="s">
        <v>2272</v>
      </c>
      <c r="AA4413" t="s">
        <v>2272</v>
      </c>
      <c r="AB4413" t="s">
        <v>2272</v>
      </c>
      <c r="AC4413" t="s">
        <v>162</v>
      </c>
      <c r="AD4413" t="s">
        <v>2272</v>
      </c>
      <c r="AF4413" t="s">
        <v>49</v>
      </c>
      <c r="AL4413" t="s">
        <v>49</v>
      </c>
      <c r="AM4413" t="s">
        <v>2200</v>
      </c>
      <c r="AN4413" t="s">
        <v>166</v>
      </c>
      <c r="AQ4413" s="5">
        <v>2</v>
      </c>
    </row>
    <row r="4414" spans="1:43" x14ac:dyDescent="0.2">
      <c r="A4414" t="s">
        <v>2178</v>
      </c>
      <c r="B4414" t="s">
        <v>2179</v>
      </c>
      <c r="C4414">
        <v>2004</v>
      </c>
      <c r="D4414" t="s">
        <v>44</v>
      </c>
      <c r="F4414" t="s">
        <v>628</v>
      </c>
      <c r="G4414" t="s">
        <v>91</v>
      </c>
      <c r="H4414" t="s">
        <v>350</v>
      </c>
      <c r="I4414">
        <v>2001</v>
      </c>
      <c r="J4414">
        <v>0.3</v>
      </c>
      <c r="K4414" t="s">
        <v>101</v>
      </c>
      <c r="M4414">
        <v>0.25</v>
      </c>
      <c r="N4414" t="s">
        <v>120</v>
      </c>
      <c r="O4414" t="s">
        <v>120</v>
      </c>
      <c r="P4414" t="s">
        <v>2181</v>
      </c>
      <c r="Q4414" s="1" t="s">
        <v>2276</v>
      </c>
      <c r="R4414" s="1" t="s">
        <v>669</v>
      </c>
      <c r="S4414" s="1" t="s">
        <v>168</v>
      </c>
      <c r="T4414" t="s">
        <v>421</v>
      </c>
      <c r="U4414" t="s">
        <v>421</v>
      </c>
      <c r="X4414" t="s">
        <v>161</v>
      </c>
      <c r="Y4414" t="s">
        <v>2272</v>
      </c>
      <c r="Z4414" t="s">
        <v>2272</v>
      </c>
      <c r="AA4414" t="s">
        <v>2272</v>
      </c>
      <c r="AB4414" t="s">
        <v>2272</v>
      </c>
      <c r="AC4414" t="s">
        <v>162</v>
      </c>
      <c r="AD4414" t="s">
        <v>2272</v>
      </c>
      <c r="AF4414" t="s">
        <v>49</v>
      </c>
      <c r="AL4414" t="s">
        <v>49</v>
      </c>
      <c r="AM4414" t="s">
        <v>2200</v>
      </c>
      <c r="AN4414" t="s">
        <v>166</v>
      </c>
      <c r="AQ4414" s="5">
        <v>0</v>
      </c>
    </row>
    <row r="4415" spans="1:43" x14ac:dyDescent="0.2">
      <c r="A4415" t="s">
        <v>2178</v>
      </c>
      <c r="B4415" t="s">
        <v>2179</v>
      </c>
      <c r="C4415">
        <v>2004</v>
      </c>
      <c r="D4415" t="s">
        <v>44</v>
      </c>
      <c r="F4415" t="s">
        <v>628</v>
      </c>
      <c r="G4415" t="s">
        <v>91</v>
      </c>
      <c r="H4415" t="s">
        <v>350</v>
      </c>
      <c r="I4415">
        <v>2001</v>
      </c>
      <c r="J4415">
        <v>0.3</v>
      </c>
      <c r="K4415" t="s">
        <v>101</v>
      </c>
      <c r="M4415">
        <v>0.25</v>
      </c>
      <c r="N4415" t="s">
        <v>120</v>
      </c>
      <c r="O4415" t="s">
        <v>120</v>
      </c>
      <c r="P4415" t="s">
        <v>2182</v>
      </c>
      <c r="Q4415" s="1" t="s">
        <v>2276</v>
      </c>
      <c r="R4415" s="1" t="s">
        <v>669</v>
      </c>
      <c r="S4415" s="1" t="s">
        <v>168</v>
      </c>
      <c r="T4415" t="s">
        <v>421</v>
      </c>
      <c r="U4415" t="s">
        <v>421</v>
      </c>
      <c r="X4415" t="s">
        <v>161</v>
      </c>
      <c r="Y4415" t="s">
        <v>2272</v>
      </c>
      <c r="Z4415" t="s">
        <v>2272</v>
      </c>
      <c r="AA4415" t="s">
        <v>2272</v>
      </c>
      <c r="AB4415" t="s">
        <v>2272</v>
      </c>
      <c r="AC4415" t="s">
        <v>162</v>
      </c>
      <c r="AD4415" t="s">
        <v>2272</v>
      </c>
      <c r="AF4415" t="s">
        <v>49</v>
      </c>
      <c r="AL4415" t="s">
        <v>49</v>
      </c>
      <c r="AM4415" t="s">
        <v>2200</v>
      </c>
      <c r="AN4415" t="s">
        <v>166</v>
      </c>
      <c r="AQ4415" s="5">
        <v>1</v>
      </c>
    </row>
    <row r="4416" spans="1:43" x14ac:dyDescent="0.2">
      <c r="A4416" t="s">
        <v>2178</v>
      </c>
      <c r="B4416" t="s">
        <v>2179</v>
      </c>
      <c r="C4416">
        <v>2004</v>
      </c>
      <c r="D4416" t="s">
        <v>44</v>
      </c>
      <c r="F4416" t="s">
        <v>628</v>
      </c>
      <c r="G4416" t="s">
        <v>91</v>
      </c>
      <c r="H4416" t="s">
        <v>350</v>
      </c>
      <c r="I4416">
        <v>2001</v>
      </c>
      <c r="J4416">
        <v>0.3</v>
      </c>
      <c r="K4416" t="s">
        <v>101</v>
      </c>
      <c r="M4416">
        <v>0.25</v>
      </c>
      <c r="N4416" t="s">
        <v>120</v>
      </c>
      <c r="O4416" t="s">
        <v>120</v>
      </c>
      <c r="P4416" t="s">
        <v>2183</v>
      </c>
      <c r="Q4416" s="1" t="s">
        <v>2276</v>
      </c>
      <c r="R4416" s="1" t="s">
        <v>751</v>
      </c>
      <c r="S4416" s="1" t="s">
        <v>2346</v>
      </c>
      <c r="T4416" t="s">
        <v>421</v>
      </c>
      <c r="U4416" t="s">
        <v>421</v>
      </c>
      <c r="X4416" t="s">
        <v>161</v>
      </c>
      <c r="Y4416" t="s">
        <v>2272</v>
      </c>
      <c r="Z4416" t="s">
        <v>2272</v>
      </c>
      <c r="AA4416" t="s">
        <v>2272</v>
      </c>
      <c r="AB4416" t="s">
        <v>2272</v>
      </c>
      <c r="AC4416" t="s">
        <v>162</v>
      </c>
      <c r="AD4416" t="s">
        <v>2272</v>
      </c>
      <c r="AF4416" t="s">
        <v>49</v>
      </c>
      <c r="AL4416" t="s">
        <v>49</v>
      </c>
      <c r="AM4416" t="s">
        <v>2200</v>
      </c>
      <c r="AN4416" t="s">
        <v>166</v>
      </c>
      <c r="AQ4416" s="5">
        <v>2</v>
      </c>
    </row>
    <row r="4417" spans="1:43" x14ac:dyDescent="0.2">
      <c r="A4417" t="s">
        <v>2178</v>
      </c>
      <c r="B4417" t="s">
        <v>2179</v>
      </c>
      <c r="C4417">
        <v>2004</v>
      </c>
      <c r="D4417" t="s">
        <v>44</v>
      </c>
      <c r="F4417" t="s">
        <v>628</v>
      </c>
      <c r="G4417" t="s">
        <v>91</v>
      </c>
      <c r="H4417" t="s">
        <v>350</v>
      </c>
      <c r="I4417">
        <v>2001</v>
      </c>
      <c r="J4417">
        <v>0.3</v>
      </c>
      <c r="K4417" t="s">
        <v>101</v>
      </c>
      <c r="M4417">
        <v>0.25</v>
      </c>
      <c r="N4417" t="s">
        <v>120</v>
      </c>
      <c r="O4417" t="s">
        <v>120</v>
      </c>
      <c r="P4417" t="s">
        <v>2180</v>
      </c>
      <c r="Q4417" s="1" t="s">
        <v>2276</v>
      </c>
      <c r="R4417" s="1" t="s">
        <v>669</v>
      </c>
      <c r="S4417" s="1" t="s">
        <v>168</v>
      </c>
      <c r="T4417" t="s">
        <v>396</v>
      </c>
      <c r="U4417" t="s">
        <v>2423</v>
      </c>
      <c r="X4417" t="s">
        <v>161</v>
      </c>
      <c r="Y4417" t="s">
        <v>2272</v>
      </c>
      <c r="Z4417" t="s">
        <v>2272</v>
      </c>
      <c r="AA4417" t="s">
        <v>2272</v>
      </c>
      <c r="AB4417" t="s">
        <v>2272</v>
      </c>
      <c r="AC4417" t="s">
        <v>162</v>
      </c>
      <c r="AD4417" t="s">
        <v>2272</v>
      </c>
      <c r="AF4417" t="s">
        <v>49</v>
      </c>
      <c r="AL4417" t="s">
        <v>49</v>
      </c>
      <c r="AM4417" t="s">
        <v>2186</v>
      </c>
      <c r="AN4417" t="s">
        <v>166</v>
      </c>
      <c r="AQ4417" s="5">
        <v>3</v>
      </c>
    </row>
    <row r="4418" spans="1:43" x14ac:dyDescent="0.2">
      <c r="A4418" t="s">
        <v>2178</v>
      </c>
      <c r="B4418" t="s">
        <v>2179</v>
      </c>
      <c r="C4418">
        <v>2004</v>
      </c>
      <c r="D4418" t="s">
        <v>44</v>
      </c>
      <c r="F4418" t="s">
        <v>628</v>
      </c>
      <c r="G4418" t="s">
        <v>91</v>
      </c>
      <c r="H4418" t="s">
        <v>350</v>
      </c>
      <c r="I4418">
        <v>2001</v>
      </c>
      <c r="J4418">
        <v>0.3</v>
      </c>
      <c r="K4418" t="s">
        <v>101</v>
      </c>
      <c r="M4418">
        <v>0.25</v>
      </c>
      <c r="N4418" t="s">
        <v>120</v>
      </c>
      <c r="O4418" t="s">
        <v>120</v>
      </c>
      <c r="P4418" t="s">
        <v>2181</v>
      </c>
      <c r="Q4418" s="1" t="s">
        <v>2276</v>
      </c>
      <c r="R4418" s="1" t="s">
        <v>669</v>
      </c>
      <c r="S4418" s="1" t="s">
        <v>168</v>
      </c>
      <c r="T4418" t="s">
        <v>396</v>
      </c>
      <c r="U4418" t="s">
        <v>2423</v>
      </c>
      <c r="X4418" t="s">
        <v>161</v>
      </c>
      <c r="Y4418" t="s">
        <v>2272</v>
      </c>
      <c r="Z4418" t="s">
        <v>2272</v>
      </c>
      <c r="AA4418" t="s">
        <v>2272</v>
      </c>
      <c r="AB4418" t="s">
        <v>2272</v>
      </c>
      <c r="AC4418" t="s">
        <v>162</v>
      </c>
      <c r="AD4418" t="s">
        <v>2272</v>
      </c>
      <c r="AF4418" t="s">
        <v>49</v>
      </c>
      <c r="AL4418" t="s">
        <v>49</v>
      </c>
      <c r="AM4418" t="s">
        <v>2186</v>
      </c>
      <c r="AN4418" t="s">
        <v>166</v>
      </c>
      <c r="AQ4418" s="5">
        <v>2</v>
      </c>
    </row>
    <row r="4419" spans="1:43" x14ac:dyDescent="0.2">
      <c r="A4419" t="s">
        <v>2178</v>
      </c>
      <c r="B4419" t="s">
        <v>2179</v>
      </c>
      <c r="C4419">
        <v>2004</v>
      </c>
      <c r="D4419" t="s">
        <v>44</v>
      </c>
      <c r="F4419" t="s">
        <v>628</v>
      </c>
      <c r="G4419" t="s">
        <v>91</v>
      </c>
      <c r="H4419" t="s">
        <v>350</v>
      </c>
      <c r="I4419">
        <v>2001</v>
      </c>
      <c r="J4419">
        <v>0.3</v>
      </c>
      <c r="K4419" t="s">
        <v>101</v>
      </c>
      <c r="M4419">
        <v>0.25</v>
      </c>
      <c r="N4419" t="s">
        <v>120</v>
      </c>
      <c r="O4419" t="s">
        <v>120</v>
      </c>
      <c r="P4419" t="s">
        <v>2182</v>
      </c>
      <c r="Q4419" s="1" t="s">
        <v>2276</v>
      </c>
      <c r="R4419" s="1" t="s">
        <v>669</v>
      </c>
      <c r="S4419" s="1" t="s">
        <v>168</v>
      </c>
      <c r="T4419" t="s">
        <v>396</v>
      </c>
      <c r="U4419" t="s">
        <v>2423</v>
      </c>
      <c r="X4419" t="s">
        <v>161</v>
      </c>
      <c r="Y4419" t="s">
        <v>2272</v>
      </c>
      <c r="Z4419" t="s">
        <v>2272</v>
      </c>
      <c r="AA4419" t="s">
        <v>2272</v>
      </c>
      <c r="AB4419" t="s">
        <v>2272</v>
      </c>
      <c r="AC4419" t="s">
        <v>162</v>
      </c>
      <c r="AD4419" t="s">
        <v>2272</v>
      </c>
      <c r="AF4419" t="s">
        <v>49</v>
      </c>
      <c r="AL4419" t="s">
        <v>49</v>
      </c>
      <c r="AM4419" t="s">
        <v>2186</v>
      </c>
      <c r="AN4419" t="s">
        <v>166</v>
      </c>
      <c r="AQ4419" s="5">
        <v>3</v>
      </c>
    </row>
    <row r="4420" spans="1:43" x14ac:dyDescent="0.2">
      <c r="A4420" t="s">
        <v>2178</v>
      </c>
      <c r="B4420" t="s">
        <v>2179</v>
      </c>
      <c r="C4420">
        <v>2004</v>
      </c>
      <c r="D4420" t="s">
        <v>44</v>
      </c>
      <c r="F4420" t="s">
        <v>628</v>
      </c>
      <c r="G4420" t="s">
        <v>91</v>
      </c>
      <c r="H4420" t="s">
        <v>350</v>
      </c>
      <c r="I4420">
        <v>2001</v>
      </c>
      <c r="J4420">
        <v>0.3</v>
      </c>
      <c r="K4420" t="s">
        <v>101</v>
      </c>
      <c r="M4420">
        <v>0.25</v>
      </c>
      <c r="N4420" t="s">
        <v>120</v>
      </c>
      <c r="O4420" t="s">
        <v>120</v>
      </c>
      <c r="P4420" t="s">
        <v>2183</v>
      </c>
      <c r="Q4420" s="1" t="s">
        <v>2276</v>
      </c>
      <c r="R4420" s="1" t="s">
        <v>751</v>
      </c>
      <c r="S4420" s="1" t="s">
        <v>2346</v>
      </c>
      <c r="T4420" t="s">
        <v>396</v>
      </c>
      <c r="U4420" t="s">
        <v>2366</v>
      </c>
      <c r="X4420" t="s">
        <v>161</v>
      </c>
      <c r="Y4420" t="s">
        <v>2272</v>
      </c>
      <c r="Z4420" t="s">
        <v>2272</v>
      </c>
      <c r="AA4420" t="s">
        <v>2272</v>
      </c>
      <c r="AB4420" t="s">
        <v>2272</v>
      </c>
      <c r="AC4420" t="s">
        <v>162</v>
      </c>
      <c r="AD4420" t="s">
        <v>2272</v>
      </c>
      <c r="AF4420" t="s">
        <v>49</v>
      </c>
      <c r="AL4420" t="s">
        <v>49</v>
      </c>
      <c r="AM4420" t="s">
        <v>2186</v>
      </c>
      <c r="AN4420" t="s">
        <v>166</v>
      </c>
      <c r="AQ4420" s="5">
        <v>1</v>
      </c>
    </row>
    <row r="4421" spans="1:43" x14ac:dyDescent="0.2">
      <c r="A4421" t="s">
        <v>2178</v>
      </c>
      <c r="B4421" t="s">
        <v>2179</v>
      </c>
      <c r="C4421">
        <v>2004</v>
      </c>
      <c r="D4421" t="s">
        <v>44</v>
      </c>
      <c r="F4421" t="s">
        <v>628</v>
      </c>
      <c r="G4421" t="s">
        <v>91</v>
      </c>
      <c r="H4421" t="s">
        <v>350</v>
      </c>
      <c r="I4421">
        <v>2001</v>
      </c>
      <c r="J4421">
        <v>0.3</v>
      </c>
      <c r="K4421" t="s">
        <v>101</v>
      </c>
      <c r="M4421">
        <v>0.25</v>
      </c>
      <c r="N4421" t="s">
        <v>120</v>
      </c>
      <c r="O4421" t="s">
        <v>120</v>
      </c>
      <c r="P4421" t="s">
        <v>2180</v>
      </c>
      <c r="Q4421" s="1" t="s">
        <v>2276</v>
      </c>
      <c r="R4421" s="1" t="s">
        <v>669</v>
      </c>
      <c r="S4421" s="1" t="s">
        <v>168</v>
      </c>
      <c r="T4421" t="s">
        <v>396</v>
      </c>
      <c r="U4421" t="s">
        <v>2423</v>
      </c>
      <c r="X4421" t="s">
        <v>161</v>
      </c>
      <c r="Y4421" t="s">
        <v>2272</v>
      </c>
      <c r="Z4421" t="s">
        <v>2272</v>
      </c>
      <c r="AA4421" t="s">
        <v>2272</v>
      </c>
      <c r="AB4421" t="s">
        <v>2272</v>
      </c>
      <c r="AC4421" t="s">
        <v>162</v>
      </c>
      <c r="AD4421" t="s">
        <v>2272</v>
      </c>
      <c r="AF4421" t="s">
        <v>49</v>
      </c>
      <c r="AL4421" t="s">
        <v>49</v>
      </c>
      <c r="AM4421" t="s">
        <v>2201</v>
      </c>
      <c r="AN4421" t="s">
        <v>166</v>
      </c>
      <c r="AQ4421" s="5">
        <v>1</v>
      </c>
    </row>
    <row r="4422" spans="1:43" x14ac:dyDescent="0.2">
      <c r="A4422" t="s">
        <v>2178</v>
      </c>
      <c r="B4422" t="s">
        <v>2179</v>
      </c>
      <c r="C4422">
        <v>2004</v>
      </c>
      <c r="D4422" t="s">
        <v>44</v>
      </c>
      <c r="F4422" t="s">
        <v>628</v>
      </c>
      <c r="G4422" t="s">
        <v>91</v>
      </c>
      <c r="H4422" t="s">
        <v>350</v>
      </c>
      <c r="I4422">
        <v>2001</v>
      </c>
      <c r="J4422">
        <v>0.3</v>
      </c>
      <c r="K4422" t="s">
        <v>101</v>
      </c>
      <c r="M4422">
        <v>0.25</v>
      </c>
      <c r="N4422" t="s">
        <v>120</v>
      </c>
      <c r="O4422" t="s">
        <v>120</v>
      </c>
      <c r="P4422" t="s">
        <v>2181</v>
      </c>
      <c r="Q4422" s="1" t="s">
        <v>2276</v>
      </c>
      <c r="R4422" s="1" t="s">
        <v>669</v>
      </c>
      <c r="S4422" s="1" t="s">
        <v>168</v>
      </c>
      <c r="T4422" t="s">
        <v>396</v>
      </c>
      <c r="U4422" t="s">
        <v>2423</v>
      </c>
      <c r="X4422" t="s">
        <v>161</v>
      </c>
      <c r="Y4422" t="s">
        <v>2272</v>
      </c>
      <c r="Z4422" t="s">
        <v>2272</v>
      </c>
      <c r="AA4422" t="s">
        <v>2272</v>
      </c>
      <c r="AB4422" t="s">
        <v>2272</v>
      </c>
      <c r="AC4422" t="s">
        <v>162</v>
      </c>
      <c r="AD4422" t="s">
        <v>2272</v>
      </c>
      <c r="AF4422" t="s">
        <v>49</v>
      </c>
      <c r="AL4422" t="s">
        <v>49</v>
      </c>
      <c r="AM4422" t="s">
        <v>2201</v>
      </c>
      <c r="AN4422" t="s">
        <v>166</v>
      </c>
      <c r="AQ4422" s="5">
        <v>2</v>
      </c>
    </row>
    <row r="4423" spans="1:43" x14ac:dyDescent="0.2">
      <c r="A4423" t="s">
        <v>2178</v>
      </c>
      <c r="B4423" t="s">
        <v>2179</v>
      </c>
      <c r="C4423">
        <v>2004</v>
      </c>
      <c r="D4423" t="s">
        <v>44</v>
      </c>
      <c r="F4423" t="s">
        <v>628</v>
      </c>
      <c r="G4423" t="s">
        <v>91</v>
      </c>
      <c r="H4423" t="s">
        <v>350</v>
      </c>
      <c r="I4423">
        <v>2001</v>
      </c>
      <c r="J4423">
        <v>0.3</v>
      </c>
      <c r="K4423" t="s">
        <v>101</v>
      </c>
      <c r="M4423">
        <v>0.25</v>
      </c>
      <c r="N4423" t="s">
        <v>120</v>
      </c>
      <c r="O4423" t="s">
        <v>120</v>
      </c>
      <c r="P4423" t="s">
        <v>2182</v>
      </c>
      <c r="Q4423" s="1" t="s">
        <v>2276</v>
      </c>
      <c r="R4423" s="1" t="s">
        <v>669</v>
      </c>
      <c r="S4423" s="1" t="s">
        <v>168</v>
      </c>
      <c r="T4423" t="s">
        <v>396</v>
      </c>
      <c r="U4423" t="s">
        <v>2423</v>
      </c>
      <c r="X4423" t="s">
        <v>161</v>
      </c>
      <c r="Y4423" t="s">
        <v>2272</v>
      </c>
      <c r="Z4423" t="s">
        <v>2272</v>
      </c>
      <c r="AA4423" t="s">
        <v>2272</v>
      </c>
      <c r="AB4423" t="s">
        <v>2272</v>
      </c>
      <c r="AC4423" t="s">
        <v>162</v>
      </c>
      <c r="AD4423" t="s">
        <v>2272</v>
      </c>
      <c r="AF4423" t="s">
        <v>49</v>
      </c>
      <c r="AL4423" t="s">
        <v>49</v>
      </c>
      <c r="AM4423" t="s">
        <v>2201</v>
      </c>
      <c r="AN4423" t="s">
        <v>166</v>
      </c>
      <c r="AQ4423" s="5">
        <v>3</v>
      </c>
    </row>
    <row r="4424" spans="1:43" x14ac:dyDescent="0.2">
      <c r="A4424" t="s">
        <v>2178</v>
      </c>
      <c r="B4424" t="s">
        <v>2179</v>
      </c>
      <c r="C4424">
        <v>2004</v>
      </c>
      <c r="D4424" t="s">
        <v>44</v>
      </c>
      <c r="F4424" t="s">
        <v>628</v>
      </c>
      <c r="G4424" t="s">
        <v>91</v>
      </c>
      <c r="H4424" t="s">
        <v>350</v>
      </c>
      <c r="I4424">
        <v>2001</v>
      </c>
      <c r="J4424">
        <v>0.3</v>
      </c>
      <c r="K4424" t="s">
        <v>101</v>
      </c>
      <c r="M4424">
        <v>0.25</v>
      </c>
      <c r="N4424" t="s">
        <v>120</v>
      </c>
      <c r="O4424" t="s">
        <v>120</v>
      </c>
      <c r="P4424" t="s">
        <v>2183</v>
      </c>
      <c r="Q4424" s="1" t="s">
        <v>2276</v>
      </c>
      <c r="R4424" s="1" t="s">
        <v>751</v>
      </c>
      <c r="S4424" s="1" t="s">
        <v>2346</v>
      </c>
      <c r="T4424" t="s">
        <v>396</v>
      </c>
      <c r="U4424" t="s">
        <v>2366</v>
      </c>
      <c r="X4424" t="s">
        <v>161</v>
      </c>
      <c r="Y4424" t="s">
        <v>2272</v>
      </c>
      <c r="Z4424" t="s">
        <v>2272</v>
      </c>
      <c r="AA4424" t="s">
        <v>2272</v>
      </c>
      <c r="AB4424" t="s">
        <v>2272</v>
      </c>
      <c r="AC4424" t="s">
        <v>162</v>
      </c>
      <c r="AD4424" t="s">
        <v>2272</v>
      </c>
      <c r="AF4424" t="s">
        <v>49</v>
      </c>
      <c r="AL4424" t="s">
        <v>49</v>
      </c>
      <c r="AM4424" t="s">
        <v>2201</v>
      </c>
      <c r="AN4424" t="s">
        <v>166</v>
      </c>
      <c r="AQ4424" s="5">
        <v>3</v>
      </c>
    </row>
    <row r="4425" spans="1:43" x14ac:dyDescent="0.2">
      <c r="A4425" t="s">
        <v>2178</v>
      </c>
      <c r="B4425" t="s">
        <v>2179</v>
      </c>
      <c r="C4425">
        <v>2004</v>
      </c>
      <c r="D4425" t="s">
        <v>44</v>
      </c>
      <c r="F4425" t="s">
        <v>628</v>
      </c>
      <c r="G4425" t="s">
        <v>91</v>
      </c>
      <c r="H4425" t="s">
        <v>350</v>
      </c>
      <c r="I4425">
        <v>2001</v>
      </c>
      <c r="J4425">
        <v>0.3</v>
      </c>
      <c r="K4425" t="s">
        <v>101</v>
      </c>
      <c r="M4425">
        <v>0.25</v>
      </c>
      <c r="N4425" t="s">
        <v>120</v>
      </c>
      <c r="O4425" t="s">
        <v>120</v>
      </c>
      <c r="P4425" t="s">
        <v>2180</v>
      </c>
      <c r="Q4425" s="1" t="s">
        <v>2276</v>
      </c>
      <c r="R4425" s="1" t="s">
        <v>669</v>
      </c>
      <c r="S4425" s="1" t="s">
        <v>168</v>
      </c>
      <c r="T4425" t="s">
        <v>396</v>
      </c>
      <c r="U4425" t="s">
        <v>2423</v>
      </c>
      <c r="X4425" t="s">
        <v>161</v>
      </c>
      <c r="Y4425" t="s">
        <v>2272</v>
      </c>
      <c r="Z4425" t="s">
        <v>2272</v>
      </c>
      <c r="AA4425" t="s">
        <v>2272</v>
      </c>
      <c r="AB4425" t="s">
        <v>2272</v>
      </c>
      <c r="AC4425" t="s">
        <v>162</v>
      </c>
      <c r="AD4425" t="s">
        <v>2272</v>
      </c>
      <c r="AF4425" t="s">
        <v>49</v>
      </c>
      <c r="AL4425" t="s">
        <v>49</v>
      </c>
      <c r="AM4425" t="s">
        <v>2190</v>
      </c>
      <c r="AN4425" t="s">
        <v>166</v>
      </c>
      <c r="AQ4425" s="5">
        <v>2</v>
      </c>
    </row>
    <row r="4426" spans="1:43" x14ac:dyDescent="0.2">
      <c r="A4426" t="s">
        <v>2178</v>
      </c>
      <c r="B4426" t="s">
        <v>2179</v>
      </c>
      <c r="C4426">
        <v>2004</v>
      </c>
      <c r="D4426" t="s">
        <v>44</v>
      </c>
      <c r="F4426" t="s">
        <v>628</v>
      </c>
      <c r="G4426" t="s">
        <v>91</v>
      </c>
      <c r="H4426" t="s">
        <v>350</v>
      </c>
      <c r="I4426">
        <v>2001</v>
      </c>
      <c r="J4426">
        <v>0.3</v>
      </c>
      <c r="K4426" t="s">
        <v>101</v>
      </c>
      <c r="M4426">
        <v>0.25</v>
      </c>
      <c r="N4426" t="s">
        <v>120</v>
      </c>
      <c r="O4426" t="s">
        <v>120</v>
      </c>
      <c r="P4426" t="s">
        <v>2181</v>
      </c>
      <c r="Q4426" s="1" t="s">
        <v>2276</v>
      </c>
      <c r="R4426" s="1" t="s">
        <v>669</v>
      </c>
      <c r="S4426" s="1" t="s">
        <v>168</v>
      </c>
      <c r="T4426" t="s">
        <v>396</v>
      </c>
      <c r="U4426" t="s">
        <v>2423</v>
      </c>
      <c r="X4426" t="s">
        <v>161</v>
      </c>
      <c r="Y4426" t="s">
        <v>2272</v>
      </c>
      <c r="Z4426" t="s">
        <v>2272</v>
      </c>
      <c r="AA4426" t="s">
        <v>2272</v>
      </c>
      <c r="AB4426" t="s">
        <v>2272</v>
      </c>
      <c r="AC4426" t="s">
        <v>162</v>
      </c>
      <c r="AD4426" t="s">
        <v>2272</v>
      </c>
      <c r="AF4426" t="s">
        <v>49</v>
      </c>
      <c r="AL4426" t="s">
        <v>49</v>
      </c>
      <c r="AM4426" t="s">
        <v>2190</v>
      </c>
      <c r="AN4426" t="s">
        <v>166</v>
      </c>
      <c r="AQ4426" s="5">
        <v>1</v>
      </c>
    </row>
    <row r="4427" spans="1:43" x14ac:dyDescent="0.2">
      <c r="A4427" t="s">
        <v>2178</v>
      </c>
      <c r="B4427" t="s">
        <v>2179</v>
      </c>
      <c r="C4427">
        <v>2004</v>
      </c>
      <c r="D4427" t="s">
        <v>44</v>
      </c>
      <c r="F4427" t="s">
        <v>628</v>
      </c>
      <c r="G4427" t="s">
        <v>91</v>
      </c>
      <c r="H4427" t="s">
        <v>350</v>
      </c>
      <c r="I4427">
        <v>2001</v>
      </c>
      <c r="J4427">
        <v>0.3</v>
      </c>
      <c r="K4427" t="s">
        <v>101</v>
      </c>
      <c r="M4427">
        <v>0.25</v>
      </c>
      <c r="N4427" t="s">
        <v>120</v>
      </c>
      <c r="O4427" t="s">
        <v>120</v>
      </c>
      <c r="P4427" t="s">
        <v>2182</v>
      </c>
      <c r="Q4427" s="1" t="s">
        <v>2276</v>
      </c>
      <c r="R4427" s="1" t="s">
        <v>669</v>
      </c>
      <c r="S4427" s="1" t="s">
        <v>168</v>
      </c>
      <c r="T4427" t="s">
        <v>396</v>
      </c>
      <c r="U4427" t="s">
        <v>2423</v>
      </c>
      <c r="X4427" t="s">
        <v>161</v>
      </c>
      <c r="Y4427" t="s">
        <v>2272</v>
      </c>
      <c r="Z4427" t="s">
        <v>2272</v>
      </c>
      <c r="AA4427" t="s">
        <v>2272</v>
      </c>
      <c r="AB4427" t="s">
        <v>2272</v>
      </c>
      <c r="AC4427" t="s">
        <v>162</v>
      </c>
      <c r="AD4427" t="s">
        <v>2272</v>
      </c>
      <c r="AF4427" t="s">
        <v>49</v>
      </c>
      <c r="AL4427" t="s">
        <v>49</v>
      </c>
      <c r="AM4427" t="s">
        <v>2190</v>
      </c>
      <c r="AN4427" t="s">
        <v>166</v>
      </c>
      <c r="AQ4427" s="5">
        <v>3</v>
      </c>
    </row>
    <row r="4428" spans="1:43" x14ac:dyDescent="0.2">
      <c r="A4428" t="s">
        <v>2178</v>
      </c>
      <c r="B4428" t="s">
        <v>2179</v>
      </c>
      <c r="C4428">
        <v>2004</v>
      </c>
      <c r="D4428" t="s">
        <v>44</v>
      </c>
      <c r="F4428" t="s">
        <v>628</v>
      </c>
      <c r="G4428" t="s">
        <v>91</v>
      </c>
      <c r="H4428" t="s">
        <v>350</v>
      </c>
      <c r="I4428">
        <v>2001</v>
      </c>
      <c r="J4428">
        <v>0.3</v>
      </c>
      <c r="K4428" t="s">
        <v>101</v>
      </c>
      <c r="M4428">
        <v>0.25</v>
      </c>
      <c r="N4428" t="s">
        <v>120</v>
      </c>
      <c r="O4428" t="s">
        <v>120</v>
      </c>
      <c r="P4428" t="s">
        <v>2183</v>
      </c>
      <c r="Q4428" s="1" t="s">
        <v>2276</v>
      </c>
      <c r="R4428" s="1" t="s">
        <v>751</v>
      </c>
      <c r="S4428" s="1" t="s">
        <v>2346</v>
      </c>
      <c r="T4428" t="s">
        <v>396</v>
      </c>
      <c r="U4428" t="s">
        <v>2366</v>
      </c>
      <c r="X4428" t="s">
        <v>161</v>
      </c>
      <c r="Y4428" t="s">
        <v>2272</v>
      </c>
      <c r="Z4428" t="s">
        <v>2272</v>
      </c>
      <c r="AA4428" t="s">
        <v>2272</v>
      </c>
      <c r="AB4428" t="s">
        <v>2272</v>
      </c>
      <c r="AC4428" t="s">
        <v>162</v>
      </c>
      <c r="AD4428" t="s">
        <v>2272</v>
      </c>
      <c r="AF4428" t="s">
        <v>49</v>
      </c>
      <c r="AL4428" t="s">
        <v>49</v>
      </c>
      <c r="AM4428" t="s">
        <v>2190</v>
      </c>
      <c r="AN4428" t="s">
        <v>166</v>
      </c>
      <c r="AQ4428" s="5">
        <v>3</v>
      </c>
    </row>
    <row r="4429" spans="1:43" x14ac:dyDescent="0.2">
      <c r="A4429" t="s">
        <v>2178</v>
      </c>
      <c r="B4429" t="s">
        <v>2179</v>
      </c>
      <c r="C4429">
        <v>2004</v>
      </c>
      <c r="D4429" t="s">
        <v>44</v>
      </c>
      <c r="F4429" t="s">
        <v>628</v>
      </c>
      <c r="G4429" t="s">
        <v>91</v>
      </c>
      <c r="H4429" t="s">
        <v>350</v>
      </c>
      <c r="I4429">
        <v>2001</v>
      </c>
      <c r="J4429">
        <v>0.3</v>
      </c>
      <c r="K4429" t="s">
        <v>101</v>
      </c>
      <c r="M4429">
        <v>0.25</v>
      </c>
      <c r="N4429" t="s">
        <v>120</v>
      </c>
      <c r="O4429" t="s">
        <v>120</v>
      </c>
      <c r="P4429" t="s">
        <v>2180</v>
      </c>
      <c r="Q4429" s="1" t="s">
        <v>2276</v>
      </c>
      <c r="R4429" s="1" t="s">
        <v>669</v>
      </c>
      <c r="S4429" s="1" t="s">
        <v>168</v>
      </c>
      <c r="T4429" t="s">
        <v>396</v>
      </c>
      <c r="U4429" t="s">
        <v>2423</v>
      </c>
      <c r="X4429" t="s">
        <v>161</v>
      </c>
      <c r="Y4429" t="s">
        <v>2272</v>
      </c>
      <c r="Z4429" t="s">
        <v>2272</v>
      </c>
      <c r="AA4429" t="s">
        <v>2272</v>
      </c>
      <c r="AB4429" t="s">
        <v>2272</v>
      </c>
      <c r="AC4429" t="s">
        <v>162</v>
      </c>
      <c r="AD4429" t="s">
        <v>2272</v>
      </c>
      <c r="AF4429" t="s">
        <v>49</v>
      </c>
      <c r="AL4429" t="s">
        <v>49</v>
      </c>
      <c r="AM4429" t="s">
        <v>2191</v>
      </c>
      <c r="AN4429" t="s">
        <v>166</v>
      </c>
      <c r="AQ4429" s="5">
        <v>3</v>
      </c>
    </row>
    <row r="4430" spans="1:43" x14ac:dyDescent="0.2">
      <c r="A4430" t="s">
        <v>2178</v>
      </c>
      <c r="B4430" t="s">
        <v>2179</v>
      </c>
      <c r="C4430">
        <v>2004</v>
      </c>
      <c r="D4430" t="s">
        <v>44</v>
      </c>
      <c r="F4430" t="s">
        <v>628</v>
      </c>
      <c r="G4430" t="s">
        <v>91</v>
      </c>
      <c r="H4430" t="s">
        <v>350</v>
      </c>
      <c r="I4430">
        <v>2001</v>
      </c>
      <c r="J4430">
        <v>0.3</v>
      </c>
      <c r="K4430" t="s">
        <v>101</v>
      </c>
      <c r="M4430">
        <v>0.25</v>
      </c>
      <c r="N4430" t="s">
        <v>120</v>
      </c>
      <c r="O4430" t="s">
        <v>120</v>
      </c>
      <c r="P4430" t="s">
        <v>2181</v>
      </c>
      <c r="Q4430" s="1" t="s">
        <v>2276</v>
      </c>
      <c r="R4430" s="1" t="s">
        <v>669</v>
      </c>
      <c r="S4430" s="1" t="s">
        <v>168</v>
      </c>
      <c r="T4430" t="s">
        <v>396</v>
      </c>
      <c r="U4430" t="s">
        <v>2423</v>
      </c>
      <c r="X4430" t="s">
        <v>161</v>
      </c>
      <c r="Y4430" t="s">
        <v>2272</v>
      </c>
      <c r="Z4430" t="s">
        <v>2272</v>
      </c>
      <c r="AA4430" t="s">
        <v>2272</v>
      </c>
      <c r="AB4430" t="s">
        <v>2272</v>
      </c>
      <c r="AC4430" t="s">
        <v>162</v>
      </c>
      <c r="AD4430" t="s">
        <v>2272</v>
      </c>
      <c r="AF4430" t="s">
        <v>49</v>
      </c>
      <c r="AL4430" t="s">
        <v>49</v>
      </c>
      <c r="AM4430" t="s">
        <v>2191</v>
      </c>
      <c r="AN4430" t="s">
        <v>166</v>
      </c>
      <c r="AQ4430" s="5">
        <v>1</v>
      </c>
    </row>
    <row r="4431" spans="1:43" x14ac:dyDescent="0.2">
      <c r="A4431" t="s">
        <v>2178</v>
      </c>
      <c r="B4431" t="s">
        <v>2179</v>
      </c>
      <c r="C4431">
        <v>2004</v>
      </c>
      <c r="D4431" t="s">
        <v>44</v>
      </c>
      <c r="F4431" t="s">
        <v>628</v>
      </c>
      <c r="G4431" t="s">
        <v>91</v>
      </c>
      <c r="H4431" t="s">
        <v>350</v>
      </c>
      <c r="I4431">
        <v>2001</v>
      </c>
      <c r="J4431">
        <v>0.3</v>
      </c>
      <c r="K4431" t="s">
        <v>101</v>
      </c>
      <c r="M4431">
        <v>0.25</v>
      </c>
      <c r="N4431" t="s">
        <v>120</v>
      </c>
      <c r="O4431" t="s">
        <v>120</v>
      </c>
      <c r="P4431" t="s">
        <v>2182</v>
      </c>
      <c r="Q4431" s="1" t="s">
        <v>2276</v>
      </c>
      <c r="R4431" s="1" t="s">
        <v>669</v>
      </c>
      <c r="S4431" s="1" t="s">
        <v>168</v>
      </c>
      <c r="T4431" t="s">
        <v>396</v>
      </c>
      <c r="U4431" t="s">
        <v>2423</v>
      </c>
      <c r="X4431" t="s">
        <v>161</v>
      </c>
      <c r="Y4431" t="s">
        <v>2272</v>
      </c>
      <c r="Z4431" t="s">
        <v>2272</v>
      </c>
      <c r="AA4431" t="s">
        <v>2272</v>
      </c>
      <c r="AB4431" t="s">
        <v>2272</v>
      </c>
      <c r="AC4431" t="s">
        <v>162</v>
      </c>
      <c r="AD4431" t="s">
        <v>2272</v>
      </c>
      <c r="AF4431" t="s">
        <v>49</v>
      </c>
      <c r="AL4431" t="s">
        <v>49</v>
      </c>
      <c r="AM4431" t="s">
        <v>2191</v>
      </c>
      <c r="AN4431" t="s">
        <v>166</v>
      </c>
      <c r="AQ4431" s="5">
        <v>3</v>
      </c>
    </row>
    <row r="4432" spans="1:43" x14ac:dyDescent="0.2">
      <c r="A4432" t="s">
        <v>2178</v>
      </c>
      <c r="B4432" t="s">
        <v>2179</v>
      </c>
      <c r="C4432">
        <v>2004</v>
      </c>
      <c r="D4432" t="s">
        <v>44</v>
      </c>
      <c r="F4432" t="s">
        <v>628</v>
      </c>
      <c r="G4432" t="s">
        <v>91</v>
      </c>
      <c r="H4432" t="s">
        <v>350</v>
      </c>
      <c r="I4432">
        <v>2001</v>
      </c>
      <c r="J4432">
        <v>0.3</v>
      </c>
      <c r="K4432" t="s">
        <v>101</v>
      </c>
      <c r="M4432">
        <v>0.25</v>
      </c>
      <c r="N4432" t="s">
        <v>120</v>
      </c>
      <c r="O4432" t="s">
        <v>120</v>
      </c>
      <c r="P4432" t="s">
        <v>2183</v>
      </c>
      <c r="Q4432" s="1" t="s">
        <v>2276</v>
      </c>
      <c r="R4432" s="1" t="s">
        <v>751</v>
      </c>
      <c r="S4432" s="1" t="s">
        <v>2346</v>
      </c>
      <c r="T4432" t="s">
        <v>396</v>
      </c>
      <c r="U4432" t="s">
        <v>2366</v>
      </c>
      <c r="X4432" t="s">
        <v>161</v>
      </c>
      <c r="Y4432" t="s">
        <v>2272</v>
      </c>
      <c r="Z4432" t="s">
        <v>2272</v>
      </c>
      <c r="AA4432" t="s">
        <v>2272</v>
      </c>
      <c r="AB4432" t="s">
        <v>2272</v>
      </c>
      <c r="AC4432" t="s">
        <v>162</v>
      </c>
      <c r="AD4432" t="s">
        <v>2272</v>
      </c>
      <c r="AF4432" t="s">
        <v>49</v>
      </c>
      <c r="AL4432" t="s">
        <v>49</v>
      </c>
      <c r="AM4432" t="s">
        <v>2191</v>
      </c>
      <c r="AN4432" t="s">
        <v>166</v>
      </c>
      <c r="AQ4432" s="5">
        <v>2</v>
      </c>
    </row>
    <row r="4433" spans="1:43" x14ac:dyDescent="0.2">
      <c r="A4433" t="s">
        <v>2178</v>
      </c>
      <c r="B4433" t="s">
        <v>2179</v>
      </c>
      <c r="C4433">
        <v>2004</v>
      </c>
      <c r="D4433" t="s">
        <v>44</v>
      </c>
      <c r="F4433" t="s">
        <v>628</v>
      </c>
      <c r="G4433" t="s">
        <v>91</v>
      </c>
      <c r="H4433" t="s">
        <v>350</v>
      </c>
      <c r="I4433">
        <v>2001</v>
      </c>
      <c r="J4433">
        <v>0.3</v>
      </c>
      <c r="K4433" t="s">
        <v>101</v>
      </c>
      <c r="M4433">
        <v>0.25</v>
      </c>
      <c r="N4433" t="s">
        <v>120</v>
      </c>
      <c r="O4433" t="s">
        <v>120</v>
      </c>
      <c r="P4433" t="s">
        <v>2180</v>
      </c>
      <c r="Q4433" s="1" t="s">
        <v>2276</v>
      </c>
      <c r="R4433" s="1" t="s">
        <v>669</v>
      </c>
      <c r="S4433" s="1" t="s">
        <v>168</v>
      </c>
      <c r="T4433" t="s">
        <v>396</v>
      </c>
      <c r="U4433" t="s">
        <v>2423</v>
      </c>
      <c r="X4433" t="s">
        <v>161</v>
      </c>
      <c r="Y4433" t="s">
        <v>2272</v>
      </c>
      <c r="Z4433" t="s">
        <v>2272</v>
      </c>
      <c r="AA4433" t="s">
        <v>2272</v>
      </c>
      <c r="AB4433" t="s">
        <v>2272</v>
      </c>
      <c r="AC4433" t="s">
        <v>162</v>
      </c>
      <c r="AD4433" t="s">
        <v>2272</v>
      </c>
      <c r="AF4433" t="s">
        <v>49</v>
      </c>
      <c r="AL4433" t="s">
        <v>49</v>
      </c>
      <c r="AM4433" t="s">
        <v>2192</v>
      </c>
      <c r="AN4433" t="s">
        <v>166</v>
      </c>
      <c r="AQ4433" s="5">
        <v>2</v>
      </c>
    </row>
    <row r="4434" spans="1:43" x14ac:dyDescent="0.2">
      <c r="A4434" t="s">
        <v>2178</v>
      </c>
      <c r="B4434" t="s">
        <v>2179</v>
      </c>
      <c r="C4434">
        <v>2004</v>
      </c>
      <c r="D4434" t="s">
        <v>44</v>
      </c>
      <c r="F4434" t="s">
        <v>628</v>
      </c>
      <c r="G4434" t="s">
        <v>91</v>
      </c>
      <c r="H4434" t="s">
        <v>350</v>
      </c>
      <c r="I4434">
        <v>2001</v>
      </c>
      <c r="J4434">
        <v>0.3</v>
      </c>
      <c r="K4434" t="s">
        <v>101</v>
      </c>
      <c r="M4434">
        <v>0.25</v>
      </c>
      <c r="N4434" t="s">
        <v>120</v>
      </c>
      <c r="O4434" t="s">
        <v>120</v>
      </c>
      <c r="P4434" t="s">
        <v>2181</v>
      </c>
      <c r="Q4434" s="1" t="s">
        <v>2276</v>
      </c>
      <c r="R4434" s="1" t="s">
        <v>669</v>
      </c>
      <c r="S4434" s="1" t="s">
        <v>168</v>
      </c>
      <c r="T4434" t="s">
        <v>396</v>
      </c>
      <c r="U4434" t="s">
        <v>2423</v>
      </c>
      <c r="X4434" t="s">
        <v>161</v>
      </c>
      <c r="Y4434" t="s">
        <v>2272</v>
      </c>
      <c r="Z4434" t="s">
        <v>2272</v>
      </c>
      <c r="AA4434" t="s">
        <v>2272</v>
      </c>
      <c r="AB4434" t="s">
        <v>2272</v>
      </c>
      <c r="AC4434" t="s">
        <v>162</v>
      </c>
      <c r="AD4434" t="s">
        <v>2272</v>
      </c>
      <c r="AF4434" t="s">
        <v>49</v>
      </c>
      <c r="AL4434" t="s">
        <v>49</v>
      </c>
      <c r="AM4434" t="s">
        <v>2192</v>
      </c>
      <c r="AN4434" t="s">
        <v>166</v>
      </c>
      <c r="AQ4434" s="5">
        <v>2</v>
      </c>
    </row>
    <row r="4435" spans="1:43" x14ac:dyDescent="0.2">
      <c r="A4435" t="s">
        <v>2178</v>
      </c>
      <c r="B4435" t="s">
        <v>2179</v>
      </c>
      <c r="C4435">
        <v>2004</v>
      </c>
      <c r="D4435" t="s">
        <v>44</v>
      </c>
      <c r="F4435" t="s">
        <v>628</v>
      </c>
      <c r="G4435" t="s">
        <v>91</v>
      </c>
      <c r="H4435" t="s">
        <v>350</v>
      </c>
      <c r="I4435">
        <v>2001</v>
      </c>
      <c r="J4435">
        <v>0.3</v>
      </c>
      <c r="K4435" t="s">
        <v>101</v>
      </c>
      <c r="M4435">
        <v>0.25</v>
      </c>
      <c r="N4435" t="s">
        <v>120</v>
      </c>
      <c r="O4435" t="s">
        <v>120</v>
      </c>
      <c r="P4435" t="s">
        <v>2182</v>
      </c>
      <c r="Q4435" s="1" t="s">
        <v>2276</v>
      </c>
      <c r="R4435" s="1" t="s">
        <v>669</v>
      </c>
      <c r="S4435" s="1" t="s">
        <v>168</v>
      </c>
      <c r="T4435" t="s">
        <v>396</v>
      </c>
      <c r="U4435" t="s">
        <v>2423</v>
      </c>
      <c r="X4435" t="s">
        <v>161</v>
      </c>
      <c r="Y4435" t="s">
        <v>2272</v>
      </c>
      <c r="Z4435" t="s">
        <v>2272</v>
      </c>
      <c r="AA4435" t="s">
        <v>2272</v>
      </c>
      <c r="AB4435" t="s">
        <v>2272</v>
      </c>
      <c r="AC4435" t="s">
        <v>162</v>
      </c>
      <c r="AD4435" t="s">
        <v>2272</v>
      </c>
      <c r="AF4435" t="s">
        <v>49</v>
      </c>
      <c r="AL4435" t="s">
        <v>49</v>
      </c>
      <c r="AM4435" t="s">
        <v>2192</v>
      </c>
      <c r="AN4435" t="s">
        <v>166</v>
      </c>
      <c r="AQ4435" s="5">
        <v>2</v>
      </c>
    </row>
    <row r="4436" spans="1:43" x14ac:dyDescent="0.2">
      <c r="A4436" t="s">
        <v>2178</v>
      </c>
      <c r="B4436" t="s">
        <v>2179</v>
      </c>
      <c r="C4436">
        <v>2004</v>
      </c>
      <c r="D4436" t="s">
        <v>44</v>
      </c>
      <c r="F4436" t="s">
        <v>628</v>
      </c>
      <c r="G4436" t="s">
        <v>91</v>
      </c>
      <c r="H4436" t="s">
        <v>350</v>
      </c>
      <c r="I4436">
        <v>2001</v>
      </c>
      <c r="J4436">
        <v>0.3</v>
      </c>
      <c r="K4436" t="s">
        <v>101</v>
      </c>
      <c r="M4436">
        <v>0.25</v>
      </c>
      <c r="N4436" t="s">
        <v>120</v>
      </c>
      <c r="O4436" t="s">
        <v>120</v>
      </c>
      <c r="P4436" t="s">
        <v>2183</v>
      </c>
      <c r="Q4436" s="1" t="s">
        <v>2276</v>
      </c>
      <c r="R4436" s="1" t="s">
        <v>751</v>
      </c>
      <c r="S4436" s="1" t="s">
        <v>2346</v>
      </c>
      <c r="T4436" t="s">
        <v>396</v>
      </c>
      <c r="U4436" t="s">
        <v>2366</v>
      </c>
      <c r="X4436" t="s">
        <v>161</v>
      </c>
      <c r="Y4436" t="s">
        <v>2272</v>
      </c>
      <c r="Z4436" t="s">
        <v>2272</v>
      </c>
      <c r="AA4436" t="s">
        <v>2272</v>
      </c>
      <c r="AB4436" t="s">
        <v>2272</v>
      </c>
      <c r="AC4436" t="s">
        <v>162</v>
      </c>
      <c r="AD4436" t="s">
        <v>2272</v>
      </c>
      <c r="AF4436" t="s">
        <v>49</v>
      </c>
      <c r="AL4436" t="s">
        <v>49</v>
      </c>
      <c r="AM4436" t="s">
        <v>2192</v>
      </c>
      <c r="AN4436" t="s">
        <v>166</v>
      </c>
      <c r="AQ4436" s="5">
        <v>1</v>
      </c>
    </row>
    <row r="4437" spans="1:43" x14ac:dyDescent="0.2">
      <c r="A4437" t="s">
        <v>2178</v>
      </c>
      <c r="B4437" t="s">
        <v>2179</v>
      </c>
      <c r="C4437">
        <v>2004</v>
      </c>
      <c r="D4437" t="s">
        <v>44</v>
      </c>
      <c r="F4437" t="s">
        <v>628</v>
      </c>
      <c r="G4437" t="s">
        <v>91</v>
      </c>
      <c r="H4437" t="s">
        <v>350</v>
      </c>
      <c r="I4437">
        <v>2001</v>
      </c>
      <c r="J4437">
        <v>0.3</v>
      </c>
      <c r="K4437" t="s">
        <v>101</v>
      </c>
      <c r="M4437">
        <v>0.25</v>
      </c>
      <c r="N4437" t="s">
        <v>120</v>
      </c>
      <c r="O4437" t="s">
        <v>120</v>
      </c>
      <c r="P4437" t="s">
        <v>2180</v>
      </c>
      <c r="Q4437" s="1" t="s">
        <v>2276</v>
      </c>
      <c r="R4437" s="1" t="s">
        <v>669</v>
      </c>
      <c r="S4437" s="1" t="s">
        <v>168</v>
      </c>
      <c r="T4437" t="s">
        <v>396</v>
      </c>
      <c r="U4437" t="s">
        <v>2423</v>
      </c>
      <c r="X4437" t="s">
        <v>161</v>
      </c>
      <c r="Y4437" t="s">
        <v>2272</v>
      </c>
      <c r="Z4437" t="s">
        <v>2272</v>
      </c>
      <c r="AA4437" t="s">
        <v>2272</v>
      </c>
      <c r="AB4437" t="s">
        <v>2272</v>
      </c>
      <c r="AC4437" t="s">
        <v>162</v>
      </c>
      <c r="AD4437" t="s">
        <v>2272</v>
      </c>
      <c r="AF4437" t="s">
        <v>49</v>
      </c>
      <c r="AL4437" t="s">
        <v>49</v>
      </c>
      <c r="AM4437" t="s">
        <v>518</v>
      </c>
      <c r="AN4437" t="s">
        <v>166</v>
      </c>
      <c r="AQ4437" s="5">
        <v>2</v>
      </c>
    </row>
    <row r="4438" spans="1:43" x14ac:dyDescent="0.2">
      <c r="A4438" t="s">
        <v>2178</v>
      </c>
      <c r="B4438" t="s">
        <v>2179</v>
      </c>
      <c r="C4438">
        <v>2004</v>
      </c>
      <c r="D4438" t="s">
        <v>44</v>
      </c>
      <c r="F4438" t="s">
        <v>628</v>
      </c>
      <c r="G4438" t="s">
        <v>91</v>
      </c>
      <c r="H4438" t="s">
        <v>350</v>
      </c>
      <c r="I4438">
        <v>2001</v>
      </c>
      <c r="J4438">
        <v>0.3</v>
      </c>
      <c r="K4438" t="s">
        <v>101</v>
      </c>
      <c r="M4438">
        <v>0.25</v>
      </c>
      <c r="N4438" t="s">
        <v>120</v>
      </c>
      <c r="O4438" t="s">
        <v>120</v>
      </c>
      <c r="P4438" t="s">
        <v>2181</v>
      </c>
      <c r="Q4438" s="1" t="s">
        <v>2276</v>
      </c>
      <c r="R4438" s="1" t="s">
        <v>669</v>
      </c>
      <c r="S4438" s="1" t="s">
        <v>168</v>
      </c>
      <c r="T4438" t="s">
        <v>396</v>
      </c>
      <c r="U4438" t="s">
        <v>2423</v>
      </c>
      <c r="X4438" t="s">
        <v>161</v>
      </c>
      <c r="Y4438" t="s">
        <v>2272</v>
      </c>
      <c r="Z4438" t="s">
        <v>2272</v>
      </c>
      <c r="AA4438" t="s">
        <v>2272</v>
      </c>
      <c r="AB4438" t="s">
        <v>2272</v>
      </c>
      <c r="AC4438" t="s">
        <v>162</v>
      </c>
      <c r="AD4438" t="s">
        <v>2272</v>
      </c>
      <c r="AF4438" t="s">
        <v>49</v>
      </c>
      <c r="AL4438" t="s">
        <v>49</v>
      </c>
      <c r="AM4438" t="s">
        <v>518</v>
      </c>
      <c r="AN4438" t="s">
        <v>166</v>
      </c>
      <c r="AQ4438" s="5">
        <v>2</v>
      </c>
    </row>
    <row r="4439" spans="1:43" x14ac:dyDescent="0.2">
      <c r="A4439" t="s">
        <v>2178</v>
      </c>
      <c r="B4439" t="s">
        <v>2179</v>
      </c>
      <c r="C4439">
        <v>2004</v>
      </c>
      <c r="D4439" t="s">
        <v>44</v>
      </c>
      <c r="F4439" t="s">
        <v>628</v>
      </c>
      <c r="G4439" t="s">
        <v>91</v>
      </c>
      <c r="H4439" t="s">
        <v>350</v>
      </c>
      <c r="I4439">
        <v>2001</v>
      </c>
      <c r="J4439">
        <v>0.3</v>
      </c>
      <c r="K4439" t="s">
        <v>101</v>
      </c>
      <c r="M4439">
        <v>0.25</v>
      </c>
      <c r="N4439" t="s">
        <v>120</v>
      </c>
      <c r="O4439" t="s">
        <v>120</v>
      </c>
      <c r="P4439" t="s">
        <v>2182</v>
      </c>
      <c r="Q4439" s="1" t="s">
        <v>2276</v>
      </c>
      <c r="R4439" s="1" t="s">
        <v>669</v>
      </c>
      <c r="S4439" s="1" t="s">
        <v>168</v>
      </c>
      <c r="T4439" t="s">
        <v>396</v>
      </c>
      <c r="U4439" t="s">
        <v>2423</v>
      </c>
      <c r="X4439" t="s">
        <v>161</v>
      </c>
      <c r="Y4439" t="s">
        <v>2272</v>
      </c>
      <c r="Z4439" t="s">
        <v>2272</v>
      </c>
      <c r="AA4439" t="s">
        <v>2272</v>
      </c>
      <c r="AB4439" t="s">
        <v>2272</v>
      </c>
      <c r="AC4439" t="s">
        <v>162</v>
      </c>
      <c r="AD4439" t="s">
        <v>2272</v>
      </c>
      <c r="AF4439" t="s">
        <v>49</v>
      </c>
      <c r="AL4439" t="s">
        <v>49</v>
      </c>
      <c r="AM4439" t="s">
        <v>518</v>
      </c>
      <c r="AN4439" t="s">
        <v>166</v>
      </c>
      <c r="AQ4439" s="5">
        <v>2</v>
      </c>
    </row>
    <row r="4440" spans="1:43" x14ac:dyDescent="0.2">
      <c r="A4440" t="s">
        <v>2178</v>
      </c>
      <c r="B4440" t="s">
        <v>2179</v>
      </c>
      <c r="C4440">
        <v>2004</v>
      </c>
      <c r="D4440" t="s">
        <v>44</v>
      </c>
      <c r="F4440" t="s">
        <v>628</v>
      </c>
      <c r="G4440" t="s">
        <v>91</v>
      </c>
      <c r="H4440" t="s">
        <v>350</v>
      </c>
      <c r="I4440">
        <v>2001</v>
      </c>
      <c r="J4440">
        <v>0.3</v>
      </c>
      <c r="K4440" t="s">
        <v>101</v>
      </c>
      <c r="M4440">
        <v>0.25</v>
      </c>
      <c r="N4440" t="s">
        <v>120</v>
      </c>
      <c r="O4440" t="s">
        <v>120</v>
      </c>
      <c r="P4440" t="s">
        <v>2183</v>
      </c>
      <c r="Q4440" s="1" t="s">
        <v>2276</v>
      </c>
      <c r="R4440" s="1" t="s">
        <v>751</v>
      </c>
      <c r="S4440" s="1" t="s">
        <v>2346</v>
      </c>
      <c r="T4440" t="s">
        <v>396</v>
      </c>
      <c r="U4440" t="s">
        <v>2366</v>
      </c>
      <c r="X4440" t="s">
        <v>161</v>
      </c>
      <c r="Y4440" t="s">
        <v>2272</v>
      </c>
      <c r="Z4440" t="s">
        <v>2272</v>
      </c>
      <c r="AA4440" t="s">
        <v>2272</v>
      </c>
      <c r="AB4440" t="s">
        <v>2272</v>
      </c>
      <c r="AC4440" t="s">
        <v>162</v>
      </c>
      <c r="AD4440" t="s">
        <v>2272</v>
      </c>
      <c r="AF4440" t="s">
        <v>49</v>
      </c>
      <c r="AL4440" t="s">
        <v>49</v>
      </c>
      <c r="AM4440" t="s">
        <v>518</v>
      </c>
      <c r="AN4440" t="s">
        <v>166</v>
      </c>
      <c r="AQ4440" s="5">
        <v>1</v>
      </c>
    </row>
    <row r="4441" spans="1:43" x14ac:dyDescent="0.2">
      <c r="A4441" t="s">
        <v>2178</v>
      </c>
      <c r="B4441" t="s">
        <v>2179</v>
      </c>
      <c r="C4441">
        <v>2004</v>
      </c>
      <c r="D4441" t="s">
        <v>44</v>
      </c>
      <c r="F4441" t="s">
        <v>628</v>
      </c>
      <c r="G4441" t="s">
        <v>91</v>
      </c>
      <c r="H4441" t="s">
        <v>350</v>
      </c>
      <c r="I4441">
        <v>2001</v>
      </c>
      <c r="J4441">
        <v>0.3</v>
      </c>
      <c r="K4441" t="s">
        <v>101</v>
      </c>
      <c r="M4441">
        <v>0.25</v>
      </c>
      <c r="N4441" t="s">
        <v>120</v>
      </c>
      <c r="O4441" t="s">
        <v>120</v>
      </c>
      <c r="P4441" t="s">
        <v>2180</v>
      </c>
      <c r="Q4441" s="1" t="s">
        <v>2276</v>
      </c>
      <c r="R4441" s="1" t="s">
        <v>669</v>
      </c>
      <c r="S4441" s="1" t="s">
        <v>168</v>
      </c>
      <c r="T4441" t="s">
        <v>396</v>
      </c>
      <c r="U4441" t="s">
        <v>2423</v>
      </c>
      <c r="X4441" t="s">
        <v>161</v>
      </c>
      <c r="Y4441" t="s">
        <v>2272</v>
      </c>
      <c r="Z4441" t="s">
        <v>2272</v>
      </c>
      <c r="AA4441" t="s">
        <v>2272</v>
      </c>
      <c r="AB4441" t="s">
        <v>2272</v>
      </c>
      <c r="AC4441" t="s">
        <v>162</v>
      </c>
      <c r="AD4441" t="s">
        <v>2272</v>
      </c>
      <c r="AF4441" t="s">
        <v>49</v>
      </c>
      <c r="AL4441" t="s">
        <v>49</v>
      </c>
      <c r="AM4441" t="s">
        <v>2193</v>
      </c>
      <c r="AN4441" t="s">
        <v>166</v>
      </c>
      <c r="AQ4441" s="5">
        <v>2</v>
      </c>
    </row>
    <row r="4442" spans="1:43" x14ac:dyDescent="0.2">
      <c r="A4442" t="s">
        <v>2178</v>
      </c>
      <c r="B4442" t="s">
        <v>2179</v>
      </c>
      <c r="C4442">
        <v>2004</v>
      </c>
      <c r="D4442" t="s">
        <v>44</v>
      </c>
      <c r="F4442" t="s">
        <v>628</v>
      </c>
      <c r="G4442" t="s">
        <v>91</v>
      </c>
      <c r="H4442" t="s">
        <v>350</v>
      </c>
      <c r="I4442">
        <v>2001</v>
      </c>
      <c r="J4442">
        <v>0.3</v>
      </c>
      <c r="K4442" t="s">
        <v>101</v>
      </c>
      <c r="M4442">
        <v>0.25</v>
      </c>
      <c r="N4442" t="s">
        <v>120</v>
      </c>
      <c r="O4442" t="s">
        <v>120</v>
      </c>
      <c r="P4442" t="s">
        <v>2181</v>
      </c>
      <c r="Q4442" s="1" t="s">
        <v>2276</v>
      </c>
      <c r="R4442" s="1" t="s">
        <v>669</v>
      </c>
      <c r="S4442" s="1" t="s">
        <v>168</v>
      </c>
      <c r="T4442" t="s">
        <v>396</v>
      </c>
      <c r="U4442" t="s">
        <v>2423</v>
      </c>
      <c r="X4442" t="s">
        <v>161</v>
      </c>
      <c r="Y4442" t="s">
        <v>2272</v>
      </c>
      <c r="Z4442" t="s">
        <v>2272</v>
      </c>
      <c r="AA4442" t="s">
        <v>2272</v>
      </c>
      <c r="AB4442" t="s">
        <v>2272</v>
      </c>
      <c r="AC4442" t="s">
        <v>162</v>
      </c>
      <c r="AD4442" t="s">
        <v>2272</v>
      </c>
      <c r="AF4442" t="s">
        <v>49</v>
      </c>
      <c r="AL4442" t="s">
        <v>49</v>
      </c>
      <c r="AM4442" t="s">
        <v>2193</v>
      </c>
      <c r="AN4442" t="s">
        <v>166</v>
      </c>
      <c r="AQ4442" s="5">
        <v>2</v>
      </c>
    </row>
    <row r="4443" spans="1:43" x14ac:dyDescent="0.2">
      <c r="A4443" t="s">
        <v>2178</v>
      </c>
      <c r="B4443" t="s">
        <v>2179</v>
      </c>
      <c r="C4443">
        <v>2004</v>
      </c>
      <c r="D4443" t="s">
        <v>44</v>
      </c>
      <c r="F4443" t="s">
        <v>628</v>
      </c>
      <c r="G4443" t="s">
        <v>91</v>
      </c>
      <c r="H4443" t="s">
        <v>350</v>
      </c>
      <c r="I4443">
        <v>2001</v>
      </c>
      <c r="J4443">
        <v>0.3</v>
      </c>
      <c r="K4443" t="s">
        <v>101</v>
      </c>
      <c r="M4443">
        <v>0.25</v>
      </c>
      <c r="N4443" t="s">
        <v>120</v>
      </c>
      <c r="O4443" t="s">
        <v>120</v>
      </c>
      <c r="P4443" t="s">
        <v>2182</v>
      </c>
      <c r="Q4443" s="1" t="s">
        <v>2276</v>
      </c>
      <c r="R4443" s="1" t="s">
        <v>669</v>
      </c>
      <c r="S4443" s="1" t="s">
        <v>168</v>
      </c>
      <c r="T4443" t="s">
        <v>396</v>
      </c>
      <c r="U4443" t="s">
        <v>2423</v>
      </c>
      <c r="X4443" t="s">
        <v>161</v>
      </c>
      <c r="Y4443" t="s">
        <v>2272</v>
      </c>
      <c r="Z4443" t="s">
        <v>2272</v>
      </c>
      <c r="AA4443" t="s">
        <v>2272</v>
      </c>
      <c r="AB4443" t="s">
        <v>2272</v>
      </c>
      <c r="AC4443" t="s">
        <v>162</v>
      </c>
      <c r="AD4443" t="s">
        <v>2272</v>
      </c>
      <c r="AF4443" t="s">
        <v>49</v>
      </c>
      <c r="AL4443" t="s">
        <v>49</v>
      </c>
      <c r="AM4443" t="s">
        <v>2193</v>
      </c>
      <c r="AN4443" t="s">
        <v>166</v>
      </c>
      <c r="AQ4443" s="5">
        <v>2</v>
      </c>
    </row>
    <row r="4444" spans="1:43" x14ac:dyDescent="0.2">
      <c r="A4444" t="s">
        <v>2178</v>
      </c>
      <c r="B4444" t="s">
        <v>2179</v>
      </c>
      <c r="C4444">
        <v>2004</v>
      </c>
      <c r="D4444" t="s">
        <v>44</v>
      </c>
      <c r="F4444" t="s">
        <v>628</v>
      </c>
      <c r="G4444" t="s">
        <v>91</v>
      </c>
      <c r="H4444" t="s">
        <v>350</v>
      </c>
      <c r="I4444">
        <v>2001</v>
      </c>
      <c r="J4444">
        <v>0.3</v>
      </c>
      <c r="K4444" t="s">
        <v>101</v>
      </c>
      <c r="M4444">
        <v>0.25</v>
      </c>
      <c r="N4444" t="s">
        <v>120</v>
      </c>
      <c r="O4444" t="s">
        <v>120</v>
      </c>
      <c r="P4444" t="s">
        <v>2183</v>
      </c>
      <c r="Q4444" s="1" t="s">
        <v>2276</v>
      </c>
      <c r="R4444" s="1" t="s">
        <v>751</v>
      </c>
      <c r="S4444" s="1" t="s">
        <v>2346</v>
      </c>
      <c r="T4444" t="s">
        <v>396</v>
      </c>
      <c r="U4444" t="s">
        <v>2366</v>
      </c>
      <c r="X4444" t="s">
        <v>161</v>
      </c>
      <c r="Y4444" t="s">
        <v>2272</v>
      </c>
      <c r="Z4444" t="s">
        <v>2272</v>
      </c>
      <c r="AA4444" t="s">
        <v>2272</v>
      </c>
      <c r="AB4444" t="s">
        <v>2272</v>
      </c>
      <c r="AC4444" t="s">
        <v>162</v>
      </c>
      <c r="AD4444" t="s">
        <v>2272</v>
      </c>
      <c r="AF4444" t="s">
        <v>49</v>
      </c>
      <c r="AL4444" t="s">
        <v>49</v>
      </c>
      <c r="AM4444" t="s">
        <v>2193</v>
      </c>
      <c r="AN4444" t="s">
        <v>166</v>
      </c>
      <c r="AQ4444" s="5">
        <v>1</v>
      </c>
    </row>
    <row r="4445" spans="1:43" x14ac:dyDescent="0.2">
      <c r="A4445" t="s">
        <v>2178</v>
      </c>
      <c r="B4445" t="s">
        <v>2179</v>
      </c>
      <c r="C4445">
        <v>2004</v>
      </c>
      <c r="D4445" t="s">
        <v>44</v>
      </c>
      <c r="F4445" t="s">
        <v>628</v>
      </c>
      <c r="G4445" t="s">
        <v>91</v>
      </c>
      <c r="H4445" t="s">
        <v>350</v>
      </c>
      <c r="I4445">
        <v>2001</v>
      </c>
      <c r="J4445">
        <v>0.3</v>
      </c>
      <c r="K4445" t="s">
        <v>101</v>
      </c>
      <c r="M4445">
        <v>0.25</v>
      </c>
      <c r="N4445" t="s">
        <v>120</v>
      </c>
      <c r="O4445" t="s">
        <v>120</v>
      </c>
      <c r="P4445" t="s">
        <v>2180</v>
      </c>
      <c r="Q4445" s="1" t="s">
        <v>2276</v>
      </c>
      <c r="R4445" s="1" t="s">
        <v>669</v>
      </c>
      <c r="S4445" s="1" t="s">
        <v>168</v>
      </c>
      <c r="T4445" t="s">
        <v>396</v>
      </c>
      <c r="U4445" t="s">
        <v>2423</v>
      </c>
      <c r="X4445" t="s">
        <v>161</v>
      </c>
      <c r="Y4445" t="s">
        <v>2272</v>
      </c>
      <c r="Z4445" t="s">
        <v>2272</v>
      </c>
      <c r="AA4445" t="s">
        <v>2272</v>
      </c>
      <c r="AB4445" t="s">
        <v>2272</v>
      </c>
      <c r="AC4445" t="s">
        <v>162</v>
      </c>
      <c r="AD4445" t="s">
        <v>2272</v>
      </c>
      <c r="AF4445" t="s">
        <v>49</v>
      </c>
      <c r="AL4445" t="s">
        <v>49</v>
      </c>
      <c r="AM4445" t="s">
        <v>2194</v>
      </c>
      <c r="AN4445" t="s">
        <v>166</v>
      </c>
      <c r="AQ4445" s="5">
        <v>3</v>
      </c>
    </row>
    <row r="4446" spans="1:43" x14ac:dyDescent="0.2">
      <c r="A4446" t="s">
        <v>2178</v>
      </c>
      <c r="B4446" t="s">
        <v>2179</v>
      </c>
      <c r="C4446">
        <v>2004</v>
      </c>
      <c r="D4446" t="s">
        <v>44</v>
      </c>
      <c r="F4446" t="s">
        <v>628</v>
      </c>
      <c r="G4446" t="s">
        <v>91</v>
      </c>
      <c r="H4446" t="s">
        <v>350</v>
      </c>
      <c r="I4446">
        <v>2001</v>
      </c>
      <c r="J4446">
        <v>0.3</v>
      </c>
      <c r="K4446" t="s">
        <v>101</v>
      </c>
      <c r="M4446">
        <v>0.25</v>
      </c>
      <c r="N4446" t="s">
        <v>120</v>
      </c>
      <c r="O4446" t="s">
        <v>120</v>
      </c>
      <c r="P4446" t="s">
        <v>2181</v>
      </c>
      <c r="Q4446" s="1" t="s">
        <v>2276</v>
      </c>
      <c r="R4446" s="1" t="s">
        <v>669</v>
      </c>
      <c r="S4446" s="1" t="s">
        <v>168</v>
      </c>
      <c r="T4446" t="s">
        <v>396</v>
      </c>
      <c r="U4446" t="s">
        <v>2423</v>
      </c>
      <c r="X4446" t="s">
        <v>161</v>
      </c>
      <c r="Y4446" t="s">
        <v>2272</v>
      </c>
      <c r="Z4446" t="s">
        <v>2272</v>
      </c>
      <c r="AA4446" t="s">
        <v>2272</v>
      </c>
      <c r="AB4446" t="s">
        <v>2272</v>
      </c>
      <c r="AC4446" t="s">
        <v>162</v>
      </c>
      <c r="AD4446" t="s">
        <v>2272</v>
      </c>
      <c r="AF4446" t="s">
        <v>49</v>
      </c>
      <c r="AL4446" t="s">
        <v>49</v>
      </c>
      <c r="AM4446" t="s">
        <v>2194</v>
      </c>
      <c r="AN4446" t="s">
        <v>166</v>
      </c>
      <c r="AQ4446" s="5">
        <v>1</v>
      </c>
    </row>
    <row r="4447" spans="1:43" x14ac:dyDescent="0.2">
      <c r="A4447" t="s">
        <v>2178</v>
      </c>
      <c r="B4447" t="s">
        <v>2179</v>
      </c>
      <c r="C4447">
        <v>2004</v>
      </c>
      <c r="D4447" t="s">
        <v>44</v>
      </c>
      <c r="F4447" t="s">
        <v>628</v>
      </c>
      <c r="G4447" t="s">
        <v>91</v>
      </c>
      <c r="H4447" t="s">
        <v>350</v>
      </c>
      <c r="I4447">
        <v>2001</v>
      </c>
      <c r="J4447">
        <v>0.3</v>
      </c>
      <c r="K4447" t="s">
        <v>101</v>
      </c>
      <c r="M4447">
        <v>0.25</v>
      </c>
      <c r="N4447" t="s">
        <v>120</v>
      </c>
      <c r="O4447" t="s">
        <v>120</v>
      </c>
      <c r="P4447" t="s">
        <v>2182</v>
      </c>
      <c r="Q4447" s="1" t="s">
        <v>2276</v>
      </c>
      <c r="R4447" s="1" t="s">
        <v>669</v>
      </c>
      <c r="S4447" s="1" t="s">
        <v>168</v>
      </c>
      <c r="T4447" t="s">
        <v>396</v>
      </c>
      <c r="U4447" t="s">
        <v>2423</v>
      </c>
      <c r="X4447" t="s">
        <v>161</v>
      </c>
      <c r="Y4447" t="s">
        <v>2272</v>
      </c>
      <c r="Z4447" t="s">
        <v>2272</v>
      </c>
      <c r="AA4447" t="s">
        <v>2272</v>
      </c>
      <c r="AB4447" t="s">
        <v>2272</v>
      </c>
      <c r="AC4447" t="s">
        <v>162</v>
      </c>
      <c r="AD4447" t="s">
        <v>2272</v>
      </c>
      <c r="AF4447" t="s">
        <v>49</v>
      </c>
      <c r="AL4447" t="s">
        <v>49</v>
      </c>
      <c r="AM4447" t="s">
        <v>2194</v>
      </c>
      <c r="AN4447" t="s">
        <v>166</v>
      </c>
      <c r="AQ4447" s="5">
        <v>2</v>
      </c>
    </row>
    <row r="4448" spans="1:43" x14ac:dyDescent="0.2">
      <c r="A4448" t="s">
        <v>2178</v>
      </c>
      <c r="B4448" t="s">
        <v>2179</v>
      </c>
      <c r="C4448">
        <v>2004</v>
      </c>
      <c r="D4448" t="s">
        <v>44</v>
      </c>
      <c r="F4448" t="s">
        <v>628</v>
      </c>
      <c r="G4448" t="s">
        <v>91</v>
      </c>
      <c r="H4448" t="s">
        <v>350</v>
      </c>
      <c r="I4448">
        <v>2001</v>
      </c>
      <c r="J4448">
        <v>0.3</v>
      </c>
      <c r="K4448" t="s">
        <v>101</v>
      </c>
      <c r="M4448">
        <v>0.25</v>
      </c>
      <c r="N4448" t="s">
        <v>120</v>
      </c>
      <c r="O4448" t="s">
        <v>120</v>
      </c>
      <c r="P4448" t="s">
        <v>2183</v>
      </c>
      <c r="Q4448" s="1" t="s">
        <v>2276</v>
      </c>
      <c r="R4448" s="1" t="s">
        <v>751</v>
      </c>
      <c r="S4448" s="1" t="s">
        <v>2346</v>
      </c>
      <c r="T4448" t="s">
        <v>396</v>
      </c>
      <c r="U4448" t="s">
        <v>2366</v>
      </c>
      <c r="X4448" t="s">
        <v>161</v>
      </c>
      <c r="Y4448" t="s">
        <v>2272</v>
      </c>
      <c r="Z4448" t="s">
        <v>2272</v>
      </c>
      <c r="AA4448" t="s">
        <v>2272</v>
      </c>
      <c r="AB4448" t="s">
        <v>2272</v>
      </c>
      <c r="AC4448" t="s">
        <v>162</v>
      </c>
      <c r="AD4448" t="s">
        <v>2272</v>
      </c>
      <c r="AF4448" t="s">
        <v>49</v>
      </c>
      <c r="AL4448" t="s">
        <v>49</v>
      </c>
      <c r="AM4448" t="s">
        <v>2194</v>
      </c>
      <c r="AN4448" t="s">
        <v>166</v>
      </c>
      <c r="AQ4448" s="5">
        <v>1</v>
      </c>
    </row>
    <row r="4449" spans="1:43" x14ac:dyDescent="0.2">
      <c r="A4449" t="s">
        <v>2178</v>
      </c>
      <c r="B4449" t="s">
        <v>2179</v>
      </c>
      <c r="C4449">
        <v>2004</v>
      </c>
      <c r="D4449" t="s">
        <v>44</v>
      </c>
      <c r="F4449" t="s">
        <v>628</v>
      </c>
      <c r="G4449" t="s">
        <v>91</v>
      </c>
      <c r="H4449" t="s">
        <v>350</v>
      </c>
      <c r="I4449">
        <v>2001</v>
      </c>
      <c r="J4449">
        <v>0.3</v>
      </c>
      <c r="K4449" t="s">
        <v>101</v>
      </c>
      <c r="M4449">
        <v>0.25</v>
      </c>
      <c r="N4449" t="s">
        <v>120</v>
      </c>
      <c r="O4449" t="s">
        <v>120</v>
      </c>
      <c r="P4449" t="s">
        <v>2180</v>
      </c>
      <c r="Q4449" s="1" t="s">
        <v>2276</v>
      </c>
      <c r="R4449" s="1" t="s">
        <v>669</v>
      </c>
      <c r="S4449" s="1" t="s">
        <v>168</v>
      </c>
      <c r="T4449" t="s">
        <v>396</v>
      </c>
      <c r="U4449" t="s">
        <v>2423</v>
      </c>
      <c r="X4449" t="s">
        <v>161</v>
      </c>
      <c r="Y4449" t="s">
        <v>2272</v>
      </c>
      <c r="Z4449" t="s">
        <v>2272</v>
      </c>
      <c r="AA4449" t="s">
        <v>2272</v>
      </c>
      <c r="AB4449" t="s">
        <v>2272</v>
      </c>
      <c r="AC4449" t="s">
        <v>162</v>
      </c>
      <c r="AD4449" t="s">
        <v>2272</v>
      </c>
      <c r="AF4449" t="s">
        <v>49</v>
      </c>
      <c r="AL4449" t="s">
        <v>49</v>
      </c>
      <c r="AM4449" t="s">
        <v>2198</v>
      </c>
      <c r="AN4449" t="s">
        <v>166</v>
      </c>
      <c r="AQ4449" s="5">
        <v>3</v>
      </c>
    </row>
    <row r="4450" spans="1:43" x14ac:dyDescent="0.2">
      <c r="A4450" t="s">
        <v>2178</v>
      </c>
      <c r="B4450" t="s">
        <v>2179</v>
      </c>
      <c r="C4450">
        <v>2004</v>
      </c>
      <c r="D4450" t="s">
        <v>44</v>
      </c>
      <c r="F4450" t="s">
        <v>628</v>
      </c>
      <c r="G4450" t="s">
        <v>91</v>
      </c>
      <c r="H4450" t="s">
        <v>350</v>
      </c>
      <c r="I4450">
        <v>2001</v>
      </c>
      <c r="J4450">
        <v>0.3</v>
      </c>
      <c r="K4450" t="s">
        <v>101</v>
      </c>
      <c r="M4450">
        <v>0.25</v>
      </c>
      <c r="N4450" t="s">
        <v>120</v>
      </c>
      <c r="O4450" t="s">
        <v>120</v>
      </c>
      <c r="P4450" t="s">
        <v>2181</v>
      </c>
      <c r="Q4450" s="1" t="s">
        <v>2276</v>
      </c>
      <c r="R4450" s="1" t="s">
        <v>669</v>
      </c>
      <c r="S4450" s="1" t="s">
        <v>168</v>
      </c>
      <c r="T4450" t="s">
        <v>396</v>
      </c>
      <c r="U4450" t="s">
        <v>2423</v>
      </c>
      <c r="X4450" t="s">
        <v>161</v>
      </c>
      <c r="Y4450" t="s">
        <v>2272</v>
      </c>
      <c r="Z4450" t="s">
        <v>2272</v>
      </c>
      <c r="AA4450" t="s">
        <v>2272</v>
      </c>
      <c r="AB4450" t="s">
        <v>2272</v>
      </c>
      <c r="AC4450" t="s">
        <v>162</v>
      </c>
      <c r="AD4450" t="s">
        <v>2272</v>
      </c>
      <c r="AF4450" t="s">
        <v>49</v>
      </c>
      <c r="AL4450" t="s">
        <v>49</v>
      </c>
      <c r="AM4450" t="s">
        <v>2198</v>
      </c>
      <c r="AN4450" t="s">
        <v>166</v>
      </c>
      <c r="AQ4450" s="5">
        <v>2</v>
      </c>
    </row>
    <row r="4451" spans="1:43" x14ac:dyDescent="0.2">
      <c r="A4451" t="s">
        <v>2178</v>
      </c>
      <c r="B4451" t="s">
        <v>2179</v>
      </c>
      <c r="C4451">
        <v>2004</v>
      </c>
      <c r="D4451" t="s">
        <v>44</v>
      </c>
      <c r="F4451" t="s">
        <v>628</v>
      </c>
      <c r="G4451" t="s">
        <v>91</v>
      </c>
      <c r="H4451" t="s">
        <v>350</v>
      </c>
      <c r="I4451">
        <v>2001</v>
      </c>
      <c r="J4451">
        <v>0.3</v>
      </c>
      <c r="K4451" t="s">
        <v>101</v>
      </c>
      <c r="M4451">
        <v>0.25</v>
      </c>
      <c r="N4451" t="s">
        <v>120</v>
      </c>
      <c r="O4451" t="s">
        <v>120</v>
      </c>
      <c r="P4451" t="s">
        <v>2182</v>
      </c>
      <c r="Q4451" s="1" t="s">
        <v>2276</v>
      </c>
      <c r="R4451" s="1" t="s">
        <v>669</v>
      </c>
      <c r="S4451" s="1" t="s">
        <v>168</v>
      </c>
      <c r="T4451" t="s">
        <v>396</v>
      </c>
      <c r="U4451" t="s">
        <v>2423</v>
      </c>
      <c r="X4451" t="s">
        <v>161</v>
      </c>
      <c r="Y4451" t="s">
        <v>2272</v>
      </c>
      <c r="Z4451" t="s">
        <v>2272</v>
      </c>
      <c r="AA4451" t="s">
        <v>2272</v>
      </c>
      <c r="AB4451" t="s">
        <v>2272</v>
      </c>
      <c r="AC4451" t="s">
        <v>162</v>
      </c>
      <c r="AD4451" t="s">
        <v>2272</v>
      </c>
      <c r="AF4451" t="s">
        <v>49</v>
      </c>
      <c r="AL4451" t="s">
        <v>49</v>
      </c>
      <c r="AM4451" t="s">
        <v>2198</v>
      </c>
      <c r="AN4451" t="s">
        <v>166</v>
      </c>
      <c r="AQ4451" s="5">
        <v>2</v>
      </c>
    </row>
    <row r="4452" spans="1:43" x14ac:dyDescent="0.2">
      <c r="A4452" t="s">
        <v>2178</v>
      </c>
      <c r="B4452" t="s">
        <v>2179</v>
      </c>
      <c r="C4452">
        <v>2004</v>
      </c>
      <c r="D4452" t="s">
        <v>44</v>
      </c>
      <c r="F4452" t="s">
        <v>628</v>
      </c>
      <c r="G4452" t="s">
        <v>91</v>
      </c>
      <c r="H4452" t="s">
        <v>350</v>
      </c>
      <c r="I4452">
        <v>2001</v>
      </c>
      <c r="J4452">
        <v>0.3</v>
      </c>
      <c r="K4452" t="s">
        <v>101</v>
      </c>
      <c r="M4452">
        <v>0.25</v>
      </c>
      <c r="N4452" t="s">
        <v>120</v>
      </c>
      <c r="O4452" t="s">
        <v>120</v>
      </c>
      <c r="P4452" t="s">
        <v>2183</v>
      </c>
      <c r="Q4452" s="1" t="s">
        <v>2276</v>
      </c>
      <c r="R4452" s="1" t="s">
        <v>751</v>
      </c>
      <c r="S4452" s="1" t="s">
        <v>2346</v>
      </c>
      <c r="T4452" t="s">
        <v>396</v>
      </c>
      <c r="U4452" t="s">
        <v>2366</v>
      </c>
      <c r="X4452" t="s">
        <v>161</v>
      </c>
      <c r="Y4452" t="s">
        <v>2272</v>
      </c>
      <c r="Z4452" t="s">
        <v>2272</v>
      </c>
      <c r="AA4452" t="s">
        <v>2272</v>
      </c>
      <c r="AB4452" t="s">
        <v>2272</v>
      </c>
      <c r="AC4452" t="s">
        <v>162</v>
      </c>
      <c r="AD4452" t="s">
        <v>2272</v>
      </c>
      <c r="AF4452" t="s">
        <v>49</v>
      </c>
      <c r="AL4452" t="s">
        <v>49</v>
      </c>
      <c r="AM4452" t="s">
        <v>2198</v>
      </c>
      <c r="AN4452" t="s">
        <v>166</v>
      </c>
      <c r="AQ4452" s="5">
        <v>1</v>
      </c>
    </row>
    <row r="4453" spans="1:43" x14ac:dyDescent="0.2">
      <c r="A4453" t="s">
        <v>2178</v>
      </c>
      <c r="B4453" t="s">
        <v>2179</v>
      </c>
      <c r="C4453">
        <v>2004</v>
      </c>
      <c r="D4453" t="s">
        <v>811</v>
      </c>
      <c r="F4453" t="s">
        <v>628</v>
      </c>
      <c r="G4453" t="s">
        <v>91</v>
      </c>
      <c r="H4453" t="s">
        <v>350</v>
      </c>
      <c r="I4453">
        <v>2001</v>
      </c>
      <c r="J4453">
        <v>0.14000000000000001</v>
      </c>
      <c r="K4453" t="s">
        <v>102</v>
      </c>
      <c r="M4453">
        <v>4</v>
      </c>
      <c r="N4453" t="s">
        <v>120</v>
      </c>
      <c r="O4453" t="s">
        <v>120</v>
      </c>
      <c r="P4453" t="s">
        <v>2180</v>
      </c>
      <c r="Q4453" s="1" t="s">
        <v>2276</v>
      </c>
      <c r="R4453" s="1" t="s">
        <v>669</v>
      </c>
      <c r="S4453" s="1" t="s">
        <v>168</v>
      </c>
      <c r="T4453" t="s">
        <v>396</v>
      </c>
      <c r="U4453" t="s">
        <v>168</v>
      </c>
      <c r="X4453" t="s">
        <v>161</v>
      </c>
      <c r="Y4453" t="s">
        <v>2272</v>
      </c>
      <c r="Z4453" t="s">
        <v>2272</v>
      </c>
      <c r="AA4453" t="s">
        <v>2272</v>
      </c>
      <c r="AB4453" t="s">
        <v>2272</v>
      </c>
      <c r="AC4453" t="s">
        <v>162</v>
      </c>
      <c r="AD4453" t="s">
        <v>2272</v>
      </c>
      <c r="AF4453" t="s">
        <v>49</v>
      </c>
      <c r="AL4453" t="s">
        <v>49</v>
      </c>
      <c r="AM4453" t="s">
        <v>518</v>
      </c>
      <c r="AN4453" t="s">
        <v>109</v>
      </c>
      <c r="AO4453" t="s">
        <v>2203</v>
      </c>
      <c r="AQ4453" s="5">
        <v>1</v>
      </c>
    </row>
    <row r="4454" spans="1:43" x14ac:dyDescent="0.2">
      <c r="A4454" t="s">
        <v>2178</v>
      </c>
      <c r="B4454" t="s">
        <v>2179</v>
      </c>
      <c r="C4454">
        <v>2004</v>
      </c>
      <c r="D4454" t="s">
        <v>811</v>
      </c>
      <c r="F4454" t="s">
        <v>628</v>
      </c>
      <c r="G4454" t="s">
        <v>91</v>
      </c>
      <c r="H4454" t="s">
        <v>350</v>
      </c>
      <c r="I4454">
        <v>2001</v>
      </c>
      <c r="J4454">
        <v>0.14000000000000001</v>
      </c>
      <c r="K4454" t="s">
        <v>102</v>
      </c>
      <c r="M4454">
        <v>4</v>
      </c>
      <c r="N4454" t="s">
        <v>120</v>
      </c>
      <c r="O4454" t="s">
        <v>120</v>
      </c>
      <c r="P4454" t="s">
        <v>2181</v>
      </c>
      <c r="Q4454" s="1" t="s">
        <v>2276</v>
      </c>
      <c r="R4454" s="1" t="s">
        <v>669</v>
      </c>
      <c r="S4454" s="1" t="s">
        <v>168</v>
      </c>
      <c r="T4454" t="s">
        <v>396</v>
      </c>
      <c r="U4454" t="s">
        <v>168</v>
      </c>
      <c r="X4454" t="s">
        <v>161</v>
      </c>
      <c r="Y4454" t="s">
        <v>2272</v>
      </c>
      <c r="Z4454" t="s">
        <v>2272</v>
      </c>
      <c r="AA4454" t="s">
        <v>2272</v>
      </c>
      <c r="AB4454" t="s">
        <v>2272</v>
      </c>
      <c r="AC4454" t="s">
        <v>162</v>
      </c>
      <c r="AD4454" t="s">
        <v>2272</v>
      </c>
      <c r="AF4454" t="s">
        <v>49</v>
      </c>
      <c r="AL4454" t="s">
        <v>49</v>
      </c>
      <c r="AM4454" t="s">
        <v>518</v>
      </c>
      <c r="AN4454" t="s">
        <v>109</v>
      </c>
      <c r="AO4454" t="s">
        <v>2203</v>
      </c>
      <c r="AQ4454" s="5">
        <v>2</v>
      </c>
    </row>
    <row r="4455" spans="1:43" x14ac:dyDescent="0.2">
      <c r="A4455" t="s">
        <v>2178</v>
      </c>
      <c r="B4455" t="s">
        <v>2179</v>
      </c>
      <c r="C4455">
        <v>2004</v>
      </c>
      <c r="D4455" t="s">
        <v>811</v>
      </c>
      <c r="F4455" t="s">
        <v>628</v>
      </c>
      <c r="G4455" t="s">
        <v>91</v>
      </c>
      <c r="H4455" t="s">
        <v>350</v>
      </c>
      <c r="I4455">
        <v>2001</v>
      </c>
      <c r="J4455">
        <v>0.14000000000000001</v>
      </c>
      <c r="K4455" t="s">
        <v>102</v>
      </c>
      <c r="M4455">
        <v>4</v>
      </c>
      <c r="N4455" t="s">
        <v>120</v>
      </c>
      <c r="O4455" t="s">
        <v>120</v>
      </c>
      <c r="P4455" t="s">
        <v>2180</v>
      </c>
      <c r="Q4455" s="1" t="s">
        <v>2276</v>
      </c>
      <c r="R4455" s="1" t="s">
        <v>669</v>
      </c>
      <c r="S4455" s="1" t="s">
        <v>168</v>
      </c>
      <c r="T4455" t="s">
        <v>421</v>
      </c>
      <c r="U4455" t="s">
        <v>421</v>
      </c>
      <c r="X4455" t="s">
        <v>161</v>
      </c>
      <c r="Y4455" t="s">
        <v>2272</v>
      </c>
      <c r="Z4455" t="s">
        <v>2272</v>
      </c>
      <c r="AA4455" t="s">
        <v>2272</v>
      </c>
      <c r="AB4455" t="s">
        <v>2272</v>
      </c>
      <c r="AC4455" t="s">
        <v>162</v>
      </c>
      <c r="AD4455" t="s">
        <v>2272</v>
      </c>
      <c r="AF4455" t="s">
        <v>49</v>
      </c>
      <c r="AL4455" t="s">
        <v>49</v>
      </c>
      <c r="AM4455" t="s">
        <v>518</v>
      </c>
      <c r="AN4455" t="s">
        <v>109</v>
      </c>
      <c r="AO4455" t="s">
        <v>2203</v>
      </c>
      <c r="AQ4455" s="5">
        <v>0</v>
      </c>
    </row>
    <row r="4456" spans="1:43" x14ac:dyDescent="0.2">
      <c r="A4456" t="s">
        <v>2178</v>
      </c>
      <c r="B4456" t="s">
        <v>2179</v>
      </c>
      <c r="C4456">
        <v>2004</v>
      </c>
      <c r="D4456" t="s">
        <v>811</v>
      </c>
      <c r="F4456" t="s">
        <v>628</v>
      </c>
      <c r="G4456" t="s">
        <v>91</v>
      </c>
      <c r="H4456" t="s">
        <v>350</v>
      </c>
      <c r="I4456">
        <v>2001</v>
      </c>
      <c r="J4456">
        <v>0.14000000000000001</v>
      </c>
      <c r="K4456" t="s">
        <v>102</v>
      </c>
      <c r="M4456">
        <v>4</v>
      </c>
      <c r="N4456" t="s">
        <v>120</v>
      </c>
      <c r="O4456" t="s">
        <v>120</v>
      </c>
      <c r="P4456" t="s">
        <v>2181</v>
      </c>
      <c r="Q4456" s="1" t="s">
        <v>2276</v>
      </c>
      <c r="R4456" s="1" t="s">
        <v>669</v>
      </c>
      <c r="S4456" s="1" t="s">
        <v>168</v>
      </c>
      <c r="T4456" t="s">
        <v>421</v>
      </c>
      <c r="U4456" t="s">
        <v>421</v>
      </c>
      <c r="X4456" t="s">
        <v>161</v>
      </c>
      <c r="Y4456" t="s">
        <v>2272</v>
      </c>
      <c r="Z4456" t="s">
        <v>2272</v>
      </c>
      <c r="AA4456" t="s">
        <v>2272</v>
      </c>
      <c r="AB4456" t="s">
        <v>2272</v>
      </c>
      <c r="AC4456" t="s">
        <v>162</v>
      </c>
      <c r="AD4456" t="s">
        <v>2272</v>
      </c>
      <c r="AF4456" t="s">
        <v>49</v>
      </c>
      <c r="AL4456" t="s">
        <v>49</v>
      </c>
      <c r="AM4456" t="s">
        <v>518</v>
      </c>
      <c r="AN4456" t="s">
        <v>109</v>
      </c>
      <c r="AO4456" t="s">
        <v>2203</v>
      </c>
      <c r="AQ4456" s="5">
        <v>0</v>
      </c>
    </row>
    <row r="4457" spans="1:43" x14ac:dyDescent="0.2">
      <c r="A4457" t="s">
        <v>2178</v>
      </c>
      <c r="B4457" t="s">
        <v>2179</v>
      </c>
      <c r="C4457">
        <v>2004</v>
      </c>
      <c r="D4457" t="s">
        <v>811</v>
      </c>
      <c r="F4457" t="s">
        <v>628</v>
      </c>
      <c r="G4457" t="s">
        <v>91</v>
      </c>
      <c r="H4457" t="s">
        <v>350</v>
      </c>
      <c r="I4457">
        <v>2001</v>
      </c>
      <c r="J4457">
        <v>0.14000000000000001</v>
      </c>
      <c r="K4457" t="s">
        <v>102</v>
      </c>
      <c r="M4457">
        <v>4</v>
      </c>
      <c r="N4457" t="s">
        <v>120</v>
      </c>
      <c r="O4457" t="s">
        <v>120</v>
      </c>
      <c r="P4457" t="s">
        <v>2180</v>
      </c>
      <c r="Q4457" s="1" t="s">
        <v>2276</v>
      </c>
      <c r="R4457" s="1" t="s">
        <v>669</v>
      </c>
      <c r="S4457" s="1" t="s">
        <v>168</v>
      </c>
      <c r="T4457" t="s">
        <v>396</v>
      </c>
      <c r="U4457" t="s">
        <v>168</v>
      </c>
      <c r="X4457" t="s">
        <v>161</v>
      </c>
      <c r="Y4457" t="s">
        <v>2272</v>
      </c>
      <c r="Z4457" t="s">
        <v>2272</v>
      </c>
      <c r="AA4457" t="s">
        <v>2272</v>
      </c>
      <c r="AB4457" t="s">
        <v>2272</v>
      </c>
      <c r="AC4457" t="s">
        <v>162</v>
      </c>
      <c r="AD4457" t="s">
        <v>2272</v>
      </c>
      <c r="AF4457" t="s">
        <v>49</v>
      </c>
      <c r="AL4457" t="s">
        <v>49</v>
      </c>
      <c r="AM4457" t="s">
        <v>518</v>
      </c>
      <c r="AN4457" t="s">
        <v>109</v>
      </c>
      <c r="AO4457" t="s">
        <v>2202</v>
      </c>
      <c r="AQ4457" s="5">
        <v>1</v>
      </c>
    </row>
    <row r="4458" spans="1:43" x14ac:dyDescent="0.2">
      <c r="A4458" t="s">
        <v>2178</v>
      </c>
      <c r="B4458" t="s">
        <v>2179</v>
      </c>
      <c r="C4458">
        <v>2004</v>
      </c>
      <c r="D4458" t="s">
        <v>811</v>
      </c>
      <c r="F4458" t="s">
        <v>628</v>
      </c>
      <c r="G4458" t="s">
        <v>91</v>
      </c>
      <c r="H4458" t="s">
        <v>350</v>
      </c>
      <c r="I4458">
        <v>2001</v>
      </c>
      <c r="J4458">
        <v>0.14000000000000001</v>
      </c>
      <c r="K4458" t="s">
        <v>102</v>
      </c>
      <c r="M4458">
        <v>4</v>
      </c>
      <c r="N4458" t="s">
        <v>120</v>
      </c>
      <c r="O4458" t="s">
        <v>120</v>
      </c>
      <c r="P4458" t="s">
        <v>2181</v>
      </c>
      <c r="Q4458" s="1" t="s">
        <v>2276</v>
      </c>
      <c r="R4458" s="1" t="s">
        <v>669</v>
      </c>
      <c r="S4458" s="1" t="s">
        <v>168</v>
      </c>
      <c r="T4458" t="s">
        <v>396</v>
      </c>
      <c r="U4458" t="s">
        <v>168</v>
      </c>
      <c r="X4458" t="s">
        <v>161</v>
      </c>
      <c r="Y4458" t="s">
        <v>2272</v>
      </c>
      <c r="Z4458" t="s">
        <v>2272</v>
      </c>
      <c r="AA4458" t="s">
        <v>2272</v>
      </c>
      <c r="AB4458" t="s">
        <v>2272</v>
      </c>
      <c r="AC4458" t="s">
        <v>162</v>
      </c>
      <c r="AD4458" t="s">
        <v>2272</v>
      </c>
      <c r="AF4458" t="s">
        <v>49</v>
      </c>
      <c r="AL4458" t="s">
        <v>49</v>
      </c>
      <c r="AM4458" t="s">
        <v>518</v>
      </c>
      <c r="AN4458" t="s">
        <v>109</v>
      </c>
      <c r="AO4458" t="s">
        <v>2202</v>
      </c>
      <c r="AQ4458" s="5">
        <v>2</v>
      </c>
    </row>
    <row r="4459" spans="1:43" x14ac:dyDescent="0.2">
      <c r="A4459" t="s">
        <v>2178</v>
      </c>
      <c r="B4459" t="s">
        <v>2179</v>
      </c>
      <c r="C4459">
        <v>2004</v>
      </c>
      <c r="D4459" t="s">
        <v>811</v>
      </c>
      <c r="F4459" t="s">
        <v>628</v>
      </c>
      <c r="G4459" t="s">
        <v>91</v>
      </c>
      <c r="H4459" t="s">
        <v>350</v>
      </c>
      <c r="I4459">
        <v>2001</v>
      </c>
      <c r="J4459">
        <v>0.14000000000000001</v>
      </c>
      <c r="K4459" t="s">
        <v>102</v>
      </c>
      <c r="M4459">
        <v>4</v>
      </c>
      <c r="N4459" t="s">
        <v>120</v>
      </c>
      <c r="O4459" t="s">
        <v>120</v>
      </c>
      <c r="P4459" t="s">
        <v>2180</v>
      </c>
      <c r="Q4459" s="1" t="s">
        <v>2276</v>
      </c>
      <c r="R4459" s="1" t="s">
        <v>669</v>
      </c>
      <c r="S4459" s="1" t="s">
        <v>168</v>
      </c>
      <c r="T4459" t="s">
        <v>421</v>
      </c>
      <c r="U4459" t="s">
        <v>421</v>
      </c>
      <c r="X4459" t="s">
        <v>161</v>
      </c>
      <c r="Y4459" t="s">
        <v>2272</v>
      </c>
      <c r="Z4459" t="s">
        <v>2272</v>
      </c>
      <c r="AA4459" t="s">
        <v>2272</v>
      </c>
      <c r="AB4459" t="s">
        <v>2272</v>
      </c>
      <c r="AC4459" t="s">
        <v>162</v>
      </c>
      <c r="AD4459" t="s">
        <v>2272</v>
      </c>
      <c r="AF4459" t="s">
        <v>49</v>
      </c>
      <c r="AL4459" t="s">
        <v>49</v>
      </c>
      <c r="AM4459" t="s">
        <v>518</v>
      </c>
      <c r="AN4459" t="s">
        <v>109</v>
      </c>
      <c r="AO4459" t="s">
        <v>2202</v>
      </c>
      <c r="AQ4459" s="5">
        <v>0</v>
      </c>
    </row>
    <row r="4460" spans="1:43" x14ac:dyDescent="0.2">
      <c r="A4460" t="s">
        <v>2178</v>
      </c>
      <c r="B4460" t="s">
        <v>2179</v>
      </c>
      <c r="C4460">
        <v>2004</v>
      </c>
      <c r="D4460" t="s">
        <v>811</v>
      </c>
      <c r="F4460" t="s">
        <v>628</v>
      </c>
      <c r="G4460" t="s">
        <v>91</v>
      </c>
      <c r="H4460" t="s">
        <v>350</v>
      </c>
      <c r="I4460">
        <v>2001</v>
      </c>
      <c r="J4460">
        <v>0.14000000000000001</v>
      </c>
      <c r="K4460" t="s">
        <v>102</v>
      </c>
      <c r="M4460">
        <v>4</v>
      </c>
      <c r="N4460" t="s">
        <v>120</v>
      </c>
      <c r="O4460" t="s">
        <v>120</v>
      </c>
      <c r="P4460" t="s">
        <v>2181</v>
      </c>
      <c r="Q4460" s="1" t="s">
        <v>2276</v>
      </c>
      <c r="R4460" s="1" t="s">
        <v>669</v>
      </c>
      <c r="S4460" s="1" t="s">
        <v>168</v>
      </c>
      <c r="T4460" t="s">
        <v>421</v>
      </c>
      <c r="U4460" t="s">
        <v>421</v>
      </c>
      <c r="X4460" t="s">
        <v>161</v>
      </c>
      <c r="Y4460" t="s">
        <v>2272</v>
      </c>
      <c r="Z4460" t="s">
        <v>2272</v>
      </c>
      <c r="AA4460" t="s">
        <v>2272</v>
      </c>
      <c r="AB4460" t="s">
        <v>2272</v>
      </c>
      <c r="AC4460" t="s">
        <v>162</v>
      </c>
      <c r="AD4460" t="s">
        <v>2272</v>
      </c>
      <c r="AF4460" t="s">
        <v>49</v>
      </c>
      <c r="AL4460" t="s">
        <v>49</v>
      </c>
      <c r="AM4460" t="s">
        <v>518</v>
      </c>
      <c r="AN4460" t="s">
        <v>109</v>
      </c>
      <c r="AO4460" t="s">
        <v>2202</v>
      </c>
      <c r="AQ4460" s="5">
        <v>0</v>
      </c>
    </row>
    <row r="4461" spans="1:43" x14ac:dyDescent="0.2">
      <c r="A4461" t="s">
        <v>2178</v>
      </c>
      <c r="B4461" t="s">
        <v>2179</v>
      </c>
      <c r="C4461">
        <v>2004</v>
      </c>
      <c r="D4461" t="s">
        <v>811</v>
      </c>
      <c r="F4461" t="s">
        <v>628</v>
      </c>
      <c r="G4461" t="s">
        <v>91</v>
      </c>
      <c r="H4461" t="s">
        <v>350</v>
      </c>
      <c r="I4461">
        <v>2001</v>
      </c>
      <c r="J4461">
        <v>0.14000000000000001</v>
      </c>
      <c r="K4461" t="s">
        <v>102</v>
      </c>
      <c r="M4461">
        <v>4</v>
      </c>
      <c r="N4461" t="s">
        <v>120</v>
      </c>
      <c r="O4461" t="s">
        <v>120</v>
      </c>
      <c r="P4461" t="s">
        <v>2180</v>
      </c>
      <c r="Q4461" s="1" t="s">
        <v>2276</v>
      </c>
      <c r="R4461" s="1" t="s">
        <v>669</v>
      </c>
      <c r="S4461" s="1" t="s">
        <v>168</v>
      </c>
      <c r="T4461" t="s">
        <v>396</v>
      </c>
      <c r="U4461" t="s">
        <v>168</v>
      </c>
      <c r="X4461" t="s">
        <v>161</v>
      </c>
      <c r="Y4461" t="s">
        <v>2272</v>
      </c>
      <c r="Z4461" t="s">
        <v>2272</v>
      </c>
      <c r="AA4461" t="s">
        <v>2272</v>
      </c>
      <c r="AB4461" t="s">
        <v>2272</v>
      </c>
      <c r="AC4461" t="s">
        <v>162</v>
      </c>
      <c r="AD4461" t="s">
        <v>2272</v>
      </c>
      <c r="AF4461" t="s">
        <v>49</v>
      </c>
      <c r="AL4461" t="s">
        <v>49</v>
      </c>
      <c r="AM4461" t="s">
        <v>2204</v>
      </c>
      <c r="AN4461" t="s">
        <v>166</v>
      </c>
      <c r="AQ4461" s="5">
        <v>1</v>
      </c>
    </row>
    <row r="4462" spans="1:43" x14ac:dyDescent="0.2">
      <c r="A4462" t="s">
        <v>2178</v>
      </c>
      <c r="B4462" t="s">
        <v>2179</v>
      </c>
      <c r="C4462">
        <v>2004</v>
      </c>
      <c r="D4462" t="s">
        <v>811</v>
      </c>
      <c r="F4462" t="s">
        <v>628</v>
      </c>
      <c r="G4462" t="s">
        <v>91</v>
      </c>
      <c r="H4462" t="s">
        <v>350</v>
      </c>
      <c r="I4462">
        <v>2001</v>
      </c>
      <c r="J4462">
        <v>0.14000000000000001</v>
      </c>
      <c r="K4462" t="s">
        <v>102</v>
      </c>
      <c r="M4462">
        <v>4</v>
      </c>
      <c r="N4462" t="s">
        <v>120</v>
      </c>
      <c r="O4462" t="s">
        <v>120</v>
      </c>
      <c r="P4462" t="s">
        <v>2181</v>
      </c>
      <c r="Q4462" s="1" t="s">
        <v>2276</v>
      </c>
      <c r="R4462" s="1" t="s">
        <v>669</v>
      </c>
      <c r="S4462" s="1" t="s">
        <v>168</v>
      </c>
      <c r="T4462" t="s">
        <v>396</v>
      </c>
      <c r="U4462" t="s">
        <v>168</v>
      </c>
      <c r="X4462" t="s">
        <v>161</v>
      </c>
      <c r="Y4462" t="s">
        <v>2272</v>
      </c>
      <c r="Z4462" t="s">
        <v>2272</v>
      </c>
      <c r="AA4462" t="s">
        <v>2272</v>
      </c>
      <c r="AB4462" t="s">
        <v>2272</v>
      </c>
      <c r="AC4462" t="s">
        <v>162</v>
      </c>
      <c r="AD4462" t="s">
        <v>2272</v>
      </c>
      <c r="AF4462" t="s">
        <v>49</v>
      </c>
      <c r="AL4462" t="s">
        <v>49</v>
      </c>
      <c r="AM4462" t="s">
        <v>2204</v>
      </c>
      <c r="AN4462" t="s">
        <v>166</v>
      </c>
      <c r="AQ4462" s="5">
        <v>2</v>
      </c>
    </row>
    <row r="4463" spans="1:43" x14ac:dyDescent="0.2">
      <c r="A4463" t="s">
        <v>2178</v>
      </c>
      <c r="B4463" t="s">
        <v>2179</v>
      </c>
      <c r="C4463">
        <v>2004</v>
      </c>
      <c r="D4463" t="s">
        <v>811</v>
      </c>
      <c r="F4463" t="s">
        <v>628</v>
      </c>
      <c r="G4463" t="s">
        <v>91</v>
      </c>
      <c r="H4463" t="s">
        <v>350</v>
      </c>
      <c r="I4463">
        <v>2001</v>
      </c>
      <c r="J4463">
        <v>0.14000000000000001</v>
      </c>
      <c r="K4463" t="s">
        <v>102</v>
      </c>
      <c r="M4463">
        <v>4</v>
      </c>
      <c r="N4463" t="s">
        <v>120</v>
      </c>
      <c r="O4463" t="s">
        <v>120</v>
      </c>
      <c r="P4463" t="s">
        <v>2180</v>
      </c>
      <c r="Q4463" s="1" t="s">
        <v>2276</v>
      </c>
      <c r="R4463" s="1" t="s">
        <v>669</v>
      </c>
      <c r="S4463" s="1" t="s">
        <v>168</v>
      </c>
      <c r="T4463" t="s">
        <v>421</v>
      </c>
      <c r="U4463" t="s">
        <v>421</v>
      </c>
      <c r="X4463" t="s">
        <v>161</v>
      </c>
      <c r="Y4463" t="s">
        <v>2272</v>
      </c>
      <c r="Z4463" t="s">
        <v>2272</v>
      </c>
      <c r="AA4463" t="s">
        <v>2272</v>
      </c>
      <c r="AB4463" t="s">
        <v>2272</v>
      </c>
      <c r="AC4463" t="s">
        <v>162</v>
      </c>
      <c r="AD4463" t="s">
        <v>2272</v>
      </c>
      <c r="AF4463" t="s">
        <v>49</v>
      </c>
      <c r="AL4463" t="s">
        <v>49</v>
      </c>
      <c r="AM4463" t="s">
        <v>2204</v>
      </c>
      <c r="AN4463" t="s">
        <v>166</v>
      </c>
      <c r="AQ4463" s="5">
        <v>0</v>
      </c>
    </row>
    <row r="4464" spans="1:43" x14ac:dyDescent="0.2">
      <c r="A4464" t="s">
        <v>2178</v>
      </c>
      <c r="B4464" t="s">
        <v>2179</v>
      </c>
      <c r="C4464">
        <v>2004</v>
      </c>
      <c r="D4464" t="s">
        <v>811</v>
      </c>
      <c r="F4464" t="s">
        <v>628</v>
      </c>
      <c r="G4464" t="s">
        <v>91</v>
      </c>
      <c r="H4464" t="s">
        <v>350</v>
      </c>
      <c r="I4464">
        <v>2001</v>
      </c>
      <c r="J4464">
        <v>0.14000000000000001</v>
      </c>
      <c r="K4464" t="s">
        <v>102</v>
      </c>
      <c r="M4464">
        <v>4</v>
      </c>
      <c r="N4464" t="s">
        <v>120</v>
      </c>
      <c r="O4464" t="s">
        <v>120</v>
      </c>
      <c r="P4464" t="s">
        <v>2181</v>
      </c>
      <c r="Q4464" s="1" t="s">
        <v>2276</v>
      </c>
      <c r="R4464" s="1" t="s">
        <v>669</v>
      </c>
      <c r="S4464" s="1" t="s">
        <v>168</v>
      </c>
      <c r="T4464" t="s">
        <v>421</v>
      </c>
      <c r="U4464" t="s">
        <v>421</v>
      </c>
      <c r="X4464" t="s">
        <v>161</v>
      </c>
      <c r="Y4464" t="s">
        <v>2272</v>
      </c>
      <c r="Z4464" t="s">
        <v>2272</v>
      </c>
      <c r="AA4464" t="s">
        <v>2272</v>
      </c>
      <c r="AB4464" t="s">
        <v>2272</v>
      </c>
      <c r="AC4464" t="s">
        <v>162</v>
      </c>
      <c r="AD4464" t="s">
        <v>2272</v>
      </c>
      <c r="AF4464" t="s">
        <v>49</v>
      </c>
      <c r="AL4464" t="s">
        <v>49</v>
      </c>
      <c r="AM4464" t="s">
        <v>2204</v>
      </c>
      <c r="AN4464" t="s">
        <v>166</v>
      </c>
      <c r="AQ4464" s="5">
        <v>0</v>
      </c>
    </row>
    <row r="4465" spans="1:45" x14ac:dyDescent="0.2">
      <c r="A4465" t="s">
        <v>2205</v>
      </c>
      <c r="B4465" t="s">
        <v>2206</v>
      </c>
      <c r="C4465">
        <v>2003</v>
      </c>
      <c r="D4465" t="s">
        <v>47</v>
      </c>
      <c r="Q4465" s="1" t="s">
        <v>2272</v>
      </c>
      <c r="R4465" s="1" t="s">
        <v>2272</v>
      </c>
      <c r="S4465" s="1" t="s">
        <v>2272</v>
      </c>
      <c r="Y4465" t="s">
        <v>2272</v>
      </c>
      <c r="Z4465" t="s">
        <v>2272</v>
      </c>
      <c r="AA4465" t="s">
        <v>2272</v>
      </c>
      <c r="AB4465" t="s">
        <v>2272</v>
      </c>
      <c r="AD4465" t="s">
        <v>2272</v>
      </c>
      <c r="AR4465" t="s">
        <v>144</v>
      </c>
      <c r="AS4465" t="s">
        <v>2587</v>
      </c>
    </row>
    <row r="4466" spans="1:45" x14ac:dyDescent="0.2">
      <c r="A4466" t="s">
        <v>2207</v>
      </c>
      <c r="B4466" t="s">
        <v>2208</v>
      </c>
      <c r="C4466">
        <v>2003</v>
      </c>
      <c r="D4466" t="s">
        <v>44</v>
      </c>
      <c r="F4466" t="s">
        <v>81</v>
      </c>
      <c r="G4466" t="s">
        <v>86</v>
      </c>
      <c r="H4466" t="s">
        <v>96</v>
      </c>
      <c r="I4466">
        <v>1997</v>
      </c>
      <c r="J4466">
        <v>0.33</v>
      </c>
      <c r="K4466" t="s">
        <v>109</v>
      </c>
      <c r="L4466">
        <v>2</v>
      </c>
      <c r="N4466" t="s">
        <v>126</v>
      </c>
      <c r="O4466" t="s">
        <v>126</v>
      </c>
      <c r="Q4466" s="1" t="s">
        <v>2281</v>
      </c>
      <c r="R4466" s="1" t="s">
        <v>2282</v>
      </c>
      <c r="S4466" s="1" t="s">
        <v>126</v>
      </c>
      <c r="T4466" t="s">
        <v>421</v>
      </c>
      <c r="U4466" t="s">
        <v>421</v>
      </c>
      <c r="X4466" t="s">
        <v>161</v>
      </c>
      <c r="Y4466" t="s">
        <v>2272</v>
      </c>
      <c r="Z4466" t="s">
        <v>2272</v>
      </c>
      <c r="AA4466" t="s">
        <v>2272</v>
      </c>
      <c r="AB4466" t="s">
        <v>2272</v>
      </c>
      <c r="AC4466" t="s">
        <v>162</v>
      </c>
      <c r="AD4466" t="s">
        <v>2272</v>
      </c>
      <c r="AH4466" t="s">
        <v>49</v>
      </c>
      <c r="AL4466" t="s">
        <v>49</v>
      </c>
      <c r="AM4466" t="s">
        <v>2209</v>
      </c>
      <c r="AN4466" t="s">
        <v>166</v>
      </c>
      <c r="AQ4466" s="5">
        <v>1</v>
      </c>
    </row>
    <row r="4467" spans="1:45" x14ac:dyDescent="0.2">
      <c r="A4467" t="s">
        <v>2207</v>
      </c>
      <c r="B4467" t="s">
        <v>2208</v>
      </c>
      <c r="C4467">
        <v>2003</v>
      </c>
      <c r="D4467" t="s">
        <v>44</v>
      </c>
      <c r="F4467" t="s">
        <v>81</v>
      </c>
      <c r="G4467" t="s">
        <v>86</v>
      </c>
      <c r="H4467" t="s">
        <v>96</v>
      </c>
      <c r="I4467">
        <v>1997</v>
      </c>
      <c r="J4467">
        <v>0.33</v>
      </c>
      <c r="K4467" t="s">
        <v>109</v>
      </c>
      <c r="L4467">
        <v>2</v>
      </c>
      <c r="N4467" t="s">
        <v>126</v>
      </c>
      <c r="O4467" t="s">
        <v>126</v>
      </c>
      <c r="Q4467" s="1" t="s">
        <v>2281</v>
      </c>
      <c r="R4467" s="1" t="s">
        <v>2282</v>
      </c>
      <c r="S4467" s="1" t="s">
        <v>126</v>
      </c>
      <c r="T4467" t="s">
        <v>421</v>
      </c>
      <c r="U4467" t="s">
        <v>421</v>
      </c>
      <c r="X4467" t="s">
        <v>161</v>
      </c>
      <c r="Y4467" t="s">
        <v>2272</v>
      </c>
      <c r="Z4467" t="s">
        <v>2272</v>
      </c>
      <c r="AA4467" t="s">
        <v>2272</v>
      </c>
      <c r="AB4467" t="s">
        <v>2272</v>
      </c>
      <c r="AC4467" t="s">
        <v>162</v>
      </c>
      <c r="AD4467" t="s">
        <v>2272</v>
      </c>
      <c r="AH4467" t="s">
        <v>49</v>
      </c>
      <c r="AL4467" t="s">
        <v>49</v>
      </c>
      <c r="AM4467" t="s">
        <v>2209</v>
      </c>
      <c r="AN4467" t="s">
        <v>109</v>
      </c>
      <c r="AO4467" t="s">
        <v>293</v>
      </c>
      <c r="AQ4467" s="5">
        <v>1</v>
      </c>
    </row>
    <row r="4468" spans="1:45" x14ac:dyDescent="0.2">
      <c r="A4468" t="s">
        <v>2210</v>
      </c>
      <c r="B4468" t="s">
        <v>2211</v>
      </c>
      <c r="C4468">
        <v>2003</v>
      </c>
      <c r="D4468" t="s">
        <v>47</v>
      </c>
      <c r="Q4468" s="1" t="s">
        <v>2272</v>
      </c>
      <c r="R4468" s="1" t="s">
        <v>2272</v>
      </c>
      <c r="S4468" s="1" t="s">
        <v>2272</v>
      </c>
      <c r="Y4468" t="s">
        <v>2272</v>
      </c>
      <c r="Z4468" t="s">
        <v>2272</v>
      </c>
      <c r="AA4468" t="s">
        <v>2272</v>
      </c>
      <c r="AB4468" t="s">
        <v>2272</v>
      </c>
      <c r="AD4468" t="s">
        <v>2272</v>
      </c>
      <c r="AR4468" t="s">
        <v>144</v>
      </c>
      <c r="AS4468" t="s">
        <v>2587</v>
      </c>
    </row>
    <row r="4469" spans="1:45" x14ac:dyDescent="0.2">
      <c r="A4469" t="s">
        <v>2212</v>
      </c>
      <c r="B4469" t="s">
        <v>289</v>
      </c>
      <c r="C4469">
        <v>2003</v>
      </c>
      <c r="D4469" t="s">
        <v>811</v>
      </c>
      <c r="F4469" t="s">
        <v>83</v>
      </c>
      <c r="G4469" t="s">
        <v>85</v>
      </c>
      <c r="H4469" t="s">
        <v>96</v>
      </c>
      <c r="Q4469" s="1" t="s">
        <v>2272</v>
      </c>
      <c r="R4469" s="1" t="s">
        <v>2272</v>
      </c>
      <c r="S4469" s="1" t="s">
        <v>2272</v>
      </c>
      <c r="Y4469" t="s">
        <v>2272</v>
      </c>
      <c r="Z4469" t="s">
        <v>2272</v>
      </c>
      <c r="AA4469" t="s">
        <v>2272</v>
      </c>
      <c r="AB4469" t="s">
        <v>2272</v>
      </c>
      <c r="AD4469" t="s">
        <v>2272</v>
      </c>
      <c r="AR4469" t="s">
        <v>144</v>
      </c>
      <c r="AS4469" t="s">
        <v>1942</v>
      </c>
    </row>
    <row r="4470" spans="1:45" x14ac:dyDescent="0.2">
      <c r="A4470" t="s">
        <v>2213</v>
      </c>
      <c r="B4470" t="s">
        <v>1378</v>
      </c>
      <c r="C4470">
        <v>2002</v>
      </c>
      <c r="D4470" t="s">
        <v>811</v>
      </c>
      <c r="F4470" t="s">
        <v>53</v>
      </c>
      <c r="G4470" t="s">
        <v>86</v>
      </c>
      <c r="H4470" t="s">
        <v>350</v>
      </c>
      <c r="I4470" t="s">
        <v>2214</v>
      </c>
      <c r="J4470">
        <v>2.67</v>
      </c>
      <c r="K4470" t="s">
        <v>101</v>
      </c>
      <c r="M4470">
        <f>0.2*0.2</f>
        <v>4.0000000000000008E-2</v>
      </c>
      <c r="N4470" t="s">
        <v>120</v>
      </c>
      <c r="O4470" t="s">
        <v>120</v>
      </c>
      <c r="P4470" t="s">
        <v>2215</v>
      </c>
      <c r="Q4470" s="1" t="s">
        <v>2276</v>
      </c>
      <c r="R4470" s="1" t="s">
        <v>669</v>
      </c>
      <c r="S4470" s="1" t="s">
        <v>168</v>
      </c>
      <c r="T4470" t="s">
        <v>421</v>
      </c>
      <c r="U4470" t="s">
        <v>421</v>
      </c>
      <c r="X4470" t="s">
        <v>161</v>
      </c>
      <c r="Y4470" t="s">
        <v>2272</v>
      </c>
      <c r="Z4470" t="s">
        <v>2272</v>
      </c>
      <c r="AA4470" t="s">
        <v>2272</v>
      </c>
      <c r="AB4470" t="s">
        <v>2272</v>
      </c>
      <c r="AC4470" t="s">
        <v>162</v>
      </c>
      <c r="AD4470" t="s">
        <v>2272</v>
      </c>
      <c r="AF4470" t="s">
        <v>49</v>
      </c>
      <c r="AI4470" t="s">
        <v>49</v>
      </c>
      <c r="AM4470" t="s">
        <v>2216</v>
      </c>
      <c r="AN4470" t="s">
        <v>165</v>
      </c>
      <c r="AP4470" t="s">
        <v>49</v>
      </c>
    </row>
    <row r="4471" spans="1:45" x14ac:dyDescent="0.2">
      <c r="A4471" t="s">
        <v>2213</v>
      </c>
      <c r="B4471" t="s">
        <v>1378</v>
      </c>
      <c r="C4471">
        <v>2002</v>
      </c>
      <c r="D4471" t="s">
        <v>811</v>
      </c>
      <c r="F4471" t="s">
        <v>53</v>
      </c>
      <c r="G4471" t="s">
        <v>86</v>
      </c>
      <c r="H4471" t="s">
        <v>350</v>
      </c>
      <c r="I4471" t="s">
        <v>2214</v>
      </c>
      <c r="J4471">
        <v>2.67</v>
      </c>
      <c r="K4471" t="s">
        <v>101</v>
      </c>
      <c r="M4471">
        <f>0.2*0.2</f>
        <v>4.0000000000000008E-2</v>
      </c>
      <c r="N4471" t="s">
        <v>120</v>
      </c>
      <c r="O4471" t="s">
        <v>120</v>
      </c>
      <c r="P4471" t="s">
        <v>2215</v>
      </c>
      <c r="Q4471" s="1" t="s">
        <v>2276</v>
      </c>
      <c r="R4471" s="1" t="s">
        <v>669</v>
      </c>
      <c r="S4471" s="1" t="s">
        <v>168</v>
      </c>
      <c r="T4471" t="s">
        <v>421</v>
      </c>
      <c r="U4471" t="s">
        <v>421</v>
      </c>
      <c r="X4471" t="s">
        <v>161</v>
      </c>
      <c r="Y4471" t="s">
        <v>2272</v>
      </c>
      <c r="Z4471" t="s">
        <v>2272</v>
      </c>
      <c r="AA4471" t="s">
        <v>2272</v>
      </c>
      <c r="AB4471" t="s">
        <v>2272</v>
      </c>
      <c r="AC4471" t="s">
        <v>162</v>
      </c>
      <c r="AD4471" t="s">
        <v>2272</v>
      </c>
      <c r="AF4471" t="s">
        <v>49</v>
      </c>
      <c r="AK4471" t="s">
        <v>49</v>
      </c>
      <c r="AM4471" t="s">
        <v>695</v>
      </c>
      <c r="AN4471" t="s">
        <v>166</v>
      </c>
      <c r="AQ4471" s="5">
        <v>0</v>
      </c>
    </row>
    <row r="4472" spans="1:45" x14ac:dyDescent="0.2">
      <c r="A4472" t="s">
        <v>2213</v>
      </c>
      <c r="B4472" t="s">
        <v>1378</v>
      </c>
      <c r="C4472">
        <v>2002</v>
      </c>
      <c r="D4472" t="s">
        <v>811</v>
      </c>
      <c r="F4472" t="s">
        <v>53</v>
      </c>
      <c r="G4472" t="s">
        <v>86</v>
      </c>
      <c r="H4472" t="s">
        <v>350</v>
      </c>
      <c r="I4472" t="s">
        <v>2214</v>
      </c>
      <c r="J4472">
        <v>2.67</v>
      </c>
      <c r="K4472" t="s">
        <v>101</v>
      </c>
      <c r="M4472">
        <f>0.2*0.2</f>
        <v>4.0000000000000008E-2</v>
      </c>
      <c r="N4472" t="s">
        <v>120</v>
      </c>
      <c r="O4472" t="s">
        <v>120</v>
      </c>
      <c r="P4472" t="s">
        <v>2215</v>
      </c>
      <c r="Q4472" s="1" t="s">
        <v>2276</v>
      </c>
      <c r="R4472" s="1" t="s">
        <v>669</v>
      </c>
      <c r="S4472" s="1" t="s">
        <v>168</v>
      </c>
      <c r="T4472" t="s">
        <v>421</v>
      </c>
      <c r="U4472" t="s">
        <v>421</v>
      </c>
      <c r="X4472" t="s">
        <v>161</v>
      </c>
      <c r="Y4472" t="s">
        <v>2272</v>
      </c>
      <c r="Z4472" t="s">
        <v>2272</v>
      </c>
      <c r="AA4472" t="s">
        <v>2272</v>
      </c>
      <c r="AB4472" t="s">
        <v>2272</v>
      </c>
      <c r="AC4472" t="s">
        <v>162</v>
      </c>
      <c r="AD4472" t="s">
        <v>2272</v>
      </c>
      <c r="AF4472" t="s">
        <v>49</v>
      </c>
      <c r="AL4472" t="s">
        <v>49</v>
      </c>
      <c r="AM4472" t="s">
        <v>2217</v>
      </c>
      <c r="AN4472" t="s">
        <v>166</v>
      </c>
      <c r="AQ4472" s="5">
        <v>1</v>
      </c>
    </row>
    <row r="4473" spans="1:45" x14ac:dyDescent="0.2">
      <c r="A4473" t="s">
        <v>2218</v>
      </c>
      <c r="B4473" t="s">
        <v>2219</v>
      </c>
      <c r="C4473">
        <v>2001</v>
      </c>
      <c r="D4473" t="s">
        <v>44</v>
      </c>
      <c r="F4473" t="s">
        <v>1864</v>
      </c>
      <c r="G4473" t="s">
        <v>86</v>
      </c>
      <c r="H4473" t="s">
        <v>96</v>
      </c>
      <c r="I4473" t="s">
        <v>2220</v>
      </c>
      <c r="J4473">
        <v>6</v>
      </c>
      <c r="K4473" t="s">
        <v>42</v>
      </c>
      <c r="M4473">
        <v>3.2000000000000002E-3</v>
      </c>
      <c r="N4473" t="s">
        <v>127</v>
      </c>
      <c r="O4473" t="s">
        <v>2221</v>
      </c>
      <c r="P4473" t="s">
        <v>1514</v>
      </c>
      <c r="Q4473" s="1" t="s">
        <v>2281</v>
      </c>
      <c r="R4473" s="1" t="s">
        <v>2301</v>
      </c>
      <c r="S4473" s="1" t="s">
        <v>2303</v>
      </c>
      <c r="X4473" t="s">
        <v>189</v>
      </c>
      <c r="Y4473" t="s">
        <v>2279</v>
      </c>
      <c r="Z4473" t="s">
        <v>2280</v>
      </c>
      <c r="AA4473" t="s">
        <v>2358</v>
      </c>
      <c r="AB4473" t="s">
        <v>189</v>
      </c>
      <c r="AC4473" t="s">
        <v>152</v>
      </c>
      <c r="AD4473" t="s">
        <v>2278</v>
      </c>
      <c r="AF4473" t="s">
        <v>49</v>
      </c>
      <c r="AG4473" t="s">
        <v>49</v>
      </c>
      <c r="AI4473" t="s">
        <v>49</v>
      </c>
      <c r="AM4473" t="s">
        <v>2453</v>
      </c>
      <c r="AN4473" t="s">
        <v>154</v>
      </c>
      <c r="AP4473" t="s">
        <v>51</v>
      </c>
    </row>
    <row r="4474" spans="1:45" x14ac:dyDescent="0.2">
      <c r="A4474" t="s">
        <v>2218</v>
      </c>
      <c r="B4474" t="s">
        <v>2219</v>
      </c>
      <c r="C4474">
        <v>2001</v>
      </c>
      <c r="D4474" t="s">
        <v>44</v>
      </c>
      <c r="F4474" t="s">
        <v>1864</v>
      </c>
      <c r="G4474" t="s">
        <v>86</v>
      </c>
      <c r="H4474" t="s">
        <v>96</v>
      </c>
      <c r="I4474" t="s">
        <v>2220</v>
      </c>
      <c r="J4474">
        <v>6</v>
      </c>
      <c r="K4474" t="s">
        <v>42</v>
      </c>
      <c r="M4474">
        <v>3.2000000000000002E-3</v>
      </c>
      <c r="N4474" t="s">
        <v>127</v>
      </c>
      <c r="O4474" t="s">
        <v>2221</v>
      </c>
      <c r="P4474" t="s">
        <v>1514</v>
      </c>
      <c r="Q4474" s="1" t="s">
        <v>2281</v>
      </c>
      <c r="R4474" s="1" t="s">
        <v>2301</v>
      </c>
      <c r="S4474" s="1" t="s">
        <v>2303</v>
      </c>
      <c r="X4474" t="s">
        <v>189</v>
      </c>
      <c r="Y4474" t="s">
        <v>2279</v>
      </c>
      <c r="Z4474" t="s">
        <v>2280</v>
      </c>
      <c r="AA4474" t="s">
        <v>2358</v>
      </c>
      <c r="AB4474" t="s">
        <v>189</v>
      </c>
      <c r="AC4474" t="s">
        <v>152</v>
      </c>
      <c r="AD4474" t="s">
        <v>2278</v>
      </c>
      <c r="AF4474" t="s">
        <v>49</v>
      </c>
      <c r="AG4474" t="s">
        <v>49</v>
      </c>
      <c r="AI4474" t="s">
        <v>49</v>
      </c>
      <c r="AM4474" t="s">
        <v>2453</v>
      </c>
      <c r="AN4474" t="s">
        <v>166</v>
      </c>
      <c r="AP4474" t="s">
        <v>51</v>
      </c>
    </row>
    <row r="4475" spans="1:45" x14ac:dyDescent="0.2">
      <c r="A4475" t="s">
        <v>2218</v>
      </c>
      <c r="B4475" t="s">
        <v>2219</v>
      </c>
      <c r="C4475">
        <v>2001</v>
      </c>
      <c r="D4475" t="s">
        <v>44</v>
      </c>
      <c r="F4475" t="s">
        <v>1864</v>
      </c>
      <c r="G4475" t="s">
        <v>86</v>
      </c>
      <c r="H4475" t="s">
        <v>96</v>
      </c>
      <c r="I4475" t="s">
        <v>2220</v>
      </c>
      <c r="J4475">
        <v>6</v>
      </c>
      <c r="K4475" t="s">
        <v>42</v>
      </c>
      <c r="M4475">
        <v>3.2000000000000002E-3</v>
      </c>
      <c r="N4475" t="s">
        <v>127</v>
      </c>
      <c r="O4475" t="s">
        <v>2221</v>
      </c>
      <c r="P4475" t="s">
        <v>1514</v>
      </c>
      <c r="Q4475" s="1" t="s">
        <v>2281</v>
      </c>
      <c r="R4475" s="1" t="s">
        <v>2301</v>
      </c>
      <c r="S4475" s="1" t="s">
        <v>2303</v>
      </c>
      <c r="T4475" t="s">
        <v>421</v>
      </c>
      <c r="U4475" t="s">
        <v>421</v>
      </c>
      <c r="X4475" t="s">
        <v>161</v>
      </c>
      <c r="Y4475" t="s">
        <v>2272</v>
      </c>
      <c r="Z4475" t="s">
        <v>2272</v>
      </c>
      <c r="AA4475" t="s">
        <v>2272</v>
      </c>
      <c r="AB4475" t="s">
        <v>2272</v>
      </c>
      <c r="AC4475" t="s">
        <v>162</v>
      </c>
      <c r="AD4475" t="s">
        <v>2272</v>
      </c>
      <c r="AF4475" t="s">
        <v>49</v>
      </c>
      <c r="AL4475" t="s">
        <v>49</v>
      </c>
      <c r="AM4475" t="s">
        <v>518</v>
      </c>
      <c r="AN4475" t="s">
        <v>166</v>
      </c>
      <c r="AQ4475" s="5">
        <v>1</v>
      </c>
    </row>
    <row r="4476" spans="1:45" x14ac:dyDescent="0.2">
      <c r="A4476" t="s">
        <v>2218</v>
      </c>
      <c r="B4476" t="s">
        <v>2219</v>
      </c>
      <c r="C4476">
        <v>2001</v>
      </c>
      <c r="D4476" t="s">
        <v>44</v>
      </c>
      <c r="F4476" t="s">
        <v>1864</v>
      </c>
      <c r="G4476" t="s">
        <v>86</v>
      </c>
      <c r="H4476" t="s">
        <v>96</v>
      </c>
      <c r="I4476" t="s">
        <v>2220</v>
      </c>
      <c r="J4476">
        <v>6</v>
      </c>
      <c r="K4476" t="s">
        <v>42</v>
      </c>
      <c r="M4476">
        <v>3.2000000000000002E-3</v>
      </c>
      <c r="N4476" t="s">
        <v>127</v>
      </c>
      <c r="O4476" t="s">
        <v>2221</v>
      </c>
      <c r="P4476" t="s">
        <v>1514</v>
      </c>
      <c r="Q4476" s="1" t="s">
        <v>2281</v>
      </c>
      <c r="R4476" s="1" t="s">
        <v>2301</v>
      </c>
      <c r="S4476" s="1" t="s">
        <v>2303</v>
      </c>
      <c r="T4476" t="s">
        <v>421</v>
      </c>
      <c r="U4476" t="s">
        <v>421</v>
      </c>
      <c r="X4476" t="s">
        <v>161</v>
      </c>
      <c r="Y4476" t="s">
        <v>2272</v>
      </c>
      <c r="Z4476" t="s">
        <v>2272</v>
      </c>
      <c r="AA4476" t="s">
        <v>2272</v>
      </c>
      <c r="AB4476" t="s">
        <v>2272</v>
      </c>
      <c r="AC4476" t="s">
        <v>162</v>
      </c>
      <c r="AD4476" t="s">
        <v>2272</v>
      </c>
      <c r="AG4476" t="s">
        <v>49</v>
      </c>
      <c r="AL4476" t="s">
        <v>49</v>
      </c>
      <c r="AM4476" t="s">
        <v>2222</v>
      </c>
      <c r="AN4476" t="s">
        <v>166</v>
      </c>
      <c r="AQ4476" s="5">
        <v>1</v>
      </c>
    </row>
    <row r="4477" spans="1:45" x14ac:dyDescent="0.2">
      <c r="A4477" t="s">
        <v>2218</v>
      </c>
      <c r="B4477" t="s">
        <v>2219</v>
      </c>
      <c r="C4477">
        <v>2001</v>
      </c>
      <c r="D4477" t="s">
        <v>44</v>
      </c>
      <c r="F4477" t="s">
        <v>1864</v>
      </c>
      <c r="G4477" t="s">
        <v>86</v>
      </c>
      <c r="H4477" t="s">
        <v>96</v>
      </c>
      <c r="I4477" t="s">
        <v>2220</v>
      </c>
      <c r="J4477">
        <v>6</v>
      </c>
      <c r="K4477" t="s">
        <v>42</v>
      </c>
      <c r="M4477">
        <v>3.2000000000000002E-3</v>
      </c>
      <c r="N4477" t="s">
        <v>127</v>
      </c>
      <c r="O4477" t="s">
        <v>2221</v>
      </c>
      <c r="P4477" t="s">
        <v>1514</v>
      </c>
      <c r="Q4477" s="1" t="s">
        <v>2281</v>
      </c>
      <c r="R4477" s="1" t="s">
        <v>2301</v>
      </c>
      <c r="S4477" s="1" t="s">
        <v>2303</v>
      </c>
      <c r="T4477" t="s">
        <v>421</v>
      </c>
      <c r="U4477" t="s">
        <v>421</v>
      </c>
      <c r="X4477" t="s">
        <v>161</v>
      </c>
      <c r="Y4477" t="s">
        <v>2272</v>
      </c>
      <c r="Z4477" t="s">
        <v>2272</v>
      </c>
      <c r="AA4477" t="s">
        <v>2272</v>
      </c>
      <c r="AB4477" t="s">
        <v>2272</v>
      </c>
      <c r="AC4477" t="s">
        <v>162</v>
      </c>
      <c r="AD4477" t="s">
        <v>2272</v>
      </c>
      <c r="AG4477" t="s">
        <v>49</v>
      </c>
      <c r="AL4477" t="s">
        <v>49</v>
      </c>
      <c r="AM4477" t="s">
        <v>2223</v>
      </c>
      <c r="AN4477" t="s">
        <v>166</v>
      </c>
      <c r="AQ4477" s="5">
        <v>1</v>
      </c>
    </row>
    <row r="4478" spans="1:45" x14ac:dyDescent="0.2">
      <c r="A4478" t="s">
        <v>2218</v>
      </c>
      <c r="B4478" t="s">
        <v>2219</v>
      </c>
      <c r="C4478">
        <v>2001</v>
      </c>
      <c r="D4478" t="s">
        <v>44</v>
      </c>
      <c r="F4478" t="s">
        <v>1864</v>
      </c>
      <c r="G4478" t="s">
        <v>86</v>
      </c>
      <c r="H4478" t="s">
        <v>96</v>
      </c>
      <c r="I4478" t="s">
        <v>2220</v>
      </c>
      <c r="J4478">
        <v>6</v>
      </c>
      <c r="K4478" t="s">
        <v>42</v>
      </c>
      <c r="M4478">
        <v>3.2000000000000002E-3</v>
      </c>
      <c r="N4478" t="s">
        <v>127</v>
      </c>
      <c r="O4478" t="s">
        <v>2221</v>
      </c>
      <c r="P4478" t="s">
        <v>1514</v>
      </c>
      <c r="Q4478" s="1" t="s">
        <v>2281</v>
      </c>
      <c r="R4478" s="1" t="s">
        <v>2301</v>
      </c>
      <c r="S4478" s="1" t="s">
        <v>2303</v>
      </c>
      <c r="T4478" t="s">
        <v>421</v>
      </c>
      <c r="U4478" t="s">
        <v>421</v>
      </c>
      <c r="X4478" t="s">
        <v>161</v>
      </c>
      <c r="Y4478" t="s">
        <v>2272</v>
      </c>
      <c r="Z4478" t="s">
        <v>2272</v>
      </c>
      <c r="AA4478" t="s">
        <v>2272</v>
      </c>
      <c r="AB4478" t="s">
        <v>2272</v>
      </c>
      <c r="AC4478" t="s">
        <v>162</v>
      </c>
      <c r="AD4478" t="s">
        <v>2272</v>
      </c>
      <c r="AG4478" t="s">
        <v>49</v>
      </c>
      <c r="AL4478" t="s">
        <v>49</v>
      </c>
      <c r="AM4478" t="s">
        <v>2224</v>
      </c>
      <c r="AN4478" t="s">
        <v>166</v>
      </c>
      <c r="AQ4478" s="5">
        <v>1</v>
      </c>
    </row>
    <row r="4479" spans="1:45" x14ac:dyDescent="0.2">
      <c r="A4479" t="s">
        <v>2218</v>
      </c>
      <c r="B4479" t="s">
        <v>2219</v>
      </c>
      <c r="C4479">
        <v>2001</v>
      </c>
      <c r="D4479" t="s">
        <v>44</v>
      </c>
      <c r="F4479" t="s">
        <v>1864</v>
      </c>
      <c r="G4479" t="s">
        <v>86</v>
      </c>
      <c r="H4479" t="s">
        <v>96</v>
      </c>
      <c r="I4479" t="s">
        <v>2220</v>
      </c>
      <c r="J4479">
        <v>6</v>
      </c>
      <c r="K4479" t="s">
        <v>42</v>
      </c>
      <c r="M4479">
        <v>3.2000000000000002E-3</v>
      </c>
      <c r="N4479" t="s">
        <v>127</v>
      </c>
      <c r="O4479" t="s">
        <v>2221</v>
      </c>
      <c r="P4479" t="s">
        <v>1514</v>
      </c>
      <c r="Q4479" s="1" t="s">
        <v>2281</v>
      </c>
      <c r="R4479" s="1" t="s">
        <v>2301</v>
      </c>
      <c r="S4479" s="1" t="s">
        <v>2303</v>
      </c>
      <c r="T4479" t="s">
        <v>421</v>
      </c>
      <c r="U4479" t="s">
        <v>421</v>
      </c>
      <c r="X4479" t="s">
        <v>161</v>
      </c>
      <c r="Y4479" t="s">
        <v>2272</v>
      </c>
      <c r="Z4479" t="s">
        <v>2272</v>
      </c>
      <c r="AA4479" t="s">
        <v>2272</v>
      </c>
      <c r="AB4479" t="s">
        <v>2272</v>
      </c>
      <c r="AC4479" t="s">
        <v>162</v>
      </c>
      <c r="AD4479" t="s">
        <v>2272</v>
      </c>
      <c r="AG4479" t="s">
        <v>49</v>
      </c>
      <c r="AL4479" t="s">
        <v>49</v>
      </c>
      <c r="AM4479" t="s">
        <v>2225</v>
      </c>
      <c r="AN4479" t="s">
        <v>166</v>
      </c>
      <c r="AQ4479" s="5">
        <v>0</v>
      </c>
    </row>
    <row r="4480" spans="1:45" x14ac:dyDescent="0.2">
      <c r="A4480" t="s">
        <v>2218</v>
      </c>
      <c r="B4480" t="s">
        <v>2219</v>
      </c>
      <c r="C4480">
        <v>2001</v>
      </c>
      <c r="D4480" t="s">
        <v>44</v>
      </c>
      <c r="F4480" t="s">
        <v>1864</v>
      </c>
      <c r="G4480" t="s">
        <v>86</v>
      </c>
      <c r="H4480" t="s">
        <v>96</v>
      </c>
      <c r="I4480" t="s">
        <v>2220</v>
      </c>
      <c r="J4480">
        <v>6</v>
      </c>
      <c r="K4480" t="s">
        <v>42</v>
      </c>
      <c r="M4480">
        <v>3.2000000000000002E-3</v>
      </c>
      <c r="N4480" t="s">
        <v>127</v>
      </c>
      <c r="O4480" t="s">
        <v>2221</v>
      </c>
      <c r="P4480" t="s">
        <v>1514</v>
      </c>
      <c r="Q4480" s="1" t="s">
        <v>2281</v>
      </c>
      <c r="R4480" s="1" t="s">
        <v>2301</v>
      </c>
      <c r="S4480" s="1" t="s">
        <v>2303</v>
      </c>
      <c r="T4480" t="s">
        <v>421</v>
      </c>
      <c r="U4480" t="s">
        <v>421</v>
      </c>
      <c r="X4480" t="s">
        <v>161</v>
      </c>
      <c r="Y4480" t="s">
        <v>2272</v>
      </c>
      <c r="Z4480" t="s">
        <v>2272</v>
      </c>
      <c r="AA4480" t="s">
        <v>2272</v>
      </c>
      <c r="AB4480" t="s">
        <v>2272</v>
      </c>
      <c r="AC4480" t="s">
        <v>162</v>
      </c>
      <c r="AD4480" t="s">
        <v>2272</v>
      </c>
      <c r="AG4480" t="s">
        <v>49</v>
      </c>
      <c r="AL4480" t="s">
        <v>49</v>
      </c>
      <c r="AM4480" t="s">
        <v>1094</v>
      </c>
      <c r="AN4480" t="s">
        <v>166</v>
      </c>
      <c r="AQ4480" s="5">
        <v>0</v>
      </c>
    </row>
    <row r="4481" spans="1:43" x14ac:dyDescent="0.2">
      <c r="A4481" t="s">
        <v>2218</v>
      </c>
      <c r="B4481" t="s">
        <v>2219</v>
      </c>
      <c r="C4481">
        <v>2001</v>
      </c>
      <c r="D4481" t="s">
        <v>44</v>
      </c>
      <c r="F4481" t="s">
        <v>1864</v>
      </c>
      <c r="G4481" t="s">
        <v>86</v>
      </c>
      <c r="H4481" t="s">
        <v>96</v>
      </c>
      <c r="I4481" t="s">
        <v>2220</v>
      </c>
      <c r="J4481">
        <v>6</v>
      </c>
      <c r="K4481" t="s">
        <v>42</v>
      </c>
      <c r="M4481">
        <v>3.2000000000000002E-3</v>
      </c>
      <c r="N4481" t="s">
        <v>127</v>
      </c>
      <c r="O4481" t="s">
        <v>2221</v>
      </c>
      <c r="P4481" t="s">
        <v>1514</v>
      </c>
      <c r="Q4481" s="1" t="s">
        <v>2281</v>
      </c>
      <c r="R4481" s="1" t="s">
        <v>2301</v>
      </c>
      <c r="S4481" s="1" t="s">
        <v>2303</v>
      </c>
      <c r="T4481" t="s">
        <v>421</v>
      </c>
      <c r="U4481" t="s">
        <v>421</v>
      </c>
      <c r="X4481" t="s">
        <v>161</v>
      </c>
      <c r="Y4481" t="s">
        <v>2272</v>
      </c>
      <c r="Z4481" t="s">
        <v>2272</v>
      </c>
      <c r="AA4481" t="s">
        <v>2272</v>
      </c>
      <c r="AB4481" t="s">
        <v>2272</v>
      </c>
      <c r="AC4481" t="s">
        <v>162</v>
      </c>
      <c r="AD4481" t="s">
        <v>2272</v>
      </c>
      <c r="AG4481" t="s">
        <v>49</v>
      </c>
      <c r="AL4481" t="s">
        <v>49</v>
      </c>
      <c r="AM4481" t="s">
        <v>2226</v>
      </c>
      <c r="AN4481" t="s">
        <v>166</v>
      </c>
      <c r="AQ4481" s="5">
        <v>0</v>
      </c>
    </row>
    <row r="4482" spans="1:43" x14ac:dyDescent="0.2">
      <c r="A4482" t="s">
        <v>2218</v>
      </c>
      <c r="B4482" t="s">
        <v>2219</v>
      </c>
      <c r="C4482">
        <v>2001</v>
      </c>
      <c r="D4482" t="s">
        <v>44</v>
      </c>
      <c r="F4482" t="s">
        <v>1864</v>
      </c>
      <c r="G4482" t="s">
        <v>86</v>
      </c>
      <c r="H4482" t="s">
        <v>96</v>
      </c>
      <c r="I4482" t="s">
        <v>2220</v>
      </c>
      <c r="J4482">
        <v>6</v>
      </c>
      <c r="K4482" t="s">
        <v>42</v>
      </c>
      <c r="M4482">
        <v>3.2000000000000002E-3</v>
      </c>
      <c r="N4482" t="s">
        <v>127</v>
      </c>
      <c r="O4482" t="s">
        <v>2221</v>
      </c>
      <c r="P4482" t="s">
        <v>1514</v>
      </c>
      <c r="Q4482" s="1" t="s">
        <v>2281</v>
      </c>
      <c r="R4482" s="1" t="s">
        <v>2301</v>
      </c>
      <c r="S4482" s="1" t="s">
        <v>2303</v>
      </c>
      <c r="T4482" t="s">
        <v>421</v>
      </c>
      <c r="U4482" t="s">
        <v>421</v>
      </c>
      <c r="X4482" t="s">
        <v>161</v>
      </c>
      <c r="Y4482" t="s">
        <v>2272</v>
      </c>
      <c r="Z4482" t="s">
        <v>2272</v>
      </c>
      <c r="AA4482" t="s">
        <v>2272</v>
      </c>
      <c r="AB4482" t="s">
        <v>2272</v>
      </c>
      <c r="AC4482" t="s">
        <v>162</v>
      </c>
      <c r="AD4482" t="s">
        <v>2272</v>
      </c>
      <c r="AG4482" t="s">
        <v>49</v>
      </c>
      <c r="AI4482" t="s">
        <v>49</v>
      </c>
      <c r="AM4482" t="s">
        <v>442</v>
      </c>
      <c r="AN4482" t="s">
        <v>154</v>
      </c>
      <c r="AQ4482" s="5">
        <v>1</v>
      </c>
    </row>
    <row r="4483" spans="1:43" x14ac:dyDescent="0.2">
      <c r="A4483" t="s">
        <v>2218</v>
      </c>
      <c r="B4483" t="s">
        <v>2219</v>
      </c>
      <c r="C4483">
        <v>2001</v>
      </c>
      <c r="D4483" t="s">
        <v>44</v>
      </c>
      <c r="F4483" t="s">
        <v>1864</v>
      </c>
      <c r="G4483" t="s">
        <v>86</v>
      </c>
      <c r="H4483" t="s">
        <v>96</v>
      </c>
      <c r="I4483" t="s">
        <v>2220</v>
      </c>
      <c r="J4483">
        <v>6</v>
      </c>
      <c r="K4483" t="s">
        <v>42</v>
      </c>
      <c r="M4483">
        <v>3.2000000000000002E-3</v>
      </c>
      <c r="N4483" t="s">
        <v>127</v>
      </c>
      <c r="O4483" t="s">
        <v>2221</v>
      </c>
      <c r="P4483" t="s">
        <v>1514</v>
      </c>
      <c r="Q4483" s="1" t="s">
        <v>2281</v>
      </c>
      <c r="R4483" s="1" t="s">
        <v>2301</v>
      </c>
      <c r="S4483" s="1" t="s">
        <v>2303</v>
      </c>
      <c r="T4483" t="s">
        <v>421</v>
      </c>
      <c r="U4483" t="s">
        <v>421</v>
      </c>
      <c r="X4483" t="s">
        <v>161</v>
      </c>
      <c r="Y4483" t="s">
        <v>2272</v>
      </c>
      <c r="Z4483" t="s">
        <v>2272</v>
      </c>
      <c r="AA4483" t="s">
        <v>2272</v>
      </c>
      <c r="AB4483" t="s">
        <v>2272</v>
      </c>
      <c r="AC4483" t="s">
        <v>162</v>
      </c>
      <c r="AD4483" t="s">
        <v>2272</v>
      </c>
      <c r="AG4483" t="s">
        <v>49</v>
      </c>
      <c r="AI4483" t="s">
        <v>49</v>
      </c>
      <c r="AM4483" t="s">
        <v>442</v>
      </c>
      <c r="AN4483" t="s">
        <v>166</v>
      </c>
      <c r="AQ4483" s="5">
        <v>1</v>
      </c>
    </row>
    <row r="4484" spans="1:43" x14ac:dyDescent="0.2">
      <c r="A4484" t="s">
        <v>2218</v>
      </c>
      <c r="B4484" t="s">
        <v>2219</v>
      </c>
      <c r="C4484">
        <v>2001</v>
      </c>
      <c r="D4484" t="s">
        <v>44</v>
      </c>
      <c r="F4484" t="s">
        <v>1864</v>
      </c>
      <c r="G4484" t="s">
        <v>86</v>
      </c>
      <c r="H4484" t="s">
        <v>96</v>
      </c>
      <c r="I4484" t="s">
        <v>2220</v>
      </c>
      <c r="J4484">
        <v>6</v>
      </c>
      <c r="K4484" t="s">
        <v>42</v>
      </c>
      <c r="M4484">
        <v>3.2000000000000002E-3</v>
      </c>
      <c r="N4484" t="s">
        <v>127</v>
      </c>
      <c r="O4484" t="s">
        <v>2221</v>
      </c>
      <c r="P4484" t="s">
        <v>1514</v>
      </c>
      <c r="Q4484" s="1" t="s">
        <v>2281</v>
      </c>
      <c r="R4484" s="1" t="s">
        <v>2301</v>
      </c>
      <c r="S4484" s="1" t="s">
        <v>2303</v>
      </c>
      <c r="T4484" t="s">
        <v>421</v>
      </c>
      <c r="U4484" t="s">
        <v>421</v>
      </c>
      <c r="X4484" t="s">
        <v>161</v>
      </c>
      <c r="Y4484" t="s">
        <v>2272</v>
      </c>
      <c r="Z4484" t="s">
        <v>2272</v>
      </c>
      <c r="AA4484" t="s">
        <v>2272</v>
      </c>
      <c r="AB4484" t="s">
        <v>2272</v>
      </c>
      <c r="AC4484" t="s">
        <v>162</v>
      </c>
      <c r="AD4484" t="s">
        <v>2272</v>
      </c>
      <c r="AG4484" t="s">
        <v>49</v>
      </c>
      <c r="AI4484" t="s">
        <v>49</v>
      </c>
      <c r="AM4484" t="s">
        <v>442</v>
      </c>
      <c r="AN4484" t="s">
        <v>165</v>
      </c>
      <c r="AP4484" t="s">
        <v>49</v>
      </c>
    </row>
    <row r="4485" spans="1:43" x14ac:dyDescent="0.2">
      <c r="A4485" t="s">
        <v>2227</v>
      </c>
      <c r="B4485" t="s">
        <v>2228</v>
      </c>
      <c r="C4485">
        <v>2001</v>
      </c>
      <c r="D4485" t="s">
        <v>44</v>
      </c>
      <c r="F4485" t="s">
        <v>83</v>
      </c>
      <c r="G4485" t="s">
        <v>87</v>
      </c>
      <c r="H4485" t="s">
        <v>350</v>
      </c>
      <c r="I4485" t="s">
        <v>2229</v>
      </c>
      <c r="J4485">
        <v>1.08</v>
      </c>
      <c r="K4485" t="s">
        <v>101</v>
      </c>
      <c r="L4485">
        <v>1.2</v>
      </c>
      <c r="N4485" t="s">
        <v>122</v>
      </c>
      <c r="O4485" t="s">
        <v>247</v>
      </c>
      <c r="Q4485" s="1" t="s">
        <v>2281</v>
      </c>
      <c r="R4485" s="1" t="s">
        <v>122</v>
      </c>
      <c r="S4485" s="1" t="s">
        <v>2293</v>
      </c>
      <c r="T4485" t="s">
        <v>396</v>
      </c>
      <c r="U4485" s="1" t="s">
        <v>2336</v>
      </c>
      <c r="X4485" t="s">
        <v>161</v>
      </c>
      <c r="Y4485" t="s">
        <v>2272</v>
      </c>
      <c r="Z4485" t="s">
        <v>2272</v>
      </c>
      <c r="AA4485" t="s">
        <v>2272</v>
      </c>
      <c r="AB4485" t="s">
        <v>2272</v>
      </c>
      <c r="AC4485" t="s">
        <v>162</v>
      </c>
      <c r="AD4485" t="s">
        <v>2272</v>
      </c>
      <c r="AH4485" s="4" t="s">
        <v>49</v>
      </c>
      <c r="AI4485" t="s">
        <v>49</v>
      </c>
      <c r="AM4485" t="s">
        <v>233</v>
      </c>
      <c r="AN4485" t="s">
        <v>165</v>
      </c>
    </row>
    <row r="4486" spans="1:43" x14ac:dyDescent="0.2">
      <c r="A4486" t="s">
        <v>2227</v>
      </c>
      <c r="B4486" t="s">
        <v>2228</v>
      </c>
      <c r="C4486">
        <v>2001</v>
      </c>
      <c r="D4486" t="s">
        <v>44</v>
      </c>
      <c r="F4486" t="s">
        <v>83</v>
      </c>
      <c r="G4486" t="s">
        <v>87</v>
      </c>
      <c r="H4486" t="s">
        <v>350</v>
      </c>
      <c r="I4486" t="s">
        <v>2229</v>
      </c>
      <c r="J4486">
        <v>1.08</v>
      </c>
      <c r="K4486" t="s">
        <v>101</v>
      </c>
      <c r="L4486">
        <v>1.2</v>
      </c>
      <c r="N4486" t="s">
        <v>122</v>
      </c>
      <c r="O4486" t="s">
        <v>2153</v>
      </c>
      <c r="Q4486" s="1" t="s">
        <v>2281</v>
      </c>
      <c r="R4486" s="1" t="s">
        <v>122</v>
      </c>
      <c r="S4486" s="1" t="s">
        <v>2294</v>
      </c>
      <c r="T4486" t="s">
        <v>396</v>
      </c>
      <c r="U4486" s="1" t="s">
        <v>2337</v>
      </c>
      <c r="X4486" t="s">
        <v>161</v>
      </c>
      <c r="Y4486" t="s">
        <v>2272</v>
      </c>
      <c r="Z4486" t="s">
        <v>2272</v>
      </c>
      <c r="AA4486" t="s">
        <v>2272</v>
      </c>
      <c r="AB4486" t="s">
        <v>2272</v>
      </c>
      <c r="AC4486" t="s">
        <v>162</v>
      </c>
      <c r="AD4486" t="s">
        <v>2272</v>
      </c>
      <c r="AH4486" s="4" t="s">
        <v>49</v>
      </c>
      <c r="AI4486" t="s">
        <v>49</v>
      </c>
      <c r="AM4486" t="s">
        <v>233</v>
      </c>
      <c r="AN4486" t="s">
        <v>165</v>
      </c>
    </row>
    <row r="4487" spans="1:43" x14ac:dyDescent="0.2">
      <c r="A4487" t="s">
        <v>2227</v>
      </c>
      <c r="B4487" t="s">
        <v>2228</v>
      </c>
      <c r="C4487">
        <v>2001</v>
      </c>
      <c r="D4487" t="s">
        <v>44</v>
      </c>
      <c r="F4487" t="s">
        <v>83</v>
      </c>
      <c r="G4487" t="s">
        <v>87</v>
      </c>
      <c r="H4487" t="s">
        <v>350</v>
      </c>
      <c r="I4487" t="s">
        <v>2229</v>
      </c>
      <c r="J4487">
        <v>1.08</v>
      </c>
      <c r="K4487" t="s">
        <v>101</v>
      </c>
      <c r="L4487">
        <v>1.2</v>
      </c>
      <c r="N4487" t="s">
        <v>122</v>
      </c>
      <c r="O4487" t="s">
        <v>561</v>
      </c>
      <c r="Q4487" s="1" t="s">
        <v>2281</v>
      </c>
      <c r="R4487" s="1" t="s">
        <v>122</v>
      </c>
      <c r="S4487" s="1" t="s">
        <v>2294</v>
      </c>
      <c r="T4487" t="s">
        <v>396</v>
      </c>
      <c r="U4487" s="1" t="s">
        <v>2424</v>
      </c>
      <c r="X4487" t="s">
        <v>161</v>
      </c>
      <c r="Y4487" t="s">
        <v>2272</v>
      </c>
      <c r="Z4487" t="s">
        <v>2272</v>
      </c>
      <c r="AA4487" t="s">
        <v>2272</v>
      </c>
      <c r="AB4487" t="s">
        <v>2272</v>
      </c>
      <c r="AC4487" t="s">
        <v>162</v>
      </c>
      <c r="AD4487" t="s">
        <v>2272</v>
      </c>
      <c r="AH4487" s="4" t="s">
        <v>49</v>
      </c>
      <c r="AI4487" t="s">
        <v>49</v>
      </c>
      <c r="AM4487" t="s">
        <v>233</v>
      </c>
      <c r="AN4487" t="s">
        <v>165</v>
      </c>
    </row>
    <row r="4488" spans="1:43" x14ac:dyDescent="0.2">
      <c r="A4488" t="s">
        <v>2227</v>
      </c>
      <c r="B4488" t="s">
        <v>2228</v>
      </c>
      <c r="C4488">
        <v>2001</v>
      </c>
      <c r="D4488" t="s">
        <v>44</v>
      </c>
      <c r="F4488" t="s">
        <v>83</v>
      </c>
      <c r="G4488" t="s">
        <v>87</v>
      </c>
      <c r="H4488" t="s">
        <v>350</v>
      </c>
      <c r="I4488" t="s">
        <v>2229</v>
      </c>
      <c r="J4488">
        <v>1.08</v>
      </c>
      <c r="K4488" t="s">
        <v>101</v>
      </c>
      <c r="L4488">
        <v>1.2</v>
      </c>
      <c r="N4488" t="s">
        <v>122</v>
      </c>
      <c r="O4488" t="s">
        <v>247</v>
      </c>
      <c r="Q4488" s="1" t="s">
        <v>2281</v>
      </c>
      <c r="R4488" s="1" t="s">
        <v>122</v>
      </c>
      <c r="S4488" s="1" t="s">
        <v>2293</v>
      </c>
      <c r="T4488" t="s">
        <v>421</v>
      </c>
      <c r="U4488" t="s">
        <v>421</v>
      </c>
      <c r="X4488" t="s">
        <v>161</v>
      </c>
      <c r="Y4488" t="s">
        <v>2272</v>
      </c>
      <c r="Z4488" t="s">
        <v>2272</v>
      </c>
      <c r="AA4488" t="s">
        <v>2272</v>
      </c>
      <c r="AB4488" t="s">
        <v>2272</v>
      </c>
      <c r="AC4488" t="s">
        <v>162</v>
      </c>
      <c r="AD4488" t="s">
        <v>2272</v>
      </c>
      <c r="AH4488" s="4" t="s">
        <v>49</v>
      </c>
      <c r="AI4488" t="s">
        <v>49</v>
      </c>
      <c r="AM4488" t="s">
        <v>233</v>
      </c>
      <c r="AN4488" t="s">
        <v>165</v>
      </c>
    </row>
    <row r="4489" spans="1:43" x14ac:dyDescent="0.2">
      <c r="A4489" t="s">
        <v>2227</v>
      </c>
      <c r="B4489" t="s">
        <v>2228</v>
      </c>
      <c r="C4489">
        <v>2001</v>
      </c>
      <c r="D4489" t="s">
        <v>44</v>
      </c>
      <c r="F4489" t="s">
        <v>83</v>
      </c>
      <c r="G4489" t="s">
        <v>87</v>
      </c>
      <c r="H4489" t="s">
        <v>350</v>
      </c>
      <c r="I4489" t="s">
        <v>2229</v>
      </c>
      <c r="J4489">
        <v>1.08</v>
      </c>
      <c r="K4489" t="s">
        <v>101</v>
      </c>
      <c r="L4489">
        <v>1.2</v>
      </c>
      <c r="N4489" t="s">
        <v>122</v>
      </c>
      <c r="O4489" t="s">
        <v>2153</v>
      </c>
      <c r="Q4489" s="1" t="s">
        <v>2281</v>
      </c>
      <c r="R4489" s="1" t="s">
        <v>122</v>
      </c>
      <c r="S4489" s="1" t="s">
        <v>2294</v>
      </c>
      <c r="T4489" t="s">
        <v>421</v>
      </c>
      <c r="U4489" t="s">
        <v>421</v>
      </c>
      <c r="X4489" t="s">
        <v>161</v>
      </c>
      <c r="Y4489" t="s">
        <v>2272</v>
      </c>
      <c r="Z4489" t="s">
        <v>2272</v>
      </c>
      <c r="AA4489" t="s">
        <v>2272</v>
      </c>
      <c r="AB4489" t="s">
        <v>2272</v>
      </c>
      <c r="AC4489" t="s">
        <v>162</v>
      </c>
      <c r="AD4489" t="s">
        <v>2272</v>
      </c>
      <c r="AH4489" s="4" t="s">
        <v>49</v>
      </c>
      <c r="AI4489" t="s">
        <v>49</v>
      </c>
      <c r="AM4489" t="s">
        <v>233</v>
      </c>
      <c r="AN4489" t="s">
        <v>165</v>
      </c>
    </row>
    <row r="4490" spans="1:43" x14ac:dyDescent="0.2">
      <c r="A4490" t="s">
        <v>2227</v>
      </c>
      <c r="B4490" t="s">
        <v>2228</v>
      </c>
      <c r="C4490">
        <v>2001</v>
      </c>
      <c r="D4490" t="s">
        <v>44</v>
      </c>
      <c r="F4490" t="s">
        <v>83</v>
      </c>
      <c r="G4490" t="s">
        <v>87</v>
      </c>
      <c r="H4490" t="s">
        <v>350</v>
      </c>
      <c r="I4490" t="s">
        <v>2229</v>
      </c>
      <c r="J4490">
        <v>1.08</v>
      </c>
      <c r="K4490" t="s">
        <v>101</v>
      </c>
      <c r="L4490">
        <v>1.2</v>
      </c>
      <c r="N4490" t="s">
        <v>122</v>
      </c>
      <c r="O4490" t="s">
        <v>561</v>
      </c>
      <c r="Q4490" s="1" t="s">
        <v>2281</v>
      </c>
      <c r="R4490" s="1" t="s">
        <v>122</v>
      </c>
      <c r="S4490" s="1" t="s">
        <v>2294</v>
      </c>
      <c r="T4490" t="s">
        <v>421</v>
      </c>
      <c r="U4490" t="s">
        <v>421</v>
      </c>
      <c r="X4490" t="s">
        <v>161</v>
      </c>
      <c r="Y4490" t="s">
        <v>2272</v>
      </c>
      <c r="Z4490" t="s">
        <v>2272</v>
      </c>
      <c r="AA4490" t="s">
        <v>2272</v>
      </c>
      <c r="AB4490" t="s">
        <v>2272</v>
      </c>
      <c r="AC4490" t="s">
        <v>162</v>
      </c>
      <c r="AD4490" t="s">
        <v>2272</v>
      </c>
      <c r="AH4490" s="4" t="s">
        <v>49</v>
      </c>
      <c r="AI4490" t="s">
        <v>49</v>
      </c>
      <c r="AM4490" t="s">
        <v>233</v>
      </c>
      <c r="AN4490" t="s">
        <v>165</v>
      </c>
    </row>
    <row r="4491" spans="1:43" x14ac:dyDescent="0.2">
      <c r="A4491" t="s">
        <v>2227</v>
      </c>
      <c r="B4491" t="s">
        <v>2228</v>
      </c>
      <c r="C4491">
        <v>2001</v>
      </c>
      <c r="D4491" t="s">
        <v>44</v>
      </c>
      <c r="F4491" t="s">
        <v>83</v>
      </c>
      <c r="G4491" t="s">
        <v>87</v>
      </c>
      <c r="H4491" t="s">
        <v>350</v>
      </c>
      <c r="I4491" t="s">
        <v>2229</v>
      </c>
      <c r="J4491">
        <v>1.08</v>
      </c>
      <c r="K4491" t="s">
        <v>101</v>
      </c>
      <c r="L4491">
        <v>1.2</v>
      </c>
      <c r="N4491" t="s">
        <v>122</v>
      </c>
      <c r="O4491" t="s">
        <v>247</v>
      </c>
      <c r="Q4491" s="1" t="s">
        <v>2281</v>
      </c>
      <c r="R4491" s="1" t="s">
        <v>122</v>
      </c>
      <c r="S4491" s="1" t="s">
        <v>2293</v>
      </c>
      <c r="T4491" t="s">
        <v>396</v>
      </c>
      <c r="U4491" s="1" t="s">
        <v>2336</v>
      </c>
      <c r="X4491" t="s">
        <v>161</v>
      </c>
      <c r="Y4491" t="s">
        <v>2272</v>
      </c>
      <c r="Z4491" t="s">
        <v>2272</v>
      </c>
      <c r="AA4491" t="s">
        <v>2272</v>
      </c>
      <c r="AB4491" t="s">
        <v>2272</v>
      </c>
      <c r="AC4491" t="s">
        <v>162</v>
      </c>
      <c r="AD4491" t="s">
        <v>2272</v>
      </c>
      <c r="AH4491" s="4" t="s">
        <v>49</v>
      </c>
      <c r="AI4491" t="s">
        <v>49</v>
      </c>
      <c r="AM4491" t="s">
        <v>233</v>
      </c>
      <c r="AN4491" t="s">
        <v>154</v>
      </c>
    </row>
    <row r="4492" spans="1:43" x14ac:dyDescent="0.2">
      <c r="A4492" t="s">
        <v>2227</v>
      </c>
      <c r="B4492" t="s">
        <v>2228</v>
      </c>
      <c r="C4492">
        <v>2001</v>
      </c>
      <c r="D4492" t="s">
        <v>44</v>
      </c>
      <c r="F4492" t="s">
        <v>83</v>
      </c>
      <c r="G4492" t="s">
        <v>87</v>
      </c>
      <c r="H4492" t="s">
        <v>350</v>
      </c>
      <c r="I4492" t="s">
        <v>2229</v>
      </c>
      <c r="J4492">
        <v>1.08</v>
      </c>
      <c r="K4492" t="s">
        <v>101</v>
      </c>
      <c r="L4492">
        <v>1.2</v>
      </c>
      <c r="N4492" t="s">
        <v>122</v>
      </c>
      <c r="O4492" t="s">
        <v>2153</v>
      </c>
      <c r="Q4492" s="1" t="s">
        <v>2281</v>
      </c>
      <c r="R4492" s="1" t="s">
        <v>122</v>
      </c>
      <c r="S4492" s="1" t="s">
        <v>2294</v>
      </c>
      <c r="T4492" t="s">
        <v>396</v>
      </c>
      <c r="U4492" s="1" t="s">
        <v>2337</v>
      </c>
      <c r="X4492" t="s">
        <v>161</v>
      </c>
      <c r="Y4492" t="s">
        <v>2272</v>
      </c>
      <c r="Z4492" t="s">
        <v>2272</v>
      </c>
      <c r="AA4492" t="s">
        <v>2272</v>
      </c>
      <c r="AB4492" t="s">
        <v>2272</v>
      </c>
      <c r="AC4492" t="s">
        <v>162</v>
      </c>
      <c r="AD4492" t="s">
        <v>2272</v>
      </c>
      <c r="AH4492" s="4" t="s">
        <v>49</v>
      </c>
      <c r="AI4492" t="s">
        <v>49</v>
      </c>
      <c r="AM4492" t="s">
        <v>233</v>
      </c>
      <c r="AN4492" t="s">
        <v>154</v>
      </c>
    </row>
    <row r="4493" spans="1:43" x14ac:dyDescent="0.2">
      <c r="A4493" t="s">
        <v>2227</v>
      </c>
      <c r="B4493" t="s">
        <v>2228</v>
      </c>
      <c r="C4493">
        <v>2001</v>
      </c>
      <c r="D4493" t="s">
        <v>44</v>
      </c>
      <c r="F4493" t="s">
        <v>83</v>
      </c>
      <c r="G4493" t="s">
        <v>87</v>
      </c>
      <c r="H4493" t="s">
        <v>350</v>
      </c>
      <c r="I4493" t="s">
        <v>2229</v>
      </c>
      <c r="J4493">
        <v>1.08</v>
      </c>
      <c r="K4493" t="s">
        <v>101</v>
      </c>
      <c r="L4493">
        <v>1.2</v>
      </c>
      <c r="N4493" t="s">
        <v>122</v>
      </c>
      <c r="O4493" t="s">
        <v>561</v>
      </c>
      <c r="Q4493" s="1" t="s">
        <v>2281</v>
      </c>
      <c r="R4493" s="1" t="s">
        <v>122</v>
      </c>
      <c r="S4493" s="1" t="s">
        <v>2294</v>
      </c>
      <c r="T4493" t="s">
        <v>396</v>
      </c>
      <c r="U4493" s="1" t="s">
        <v>2424</v>
      </c>
      <c r="X4493" t="s">
        <v>161</v>
      </c>
      <c r="Y4493" t="s">
        <v>2272</v>
      </c>
      <c r="Z4493" t="s">
        <v>2272</v>
      </c>
      <c r="AA4493" t="s">
        <v>2272</v>
      </c>
      <c r="AB4493" t="s">
        <v>2272</v>
      </c>
      <c r="AC4493" t="s">
        <v>162</v>
      </c>
      <c r="AD4493" t="s">
        <v>2272</v>
      </c>
      <c r="AH4493" s="4" t="s">
        <v>49</v>
      </c>
      <c r="AI4493" t="s">
        <v>49</v>
      </c>
      <c r="AM4493" t="s">
        <v>233</v>
      </c>
      <c r="AN4493" t="s">
        <v>154</v>
      </c>
    </row>
    <row r="4494" spans="1:43" x14ac:dyDescent="0.2">
      <c r="A4494" t="s">
        <v>2227</v>
      </c>
      <c r="B4494" t="s">
        <v>2228</v>
      </c>
      <c r="C4494">
        <v>2001</v>
      </c>
      <c r="D4494" t="s">
        <v>44</v>
      </c>
      <c r="F4494" t="s">
        <v>83</v>
      </c>
      <c r="G4494" t="s">
        <v>87</v>
      </c>
      <c r="H4494" t="s">
        <v>350</v>
      </c>
      <c r="I4494" t="s">
        <v>2229</v>
      </c>
      <c r="J4494">
        <v>1.08</v>
      </c>
      <c r="K4494" t="s">
        <v>101</v>
      </c>
      <c r="L4494">
        <v>1.2</v>
      </c>
      <c r="N4494" t="s">
        <v>122</v>
      </c>
      <c r="O4494" t="s">
        <v>247</v>
      </c>
      <c r="Q4494" s="1" t="s">
        <v>2281</v>
      </c>
      <c r="R4494" s="1" t="s">
        <v>122</v>
      </c>
      <c r="S4494" s="1" t="s">
        <v>2293</v>
      </c>
      <c r="T4494" t="s">
        <v>421</v>
      </c>
      <c r="U4494" t="s">
        <v>421</v>
      </c>
      <c r="X4494" t="s">
        <v>161</v>
      </c>
      <c r="Y4494" t="s">
        <v>2272</v>
      </c>
      <c r="Z4494" t="s">
        <v>2272</v>
      </c>
      <c r="AA4494" t="s">
        <v>2272</v>
      </c>
      <c r="AB4494" t="s">
        <v>2272</v>
      </c>
      <c r="AC4494" t="s">
        <v>162</v>
      </c>
      <c r="AD4494" t="s">
        <v>2272</v>
      </c>
      <c r="AH4494" s="4" t="s">
        <v>49</v>
      </c>
      <c r="AI4494" t="s">
        <v>49</v>
      </c>
      <c r="AM4494" t="s">
        <v>233</v>
      </c>
      <c r="AN4494" t="s">
        <v>154</v>
      </c>
    </row>
    <row r="4495" spans="1:43" x14ac:dyDescent="0.2">
      <c r="A4495" t="s">
        <v>2227</v>
      </c>
      <c r="B4495" t="s">
        <v>2228</v>
      </c>
      <c r="C4495">
        <v>2001</v>
      </c>
      <c r="D4495" t="s">
        <v>44</v>
      </c>
      <c r="F4495" t="s">
        <v>83</v>
      </c>
      <c r="G4495" t="s">
        <v>87</v>
      </c>
      <c r="H4495" t="s">
        <v>350</v>
      </c>
      <c r="I4495" t="s">
        <v>2229</v>
      </c>
      <c r="J4495">
        <v>1.08</v>
      </c>
      <c r="K4495" t="s">
        <v>101</v>
      </c>
      <c r="L4495">
        <v>1.2</v>
      </c>
      <c r="N4495" t="s">
        <v>122</v>
      </c>
      <c r="O4495" t="s">
        <v>2153</v>
      </c>
      <c r="Q4495" s="1" t="s">
        <v>2281</v>
      </c>
      <c r="R4495" s="1" t="s">
        <v>122</v>
      </c>
      <c r="S4495" s="1" t="s">
        <v>2294</v>
      </c>
      <c r="T4495" t="s">
        <v>421</v>
      </c>
      <c r="U4495" t="s">
        <v>421</v>
      </c>
      <c r="X4495" t="s">
        <v>161</v>
      </c>
      <c r="Y4495" t="s">
        <v>2272</v>
      </c>
      <c r="Z4495" t="s">
        <v>2272</v>
      </c>
      <c r="AA4495" t="s">
        <v>2272</v>
      </c>
      <c r="AB4495" t="s">
        <v>2272</v>
      </c>
      <c r="AC4495" t="s">
        <v>162</v>
      </c>
      <c r="AD4495" t="s">
        <v>2272</v>
      </c>
      <c r="AH4495" s="4" t="s">
        <v>49</v>
      </c>
      <c r="AI4495" t="s">
        <v>49</v>
      </c>
      <c r="AM4495" t="s">
        <v>233</v>
      </c>
      <c r="AN4495" t="s">
        <v>154</v>
      </c>
    </row>
    <row r="4496" spans="1:43" x14ac:dyDescent="0.2">
      <c r="A4496" t="s">
        <v>2227</v>
      </c>
      <c r="B4496" t="s">
        <v>2228</v>
      </c>
      <c r="C4496">
        <v>2001</v>
      </c>
      <c r="D4496" t="s">
        <v>44</v>
      </c>
      <c r="F4496" t="s">
        <v>83</v>
      </c>
      <c r="G4496" t="s">
        <v>87</v>
      </c>
      <c r="H4496" t="s">
        <v>350</v>
      </c>
      <c r="I4496" t="s">
        <v>2229</v>
      </c>
      <c r="J4496">
        <v>1.08</v>
      </c>
      <c r="K4496" t="s">
        <v>101</v>
      </c>
      <c r="L4496">
        <v>1.2</v>
      </c>
      <c r="N4496" t="s">
        <v>122</v>
      </c>
      <c r="O4496" t="s">
        <v>561</v>
      </c>
      <c r="Q4496" s="1" t="s">
        <v>2281</v>
      </c>
      <c r="R4496" s="1" t="s">
        <v>122</v>
      </c>
      <c r="S4496" s="1" t="s">
        <v>2294</v>
      </c>
      <c r="T4496" t="s">
        <v>421</v>
      </c>
      <c r="U4496" t="s">
        <v>421</v>
      </c>
      <c r="X4496" t="s">
        <v>161</v>
      </c>
      <c r="Y4496" t="s">
        <v>2272</v>
      </c>
      <c r="Z4496" t="s">
        <v>2272</v>
      </c>
      <c r="AA4496" t="s">
        <v>2272</v>
      </c>
      <c r="AB4496" t="s">
        <v>2272</v>
      </c>
      <c r="AC4496" t="s">
        <v>162</v>
      </c>
      <c r="AD4496" t="s">
        <v>2272</v>
      </c>
      <c r="AH4496" s="4" t="s">
        <v>49</v>
      </c>
      <c r="AI4496" t="s">
        <v>49</v>
      </c>
      <c r="AM4496" t="s">
        <v>233</v>
      </c>
      <c r="AN4496" t="s">
        <v>154</v>
      </c>
    </row>
    <row r="4497" spans="1:45" x14ac:dyDescent="0.2">
      <c r="A4497" t="s">
        <v>2227</v>
      </c>
      <c r="B4497" t="s">
        <v>2228</v>
      </c>
      <c r="C4497">
        <v>2001</v>
      </c>
      <c r="D4497" t="s">
        <v>44</v>
      </c>
      <c r="F4497" t="s">
        <v>83</v>
      </c>
      <c r="G4497" t="s">
        <v>87</v>
      </c>
      <c r="H4497" t="s">
        <v>350</v>
      </c>
      <c r="I4497" t="s">
        <v>2229</v>
      </c>
      <c r="J4497">
        <v>1.08</v>
      </c>
      <c r="K4497" t="s">
        <v>101</v>
      </c>
      <c r="L4497">
        <v>1.2</v>
      </c>
      <c r="N4497" t="s">
        <v>122</v>
      </c>
      <c r="O4497" t="s">
        <v>247</v>
      </c>
      <c r="Q4497" s="1" t="s">
        <v>2281</v>
      </c>
      <c r="R4497" s="1" t="s">
        <v>122</v>
      </c>
      <c r="S4497" s="1" t="s">
        <v>2293</v>
      </c>
      <c r="T4497" t="s">
        <v>396</v>
      </c>
      <c r="U4497" s="1" t="s">
        <v>2336</v>
      </c>
      <c r="X4497" t="s">
        <v>161</v>
      </c>
      <c r="Y4497" t="s">
        <v>2272</v>
      </c>
      <c r="Z4497" t="s">
        <v>2272</v>
      </c>
      <c r="AA4497" t="s">
        <v>2272</v>
      </c>
      <c r="AB4497" t="s">
        <v>2272</v>
      </c>
      <c r="AC4497" t="s">
        <v>162</v>
      </c>
      <c r="AD4497" t="s">
        <v>2272</v>
      </c>
      <c r="AH4497" s="4" t="s">
        <v>49</v>
      </c>
      <c r="AI4497" t="s">
        <v>49</v>
      </c>
      <c r="AM4497" t="s">
        <v>233</v>
      </c>
      <c r="AN4497" t="s">
        <v>166</v>
      </c>
    </row>
    <row r="4498" spans="1:45" x14ac:dyDescent="0.2">
      <c r="A4498" t="s">
        <v>2227</v>
      </c>
      <c r="B4498" t="s">
        <v>2228</v>
      </c>
      <c r="C4498">
        <v>2001</v>
      </c>
      <c r="D4498" t="s">
        <v>44</v>
      </c>
      <c r="F4498" t="s">
        <v>83</v>
      </c>
      <c r="G4498" t="s">
        <v>87</v>
      </c>
      <c r="H4498" t="s">
        <v>350</v>
      </c>
      <c r="I4498" t="s">
        <v>2229</v>
      </c>
      <c r="J4498">
        <v>1.08</v>
      </c>
      <c r="K4498" t="s">
        <v>101</v>
      </c>
      <c r="L4498">
        <v>1.2</v>
      </c>
      <c r="N4498" t="s">
        <v>122</v>
      </c>
      <c r="O4498" t="s">
        <v>2153</v>
      </c>
      <c r="Q4498" s="1" t="s">
        <v>2281</v>
      </c>
      <c r="R4498" s="1" t="s">
        <v>122</v>
      </c>
      <c r="S4498" s="1" t="s">
        <v>2294</v>
      </c>
      <c r="T4498" t="s">
        <v>396</v>
      </c>
      <c r="U4498" s="1" t="s">
        <v>2337</v>
      </c>
      <c r="X4498" t="s">
        <v>161</v>
      </c>
      <c r="Y4498" t="s">
        <v>2272</v>
      </c>
      <c r="Z4498" t="s">
        <v>2272</v>
      </c>
      <c r="AA4498" t="s">
        <v>2272</v>
      </c>
      <c r="AB4498" t="s">
        <v>2272</v>
      </c>
      <c r="AC4498" t="s">
        <v>162</v>
      </c>
      <c r="AD4498" t="s">
        <v>2272</v>
      </c>
      <c r="AH4498" s="4" t="s">
        <v>49</v>
      </c>
      <c r="AI4498" t="s">
        <v>49</v>
      </c>
      <c r="AM4498" t="s">
        <v>233</v>
      </c>
      <c r="AN4498" t="s">
        <v>166</v>
      </c>
    </row>
    <row r="4499" spans="1:45" x14ac:dyDescent="0.2">
      <c r="A4499" t="s">
        <v>2227</v>
      </c>
      <c r="B4499" t="s">
        <v>2228</v>
      </c>
      <c r="C4499">
        <v>2001</v>
      </c>
      <c r="D4499" t="s">
        <v>44</v>
      </c>
      <c r="F4499" t="s">
        <v>83</v>
      </c>
      <c r="G4499" t="s">
        <v>87</v>
      </c>
      <c r="H4499" t="s">
        <v>350</v>
      </c>
      <c r="I4499" t="s">
        <v>2229</v>
      </c>
      <c r="J4499">
        <v>1.08</v>
      </c>
      <c r="K4499" t="s">
        <v>101</v>
      </c>
      <c r="L4499">
        <v>1.2</v>
      </c>
      <c r="N4499" t="s">
        <v>122</v>
      </c>
      <c r="O4499" t="s">
        <v>561</v>
      </c>
      <c r="Q4499" s="1" t="s">
        <v>2281</v>
      </c>
      <c r="R4499" s="1" t="s">
        <v>122</v>
      </c>
      <c r="S4499" s="1" t="s">
        <v>2294</v>
      </c>
      <c r="T4499" t="s">
        <v>396</v>
      </c>
      <c r="U4499" s="1" t="s">
        <v>2424</v>
      </c>
      <c r="X4499" t="s">
        <v>161</v>
      </c>
      <c r="Y4499" t="s">
        <v>2272</v>
      </c>
      <c r="Z4499" t="s">
        <v>2272</v>
      </c>
      <c r="AA4499" t="s">
        <v>2272</v>
      </c>
      <c r="AB4499" t="s">
        <v>2272</v>
      </c>
      <c r="AC4499" t="s">
        <v>162</v>
      </c>
      <c r="AD4499" t="s">
        <v>2272</v>
      </c>
      <c r="AH4499" s="4" t="s">
        <v>49</v>
      </c>
      <c r="AI4499" t="s">
        <v>49</v>
      </c>
      <c r="AM4499" t="s">
        <v>233</v>
      </c>
      <c r="AN4499" t="s">
        <v>166</v>
      </c>
    </row>
    <row r="4500" spans="1:45" x14ac:dyDescent="0.2">
      <c r="A4500" t="s">
        <v>2227</v>
      </c>
      <c r="B4500" t="s">
        <v>2228</v>
      </c>
      <c r="C4500">
        <v>2001</v>
      </c>
      <c r="D4500" t="s">
        <v>44</v>
      </c>
      <c r="F4500" t="s">
        <v>83</v>
      </c>
      <c r="G4500" t="s">
        <v>87</v>
      </c>
      <c r="H4500" t="s">
        <v>350</v>
      </c>
      <c r="I4500" t="s">
        <v>2229</v>
      </c>
      <c r="J4500">
        <v>1.08</v>
      </c>
      <c r="K4500" t="s">
        <v>101</v>
      </c>
      <c r="L4500">
        <v>1.2</v>
      </c>
      <c r="N4500" t="s">
        <v>122</v>
      </c>
      <c r="O4500" t="s">
        <v>247</v>
      </c>
      <c r="Q4500" s="1" t="s">
        <v>2281</v>
      </c>
      <c r="R4500" s="1" t="s">
        <v>122</v>
      </c>
      <c r="S4500" s="1" t="s">
        <v>2293</v>
      </c>
      <c r="T4500" t="s">
        <v>421</v>
      </c>
      <c r="U4500" t="s">
        <v>421</v>
      </c>
      <c r="X4500" t="s">
        <v>161</v>
      </c>
      <c r="Y4500" t="s">
        <v>2272</v>
      </c>
      <c r="Z4500" t="s">
        <v>2272</v>
      </c>
      <c r="AA4500" t="s">
        <v>2272</v>
      </c>
      <c r="AB4500" t="s">
        <v>2272</v>
      </c>
      <c r="AC4500" t="s">
        <v>162</v>
      </c>
      <c r="AD4500" t="s">
        <v>2272</v>
      </c>
      <c r="AH4500" s="4" t="s">
        <v>49</v>
      </c>
      <c r="AI4500" t="s">
        <v>49</v>
      </c>
      <c r="AM4500" t="s">
        <v>233</v>
      </c>
      <c r="AN4500" t="s">
        <v>166</v>
      </c>
    </row>
    <row r="4501" spans="1:45" x14ac:dyDescent="0.2">
      <c r="A4501" t="s">
        <v>2227</v>
      </c>
      <c r="B4501" t="s">
        <v>2228</v>
      </c>
      <c r="C4501">
        <v>2001</v>
      </c>
      <c r="D4501" t="s">
        <v>44</v>
      </c>
      <c r="F4501" t="s">
        <v>83</v>
      </c>
      <c r="G4501" t="s">
        <v>87</v>
      </c>
      <c r="H4501" t="s">
        <v>350</v>
      </c>
      <c r="I4501" t="s">
        <v>2229</v>
      </c>
      <c r="J4501">
        <v>1.08</v>
      </c>
      <c r="K4501" t="s">
        <v>101</v>
      </c>
      <c r="L4501">
        <v>1.2</v>
      </c>
      <c r="N4501" t="s">
        <v>122</v>
      </c>
      <c r="O4501" t="s">
        <v>2153</v>
      </c>
      <c r="Q4501" s="1" t="s">
        <v>2281</v>
      </c>
      <c r="R4501" s="1" t="s">
        <v>122</v>
      </c>
      <c r="S4501" s="1" t="s">
        <v>2294</v>
      </c>
      <c r="T4501" t="s">
        <v>421</v>
      </c>
      <c r="U4501" t="s">
        <v>421</v>
      </c>
      <c r="X4501" t="s">
        <v>161</v>
      </c>
      <c r="Y4501" t="s">
        <v>2272</v>
      </c>
      <c r="Z4501" t="s">
        <v>2272</v>
      </c>
      <c r="AA4501" t="s">
        <v>2272</v>
      </c>
      <c r="AB4501" t="s">
        <v>2272</v>
      </c>
      <c r="AC4501" t="s">
        <v>162</v>
      </c>
      <c r="AD4501" t="s">
        <v>2272</v>
      </c>
      <c r="AH4501" s="4" t="s">
        <v>49</v>
      </c>
      <c r="AI4501" t="s">
        <v>49</v>
      </c>
      <c r="AM4501" t="s">
        <v>233</v>
      </c>
      <c r="AN4501" t="s">
        <v>166</v>
      </c>
    </row>
    <row r="4502" spans="1:45" x14ac:dyDescent="0.2">
      <c r="A4502" t="s">
        <v>2227</v>
      </c>
      <c r="B4502" t="s">
        <v>2228</v>
      </c>
      <c r="C4502">
        <v>2001</v>
      </c>
      <c r="D4502" t="s">
        <v>44</v>
      </c>
      <c r="F4502" t="s">
        <v>83</v>
      </c>
      <c r="G4502" t="s">
        <v>87</v>
      </c>
      <c r="H4502" t="s">
        <v>350</v>
      </c>
      <c r="I4502" t="s">
        <v>2229</v>
      </c>
      <c r="J4502">
        <v>1.08</v>
      </c>
      <c r="K4502" t="s">
        <v>101</v>
      </c>
      <c r="L4502">
        <v>1.2</v>
      </c>
      <c r="N4502" t="s">
        <v>122</v>
      </c>
      <c r="O4502" t="s">
        <v>561</v>
      </c>
      <c r="Q4502" s="1" t="s">
        <v>2281</v>
      </c>
      <c r="R4502" s="1" t="s">
        <v>122</v>
      </c>
      <c r="S4502" s="1" t="s">
        <v>2294</v>
      </c>
      <c r="T4502" t="s">
        <v>421</v>
      </c>
      <c r="U4502" t="s">
        <v>421</v>
      </c>
      <c r="X4502" t="s">
        <v>161</v>
      </c>
      <c r="Y4502" t="s">
        <v>2272</v>
      </c>
      <c r="Z4502" t="s">
        <v>2272</v>
      </c>
      <c r="AA4502" t="s">
        <v>2272</v>
      </c>
      <c r="AB4502" t="s">
        <v>2272</v>
      </c>
      <c r="AC4502" t="s">
        <v>162</v>
      </c>
      <c r="AD4502" t="s">
        <v>2272</v>
      </c>
      <c r="AH4502" s="4" t="s">
        <v>49</v>
      </c>
      <c r="AI4502" t="s">
        <v>49</v>
      </c>
      <c r="AM4502" t="s">
        <v>233</v>
      </c>
      <c r="AN4502" t="s">
        <v>166</v>
      </c>
    </row>
    <row r="4503" spans="1:45" x14ac:dyDescent="0.2">
      <c r="A4503" t="s">
        <v>2227</v>
      </c>
      <c r="B4503" t="s">
        <v>2228</v>
      </c>
      <c r="C4503">
        <v>2001</v>
      </c>
      <c r="D4503" t="s">
        <v>44</v>
      </c>
      <c r="F4503" t="s">
        <v>83</v>
      </c>
      <c r="G4503" t="s">
        <v>87</v>
      </c>
      <c r="H4503" t="s">
        <v>350</v>
      </c>
      <c r="I4503" t="s">
        <v>2229</v>
      </c>
      <c r="J4503">
        <v>1.08</v>
      </c>
      <c r="K4503" t="s">
        <v>101</v>
      </c>
      <c r="L4503">
        <v>1.2</v>
      </c>
      <c r="N4503" t="s">
        <v>122</v>
      </c>
      <c r="O4503" t="s">
        <v>247</v>
      </c>
      <c r="Q4503" s="1" t="s">
        <v>2281</v>
      </c>
      <c r="R4503" s="1" t="s">
        <v>122</v>
      </c>
      <c r="S4503" s="1" t="s">
        <v>2293</v>
      </c>
      <c r="X4503" t="s">
        <v>211</v>
      </c>
      <c r="Y4503" t="s">
        <v>2279</v>
      </c>
      <c r="Z4503" t="s">
        <v>2280</v>
      </c>
      <c r="AA4503" t="s">
        <v>2358</v>
      </c>
      <c r="AB4503" t="s">
        <v>2290</v>
      </c>
      <c r="AC4503" t="s">
        <v>152</v>
      </c>
      <c r="AD4503" t="s">
        <v>2278</v>
      </c>
      <c r="AH4503" s="4" t="s">
        <v>49</v>
      </c>
      <c r="AI4503" t="s">
        <v>49</v>
      </c>
      <c r="AM4503" t="s">
        <v>233</v>
      </c>
      <c r="AN4503" t="s">
        <v>165</v>
      </c>
    </row>
    <row r="4504" spans="1:45" x14ac:dyDescent="0.2">
      <c r="A4504" t="s">
        <v>2227</v>
      </c>
      <c r="B4504" t="s">
        <v>2228</v>
      </c>
      <c r="C4504">
        <v>2001</v>
      </c>
      <c r="D4504" t="s">
        <v>44</v>
      </c>
      <c r="F4504" t="s">
        <v>83</v>
      </c>
      <c r="G4504" t="s">
        <v>87</v>
      </c>
      <c r="H4504" t="s">
        <v>350</v>
      </c>
      <c r="I4504" t="s">
        <v>2229</v>
      </c>
      <c r="J4504">
        <v>1.08</v>
      </c>
      <c r="K4504" t="s">
        <v>101</v>
      </c>
      <c r="L4504">
        <v>1.2</v>
      </c>
      <c r="N4504" t="s">
        <v>122</v>
      </c>
      <c r="O4504" t="s">
        <v>2153</v>
      </c>
      <c r="Q4504" s="1" t="s">
        <v>2281</v>
      </c>
      <c r="R4504" s="1" t="s">
        <v>122</v>
      </c>
      <c r="S4504" s="1" t="s">
        <v>2294</v>
      </c>
      <c r="X4504" t="s">
        <v>211</v>
      </c>
      <c r="Y4504" t="s">
        <v>2279</v>
      </c>
      <c r="Z4504" t="s">
        <v>2280</v>
      </c>
      <c r="AA4504" t="s">
        <v>2358</v>
      </c>
      <c r="AB4504" t="s">
        <v>2290</v>
      </c>
      <c r="AC4504" t="s">
        <v>152</v>
      </c>
      <c r="AD4504" t="s">
        <v>2278</v>
      </c>
      <c r="AH4504" s="4" t="s">
        <v>49</v>
      </c>
      <c r="AI4504" t="s">
        <v>49</v>
      </c>
      <c r="AM4504" t="s">
        <v>233</v>
      </c>
      <c r="AN4504" t="s">
        <v>165</v>
      </c>
    </row>
    <row r="4505" spans="1:45" x14ac:dyDescent="0.2">
      <c r="A4505" t="s">
        <v>2227</v>
      </c>
      <c r="B4505" t="s">
        <v>2228</v>
      </c>
      <c r="C4505">
        <v>2001</v>
      </c>
      <c r="D4505" t="s">
        <v>44</v>
      </c>
      <c r="F4505" t="s">
        <v>83</v>
      </c>
      <c r="G4505" t="s">
        <v>87</v>
      </c>
      <c r="H4505" t="s">
        <v>350</v>
      </c>
      <c r="I4505" t="s">
        <v>2229</v>
      </c>
      <c r="J4505">
        <v>1.08</v>
      </c>
      <c r="K4505" t="s">
        <v>101</v>
      </c>
      <c r="L4505">
        <v>1.2</v>
      </c>
      <c r="N4505" t="s">
        <v>122</v>
      </c>
      <c r="O4505" t="s">
        <v>561</v>
      </c>
      <c r="Q4505" s="1" t="s">
        <v>2281</v>
      </c>
      <c r="R4505" s="1" t="s">
        <v>122</v>
      </c>
      <c r="S4505" s="1" t="s">
        <v>2294</v>
      </c>
      <c r="X4505" t="s">
        <v>211</v>
      </c>
      <c r="Y4505" t="s">
        <v>2279</v>
      </c>
      <c r="Z4505" t="s">
        <v>2280</v>
      </c>
      <c r="AA4505" t="s">
        <v>2358</v>
      </c>
      <c r="AB4505" t="s">
        <v>2290</v>
      </c>
      <c r="AC4505" t="s">
        <v>152</v>
      </c>
      <c r="AD4505" t="s">
        <v>2278</v>
      </c>
      <c r="AH4505" s="4" t="s">
        <v>49</v>
      </c>
      <c r="AI4505" t="s">
        <v>49</v>
      </c>
      <c r="AM4505" t="s">
        <v>233</v>
      </c>
      <c r="AN4505" t="s">
        <v>165</v>
      </c>
    </row>
    <row r="4506" spans="1:45" x14ac:dyDescent="0.2">
      <c r="A4506" t="s">
        <v>2227</v>
      </c>
      <c r="B4506" t="s">
        <v>2228</v>
      </c>
      <c r="C4506">
        <v>2001</v>
      </c>
      <c r="D4506" t="s">
        <v>811</v>
      </c>
      <c r="F4506" t="s">
        <v>83</v>
      </c>
      <c r="G4506" t="s">
        <v>87</v>
      </c>
      <c r="H4506" t="s">
        <v>350</v>
      </c>
      <c r="I4506" t="s">
        <v>2230</v>
      </c>
      <c r="J4506">
        <v>2</v>
      </c>
      <c r="K4506" t="s">
        <v>109</v>
      </c>
      <c r="N4506" t="s">
        <v>122</v>
      </c>
      <c r="O4506" t="s">
        <v>247</v>
      </c>
      <c r="Q4506" s="1" t="s">
        <v>2281</v>
      </c>
      <c r="R4506" s="1" t="s">
        <v>122</v>
      </c>
      <c r="S4506" s="1" t="s">
        <v>2293</v>
      </c>
      <c r="X4506" t="s">
        <v>211</v>
      </c>
      <c r="Y4506" t="s">
        <v>2279</v>
      </c>
      <c r="Z4506" t="s">
        <v>2280</v>
      </c>
      <c r="AA4506" t="s">
        <v>2358</v>
      </c>
      <c r="AB4506" t="s">
        <v>2290</v>
      </c>
      <c r="AC4506" t="s">
        <v>152</v>
      </c>
      <c r="AD4506" t="s">
        <v>2278</v>
      </c>
    </row>
    <row r="4507" spans="1:45" x14ac:dyDescent="0.2">
      <c r="A4507" t="s">
        <v>2227</v>
      </c>
      <c r="B4507" t="s">
        <v>2228</v>
      </c>
      <c r="C4507">
        <v>2001</v>
      </c>
      <c r="D4507" t="s">
        <v>811</v>
      </c>
      <c r="F4507" t="s">
        <v>83</v>
      </c>
      <c r="G4507" t="s">
        <v>87</v>
      </c>
      <c r="H4507" t="s">
        <v>350</v>
      </c>
      <c r="I4507" t="s">
        <v>2230</v>
      </c>
      <c r="J4507">
        <v>2</v>
      </c>
      <c r="K4507" t="s">
        <v>109</v>
      </c>
      <c r="N4507" t="s">
        <v>122</v>
      </c>
      <c r="O4507" t="s">
        <v>2153</v>
      </c>
      <c r="Q4507" s="1" t="s">
        <v>2281</v>
      </c>
      <c r="R4507" s="1" t="s">
        <v>122</v>
      </c>
      <c r="S4507" s="1" t="s">
        <v>2294</v>
      </c>
      <c r="X4507" t="s">
        <v>211</v>
      </c>
      <c r="Y4507" t="s">
        <v>2279</v>
      </c>
      <c r="Z4507" t="s">
        <v>2280</v>
      </c>
      <c r="AA4507" t="s">
        <v>2358</v>
      </c>
      <c r="AB4507" t="s">
        <v>2290</v>
      </c>
      <c r="AC4507" t="s">
        <v>152</v>
      </c>
      <c r="AD4507" t="s">
        <v>2278</v>
      </c>
    </row>
    <row r="4508" spans="1:45" x14ac:dyDescent="0.2">
      <c r="A4508" t="s">
        <v>2227</v>
      </c>
      <c r="B4508" t="s">
        <v>2228</v>
      </c>
      <c r="C4508">
        <v>2001</v>
      </c>
      <c r="D4508" t="s">
        <v>811</v>
      </c>
      <c r="F4508" t="s">
        <v>83</v>
      </c>
      <c r="G4508" t="s">
        <v>87</v>
      </c>
      <c r="H4508" t="s">
        <v>350</v>
      </c>
      <c r="I4508" t="s">
        <v>2230</v>
      </c>
      <c r="J4508">
        <v>2</v>
      </c>
      <c r="K4508" t="s">
        <v>109</v>
      </c>
      <c r="N4508" t="s">
        <v>122</v>
      </c>
      <c r="O4508" t="s">
        <v>561</v>
      </c>
      <c r="Q4508" s="1" t="s">
        <v>2281</v>
      </c>
      <c r="R4508" s="1" t="s">
        <v>122</v>
      </c>
      <c r="S4508" s="1" t="s">
        <v>2294</v>
      </c>
      <c r="X4508" t="s">
        <v>211</v>
      </c>
      <c r="Y4508" t="s">
        <v>2279</v>
      </c>
      <c r="Z4508" t="s">
        <v>2280</v>
      </c>
      <c r="AA4508" t="s">
        <v>2358</v>
      </c>
      <c r="AB4508" t="s">
        <v>2290</v>
      </c>
      <c r="AC4508" t="s">
        <v>152</v>
      </c>
      <c r="AD4508" t="s">
        <v>2278</v>
      </c>
    </row>
    <row r="4509" spans="1:45" x14ac:dyDescent="0.2">
      <c r="A4509" t="s">
        <v>2227</v>
      </c>
      <c r="B4509" t="s">
        <v>2228</v>
      </c>
      <c r="C4509">
        <v>2001</v>
      </c>
      <c r="D4509" t="s">
        <v>44</v>
      </c>
      <c r="F4509" t="s">
        <v>83</v>
      </c>
      <c r="G4509" t="s">
        <v>87</v>
      </c>
      <c r="H4509" t="s">
        <v>350</v>
      </c>
      <c r="I4509" t="s">
        <v>2229</v>
      </c>
      <c r="J4509">
        <v>1.08</v>
      </c>
      <c r="K4509" t="s">
        <v>101</v>
      </c>
      <c r="L4509">
        <v>1.2</v>
      </c>
      <c r="N4509" t="s">
        <v>122</v>
      </c>
      <c r="O4509" t="s">
        <v>247</v>
      </c>
      <c r="Q4509" s="1" t="s">
        <v>2281</v>
      </c>
      <c r="R4509" s="1" t="s">
        <v>122</v>
      </c>
      <c r="S4509" s="1" t="s">
        <v>2293</v>
      </c>
      <c r="T4509" t="s">
        <v>421</v>
      </c>
      <c r="U4509" t="s">
        <v>421</v>
      </c>
      <c r="X4509" t="s">
        <v>161</v>
      </c>
      <c r="Y4509" t="s">
        <v>2272</v>
      </c>
      <c r="Z4509" t="s">
        <v>2272</v>
      </c>
      <c r="AA4509" t="s">
        <v>2272</v>
      </c>
      <c r="AB4509" t="s">
        <v>2272</v>
      </c>
      <c r="AC4509" t="s">
        <v>162</v>
      </c>
      <c r="AD4509" t="s">
        <v>2272</v>
      </c>
      <c r="AH4509" s="4" t="s">
        <v>49</v>
      </c>
      <c r="AI4509" t="s">
        <v>49</v>
      </c>
      <c r="AM4509" t="s">
        <v>233</v>
      </c>
      <c r="AN4509" t="s">
        <v>154</v>
      </c>
      <c r="AQ4509" s="5">
        <v>0</v>
      </c>
    </row>
    <row r="4510" spans="1:45" x14ac:dyDescent="0.2">
      <c r="A4510" t="s">
        <v>2227</v>
      </c>
      <c r="B4510" t="s">
        <v>2228</v>
      </c>
      <c r="C4510">
        <v>2001</v>
      </c>
      <c r="D4510" t="s">
        <v>44</v>
      </c>
      <c r="F4510" t="s">
        <v>83</v>
      </c>
      <c r="G4510" t="s">
        <v>87</v>
      </c>
      <c r="H4510" t="s">
        <v>350</v>
      </c>
      <c r="I4510" t="s">
        <v>2229</v>
      </c>
      <c r="J4510">
        <v>1.08</v>
      </c>
      <c r="K4510" t="s">
        <v>101</v>
      </c>
      <c r="L4510">
        <v>1.2</v>
      </c>
      <c r="N4510" t="s">
        <v>122</v>
      </c>
      <c r="O4510" t="s">
        <v>247</v>
      </c>
      <c r="Q4510" s="1" t="s">
        <v>2281</v>
      </c>
      <c r="R4510" s="1" t="s">
        <v>122</v>
      </c>
      <c r="S4510" s="1" t="s">
        <v>2293</v>
      </c>
      <c r="T4510" t="s">
        <v>421</v>
      </c>
      <c r="U4510" t="s">
        <v>421</v>
      </c>
      <c r="X4510" t="s">
        <v>161</v>
      </c>
      <c r="Y4510" t="s">
        <v>2272</v>
      </c>
      <c r="Z4510" t="s">
        <v>2272</v>
      </c>
      <c r="AA4510" t="s">
        <v>2272</v>
      </c>
      <c r="AB4510" t="s">
        <v>2272</v>
      </c>
      <c r="AC4510" t="s">
        <v>162</v>
      </c>
      <c r="AD4510" t="s">
        <v>2272</v>
      </c>
      <c r="AH4510" s="4" t="s">
        <v>49</v>
      </c>
      <c r="AJ4510" t="s">
        <v>49</v>
      </c>
      <c r="AM4510" t="s">
        <v>2231</v>
      </c>
      <c r="AN4510" t="s">
        <v>154</v>
      </c>
      <c r="AQ4510" s="5">
        <v>0</v>
      </c>
    </row>
    <row r="4511" spans="1:45" x14ac:dyDescent="0.2">
      <c r="A4511" t="s">
        <v>2227</v>
      </c>
      <c r="B4511" t="s">
        <v>2228</v>
      </c>
      <c r="C4511">
        <v>2001</v>
      </c>
      <c r="D4511" t="s">
        <v>44</v>
      </c>
      <c r="F4511" t="s">
        <v>83</v>
      </c>
      <c r="G4511" t="s">
        <v>87</v>
      </c>
      <c r="H4511" t="s">
        <v>350</v>
      </c>
      <c r="I4511" t="s">
        <v>2229</v>
      </c>
      <c r="J4511">
        <v>1.08</v>
      </c>
      <c r="K4511" t="s">
        <v>101</v>
      </c>
      <c r="L4511">
        <v>1.2</v>
      </c>
      <c r="N4511" t="s">
        <v>122</v>
      </c>
      <c r="O4511" t="s">
        <v>247</v>
      </c>
      <c r="Q4511" s="1" t="s">
        <v>2281</v>
      </c>
      <c r="R4511" s="1" t="s">
        <v>122</v>
      </c>
      <c r="S4511" s="1" t="s">
        <v>2293</v>
      </c>
      <c r="T4511" t="s">
        <v>421</v>
      </c>
      <c r="U4511" t="s">
        <v>421</v>
      </c>
      <c r="X4511" t="s">
        <v>161</v>
      </c>
      <c r="Y4511" t="s">
        <v>2272</v>
      </c>
      <c r="Z4511" t="s">
        <v>2272</v>
      </c>
      <c r="AA4511" t="s">
        <v>2272</v>
      </c>
      <c r="AB4511" t="s">
        <v>2272</v>
      </c>
      <c r="AC4511" t="s">
        <v>162</v>
      </c>
      <c r="AD4511" t="s">
        <v>2272</v>
      </c>
      <c r="AH4511" s="4" t="s">
        <v>49</v>
      </c>
      <c r="AJ4511" t="s">
        <v>49</v>
      </c>
      <c r="AM4511" t="s">
        <v>2231</v>
      </c>
      <c r="AN4511" t="s">
        <v>165</v>
      </c>
      <c r="AQ4511" s="5">
        <v>0</v>
      </c>
    </row>
    <row r="4512" spans="1:45" x14ac:dyDescent="0.2">
      <c r="A4512" t="s">
        <v>2232</v>
      </c>
      <c r="B4512" t="s">
        <v>2211</v>
      </c>
      <c r="C4512">
        <v>1999</v>
      </c>
      <c r="Q4512" s="1" t="s">
        <v>2272</v>
      </c>
      <c r="R4512" s="1" t="s">
        <v>2272</v>
      </c>
      <c r="S4512" s="1" t="s">
        <v>2272</v>
      </c>
      <c r="Y4512" t="s">
        <v>2272</v>
      </c>
      <c r="Z4512" t="s">
        <v>2272</v>
      </c>
      <c r="AA4512" t="s">
        <v>2272</v>
      </c>
      <c r="AB4512" t="s">
        <v>2272</v>
      </c>
      <c r="AD4512" t="s">
        <v>2272</v>
      </c>
      <c r="AR4512" t="s">
        <v>144</v>
      </c>
      <c r="AS4512" t="s">
        <v>2583</v>
      </c>
    </row>
    <row r="4513" spans="1:45" x14ac:dyDescent="0.2">
      <c r="A4513" t="s">
        <v>2233</v>
      </c>
      <c r="B4513" t="s">
        <v>2234</v>
      </c>
      <c r="C4513">
        <v>1999</v>
      </c>
      <c r="Q4513" s="1" t="s">
        <v>2272</v>
      </c>
      <c r="R4513" s="1" t="s">
        <v>2272</v>
      </c>
      <c r="S4513" s="1" t="s">
        <v>2272</v>
      </c>
      <c r="Y4513" t="s">
        <v>2272</v>
      </c>
      <c r="Z4513" t="s">
        <v>2272</v>
      </c>
      <c r="AA4513" t="s">
        <v>2272</v>
      </c>
      <c r="AB4513" t="s">
        <v>2272</v>
      </c>
      <c r="AD4513" t="s">
        <v>2272</v>
      </c>
      <c r="AR4513" t="s">
        <v>144</v>
      </c>
      <c r="AS4513" t="s">
        <v>1942</v>
      </c>
    </row>
    <row r="4514" spans="1:45" x14ac:dyDescent="0.2">
      <c r="A4514" t="s">
        <v>2235</v>
      </c>
      <c r="B4514" t="s">
        <v>2219</v>
      </c>
      <c r="C4514">
        <v>1998</v>
      </c>
      <c r="D4514" t="s">
        <v>44</v>
      </c>
      <c r="F4514" t="s">
        <v>1864</v>
      </c>
      <c r="G4514" t="s">
        <v>86</v>
      </c>
      <c r="H4514" t="s">
        <v>96</v>
      </c>
      <c r="I4514">
        <v>1995</v>
      </c>
      <c r="J4514">
        <v>6.8000000000000005E-2</v>
      </c>
      <c r="K4514" t="s">
        <v>104</v>
      </c>
      <c r="M4514">
        <v>3.1999999999999999E-5</v>
      </c>
      <c r="N4514" t="s">
        <v>127</v>
      </c>
      <c r="O4514" t="s">
        <v>1270</v>
      </c>
      <c r="P4514" t="s">
        <v>1514</v>
      </c>
      <c r="Q4514" s="1" t="s">
        <v>2281</v>
      </c>
      <c r="R4514" s="1" t="s">
        <v>2301</v>
      </c>
      <c r="S4514" s="1" t="s">
        <v>2303</v>
      </c>
      <c r="X4514" t="s">
        <v>189</v>
      </c>
      <c r="Y4514" t="s">
        <v>2279</v>
      </c>
      <c r="Z4514" t="s">
        <v>2280</v>
      </c>
      <c r="AA4514" t="s">
        <v>2358</v>
      </c>
      <c r="AB4514" t="s">
        <v>189</v>
      </c>
      <c r="AC4514" t="s">
        <v>152</v>
      </c>
      <c r="AD4514" t="s">
        <v>2278</v>
      </c>
    </row>
    <row r="4515" spans="1:45" x14ac:dyDescent="0.2">
      <c r="A4515" t="s">
        <v>2235</v>
      </c>
      <c r="B4515" t="s">
        <v>2219</v>
      </c>
      <c r="C4515">
        <v>1998</v>
      </c>
      <c r="D4515" t="s">
        <v>44</v>
      </c>
      <c r="F4515" t="s">
        <v>1864</v>
      </c>
      <c r="G4515" t="s">
        <v>86</v>
      </c>
      <c r="H4515" t="s">
        <v>96</v>
      </c>
      <c r="I4515">
        <v>1995</v>
      </c>
      <c r="J4515">
        <v>6.8000000000000005E-2</v>
      </c>
      <c r="K4515" t="s">
        <v>104</v>
      </c>
      <c r="M4515">
        <v>3.1999999999999999E-5</v>
      </c>
      <c r="N4515" t="s">
        <v>127</v>
      </c>
      <c r="O4515" t="s">
        <v>1270</v>
      </c>
      <c r="P4515" t="s">
        <v>1514</v>
      </c>
      <c r="Q4515" s="1" t="s">
        <v>2281</v>
      </c>
      <c r="R4515" s="1" t="s">
        <v>2301</v>
      </c>
      <c r="S4515" s="1" t="s">
        <v>2303</v>
      </c>
      <c r="T4515" t="s">
        <v>421</v>
      </c>
      <c r="U4515" t="s">
        <v>421</v>
      </c>
      <c r="X4515" t="s">
        <v>161</v>
      </c>
      <c r="Y4515" t="s">
        <v>2272</v>
      </c>
      <c r="Z4515" t="s">
        <v>2272</v>
      </c>
      <c r="AA4515" t="s">
        <v>2272</v>
      </c>
      <c r="AB4515" t="s">
        <v>2272</v>
      </c>
      <c r="AC4515" t="s">
        <v>162</v>
      </c>
      <c r="AD4515" t="s">
        <v>2272</v>
      </c>
      <c r="AG4515" t="s">
        <v>49</v>
      </c>
      <c r="AI4515" t="s">
        <v>49</v>
      </c>
      <c r="AM4515" t="s">
        <v>202</v>
      </c>
      <c r="AN4515" t="s">
        <v>166</v>
      </c>
      <c r="AQ4515" s="5">
        <v>1</v>
      </c>
    </row>
    <row r="4516" spans="1:45" x14ac:dyDescent="0.2">
      <c r="A4516" t="s">
        <v>2235</v>
      </c>
      <c r="B4516" t="s">
        <v>2219</v>
      </c>
      <c r="C4516">
        <v>1998</v>
      </c>
      <c r="D4516" t="s">
        <v>44</v>
      </c>
      <c r="F4516" t="s">
        <v>1864</v>
      </c>
      <c r="G4516" t="s">
        <v>86</v>
      </c>
      <c r="H4516" t="s">
        <v>96</v>
      </c>
      <c r="I4516">
        <v>1995</v>
      </c>
      <c r="J4516">
        <v>6.8000000000000005E-2</v>
      </c>
      <c r="K4516" t="s">
        <v>104</v>
      </c>
      <c r="M4516">
        <v>3.1999999999999999E-5</v>
      </c>
      <c r="N4516" t="s">
        <v>127</v>
      </c>
      <c r="O4516" t="s">
        <v>1270</v>
      </c>
      <c r="P4516" t="s">
        <v>1514</v>
      </c>
      <c r="Q4516" s="1" t="s">
        <v>2281</v>
      </c>
      <c r="R4516" s="1" t="s">
        <v>2301</v>
      </c>
      <c r="S4516" s="1" t="s">
        <v>2303</v>
      </c>
      <c r="T4516" t="s">
        <v>421</v>
      </c>
      <c r="U4516" t="s">
        <v>421</v>
      </c>
      <c r="X4516" t="s">
        <v>161</v>
      </c>
      <c r="Y4516" t="s">
        <v>2272</v>
      </c>
      <c r="Z4516" t="s">
        <v>2272</v>
      </c>
      <c r="AA4516" t="s">
        <v>2272</v>
      </c>
      <c r="AB4516" t="s">
        <v>2272</v>
      </c>
      <c r="AC4516" t="s">
        <v>162</v>
      </c>
      <c r="AD4516" t="s">
        <v>2272</v>
      </c>
      <c r="AG4516" t="s">
        <v>49</v>
      </c>
      <c r="AI4516" t="s">
        <v>49</v>
      </c>
      <c r="AM4516" t="s">
        <v>202</v>
      </c>
      <c r="AN4516" t="s">
        <v>154</v>
      </c>
      <c r="AQ4516" s="5">
        <v>1</v>
      </c>
    </row>
    <row r="4517" spans="1:45" x14ac:dyDescent="0.2">
      <c r="A4517" t="s">
        <v>2235</v>
      </c>
      <c r="B4517" t="s">
        <v>2219</v>
      </c>
      <c r="C4517">
        <v>1998</v>
      </c>
      <c r="D4517" t="s">
        <v>44</v>
      </c>
      <c r="F4517" t="s">
        <v>1864</v>
      </c>
      <c r="G4517" t="s">
        <v>86</v>
      </c>
      <c r="H4517" t="s">
        <v>96</v>
      </c>
      <c r="I4517">
        <v>1995</v>
      </c>
      <c r="J4517">
        <v>6.8000000000000005E-2</v>
      </c>
      <c r="K4517" t="s">
        <v>104</v>
      </c>
      <c r="M4517">
        <v>3.1999999999999999E-5</v>
      </c>
      <c r="N4517" t="s">
        <v>127</v>
      </c>
      <c r="O4517" t="s">
        <v>1270</v>
      </c>
      <c r="P4517" t="s">
        <v>1514</v>
      </c>
      <c r="Q4517" s="1" t="s">
        <v>2281</v>
      </c>
      <c r="R4517" s="1" t="s">
        <v>2301</v>
      </c>
      <c r="S4517" s="1" t="s">
        <v>2303</v>
      </c>
      <c r="T4517" t="s">
        <v>421</v>
      </c>
      <c r="U4517" t="s">
        <v>421</v>
      </c>
      <c r="X4517" t="s">
        <v>161</v>
      </c>
      <c r="Y4517" t="s">
        <v>2272</v>
      </c>
      <c r="Z4517" t="s">
        <v>2272</v>
      </c>
      <c r="AA4517" t="s">
        <v>2272</v>
      </c>
      <c r="AB4517" t="s">
        <v>2272</v>
      </c>
      <c r="AC4517" t="s">
        <v>162</v>
      </c>
      <c r="AD4517" t="s">
        <v>2272</v>
      </c>
      <c r="AG4517" t="s">
        <v>49</v>
      </c>
      <c r="AK4517" t="s">
        <v>49</v>
      </c>
      <c r="AM4517" t="s">
        <v>664</v>
      </c>
      <c r="AN4517" t="s">
        <v>154</v>
      </c>
      <c r="AQ4517" s="5">
        <v>1</v>
      </c>
    </row>
    <row r="4518" spans="1:45" x14ac:dyDescent="0.2">
      <c r="A4518" t="s">
        <v>2235</v>
      </c>
      <c r="B4518" t="s">
        <v>2219</v>
      </c>
      <c r="C4518">
        <v>1998</v>
      </c>
      <c r="D4518" t="s">
        <v>44</v>
      </c>
      <c r="F4518" t="s">
        <v>1864</v>
      </c>
      <c r="G4518" t="s">
        <v>86</v>
      </c>
      <c r="H4518" t="s">
        <v>96</v>
      </c>
      <c r="I4518">
        <v>1995</v>
      </c>
      <c r="J4518">
        <v>6.8000000000000005E-2</v>
      </c>
      <c r="K4518" t="s">
        <v>104</v>
      </c>
      <c r="M4518">
        <v>3.1999999999999999E-5</v>
      </c>
      <c r="N4518" t="s">
        <v>127</v>
      </c>
      <c r="O4518" t="s">
        <v>1270</v>
      </c>
      <c r="P4518" t="s">
        <v>1514</v>
      </c>
      <c r="Q4518" s="1" t="s">
        <v>2281</v>
      </c>
      <c r="R4518" s="1" t="s">
        <v>2301</v>
      </c>
      <c r="S4518" s="1" t="s">
        <v>2303</v>
      </c>
      <c r="T4518" t="s">
        <v>421</v>
      </c>
      <c r="U4518" t="s">
        <v>421</v>
      </c>
      <c r="X4518" t="s">
        <v>161</v>
      </c>
      <c r="Y4518" t="s">
        <v>2272</v>
      </c>
      <c r="Z4518" t="s">
        <v>2272</v>
      </c>
      <c r="AA4518" t="s">
        <v>2272</v>
      </c>
      <c r="AB4518" t="s">
        <v>2272</v>
      </c>
      <c r="AC4518" t="s">
        <v>162</v>
      </c>
      <c r="AD4518" t="s">
        <v>2272</v>
      </c>
      <c r="AG4518" t="s">
        <v>49</v>
      </c>
      <c r="AK4518" t="s">
        <v>49</v>
      </c>
      <c r="AM4518" t="s">
        <v>664</v>
      </c>
      <c r="AN4518" t="s">
        <v>166</v>
      </c>
      <c r="AQ4518" s="5">
        <v>0</v>
      </c>
    </row>
    <row r="4519" spans="1:45" x14ac:dyDescent="0.2">
      <c r="A4519" t="s">
        <v>2235</v>
      </c>
      <c r="B4519" t="s">
        <v>2219</v>
      </c>
      <c r="C4519">
        <v>1998</v>
      </c>
      <c r="D4519" t="s">
        <v>44</v>
      </c>
      <c r="F4519" t="s">
        <v>1864</v>
      </c>
      <c r="G4519" t="s">
        <v>86</v>
      </c>
      <c r="H4519" t="s">
        <v>96</v>
      </c>
      <c r="I4519">
        <v>1995</v>
      </c>
      <c r="J4519">
        <v>6.8000000000000005E-2</v>
      </c>
      <c r="K4519" t="s">
        <v>104</v>
      </c>
      <c r="M4519">
        <v>3.1999999999999999E-5</v>
      </c>
      <c r="N4519" t="s">
        <v>127</v>
      </c>
      <c r="O4519" t="s">
        <v>1270</v>
      </c>
      <c r="P4519" t="s">
        <v>1514</v>
      </c>
      <c r="Q4519" s="1" t="s">
        <v>2281</v>
      </c>
      <c r="R4519" s="1" t="s">
        <v>2301</v>
      </c>
      <c r="S4519" s="1" t="s">
        <v>2303</v>
      </c>
      <c r="T4519" t="s">
        <v>421</v>
      </c>
      <c r="U4519" t="s">
        <v>421</v>
      </c>
      <c r="X4519" t="s">
        <v>161</v>
      </c>
      <c r="Y4519" t="s">
        <v>2272</v>
      </c>
      <c r="Z4519" t="s">
        <v>2272</v>
      </c>
      <c r="AA4519" t="s">
        <v>2272</v>
      </c>
      <c r="AB4519" t="s">
        <v>2272</v>
      </c>
      <c r="AC4519" t="s">
        <v>162</v>
      </c>
      <c r="AD4519" t="s">
        <v>2272</v>
      </c>
      <c r="AG4519" t="s">
        <v>49</v>
      </c>
      <c r="AK4519" t="s">
        <v>49</v>
      </c>
      <c r="AM4519" t="s">
        <v>2026</v>
      </c>
      <c r="AN4519" t="s">
        <v>166</v>
      </c>
      <c r="AQ4519" s="5">
        <v>1</v>
      </c>
    </row>
    <row r="4520" spans="1:45" x14ac:dyDescent="0.2">
      <c r="A4520" t="s">
        <v>2235</v>
      </c>
      <c r="B4520" t="s">
        <v>2219</v>
      </c>
      <c r="C4520">
        <v>1998</v>
      </c>
      <c r="D4520" t="s">
        <v>44</v>
      </c>
      <c r="F4520" t="s">
        <v>1864</v>
      </c>
      <c r="G4520" t="s">
        <v>86</v>
      </c>
      <c r="H4520" t="s">
        <v>96</v>
      </c>
      <c r="I4520">
        <v>1995</v>
      </c>
      <c r="J4520">
        <v>6.8000000000000005E-2</v>
      </c>
      <c r="K4520" t="s">
        <v>104</v>
      </c>
      <c r="M4520">
        <v>3.1999999999999999E-5</v>
      </c>
      <c r="N4520" t="s">
        <v>127</v>
      </c>
      <c r="O4520" t="s">
        <v>1270</v>
      </c>
      <c r="P4520" t="s">
        <v>1514</v>
      </c>
      <c r="Q4520" s="1" t="s">
        <v>2281</v>
      </c>
      <c r="R4520" s="1" t="s">
        <v>2301</v>
      </c>
      <c r="S4520" s="1" t="s">
        <v>2303</v>
      </c>
      <c r="T4520" t="s">
        <v>421</v>
      </c>
      <c r="U4520" t="s">
        <v>421</v>
      </c>
      <c r="X4520" t="s">
        <v>161</v>
      </c>
      <c r="Y4520" t="s">
        <v>2272</v>
      </c>
      <c r="Z4520" t="s">
        <v>2272</v>
      </c>
      <c r="AA4520" t="s">
        <v>2272</v>
      </c>
      <c r="AB4520" t="s">
        <v>2272</v>
      </c>
      <c r="AC4520" t="s">
        <v>162</v>
      </c>
      <c r="AD4520" t="s">
        <v>2272</v>
      </c>
      <c r="AG4520" t="s">
        <v>49</v>
      </c>
      <c r="AJ4520" t="s">
        <v>49</v>
      </c>
      <c r="AM4520" t="s">
        <v>2236</v>
      </c>
      <c r="AN4520" t="s">
        <v>166</v>
      </c>
      <c r="AQ4520" s="5">
        <v>1</v>
      </c>
    </row>
    <row r="4521" spans="1:45" x14ac:dyDescent="0.2">
      <c r="A4521" t="s">
        <v>2235</v>
      </c>
      <c r="B4521" t="s">
        <v>2219</v>
      </c>
      <c r="C4521">
        <v>1998</v>
      </c>
      <c r="D4521" t="s">
        <v>44</v>
      </c>
      <c r="F4521" t="s">
        <v>1864</v>
      </c>
      <c r="G4521" t="s">
        <v>86</v>
      </c>
      <c r="H4521" t="s">
        <v>96</v>
      </c>
      <c r="I4521">
        <v>1995</v>
      </c>
      <c r="J4521">
        <v>6.8000000000000005E-2</v>
      </c>
      <c r="K4521" t="s">
        <v>104</v>
      </c>
      <c r="M4521">
        <v>3.1999999999999999E-5</v>
      </c>
      <c r="N4521" t="s">
        <v>127</v>
      </c>
      <c r="O4521" t="s">
        <v>1270</v>
      </c>
      <c r="P4521" t="s">
        <v>1514</v>
      </c>
      <c r="Q4521" s="1" t="s">
        <v>2281</v>
      </c>
      <c r="R4521" s="1" t="s">
        <v>2301</v>
      </c>
      <c r="S4521" s="1" t="s">
        <v>2303</v>
      </c>
      <c r="T4521" t="s">
        <v>421</v>
      </c>
      <c r="U4521" t="s">
        <v>421</v>
      </c>
      <c r="X4521" t="s">
        <v>161</v>
      </c>
      <c r="Y4521" t="s">
        <v>2272</v>
      </c>
      <c r="Z4521" t="s">
        <v>2272</v>
      </c>
      <c r="AA4521" t="s">
        <v>2272</v>
      </c>
      <c r="AB4521" t="s">
        <v>2272</v>
      </c>
      <c r="AC4521" t="s">
        <v>162</v>
      </c>
      <c r="AD4521" t="s">
        <v>2272</v>
      </c>
      <c r="AG4521" t="s">
        <v>49</v>
      </c>
      <c r="AJ4521" t="s">
        <v>49</v>
      </c>
      <c r="AM4521" t="s">
        <v>2237</v>
      </c>
      <c r="AN4521" t="s">
        <v>166</v>
      </c>
      <c r="AQ4521" s="5">
        <v>0</v>
      </c>
    </row>
    <row r="4522" spans="1:45" x14ac:dyDescent="0.2">
      <c r="A4522" t="s">
        <v>2235</v>
      </c>
      <c r="B4522" t="s">
        <v>2219</v>
      </c>
      <c r="C4522">
        <v>1998</v>
      </c>
      <c r="D4522" t="s">
        <v>44</v>
      </c>
      <c r="F4522" t="s">
        <v>1864</v>
      </c>
      <c r="G4522" t="s">
        <v>86</v>
      </c>
      <c r="H4522" t="s">
        <v>96</v>
      </c>
      <c r="I4522">
        <v>1995</v>
      </c>
      <c r="J4522">
        <v>6.8000000000000005E-2</v>
      </c>
      <c r="K4522" t="s">
        <v>104</v>
      </c>
      <c r="M4522">
        <v>3.1999999999999999E-5</v>
      </c>
      <c r="N4522" t="s">
        <v>127</v>
      </c>
      <c r="O4522" t="s">
        <v>1270</v>
      </c>
      <c r="P4522" t="s">
        <v>1514</v>
      </c>
      <c r="Q4522" s="1" t="s">
        <v>2281</v>
      </c>
      <c r="R4522" s="1" t="s">
        <v>2301</v>
      </c>
      <c r="S4522" s="1" t="s">
        <v>2303</v>
      </c>
      <c r="T4522" t="s">
        <v>421</v>
      </c>
      <c r="U4522" t="s">
        <v>421</v>
      </c>
      <c r="X4522" t="s">
        <v>161</v>
      </c>
      <c r="Y4522" t="s">
        <v>2272</v>
      </c>
      <c r="Z4522" t="s">
        <v>2272</v>
      </c>
      <c r="AA4522" t="s">
        <v>2272</v>
      </c>
      <c r="AB4522" t="s">
        <v>2272</v>
      </c>
      <c r="AC4522" t="s">
        <v>162</v>
      </c>
      <c r="AD4522" t="s">
        <v>2272</v>
      </c>
      <c r="AG4522" t="s">
        <v>49</v>
      </c>
      <c r="AJ4522" t="s">
        <v>49</v>
      </c>
      <c r="AM4522" t="s">
        <v>2238</v>
      </c>
      <c r="AN4522" t="s">
        <v>166</v>
      </c>
      <c r="AQ4522" s="5">
        <v>1</v>
      </c>
    </row>
    <row r="4523" spans="1:45" x14ac:dyDescent="0.2">
      <c r="A4523" t="s">
        <v>2235</v>
      </c>
      <c r="B4523" t="s">
        <v>2219</v>
      </c>
      <c r="C4523">
        <v>1998</v>
      </c>
      <c r="D4523" t="s">
        <v>44</v>
      </c>
      <c r="F4523" t="s">
        <v>1864</v>
      </c>
      <c r="G4523" t="s">
        <v>86</v>
      </c>
      <c r="H4523" t="s">
        <v>96</v>
      </c>
      <c r="I4523">
        <v>1995</v>
      </c>
      <c r="J4523">
        <v>6.8000000000000005E-2</v>
      </c>
      <c r="K4523" t="s">
        <v>104</v>
      </c>
      <c r="M4523">
        <v>3.1999999999999999E-5</v>
      </c>
      <c r="N4523" t="s">
        <v>127</v>
      </c>
      <c r="O4523" t="s">
        <v>1270</v>
      </c>
      <c r="P4523" t="s">
        <v>1514</v>
      </c>
      <c r="Q4523" s="1" t="s">
        <v>2281</v>
      </c>
      <c r="R4523" s="1" t="s">
        <v>2301</v>
      </c>
      <c r="S4523" s="1" t="s">
        <v>2303</v>
      </c>
      <c r="T4523" t="s">
        <v>421</v>
      </c>
      <c r="U4523" t="s">
        <v>421</v>
      </c>
      <c r="X4523" t="s">
        <v>161</v>
      </c>
      <c r="Y4523" t="s">
        <v>2272</v>
      </c>
      <c r="Z4523" t="s">
        <v>2272</v>
      </c>
      <c r="AA4523" t="s">
        <v>2272</v>
      </c>
      <c r="AB4523" t="s">
        <v>2272</v>
      </c>
      <c r="AC4523" t="s">
        <v>162</v>
      </c>
      <c r="AD4523" t="s">
        <v>2272</v>
      </c>
      <c r="AG4523" t="s">
        <v>49</v>
      </c>
      <c r="AJ4523" t="s">
        <v>49</v>
      </c>
      <c r="AM4523" t="s">
        <v>2239</v>
      </c>
      <c r="AN4523" t="s">
        <v>166</v>
      </c>
      <c r="AQ4523" s="5">
        <v>1</v>
      </c>
    </row>
    <row r="4524" spans="1:45" x14ac:dyDescent="0.2">
      <c r="A4524" t="s">
        <v>2235</v>
      </c>
      <c r="B4524" t="s">
        <v>2219</v>
      </c>
      <c r="C4524">
        <v>1998</v>
      </c>
      <c r="D4524" t="s">
        <v>44</v>
      </c>
      <c r="F4524" t="s">
        <v>1864</v>
      </c>
      <c r="G4524" t="s">
        <v>86</v>
      </c>
      <c r="H4524" t="s">
        <v>96</v>
      </c>
      <c r="I4524">
        <v>1995</v>
      </c>
      <c r="J4524">
        <v>6.8000000000000005E-2</v>
      </c>
      <c r="K4524" t="s">
        <v>104</v>
      </c>
      <c r="M4524">
        <v>3.1999999999999999E-5</v>
      </c>
      <c r="N4524" t="s">
        <v>127</v>
      </c>
      <c r="O4524" t="s">
        <v>1270</v>
      </c>
      <c r="P4524" t="s">
        <v>1514</v>
      </c>
      <c r="Q4524" s="1" t="s">
        <v>2281</v>
      </c>
      <c r="R4524" s="1" t="s">
        <v>2301</v>
      </c>
      <c r="S4524" s="1" t="s">
        <v>2303</v>
      </c>
      <c r="T4524" t="s">
        <v>421</v>
      </c>
      <c r="U4524" t="s">
        <v>421</v>
      </c>
      <c r="X4524" t="s">
        <v>161</v>
      </c>
      <c r="Y4524" t="s">
        <v>2272</v>
      </c>
      <c r="Z4524" t="s">
        <v>2272</v>
      </c>
      <c r="AA4524" t="s">
        <v>2272</v>
      </c>
      <c r="AB4524" t="s">
        <v>2272</v>
      </c>
      <c r="AC4524" t="s">
        <v>162</v>
      </c>
      <c r="AD4524" t="s">
        <v>2272</v>
      </c>
      <c r="AL4524" t="s">
        <v>49</v>
      </c>
      <c r="AM4524" t="s">
        <v>518</v>
      </c>
      <c r="AN4524" t="s">
        <v>166</v>
      </c>
      <c r="AQ4524" s="5">
        <v>1</v>
      </c>
    </row>
    <row r="4525" spans="1:45" x14ac:dyDescent="0.2">
      <c r="A4525" t="s">
        <v>2235</v>
      </c>
      <c r="B4525" t="s">
        <v>2219</v>
      </c>
      <c r="C4525">
        <v>1998</v>
      </c>
      <c r="D4525" t="s">
        <v>44</v>
      </c>
      <c r="F4525" t="s">
        <v>1864</v>
      </c>
      <c r="G4525" t="s">
        <v>86</v>
      </c>
      <c r="H4525" t="s">
        <v>96</v>
      </c>
      <c r="I4525">
        <v>1995</v>
      </c>
      <c r="J4525">
        <v>6.8000000000000005E-2</v>
      </c>
      <c r="K4525" t="s">
        <v>104</v>
      </c>
      <c r="M4525">
        <v>3.1999999999999999E-5</v>
      </c>
      <c r="N4525" t="s">
        <v>127</v>
      </c>
      <c r="O4525" t="s">
        <v>1270</v>
      </c>
      <c r="P4525" t="s">
        <v>1514</v>
      </c>
      <c r="Q4525" s="1" t="s">
        <v>2281</v>
      </c>
      <c r="R4525" s="1" t="s">
        <v>2301</v>
      </c>
      <c r="S4525" s="1" t="s">
        <v>2303</v>
      </c>
      <c r="T4525" t="s">
        <v>421</v>
      </c>
      <c r="U4525" t="s">
        <v>421</v>
      </c>
      <c r="X4525" t="s">
        <v>161</v>
      </c>
      <c r="Y4525" t="s">
        <v>2272</v>
      </c>
      <c r="Z4525" t="s">
        <v>2272</v>
      </c>
      <c r="AA4525" t="s">
        <v>2272</v>
      </c>
      <c r="AB4525" t="s">
        <v>2272</v>
      </c>
      <c r="AC4525" t="s">
        <v>162</v>
      </c>
      <c r="AD4525" t="s">
        <v>2272</v>
      </c>
      <c r="AG4525" t="s">
        <v>49</v>
      </c>
      <c r="AL4525" t="s">
        <v>49</v>
      </c>
      <c r="AM4525" t="s">
        <v>2222</v>
      </c>
      <c r="AN4525" t="s">
        <v>166</v>
      </c>
      <c r="AQ4525" s="5">
        <v>1</v>
      </c>
    </row>
    <row r="4526" spans="1:45" x14ac:dyDescent="0.2">
      <c r="A4526" t="s">
        <v>2235</v>
      </c>
      <c r="B4526" t="s">
        <v>2219</v>
      </c>
      <c r="C4526">
        <v>1998</v>
      </c>
      <c r="D4526" t="s">
        <v>44</v>
      </c>
      <c r="F4526" t="s">
        <v>1864</v>
      </c>
      <c r="G4526" t="s">
        <v>86</v>
      </c>
      <c r="H4526" t="s">
        <v>96</v>
      </c>
      <c r="I4526">
        <v>1995</v>
      </c>
      <c r="J4526">
        <v>6.8000000000000005E-2</v>
      </c>
      <c r="K4526" t="s">
        <v>104</v>
      </c>
      <c r="M4526">
        <v>3.1999999999999999E-5</v>
      </c>
      <c r="N4526" t="s">
        <v>127</v>
      </c>
      <c r="O4526" t="s">
        <v>1270</v>
      </c>
      <c r="P4526" t="s">
        <v>1514</v>
      </c>
      <c r="Q4526" s="1" t="s">
        <v>2281</v>
      </c>
      <c r="R4526" s="1" t="s">
        <v>2301</v>
      </c>
      <c r="S4526" s="1" t="s">
        <v>2303</v>
      </c>
      <c r="T4526" t="s">
        <v>421</v>
      </c>
      <c r="U4526" t="s">
        <v>421</v>
      </c>
      <c r="X4526" t="s">
        <v>161</v>
      </c>
      <c r="Y4526" t="s">
        <v>2272</v>
      </c>
      <c r="Z4526" t="s">
        <v>2272</v>
      </c>
      <c r="AA4526" t="s">
        <v>2272</v>
      </c>
      <c r="AB4526" t="s">
        <v>2272</v>
      </c>
      <c r="AC4526" t="s">
        <v>162</v>
      </c>
      <c r="AD4526" t="s">
        <v>2272</v>
      </c>
      <c r="AG4526" t="s">
        <v>49</v>
      </c>
      <c r="AL4526" t="s">
        <v>49</v>
      </c>
      <c r="AM4526" t="s">
        <v>2240</v>
      </c>
      <c r="AN4526" t="s">
        <v>166</v>
      </c>
      <c r="AQ4526" s="5">
        <v>1</v>
      </c>
    </row>
    <row r="4527" spans="1:45" x14ac:dyDescent="0.2">
      <c r="A4527" t="s">
        <v>2235</v>
      </c>
      <c r="B4527" t="s">
        <v>2219</v>
      </c>
      <c r="C4527">
        <v>1998</v>
      </c>
      <c r="D4527" t="s">
        <v>44</v>
      </c>
      <c r="F4527" t="s">
        <v>1864</v>
      </c>
      <c r="G4527" t="s">
        <v>86</v>
      </c>
      <c r="H4527" t="s">
        <v>96</v>
      </c>
      <c r="I4527">
        <v>1995</v>
      </c>
      <c r="J4527">
        <v>6.8000000000000005E-2</v>
      </c>
      <c r="K4527" t="s">
        <v>104</v>
      </c>
      <c r="M4527">
        <v>3.1999999999999999E-5</v>
      </c>
      <c r="N4527" t="s">
        <v>127</v>
      </c>
      <c r="O4527" t="s">
        <v>1270</v>
      </c>
      <c r="P4527" t="s">
        <v>1514</v>
      </c>
      <c r="Q4527" s="1" t="s">
        <v>2281</v>
      </c>
      <c r="R4527" s="1" t="s">
        <v>2301</v>
      </c>
      <c r="S4527" s="1" t="s">
        <v>2303</v>
      </c>
      <c r="T4527" t="s">
        <v>421</v>
      </c>
      <c r="U4527" t="s">
        <v>421</v>
      </c>
      <c r="X4527" t="s">
        <v>161</v>
      </c>
      <c r="Y4527" t="s">
        <v>2272</v>
      </c>
      <c r="Z4527" t="s">
        <v>2272</v>
      </c>
      <c r="AA4527" t="s">
        <v>2272</v>
      </c>
      <c r="AB4527" t="s">
        <v>2272</v>
      </c>
      <c r="AC4527" t="s">
        <v>162</v>
      </c>
      <c r="AD4527" t="s">
        <v>2272</v>
      </c>
      <c r="AG4527" t="s">
        <v>49</v>
      </c>
      <c r="AL4527" t="s">
        <v>49</v>
      </c>
      <c r="AM4527" t="s">
        <v>2241</v>
      </c>
      <c r="AN4527" t="s">
        <v>166</v>
      </c>
      <c r="AQ4527" s="5">
        <v>1</v>
      </c>
    </row>
    <row r="4528" spans="1:45" x14ac:dyDescent="0.2">
      <c r="A4528" t="s">
        <v>2235</v>
      </c>
      <c r="B4528" t="s">
        <v>2219</v>
      </c>
      <c r="C4528">
        <v>1998</v>
      </c>
      <c r="D4528" t="s">
        <v>44</v>
      </c>
      <c r="F4528" t="s">
        <v>1864</v>
      </c>
      <c r="G4528" t="s">
        <v>86</v>
      </c>
      <c r="H4528" t="s">
        <v>96</v>
      </c>
      <c r="I4528">
        <v>1995</v>
      </c>
      <c r="J4528">
        <v>6.8000000000000005E-2</v>
      </c>
      <c r="K4528" t="s">
        <v>104</v>
      </c>
      <c r="M4528">
        <v>3.1999999999999999E-5</v>
      </c>
      <c r="N4528" t="s">
        <v>127</v>
      </c>
      <c r="O4528" t="s">
        <v>1270</v>
      </c>
      <c r="P4528" t="s">
        <v>1514</v>
      </c>
      <c r="Q4528" s="1" t="s">
        <v>2281</v>
      </c>
      <c r="R4528" s="1" t="s">
        <v>2301</v>
      </c>
      <c r="S4528" s="1" t="s">
        <v>2303</v>
      </c>
      <c r="T4528" t="s">
        <v>421</v>
      </c>
      <c r="U4528" t="s">
        <v>421</v>
      </c>
      <c r="X4528" t="s">
        <v>161</v>
      </c>
      <c r="Y4528" t="s">
        <v>2272</v>
      </c>
      <c r="Z4528" t="s">
        <v>2272</v>
      </c>
      <c r="AA4528" t="s">
        <v>2272</v>
      </c>
      <c r="AB4528" t="s">
        <v>2272</v>
      </c>
      <c r="AC4528" t="s">
        <v>162</v>
      </c>
      <c r="AD4528" t="s">
        <v>2272</v>
      </c>
      <c r="AG4528" t="s">
        <v>49</v>
      </c>
      <c r="AL4528" t="s">
        <v>49</v>
      </c>
      <c r="AM4528" t="s">
        <v>2242</v>
      </c>
      <c r="AN4528" t="s">
        <v>166</v>
      </c>
      <c r="AQ4528" s="5">
        <v>0</v>
      </c>
    </row>
    <row r="4529" spans="1:43" x14ac:dyDescent="0.2">
      <c r="A4529" t="s">
        <v>2235</v>
      </c>
      <c r="B4529" t="s">
        <v>2219</v>
      </c>
      <c r="C4529">
        <v>1998</v>
      </c>
      <c r="D4529" t="s">
        <v>44</v>
      </c>
      <c r="F4529" t="s">
        <v>1864</v>
      </c>
      <c r="G4529" t="s">
        <v>86</v>
      </c>
      <c r="H4529" t="s">
        <v>96</v>
      </c>
      <c r="I4529">
        <v>1995</v>
      </c>
      <c r="J4529">
        <v>6.8000000000000005E-2</v>
      </c>
      <c r="K4529" t="s">
        <v>104</v>
      </c>
      <c r="M4529">
        <v>3.1999999999999999E-5</v>
      </c>
      <c r="N4529" t="s">
        <v>127</v>
      </c>
      <c r="O4529" t="s">
        <v>1270</v>
      </c>
      <c r="P4529" t="s">
        <v>1514</v>
      </c>
      <c r="Q4529" s="1" t="s">
        <v>2281</v>
      </c>
      <c r="R4529" s="1" t="s">
        <v>2301</v>
      </c>
      <c r="S4529" s="1" t="s">
        <v>2303</v>
      </c>
      <c r="T4529" t="s">
        <v>421</v>
      </c>
      <c r="U4529" t="s">
        <v>421</v>
      </c>
      <c r="X4529" t="s">
        <v>161</v>
      </c>
      <c r="Y4529" t="s">
        <v>2272</v>
      </c>
      <c r="Z4529" t="s">
        <v>2272</v>
      </c>
      <c r="AA4529" t="s">
        <v>2272</v>
      </c>
      <c r="AB4529" t="s">
        <v>2272</v>
      </c>
      <c r="AC4529" t="s">
        <v>162</v>
      </c>
      <c r="AD4529" t="s">
        <v>2272</v>
      </c>
      <c r="AG4529" t="s">
        <v>49</v>
      </c>
      <c r="AL4529" t="s">
        <v>49</v>
      </c>
      <c r="AM4529" t="s">
        <v>2243</v>
      </c>
      <c r="AN4529" t="s">
        <v>166</v>
      </c>
      <c r="AQ4529" s="5">
        <v>0</v>
      </c>
    </row>
    <row r="4530" spans="1:43" x14ac:dyDescent="0.2">
      <c r="A4530" t="s">
        <v>2235</v>
      </c>
      <c r="B4530" t="s">
        <v>2219</v>
      </c>
      <c r="C4530">
        <v>1998</v>
      </c>
      <c r="D4530" t="s">
        <v>44</v>
      </c>
      <c r="F4530" t="s">
        <v>1864</v>
      </c>
      <c r="G4530" t="s">
        <v>86</v>
      </c>
      <c r="H4530" t="s">
        <v>96</v>
      </c>
      <c r="I4530">
        <v>1995</v>
      </c>
      <c r="J4530">
        <v>6.8000000000000005E-2</v>
      </c>
      <c r="K4530" t="s">
        <v>104</v>
      </c>
      <c r="M4530">
        <v>3.1999999999999999E-5</v>
      </c>
      <c r="N4530" t="s">
        <v>127</v>
      </c>
      <c r="O4530" t="s">
        <v>1270</v>
      </c>
      <c r="P4530" t="s">
        <v>1514</v>
      </c>
      <c r="Q4530" s="1" t="s">
        <v>2281</v>
      </c>
      <c r="R4530" s="1" t="s">
        <v>2301</v>
      </c>
      <c r="S4530" s="1" t="s">
        <v>2303</v>
      </c>
      <c r="T4530" t="s">
        <v>421</v>
      </c>
      <c r="U4530" t="s">
        <v>421</v>
      </c>
      <c r="X4530" t="s">
        <v>161</v>
      </c>
      <c r="Y4530" t="s">
        <v>2272</v>
      </c>
      <c r="Z4530" t="s">
        <v>2272</v>
      </c>
      <c r="AA4530" t="s">
        <v>2272</v>
      </c>
      <c r="AB4530" t="s">
        <v>2272</v>
      </c>
      <c r="AC4530" t="s">
        <v>162</v>
      </c>
      <c r="AD4530" t="s">
        <v>2272</v>
      </c>
      <c r="AG4530" t="s">
        <v>49</v>
      </c>
      <c r="AL4530" t="s">
        <v>49</v>
      </c>
      <c r="AM4530" t="s">
        <v>2244</v>
      </c>
      <c r="AN4530" t="s">
        <v>166</v>
      </c>
      <c r="AQ4530" s="5">
        <v>0</v>
      </c>
    </row>
    <row r="4531" spans="1:43" x14ac:dyDescent="0.2">
      <c r="A4531" t="s">
        <v>2235</v>
      </c>
      <c r="B4531" t="s">
        <v>2219</v>
      </c>
      <c r="C4531">
        <v>1998</v>
      </c>
      <c r="D4531" t="s">
        <v>44</v>
      </c>
      <c r="F4531" t="s">
        <v>1864</v>
      </c>
      <c r="G4531" t="s">
        <v>86</v>
      </c>
      <c r="H4531" t="s">
        <v>96</v>
      </c>
      <c r="I4531">
        <v>1995</v>
      </c>
      <c r="J4531">
        <v>6.8000000000000005E-2</v>
      </c>
      <c r="K4531" t="s">
        <v>104</v>
      </c>
      <c r="M4531">
        <v>3.1999999999999999E-5</v>
      </c>
      <c r="N4531" t="s">
        <v>127</v>
      </c>
      <c r="O4531" t="s">
        <v>1270</v>
      </c>
      <c r="P4531" t="s">
        <v>1514</v>
      </c>
      <c r="Q4531" s="1" t="s">
        <v>2281</v>
      </c>
      <c r="R4531" s="1" t="s">
        <v>2301</v>
      </c>
      <c r="S4531" s="1" t="s">
        <v>2303</v>
      </c>
      <c r="T4531" t="s">
        <v>421</v>
      </c>
      <c r="U4531" t="s">
        <v>421</v>
      </c>
      <c r="X4531" t="s">
        <v>161</v>
      </c>
      <c r="Y4531" t="s">
        <v>2272</v>
      </c>
      <c r="Z4531" t="s">
        <v>2272</v>
      </c>
      <c r="AA4531" t="s">
        <v>2272</v>
      </c>
      <c r="AB4531" t="s">
        <v>2272</v>
      </c>
      <c r="AC4531" t="s">
        <v>162</v>
      </c>
      <c r="AD4531" t="s">
        <v>2272</v>
      </c>
      <c r="AG4531" t="s">
        <v>49</v>
      </c>
      <c r="AL4531" t="s">
        <v>49</v>
      </c>
      <c r="AM4531" t="s">
        <v>1094</v>
      </c>
      <c r="AN4531" t="s">
        <v>166</v>
      </c>
      <c r="AQ4531" s="5">
        <v>0</v>
      </c>
    </row>
    <row r="4532" spans="1:43" x14ac:dyDescent="0.2">
      <c r="A4532" t="s">
        <v>2235</v>
      </c>
      <c r="B4532" t="s">
        <v>2219</v>
      </c>
      <c r="C4532">
        <v>1998</v>
      </c>
      <c r="D4532" t="s">
        <v>44</v>
      </c>
      <c r="F4532" t="s">
        <v>1864</v>
      </c>
      <c r="G4532" t="s">
        <v>86</v>
      </c>
      <c r="H4532" t="s">
        <v>96</v>
      </c>
      <c r="I4532">
        <v>1995</v>
      </c>
      <c r="J4532">
        <v>6.8000000000000005E-2</v>
      </c>
      <c r="K4532" t="s">
        <v>104</v>
      </c>
      <c r="M4532">
        <v>3.1999999999999999E-5</v>
      </c>
      <c r="N4532" t="s">
        <v>127</v>
      </c>
      <c r="O4532" t="s">
        <v>1270</v>
      </c>
      <c r="P4532" t="s">
        <v>1514</v>
      </c>
      <c r="Q4532" s="1" t="s">
        <v>2281</v>
      </c>
      <c r="R4532" s="1" t="s">
        <v>2301</v>
      </c>
      <c r="S4532" s="1" t="s">
        <v>2303</v>
      </c>
      <c r="T4532" t="s">
        <v>421</v>
      </c>
      <c r="U4532" t="s">
        <v>421</v>
      </c>
      <c r="X4532" t="s">
        <v>161</v>
      </c>
      <c r="Y4532" t="s">
        <v>2272</v>
      </c>
      <c r="Z4532" t="s">
        <v>2272</v>
      </c>
      <c r="AA4532" t="s">
        <v>2272</v>
      </c>
      <c r="AB4532" t="s">
        <v>2272</v>
      </c>
      <c r="AC4532" t="s">
        <v>162</v>
      </c>
      <c r="AD4532" t="s">
        <v>2272</v>
      </c>
      <c r="AG4532" t="s">
        <v>49</v>
      </c>
      <c r="AI4532" t="s">
        <v>49</v>
      </c>
      <c r="AM4532" t="s">
        <v>202</v>
      </c>
      <c r="AN4532" t="s">
        <v>165</v>
      </c>
      <c r="AP4532" t="s">
        <v>49</v>
      </c>
    </row>
    <row r="4533" spans="1:43" x14ac:dyDescent="0.2">
      <c r="A4533" t="s">
        <v>2245</v>
      </c>
      <c r="B4533" t="s">
        <v>2234</v>
      </c>
      <c r="C4533">
        <v>1998</v>
      </c>
      <c r="D4533" t="s">
        <v>44</v>
      </c>
      <c r="F4533" t="s">
        <v>81</v>
      </c>
      <c r="G4533" t="s">
        <v>91</v>
      </c>
      <c r="H4533" t="s">
        <v>96</v>
      </c>
      <c r="I4533" t="s">
        <v>2246</v>
      </c>
      <c r="J4533">
        <v>3.5</v>
      </c>
      <c r="K4533" t="s">
        <v>102</v>
      </c>
      <c r="L4533">
        <v>0.02</v>
      </c>
      <c r="M4533">
        <v>1E-3</v>
      </c>
      <c r="N4533" t="s">
        <v>123</v>
      </c>
      <c r="O4533" t="s">
        <v>123</v>
      </c>
      <c r="P4533" t="s">
        <v>1947</v>
      </c>
      <c r="Q4533" s="1" t="s">
        <v>2281</v>
      </c>
      <c r="R4533" s="1" t="s">
        <v>2282</v>
      </c>
      <c r="S4533" s="1" t="s">
        <v>123</v>
      </c>
      <c r="V4533" t="s">
        <v>194</v>
      </c>
      <c r="W4533" t="s">
        <v>1947</v>
      </c>
      <c r="X4533" t="s">
        <v>293</v>
      </c>
      <c r="Y4533" t="s">
        <v>2273</v>
      </c>
      <c r="Z4533" t="s">
        <v>249</v>
      </c>
      <c r="AA4533" t="s">
        <v>2359</v>
      </c>
      <c r="AB4533" t="s">
        <v>1419</v>
      </c>
      <c r="AC4533" t="s">
        <v>152</v>
      </c>
      <c r="AD4533" t="s">
        <v>137</v>
      </c>
    </row>
    <row r="4534" spans="1:43" x14ac:dyDescent="0.2">
      <c r="A4534" t="s">
        <v>2245</v>
      </c>
      <c r="B4534" t="s">
        <v>2234</v>
      </c>
      <c r="C4534">
        <v>1998</v>
      </c>
      <c r="D4534" t="s">
        <v>44</v>
      </c>
      <c r="F4534" t="s">
        <v>81</v>
      </c>
      <c r="G4534" t="s">
        <v>91</v>
      </c>
      <c r="H4534" t="s">
        <v>96</v>
      </c>
      <c r="I4534" t="s">
        <v>2246</v>
      </c>
      <c r="J4534">
        <v>3.5</v>
      </c>
      <c r="K4534" t="s">
        <v>102</v>
      </c>
      <c r="L4534">
        <v>0.02</v>
      </c>
      <c r="M4534">
        <v>1E-3</v>
      </c>
      <c r="N4534" t="s">
        <v>123</v>
      </c>
      <c r="O4534" t="s">
        <v>123</v>
      </c>
      <c r="P4534" t="s">
        <v>1947</v>
      </c>
      <c r="Q4534" s="1" t="s">
        <v>2281</v>
      </c>
      <c r="R4534" s="1" t="s">
        <v>2282</v>
      </c>
      <c r="S4534" s="1" t="s">
        <v>123</v>
      </c>
      <c r="V4534" t="s">
        <v>194</v>
      </c>
      <c r="W4534" t="s">
        <v>1947</v>
      </c>
      <c r="X4534" t="s">
        <v>642</v>
      </c>
      <c r="Y4534" t="s">
        <v>2273</v>
      </c>
      <c r="Z4534" t="s">
        <v>249</v>
      </c>
      <c r="AA4534" t="s">
        <v>2359</v>
      </c>
      <c r="AB4534" t="s">
        <v>1979</v>
      </c>
      <c r="AC4534" t="s">
        <v>315</v>
      </c>
      <c r="AD4534" t="s">
        <v>137</v>
      </c>
    </row>
    <row r="4535" spans="1:43" x14ac:dyDescent="0.2">
      <c r="A4535" t="s">
        <v>2245</v>
      </c>
      <c r="B4535" t="s">
        <v>2234</v>
      </c>
      <c r="C4535">
        <v>1998</v>
      </c>
      <c r="D4535" t="s">
        <v>44</v>
      </c>
      <c r="F4535" t="s">
        <v>81</v>
      </c>
      <c r="G4535" t="s">
        <v>91</v>
      </c>
      <c r="H4535" t="s">
        <v>96</v>
      </c>
      <c r="I4535" t="s">
        <v>2246</v>
      </c>
      <c r="J4535">
        <v>3.5</v>
      </c>
      <c r="K4535" t="s">
        <v>102</v>
      </c>
      <c r="L4535">
        <v>0.02</v>
      </c>
      <c r="M4535">
        <v>1E-3</v>
      </c>
      <c r="N4535" t="s">
        <v>123</v>
      </c>
      <c r="O4535" t="s">
        <v>123</v>
      </c>
      <c r="P4535" t="s">
        <v>1947</v>
      </c>
      <c r="Q4535" s="1" t="s">
        <v>2281</v>
      </c>
      <c r="R4535" s="1" t="s">
        <v>2282</v>
      </c>
      <c r="S4535" s="1" t="s">
        <v>123</v>
      </c>
      <c r="V4535" t="s">
        <v>194</v>
      </c>
      <c r="W4535" t="s">
        <v>1947</v>
      </c>
      <c r="X4535" t="s">
        <v>189</v>
      </c>
      <c r="Y4535" t="s">
        <v>2279</v>
      </c>
      <c r="Z4535" t="s">
        <v>2280</v>
      </c>
      <c r="AA4535" t="s">
        <v>2358</v>
      </c>
      <c r="AB4535" t="s">
        <v>189</v>
      </c>
      <c r="AC4535" t="s">
        <v>152</v>
      </c>
      <c r="AD4535" t="s">
        <v>2278</v>
      </c>
    </row>
    <row r="4536" spans="1:43" x14ac:dyDescent="0.2">
      <c r="A4536" t="s">
        <v>2245</v>
      </c>
      <c r="B4536" t="s">
        <v>2234</v>
      </c>
      <c r="C4536">
        <v>1998</v>
      </c>
      <c r="D4536" t="s">
        <v>44</v>
      </c>
      <c r="F4536" t="s">
        <v>81</v>
      </c>
      <c r="G4536" t="s">
        <v>91</v>
      </c>
      <c r="H4536" t="s">
        <v>96</v>
      </c>
      <c r="I4536" t="s">
        <v>2246</v>
      </c>
      <c r="J4536">
        <v>3.5</v>
      </c>
      <c r="K4536" t="s">
        <v>102</v>
      </c>
      <c r="L4536">
        <v>0.02</v>
      </c>
      <c r="M4536">
        <v>1E-3</v>
      </c>
      <c r="N4536" t="s">
        <v>123</v>
      </c>
      <c r="O4536" t="s">
        <v>123</v>
      </c>
      <c r="P4536" t="s">
        <v>1947</v>
      </c>
      <c r="Q4536" s="1" t="s">
        <v>2281</v>
      </c>
      <c r="R4536" s="1" t="s">
        <v>2282</v>
      </c>
      <c r="S4536" s="1" t="s">
        <v>123</v>
      </c>
      <c r="T4536" t="s">
        <v>421</v>
      </c>
      <c r="U4536" t="s">
        <v>421</v>
      </c>
      <c r="V4536" t="s">
        <v>194</v>
      </c>
      <c r="W4536" t="s">
        <v>1947</v>
      </c>
      <c r="X4536" t="s">
        <v>161</v>
      </c>
      <c r="Y4536" t="s">
        <v>2272</v>
      </c>
      <c r="Z4536" t="s">
        <v>2272</v>
      </c>
      <c r="AA4536" t="s">
        <v>2272</v>
      </c>
      <c r="AB4536" t="s">
        <v>2272</v>
      </c>
      <c r="AC4536" t="s">
        <v>162</v>
      </c>
      <c r="AD4536" t="s">
        <v>2272</v>
      </c>
      <c r="AG4536" t="s">
        <v>49</v>
      </c>
      <c r="AI4536" t="s">
        <v>49</v>
      </c>
      <c r="AM4536" t="s">
        <v>202</v>
      </c>
      <c r="AN4536" t="s">
        <v>166</v>
      </c>
      <c r="AQ4536" s="5">
        <v>1</v>
      </c>
    </row>
    <row r="4537" spans="1:43" x14ac:dyDescent="0.2">
      <c r="A4537" t="s">
        <v>2245</v>
      </c>
      <c r="B4537" t="s">
        <v>2234</v>
      </c>
      <c r="C4537">
        <v>1998</v>
      </c>
      <c r="D4537" t="s">
        <v>44</v>
      </c>
      <c r="F4537" t="s">
        <v>81</v>
      </c>
      <c r="G4537" t="s">
        <v>91</v>
      </c>
      <c r="H4537" t="s">
        <v>96</v>
      </c>
      <c r="I4537" t="s">
        <v>2246</v>
      </c>
      <c r="J4537">
        <v>3.5</v>
      </c>
      <c r="K4537" t="s">
        <v>102</v>
      </c>
      <c r="L4537">
        <v>0.02</v>
      </c>
      <c r="M4537">
        <v>1E-3</v>
      </c>
      <c r="N4537" t="s">
        <v>123</v>
      </c>
      <c r="O4537" t="s">
        <v>123</v>
      </c>
      <c r="P4537" t="s">
        <v>1947</v>
      </c>
      <c r="Q4537" s="1" t="s">
        <v>2281</v>
      </c>
      <c r="R4537" s="1" t="s">
        <v>2282</v>
      </c>
      <c r="S4537" s="1" t="s">
        <v>123</v>
      </c>
      <c r="T4537" t="s">
        <v>421</v>
      </c>
      <c r="U4537" t="s">
        <v>421</v>
      </c>
      <c r="V4537" t="s">
        <v>194</v>
      </c>
      <c r="W4537" t="s">
        <v>1947</v>
      </c>
      <c r="X4537" t="s">
        <v>161</v>
      </c>
      <c r="Y4537" t="s">
        <v>2272</v>
      </c>
      <c r="Z4537" t="s">
        <v>2272</v>
      </c>
      <c r="AA4537" t="s">
        <v>2272</v>
      </c>
      <c r="AB4537" t="s">
        <v>2272</v>
      </c>
      <c r="AC4537" t="s">
        <v>162</v>
      </c>
      <c r="AD4537" t="s">
        <v>2272</v>
      </c>
      <c r="AG4537" t="s">
        <v>49</v>
      </c>
      <c r="AK4537" t="s">
        <v>49</v>
      </c>
      <c r="AM4537" t="s">
        <v>424</v>
      </c>
      <c r="AN4537" t="s">
        <v>166</v>
      </c>
      <c r="AQ4537" s="5">
        <v>1</v>
      </c>
    </row>
    <row r="4538" spans="1:43" x14ac:dyDescent="0.2">
      <c r="A4538" t="s">
        <v>2245</v>
      </c>
      <c r="B4538" t="s">
        <v>2234</v>
      </c>
      <c r="C4538">
        <v>1998</v>
      </c>
      <c r="D4538" t="s">
        <v>44</v>
      </c>
      <c r="F4538" t="s">
        <v>81</v>
      </c>
      <c r="G4538" t="s">
        <v>91</v>
      </c>
      <c r="H4538" t="s">
        <v>96</v>
      </c>
      <c r="I4538" t="s">
        <v>2246</v>
      </c>
      <c r="J4538">
        <v>3.5</v>
      </c>
      <c r="K4538" t="s">
        <v>102</v>
      </c>
      <c r="L4538">
        <v>0.02</v>
      </c>
      <c r="M4538">
        <v>1E-3</v>
      </c>
      <c r="N4538" t="s">
        <v>123</v>
      </c>
      <c r="O4538" t="s">
        <v>123</v>
      </c>
      <c r="P4538" t="s">
        <v>1947</v>
      </c>
      <c r="Q4538" s="1" t="s">
        <v>2281</v>
      </c>
      <c r="R4538" s="1" t="s">
        <v>2282</v>
      </c>
      <c r="S4538" s="1" t="s">
        <v>123</v>
      </c>
      <c r="T4538" t="s">
        <v>421</v>
      </c>
      <c r="U4538" t="s">
        <v>421</v>
      </c>
      <c r="V4538" t="s">
        <v>194</v>
      </c>
      <c r="W4538" t="s">
        <v>1947</v>
      </c>
      <c r="X4538" t="s">
        <v>161</v>
      </c>
      <c r="Y4538" t="s">
        <v>2272</v>
      </c>
      <c r="Z4538" t="s">
        <v>2272</v>
      </c>
      <c r="AA4538" t="s">
        <v>2272</v>
      </c>
      <c r="AB4538" t="s">
        <v>2272</v>
      </c>
      <c r="AC4538" t="s">
        <v>162</v>
      </c>
      <c r="AD4538" t="s">
        <v>2272</v>
      </c>
      <c r="AG4538" t="s">
        <v>49</v>
      </c>
      <c r="AK4538" t="s">
        <v>49</v>
      </c>
      <c r="AM4538" t="s">
        <v>2032</v>
      </c>
      <c r="AN4538" t="s">
        <v>166</v>
      </c>
      <c r="AQ4538" s="5">
        <v>1</v>
      </c>
    </row>
    <row r="4539" spans="1:43" x14ac:dyDescent="0.2">
      <c r="A4539" t="s">
        <v>2245</v>
      </c>
      <c r="B4539" t="s">
        <v>2234</v>
      </c>
      <c r="C4539">
        <v>1998</v>
      </c>
      <c r="D4539" t="s">
        <v>44</v>
      </c>
      <c r="F4539" t="s">
        <v>81</v>
      </c>
      <c r="G4539" t="s">
        <v>91</v>
      </c>
      <c r="H4539" t="s">
        <v>96</v>
      </c>
      <c r="I4539" t="s">
        <v>2246</v>
      </c>
      <c r="J4539">
        <v>3.5</v>
      </c>
      <c r="K4539" t="s">
        <v>102</v>
      </c>
      <c r="L4539">
        <v>0.02</v>
      </c>
      <c r="M4539">
        <v>1E-3</v>
      </c>
      <c r="N4539" t="s">
        <v>123</v>
      </c>
      <c r="O4539" t="s">
        <v>123</v>
      </c>
      <c r="P4539" t="s">
        <v>1947</v>
      </c>
      <c r="Q4539" s="1" t="s">
        <v>2281</v>
      </c>
      <c r="R4539" s="1" t="s">
        <v>2282</v>
      </c>
      <c r="S4539" s="1" t="s">
        <v>123</v>
      </c>
      <c r="T4539" t="s">
        <v>421</v>
      </c>
      <c r="U4539" t="s">
        <v>421</v>
      </c>
      <c r="V4539" t="s">
        <v>194</v>
      </c>
      <c r="W4539" t="s">
        <v>1947</v>
      </c>
      <c r="X4539" t="s">
        <v>161</v>
      </c>
      <c r="Y4539" t="s">
        <v>2272</v>
      </c>
      <c r="Z4539" t="s">
        <v>2272</v>
      </c>
      <c r="AA4539" t="s">
        <v>2272</v>
      </c>
      <c r="AB4539" t="s">
        <v>2272</v>
      </c>
      <c r="AC4539" t="s">
        <v>162</v>
      </c>
      <c r="AD4539" t="s">
        <v>2272</v>
      </c>
      <c r="AG4539" t="s">
        <v>49</v>
      </c>
      <c r="AK4539" t="s">
        <v>49</v>
      </c>
      <c r="AM4539" t="s">
        <v>295</v>
      </c>
      <c r="AN4539" t="s">
        <v>166</v>
      </c>
      <c r="AQ4539" s="5">
        <v>1</v>
      </c>
    </row>
    <row r="4540" spans="1:43" x14ac:dyDescent="0.2">
      <c r="A4540" t="s">
        <v>2245</v>
      </c>
      <c r="B4540" t="s">
        <v>2234</v>
      </c>
      <c r="C4540">
        <v>1998</v>
      </c>
      <c r="D4540" t="s">
        <v>44</v>
      </c>
      <c r="F4540" t="s">
        <v>81</v>
      </c>
      <c r="G4540" t="s">
        <v>91</v>
      </c>
      <c r="H4540" t="s">
        <v>96</v>
      </c>
      <c r="I4540" t="s">
        <v>2246</v>
      </c>
      <c r="J4540">
        <v>3.5</v>
      </c>
      <c r="K4540" t="s">
        <v>102</v>
      </c>
      <c r="L4540">
        <v>0.02</v>
      </c>
      <c r="M4540">
        <v>1E-3</v>
      </c>
      <c r="N4540" t="s">
        <v>123</v>
      </c>
      <c r="O4540" t="s">
        <v>123</v>
      </c>
      <c r="P4540" t="s">
        <v>1947</v>
      </c>
      <c r="Q4540" s="1" t="s">
        <v>2281</v>
      </c>
      <c r="R4540" s="1" t="s">
        <v>2282</v>
      </c>
      <c r="S4540" s="1" t="s">
        <v>123</v>
      </c>
      <c r="T4540" t="s">
        <v>421</v>
      </c>
      <c r="U4540" t="s">
        <v>421</v>
      </c>
      <c r="V4540" t="s">
        <v>194</v>
      </c>
      <c r="W4540" t="s">
        <v>1947</v>
      </c>
      <c r="X4540" t="s">
        <v>161</v>
      </c>
      <c r="Y4540" t="s">
        <v>2272</v>
      </c>
      <c r="Z4540" t="s">
        <v>2272</v>
      </c>
      <c r="AA4540" t="s">
        <v>2272</v>
      </c>
      <c r="AB4540" t="s">
        <v>2272</v>
      </c>
      <c r="AC4540" t="s">
        <v>162</v>
      </c>
      <c r="AD4540" t="s">
        <v>2272</v>
      </c>
      <c r="AG4540" t="s">
        <v>49</v>
      </c>
      <c r="AK4540" t="s">
        <v>49</v>
      </c>
      <c r="AM4540" t="s">
        <v>664</v>
      </c>
      <c r="AN4540" t="s">
        <v>166</v>
      </c>
      <c r="AQ4540" s="5">
        <v>1</v>
      </c>
    </row>
    <row r="4541" spans="1:43" x14ac:dyDescent="0.2">
      <c r="A4541" t="s">
        <v>2245</v>
      </c>
      <c r="B4541" t="s">
        <v>2234</v>
      </c>
      <c r="C4541">
        <v>1998</v>
      </c>
      <c r="D4541" t="s">
        <v>44</v>
      </c>
      <c r="F4541" t="s">
        <v>81</v>
      </c>
      <c r="G4541" t="s">
        <v>91</v>
      </c>
      <c r="H4541" t="s">
        <v>96</v>
      </c>
      <c r="I4541" t="s">
        <v>2246</v>
      </c>
      <c r="J4541">
        <v>3.5</v>
      </c>
      <c r="K4541" t="s">
        <v>102</v>
      </c>
      <c r="L4541">
        <v>0.02</v>
      </c>
      <c r="M4541">
        <v>1E-3</v>
      </c>
      <c r="N4541" t="s">
        <v>123</v>
      </c>
      <c r="O4541" t="s">
        <v>123</v>
      </c>
      <c r="P4541" t="s">
        <v>1947</v>
      </c>
      <c r="Q4541" s="1" t="s">
        <v>2281</v>
      </c>
      <c r="R4541" s="1" t="s">
        <v>2282</v>
      </c>
      <c r="S4541" s="1" t="s">
        <v>123</v>
      </c>
      <c r="T4541" t="s">
        <v>421</v>
      </c>
      <c r="U4541" t="s">
        <v>421</v>
      </c>
      <c r="V4541" t="s">
        <v>194</v>
      </c>
      <c r="W4541" t="s">
        <v>1947</v>
      </c>
      <c r="X4541" t="s">
        <v>161</v>
      </c>
      <c r="Y4541" t="s">
        <v>2272</v>
      </c>
      <c r="Z4541" t="s">
        <v>2272</v>
      </c>
      <c r="AA4541" t="s">
        <v>2272</v>
      </c>
      <c r="AB4541" t="s">
        <v>2272</v>
      </c>
      <c r="AC4541" t="s">
        <v>162</v>
      </c>
      <c r="AD4541" t="s">
        <v>2272</v>
      </c>
      <c r="AG4541" t="s">
        <v>49</v>
      </c>
      <c r="AK4541" t="s">
        <v>49</v>
      </c>
      <c r="AM4541" t="s">
        <v>2030</v>
      </c>
      <c r="AN4541" t="s">
        <v>166</v>
      </c>
      <c r="AQ4541" s="5">
        <v>1</v>
      </c>
    </row>
    <row r="4542" spans="1:43" x14ac:dyDescent="0.2">
      <c r="A4542" t="s">
        <v>2245</v>
      </c>
      <c r="B4542" t="s">
        <v>2234</v>
      </c>
      <c r="C4542">
        <v>1998</v>
      </c>
      <c r="D4542" t="s">
        <v>44</v>
      </c>
      <c r="F4542" t="s">
        <v>81</v>
      </c>
      <c r="G4542" t="s">
        <v>91</v>
      </c>
      <c r="H4542" t="s">
        <v>96</v>
      </c>
      <c r="I4542" t="s">
        <v>2246</v>
      </c>
      <c r="J4542">
        <v>3.5</v>
      </c>
      <c r="K4542" t="s">
        <v>102</v>
      </c>
      <c r="L4542">
        <v>0.02</v>
      </c>
      <c r="M4542">
        <v>1E-3</v>
      </c>
      <c r="N4542" t="s">
        <v>123</v>
      </c>
      <c r="O4542" t="s">
        <v>123</v>
      </c>
      <c r="P4542" t="s">
        <v>1947</v>
      </c>
      <c r="Q4542" s="1" t="s">
        <v>2281</v>
      </c>
      <c r="R4542" s="1" t="s">
        <v>2282</v>
      </c>
      <c r="S4542" s="1" t="s">
        <v>123</v>
      </c>
      <c r="T4542" t="s">
        <v>421</v>
      </c>
      <c r="U4542" t="s">
        <v>421</v>
      </c>
      <c r="V4542" t="s">
        <v>194</v>
      </c>
      <c r="W4542" t="s">
        <v>1947</v>
      </c>
      <c r="X4542" t="s">
        <v>161</v>
      </c>
      <c r="Y4542" t="s">
        <v>2272</v>
      </c>
      <c r="Z4542" t="s">
        <v>2272</v>
      </c>
      <c r="AA4542" t="s">
        <v>2272</v>
      </c>
      <c r="AB4542" t="s">
        <v>2272</v>
      </c>
      <c r="AC4542" t="s">
        <v>162</v>
      </c>
      <c r="AD4542" t="s">
        <v>2272</v>
      </c>
      <c r="AG4542" t="s">
        <v>49</v>
      </c>
      <c r="AL4542" t="s">
        <v>49</v>
      </c>
      <c r="AM4542" t="s">
        <v>2247</v>
      </c>
      <c r="AN4542" t="s">
        <v>166</v>
      </c>
      <c r="AQ4542" s="5">
        <v>1</v>
      </c>
    </row>
    <row r="4543" spans="1:43" x14ac:dyDescent="0.2">
      <c r="A4543" t="s">
        <v>2245</v>
      </c>
      <c r="B4543" t="s">
        <v>2234</v>
      </c>
      <c r="C4543">
        <v>1998</v>
      </c>
      <c r="D4543" t="s">
        <v>44</v>
      </c>
      <c r="F4543" t="s">
        <v>81</v>
      </c>
      <c r="G4543" t="s">
        <v>91</v>
      </c>
      <c r="H4543" t="s">
        <v>96</v>
      </c>
      <c r="I4543" t="s">
        <v>2246</v>
      </c>
      <c r="J4543">
        <v>3.5</v>
      </c>
      <c r="K4543" t="s">
        <v>102</v>
      </c>
      <c r="L4543">
        <v>0.02</v>
      </c>
      <c r="M4543">
        <v>1E-3</v>
      </c>
      <c r="N4543" t="s">
        <v>123</v>
      </c>
      <c r="O4543" t="s">
        <v>123</v>
      </c>
      <c r="P4543" t="s">
        <v>1947</v>
      </c>
      <c r="Q4543" s="1" t="s">
        <v>2281</v>
      </c>
      <c r="R4543" s="1" t="s">
        <v>2282</v>
      </c>
      <c r="S4543" s="1" t="s">
        <v>123</v>
      </c>
      <c r="T4543" t="s">
        <v>421</v>
      </c>
      <c r="U4543" t="s">
        <v>421</v>
      </c>
      <c r="V4543" t="s">
        <v>194</v>
      </c>
      <c r="W4543" t="s">
        <v>1947</v>
      </c>
      <c r="X4543" t="s">
        <v>161</v>
      </c>
      <c r="Y4543" t="s">
        <v>2272</v>
      </c>
      <c r="Z4543" t="s">
        <v>2272</v>
      </c>
      <c r="AA4543" t="s">
        <v>2272</v>
      </c>
      <c r="AB4543" t="s">
        <v>2272</v>
      </c>
      <c r="AC4543" t="s">
        <v>162</v>
      </c>
      <c r="AD4543" t="s">
        <v>2272</v>
      </c>
      <c r="AG4543" t="s">
        <v>49</v>
      </c>
      <c r="AL4543" t="s">
        <v>49</v>
      </c>
      <c r="AM4543" t="s">
        <v>2455</v>
      </c>
      <c r="AN4543" t="s">
        <v>166</v>
      </c>
      <c r="AQ4543" s="5">
        <v>1</v>
      </c>
    </row>
    <row r="4544" spans="1:43" x14ac:dyDescent="0.2">
      <c r="A4544" t="s">
        <v>2245</v>
      </c>
      <c r="B4544" t="s">
        <v>2234</v>
      </c>
      <c r="C4544">
        <v>1998</v>
      </c>
      <c r="D4544" t="s">
        <v>44</v>
      </c>
      <c r="F4544" t="s">
        <v>81</v>
      </c>
      <c r="G4544" t="s">
        <v>91</v>
      </c>
      <c r="H4544" t="s">
        <v>96</v>
      </c>
      <c r="I4544" t="s">
        <v>2246</v>
      </c>
      <c r="J4544">
        <v>3.5</v>
      </c>
      <c r="K4544" t="s">
        <v>102</v>
      </c>
      <c r="L4544">
        <v>0.02</v>
      </c>
      <c r="M4544">
        <v>1E-3</v>
      </c>
      <c r="N4544" t="s">
        <v>123</v>
      </c>
      <c r="O4544" t="s">
        <v>123</v>
      </c>
      <c r="P4544" t="s">
        <v>1947</v>
      </c>
      <c r="Q4544" s="1" t="s">
        <v>2281</v>
      </c>
      <c r="R4544" s="1" t="s">
        <v>2282</v>
      </c>
      <c r="S4544" s="1" t="s">
        <v>123</v>
      </c>
      <c r="T4544" t="s">
        <v>421</v>
      </c>
      <c r="U4544" t="s">
        <v>421</v>
      </c>
      <c r="V4544" t="s">
        <v>194</v>
      </c>
      <c r="W4544" t="s">
        <v>1947</v>
      </c>
      <c r="X4544" t="s">
        <v>161</v>
      </c>
      <c r="Y4544" t="s">
        <v>2272</v>
      </c>
      <c r="Z4544" t="s">
        <v>2272</v>
      </c>
      <c r="AA4544" t="s">
        <v>2272</v>
      </c>
      <c r="AB4544" t="s">
        <v>2272</v>
      </c>
      <c r="AC4544" t="s">
        <v>162</v>
      </c>
      <c r="AD4544" t="s">
        <v>2272</v>
      </c>
      <c r="AG4544" t="s">
        <v>49</v>
      </c>
      <c r="AI4544" t="s">
        <v>49</v>
      </c>
      <c r="AM4544" t="s">
        <v>202</v>
      </c>
      <c r="AN4544" t="s">
        <v>154</v>
      </c>
      <c r="AQ4544" s="5">
        <v>1</v>
      </c>
    </row>
    <row r="4545" spans="1:45" x14ac:dyDescent="0.2">
      <c r="A4545" t="s">
        <v>2245</v>
      </c>
      <c r="B4545" t="s">
        <v>2234</v>
      </c>
      <c r="C4545">
        <v>1998</v>
      </c>
      <c r="D4545" t="s">
        <v>44</v>
      </c>
      <c r="F4545" t="s">
        <v>81</v>
      </c>
      <c r="G4545" t="s">
        <v>91</v>
      </c>
      <c r="H4545" t="s">
        <v>96</v>
      </c>
      <c r="I4545" t="s">
        <v>2246</v>
      </c>
      <c r="J4545">
        <v>3.5</v>
      </c>
      <c r="K4545" t="s">
        <v>102</v>
      </c>
      <c r="L4545">
        <v>0.02</v>
      </c>
      <c r="M4545">
        <v>1E-3</v>
      </c>
      <c r="N4545" t="s">
        <v>123</v>
      </c>
      <c r="O4545" t="s">
        <v>123</v>
      </c>
      <c r="P4545" t="s">
        <v>1947</v>
      </c>
      <c r="Q4545" s="1" t="s">
        <v>2281</v>
      </c>
      <c r="R4545" s="1" t="s">
        <v>2282</v>
      </c>
      <c r="S4545" s="1" t="s">
        <v>123</v>
      </c>
      <c r="T4545" t="s">
        <v>421</v>
      </c>
      <c r="U4545" t="s">
        <v>421</v>
      </c>
      <c r="V4545" t="s">
        <v>194</v>
      </c>
      <c r="W4545" t="s">
        <v>1947</v>
      </c>
      <c r="X4545" t="s">
        <v>161</v>
      </c>
      <c r="Y4545" t="s">
        <v>2272</v>
      </c>
      <c r="Z4545" t="s">
        <v>2272</v>
      </c>
      <c r="AA4545" t="s">
        <v>2272</v>
      </c>
      <c r="AB4545" t="s">
        <v>2272</v>
      </c>
      <c r="AC4545" t="s">
        <v>162</v>
      </c>
      <c r="AD4545" t="s">
        <v>2272</v>
      </c>
      <c r="AG4545" t="s">
        <v>49</v>
      </c>
      <c r="AI4545" t="s">
        <v>49</v>
      </c>
      <c r="AM4545" t="s">
        <v>202</v>
      </c>
      <c r="AN4545" t="s">
        <v>165</v>
      </c>
      <c r="AP4545" t="s">
        <v>49</v>
      </c>
    </row>
    <row r="4546" spans="1:45" x14ac:dyDescent="0.2">
      <c r="A4546" t="s">
        <v>2245</v>
      </c>
      <c r="B4546" t="s">
        <v>2234</v>
      </c>
      <c r="C4546">
        <v>1998</v>
      </c>
      <c r="D4546" t="s">
        <v>44</v>
      </c>
      <c r="F4546" t="s">
        <v>81</v>
      </c>
      <c r="G4546" t="s">
        <v>91</v>
      </c>
      <c r="H4546" t="s">
        <v>96</v>
      </c>
      <c r="I4546" t="s">
        <v>2246</v>
      </c>
      <c r="J4546">
        <v>3.5</v>
      </c>
      <c r="K4546" t="s">
        <v>102</v>
      </c>
      <c r="L4546">
        <v>0.02</v>
      </c>
      <c r="M4546">
        <v>1E-3</v>
      </c>
      <c r="N4546" t="s">
        <v>123</v>
      </c>
      <c r="O4546" t="s">
        <v>123</v>
      </c>
      <c r="P4546" t="s">
        <v>1947</v>
      </c>
      <c r="Q4546" s="1" t="s">
        <v>2281</v>
      </c>
      <c r="R4546" s="1" t="s">
        <v>2282</v>
      </c>
      <c r="S4546" s="1" t="s">
        <v>123</v>
      </c>
      <c r="T4546" t="s">
        <v>421</v>
      </c>
      <c r="U4546" t="s">
        <v>421</v>
      </c>
      <c r="V4546" t="s">
        <v>194</v>
      </c>
      <c r="W4546" t="s">
        <v>1947</v>
      </c>
      <c r="X4546" t="s">
        <v>161</v>
      </c>
      <c r="Y4546" t="s">
        <v>2272</v>
      </c>
      <c r="Z4546" t="s">
        <v>2272</v>
      </c>
      <c r="AA4546" t="s">
        <v>2272</v>
      </c>
      <c r="AB4546" t="s">
        <v>2272</v>
      </c>
      <c r="AC4546" t="s">
        <v>162</v>
      </c>
      <c r="AD4546" t="s">
        <v>2272</v>
      </c>
      <c r="AG4546" t="s">
        <v>49</v>
      </c>
      <c r="AJ4546" t="s">
        <v>49</v>
      </c>
      <c r="AM4546" t="s">
        <v>2236</v>
      </c>
      <c r="AN4546" t="s">
        <v>166</v>
      </c>
      <c r="AQ4546" s="5">
        <v>1</v>
      </c>
    </row>
    <row r="4547" spans="1:45" x14ac:dyDescent="0.2">
      <c r="A4547" t="s">
        <v>2245</v>
      </c>
      <c r="B4547" t="s">
        <v>2234</v>
      </c>
      <c r="C4547">
        <v>1998</v>
      </c>
      <c r="D4547" t="s">
        <v>44</v>
      </c>
      <c r="F4547" t="s">
        <v>81</v>
      </c>
      <c r="G4547" t="s">
        <v>91</v>
      </c>
      <c r="H4547" t="s">
        <v>96</v>
      </c>
      <c r="I4547" t="s">
        <v>2246</v>
      </c>
      <c r="J4547">
        <v>3.5</v>
      </c>
      <c r="K4547" t="s">
        <v>102</v>
      </c>
      <c r="L4547">
        <v>0.02</v>
      </c>
      <c r="M4547">
        <v>1E-3</v>
      </c>
      <c r="N4547" t="s">
        <v>123</v>
      </c>
      <c r="O4547" t="s">
        <v>123</v>
      </c>
      <c r="P4547" t="s">
        <v>1947</v>
      </c>
      <c r="Q4547" s="1" t="s">
        <v>2281</v>
      </c>
      <c r="R4547" s="1" t="s">
        <v>2282</v>
      </c>
      <c r="S4547" s="1" t="s">
        <v>123</v>
      </c>
      <c r="T4547" t="s">
        <v>421</v>
      </c>
      <c r="U4547" t="s">
        <v>421</v>
      </c>
      <c r="V4547" t="s">
        <v>194</v>
      </c>
      <c r="W4547" t="s">
        <v>1947</v>
      </c>
      <c r="X4547" t="s">
        <v>161</v>
      </c>
      <c r="Y4547" t="s">
        <v>2272</v>
      </c>
      <c r="Z4547" t="s">
        <v>2272</v>
      </c>
      <c r="AA4547" t="s">
        <v>2272</v>
      </c>
      <c r="AB4547" t="s">
        <v>2272</v>
      </c>
      <c r="AC4547" t="s">
        <v>162</v>
      </c>
      <c r="AD4547" t="s">
        <v>2272</v>
      </c>
      <c r="AG4547" t="s">
        <v>49</v>
      </c>
      <c r="AJ4547" t="s">
        <v>49</v>
      </c>
      <c r="AM4547" t="s">
        <v>2237</v>
      </c>
      <c r="AN4547" t="s">
        <v>166</v>
      </c>
      <c r="AQ4547" s="5">
        <v>0</v>
      </c>
    </row>
    <row r="4548" spans="1:45" x14ac:dyDescent="0.2">
      <c r="A4548" t="s">
        <v>2245</v>
      </c>
      <c r="B4548" t="s">
        <v>2234</v>
      </c>
      <c r="C4548">
        <v>1998</v>
      </c>
      <c r="D4548" t="s">
        <v>44</v>
      </c>
      <c r="F4548" t="s">
        <v>81</v>
      </c>
      <c r="G4548" t="s">
        <v>91</v>
      </c>
      <c r="H4548" t="s">
        <v>96</v>
      </c>
      <c r="I4548" t="s">
        <v>2246</v>
      </c>
      <c r="J4548">
        <v>3.5</v>
      </c>
      <c r="K4548" t="s">
        <v>102</v>
      </c>
      <c r="L4548">
        <v>0.02</v>
      </c>
      <c r="M4548">
        <v>1E-3</v>
      </c>
      <c r="N4548" t="s">
        <v>123</v>
      </c>
      <c r="O4548" t="s">
        <v>123</v>
      </c>
      <c r="P4548" t="s">
        <v>1947</v>
      </c>
      <c r="Q4548" s="1" t="s">
        <v>2281</v>
      </c>
      <c r="R4548" s="1" t="s">
        <v>2282</v>
      </c>
      <c r="S4548" s="1" t="s">
        <v>123</v>
      </c>
      <c r="T4548" t="s">
        <v>421</v>
      </c>
      <c r="U4548" t="s">
        <v>421</v>
      </c>
      <c r="V4548" t="s">
        <v>194</v>
      </c>
      <c r="W4548" t="s">
        <v>1947</v>
      </c>
      <c r="X4548" t="s">
        <v>161</v>
      </c>
      <c r="Y4548" t="s">
        <v>2272</v>
      </c>
      <c r="Z4548" t="s">
        <v>2272</v>
      </c>
      <c r="AA4548" t="s">
        <v>2272</v>
      </c>
      <c r="AB4548" t="s">
        <v>2272</v>
      </c>
      <c r="AC4548" t="s">
        <v>162</v>
      </c>
      <c r="AD4548" t="s">
        <v>2272</v>
      </c>
      <c r="AG4548" t="s">
        <v>49</v>
      </c>
      <c r="AJ4548" t="s">
        <v>49</v>
      </c>
      <c r="AM4548" t="s">
        <v>2456</v>
      </c>
      <c r="AN4548" t="s">
        <v>166</v>
      </c>
      <c r="AQ4548" s="5">
        <v>0</v>
      </c>
    </row>
    <row r="4549" spans="1:45" x14ac:dyDescent="0.2">
      <c r="A4549" t="s">
        <v>2245</v>
      </c>
      <c r="B4549" t="s">
        <v>2234</v>
      </c>
      <c r="C4549">
        <v>1998</v>
      </c>
      <c r="D4549" t="s">
        <v>44</v>
      </c>
      <c r="F4549" t="s">
        <v>81</v>
      </c>
      <c r="G4549" t="s">
        <v>91</v>
      </c>
      <c r="H4549" t="s">
        <v>96</v>
      </c>
      <c r="I4549" t="s">
        <v>2246</v>
      </c>
      <c r="J4549">
        <v>3.5</v>
      </c>
      <c r="K4549" t="s">
        <v>102</v>
      </c>
      <c r="L4549">
        <v>0.02</v>
      </c>
      <c r="M4549">
        <v>1E-3</v>
      </c>
      <c r="N4549" t="s">
        <v>123</v>
      </c>
      <c r="O4549" t="s">
        <v>123</v>
      </c>
      <c r="P4549" t="s">
        <v>1947</v>
      </c>
      <c r="Q4549" s="1" t="s">
        <v>2281</v>
      </c>
      <c r="R4549" s="1" t="s">
        <v>2282</v>
      </c>
      <c r="S4549" s="1" t="s">
        <v>123</v>
      </c>
      <c r="T4549" t="s">
        <v>421</v>
      </c>
      <c r="U4549" t="s">
        <v>421</v>
      </c>
      <c r="V4549" t="s">
        <v>194</v>
      </c>
      <c r="W4549" t="s">
        <v>1947</v>
      </c>
      <c r="X4549" t="s">
        <v>161</v>
      </c>
      <c r="Y4549" t="s">
        <v>2272</v>
      </c>
      <c r="Z4549" t="s">
        <v>2272</v>
      </c>
      <c r="AA4549" t="s">
        <v>2272</v>
      </c>
      <c r="AB4549" t="s">
        <v>2272</v>
      </c>
      <c r="AC4549" t="s">
        <v>162</v>
      </c>
      <c r="AD4549" t="s">
        <v>2272</v>
      </c>
      <c r="AG4549" t="s">
        <v>49</v>
      </c>
      <c r="AJ4549" t="s">
        <v>49</v>
      </c>
      <c r="AM4549" t="s">
        <v>2457</v>
      </c>
      <c r="AN4549" t="s">
        <v>166</v>
      </c>
      <c r="AQ4549" s="5">
        <v>1</v>
      </c>
    </row>
    <row r="4550" spans="1:45" x14ac:dyDescent="0.2">
      <c r="A4550" t="s">
        <v>2248</v>
      </c>
      <c r="B4550" t="s">
        <v>1771</v>
      </c>
      <c r="C4550">
        <v>1995</v>
      </c>
      <c r="Q4550" s="1" t="s">
        <v>2272</v>
      </c>
      <c r="R4550" s="1" t="s">
        <v>2272</v>
      </c>
      <c r="S4550" s="1" t="s">
        <v>2272</v>
      </c>
      <c r="Y4550" t="s">
        <v>2272</v>
      </c>
      <c r="Z4550" t="s">
        <v>2272</v>
      </c>
      <c r="AA4550" t="s">
        <v>2272</v>
      </c>
      <c r="AB4550" t="s">
        <v>2272</v>
      </c>
      <c r="AD4550" t="s">
        <v>2272</v>
      </c>
      <c r="AR4550" t="s">
        <v>144</v>
      </c>
      <c r="AS4550" t="s">
        <v>2583</v>
      </c>
    </row>
    <row r="4551" spans="1:45" x14ac:dyDescent="0.2">
      <c r="A4551" t="s">
        <v>2249</v>
      </c>
      <c r="B4551" t="s">
        <v>2250</v>
      </c>
      <c r="C4551">
        <v>1994</v>
      </c>
      <c r="D4551" t="s">
        <v>44</v>
      </c>
      <c r="F4551" t="s">
        <v>81</v>
      </c>
      <c r="G4551" t="s">
        <v>91</v>
      </c>
      <c r="H4551" t="s">
        <v>350</v>
      </c>
      <c r="I4551" t="s">
        <v>2251</v>
      </c>
      <c r="J4551">
        <v>5</v>
      </c>
      <c r="K4551" t="s">
        <v>42</v>
      </c>
      <c r="M4551">
        <v>30</v>
      </c>
      <c r="N4551" t="s">
        <v>120</v>
      </c>
      <c r="O4551" t="s">
        <v>1102</v>
      </c>
      <c r="P4551" t="s">
        <v>581</v>
      </c>
      <c r="Q4551" s="1" t="s">
        <v>2276</v>
      </c>
      <c r="R4551" s="1" t="s">
        <v>669</v>
      </c>
      <c r="S4551" s="1" t="s">
        <v>168</v>
      </c>
      <c r="X4551" t="s">
        <v>189</v>
      </c>
      <c r="Y4551" t="s">
        <v>2279</v>
      </c>
      <c r="Z4551" t="s">
        <v>2280</v>
      </c>
      <c r="AA4551" t="s">
        <v>2358</v>
      </c>
      <c r="AB4551" t="s">
        <v>189</v>
      </c>
      <c r="AC4551" t="s">
        <v>152</v>
      </c>
      <c r="AD4551" t="s">
        <v>2278</v>
      </c>
      <c r="AE4551" t="s">
        <v>1215</v>
      </c>
      <c r="AH4551" s="4" t="s">
        <v>49</v>
      </c>
      <c r="AL4551" t="s">
        <v>49</v>
      </c>
      <c r="AM4551" t="s">
        <v>2253</v>
      </c>
      <c r="AN4551" t="s">
        <v>166</v>
      </c>
      <c r="AP4551" t="s">
        <v>157</v>
      </c>
      <c r="AR4551">
        <v>1</v>
      </c>
    </row>
    <row r="4552" spans="1:45" x14ac:dyDescent="0.2">
      <c r="A4552" t="s">
        <v>2249</v>
      </c>
      <c r="B4552" t="s">
        <v>2250</v>
      </c>
      <c r="C4552">
        <v>1994</v>
      </c>
      <c r="D4552" t="s">
        <v>44</v>
      </c>
      <c r="F4552" t="s">
        <v>81</v>
      </c>
      <c r="G4552" t="s">
        <v>91</v>
      </c>
      <c r="H4552" t="s">
        <v>350</v>
      </c>
      <c r="I4552" t="s">
        <v>2251</v>
      </c>
      <c r="J4552">
        <v>5</v>
      </c>
      <c r="K4552" t="s">
        <v>42</v>
      </c>
      <c r="M4552">
        <v>30</v>
      </c>
      <c r="N4552" t="s">
        <v>120</v>
      </c>
      <c r="O4552" t="s">
        <v>1102</v>
      </c>
      <c r="P4552" t="s">
        <v>581</v>
      </c>
      <c r="Q4552" s="1" t="s">
        <v>2276</v>
      </c>
      <c r="R4552" s="1" t="s">
        <v>669</v>
      </c>
      <c r="S4552" s="1" t="s">
        <v>168</v>
      </c>
      <c r="X4552" t="s">
        <v>2252</v>
      </c>
      <c r="Y4552" t="s">
        <v>2273</v>
      </c>
      <c r="Z4552" t="s">
        <v>249</v>
      </c>
      <c r="AA4552" t="s">
        <v>2274</v>
      </c>
      <c r="AB4552" t="s">
        <v>2300</v>
      </c>
      <c r="AC4552" t="s">
        <v>152</v>
      </c>
      <c r="AD4552" t="s">
        <v>137</v>
      </c>
      <c r="AH4552" s="4" t="s">
        <v>49</v>
      </c>
      <c r="AL4552" t="s">
        <v>49</v>
      </c>
      <c r="AM4552" t="s">
        <v>2253</v>
      </c>
      <c r="AN4552" t="s">
        <v>166</v>
      </c>
      <c r="AP4552" t="s">
        <v>49</v>
      </c>
      <c r="AR4552">
        <v>1</v>
      </c>
    </row>
    <row r="4553" spans="1:45" x14ac:dyDescent="0.2">
      <c r="A4553" t="s">
        <v>2249</v>
      </c>
      <c r="B4553" t="s">
        <v>2250</v>
      </c>
      <c r="C4553">
        <v>1994</v>
      </c>
      <c r="D4553" t="s">
        <v>44</v>
      </c>
      <c r="F4553" t="s">
        <v>81</v>
      </c>
      <c r="G4553" t="s">
        <v>91</v>
      </c>
      <c r="H4553" t="s">
        <v>350</v>
      </c>
      <c r="I4553" t="s">
        <v>2251</v>
      </c>
      <c r="J4553">
        <v>5</v>
      </c>
      <c r="K4553" t="s">
        <v>42</v>
      </c>
      <c r="M4553">
        <v>30</v>
      </c>
      <c r="N4553" t="s">
        <v>120</v>
      </c>
      <c r="O4553" t="s">
        <v>1102</v>
      </c>
      <c r="P4553" t="s">
        <v>581</v>
      </c>
      <c r="Q4553" s="1" t="s">
        <v>2276</v>
      </c>
      <c r="R4553" s="1" t="s">
        <v>669</v>
      </c>
      <c r="S4553" s="1" t="s">
        <v>168</v>
      </c>
      <c r="X4553" t="s">
        <v>211</v>
      </c>
      <c r="Y4553" t="s">
        <v>2279</v>
      </c>
      <c r="Z4553" t="s">
        <v>2280</v>
      </c>
      <c r="AA4553" t="s">
        <v>2358</v>
      </c>
      <c r="AB4553" t="s">
        <v>2290</v>
      </c>
      <c r="AC4553" t="s">
        <v>152</v>
      </c>
      <c r="AD4553" t="s">
        <v>2278</v>
      </c>
      <c r="AH4553" s="4" t="s">
        <v>49</v>
      </c>
      <c r="AL4553" t="s">
        <v>49</v>
      </c>
      <c r="AM4553" t="s">
        <v>2253</v>
      </c>
      <c r="AN4553" t="s">
        <v>166</v>
      </c>
      <c r="AP4553" t="s">
        <v>49</v>
      </c>
      <c r="AR4553">
        <v>1</v>
      </c>
    </row>
    <row r="4554" spans="1:45" x14ac:dyDescent="0.2">
      <c r="A4554" t="s">
        <v>2249</v>
      </c>
      <c r="B4554" t="s">
        <v>2250</v>
      </c>
      <c r="C4554">
        <v>1994</v>
      </c>
      <c r="D4554" t="s">
        <v>811</v>
      </c>
      <c r="F4554" t="s">
        <v>81</v>
      </c>
      <c r="G4554" t="s">
        <v>91</v>
      </c>
      <c r="H4554" t="s">
        <v>350</v>
      </c>
      <c r="I4554" t="s">
        <v>2254</v>
      </c>
      <c r="J4554">
        <v>2</v>
      </c>
      <c r="K4554" t="s">
        <v>42</v>
      </c>
      <c r="M4554">
        <v>30</v>
      </c>
      <c r="N4554" t="s">
        <v>120</v>
      </c>
      <c r="O4554" t="s">
        <v>1102</v>
      </c>
      <c r="P4554" t="s">
        <v>581</v>
      </c>
      <c r="Q4554" s="1" t="s">
        <v>2276</v>
      </c>
      <c r="R4554" s="1" t="s">
        <v>669</v>
      </c>
      <c r="S4554" s="1" t="s">
        <v>168</v>
      </c>
      <c r="X4554" s="1" t="s">
        <v>189</v>
      </c>
      <c r="Y4554" t="s">
        <v>2279</v>
      </c>
      <c r="Z4554" t="s">
        <v>2280</v>
      </c>
      <c r="AA4554" t="s">
        <v>2358</v>
      </c>
      <c r="AB4554" t="s">
        <v>189</v>
      </c>
      <c r="AC4554" s="1" t="s">
        <v>162</v>
      </c>
      <c r="AD4554" t="s">
        <v>2278</v>
      </c>
      <c r="AH4554" s="4" t="s">
        <v>49</v>
      </c>
      <c r="AL4554" t="s">
        <v>49</v>
      </c>
      <c r="AM4554" t="s">
        <v>2253</v>
      </c>
      <c r="AN4554" t="s">
        <v>166</v>
      </c>
      <c r="AP4554" t="s">
        <v>157</v>
      </c>
      <c r="AR4554">
        <v>1</v>
      </c>
    </row>
    <row r="4555" spans="1:45" x14ac:dyDescent="0.2">
      <c r="A4555" t="s">
        <v>2249</v>
      </c>
      <c r="B4555" t="s">
        <v>2250</v>
      </c>
      <c r="C4555">
        <v>1994</v>
      </c>
      <c r="D4555" t="s">
        <v>811</v>
      </c>
      <c r="F4555" t="s">
        <v>81</v>
      </c>
      <c r="G4555" t="s">
        <v>91</v>
      </c>
      <c r="H4555" t="s">
        <v>350</v>
      </c>
      <c r="I4555" t="s">
        <v>2254</v>
      </c>
      <c r="J4555">
        <v>2</v>
      </c>
      <c r="K4555" t="s">
        <v>42</v>
      </c>
      <c r="M4555">
        <v>0</v>
      </c>
      <c r="N4555" t="s">
        <v>120</v>
      </c>
      <c r="O4555" t="s">
        <v>1102</v>
      </c>
      <c r="P4555" t="s">
        <v>581</v>
      </c>
      <c r="Q4555" s="1" t="s">
        <v>2276</v>
      </c>
      <c r="R4555" s="1" t="s">
        <v>669</v>
      </c>
      <c r="S4555" s="1" t="s">
        <v>168</v>
      </c>
      <c r="X4555" s="1" t="s">
        <v>2252</v>
      </c>
      <c r="Y4555" t="s">
        <v>2273</v>
      </c>
      <c r="Z4555" t="s">
        <v>249</v>
      </c>
      <c r="AA4555" t="s">
        <v>2274</v>
      </c>
      <c r="AB4555" t="s">
        <v>2300</v>
      </c>
      <c r="AC4555" s="1" t="s">
        <v>152</v>
      </c>
      <c r="AD4555" t="s">
        <v>137</v>
      </c>
      <c r="AR4555">
        <v>1</v>
      </c>
    </row>
    <row r="4556" spans="1:45" x14ac:dyDescent="0.2">
      <c r="A4556" t="s">
        <v>2249</v>
      </c>
      <c r="B4556" t="s">
        <v>2250</v>
      </c>
      <c r="C4556">
        <v>1994</v>
      </c>
      <c r="D4556" t="s">
        <v>811</v>
      </c>
      <c r="F4556" t="s">
        <v>81</v>
      </c>
      <c r="G4556" t="s">
        <v>91</v>
      </c>
      <c r="H4556" t="s">
        <v>350</v>
      </c>
      <c r="I4556" t="s">
        <v>2254</v>
      </c>
      <c r="J4556">
        <v>2</v>
      </c>
      <c r="K4556" t="s">
        <v>42</v>
      </c>
      <c r="M4556">
        <v>30</v>
      </c>
      <c r="N4556" t="s">
        <v>120</v>
      </c>
      <c r="O4556" t="s">
        <v>1102</v>
      </c>
      <c r="P4556" t="s">
        <v>581</v>
      </c>
      <c r="Q4556" s="1" t="s">
        <v>2276</v>
      </c>
      <c r="R4556" s="1" t="s">
        <v>669</v>
      </c>
      <c r="S4556" s="1" t="s">
        <v>168</v>
      </c>
      <c r="X4556" s="1" t="s">
        <v>189</v>
      </c>
      <c r="Y4556" t="s">
        <v>2279</v>
      </c>
      <c r="Z4556" t="s">
        <v>2280</v>
      </c>
      <c r="AA4556" t="s">
        <v>2358</v>
      </c>
      <c r="AB4556" t="s">
        <v>189</v>
      </c>
      <c r="AC4556" s="1" t="s">
        <v>162</v>
      </c>
      <c r="AD4556" t="s">
        <v>2278</v>
      </c>
      <c r="AH4556" s="4" t="s">
        <v>49</v>
      </c>
      <c r="AL4556" t="s">
        <v>49</v>
      </c>
      <c r="AM4556" t="s">
        <v>2255</v>
      </c>
      <c r="AN4556" t="s">
        <v>166</v>
      </c>
      <c r="AP4556" t="s">
        <v>157</v>
      </c>
      <c r="AR4556">
        <v>1</v>
      </c>
    </row>
    <row r="4557" spans="1:45" x14ac:dyDescent="0.2">
      <c r="A4557" t="s">
        <v>2249</v>
      </c>
      <c r="B4557" t="s">
        <v>2250</v>
      </c>
      <c r="C4557">
        <v>1994</v>
      </c>
      <c r="D4557" t="s">
        <v>811</v>
      </c>
      <c r="F4557" t="s">
        <v>81</v>
      </c>
      <c r="G4557" t="s">
        <v>91</v>
      </c>
      <c r="H4557" t="s">
        <v>350</v>
      </c>
      <c r="I4557" t="s">
        <v>2254</v>
      </c>
      <c r="J4557">
        <v>2</v>
      </c>
      <c r="K4557" t="s">
        <v>42</v>
      </c>
      <c r="M4557">
        <v>0</v>
      </c>
      <c r="N4557" t="s">
        <v>120</v>
      </c>
      <c r="O4557" t="s">
        <v>1102</v>
      </c>
      <c r="P4557" t="s">
        <v>581</v>
      </c>
      <c r="Q4557" s="1" t="s">
        <v>2276</v>
      </c>
      <c r="R4557" s="1" t="s">
        <v>669</v>
      </c>
      <c r="S4557" s="1" t="s">
        <v>168</v>
      </c>
      <c r="X4557" s="1" t="s">
        <v>171</v>
      </c>
      <c r="Y4557" t="s">
        <v>2273</v>
      </c>
      <c r="Z4557" t="s">
        <v>249</v>
      </c>
      <c r="AA4557" t="s">
        <v>2359</v>
      </c>
      <c r="AB4557" t="s">
        <v>1979</v>
      </c>
      <c r="AC4557" s="1" t="s">
        <v>152</v>
      </c>
      <c r="AD4557" t="s">
        <v>137</v>
      </c>
      <c r="AH4557" s="4" t="s">
        <v>49</v>
      </c>
      <c r="AL4557" t="s">
        <v>49</v>
      </c>
      <c r="AM4557" t="s">
        <v>2253</v>
      </c>
      <c r="AN4557" t="s">
        <v>166</v>
      </c>
      <c r="AP4557" t="s">
        <v>157</v>
      </c>
      <c r="AR4557">
        <v>1</v>
      </c>
    </row>
    <row r="4558" spans="1:45" x14ac:dyDescent="0.2">
      <c r="A4558" t="s">
        <v>2249</v>
      </c>
      <c r="B4558" t="s">
        <v>2250</v>
      </c>
      <c r="C4558">
        <v>1994</v>
      </c>
      <c r="D4558" t="s">
        <v>811</v>
      </c>
      <c r="F4558" t="s">
        <v>81</v>
      </c>
      <c r="G4558" t="s">
        <v>91</v>
      </c>
      <c r="H4558" t="s">
        <v>350</v>
      </c>
      <c r="I4558" t="s">
        <v>2254</v>
      </c>
      <c r="J4558">
        <v>2</v>
      </c>
      <c r="K4558" t="s">
        <v>42</v>
      </c>
      <c r="M4558">
        <v>0</v>
      </c>
      <c r="N4558" t="s">
        <v>120</v>
      </c>
      <c r="O4558" t="s">
        <v>1102</v>
      </c>
      <c r="P4558" t="s">
        <v>581</v>
      </c>
      <c r="Q4558" s="1" t="s">
        <v>2276</v>
      </c>
      <c r="R4558" s="1" t="s">
        <v>669</v>
      </c>
      <c r="S4558" s="1" t="s">
        <v>168</v>
      </c>
      <c r="X4558" s="1" t="s">
        <v>293</v>
      </c>
      <c r="Y4558" t="s">
        <v>2273</v>
      </c>
      <c r="Z4558" t="s">
        <v>249</v>
      </c>
      <c r="AA4558" t="s">
        <v>2359</v>
      </c>
      <c r="AB4558" t="s">
        <v>1419</v>
      </c>
      <c r="AC4558" s="1" t="s">
        <v>152</v>
      </c>
      <c r="AD4558" t="s">
        <v>137</v>
      </c>
      <c r="AR4558">
        <v>1</v>
      </c>
    </row>
    <row r="4559" spans="1:45" x14ac:dyDescent="0.2">
      <c r="A4559" t="s">
        <v>2249</v>
      </c>
      <c r="B4559" t="s">
        <v>2250</v>
      </c>
      <c r="C4559">
        <v>1994</v>
      </c>
      <c r="D4559" t="s">
        <v>811</v>
      </c>
      <c r="F4559" t="s">
        <v>81</v>
      </c>
      <c r="G4559" t="s">
        <v>91</v>
      </c>
      <c r="H4559" t="s">
        <v>350</v>
      </c>
      <c r="I4559" t="s">
        <v>2254</v>
      </c>
      <c r="J4559">
        <v>2</v>
      </c>
      <c r="K4559" t="s">
        <v>42</v>
      </c>
      <c r="M4559">
        <v>0</v>
      </c>
      <c r="N4559" t="s">
        <v>120</v>
      </c>
      <c r="O4559" t="s">
        <v>1102</v>
      </c>
      <c r="P4559" t="s">
        <v>581</v>
      </c>
      <c r="Q4559" s="1" t="s">
        <v>2276</v>
      </c>
      <c r="R4559" s="1" t="s">
        <v>669</v>
      </c>
      <c r="S4559" s="1" t="s">
        <v>168</v>
      </c>
      <c r="X4559" s="1" t="s">
        <v>2256</v>
      </c>
      <c r="Y4559" t="s">
        <v>2273</v>
      </c>
      <c r="Z4559" t="s">
        <v>249</v>
      </c>
      <c r="AA4559" t="s">
        <v>2359</v>
      </c>
      <c r="AB4559" t="s">
        <v>1979</v>
      </c>
      <c r="AC4559" s="1" t="s">
        <v>315</v>
      </c>
      <c r="AD4559" t="s">
        <v>2288</v>
      </c>
      <c r="AR4559">
        <v>1</v>
      </c>
    </row>
    <row r="4560" spans="1:45" x14ac:dyDescent="0.2">
      <c r="A4560" t="s">
        <v>2661</v>
      </c>
      <c r="B4560" t="s">
        <v>2591</v>
      </c>
      <c r="C4560">
        <v>2005</v>
      </c>
      <c r="D4560" t="s">
        <v>44</v>
      </c>
      <c r="F4560" t="s">
        <v>710</v>
      </c>
      <c r="G4560" t="s">
        <v>88</v>
      </c>
      <c r="H4560" t="s">
        <v>350</v>
      </c>
      <c r="I4560">
        <v>2001</v>
      </c>
      <c r="J4560">
        <f t="shared" ref="J4560:J4580" si="99">3/12</f>
        <v>0.25</v>
      </c>
      <c r="K4560" t="s">
        <v>104</v>
      </c>
      <c r="L4560">
        <f t="shared" ref="L4560:L4580" si="100">0.6*5</f>
        <v>3</v>
      </c>
      <c r="M4560">
        <f t="shared" ref="M4560:M4580" si="101">2.5*2.5</f>
        <v>6.25</v>
      </c>
      <c r="N4560" t="s">
        <v>121</v>
      </c>
      <c r="Q4560" s="1" t="s">
        <v>2292</v>
      </c>
      <c r="R4560" s="1" t="s">
        <v>264</v>
      </c>
      <c r="S4560" s="1" t="s">
        <v>264</v>
      </c>
      <c r="X4560" s="1" t="s">
        <v>1196</v>
      </c>
      <c r="Y4560" t="s">
        <v>2279</v>
      </c>
      <c r="Z4560" t="s">
        <v>2280</v>
      </c>
      <c r="AA4560" t="s">
        <v>2286</v>
      </c>
      <c r="AB4560" t="s">
        <v>2305</v>
      </c>
      <c r="AC4560" s="1" t="s">
        <v>152</v>
      </c>
      <c r="AD4560" t="s">
        <v>2278</v>
      </c>
      <c r="AH4560" t="s">
        <v>49</v>
      </c>
      <c r="AI4560" t="s">
        <v>49</v>
      </c>
      <c r="AM4560" t="s">
        <v>233</v>
      </c>
      <c r="AN4560" t="s">
        <v>154</v>
      </c>
      <c r="AP4560" t="s">
        <v>157</v>
      </c>
      <c r="AS4560" t="s">
        <v>2662</v>
      </c>
    </row>
    <row r="4561" spans="1:45" x14ac:dyDescent="0.2">
      <c r="A4561" t="s">
        <v>2661</v>
      </c>
      <c r="B4561" t="s">
        <v>2591</v>
      </c>
      <c r="C4561">
        <v>2005</v>
      </c>
      <c r="D4561" t="s">
        <v>44</v>
      </c>
      <c r="F4561" t="s">
        <v>710</v>
      </c>
      <c r="G4561" t="s">
        <v>88</v>
      </c>
      <c r="H4561" t="s">
        <v>350</v>
      </c>
      <c r="I4561">
        <v>2001</v>
      </c>
      <c r="J4561">
        <f t="shared" si="99"/>
        <v>0.25</v>
      </c>
      <c r="K4561" t="s">
        <v>104</v>
      </c>
      <c r="L4561">
        <f t="shared" si="100"/>
        <v>3</v>
      </c>
      <c r="M4561">
        <f t="shared" si="101"/>
        <v>6.25</v>
      </c>
      <c r="N4561" t="s">
        <v>128</v>
      </c>
      <c r="Q4561" s="1" t="s">
        <v>2276</v>
      </c>
      <c r="R4561" s="1" t="s">
        <v>669</v>
      </c>
      <c r="S4561" s="1" t="s">
        <v>2592</v>
      </c>
      <c r="X4561" s="1" t="s">
        <v>1196</v>
      </c>
      <c r="Y4561" t="s">
        <v>2279</v>
      </c>
      <c r="Z4561" t="s">
        <v>2280</v>
      </c>
      <c r="AA4561" t="s">
        <v>2286</v>
      </c>
      <c r="AB4561" t="s">
        <v>2305</v>
      </c>
      <c r="AC4561" s="1" t="s">
        <v>152</v>
      </c>
      <c r="AD4561" t="s">
        <v>2278</v>
      </c>
      <c r="AH4561" t="s">
        <v>49</v>
      </c>
      <c r="AI4561" t="s">
        <v>49</v>
      </c>
      <c r="AM4561" t="s">
        <v>233</v>
      </c>
      <c r="AN4561" t="s">
        <v>154</v>
      </c>
      <c r="AP4561" t="s">
        <v>157</v>
      </c>
      <c r="AS4561" t="s">
        <v>2662</v>
      </c>
    </row>
    <row r="4562" spans="1:45" x14ac:dyDescent="0.2">
      <c r="A4562" t="s">
        <v>2661</v>
      </c>
      <c r="B4562" t="s">
        <v>2591</v>
      </c>
      <c r="C4562">
        <v>2005</v>
      </c>
      <c r="D4562" t="s">
        <v>44</v>
      </c>
      <c r="F4562" t="s">
        <v>710</v>
      </c>
      <c r="G4562" t="s">
        <v>88</v>
      </c>
      <c r="H4562" t="s">
        <v>350</v>
      </c>
      <c r="I4562">
        <v>2001</v>
      </c>
      <c r="J4562">
        <f t="shared" si="99"/>
        <v>0.25</v>
      </c>
      <c r="K4562" t="s">
        <v>104</v>
      </c>
      <c r="L4562">
        <f t="shared" si="100"/>
        <v>3</v>
      </c>
      <c r="M4562">
        <f t="shared" si="101"/>
        <v>6.25</v>
      </c>
      <c r="N4562" t="s">
        <v>760</v>
      </c>
      <c r="Q4562" s="1" t="s">
        <v>2292</v>
      </c>
      <c r="R4562" s="1" t="s">
        <v>760</v>
      </c>
      <c r="S4562" s="1" t="s">
        <v>760</v>
      </c>
      <c r="X4562" s="1" t="s">
        <v>1196</v>
      </c>
      <c r="Y4562" t="s">
        <v>2279</v>
      </c>
      <c r="Z4562" t="s">
        <v>2280</v>
      </c>
      <c r="AA4562" t="s">
        <v>2286</v>
      </c>
      <c r="AB4562" t="s">
        <v>2305</v>
      </c>
      <c r="AC4562" s="1" t="s">
        <v>152</v>
      </c>
      <c r="AD4562" t="s">
        <v>2278</v>
      </c>
      <c r="AH4562" t="s">
        <v>49</v>
      </c>
      <c r="AI4562" t="s">
        <v>49</v>
      </c>
      <c r="AM4562" t="s">
        <v>233</v>
      </c>
      <c r="AN4562" t="s">
        <v>154</v>
      </c>
      <c r="AP4562" t="s">
        <v>157</v>
      </c>
      <c r="AS4562" t="s">
        <v>2662</v>
      </c>
    </row>
    <row r="4563" spans="1:45" x14ac:dyDescent="0.2">
      <c r="A4563" t="s">
        <v>2661</v>
      </c>
      <c r="B4563" t="s">
        <v>2591</v>
      </c>
      <c r="C4563">
        <v>2005</v>
      </c>
      <c r="D4563" t="s">
        <v>44</v>
      </c>
      <c r="F4563" t="s">
        <v>710</v>
      </c>
      <c r="G4563" t="s">
        <v>88</v>
      </c>
      <c r="H4563" t="s">
        <v>350</v>
      </c>
      <c r="I4563">
        <v>2001</v>
      </c>
      <c r="J4563">
        <f t="shared" si="99"/>
        <v>0.25</v>
      </c>
      <c r="K4563" t="s">
        <v>104</v>
      </c>
      <c r="L4563">
        <f t="shared" si="100"/>
        <v>3</v>
      </c>
      <c r="M4563">
        <f t="shared" si="101"/>
        <v>6.25</v>
      </c>
      <c r="N4563" t="s">
        <v>122</v>
      </c>
      <c r="Q4563" s="1" t="s">
        <v>2281</v>
      </c>
      <c r="R4563" s="1" t="s">
        <v>122</v>
      </c>
      <c r="S4563" s="1" t="s">
        <v>2294</v>
      </c>
      <c r="X4563" s="1" t="s">
        <v>1196</v>
      </c>
      <c r="Y4563" t="s">
        <v>2279</v>
      </c>
      <c r="Z4563" t="s">
        <v>2280</v>
      </c>
      <c r="AA4563" t="s">
        <v>2286</v>
      </c>
      <c r="AB4563" t="s">
        <v>2305</v>
      </c>
      <c r="AC4563" s="1" t="s">
        <v>152</v>
      </c>
      <c r="AD4563" t="s">
        <v>2278</v>
      </c>
      <c r="AH4563" t="s">
        <v>49</v>
      </c>
      <c r="AI4563" t="s">
        <v>49</v>
      </c>
      <c r="AM4563" t="s">
        <v>233</v>
      </c>
      <c r="AN4563" t="s">
        <v>154</v>
      </c>
      <c r="AP4563" t="s">
        <v>157</v>
      </c>
      <c r="AS4563" t="s">
        <v>2662</v>
      </c>
    </row>
    <row r="4564" spans="1:45" x14ac:dyDescent="0.2">
      <c r="A4564" t="s">
        <v>2661</v>
      </c>
      <c r="B4564" t="s">
        <v>2591</v>
      </c>
      <c r="C4564">
        <v>2005</v>
      </c>
      <c r="D4564" t="s">
        <v>44</v>
      </c>
      <c r="F4564" t="s">
        <v>710</v>
      </c>
      <c r="G4564" t="s">
        <v>88</v>
      </c>
      <c r="H4564" t="s">
        <v>350</v>
      </c>
      <c r="I4564">
        <v>2001</v>
      </c>
      <c r="J4564">
        <f t="shared" si="99"/>
        <v>0.25</v>
      </c>
      <c r="K4564" t="s">
        <v>104</v>
      </c>
      <c r="L4564">
        <f t="shared" si="100"/>
        <v>3</v>
      </c>
      <c r="M4564">
        <f t="shared" si="101"/>
        <v>6.25</v>
      </c>
      <c r="N4564" t="s">
        <v>121</v>
      </c>
      <c r="Q4564" s="1" t="s">
        <v>2292</v>
      </c>
      <c r="R4564" s="1" t="s">
        <v>264</v>
      </c>
      <c r="S4564" s="1" t="s">
        <v>264</v>
      </c>
      <c r="X4564" s="1" t="s">
        <v>2593</v>
      </c>
      <c r="Y4564" t="s">
        <v>2279</v>
      </c>
      <c r="Z4564" t="s">
        <v>2280</v>
      </c>
      <c r="AA4564" t="s">
        <v>2286</v>
      </c>
      <c r="AB4564" t="s">
        <v>2287</v>
      </c>
      <c r="AC4564" s="1" t="s">
        <v>152</v>
      </c>
      <c r="AD4564" t="s">
        <v>2278</v>
      </c>
      <c r="AH4564" t="s">
        <v>49</v>
      </c>
      <c r="AI4564" t="s">
        <v>49</v>
      </c>
      <c r="AM4564" t="s">
        <v>233</v>
      </c>
      <c r="AN4564" t="s">
        <v>154</v>
      </c>
      <c r="AP4564" t="s">
        <v>157</v>
      </c>
      <c r="AS4564" t="s">
        <v>2662</v>
      </c>
    </row>
    <row r="4565" spans="1:45" x14ac:dyDescent="0.2">
      <c r="A4565" t="s">
        <v>2661</v>
      </c>
      <c r="B4565" t="s">
        <v>2591</v>
      </c>
      <c r="C4565">
        <v>2005</v>
      </c>
      <c r="D4565" t="s">
        <v>44</v>
      </c>
      <c r="F4565" t="s">
        <v>710</v>
      </c>
      <c r="G4565" t="s">
        <v>88</v>
      </c>
      <c r="H4565" t="s">
        <v>350</v>
      </c>
      <c r="I4565">
        <v>2001</v>
      </c>
      <c r="J4565">
        <f t="shared" si="99"/>
        <v>0.25</v>
      </c>
      <c r="K4565" t="s">
        <v>104</v>
      </c>
      <c r="L4565">
        <f t="shared" si="100"/>
        <v>3</v>
      </c>
      <c r="M4565">
        <f t="shared" si="101"/>
        <v>6.25</v>
      </c>
      <c r="N4565" t="s">
        <v>128</v>
      </c>
      <c r="Q4565" s="1" t="s">
        <v>2276</v>
      </c>
      <c r="R4565" s="1" t="s">
        <v>669</v>
      </c>
      <c r="S4565" s="1" t="s">
        <v>2592</v>
      </c>
      <c r="X4565" s="1" t="s">
        <v>2593</v>
      </c>
      <c r="Y4565" t="s">
        <v>2279</v>
      </c>
      <c r="Z4565" t="s">
        <v>2280</v>
      </c>
      <c r="AA4565" t="s">
        <v>2286</v>
      </c>
      <c r="AB4565" t="s">
        <v>2287</v>
      </c>
      <c r="AC4565" s="1" t="s">
        <v>152</v>
      </c>
      <c r="AD4565" t="s">
        <v>2278</v>
      </c>
      <c r="AH4565" t="s">
        <v>49</v>
      </c>
      <c r="AI4565" t="s">
        <v>49</v>
      </c>
      <c r="AM4565" t="s">
        <v>233</v>
      </c>
      <c r="AN4565" t="s">
        <v>154</v>
      </c>
      <c r="AP4565" t="s">
        <v>157</v>
      </c>
      <c r="AS4565" t="s">
        <v>2662</v>
      </c>
    </row>
    <row r="4566" spans="1:45" x14ac:dyDescent="0.2">
      <c r="A4566" t="s">
        <v>2661</v>
      </c>
      <c r="B4566" t="s">
        <v>2591</v>
      </c>
      <c r="C4566">
        <v>2005</v>
      </c>
      <c r="D4566" t="s">
        <v>44</v>
      </c>
      <c r="F4566" t="s">
        <v>710</v>
      </c>
      <c r="G4566" t="s">
        <v>88</v>
      </c>
      <c r="H4566" t="s">
        <v>350</v>
      </c>
      <c r="I4566">
        <v>2001</v>
      </c>
      <c r="J4566">
        <f t="shared" si="99"/>
        <v>0.25</v>
      </c>
      <c r="K4566" t="s">
        <v>104</v>
      </c>
      <c r="L4566">
        <f t="shared" si="100"/>
        <v>3</v>
      </c>
      <c r="M4566">
        <f t="shared" si="101"/>
        <v>6.25</v>
      </c>
      <c r="N4566" t="s">
        <v>760</v>
      </c>
      <c r="Q4566" s="1" t="s">
        <v>2292</v>
      </c>
      <c r="R4566" s="1" t="s">
        <v>760</v>
      </c>
      <c r="S4566" s="1" t="s">
        <v>760</v>
      </c>
      <c r="X4566" s="1" t="s">
        <v>2593</v>
      </c>
      <c r="Y4566" t="s">
        <v>2279</v>
      </c>
      <c r="Z4566" t="s">
        <v>2280</v>
      </c>
      <c r="AA4566" t="s">
        <v>2286</v>
      </c>
      <c r="AB4566" t="s">
        <v>2287</v>
      </c>
      <c r="AC4566" s="1" t="s">
        <v>152</v>
      </c>
      <c r="AD4566" t="s">
        <v>2278</v>
      </c>
      <c r="AH4566" t="s">
        <v>49</v>
      </c>
      <c r="AI4566" t="s">
        <v>49</v>
      </c>
      <c r="AM4566" t="s">
        <v>233</v>
      </c>
      <c r="AN4566" t="s">
        <v>154</v>
      </c>
      <c r="AP4566" t="s">
        <v>157</v>
      </c>
      <c r="AS4566" t="s">
        <v>2662</v>
      </c>
    </row>
    <row r="4567" spans="1:45" x14ac:dyDescent="0.2">
      <c r="A4567" t="s">
        <v>2661</v>
      </c>
      <c r="B4567" t="s">
        <v>2591</v>
      </c>
      <c r="C4567">
        <v>2005</v>
      </c>
      <c r="D4567" t="s">
        <v>44</v>
      </c>
      <c r="F4567" t="s">
        <v>710</v>
      </c>
      <c r="G4567" t="s">
        <v>88</v>
      </c>
      <c r="H4567" t="s">
        <v>350</v>
      </c>
      <c r="I4567">
        <v>2001</v>
      </c>
      <c r="J4567">
        <f t="shared" si="99"/>
        <v>0.25</v>
      </c>
      <c r="K4567" t="s">
        <v>104</v>
      </c>
      <c r="L4567">
        <f t="shared" si="100"/>
        <v>3</v>
      </c>
      <c r="M4567">
        <f t="shared" si="101"/>
        <v>6.25</v>
      </c>
      <c r="N4567" t="s">
        <v>122</v>
      </c>
      <c r="Q4567" s="1" t="s">
        <v>2281</v>
      </c>
      <c r="R4567" s="1" t="s">
        <v>122</v>
      </c>
      <c r="S4567" s="1" t="s">
        <v>2294</v>
      </c>
      <c r="X4567" s="1" t="s">
        <v>2593</v>
      </c>
      <c r="Y4567" t="s">
        <v>2279</v>
      </c>
      <c r="Z4567" t="s">
        <v>2280</v>
      </c>
      <c r="AA4567" t="s">
        <v>2286</v>
      </c>
      <c r="AB4567" t="s">
        <v>2287</v>
      </c>
      <c r="AC4567" s="1" t="s">
        <v>152</v>
      </c>
      <c r="AD4567" t="s">
        <v>2278</v>
      </c>
      <c r="AH4567" t="s">
        <v>49</v>
      </c>
      <c r="AI4567" t="s">
        <v>49</v>
      </c>
      <c r="AM4567" t="s">
        <v>233</v>
      </c>
      <c r="AN4567" t="s">
        <v>154</v>
      </c>
      <c r="AP4567" t="s">
        <v>157</v>
      </c>
      <c r="AS4567" t="s">
        <v>2662</v>
      </c>
    </row>
    <row r="4568" spans="1:45" x14ac:dyDescent="0.2">
      <c r="A4568" t="s">
        <v>2661</v>
      </c>
      <c r="B4568" t="s">
        <v>2591</v>
      </c>
      <c r="C4568">
        <v>2005</v>
      </c>
      <c r="D4568" t="s">
        <v>44</v>
      </c>
      <c r="F4568" t="s">
        <v>710</v>
      </c>
      <c r="G4568" t="s">
        <v>88</v>
      </c>
      <c r="H4568" t="s">
        <v>350</v>
      </c>
      <c r="I4568">
        <v>2001</v>
      </c>
      <c r="J4568">
        <f t="shared" si="99"/>
        <v>0.25</v>
      </c>
      <c r="K4568" t="s">
        <v>104</v>
      </c>
      <c r="L4568">
        <f t="shared" si="100"/>
        <v>3</v>
      </c>
      <c r="M4568">
        <f t="shared" si="101"/>
        <v>6.25</v>
      </c>
      <c r="N4568" t="s">
        <v>121</v>
      </c>
      <c r="Q4568" s="1" t="s">
        <v>2292</v>
      </c>
      <c r="R4568" s="1" t="s">
        <v>264</v>
      </c>
      <c r="S4568" s="1" t="s">
        <v>264</v>
      </c>
      <c r="X4568" s="1" t="s">
        <v>338</v>
      </c>
      <c r="Y4568" t="s">
        <v>2279</v>
      </c>
      <c r="Z4568" t="s">
        <v>2280</v>
      </c>
      <c r="AA4568" t="s">
        <v>2358</v>
      </c>
      <c r="AB4568" t="s">
        <v>2009</v>
      </c>
      <c r="AC4568" s="1" t="s">
        <v>152</v>
      </c>
      <c r="AD4568" t="s">
        <v>2278</v>
      </c>
      <c r="AH4568" t="s">
        <v>49</v>
      </c>
      <c r="AI4568" t="s">
        <v>49</v>
      </c>
      <c r="AM4568" t="s">
        <v>233</v>
      </c>
      <c r="AN4568" t="s">
        <v>154</v>
      </c>
      <c r="AP4568" t="s">
        <v>51</v>
      </c>
      <c r="AS4568" t="s">
        <v>2662</v>
      </c>
    </row>
    <row r="4569" spans="1:45" x14ac:dyDescent="0.2">
      <c r="A4569" t="s">
        <v>2661</v>
      </c>
      <c r="B4569" t="s">
        <v>2591</v>
      </c>
      <c r="C4569">
        <v>2005</v>
      </c>
      <c r="D4569" t="s">
        <v>44</v>
      </c>
      <c r="F4569" t="s">
        <v>710</v>
      </c>
      <c r="G4569" t="s">
        <v>88</v>
      </c>
      <c r="H4569" t="s">
        <v>350</v>
      </c>
      <c r="I4569">
        <v>2001</v>
      </c>
      <c r="J4569">
        <f t="shared" si="99"/>
        <v>0.25</v>
      </c>
      <c r="K4569" t="s">
        <v>104</v>
      </c>
      <c r="L4569">
        <f t="shared" si="100"/>
        <v>3</v>
      </c>
      <c r="M4569">
        <f t="shared" si="101"/>
        <v>6.25</v>
      </c>
      <c r="N4569" t="s">
        <v>128</v>
      </c>
      <c r="Q4569" s="1" t="s">
        <v>2276</v>
      </c>
      <c r="R4569" s="1" t="s">
        <v>669</v>
      </c>
      <c r="S4569" s="1" t="s">
        <v>2592</v>
      </c>
      <c r="X4569" s="1" t="s">
        <v>338</v>
      </c>
      <c r="Y4569" t="s">
        <v>2279</v>
      </c>
      <c r="Z4569" t="s">
        <v>2280</v>
      </c>
      <c r="AA4569" t="s">
        <v>2358</v>
      </c>
      <c r="AB4569" t="s">
        <v>2009</v>
      </c>
      <c r="AC4569" s="1" t="s">
        <v>152</v>
      </c>
      <c r="AD4569" t="s">
        <v>2278</v>
      </c>
      <c r="AH4569" t="s">
        <v>49</v>
      </c>
      <c r="AI4569" t="s">
        <v>49</v>
      </c>
      <c r="AM4569" t="s">
        <v>233</v>
      </c>
      <c r="AN4569" t="s">
        <v>154</v>
      </c>
      <c r="AP4569" t="s">
        <v>51</v>
      </c>
      <c r="AS4569" t="s">
        <v>2662</v>
      </c>
    </row>
    <row r="4570" spans="1:45" x14ac:dyDescent="0.2">
      <c r="A4570" t="s">
        <v>2661</v>
      </c>
      <c r="B4570" t="s">
        <v>2591</v>
      </c>
      <c r="C4570">
        <v>2005</v>
      </c>
      <c r="D4570" t="s">
        <v>44</v>
      </c>
      <c r="F4570" t="s">
        <v>710</v>
      </c>
      <c r="G4570" t="s">
        <v>88</v>
      </c>
      <c r="H4570" t="s">
        <v>350</v>
      </c>
      <c r="I4570">
        <v>2001</v>
      </c>
      <c r="J4570">
        <f t="shared" si="99"/>
        <v>0.25</v>
      </c>
      <c r="K4570" t="s">
        <v>104</v>
      </c>
      <c r="L4570">
        <f t="shared" si="100"/>
        <v>3</v>
      </c>
      <c r="M4570">
        <f t="shared" si="101"/>
        <v>6.25</v>
      </c>
      <c r="N4570" t="s">
        <v>760</v>
      </c>
      <c r="Q4570" s="1" t="s">
        <v>2292</v>
      </c>
      <c r="R4570" s="1" t="s">
        <v>760</v>
      </c>
      <c r="S4570" s="1" t="s">
        <v>760</v>
      </c>
      <c r="X4570" s="1" t="s">
        <v>338</v>
      </c>
      <c r="Y4570" t="s">
        <v>2279</v>
      </c>
      <c r="Z4570" t="s">
        <v>2280</v>
      </c>
      <c r="AA4570" t="s">
        <v>2358</v>
      </c>
      <c r="AB4570" t="s">
        <v>2009</v>
      </c>
      <c r="AC4570" s="1" t="s">
        <v>152</v>
      </c>
      <c r="AD4570" t="s">
        <v>2278</v>
      </c>
      <c r="AH4570" t="s">
        <v>49</v>
      </c>
      <c r="AI4570" t="s">
        <v>49</v>
      </c>
      <c r="AM4570" t="s">
        <v>233</v>
      </c>
      <c r="AN4570" t="s">
        <v>154</v>
      </c>
      <c r="AP4570" t="s">
        <v>51</v>
      </c>
      <c r="AS4570" t="s">
        <v>2662</v>
      </c>
    </row>
    <row r="4571" spans="1:45" x14ac:dyDescent="0.2">
      <c r="A4571" t="s">
        <v>2661</v>
      </c>
      <c r="B4571" t="s">
        <v>2591</v>
      </c>
      <c r="C4571">
        <v>2005</v>
      </c>
      <c r="D4571" t="s">
        <v>44</v>
      </c>
      <c r="F4571" t="s">
        <v>710</v>
      </c>
      <c r="G4571" t="s">
        <v>88</v>
      </c>
      <c r="H4571" t="s">
        <v>350</v>
      </c>
      <c r="I4571">
        <v>2001</v>
      </c>
      <c r="J4571">
        <f t="shared" si="99"/>
        <v>0.25</v>
      </c>
      <c r="K4571" t="s">
        <v>104</v>
      </c>
      <c r="L4571">
        <f t="shared" si="100"/>
        <v>3</v>
      </c>
      <c r="M4571">
        <f t="shared" si="101"/>
        <v>6.25</v>
      </c>
      <c r="N4571" t="s">
        <v>122</v>
      </c>
      <c r="Q4571" s="1" t="s">
        <v>2281</v>
      </c>
      <c r="R4571" s="1" t="s">
        <v>122</v>
      </c>
      <c r="S4571" s="1" t="s">
        <v>2294</v>
      </c>
      <c r="X4571" s="1" t="s">
        <v>338</v>
      </c>
      <c r="Y4571" t="s">
        <v>2279</v>
      </c>
      <c r="Z4571" t="s">
        <v>2280</v>
      </c>
      <c r="AA4571" t="s">
        <v>2358</v>
      </c>
      <c r="AB4571" t="s">
        <v>2009</v>
      </c>
      <c r="AC4571" s="1" t="s">
        <v>152</v>
      </c>
      <c r="AD4571" t="s">
        <v>2278</v>
      </c>
      <c r="AH4571" t="s">
        <v>49</v>
      </c>
      <c r="AI4571" t="s">
        <v>49</v>
      </c>
      <c r="AM4571" t="s">
        <v>233</v>
      </c>
      <c r="AN4571" t="s">
        <v>154</v>
      </c>
      <c r="AP4571" t="s">
        <v>51</v>
      </c>
      <c r="AS4571" t="s">
        <v>2662</v>
      </c>
    </row>
    <row r="4572" spans="1:45" x14ac:dyDescent="0.2">
      <c r="A4572" t="s">
        <v>2661</v>
      </c>
      <c r="B4572" t="s">
        <v>2591</v>
      </c>
      <c r="C4572">
        <v>2005</v>
      </c>
      <c r="D4572" t="s">
        <v>44</v>
      </c>
      <c r="F4572" t="s">
        <v>710</v>
      </c>
      <c r="G4572" t="s">
        <v>88</v>
      </c>
      <c r="H4572" t="s">
        <v>350</v>
      </c>
      <c r="I4572">
        <v>2001</v>
      </c>
      <c r="J4572">
        <f t="shared" si="99"/>
        <v>0.25</v>
      </c>
      <c r="K4572" t="s">
        <v>104</v>
      </c>
      <c r="L4572">
        <f t="shared" si="100"/>
        <v>3</v>
      </c>
      <c r="M4572">
        <f t="shared" si="101"/>
        <v>6.25</v>
      </c>
      <c r="N4572" t="s">
        <v>121</v>
      </c>
      <c r="Q4572" s="1" t="s">
        <v>2292</v>
      </c>
      <c r="R4572" s="1" t="s">
        <v>264</v>
      </c>
      <c r="S4572" s="1" t="s">
        <v>264</v>
      </c>
      <c r="X4572" s="1" t="s">
        <v>2594</v>
      </c>
      <c r="Y4572" t="s">
        <v>2279</v>
      </c>
      <c r="Z4572" t="s">
        <v>2280</v>
      </c>
      <c r="AA4572" t="s">
        <v>2286</v>
      </c>
      <c r="AB4572" t="s">
        <v>2299</v>
      </c>
      <c r="AC4572" s="1" t="s">
        <v>152</v>
      </c>
      <c r="AD4572" t="s">
        <v>2278</v>
      </c>
      <c r="AH4572" t="s">
        <v>49</v>
      </c>
      <c r="AI4572" t="s">
        <v>49</v>
      </c>
      <c r="AM4572" t="s">
        <v>233</v>
      </c>
      <c r="AN4572" t="s">
        <v>154</v>
      </c>
      <c r="AP4572" t="s">
        <v>51</v>
      </c>
      <c r="AS4572" t="s">
        <v>2662</v>
      </c>
    </row>
    <row r="4573" spans="1:45" x14ac:dyDescent="0.2">
      <c r="A4573" t="s">
        <v>2661</v>
      </c>
      <c r="B4573" t="s">
        <v>2591</v>
      </c>
      <c r="C4573">
        <v>2005</v>
      </c>
      <c r="D4573" t="s">
        <v>44</v>
      </c>
      <c r="F4573" t="s">
        <v>710</v>
      </c>
      <c r="G4573" t="s">
        <v>88</v>
      </c>
      <c r="H4573" t="s">
        <v>350</v>
      </c>
      <c r="I4573">
        <v>2001</v>
      </c>
      <c r="J4573">
        <f t="shared" si="99"/>
        <v>0.25</v>
      </c>
      <c r="K4573" t="s">
        <v>104</v>
      </c>
      <c r="L4573">
        <f t="shared" si="100"/>
        <v>3</v>
      </c>
      <c r="M4573">
        <f t="shared" si="101"/>
        <v>6.25</v>
      </c>
      <c r="N4573" t="s">
        <v>128</v>
      </c>
      <c r="Q4573" s="1" t="s">
        <v>2276</v>
      </c>
      <c r="R4573" s="1" t="s">
        <v>669</v>
      </c>
      <c r="S4573" s="1" t="s">
        <v>2592</v>
      </c>
      <c r="X4573" s="1" t="s">
        <v>2594</v>
      </c>
      <c r="Y4573" t="s">
        <v>2279</v>
      </c>
      <c r="Z4573" t="s">
        <v>2280</v>
      </c>
      <c r="AA4573" t="s">
        <v>2286</v>
      </c>
      <c r="AB4573" t="s">
        <v>2299</v>
      </c>
      <c r="AC4573" s="1" t="s">
        <v>152</v>
      </c>
      <c r="AD4573" t="s">
        <v>2278</v>
      </c>
      <c r="AH4573" t="s">
        <v>49</v>
      </c>
      <c r="AI4573" t="s">
        <v>49</v>
      </c>
      <c r="AM4573" t="s">
        <v>233</v>
      </c>
      <c r="AN4573" t="s">
        <v>154</v>
      </c>
      <c r="AP4573" t="s">
        <v>51</v>
      </c>
      <c r="AS4573" t="s">
        <v>2662</v>
      </c>
    </row>
    <row r="4574" spans="1:45" x14ac:dyDescent="0.2">
      <c r="A4574" t="s">
        <v>2661</v>
      </c>
      <c r="B4574" t="s">
        <v>2591</v>
      </c>
      <c r="C4574">
        <v>2005</v>
      </c>
      <c r="D4574" t="s">
        <v>44</v>
      </c>
      <c r="F4574" t="s">
        <v>710</v>
      </c>
      <c r="G4574" t="s">
        <v>88</v>
      </c>
      <c r="H4574" t="s">
        <v>350</v>
      </c>
      <c r="I4574">
        <v>2001</v>
      </c>
      <c r="J4574">
        <f t="shared" si="99"/>
        <v>0.25</v>
      </c>
      <c r="K4574" t="s">
        <v>104</v>
      </c>
      <c r="L4574">
        <f t="shared" si="100"/>
        <v>3</v>
      </c>
      <c r="M4574">
        <f t="shared" si="101"/>
        <v>6.25</v>
      </c>
      <c r="N4574" t="s">
        <v>760</v>
      </c>
      <c r="Q4574" s="1" t="s">
        <v>2292</v>
      </c>
      <c r="R4574" s="1" t="s">
        <v>760</v>
      </c>
      <c r="S4574" s="1" t="s">
        <v>760</v>
      </c>
      <c r="X4574" s="1" t="s">
        <v>2594</v>
      </c>
      <c r="Y4574" t="s">
        <v>2279</v>
      </c>
      <c r="Z4574" t="s">
        <v>2280</v>
      </c>
      <c r="AA4574" t="s">
        <v>2286</v>
      </c>
      <c r="AB4574" t="s">
        <v>2299</v>
      </c>
      <c r="AC4574" s="1" t="s">
        <v>152</v>
      </c>
      <c r="AD4574" t="s">
        <v>2278</v>
      </c>
      <c r="AH4574" t="s">
        <v>49</v>
      </c>
      <c r="AI4574" t="s">
        <v>49</v>
      </c>
      <c r="AM4574" t="s">
        <v>233</v>
      </c>
      <c r="AN4574" t="s">
        <v>154</v>
      </c>
      <c r="AP4574" t="s">
        <v>51</v>
      </c>
      <c r="AS4574" t="s">
        <v>2662</v>
      </c>
    </row>
    <row r="4575" spans="1:45" x14ac:dyDescent="0.2">
      <c r="A4575" t="s">
        <v>2661</v>
      </c>
      <c r="B4575" t="s">
        <v>2591</v>
      </c>
      <c r="C4575">
        <v>2005</v>
      </c>
      <c r="D4575" t="s">
        <v>44</v>
      </c>
      <c r="F4575" t="s">
        <v>710</v>
      </c>
      <c r="G4575" t="s">
        <v>88</v>
      </c>
      <c r="H4575" t="s">
        <v>350</v>
      </c>
      <c r="I4575">
        <v>2001</v>
      </c>
      <c r="J4575">
        <f t="shared" si="99"/>
        <v>0.25</v>
      </c>
      <c r="K4575" t="s">
        <v>104</v>
      </c>
      <c r="L4575">
        <f t="shared" si="100"/>
        <v>3</v>
      </c>
      <c r="M4575">
        <f t="shared" si="101"/>
        <v>6.25</v>
      </c>
      <c r="N4575" t="s">
        <v>122</v>
      </c>
      <c r="Q4575" s="1" t="s">
        <v>2281</v>
      </c>
      <c r="R4575" s="1" t="s">
        <v>122</v>
      </c>
      <c r="S4575" s="1" t="s">
        <v>2294</v>
      </c>
      <c r="X4575" s="1" t="s">
        <v>2594</v>
      </c>
      <c r="Y4575" t="s">
        <v>2279</v>
      </c>
      <c r="Z4575" t="s">
        <v>2280</v>
      </c>
      <c r="AA4575" t="s">
        <v>2286</v>
      </c>
      <c r="AB4575" t="s">
        <v>2299</v>
      </c>
      <c r="AC4575" s="1" t="s">
        <v>152</v>
      </c>
      <c r="AD4575" t="s">
        <v>2278</v>
      </c>
      <c r="AH4575" t="s">
        <v>49</v>
      </c>
      <c r="AI4575" t="s">
        <v>49</v>
      </c>
      <c r="AM4575" t="s">
        <v>233</v>
      </c>
      <c r="AN4575" t="s">
        <v>154</v>
      </c>
      <c r="AP4575" t="s">
        <v>51</v>
      </c>
      <c r="AS4575" t="s">
        <v>2662</v>
      </c>
    </row>
    <row r="4576" spans="1:45" x14ac:dyDescent="0.2">
      <c r="A4576" t="s">
        <v>2661</v>
      </c>
      <c r="B4576" t="s">
        <v>2591</v>
      </c>
      <c r="C4576">
        <v>2005</v>
      </c>
      <c r="D4576" t="s">
        <v>44</v>
      </c>
      <c r="F4576" t="s">
        <v>710</v>
      </c>
      <c r="G4576" t="s">
        <v>88</v>
      </c>
      <c r="H4576" t="s">
        <v>350</v>
      </c>
      <c r="I4576">
        <v>2001</v>
      </c>
      <c r="J4576">
        <f t="shared" si="99"/>
        <v>0.25</v>
      </c>
      <c r="K4576" t="s">
        <v>104</v>
      </c>
      <c r="L4576">
        <f t="shared" si="100"/>
        <v>3</v>
      </c>
      <c r="M4576">
        <f t="shared" si="101"/>
        <v>6.25</v>
      </c>
      <c r="N4576" t="s">
        <v>121</v>
      </c>
      <c r="Q4576" s="1" t="s">
        <v>2292</v>
      </c>
      <c r="R4576" s="1" t="s">
        <v>264</v>
      </c>
      <c r="S4576" s="1" t="s">
        <v>264</v>
      </c>
      <c r="X4576" s="1" t="s">
        <v>211</v>
      </c>
      <c r="Y4576" t="s">
        <v>2279</v>
      </c>
      <c r="Z4576" t="s">
        <v>2280</v>
      </c>
      <c r="AA4576" t="s">
        <v>2358</v>
      </c>
      <c r="AB4576" t="s">
        <v>2290</v>
      </c>
      <c r="AC4576" s="1" t="s">
        <v>152</v>
      </c>
      <c r="AD4576" t="s">
        <v>2278</v>
      </c>
      <c r="AH4576" t="s">
        <v>49</v>
      </c>
      <c r="AI4576" t="s">
        <v>49</v>
      </c>
      <c r="AM4576" t="s">
        <v>233</v>
      </c>
      <c r="AN4576" t="s">
        <v>154</v>
      </c>
      <c r="AP4576" t="s">
        <v>51</v>
      </c>
      <c r="AS4576" t="s">
        <v>2662</v>
      </c>
    </row>
    <row r="4577" spans="1:45" x14ac:dyDescent="0.2">
      <c r="A4577" t="s">
        <v>2661</v>
      </c>
      <c r="B4577" t="s">
        <v>2591</v>
      </c>
      <c r="C4577">
        <v>2005</v>
      </c>
      <c r="D4577" t="s">
        <v>44</v>
      </c>
      <c r="F4577" t="s">
        <v>710</v>
      </c>
      <c r="G4577" t="s">
        <v>88</v>
      </c>
      <c r="H4577" t="s">
        <v>350</v>
      </c>
      <c r="I4577">
        <v>2001</v>
      </c>
      <c r="J4577">
        <f t="shared" si="99"/>
        <v>0.25</v>
      </c>
      <c r="K4577" t="s">
        <v>104</v>
      </c>
      <c r="L4577">
        <f t="shared" si="100"/>
        <v>3</v>
      </c>
      <c r="M4577">
        <f t="shared" si="101"/>
        <v>6.25</v>
      </c>
      <c r="N4577" t="s">
        <v>128</v>
      </c>
      <c r="Q4577" s="1" t="s">
        <v>2276</v>
      </c>
      <c r="R4577" s="1" t="s">
        <v>669</v>
      </c>
      <c r="S4577" s="1" t="s">
        <v>2592</v>
      </c>
      <c r="X4577" s="1" t="s">
        <v>211</v>
      </c>
      <c r="Y4577" t="s">
        <v>2279</v>
      </c>
      <c r="Z4577" t="s">
        <v>2280</v>
      </c>
      <c r="AA4577" t="s">
        <v>2358</v>
      </c>
      <c r="AB4577" t="s">
        <v>2290</v>
      </c>
      <c r="AC4577" s="1" t="s">
        <v>152</v>
      </c>
      <c r="AD4577" t="s">
        <v>2278</v>
      </c>
      <c r="AH4577" t="s">
        <v>49</v>
      </c>
      <c r="AI4577" t="s">
        <v>49</v>
      </c>
      <c r="AM4577" t="s">
        <v>233</v>
      </c>
      <c r="AN4577" t="s">
        <v>154</v>
      </c>
      <c r="AP4577" t="s">
        <v>51</v>
      </c>
      <c r="AS4577" t="s">
        <v>2662</v>
      </c>
    </row>
    <row r="4578" spans="1:45" x14ac:dyDescent="0.2">
      <c r="A4578" t="s">
        <v>2661</v>
      </c>
      <c r="B4578" t="s">
        <v>2591</v>
      </c>
      <c r="C4578">
        <v>2005</v>
      </c>
      <c r="D4578" t="s">
        <v>44</v>
      </c>
      <c r="F4578" t="s">
        <v>710</v>
      </c>
      <c r="G4578" t="s">
        <v>88</v>
      </c>
      <c r="H4578" t="s">
        <v>350</v>
      </c>
      <c r="I4578">
        <v>2001</v>
      </c>
      <c r="J4578">
        <f t="shared" si="99"/>
        <v>0.25</v>
      </c>
      <c r="K4578" t="s">
        <v>104</v>
      </c>
      <c r="L4578">
        <f t="shared" si="100"/>
        <v>3</v>
      </c>
      <c r="M4578">
        <f t="shared" si="101"/>
        <v>6.25</v>
      </c>
      <c r="N4578" t="s">
        <v>760</v>
      </c>
      <c r="Q4578" s="1" t="s">
        <v>2292</v>
      </c>
      <c r="R4578" s="1" t="s">
        <v>760</v>
      </c>
      <c r="S4578" s="1" t="s">
        <v>760</v>
      </c>
      <c r="X4578" s="1" t="s">
        <v>211</v>
      </c>
      <c r="Y4578" t="s">
        <v>2279</v>
      </c>
      <c r="Z4578" t="s">
        <v>2280</v>
      </c>
      <c r="AA4578" t="s">
        <v>2358</v>
      </c>
      <c r="AB4578" t="s">
        <v>2290</v>
      </c>
      <c r="AC4578" s="1" t="s">
        <v>152</v>
      </c>
      <c r="AD4578" t="s">
        <v>2278</v>
      </c>
      <c r="AH4578" t="s">
        <v>49</v>
      </c>
      <c r="AI4578" t="s">
        <v>49</v>
      </c>
      <c r="AM4578" t="s">
        <v>233</v>
      </c>
      <c r="AN4578" t="s">
        <v>154</v>
      </c>
      <c r="AP4578" t="s">
        <v>51</v>
      </c>
      <c r="AS4578" t="s">
        <v>2662</v>
      </c>
    </row>
    <row r="4579" spans="1:45" x14ac:dyDescent="0.2">
      <c r="A4579" t="s">
        <v>2661</v>
      </c>
      <c r="B4579" t="s">
        <v>2591</v>
      </c>
      <c r="C4579">
        <v>2005</v>
      </c>
      <c r="D4579" t="s">
        <v>44</v>
      </c>
      <c r="F4579" t="s">
        <v>710</v>
      </c>
      <c r="G4579" t="s">
        <v>88</v>
      </c>
      <c r="H4579" t="s">
        <v>350</v>
      </c>
      <c r="I4579">
        <v>2001</v>
      </c>
      <c r="J4579">
        <f t="shared" si="99"/>
        <v>0.25</v>
      </c>
      <c r="K4579" t="s">
        <v>104</v>
      </c>
      <c r="L4579">
        <f t="shared" si="100"/>
        <v>3</v>
      </c>
      <c r="M4579">
        <f t="shared" si="101"/>
        <v>6.25</v>
      </c>
      <c r="N4579" t="s">
        <v>122</v>
      </c>
      <c r="Q4579" s="1" t="s">
        <v>2281</v>
      </c>
      <c r="R4579" s="1" t="s">
        <v>122</v>
      </c>
      <c r="S4579" s="1" t="s">
        <v>2294</v>
      </c>
      <c r="X4579" s="1" t="s">
        <v>211</v>
      </c>
      <c r="Y4579" t="s">
        <v>2279</v>
      </c>
      <c r="Z4579" t="s">
        <v>2280</v>
      </c>
      <c r="AA4579" t="s">
        <v>2358</v>
      </c>
      <c r="AB4579" t="s">
        <v>2290</v>
      </c>
      <c r="AC4579" s="1" t="s">
        <v>152</v>
      </c>
      <c r="AD4579" t="s">
        <v>2278</v>
      </c>
      <c r="AH4579" t="s">
        <v>49</v>
      </c>
      <c r="AI4579" t="s">
        <v>49</v>
      </c>
      <c r="AM4579" t="s">
        <v>233</v>
      </c>
      <c r="AN4579" t="s">
        <v>154</v>
      </c>
      <c r="AP4579" t="s">
        <v>51</v>
      </c>
      <c r="AS4579" t="s">
        <v>2662</v>
      </c>
    </row>
    <row r="4580" spans="1:45" x14ac:dyDescent="0.2">
      <c r="A4580" t="s">
        <v>2661</v>
      </c>
      <c r="B4580" t="s">
        <v>2591</v>
      </c>
      <c r="C4580">
        <v>2005</v>
      </c>
      <c r="D4580" t="s">
        <v>44</v>
      </c>
      <c r="F4580" t="s">
        <v>710</v>
      </c>
      <c r="G4580" t="s">
        <v>88</v>
      </c>
      <c r="H4580" t="s">
        <v>350</v>
      </c>
      <c r="I4580">
        <v>2001</v>
      </c>
      <c r="J4580">
        <f t="shared" si="99"/>
        <v>0.25</v>
      </c>
      <c r="K4580" t="s">
        <v>104</v>
      </c>
      <c r="L4580">
        <f t="shared" si="100"/>
        <v>3</v>
      </c>
      <c r="M4580">
        <f t="shared" si="101"/>
        <v>6.25</v>
      </c>
      <c r="N4580" t="s">
        <v>121</v>
      </c>
      <c r="Q4580" s="1" t="s">
        <v>2292</v>
      </c>
      <c r="R4580" s="1" t="s">
        <v>264</v>
      </c>
      <c r="S4580" s="1" t="s">
        <v>264</v>
      </c>
      <c r="X4580" s="1" t="s">
        <v>2595</v>
      </c>
      <c r="Y4580" t="s">
        <v>2279</v>
      </c>
      <c r="Z4580" t="s">
        <v>2280</v>
      </c>
      <c r="AA4580" t="s">
        <v>2286</v>
      </c>
      <c r="AB4580" t="s">
        <v>2287</v>
      </c>
      <c r="AC4580" s="1" t="s">
        <v>315</v>
      </c>
      <c r="AD4580" t="s">
        <v>2278</v>
      </c>
      <c r="AH4580" t="s">
        <v>49</v>
      </c>
      <c r="AI4580" t="s">
        <v>49</v>
      </c>
      <c r="AM4580" t="s">
        <v>233</v>
      </c>
      <c r="AN4580" t="s">
        <v>154</v>
      </c>
      <c r="AP4580" t="s">
        <v>157</v>
      </c>
      <c r="AS4580" t="s">
        <v>2662</v>
      </c>
    </row>
    <row r="4581" spans="1:45" x14ac:dyDescent="0.2">
      <c r="A4581" t="s">
        <v>2661</v>
      </c>
      <c r="B4581" t="s">
        <v>2591</v>
      </c>
      <c r="C4581">
        <v>2005</v>
      </c>
      <c r="D4581" t="s">
        <v>44</v>
      </c>
      <c r="F4581" t="s">
        <v>710</v>
      </c>
      <c r="G4581" t="s">
        <v>88</v>
      </c>
      <c r="H4581" t="s">
        <v>350</v>
      </c>
      <c r="I4581">
        <v>2001</v>
      </c>
      <c r="J4581">
        <f t="shared" ref="J4581:J4583" si="102">3/12</f>
        <v>0.25</v>
      </c>
      <c r="K4581" t="s">
        <v>104</v>
      </c>
      <c r="L4581">
        <f t="shared" ref="L4581:L4583" si="103">0.6*5</f>
        <v>3</v>
      </c>
      <c r="M4581">
        <f t="shared" ref="M4581:M4583" si="104">2.5*2.5</f>
        <v>6.25</v>
      </c>
      <c r="N4581" t="s">
        <v>128</v>
      </c>
      <c r="Q4581" s="1" t="s">
        <v>2276</v>
      </c>
      <c r="R4581" s="1" t="s">
        <v>669</v>
      </c>
      <c r="S4581" s="1" t="s">
        <v>2592</v>
      </c>
      <c r="X4581" s="1" t="s">
        <v>2595</v>
      </c>
      <c r="Y4581" t="s">
        <v>2279</v>
      </c>
      <c r="Z4581" t="s">
        <v>2280</v>
      </c>
      <c r="AA4581" t="s">
        <v>2286</v>
      </c>
      <c r="AB4581" t="s">
        <v>2287</v>
      </c>
      <c r="AC4581" s="1" t="s">
        <v>315</v>
      </c>
      <c r="AD4581" t="s">
        <v>2278</v>
      </c>
      <c r="AH4581" t="s">
        <v>49</v>
      </c>
      <c r="AI4581" t="s">
        <v>49</v>
      </c>
      <c r="AM4581" t="s">
        <v>233</v>
      </c>
      <c r="AN4581" t="s">
        <v>154</v>
      </c>
      <c r="AP4581" t="s">
        <v>157</v>
      </c>
      <c r="AS4581" t="s">
        <v>2662</v>
      </c>
    </row>
    <row r="4582" spans="1:45" x14ac:dyDescent="0.2">
      <c r="A4582" t="s">
        <v>2661</v>
      </c>
      <c r="B4582" t="s">
        <v>2591</v>
      </c>
      <c r="C4582">
        <v>2005</v>
      </c>
      <c r="D4582" t="s">
        <v>44</v>
      </c>
      <c r="F4582" t="s">
        <v>710</v>
      </c>
      <c r="G4582" t="s">
        <v>88</v>
      </c>
      <c r="H4582" t="s">
        <v>350</v>
      </c>
      <c r="I4582">
        <v>2001</v>
      </c>
      <c r="J4582">
        <f t="shared" si="102"/>
        <v>0.25</v>
      </c>
      <c r="K4582" t="s">
        <v>104</v>
      </c>
      <c r="L4582">
        <f t="shared" si="103"/>
        <v>3</v>
      </c>
      <c r="M4582">
        <f t="shared" si="104"/>
        <v>6.25</v>
      </c>
      <c r="N4582" t="s">
        <v>760</v>
      </c>
      <c r="Q4582" s="1" t="s">
        <v>2292</v>
      </c>
      <c r="R4582" s="1" t="s">
        <v>760</v>
      </c>
      <c r="S4582" s="1" t="s">
        <v>760</v>
      </c>
      <c r="X4582" s="1" t="s">
        <v>2595</v>
      </c>
      <c r="Y4582" t="s">
        <v>2279</v>
      </c>
      <c r="Z4582" t="s">
        <v>2280</v>
      </c>
      <c r="AA4582" t="s">
        <v>2286</v>
      </c>
      <c r="AB4582" t="s">
        <v>2287</v>
      </c>
      <c r="AC4582" s="1" t="s">
        <v>315</v>
      </c>
      <c r="AD4582" t="s">
        <v>2278</v>
      </c>
      <c r="AH4582" t="s">
        <v>49</v>
      </c>
      <c r="AI4582" t="s">
        <v>49</v>
      </c>
      <c r="AM4582" t="s">
        <v>233</v>
      </c>
      <c r="AN4582" t="s">
        <v>154</v>
      </c>
      <c r="AP4582" t="s">
        <v>157</v>
      </c>
      <c r="AS4582" t="s">
        <v>2662</v>
      </c>
    </row>
    <row r="4583" spans="1:45" x14ac:dyDescent="0.2">
      <c r="A4583" t="s">
        <v>2661</v>
      </c>
      <c r="B4583" t="s">
        <v>2591</v>
      </c>
      <c r="C4583">
        <v>2005</v>
      </c>
      <c r="D4583" t="s">
        <v>44</v>
      </c>
      <c r="F4583" t="s">
        <v>710</v>
      </c>
      <c r="G4583" t="s">
        <v>88</v>
      </c>
      <c r="H4583" t="s">
        <v>350</v>
      </c>
      <c r="I4583">
        <v>2001</v>
      </c>
      <c r="J4583">
        <f t="shared" si="102"/>
        <v>0.25</v>
      </c>
      <c r="K4583" t="s">
        <v>104</v>
      </c>
      <c r="L4583">
        <f t="shared" si="103"/>
        <v>3</v>
      </c>
      <c r="M4583">
        <f t="shared" si="104"/>
        <v>6.25</v>
      </c>
      <c r="N4583" t="s">
        <v>122</v>
      </c>
      <c r="Q4583" s="1" t="s">
        <v>2281</v>
      </c>
      <c r="R4583" s="1" t="s">
        <v>122</v>
      </c>
      <c r="S4583" s="1" t="s">
        <v>2294</v>
      </c>
      <c r="X4583" s="1" t="s">
        <v>2595</v>
      </c>
      <c r="Y4583" t="s">
        <v>2279</v>
      </c>
      <c r="Z4583" t="s">
        <v>2280</v>
      </c>
      <c r="AA4583" t="s">
        <v>2286</v>
      </c>
      <c r="AB4583" t="s">
        <v>2287</v>
      </c>
      <c r="AC4583" s="1" t="s">
        <v>315</v>
      </c>
      <c r="AD4583" t="s">
        <v>2278</v>
      </c>
      <c r="AH4583" t="s">
        <v>49</v>
      </c>
      <c r="AI4583" t="s">
        <v>49</v>
      </c>
      <c r="AM4583" t="s">
        <v>233</v>
      </c>
      <c r="AN4583" t="s">
        <v>154</v>
      </c>
      <c r="AP4583" t="s">
        <v>157</v>
      </c>
      <c r="AS4583" t="s">
        <v>2662</v>
      </c>
    </row>
    <row r="4584" spans="1:45" x14ac:dyDescent="0.2">
      <c r="A4584" t="s">
        <v>2661</v>
      </c>
      <c r="B4584" t="s">
        <v>2591</v>
      </c>
      <c r="C4584">
        <v>2005</v>
      </c>
      <c r="D4584" t="s">
        <v>44</v>
      </c>
      <c r="F4584" t="s">
        <v>710</v>
      </c>
      <c r="G4584" t="s">
        <v>88</v>
      </c>
      <c r="H4584" t="s">
        <v>350</v>
      </c>
      <c r="I4584">
        <v>2001</v>
      </c>
      <c r="J4584">
        <f t="shared" ref="J4584:J4604" si="105">3/12</f>
        <v>0.25</v>
      </c>
      <c r="K4584" t="s">
        <v>104</v>
      </c>
      <c r="L4584">
        <f t="shared" ref="L4584:L4604" si="106">0.6*5</f>
        <v>3</v>
      </c>
      <c r="M4584">
        <f t="shared" ref="M4584:M4604" si="107">2.5*2.5</f>
        <v>6.25</v>
      </c>
      <c r="N4584" t="s">
        <v>121</v>
      </c>
      <c r="Q4584" s="1" t="s">
        <v>2292</v>
      </c>
      <c r="R4584" s="1" t="s">
        <v>264</v>
      </c>
      <c r="S4584" s="1" t="s">
        <v>264</v>
      </c>
      <c r="X4584" s="1" t="s">
        <v>1196</v>
      </c>
      <c r="Y4584" t="s">
        <v>2279</v>
      </c>
      <c r="Z4584" t="s">
        <v>2280</v>
      </c>
      <c r="AA4584" t="s">
        <v>2286</v>
      </c>
      <c r="AB4584" t="s">
        <v>2305</v>
      </c>
      <c r="AC4584" s="1" t="s">
        <v>152</v>
      </c>
      <c r="AD4584" t="s">
        <v>2278</v>
      </c>
      <c r="AH4584" t="s">
        <v>49</v>
      </c>
      <c r="AI4584" t="s">
        <v>49</v>
      </c>
      <c r="AM4584" t="s">
        <v>233</v>
      </c>
      <c r="AN4584" t="s">
        <v>166</v>
      </c>
      <c r="AP4584" t="s">
        <v>51</v>
      </c>
      <c r="AS4584" t="s">
        <v>2662</v>
      </c>
    </row>
    <row r="4585" spans="1:45" x14ac:dyDescent="0.2">
      <c r="A4585" t="s">
        <v>2661</v>
      </c>
      <c r="B4585" t="s">
        <v>2591</v>
      </c>
      <c r="C4585">
        <v>2005</v>
      </c>
      <c r="D4585" t="s">
        <v>44</v>
      </c>
      <c r="F4585" t="s">
        <v>710</v>
      </c>
      <c r="G4585" t="s">
        <v>88</v>
      </c>
      <c r="H4585" t="s">
        <v>350</v>
      </c>
      <c r="I4585">
        <v>2001</v>
      </c>
      <c r="J4585">
        <f t="shared" si="105"/>
        <v>0.25</v>
      </c>
      <c r="K4585" t="s">
        <v>104</v>
      </c>
      <c r="L4585">
        <f t="shared" si="106"/>
        <v>3</v>
      </c>
      <c r="M4585">
        <f t="shared" si="107"/>
        <v>6.25</v>
      </c>
      <c r="N4585" t="s">
        <v>128</v>
      </c>
      <c r="Q4585" s="1" t="s">
        <v>2276</v>
      </c>
      <c r="R4585" s="1" t="s">
        <v>669</v>
      </c>
      <c r="S4585" s="1" t="s">
        <v>2592</v>
      </c>
      <c r="X4585" s="1" t="s">
        <v>1196</v>
      </c>
      <c r="Y4585" t="s">
        <v>2279</v>
      </c>
      <c r="Z4585" t="s">
        <v>2280</v>
      </c>
      <c r="AA4585" t="s">
        <v>2286</v>
      </c>
      <c r="AB4585" t="s">
        <v>2305</v>
      </c>
      <c r="AC4585" s="1" t="s">
        <v>152</v>
      </c>
      <c r="AD4585" t="s">
        <v>2278</v>
      </c>
      <c r="AH4585" t="s">
        <v>49</v>
      </c>
      <c r="AI4585" t="s">
        <v>49</v>
      </c>
      <c r="AM4585" t="s">
        <v>233</v>
      </c>
      <c r="AN4585" t="s">
        <v>166</v>
      </c>
      <c r="AP4585" t="s">
        <v>51</v>
      </c>
      <c r="AS4585" t="s">
        <v>2662</v>
      </c>
    </row>
    <row r="4586" spans="1:45" x14ac:dyDescent="0.2">
      <c r="A4586" t="s">
        <v>2661</v>
      </c>
      <c r="B4586" t="s">
        <v>2591</v>
      </c>
      <c r="C4586">
        <v>2005</v>
      </c>
      <c r="D4586" t="s">
        <v>44</v>
      </c>
      <c r="F4586" t="s">
        <v>710</v>
      </c>
      <c r="G4586" t="s">
        <v>88</v>
      </c>
      <c r="H4586" t="s">
        <v>350</v>
      </c>
      <c r="I4586">
        <v>2001</v>
      </c>
      <c r="J4586">
        <f t="shared" si="105"/>
        <v>0.25</v>
      </c>
      <c r="K4586" t="s">
        <v>104</v>
      </c>
      <c r="L4586">
        <f t="shared" si="106"/>
        <v>3</v>
      </c>
      <c r="M4586">
        <f t="shared" si="107"/>
        <v>6.25</v>
      </c>
      <c r="N4586" t="s">
        <v>760</v>
      </c>
      <c r="Q4586" s="1" t="s">
        <v>2292</v>
      </c>
      <c r="R4586" s="1" t="s">
        <v>760</v>
      </c>
      <c r="S4586" s="1" t="s">
        <v>760</v>
      </c>
      <c r="X4586" s="1" t="s">
        <v>1196</v>
      </c>
      <c r="Y4586" t="s">
        <v>2279</v>
      </c>
      <c r="Z4586" t="s">
        <v>2280</v>
      </c>
      <c r="AA4586" t="s">
        <v>2286</v>
      </c>
      <c r="AB4586" t="s">
        <v>2305</v>
      </c>
      <c r="AC4586" s="1" t="s">
        <v>152</v>
      </c>
      <c r="AD4586" t="s">
        <v>2278</v>
      </c>
      <c r="AH4586" t="s">
        <v>49</v>
      </c>
      <c r="AI4586" t="s">
        <v>49</v>
      </c>
      <c r="AM4586" t="s">
        <v>233</v>
      </c>
      <c r="AN4586" t="s">
        <v>166</v>
      </c>
      <c r="AP4586" t="s">
        <v>51</v>
      </c>
      <c r="AS4586" t="s">
        <v>2662</v>
      </c>
    </row>
    <row r="4587" spans="1:45" x14ac:dyDescent="0.2">
      <c r="A4587" t="s">
        <v>2661</v>
      </c>
      <c r="B4587" t="s">
        <v>2591</v>
      </c>
      <c r="C4587">
        <v>2005</v>
      </c>
      <c r="D4587" t="s">
        <v>44</v>
      </c>
      <c r="F4587" t="s">
        <v>710</v>
      </c>
      <c r="G4587" t="s">
        <v>88</v>
      </c>
      <c r="H4587" t="s">
        <v>350</v>
      </c>
      <c r="I4587">
        <v>2001</v>
      </c>
      <c r="J4587">
        <f t="shared" si="105"/>
        <v>0.25</v>
      </c>
      <c r="K4587" t="s">
        <v>104</v>
      </c>
      <c r="L4587">
        <f t="shared" si="106"/>
        <v>3</v>
      </c>
      <c r="M4587">
        <f t="shared" si="107"/>
        <v>6.25</v>
      </c>
      <c r="N4587" t="s">
        <v>122</v>
      </c>
      <c r="Q4587" s="1" t="s">
        <v>2281</v>
      </c>
      <c r="R4587" s="1" t="s">
        <v>122</v>
      </c>
      <c r="S4587" s="1" t="s">
        <v>2294</v>
      </c>
      <c r="X4587" s="1" t="s">
        <v>1196</v>
      </c>
      <c r="Y4587" t="s">
        <v>2279</v>
      </c>
      <c r="Z4587" t="s">
        <v>2280</v>
      </c>
      <c r="AA4587" t="s">
        <v>2286</v>
      </c>
      <c r="AB4587" t="s">
        <v>2305</v>
      </c>
      <c r="AC4587" s="1" t="s">
        <v>152</v>
      </c>
      <c r="AD4587" t="s">
        <v>2278</v>
      </c>
      <c r="AH4587" t="s">
        <v>49</v>
      </c>
      <c r="AI4587" t="s">
        <v>49</v>
      </c>
      <c r="AM4587" t="s">
        <v>233</v>
      </c>
      <c r="AN4587" t="s">
        <v>166</v>
      </c>
      <c r="AP4587" t="s">
        <v>51</v>
      </c>
      <c r="AS4587" t="s">
        <v>2662</v>
      </c>
    </row>
    <row r="4588" spans="1:45" x14ac:dyDescent="0.2">
      <c r="A4588" t="s">
        <v>2661</v>
      </c>
      <c r="B4588" t="s">
        <v>2591</v>
      </c>
      <c r="C4588">
        <v>2005</v>
      </c>
      <c r="D4588" t="s">
        <v>44</v>
      </c>
      <c r="F4588" t="s">
        <v>710</v>
      </c>
      <c r="G4588" t="s">
        <v>88</v>
      </c>
      <c r="H4588" t="s">
        <v>350</v>
      </c>
      <c r="I4588">
        <v>2001</v>
      </c>
      <c r="J4588">
        <f t="shared" si="105"/>
        <v>0.25</v>
      </c>
      <c r="K4588" t="s">
        <v>104</v>
      </c>
      <c r="L4588">
        <f t="shared" si="106"/>
        <v>3</v>
      </c>
      <c r="M4588">
        <f t="shared" si="107"/>
        <v>6.25</v>
      </c>
      <c r="N4588" t="s">
        <v>121</v>
      </c>
      <c r="Q4588" s="1" t="s">
        <v>2292</v>
      </c>
      <c r="R4588" s="1" t="s">
        <v>264</v>
      </c>
      <c r="S4588" s="1" t="s">
        <v>264</v>
      </c>
      <c r="X4588" s="1" t="s">
        <v>2593</v>
      </c>
      <c r="Y4588" t="s">
        <v>2279</v>
      </c>
      <c r="Z4588" t="s">
        <v>2280</v>
      </c>
      <c r="AA4588" t="s">
        <v>2286</v>
      </c>
      <c r="AB4588" t="s">
        <v>2287</v>
      </c>
      <c r="AC4588" s="1" t="s">
        <v>152</v>
      </c>
      <c r="AD4588" t="s">
        <v>2278</v>
      </c>
      <c r="AH4588" t="s">
        <v>49</v>
      </c>
      <c r="AI4588" t="s">
        <v>49</v>
      </c>
      <c r="AM4588" t="s">
        <v>233</v>
      </c>
      <c r="AN4588" t="s">
        <v>166</v>
      </c>
      <c r="AP4588" t="s">
        <v>51</v>
      </c>
      <c r="AS4588" t="s">
        <v>2662</v>
      </c>
    </row>
    <row r="4589" spans="1:45" x14ac:dyDescent="0.2">
      <c r="A4589" t="s">
        <v>2661</v>
      </c>
      <c r="B4589" t="s">
        <v>2591</v>
      </c>
      <c r="C4589">
        <v>2005</v>
      </c>
      <c r="D4589" t="s">
        <v>44</v>
      </c>
      <c r="F4589" t="s">
        <v>710</v>
      </c>
      <c r="G4589" t="s">
        <v>88</v>
      </c>
      <c r="H4589" t="s">
        <v>350</v>
      </c>
      <c r="I4589">
        <v>2001</v>
      </c>
      <c r="J4589">
        <f t="shared" si="105"/>
        <v>0.25</v>
      </c>
      <c r="K4589" t="s">
        <v>104</v>
      </c>
      <c r="L4589">
        <f t="shared" si="106"/>
        <v>3</v>
      </c>
      <c r="M4589">
        <f t="shared" si="107"/>
        <v>6.25</v>
      </c>
      <c r="N4589" t="s">
        <v>128</v>
      </c>
      <c r="Q4589" s="1" t="s">
        <v>2276</v>
      </c>
      <c r="R4589" s="1" t="s">
        <v>669</v>
      </c>
      <c r="S4589" s="1" t="s">
        <v>2592</v>
      </c>
      <c r="X4589" s="1" t="s">
        <v>2593</v>
      </c>
      <c r="Y4589" t="s">
        <v>2279</v>
      </c>
      <c r="Z4589" t="s">
        <v>2280</v>
      </c>
      <c r="AA4589" t="s">
        <v>2286</v>
      </c>
      <c r="AB4589" t="s">
        <v>2287</v>
      </c>
      <c r="AC4589" s="1" t="s">
        <v>152</v>
      </c>
      <c r="AD4589" t="s">
        <v>2278</v>
      </c>
      <c r="AH4589" t="s">
        <v>49</v>
      </c>
      <c r="AI4589" t="s">
        <v>49</v>
      </c>
      <c r="AM4589" t="s">
        <v>233</v>
      </c>
      <c r="AN4589" t="s">
        <v>166</v>
      </c>
      <c r="AP4589" t="s">
        <v>51</v>
      </c>
      <c r="AS4589" t="s">
        <v>2662</v>
      </c>
    </row>
    <row r="4590" spans="1:45" x14ac:dyDescent="0.2">
      <c r="A4590" t="s">
        <v>2661</v>
      </c>
      <c r="B4590" t="s">
        <v>2591</v>
      </c>
      <c r="C4590">
        <v>2005</v>
      </c>
      <c r="D4590" t="s">
        <v>44</v>
      </c>
      <c r="F4590" t="s">
        <v>710</v>
      </c>
      <c r="G4590" t="s">
        <v>88</v>
      </c>
      <c r="H4590" t="s">
        <v>350</v>
      </c>
      <c r="I4590">
        <v>2001</v>
      </c>
      <c r="J4590">
        <f t="shared" si="105"/>
        <v>0.25</v>
      </c>
      <c r="K4590" t="s">
        <v>104</v>
      </c>
      <c r="L4590">
        <f t="shared" si="106"/>
        <v>3</v>
      </c>
      <c r="M4590">
        <f t="shared" si="107"/>
        <v>6.25</v>
      </c>
      <c r="N4590" t="s">
        <v>760</v>
      </c>
      <c r="Q4590" s="1" t="s">
        <v>2292</v>
      </c>
      <c r="R4590" s="1" t="s">
        <v>760</v>
      </c>
      <c r="S4590" s="1" t="s">
        <v>760</v>
      </c>
      <c r="X4590" s="1" t="s">
        <v>2593</v>
      </c>
      <c r="Y4590" t="s">
        <v>2279</v>
      </c>
      <c r="Z4590" t="s">
        <v>2280</v>
      </c>
      <c r="AA4590" t="s">
        <v>2286</v>
      </c>
      <c r="AB4590" t="s">
        <v>2287</v>
      </c>
      <c r="AC4590" s="1" t="s">
        <v>152</v>
      </c>
      <c r="AD4590" t="s">
        <v>2278</v>
      </c>
      <c r="AH4590" t="s">
        <v>49</v>
      </c>
      <c r="AI4590" t="s">
        <v>49</v>
      </c>
      <c r="AM4590" t="s">
        <v>233</v>
      </c>
      <c r="AN4590" t="s">
        <v>166</v>
      </c>
      <c r="AP4590" t="s">
        <v>51</v>
      </c>
      <c r="AS4590" t="s">
        <v>2662</v>
      </c>
    </row>
    <row r="4591" spans="1:45" x14ac:dyDescent="0.2">
      <c r="A4591" t="s">
        <v>2661</v>
      </c>
      <c r="B4591" t="s">
        <v>2591</v>
      </c>
      <c r="C4591">
        <v>2005</v>
      </c>
      <c r="D4591" t="s">
        <v>44</v>
      </c>
      <c r="F4591" t="s">
        <v>710</v>
      </c>
      <c r="G4591" t="s">
        <v>88</v>
      </c>
      <c r="H4591" t="s">
        <v>350</v>
      </c>
      <c r="I4591">
        <v>2001</v>
      </c>
      <c r="J4591">
        <f t="shared" si="105"/>
        <v>0.25</v>
      </c>
      <c r="K4591" t="s">
        <v>104</v>
      </c>
      <c r="L4591">
        <f t="shared" si="106"/>
        <v>3</v>
      </c>
      <c r="M4591">
        <f t="shared" si="107"/>
        <v>6.25</v>
      </c>
      <c r="N4591" t="s">
        <v>122</v>
      </c>
      <c r="Q4591" s="1" t="s">
        <v>2281</v>
      </c>
      <c r="R4591" s="1" t="s">
        <v>122</v>
      </c>
      <c r="S4591" s="1" t="s">
        <v>2294</v>
      </c>
      <c r="X4591" s="1" t="s">
        <v>2593</v>
      </c>
      <c r="Y4591" t="s">
        <v>2279</v>
      </c>
      <c r="Z4591" t="s">
        <v>2280</v>
      </c>
      <c r="AA4591" t="s">
        <v>2286</v>
      </c>
      <c r="AB4591" t="s">
        <v>2287</v>
      </c>
      <c r="AC4591" s="1" t="s">
        <v>152</v>
      </c>
      <c r="AD4591" t="s">
        <v>2278</v>
      </c>
      <c r="AH4591" t="s">
        <v>49</v>
      </c>
      <c r="AI4591" t="s">
        <v>49</v>
      </c>
      <c r="AM4591" t="s">
        <v>233</v>
      </c>
      <c r="AN4591" t="s">
        <v>166</v>
      </c>
      <c r="AP4591" t="s">
        <v>51</v>
      </c>
      <c r="AS4591" t="s">
        <v>2662</v>
      </c>
    </row>
    <row r="4592" spans="1:45" x14ac:dyDescent="0.2">
      <c r="A4592" t="s">
        <v>2661</v>
      </c>
      <c r="B4592" t="s">
        <v>2591</v>
      </c>
      <c r="C4592">
        <v>2005</v>
      </c>
      <c r="D4592" t="s">
        <v>44</v>
      </c>
      <c r="F4592" t="s">
        <v>710</v>
      </c>
      <c r="G4592" t="s">
        <v>88</v>
      </c>
      <c r="H4592" t="s">
        <v>350</v>
      </c>
      <c r="I4592">
        <v>2001</v>
      </c>
      <c r="J4592">
        <f t="shared" si="105"/>
        <v>0.25</v>
      </c>
      <c r="K4592" t="s">
        <v>104</v>
      </c>
      <c r="L4592">
        <f t="shared" si="106"/>
        <v>3</v>
      </c>
      <c r="M4592">
        <f t="shared" si="107"/>
        <v>6.25</v>
      </c>
      <c r="N4592" t="s">
        <v>121</v>
      </c>
      <c r="Q4592" s="1" t="s">
        <v>2292</v>
      </c>
      <c r="R4592" s="1" t="s">
        <v>264</v>
      </c>
      <c r="S4592" s="1" t="s">
        <v>264</v>
      </c>
      <c r="X4592" s="1" t="s">
        <v>338</v>
      </c>
      <c r="Y4592" t="s">
        <v>2279</v>
      </c>
      <c r="Z4592" t="s">
        <v>2280</v>
      </c>
      <c r="AA4592" t="s">
        <v>2358</v>
      </c>
      <c r="AB4592" t="s">
        <v>2009</v>
      </c>
      <c r="AC4592" s="1" t="s">
        <v>152</v>
      </c>
      <c r="AD4592" t="s">
        <v>2278</v>
      </c>
      <c r="AH4592" t="s">
        <v>49</v>
      </c>
      <c r="AI4592" t="s">
        <v>49</v>
      </c>
      <c r="AM4592" t="s">
        <v>233</v>
      </c>
      <c r="AN4592" t="s">
        <v>166</v>
      </c>
      <c r="AP4592" t="s">
        <v>157</v>
      </c>
      <c r="AS4592" t="s">
        <v>2662</v>
      </c>
    </row>
    <row r="4593" spans="1:45" x14ac:dyDescent="0.2">
      <c r="A4593" t="s">
        <v>2661</v>
      </c>
      <c r="B4593" t="s">
        <v>2591</v>
      </c>
      <c r="C4593">
        <v>2005</v>
      </c>
      <c r="D4593" t="s">
        <v>44</v>
      </c>
      <c r="F4593" t="s">
        <v>710</v>
      </c>
      <c r="G4593" t="s">
        <v>88</v>
      </c>
      <c r="H4593" t="s">
        <v>350</v>
      </c>
      <c r="I4593">
        <v>2001</v>
      </c>
      <c r="J4593">
        <f t="shared" si="105"/>
        <v>0.25</v>
      </c>
      <c r="K4593" t="s">
        <v>104</v>
      </c>
      <c r="L4593">
        <f t="shared" si="106"/>
        <v>3</v>
      </c>
      <c r="M4593">
        <f t="shared" si="107"/>
        <v>6.25</v>
      </c>
      <c r="N4593" t="s">
        <v>128</v>
      </c>
      <c r="Q4593" s="1" t="s">
        <v>2276</v>
      </c>
      <c r="R4593" s="1" t="s">
        <v>669</v>
      </c>
      <c r="S4593" s="1" t="s">
        <v>2592</v>
      </c>
      <c r="X4593" s="1" t="s">
        <v>338</v>
      </c>
      <c r="Y4593" t="s">
        <v>2279</v>
      </c>
      <c r="Z4593" t="s">
        <v>2280</v>
      </c>
      <c r="AA4593" t="s">
        <v>2358</v>
      </c>
      <c r="AB4593" t="s">
        <v>2009</v>
      </c>
      <c r="AC4593" s="1" t="s">
        <v>152</v>
      </c>
      <c r="AD4593" t="s">
        <v>2278</v>
      </c>
      <c r="AH4593" t="s">
        <v>49</v>
      </c>
      <c r="AI4593" t="s">
        <v>49</v>
      </c>
      <c r="AM4593" t="s">
        <v>233</v>
      </c>
      <c r="AN4593" t="s">
        <v>166</v>
      </c>
      <c r="AP4593" t="s">
        <v>157</v>
      </c>
      <c r="AS4593" t="s">
        <v>2662</v>
      </c>
    </row>
    <row r="4594" spans="1:45" x14ac:dyDescent="0.2">
      <c r="A4594" t="s">
        <v>2661</v>
      </c>
      <c r="B4594" t="s">
        <v>2591</v>
      </c>
      <c r="C4594">
        <v>2005</v>
      </c>
      <c r="D4594" t="s">
        <v>44</v>
      </c>
      <c r="F4594" t="s">
        <v>710</v>
      </c>
      <c r="G4594" t="s">
        <v>88</v>
      </c>
      <c r="H4594" t="s">
        <v>350</v>
      </c>
      <c r="I4594">
        <v>2001</v>
      </c>
      <c r="J4594">
        <f t="shared" si="105"/>
        <v>0.25</v>
      </c>
      <c r="K4594" t="s">
        <v>104</v>
      </c>
      <c r="L4594">
        <f t="shared" si="106"/>
        <v>3</v>
      </c>
      <c r="M4594">
        <f t="shared" si="107"/>
        <v>6.25</v>
      </c>
      <c r="N4594" t="s">
        <v>760</v>
      </c>
      <c r="Q4594" s="1" t="s">
        <v>2292</v>
      </c>
      <c r="R4594" s="1" t="s">
        <v>760</v>
      </c>
      <c r="S4594" s="1" t="s">
        <v>760</v>
      </c>
      <c r="X4594" s="1" t="s">
        <v>338</v>
      </c>
      <c r="Y4594" t="s">
        <v>2279</v>
      </c>
      <c r="Z4594" t="s">
        <v>2280</v>
      </c>
      <c r="AA4594" t="s">
        <v>2358</v>
      </c>
      <c r="AB4594" t="s">
        <v>2009</v>
      </c>
      <c r="AC4594" s="1" t="s">
        <v>152</v>
      </c>
      <c r="AD4594" t="s">
        <v>2278</v>
      </c>
      <c r="AH4594" t="s">
        <v>49</v>
      </c>
      <c r="AI4594" t="s">
        <v>49</v>
      </c>
      <c r="AM4594" t="s">
        <v>233</v>
      </c>
      <c r="AN4594" t="s">
        <v>166</v>
      </c>
      <c r="AP4594" t="s">
        <v>157</v>
      </c>
      <c r="AS4594" t="s">
        <v>2662</v>
      </c>
    </row>
    <row r="4595" spans="1:45" x14ac:dyDescent="0.2">
      <c r="A4595" t="s">
        <v>2661</v>
      </c>
      <c r="B4595" t="s">
        <v>2591</v>
      </c>
      <c r="C4595">
        <v>2005</v>
      </c>
      <c r="D4595" t="s">
        <v>44</v>
      </c>
      <c r="F4595" t="s">
        <v>710</v>
      </c>
      <c r="G4595" t="s">
        <v>88</v>
      </c>
      <c r="H4595" t="s">
        <v>350</v>
      </c>
      <c r="I4595">
        <v>2001</v>
      </c>
      <c r="J4595">
        <f t="shared" si="105"/>
        <v>0.25</v>
      </c>
      <c r="K4595" t="s">
        <v>104</v>
      </c>
      <c r="L4595">
        <f t="shared" si="106"/>
        <v>3</v>
      </c>
      <c r="M4595">
        <f t="shared" si="107"/>
        <v>6.25</v>
      </c>
      <c r="N4595" t="s">
        <v>122</v>
      </c>
      <c r="Q4595" s="1" t="s">
        <v>2281</v>
      </c>
      <c r="R4595" s="1" t="s">
        <v>122</v>
      </c>
      <c r="S4595" s="1" t="s">
        <v>2294</v>
      </c>
      <c r="X4595" s="1" t="s">
        <v>338</v>
      </c>
      <c r="Y4595" t="s">
        <v>2279</v>
      </c>
      <c r="Z4595" t="s">
        <v>2280</v>
      </c>
      <c r="AA4595" t="s">
        <v>2358</v>
      </c>
      <c r="AB4595" t="s">
        <v>2009</v>
      </c>
      <c r="AC4595" s="1" t="s">
        <v>152</v>
      </c>
      <c r="AD4595" t="s">
        <v>2278</v>
      </c>
      <c r="AH4595" t="s">
        <v>49</v>
      </c>
      <c r="AI4595" t="s">
        <v>49</v>
      </c>
      <c r="AM4595" t="s">
        <v>233</v>
      </c>
      <c r="AN4595" t="s">
        <v>166</v>
      </c>
      <c r="AP4595" t="s">
        <v>157</v>
      </c>
      <c r="AS4595" t="s">
        <v>2662</v>
      </c>
    </row>
    <row r="4596" spans="1:45" x14ac:dyDescent="0.2">
      <c r="A4596" t="s">
        <v>2661</v>
      </c>
      <c r="B4596" t="s">
        <v>2591</v>
      </c>
      <c r="C4596">
        <v>2005</v>
      </c>
      <c r="D4596" t="s">
        <v>44</v>
      </c>
      <c r="F4596" t="s">
        <v>710</v>
      </c>
      <c r="G4596" t="s">
        <v>88</v>
      </c>
      <c r="H4596" t="s">
        <v>350</v>
      </c>
      <c r="I4596">
        <v>2001</v>
      </c>
      <c r="J4596">
        <f t="shared" si="105"/>
        <v>0.25</v>
      </c>
      <c r="K4596" t="s">
        <v>104</v>
      </c>
      <c r="L4596">
        <f t="shared" si="106"/>
        <v>3</v>
      </c>
      <c r="M4596">
        <f t="shared" si="107"/>
        <v>6.25</v>
      </c>
      <c r="N4596" t="s">
        <v>121</v>
      </c>
      <c r="Q4596" s="1" t="s">
        <v>2292</v>
      </c>
      <c r="R4596" s="1" t="s">
        <v>264</v>
      </c>
      <c r="S4596" s="1" t="s">
        <v>264</v>
      </c>
      <c r="X4596" s="1" t="s">
        <v>2594</v>
      </c>
      <c r="Y4596" t="s">
        <v>2279</v>
      </c>
      <c r="Z4596" t="s">
        <v>2280</v>
      </c>
      <c r="AA4596" t="s">
        <v>2286</v>
      </c>
      <c r="AB4596" t="s">
        <v>2299</v>
      </c>
      <c r="AC4596" s="1" t="s">
        <v>152</v>
      </c>
      <c r="AD4596" t="s">
        <v>2278</v>
      </c>
      <c r="AH4596" t="s">
        <v>49</v>
      </c>
      <c r="AI4596" t="s">
        <v>49</v>
      </c>
      <c r="AM4596" t="s">
        <v>233</v>
      </c>
      <c r="AN4596" t="s">
        <v>166</v>
      </c>
      <c r="AP4596" t="s">
        <v>51</v>
      </c>
      <c r="AS4596" t="s">
        <v>2662</v>
      </c>
    </row>
    <row r="4597" spans="1:45" x14ac:dyDescent="0.2">
      <c r="A4597" t="s">
        <v>2661</v>
      </c>
      <c r="B4597" t="s">
        <v>2591</v>
      </c>
      <c r="C4597">
        <v>2005</v>
      </c>
      <c r="D4597" t="s">
        <v>44</v>
      </c>
      <c r="F4597" t="s">
        <v>710</v>
      </c>
      <c r="G4597" t="s">
        <v>88</v>
      </c>
      <c r="H4597" t="s">
        <v>350</v>
      </c>
      <c r="I4597">
        <v>2001</v>
      </c>
      <c r="J4597">
        <f t="shared" si="105"/>
        <v>0.25</v>
      </c>
      <c r="K4597" t="s">
        <v>104</v>
      </c>
      <c r="L4597">
        <f t="shared" si="106"/>
        <v>3</v>
      </c>
      <c r="M4597">
        <f t="shared" si="107"/>
        <v>6.25</v>
      </c>
      <c r="N4597" t="s">
        <v>128</v>
      </c>
      <c r="Q4597" s="1" t="s">
        <v>2276</v>
      </c>
      <c r="R4597" s="1" t="s">
        <v>669</v>
      </c>
      <c r="S4597" s="1" t="s">
        <v>2592</v>
      </c>
      <c r="X4597" s="1" t="s">
        <v>2594</v>
      </c>
      <c r="Y4597" t="s">
        <v>2279</v>
      </c>
      <c r="Z4597" t="s">
        <v>2280</v>
      </c>
      <c r="AA4597" t="s">
        <v>2286</v>
      </c>
      <c r="AB4597" t="s">
        <v>2299</v>
      </c>
      <c r="AC4597" s="1" t="s">
        <v>152</v>
      </c>
      <c r="AD4597" t="s">
        <v>2278</v>
      </c>
      <c r="AH4597" t="s">
        <v>49</v>
      </c>
      <c r="AI4597" t="s">
        <v>49</v>
      </c>
      <c r="AM4597" t="s">
        <v>233</v>
      </c>
      <c r="AN4597" t="s">
        <v>166</v>
      </c>
      <c r="AP4597" t="s">
        <v>51</v>
      </c>
      <c r="AS4597" t="s">
        <v>2662</v>
      </c>
    </row>
    <row r="4598" spans="1:45" x14ac:dyDescent="0.2">
      <c r="A4598" t="s">
        <v>2661</v>
      </c>
      <c r="B4598" t="s">
        <v>2591</v>
      </c>
      <c r="C4598">
        <v>2005</v>
      </c>
      <c r="D4598" t="s">
        <v>44</v>
      </c>
      <c r="F4598" t="s">
        <v>710</v>
      </c>
      <c r="G4598" t="s">
        <v>88</v>
      </c>
      <c r="H4598" t="s">
        <v>350</v>
      </c>
      <c r="I4598">
        <v>2001</v>
      </c>
      <c r="J4598">
        <f t="shared" si="105"/>
        <v>0.25</v>
      </c>
      <c r="K4598" t="s">
        <v>104</v>
      </c>
      <c r="L4598">
        <f t="shared" si="106"/>
        <v>3</v>
      </c>
      <c r="M4598">
        <f t="shared" si="107"/>
        <v>6.25</v>
      </c>
      <c r="N4598" t="s">
        <v>760</v>
      </c>
      <c r="Q4598" s="1" t="s">
        <v>2292</v>
      </c>
      <c r="R4598" s="1" t="s">
        <v>760</v>
      </c>
      <c r="S4598" s="1" t="s">
        <v>760</v>
      </c>
      <c r="X4598" s="1" t="s">
        <v>2594</v>
      </c>
      <c r="Y4598" t="s">
        <v>2279</v>
      </c>
      <c r="Z4598" t="s">
        <v>2280</v>
      </c>
      <c r="AA4598" t="s">
        <v>2286</v>
      </c>
      <c r="AB4598" t="s">
        <v>2299</v>
      </c>
      <c r="AC4598" s="1" t="s">
        <v>152</v>
      </c>
      <c r="AD4598" t="s">
        <v>2278</v>
      </c>
      <c r="AH4598" t="s">
        <v>49</v>
      </c>
      <c r="AI4598" t="s">
        <v>49</v>
      </c>
      <c r="AM4598" t="s">
        <v>233</v>
      </c>
      <c r="AN4598" t="s">
        <v>166</v>
      </c>
      <c r="AP4598" t="s">
        <v>51</v>
      </c>
      <c r="AS4598" t="s">
        <v>2662</v>
      </c>
    </row>
    <row r="4599" spans="1:45" x14ac:dyDescent="0.2">
      <c r="A4599" t="s">
        <v>2661</v>
      </c>
      <c r="B4599" t="s">
        <v>2591</v>
      </c>
      <c r="C4599">
        <v>2005</v>
      </c>
      <c r="D4599" t="s">
        <v>44</v>
      </c>
      <c r="F4599" t="s">
        <v>710</v>
      </c>
      <c r="G4599" t="s">
        <v>88</v>
      </c>
      <c r="H4599" t="s">
        <v>350</v>
      </c>
      <c r="I4599">
        <v>2001</v>
      </c>
      <c r="J4599">
        <f t="shared" si="105"/>
        <v>0.25</v>
      </c>
      <c r="K4599" t="s">
        <v>104</v>
      </c>
      <c r="L4599">
        <f t="shared" si="106"/>
        <v>3</v>
      </c>
      <c r="M4599">
        <f t="shared" si="107"/>
        <v>6.25</v>
      </c>
      <c r="N4599" t="s">
        <v>122</v>
      </c>
      <c r="Q4599" s="1" t="s">
        <v>2281</v>
      </c>
      <c r="R4599" s="1" t="s">
        <v>122</v>
      </c>
      <c r="S4599" s="1" t="s">
        <v>2294</v>
      </c>
      <c r="X4599" s="1" t="s">
        <v>2594</v>
      </c>
      <c r="Y4599" t="s">
        <v>2279</v>
      </c>
      <c r="Z4599" t="s">
        <v>2280</v>
      </c>
      <c r="AA4599" t="s">
        <v>2286</v>
      </c>
      <c r="AB4599" t="s">
        <v>2299</v>
      </c>
      <c r="AC4599" s="1" t="s">
        <v>152</v>
      </c>
      <c r="AD4599" t="s">
        <v>2278</v>
      </c>
      <c r="AH4599" t="s">
        <v>49</v>
      </c>
      <c r="AI4599" t="s">
        <v>49</v>
      </c>
      <c r="AM4599" t="s">
        <v>233</v>
      </c>
      <c r="AN4599" t="s">
        <v>166</v>
      </c>
      <c r="AP4599" t="s">
        <v>51</v>
      </c>
      <c r="AS4599" t="s">
        <v>2662</v>
      </c>
    </row>
    <row r="4600" spans="1:45" x14ac:dyDescent="0.2">
      <c r="A4600" t="s">
        <v>2661</v>
      </c>
      <c r="B4600" t="s">
        <v>2591</v>
      </c>
      <c r="C4600">
        <v>2005</v>
      </c>
      <c r="D4600" t="s">
        <v>44</v>
      </c>
      <c r="F4600" t="s">
        <v>710</v>
      </c>
      <c r="G4600" t="s">
        <v>88</v>
      </c>
      <c r="H4600" t="s">
        <v>350</v>
      </c>
      <c r="I4600">
        <v>2001</v>
      </c>
      <c r="J4600">
        <f t="shared" si="105"/>
        <v>0.25</v>
      </c>
      <c r="K4600" t="s">
        <v>104</v>
      </c>
      <c r="L4600">
        <f t="shared" si="106"/>
        <v>3</v>
      </c>
      <c r="M4600">
        <f t="shared" si="107"/>
        <v>6.25</v>
      </c>
      <c r="N4600" t="s">
        <v>121</v>
      </c>
      <c r="Q4600" s="1" t="s">
        <v>2292</v>
      </c>
      <c r="R4600" s="1" t="s">
        <v>264</v>
      </c>
      <c r="S4600" s="1" t="s">
        <v>264</v>
      </c>
      <c r="X4600" s="1" t="s">
        <v>211</v>
      </c>
      <c r="Y4600" t="s">
        <v>2279</v>
      </c>
      <c r="Z4600" t="s">
        <v>2280</v>
      </c>
      <c r="AA4600" t="s">
        <v>2358</v>
      </c>
      <c r="AB4600" t="s">
        <v>2290</v>
      </c>
      <c r="AC4600" s="1" t="s">
        <v>152</v>
      </c>
      <c r="AD4600" t="s">
        <v>2278</v>
      </c>
      <c r="AH4600" t="s">
        <v>49</v>
      </c>
      <c r="AI4600" t="s">
        <v>49</v>
      </c>
      <c r="AM4600" t="s">
        <v>233</v>
      </c>
      <c r="AN4600" t="s">
        <v>166</v>
      </c>
      <c r="AP4600" t="s">
        <v>51</v>
      </c>
      <c r="AS4600" t="s">
        <v>2662</v>
      </c>
    </row>
    <row r="4601" spans="1:45" x14ac:dyDescent="0.2">
      <c r="A4601" t="s">
        <v>2661</v>
      </c>
      <c r="B4601" t="s">
        <v>2591</v>
      </c>
      <c r="C4601">
        <v>2005</v>
      </c>
      <c r="D4601" t="s">
        <v>44</v>
      </c>
      <c r="F4601" t="s">
        <v>710</v>
      </c>
      <c r="G4601" t="s">
        <v>88</v>
      </c>
      <c r="H4601" t="s">
        <v>350</v>
      </c>
      <c r="I4601">
        <v>2001</v>
      </c>
      <c r="J4601">
        <f t="shared" si="105"/>
        <v>0.25</v>
      </c>
      <c r="K4601" t="s">
        <v>104</v>
      </c>
      <c r="L4601">
        <f t="shared" si="106"/>
        <v>3</v>
      </c>
      <c r="M4601">
        <f t="shared" si="107"/>
        <v>6.25</v>
      </c>
      <c r="N4601" t="s">
        <v>128</v>
      </c>
      <c r="Q4601" s="1" t="s">
        <v>2276</v>
      </c>
      <c r="R4601" s="1" t="s">
        <v>669</v>
      </c>
      <c r="S4601" s="1" t="s">
        <v>2592</v>
      </c>
      <c r="X4601" s="1" t="s">
        <v>211</v>
      </c>
      <c r="Y4601" t="s">
        <v>2279</v>
      </c>
      <c r="Z4601" t="s">
        <v>2280</v>
      </c>
      <c r="AA4601" t="s">
        <v>2358</v>
      </c>
      <c r="AB4601" t="s">
        <v>2290</v>
      </c>
      <c r="AC4601" s="1" t="s">
        <v>152</v>
      </c>
      <c r="AD4601" t="s">
        <v>2278</v>
      </c>
      <c r="AH4601" t="s">
        <v>49</v>
      </c>
      <c r="AI4601" t="s">
        <v>49</v>
      </c>
      <c r="AM4601" t="s">
        <v>233</v>
      </c>
      <c r="AN4601" t="s">
        <v>166</v>
      </c>
      <c r="AP4601" t="s">
        <v>51</v>
      </c>
      <c r="AS4601" t="s">
        <v>2662</v>
      </c>
    </row>
    <row r="4602" spans="1:45" x14ac:dyDescent="0.2">
      <c r="A4602" t="s">
        <v>2661</v>
      </c>
      <c r="B4602" t="s">
        <v>2591</v>
      </c>
      <c r="C4602">
        <v>2005</v>
      </c>
      <c r="D4602" t="s">
        <v>44</v>
      </c>
      <c r="F4602" t="s">
        <v>710</v>
      </c>
      <c r="G4602" t="s">
        <v>88</v>
      </c>
      <c r="H4602" t="s">
        <v>350</v>
      </c>
      <c r="I4602">
        <v>2001</v>
      </c>
      <c r="J4602">
        <f t="shared" si="105"/>
        <v>0.25</v>
      </c>
      <c r="K4602" t="s">
        <v>104</v>
      </c>
      <c r="L4602">
        <f t="shared" si="106"/>
        <v>3</v>
      </c>
      <c r="M4602">
        <f t="shared" si="107"/>
        <v>6.25</v>
      </c>
      <c r="N4602" t="s">
        <v>760</v>
      </c>
      <c r="Q4602" s="1" t="s">
        <v>2292</v>
      </c>
      <c r="R4602" s="1" t="s">
        <v>760</v>
      </c>
      <c r="S4602" s="1" t="s">
        <v>760</v>
      </c>
      <c r="X4602" s="1" t="s">
        <v>211</v>
      </c>
      <c r="Y4602" t="s">
        <v>2279</v>
      </c>
      <c r="Z4602" t="s">
        <v>2280</v>
      </c>
      <c r="AA4602" t="s">
        <v>2358</v>
      </c>
      <c r="AB4602" t="s">
        <v>2290</v>
      </c>
      <c r="AC4602" s="1" t="s">
        <v>152</v>
      </c>
      <c r="AD4602" t="s">
        <v>2278</v>
      </c>
      <c r="AH4602" t="s">
        <v>49</v>
      </c>
      <c r="AI4602" t="s">
        <v>49</v>
      </c>
      <c r="AM4602" t="s">
        <v>233</v>
      </c>
      <c r="AN4602" t="s">
        <v>166</v>
      </c>
      <c r="AP4602" t="s">
        <v>51</v>
      </c>
      <c r="AS4602" t="s">
        <v>2662</v>
      </c>
    </row>
    <row r="4603" spans="1:45" x14ac:dyDescent="0.2">
      <c r="A4603" t="s">
        <v>2661</v>
      </c>
      <c r="B4603" t="s">
        <v>2591</v>
      </c>
      <c r="C4603">
        <v>2005</v>
      </c>
      <c r="D4603" t="s">
        <v>44</v>
      </c>
      <c r="F4603" t="s">
        <v>710</v>
      </c>
      <c r="G4603" t="s">
        <v>88</v>
      </c>
      <c r="H4603" t="s">
        <v>350</v>
      </c>
      <c r="I4603">
        <v>2001</v>
      </c>
      <c r="J4603">
        <f t="shared" si="105"/>
        <v>0.25</v>
      </c>
      <c r="K4603" t="s">
        <v>104</v>
      </c>
      <c r="L4603">
        <f t="shared" si="106"/>
        <v>3</v>
      </c>
      <c r="M4603">
        <f t="shared" si="107"/>
        <v>6.25</v>
      </c>
      <c r="N4603" t="s">
        <v>122</v>
      </c>
      <c r="Q4603" s="1" t="s">
        <v>2281</v>
      </c>
      <c r="R4603" s="1" t="s">
        <v>122</v>
      </c>
      <c r="S4603" s="1" t="s">
        <v>2294</v>
      </c>
      <c r="X4603" s="1" t="s">
        <v>211</v>
      </c>
      <c r="Y4603" t="s">
        <v>2279</v>
      </c>
      <c r="Z4603" t="s">
        <v>2280</v>
      </c>
      <c r="AA4603" t="s">
        <v>2358</v>
      </c>
      <c r="AB4603" t="s">
        <v>2290</v>
      </c>
      <c r="AC4603" s="1" t="s">
        <v>152</v>
      </c>
      <c r="AD4603" t="s">
        <v>2278</v>
      </c>
      <c r="AH4603" t="s">
        <v>49</v>
      </c>
      <c r="AI4603" t="s">
        <v>49</v>
      </c>
      <c r="AM4603" t="s">
        <v>233</v>
      </c>
      <c r="AN4603" t="s">
        <v>166</v>
      </c>
      <c r="AP4603" t="s">
        <v>51</v>
      </c>
      <c r="AS4603" t="s">
        <v>2662</v>
      </c>
    </row>
    <row r="4604" spans="1:45" x14ac:dyDescent="0.2">
      <c r="A4604" t="s">
        <v>2661</v>
      </c>
      <c r="B4604" t="s">
        <v>2591</v>
      </c>
      <c r="C4604">
        <v>2005</v>
      </c>
      <c r="D4604" t="s">
        <v>44</v>
      </c>
      <c r="F4604" t="s">
        <v>710</v>
      </c>
      <c r="G4604" t="s">
        <v>88</v>
      </c>
      <c r="H4604" t="s">
        <v>350</v>
      </c>
      <c r="I4604">
        <v>2001</v>
      </c>
      <c r="J4604">
        <f t="shared" si="105"/>
        <v>0.25</v>
      </c>
      <c r="K4604" t="s">
        <v>104</v>
      </c>
      <c r="L4604">
        <f t="shared" si="106"/>
        <v>3</v>
      </c>
      <c r="M4604">
        <f t="shared" si="107"/>
        <v>6.25</v>
      </c>
      <c r="N4604" t="s">
        <v>121</v>
      </c>
      <c r="Q4604" s="1" t="s">
        <v>2292</v>
      </c>
      <c r="R4604" s="1" t="s">
        <v>264</v>
      </c>
      <c r="S4604" s="1" t="s">
        <v>264</v>
      </c>
      <c r="X4604" s="1" t="s">
        <v>2595</v>
      </c>
      <c r="Y4604" t="s">
        <v>2279</v>
      </c>
      <c r="Z4604" t="s">
        <v>2280</v>
      </c>
      <c r="AA4604" t="s">
        <v>2286</v>
      </c>
      <c r="AB4604" t="s">
        <v>2287</v>
      </c>
      <c r="AC4604" s="1" t="s">
        <v>315</v>
      </c>
      <c r="AD4604" t="s">
        <v>2278</v>
      </c>
      <c r="AH4604" t="s">
        <v>49</v>
      </c>
      <c r="AI4604" t="s">
        <v>49</v>
      </c>
      <c r="AM4604" t="s">
        <v>233</v>
      </c>
      <c r="AN4604" t="s">
        <v>166</v>
      </c>
      <c r="AP4604" t="s">
        <v>157</v>
      </c>
      <c r="AS4604" t="s">
        <v>2662</v>
      </c>
    </row>
    <row r="4605" spans="1:45" x14ac:dyDescent="0.2">
      <c r="A4605" t="s">
        <v>2661</v>
      </c>
      <c r="B4605" t="s">
        <v>2591</v>
      </c>
      <c r="C4605">
        <v>2005</v>
      </c>
      <c r="D4605" t="s">
        <v>44</v>
      </c>
      <c r="F4605" t="s">
        <v>710</v>
      </c>
      <c r="G4605" t="s">
        <v>88</v>
      </c>
      <c r="H4605" t="s">
        <v>350</v>
      </c>
      <c r="I4605">
        <v>2001</v>
      </c>
      <c r="J4605">
        <f t="shared" ref="J4605:J4607" si="108">3/12</f>
        <v>0.25</v>
      </c>
      <c r="K4605" t="s">
        <v>104</v>
      </c>
      <c r="L4605">
        <f t="shared" ref="L4605:L4607" si="109">0.6*5</f>
        <v>3</v>
      </c>
      <c r="M4605">
        <f t="shared" ref="M4605:M4607" si="110">2.5*2.5</f>
        <v>6.25</v>
      </c>
      <c r="N4605" t="s">
        <v>128</v>
      </c>
      <c r="Q4605" s="1" t="s">
        <v>2276</v>
      </c>
      <c r="R4605" s="1" t="s">
        <v>669</v>
      </c>
      <c r="S4605" s="1" t="s">
        <v>2592</v>
      </c>
      <c r="X4605" s="1" t="s">
        <v>2595</v>
      </c>
      <c r="Y4605" t="s">
        <v>2279</v>
      </c>
      <c r="Z4605" t="s">
        <v>2280</v>
      </c>
      <c r="AA4605" t="s">
        <v>2286</v>
      </c>
      <c r="AB4605" t="s">
        <v>2287</v>
      </c>
      <c r="AC4605" s="1" t="s">
        <v>315</v>
      </c>
      <c r="AD4605" t="s">
        <v>2278</v>
      </c>
      <c r="AH4605" t="s">
        <v>49</v>
      </c>
      <c r="AI4605" t="s">
        <v>49</v>
      </c>
      <c r="AM4605" t="s">
        <v>233</v>
      </c>
      <c r="AN4605" t="s">
        <v>166</v>
      </c>
      <c r="AP4605" t="s">
        <v>157</v>
      </c>
      <c r="AS4605" t="s">
        <v>2662</v>
      </c>
    </row>
    <row r="4606" spans="1:45" x14ac:dyDescent="0.2">
      <c r="A4606" t="s">
        <v>2661</v>
      </c>
      <c r="B4606" t="s">
        <v>2591</v>
      </c>
      <c r="C4606">
        <v>2005</v>
      </c>
      <c r="D4606" t="s">
        <v>44</v>
      </c>
      <c r="F4606" t="s">
        <v>710</v>
      </c>
      <c r="G4606" t="s">
        <v>88</v>
      </c>
      <c r="H4606" t="s">
        <v>350</v>
      </c>
      <c r="I4606">
        <v>2001</v>
      </c>
      <c r="J4606">
        <f t="shared" si="108"/>
        <v>0.25</v>
      </c>
      <c r="K4606" t="s">
        <v>104</v>
      </c>
      <c r="L4606">
        <f t="shared" si="109"/>
        <v>3</v>
      </c>
      <c r="M4606">
        <f t="shared" si="110"/>
        <v>6.25</v>
      </c>
      <c r="N4606" t="s">
        <v>760</v>
      </c>
      <c r="Q4606" s="1" t="s">
        <v>2292</v>
      </c>
      <c r="R4606" s="1" t="s">
        <v>760</v>
      </c>
      <c r="S4606" s="1" t="s">
        <v>760</v>
      </c>
      <c r="X4606" s="1" t="s">
        <v>2595</v>
      </c>
      <c r="Y4606" t="s">
        <v>2279</v>
      </c>
      <c r="Z4606" t="s">
        <v>2280</v>
      </c>
      <c r="AA4606" t="s">
        <v>2286</v>
      </c>
      <c r="AB4606" t="s">
        <v>2287</v>
      </c>
      <c r="AC4606" s="1" t="s">
        <v>315</v>
      </c>
      <c r="AD4606" t="s">
        <v>2278</v>
      </c>
      <c r="AH4606" t="s">
        <v>49</v>
      </c>
      <c r="AI4606" t="s">
        <v>49</v>
      </c>
      <c r="AM4606" t="s">
        <v>233</v>
      </c>
      <c r="AN4606" t="s">
        <v>166</v>
      </c>
      <c r="AP4606" t="s">
        <v>157</v>
      </c>
      <c r="AS4606" t="s">
        <v>2662</v>
      </c>
    </row>
    <row r="4607" spans="1:45" x14ac:dyDescent="0.2">
      <c r="A4607" t="s">
        <v>2661</v>
      </c>
      <c r="B4607" t="s">
        <v>2591</v>
      </c>
      <c r="C4607">
        <v>2005</v>
      </c>
      <c r="D4607" t="s">
        <v>44</v>
      </c>
      <c r="F4607" t="s">
        <v>710</v>
      </c>
      <c r="G4607" t="s">
        <v>88</v>
      </c>
      <c r="H4607" t="s">
        <v>350</v>
      </c>
      <c r="I4607">
        <v>2001</v>
      </c>
      <c r="J4607">
        <f t="shared" si="108"/>
        <v>0.25</v>
      </c>
      <c r="K4607" t="s">
        <v>104</v>
      </c>
      <c r="L4607">
        <f t="shared" si="109"/>
        <v>3</v>
      </c>
      <c r="M4607">
        <f t="shared" si="110"/>
        <v>6.25</v>
      </c>
      <c r="N4607" t="s">
        <v>122</v>
      </c>
      <c r="Q4607" s="1" t="s">
        <v>2281</v>
      </c>
      <c r="R4607" s="1" t="s">
        <v>122</v>
      </c>
      <c r="S4607" s="1" t="s">
        <v>2294</v>
      </c>
      <c r="X4607" s="1" t="s">
        <v>2595</v>
      </c>
      <c r="Y4607" t="s">
        <v>2279</v>
      </c>
      <c r="Z4607" t="s">
        <v>2280</v>
      </c>
      <c r="AA4607" t="s">
        <v>2286</v>
      </c>
      <c r="AB4607" t="s">
        <v>2287</v>
      </c>
      <c r="AC4607" s="1" t="s">
        <v>315</v>
      </c>
      <c r="AD4607" t="s">
        <v>2278</v>
      </c>
      <c r="AH4607" t="s">
        <v>49</v>
      </c>
      <c r="AI4607" t="s">
        <v>49</v>
      </c>
      <c r="AM4607" t="s">
        <v>233</v>
      </c>
      <c r="AN4607" t="s">
        <v>166</v>
      </c>
      <c r="AP4607" t="s">
        <v>157</v>
      </c>
      <c r="AS4607" t="s">
        <v>2662</v>
      </c>
    </row>
    <row r="4608" spans="1:45" x14ac:dyDescent="0.2">
      <c r="A4608" t="s">
        <v>2596</v>
      </c>
      <c r="B4608" t="s">
        <v>2597</v>
      </c>
      <c r="C4608">
        <v>2015</v>
      </c>
      <c r="D4608" t="s">
        <v>44</v>
      </c>
      <c r="F4608" t="s">
        <v>2604</v>
      </c>
      <c r="G4608" t="s">
        <v>86</v>
      </c>
      <c r="H4608" t="s">
        <v>350</v>
      </c>
      <c r="K4608" t="s">
        <v>101</v>
      </c>
      <c r="L4608">
        <v>11</v>
      </c>
      <c r="M4608">
        <v>0</v>
      </c>
      <c r="N4608" t="s">
        <v>128</v>
      </c>
      <c r="P4608" t="s">
        <v>2598</v>
      </c>
      <c r="Q4608" s="1" t="s">
        <v>2276</v>
      </c>
      <c r="R4608" s="1" t="s">
        <v>751</v>
      </c>
      <c r="S4608" s="1" t="s">
        <v>554</v>
      </c>
      <c r="X4608" s="1" t="s">
        <v>2605</v>
      </c>
      <c r="Y4608" t="s">
        <v>2273</v>
      </c>
      <c r="Z4608" t="s">
        <v>249</v>
      </c>
      <c r="AA4608" t="s">
        <v>2359</v>
      </c>
      <c r="AB4608" t="s">
        <v>1979</v>
      </c>
      <c r="AC4608" s="1" t="s">
        <v>152</v>
      </c>
      <c r="AD4608" t="s">
        <v>137</v>
      </c>
      <c r="AF4608" t="s">
        <v>49</v>
      </c>
      <c r="AI4608" t="s">
        <v>49</v>
      </c>
      <c r="AM4608" t="s">
        <v>262</v>
      </c>
      <c r="AN4608" t="s">
        <v>262</v>
      </c>
      <c r="AS4608" t="s">
        <v>2662</v>
      </c>
    </row>
    <row r="4609" spans="1:45" x14ac:dyDescent="0.2">
      <c r="A4609" t="s">
        <v>2596</v>
      </c>
      <c r="B4609" t="s">
        <v>2597</v>
      </c>
      <c r="C4609">
        <v>2015</v>
      </c>
      <c r="D4609" t="s">
        <v>44</v>
      </c>
      <c r="F4609" t="s">
        <v>2604</v>
      </c>
      <c r="G4609" t="s">
        <v>86</v>
      </c>
      <c r="H4609" t="s">
        <v>350</v>
      </c>
      <c r="K4609" t="s">
        <v>101</v>
      </c>
      <c r="L4609">
        <v>11</v>
      </c>
      <c r="M4609">
        <v>0</v>
      </c>
      <c r="N4609" t="s">
        <v>128</v>
      </c>
      <c r="O4609" s="1" t="s">
        <v>2352</v>
      </c>
      <c r="P4609" t="s">
        <v>2599</v>
      </c>
      <c r="Q4609" s="1" t="s">
        <v>2276</v>
      </c>
      <c r="R4609" s="1" t="s">
        <v>755</v>
      </c>
      <c r="S4609" s="1" t="s">
        <v>2352</v>
      </c>
      <c r="X4609" s="1" t="s">
        <v>2605</v>
      </c>
      <c r="Y4609" t="s">
        <v>2273</v>
      </c>
      <c r="Z4609" t="s">
        <v>249</v>
      </c>
      <c r="AA4609" t="s">
        <v>2359</v>
      </c>
      <c r="AB4609" t="s">
        <v>1979</v>
      </c>
      <c r="AC4609" s="1" t="s">
        <v>152</v>
      </c>
      <c r="AD4609" t="s">
        <v>137</v>
      </c>
      <c r="AF4609" t="s">
        <v>49</v>
      </c>
      <c r="AI4609" t="s">
        <v>49</v>
      </c>
      <c r="AM4609" t="s">
        <v>262</v>
      </c>
      <c r="AN4609" t="s">
        <v>262</v>
      </c>
      <c r="AS4609" t="s">
        <v>2662</v>
      </c>
    </row>
    <row r="4610" spans="1:45" x14ac:dyDescent="0.2">
      <c r="A4610" t="s">
        <v>2596</v>
      </c>
      <c r="B4610" t="s">
        <v>2597</v>
      </c>
      <c r="C4610">
        <v>2015</v>
      </c>
      <c r="D4610" t="s">
        <v>44</v>
      </c>
      <c r="F4610" t="s">
        <v>2604</v>
      </c>
      <c r="G4610" t="s">
        <v>86</v>
      </c>
      <c r="H4610" t="s">
        <v>350</v>
      </c>
      <c r="K4610" t="s">
        <v>101</v>
      </c>
      <c r="L4610">
        <v>11</v>
      </c>
      <c r="M4610">
        <v>0</v>
      </c>
      <c r="N4610" t="s">
        <v>128</v>
      </c>
      <c r="O4610" s="1" t="s">
        <v>2348</v>
      </c>
      <c r="P4610" t="s">
        <v>2600</v>
      </c>
      <c r="Q4610" s="1" t="s">
        <v>2276</v>
      </c>
      <c r="R4610" s="1" t="s">
        <v>669</v>
      </c>
      <c r="S4610" s="1" t="s">
        <v>2348</v>
      </c>
      <c r="X4610" s="1" t="s">
        <v>2605</v>
      </c>
      <c r="Y4610" t="s">
        <v>2273</v>
      </c>
      <c r="Z4610" t="s">
        <v>249</v>
      </c>
      <c r="AA4610" t="s">
        <v>2359</v>
      </c>
      <c r="AB4610" t="s">
        <v>1979</v>
      </c>
      <c r="AC4610" s="1" t="s">
        <v>152</v>
      </c>
      <c r="AD4610" t="s">
        <v>137</v>
      </c>
      <c r="AF4610" t="s">
        <v>49</v>
      </c>
      <c r="AI4610" t="s">
        <v>49</v>
      </c>
      <c r="AM4610" t="s">
        <v>262</v>
      </c>
      <c r="AN4610" t="s">
        <v>262</v>
      </c>
      <c r="AS4610" t="s">
        <v>2662</v>
      </c>
    </row>
    <row r="4611" spans="1:45" x14ac:dyDescent="0.2">
      <c r="A4611" t="s">
        <v>2596</v>
      </c>
      <c r="B4611" t="s">
        <v>2597</v>
      </c>
      <c r="C4611">
        <v>2015</v>
      </c>
      <c r="D4611" t="s">
        <v>44</v>
      </c>
      <c r="F4611" t="s">
        <v>2604</v>
      </c>
      <c r="G4611" t="s">
        <v>86</v>
      </c>
      <c r="H4611" t="s">
        <v>350</v>
      </c>
      <c r="K4611" t="s">
        <v>101</v>
      </c>
      <c r="L4611">
        <v>11</v>
      </c>
      <c r="M4611">
        <v>0</v>
      </c>
      <c r="N4611" t="s">
        <v>128</v>
      </c>
      <c r="O4611" s="1"/>
      <c r="P4611" t="s">
        <v>2601</v>
      </c>
      <c r="Q4611" s="1" t="s">
        <v>2276</v>
      </c>
      <c r="R4611" s="1" t="s">
        <v>751</v>
      </c>
      <c r="S4611" s="1" t="s">
        <v>2346</v>
      </c>
      <c r="X4611" s="1" t="s">
        <v>2605</v>
      </c>
      <c r="Y4611" t="s">
        <v>2273</v>
      </c>
      <c r="Z4611" t="s">
        <v>249</v>
      </c>
      <c r="AA4611" t="s">
        <v>2359</v>
      </c>
      <c r="AB4611" t="s">
        <v>1979</v>
      </c>
      <c r="AC4611" s="1" t="s">
        <v>152</v>
      </c>
      <c r="AD4611" t="s">
        <v>137</v>
      </c>
      <c r="AF4611" t="s">
        <v>49</v>
      </c>
      <c r="AI4611" t="s">
        <v>49</v>
      </c>
      <c r="AM4611" t="s">
        <v>262</v>
      </c>
      <c r="AN4611" t="s">
        <v>262</v>
      </c>
      <c r="AS4611" t="s">
        <v>2662</v>
      </c>
    </row>
    <row r="4612" spans="1:45" x14ac:dyDescent="0.2">
      <c r="A4612" t="s">
        <v>2596</v>
      </c>
      <c r="B4612" t="s">
        <v>2597</v>
      </c>
      <c r="C4612">
        <v>2015</v>
      </c>
      <c r="D4612" t="s">
        <v>44</v>
      </c>
      <c r="F4612" t="s">
        <v>2604</v>
      </c>
      <c r="G4612" t="s">
        <v>86</v>
      </c>
      <c r="H4612" t="s">
        <v>350</v>
      </c>
      <c r="K4612" t="s">
        <v>101</v>
      </c>
      <c r="L4612">
        <v>11</v>
      </c>
      <c r="M4612">
        <v>0</v>
      </c>
      <c r="N4612" t="s">
        <v>128</v>
      </c>
      <c r="O4612" s="1"/>
      <c r="P4612" t="s">
        <v>2602</v>
      </c>
      <c r="Q4612" s="1" t="s">
        <v>2276</v>
      </c>
      <c r="R4612" s="1" t="s">
        <v>751</v>
      </c>
      <c r="S4612" s="1" t="s">
        <v>2346</v>
      </c>
      <c r="X4612" s="1" t="s">
        <v>2605</v>
      </c>
      <c r="Y4612" t="s">
        <v>2273</v>
      </c>
      <c r="Z4612" t="s">
        <v>249</v>
      </c>
      <c r="AA4612" t="s">
        <v>2359</v>
      </c>
      <c r="AB4612" t="s">
        <v>1979</v>
      </c>
      <c r="AC4612" s="1" t="s">
        <v>152</v>
      </c>
      <c r="AD4612" t="s">
        <v>137</v>
      </c>
      <c r="AF4612" t="s">
        <v>49</v>
      </c>
      <c r="AI4612" t="s">
        <v>49</v>
      </c>
      <c r="AM4612" t="s">
        <v>262</v>
      </c>
      <c r="AN4612" t="s">
        <v>262</v>
      </c>
      <c r="AS4612" t="s">
        <v>2662</v>
      </c>
    </row>
    <row r="4613" spans="1:45" x14ac:dyDescent="0.2">
      <c r="A4613" t="s">
        <v>2596</v>
      </c>
      <c r="B4613" t="s">
        <v>2597</v>
      </c>
      <c r="C4613">
        <v>2015</v>
      </c>
      <c r="D4613" t="s">
        <v>44</v>
      </c>
      <c r="F4613" t="s">
        <v>2604</v>
      </c>
      <c r="G4613" t="s">
        <v>86</v>
      </c>
      <c r="H4613" t="s">
        <v>350</v>
      </c>
      <c r="K4613" t="s">
        <v>101</v>
      </c>
      <c r="L4613">
        <v>11</v>
      </c>
      <c r="M4613">
        <v>0</v>
      </c>
      <c r="N4613" t="s">
        <v>128</v>
      </c>
      <c r="O4613" s="1" t="s">
        <v>2348</v>
      </c>
      <c r="P4613" t="s">
        <v>2603</v>
      </c>
      <c r="Q4613" s="1" t="s">
        <v>2276</v>
      </c>
      <c r="R4613" s="1" t="s">
        <v>669</v>
      </c>
      <c r="S4613" s="1" t="s">
        <v>2348</v>
      </c>
      <c r="X4613" s="1" t="s">
        <v>2605</v>
      </c>
      <c r="Y4613" t="s">
        <v>2273</v>
      </c>
      <c r="Z4613" t="s">
        <v>249</v>
      </c>
      <c r="AA4613" t="s">
        <v>2359</v>
      </c>
      <c r="AB4613" t="s">
        <v>1979</v>
      </c>
      <c r="AC4613" s="1" t="s">
        <v>152</v>
      </c>
      <c r="AD4613" t="s">
        <v>137</v>
      </c>
      <c r="AF4613" t="s">
        <v>49</v>
      </c>
      <c r="AI4613" t="s">
        <v>49</v>
      </c>
      <c r="AM4613" t="s">
        <v>262</v>
      </c>
      <c r="AN4613" t="s">
        <v>262</v>
      </c>
      <c r="AS4613" t="s">
        <v>2662</v>
      </c>
    </row>
    <row r="4614" spans="1:45" x14ac:dyDescent="0.2">
      <c r="A4614" t="s">
        <v>2596</v>
      </c>
      <c r="B4614" t="s">
        <v>2597</v>
      </c>
      <c r="C4614">
        <v>2015</v>
      </c>
      <c r="D4614" t="s">
        <v>44</v>
      </c>
      <c r="F4614" t="s">
        <v>2604</v>
      </c>
      <c r="G4614" t="s">
        <v>86</v>
      </c>
      <c r="H4614" t="s">
        <v>350</v>
      </c>
      <c r="K4614" t="s">
        <v>101</v>
      </c>
      <c r="L4614">
        <v>11</v>
      </c>
      <c r="M4614">
        <v>0</v>
      </c>
      <c r="N4614" t="s">
        <v>128</v>
      </c>
      <c r="P4614" t="s">
        <v>2598</v>
      </c>
      <c r="Q4614" s="1" t="s">
        <v>2276</v>
      </c>
      <c r="R4614" s="1" t="s">
        <v>751</v>
      </c>
      <c r="S4614" s="1" t="s">
        <v>554</v>
      </c>
      <c r="X4614" s="1" t="s">
        <v>2606</v>
      </c>
      <c r="Y4614" t="s">
        <v>2273</v>
      </c>
      <c r="Z4614" t="s">
        <v>249</v>
      </c>
      <c r="AA4614" t="s">
        <v>2274</v>
      </c>
      <c r="AB4614" t="s">
        <v>2275</v>
      </c>
      <c r="AC4614" s="1" t="s">
        <v>152</v>
      </c>
      <c r="AD4614" t="s">
        <v>137</v>
      </c>
      <c r="AF4614" t="s">
        <v>49</v>
      </c>
      <c r="AI4614" t="s">
        <v>49</v>
      </c>
      <c r="AM4614" t="s">
        <v>262</v>
      </c>
      <c r="AN4614" t="s">
        <v>262</v>
      </c>
      <c r="AS4614" t="s">
        <v>2662</v>
      </c>
    </row>
    <row r="4615" spans="1:45" x14ac:dyDescent="0.2">
      <c r="A4615" t="s">
        <v>2596</v>
      </c>
      <c r="B4615" t="s">
        <v>2597</v>
      </c>
      <c r="C4615">
        <v>2015</v>
      </c>
      <c r="D4615" t="s">
        <v>44</v>
      </c>
      <c r="F4615" t="s">
        <v>2604</v>
      </c>
      <c r="G4615" t="s">
        <v>86</v>
      </c>
      <c r="H4615" t="s">
        <v>350</v>
      </c>
      <c r="K4615" t="s">
        <v>101</v>
      </c>
      <c r="L4615">
        <v>11</v>
      </c>
      <c r="M4615">
        <v>0</v>
      </c>
      <c r="N4615" t="s">
        <v>128</v>
      </c>
      <c r="O4615" s="1" t="s">
        <v>2352</v>
      </c>
      <c r="P4615" t="s">
        <v>2599</v>
      </c>
      <c r="Q4615" s="1" t="s">
        <v>2276</v>
      </c>
      <c r="R4615" s="1" t="s">
        <v>755</v>
      </c>
      <c r="S4615" s="1" t="s">
        <v>2352</v>
      </c>
      <c r="X4615" s="1" t="s">
        <v>2606</v>
      </c>
      <c r="Y4615" t="s">
        <v>2273</v>
      </c>
      <c r="Z4615" t="s">
        <v>249</v>
      </c>
      <c r="AA4615" t="s">
        <v>2274</v>
      </c>
      <c r="AB4615" t="s">
        <v>2275</v>
      </c>
      <c r="AC4615" s="1" t="s">
        <v>152</v>
      </c>
      <c r="AD4615" t="s">
        <v>137</v>
      </c>
      <c r="AF4615" t="s">
        <v>49</v>
      </c>
      <c r="AI4615" t="s">
        <v>49</v>
      </c>
      <c r="AM4615" t="s">
        <v>262</v>
      </c>
      <c r="AN4615" t="s">
        <v>262</v>
      </c>
      <c r="AS4615" t="s">
        <v>2662</v>
      </c>
    </row>
    <row r="4616" spans="1:45" x14ac:dyDescent="0.2">
      <c r="A4616" t="s">
        <v>2596</v>
      </c>
      <c r="B4616" t="s">
        <v>2597</v>
      </c>
      <c r="C4616">
        <v>2015</v>
      </c>
      <c r="D4616" t="s">
        <v>44</v>
      </c>
      <c r="F4616" t="s">
        <v>2604</v>
      </c>
      <c r="G4616" t="s">
        <v>86</v>
      </c>
      <c r="H4616" t="s">
        <v>350</v>
      </c>
      <c r="K4616" t="s">
        <v>101</v>
      </c>
      <c r="L4616">
        <v>11</v>
      </c>
      <c r="M4616">
        <v>0</v>
      </c>
      <c r="N4616" t="s">
        <v>128</v>
      </c>
      <c r="O4616" s="1" t="s">
        <v>2348</v>
      </c>
      <c r="P4616" t="s">
        <v>2600</v>
      </c>
      <c r="Q4616" s="1" t="s">
        <v>2276</v>
      </c>
      <c r="R4616" s="1" t="s">
        <v>669</v>
      </c>
      <c r="S4616" s="1" t="s">
        <v>2348</v>
      </c>
      <c r="X4616" s="1" t="s">
        <v>2606</v>
      </c>
      <c r="Y4616" t="s">
        <v>2273</v>
      </c>
      <c r="Z4616" t="s">
        <v>249</v>
      </c>
      <c r="AA4616" t="s">
        <v>2274</v>
      </c>
      <c r="AB4616" t="s">
        <v>2275</v>
      </c>
      <c r="AC4616" s="1" t="s">
        <v>152</v>
      </c>
      <c r="AD4616" t="s">
        <v>137</v>
      </c>
      <c r="AF4616" t="s">
        <v>49</v>
      </c>
      <c r="AI4616" t="s">
        <v>49</v>
      </c>
      <c r="AM4616" t="s">
        <v>262</v>
      </c>
      <c r="AN4616" t="s">
        <v>262</v>
      </c>
      <c r="AS4616" t="s">
        <v>2662</v>
      </c>
    </row>
    <row r="4617" spans="1:45" x14ac:dyDescent="0.2">
      <c r="A4617" t="s">
        <v>2596</v>
      </c>
      <c r="B4617" t="s">
        <v>2597</v>
      </c>
      <c r="C4617">
        <v>2015</v>
      </c>
      <c r="D4617" t="s">
        <v>44</v>
      </c>
      <c r="F4617" t="s">
        <v>2604</v>
      </c>
      <c r="G4617" t="s">
        <v>86</v>
      </c>
      <c r="H4617" t="s">
        <v>350</v>
      </c>
      <c r="K4617" t="s">
        <v>101</v>
      </c>
      <c r="L4617">
        <v>11</v>
      </c>
      <c r="M4617">
        <v>0</v>
      </c>
      <c r="N4617" t="s">
        <v>128</v>
      </c>
      <c r="O4617" s="1"/>
      <c r="P4617" t="s">
        <v>2601</v>
      </c>
      <c r="Q4617" s="1" t="s">
        <v>2276</v>
      </c>
      <c r="R4617" s="1" t="s">
        <v>751</v>
      </c>
      <c r="S4617" s="1" t="s">
        <v>2346</v>
      </c>
      <c r="X4617" s="1" t="s">
        <v>2606</v>
      </c>
      <c r="Y4617" t="s">
        <v>2273</v>
      </c>
      <c r="Z4617" t="s">
        <v>249</v>
      </c>
      <c r="AA4617" t="s">
        <v>2274</v>
      </c>
      <c r="AB4617" t="s">
        <v>2275</v>
      </c>
      <c r="AC4617" s="1" t="s">
        <v>152</v>
      </c>
      <c r="AD4617" t="s">
        <v>137</v>
      </c>
      <c r="AF4617" t="s">
        <v>49</v>
      </c>
      <c r="AI4617" t="s">
        <v>49</v>
      </c>
      <c r="AM4617" t="s">
        <v>262</v>
      </c>
      <c r="AN4617" t="s">
        <v>262</v>
      </c>
      <c r="AS4617" t="s">
        <v>2662</v>
      </c>
    </row>
    <row r="4618" spans="1:45" x14ac:dyDescent="0.2">
      <c r="A4618" t="s">
        <v>2596</v>
      </c>
      <c r="B4618" t="s">
        <v>2597</v>
      </c>
      <c r="C4618">
        <v>2015</v>
      </c>
      <c r="D4618" t="s">
        <v>44</v>
      </c>
      <c r="F4618" t="s">
        <v>2604</v>
      </c>
      <c r="G4618" t="s">
        <v>86</v>
      </c>
      <c r="H4618" t="s">
        <v>350</v>
      </c>
      <c r="K4618" t="s">
        <v>101</v>
      </c>
      <c r="L4618">
        <v>11</v>
      </c>
      <c r="M4618">
        <v>0</v>
      </c>
      <c r="N4618" t="s">
        <v>128</v>
      </c>
      <c r="O4618" s="1"/>
      <c r="P4618" t="s">
        <v>2602</v>
      </c>
      <c r="Q4618" s="1" t="s">
        <v>2276</v>
      </c>
      <c r="R4618" s="1" t="s">
        <v>751</v>
      </c>
      <c r="S4618" s="1" t="s">
        <v>2346</v>
      </c>
      <c r="X4618" s="1" t="s">
        <v>2606</v>
      </c>
      <c r="Y4618" t="s">
        <v>2273</v>
      </c>
      <c r="Z4618" t="s">
        <v>249</v>
      </c>
      <c r="AA4618" t="s">
        <v>2274</v>
      </c>
      <c r="AB4618" t="s">
        <v>2275</v>
      </c>
      <c r="AC4618" s="1" t="s">
        <v>152</v>
      </c>
      <c r="AD4618" t="s">
        <v>137</v>
      </c>
      <c r="AF4618" t="s">
        <v>49</v>
      </c>
      <c r="AI4618" t="s">
        <v>49</v>
      </c>
      <c r="AM4618" t="s">
        <v>262</v>
      </c>
      <c r="AN4618" t="s">
        <v>262</v>
      </c>
      <c r="AS4618" t="s">
        <v>2662</v>
      </c>
    </row>
    <row r="4619" spans="1:45" x14ac:dyDescent="0.2">
      <c r="A4619" t="s">
        <v>2596</v>
      </c>
      <c r="B4619" t="s">
        <v>2597</v>
      </c>
      <c r="C4619">
        <v>2015</v>
      </c>
      <c r="D4619" t="s">
        <v>44</v>
      </c>
      <c r="F4619" t="s">
        <v>2604</v>
      </c>
      <c r="G4619" t="s">
        <v>86</v>
      </c>
      <c r="H4619" t="s">
        <v>350</v>
      </c>
      <c r="K4619" t="s">
        <v>101</v>
      </c>
      <c r="L4619">
        <v>11</v>
      </c>
      <c r="M4619">
        <v>0</v>
      </c>
      <c r="N4619" t="s">
        <v>128</v>
      </c>
      <c r="O4619" s="1" t="s">
        <v>2348</v>
      </c>
      <c r="P4619" t="s">
        <v>2603</v>
      </c>
      <c r="Q4619" s="1" t="s">
        <v>2276</v>
      </c>
      <c r="R4619" s="1" t="s">
        <v>669</v>
      </c>
      <c r="S4619" s="1" t="s">
        <v>2348</v>
      </c>
      <c r="X4619" s="1" t="s">
        <v>2606</v>
      </c>
      <c r="Y4619" t="s">
        <v>2273</v>
      </c>
      <c r="Z4619" t="s">
        <v>249</v>
      </c>
      <c r="AA4619" t="s">
        <v>2274</v>
      </c>
      <c r="AB4619" t="s">
        <v>2275</v>
      </c>
      <c r="AC4619" s="1" t="s">
        <v>152</v>
      </c>
      <c r="AD4619" t="s">
        <v>137</v>
      </c>
      <c r="AF4619" t="s">
        <v>49</v>
      </c>
      <c r="AI4619" t="s">
        <v>49</v>
      </c>
      <c r="AM4619" t="s">
        <v>262</v>
      </c>
      <c r="AN4619" t="s">
        <v>262</v>
      </c>
      <c r="AS4619" t="s">
        <v>2662</v>
      </c>
    </row>
    <row r="4620" spans="1:45" x14ac:dyDescent="0.2">
      <c r="A4620" t="s">
        <v>2596</v>
      </c>
      <c r="B4620" t="s">
        <v>2597</v>
      </c>
      <c r="C4620">
        <v>2015</v>
      </c>
      <c r="D4620" t="s">
        <v>44</v>
      </c>
      <c r="F4620" t="s">
        <v>2604</v>
      </c>
      <c r="G4620" t="s">
        <v>86</v>
      </c>
      <c r="H4620" t="s">
        <v>350</v>
      </c>
      <c r="K4620" t="s">
        <v>101</v>
      </c>
      <c r="L4620">
        <v>11</v>
      </c>
      <c r="M4620">
        <v>0</v>
      </c>
      <c r="N4620" t="s">
        <v>128</v>
      </c>
      <c r="P4620" t="s">
        <v>2598</v>
      </c>
      <c r="Q4620" s="1" t="s">
        <v>2276</v>
      </c>
      <c r="R4620" s="1" t="s">
        <v>751</v>
      </c>
      <c r="S4620" s="1" t="s">
        <v>554</v>
      </c>
      <c r="X4620" s="1" t="s">
        <v>2607</v>
      </c>
      <c r="Y4620" t="s">
        <v>2273</v>
      </c>
      <c r="Z4620" t="s">
        <v>249</v>
      </c>
      <c r="AA4620" t="s">
        <v>2274</v>
      </c>
      <c r="AB4620" t="s">
        <v>2275</v>
      </c>
      <c r="AC4620" s="1" t="s">
        <v>152</v>
      </c>
      <c r="AD4620" t="s">
        <v>137</v>
      </c>
      <c r="AF4620" t="s">
        <v>49</v>
      </c>
      <c r="AI4620" t="s">
        <v>49</v>
      </c>
      <c r="AM4620" t="s">
        <v>262</v>
      </c>
      <c r="AN4620" t="s">
        <v>262</v>
      </c>
      <c r="AS4620" t="s">
        <v>2662</v>
      </c>
    </row>
    <row r="4621" spans="1:45" x14ac:dyDescent="0.2">
      <c r="A4621" t="s">
        <v>2596</v>
      </c>
      <c r="B4621" t="s">
        <v>2597</v>
      </c>
      <c r="C4621">
        <v>2015</v>
      </c>
      <c r="D4621" t="s">
        <v>44</v>
      </c>
      <c r="F4621" t="s">
        <v>2604</v>
      </c>
      <c r="G4621" t="s">
        <v>86</v>
      </c>
      <c r="H4621" t="s">
        <v>350</v>
      </c>
      <c r="K4621" t="s">
        <v>101</v>
      </c>
      <c r="L4621">
        <v>11</v>
      </c>
      <c r="M4621">
        <v>0</v>
      </c>
      <c r="N4621" t="s">
        <v>128</v>
      </c>
      <c r="O4621" s="1" t="s">
        <v>2352</v>
      </c>
      <c r="P4621" t="s">
        <v>2599</v>
      </c>
      <c r="Q4621" s="1" t="s">
        <v>2276</v>
      </c>
      <c r="R4621" s="1" t="s">
        <v>755</v>
      </c>
      <c r="S4621" s="1" t="s">
        <v>2352</v>
      </c>
      <c r="X4621" s="1" t="s">
        <v>2607</v>
      </c>
      <c r="Y4621" t="s">
        <v>2273</v>
      </c>
      <c r="Z4621" t="s">
        <v>249</v>
      </c>
      <c r="AA4621" t="s">
        <v>2274</v>
      </c>
      <c r="AB4621" t="s">
        <v>2275</v>
      </c>
      <c r="AC4621" s="1" t="s">
        <v>152</v>
      </c>
      <c r="AD4621" t="s">
        <v>137</v>
      </c>
      <c r="AF4621" t="s">
        <v>49</v>
      </c>
      <c r="AI4621" t="s">
        <v>49</v>
      </c>
      <c r="AM4621" t="s">
        <v>262</v>
      </c>
      <c r="AN4621" t="s">
        <v>262</v>
      </c>
      <c r="AS4621" t="s">
        <v>2662</v>
      </c>
    </row>
    <row r="4622" spans="1:45" x14ac:dyDescent="0.2">
      <c r="A4622" t="s">
        <v>2596</v>
      </c>
      <c r="B4622" t="s">
        <v>2597</v>
      </c>
      <c r="C4622">
        <v>2015</v>
      </c>
      <c r="D4622" t="s">
        <v>44</v>
      </c>
      <c r="F4622" t="s">
        <v>2604</v>
      </c>
      <c r="G4622" t="s">
        <v>86</v>
      </c>
      <c r="H4622" t="s">
        <v>350</v>
      </c>
      <c r="K4622" t="s">
        <v>101</v>
      </c>
      <c r="L4622">
        <v>11</v>
      </c>
      <c r="M4622">
        <v>0</v>
      </c>
      <c r="N4622" t="s">
        <v>128</v>
      </c>
      <c r="O4622" s="1" t="s">
        <v>2348</v>
      </c>
      <c r="P4622" t="s">
        <v>2600</v>
      </c>
      <c r="Q4622" s="1" t="s">
        <v>2276</v>
      </c>
      <c r="R4622" s="1" t="s">
        <v>669</v>
      </c>
      <c r="S4622" s="1" t="s">
        <v>2348</v>
      </c>
      <c r="X4622" s="1" t="s">
        <v>2607</v>
      </c>
      <c r="Y4622" t="s">
        <v>2273</v>
      </c>
      <c r="Z4622" t="s">
        <v>249</v>
      </c>
      <c r="AA4622" t="s">
        <v>2274</v>
      </c>
      <c r="AB4622" t="s">
        <v>2275</v>
      </c>
      <c r="AC4622" s="1" t="s">
        <v>152</v>
      </c>
      <c r="AD4622" t="s">
        <v>137</v>
      </c>
      <c r="AF4622" t="s">
        <v>49</v>
      </c>
      <c r="AI4622" t="s">
        <v>49</v>
      </c>
      <c r="AM4622" t="s">
        <v>262</v>
      </c>
      <c r="AN4622" t="s">
        <v>262</v>
      </c>
      <c r="AS4622" t="s">
        <v>2662</v>
      </c>
    </row>
    <row r="4623" spans="1:45" x14ac:dyDescent="0.2">
      <c r="A4623" t="s">
        <v>2596</v>
      </c>
      <c r="B4623" t="s">
        <v>2597</v>
      </c>
      <c r="C4623">
        <v>2015</v>
      </c>
      <c r="D4623" t="s">
        <v>44</v>
      </c>
      <c r="F4623" t="s">
        <v>2604</v>
      </c>
      <c r="G4623" t="s">
        <v>86</v>
      </c>
      <c r="H4623" t="s">
        <v>350</v>
      </c>
      <c r="K4623" t="s">
        <v>101</v>
      </c>
      <c r="L4623">
        <v>11</v>
      </c>
      <c r="M4623">
        <v>0</v>
      </c>
      <c r="N4623" t="s">
        <v>128</v>
      </c>
      <c r="O4623" s="1"/>
      <c r="P4623" t="s">
        <v>2601</v>
      </c>
      <c r="Q4623" s="1" t="s">
        <v>2276</v>
      </c>
      <c r="R4623" s="1" t="s">
        <v>751</v>
      </c>
      <c r="S4623" s="1" t="s">
        <v>2346</v>
      </c>
      <c r="X4623" s="1" t="s">
        <v>2607</v>
      </c>
      <c r="Y4623" t="s">
        <v>2273</v>
      </c>
      <c r="Z4623" t="s">
        <v>249</v>
      </c>
      <c r="AA4623" t="s">
        <v>2274</v>
      </c>
      <c r="AB4623" t="s">
        <v>2275</v>
      </c>
      <c r="AC4623" s="1" t="s">
        <v>152</v>
      </c>
      <c r="AD4623" t="s">
        <v>137</v>
      </c>
      <c r="AF4623" t="s">
        <v>49</v>
      </c>
      <c r="AI4623" t="s">
        <v>49</v>
      </c>
      <c r="AM4623" t="s">
        <v>262</v>
      </c>
      <c r="AN4623" t="s">
        <v>262</v>
      </c>
      <c r="AS4623" t="s">
        <v>2662</v>
      </c>
    </row>
    <row r="4624" spans="1:45" x14ac:dyDescent="0.2">
      <c r="A4624" t="s">
        <v>2596</v>
      </c>
      <c r="B4624" t="s">
        <v>2597</v>
      </c>
      <c r="C4624">
        <v>2015</v>
      </c>
      <c r="D4624" t="s">
        <v>44</v>
      </c>
      <c r="F4624" t="s">
        <v>2604</v>
      </c>
      <c r="G4624" t="s">
        <v>86</v>
      </c>
      <c r="H4624" t="s">
        <v>350</v>
      </c>
      <c r="K4624" t="s">
        <v>101</v>
      </c>
      <c r="L4624">
        <v>11</v>
      </c>
      <c r="M4624">
        <v>0</v>
      </c>
      <c r="N4624" t="s">
        <v>128</v>
      </c>
      <c r="O4624" s="1"/>
      <c r="P4624" t="s">
        <v>2602</v>
      </c>
      <c r="Q4624" s="1" t="s">
        <v>2276</v>
      </c>
      <c r="R4624" s="1" t="s">
        <v>751</v>
      </c>
      <c r="S4624" s="1" t="s">
        <v>2346</v>
      </c>
      <c r="X4624" s="1" t="s">
        <v>2607</v>
      </c>
      <c r="Y4624" t="s">
        <v>2273</v>
      </c>
      <c r="Z4624" t="s">
        <v>249</v>
      </c>
      <c r="AA4624" t="s">
        <v>2274</v>
      </c>
      <c r="AB4624" t="s">
        <v>2275</v>
      </c>
      <c r="AC4624" s="1" t="s">
        <v>152</v>
      </c>
      <c r="AD4624" t="s">
        <v>137</v>
      </c>
      <c r="AF4624" t="s">
        <v>49</v>
      </c>
      <c r="AI4624" t="s">
        <v>49</v>
      </c>
      <c r="AM4624" t="s">
        <v>262</v>
      </c>
      <c r="AN4624" t="s">
        <v>262</v>
      </c>
      <c r="AS4624" t="s">
        <v>2662</v>
      </c>
    </row>
    <row r="4625" spans="1:45" x14ac:dyDescent="0.2">
      <c r="A4625" t="s">
        <v>2596</v>
      </c>
      <c r="B4625" t="s">
        <v>2597</v>
      </c>
      <c r="C4625">
        <v>2015</v>
      </c>
      <c r="D4625" t="s">
        <v>44</v>
      </c>
      <c r="F4625" t="s">
        <v>2604</v>
      </c>
      <c r="G4625" t="s">
        <v>86</v>
      </c>
      <c r="H4625" t="s">
        <v>350</v>
      </c>
      <c r="K4625" t="s">
        <v>101</v>
      </c>
      <c r="L4625">
        <v>11</v>
      </c>
      <c r="M4625">
        <v>0</v>
      </c>
      <c r="N4625" t="s">
        <v>128</v>
      </c>
      <c r="O4625" s="1" t="s">
        <v>2348</v>
      </c>
      <c r="P4625" t="s">
        <v>2603</v>
      </c>
      <c r="Q4625" s="1" t="s">
        <v>2276</v>
      </c>
      <c r="R4625" s="1" t="s">
        <v>669</v>
      </c>
      <c r="S4625" s="1" t="s">
        <v>2348</v>
      </c>
      <c r="X4625" s="1" t="s">
        <v>2607</v>
      </c>
      <c r="Y4625" t="s">
        <v>2273</v>
      </c>
      <c r="Z4625" t="s">
        <v>249</v>
      </c>
      <c r="AA4625" t="s">
        <v>2274</v>
      </c>
      <c r="AB4625" t="s">
        <v>2275</v>
      </c>
      <c r="AC4625" s="1" t="s">
        <v>152</v>
      </c>
      <c r="AD4625" t="s">
        <v>137</v>
      </c>
      <c r="AF4625" t="s">
        <v>49</v>
      </c>
      <c r="AI4625" t="s">
        <v>49</v>
      </c>
      <c r="AM4625" t="s">
        <v>262</v>
      </c>
      <c r="AN4625" t="s">
        <v>262</v>
      </c>
      <c r="AS4625" t="s">
        <v>2662</v>
      </c>
    </row>
    <row r="4626" spans="1:45" x14ac:dyDescent="0.2">
      <c r="A4626" t="s">
        <v>2596</v>
      </c>
      <c r="B4626" t="s">
        <v>2597</v>
      </c>
      <c r="C4626">
        <v>2015</v>
      </c>
      <c r="D4626" t="s">
        <v>44</v>
      </c>
      <c r="F4626" t="s">
        <v>2604</v>
      </c>
      <c r="G4626" t="s">
        <v>86</v>
      </c>
      <c r="H4626" t="s">
        <v>350</v>
      </c>
      <c r="K4626" t="s">
        <v>101</v>
      </c>
      <c r="L4626">
        <v>11</v>
      </c>
      <c r="M4626">
        <v>0</v>
      </c>
      <c r="N4626" t="s">
        <v>128</v>
      </c>
      <c r="P4626" t="s">
        <v>2598</v>
      </c>
      <c r="Q4626" s="1" t="s">
        <v>2276</v>
      </c>
      <c r="R4626" s="1" t="s">
        <v>751</v>
      </c>
      <c r="S4626" s="1" t="s">
        <v>554</v>
      </c>
      <c r="T4626" s="1" t="s">
        <v>396</v>
      </c>
      <c r="U4626" s="1" t="s">
        <v>2608</v>
      </c>
      <c r="X4626" s="1" t="s">
        <v>161</v>
      </c>
      <c r="Y4626" t="s">
        <v>2272</v>
      </c>
      <c r="Z4626" t="s">
        <v>2272</v>
      </c>
      <c r="AA4626" t="s">
        <v>2272</v>
      </c>
      <c r="AB4626" t="s">
        <v>2272</v>
      </c>
      <c r="AC4626" t="s">
        <v>162</v>
      </c>
      <c r="AD4626" t="s">
        <v>2272</v>
      </c>
      <c r="AF4626" t="s">
        <v>49</v>
      </c>
      <c r="AI4626" t="s">
        <v>49</v>
      </c>
      <c r="AM4626" t="s">
        <v>262</v>
      </c>
      <c r="AN4626" t="s">
        <v>166</v>
      </c>
      <c r="AS4626" t="s">
        <v>2662</v>
      </c>
    </row>
    <row r="4627" spans="1:45" x14ac:dyDescent="0.2">
      <c r="A4627" t="s">
        <v>2596</v>
      </c>
      <c r="B4627" t="s">
        <v>2597</v>
      </c>
      <c r="C4627">
        <v>2015</v>
      </c>
      <c r="D4627" t="s">
        <v>44</v>
      </c>
      <c r="F4627" t="s">
        <v>2604</v>
      </c>
      <c r="G4627" t="s">
        <v>86</v>
      </c>
      <c r="H4627" t="s">
        <v>350</v>
      </c>
      <c r="K4627" t="s">
        <v>101</v>
      </c>
      <c r="L4627">
        <v>11</v>
      </c>
      <c r="M4627">
        <v>0</v>
      </c>
      <c r="N4627" t="s">
        <v>128</v>
      </c>
      <c r="O4627" s="1" t="s">
        <v>2352</v>
      </c>
      <c r="P4627" t="s">
        <v>2599</v>
      </c>
      <c r="Q4627" s="1" t="s">
        <v>2276</v>
      </c>
      <c r="R4627" s="1" t="s">
        <v>755</v>
      </c>
      <c r="S4627" s="1" t="s">
        <v>2352</v>
      </c>
      <c r="T4627" s="1" t="s">
        <v>396</v>
      </c>
      <c r="U4627" s="1" t="s">
        <v>2609</v>
      </c>
      <c r="X4627" s="1" t="s">
        <v>161</v>
      </c>
      <c r="Y4627" t="s">
        <v>2272</v>
      </c>
      <c r="Z4627" t="s">
        <v>2272</v>
      </c>
      <c r="AA4627" t="s">
        <v>2272</v>
      </c>
      <c r="AB4627" t="s">
        <v>2272</v>
      </c>
      <c r="AC4627" t="s">
        <v>162</v>
      </c>
      <c r="AD4627" t="s">
        <v>2272</v>
      </c>
      <c r="AF4627" t="s">
        <v>49</v>
      </c>
      <c r="AI4627" t="s">
        <v>49</v>
      </c>
      <c r="AM4627" t="s">
        <v>262</v>
      </c>
      <c r="AN4627" t="s">
        <v>166</v>
      </c>
      <c r="AS4627" t="s">
        <v>2662</v>
      </c>
    </row>
    <row r="4628" spans="1:45" x14ac:dyDescent="0.2">
      <c r="A4628" t="s">
        <v>2596</v>
      </c>
      <c r="B4628" t="s">
        <v>2597</v>
      </c>
      <c r="C4628">
        <v>2015</v>
      </c>
      <c r="D4628" t="s">
        <v>44</v>
      </c>
      <c r="F4628" t="s">
        <v>2604</v>
      </c>
      <c r="G4628" t="s">
        <v>86</v>
      </c>
      <c r="H4628" t="s">
        <v>350</v>
      </c>
      <c r="K4628" t="s">
        <v>101</v>
      </c>
      <c r="L4628">
        <v>11</v>
      </c>
      <c r="M4628">
        <v>0</v>
      </c>
      <c r="N4628" t="s">
        <v>128</v>
      </c>
      <c r="O4628" s="1" t="s">
        <v>2348</v>
      </c>
      <c r="P4628" t="s">
        <v>2600</v>
      </c>
      <c r="Q4628" s="1" t="s">
        <v>2276</v>
      </c>
      <c r="R4628" s="1" t="s">
        <v>669</v>
      </c>
      <c r="S4628" s="1" t="s">
        <v>2348</v>
      </c>
      <c r="T4628" s="1" t="s">
        <v>396</v>
      </c>
      <c r="U4628" s="1" t="s">
        <v>2610</v>
      </c>
      <c r="X4628" s="1" t="s">
        <v>161</v>
      </c>
      <c r="Y4628" t="s">
        <v>2272</v>
      </c>
      <c r="Z4628" t="s">
        <v>2272</v>
      </c>
      <c r="AA4628" t="s">
        <v>2272</v>
      </c>
      <c r="AB4628" t="s">
        <v>2272</v>
      </c>
      <c r="AC4628" t="s">
        <v>162</v>
      </c>
      <c r="AD4628" t="s">
        <v>2272</v>
      </c>
      <c r="AF4628" t="s">
        <v>49</v>
      </c>
      <c r="AI4628" t="s">
        <v>49</v>
      </c>
      <c r="AM4628" t="s">
        <v>262</v>
      </c>
      <c r="AN4628" t="s">
        <v>166</v>
      </c>
      <c r="AS4628" t="s">
        <v>2662</v>
      </c>
    </row>
    <row r="4629" spans="1:45" x14ac:dyDescent="0.2">
      <c r="A4629" t="s">
        <v>2596</v>
      </c>
      <c r="B4629" t="s">
        <v>2597</v>
      </c>
      <c r="C4629">
        <v>2015</v>
      </c>
      <c r="D4629" t="s">
        <v>44</v>
      </c>
      <c r="F4629" t="s">
        <v>2604</v>
      </c>
      <c r="G4629" t="s">
        <v>86</v>
      </c>
      <c r="H4629" t="s">
        <v>350</v>
      </c>
      <c r="K4629" t="s">
        <v>101</v>
      </c>
      <c r="L4629">
        <v>11</v>
      </c>
      <c r="M4629">
        <v>0</v>
      </c>
      <c r="N4629" t="s">
        <v>128</v>
      </c>
      <c r="O4629" s="1"/>
      <c r="P4629" t="s">
        <v>2601</v>
      </c>
      <c r="Q4629" s="1" t="s">
        <v>2276</v>
      </c>
      <c r="R4629" s="1" t="s">
        <v>751</v>
      </c>
      <c r="S4629" s="1" t="s">
        <v>2346</v>
      </c>
      <c r="T4629" s="1" t="s">
        <v>396</v>
      </c>
      <c r="U4629" s="1" t="s">
        <v>2611</v>
      </c>
      <c r="X4629" s="1" t="s">
        <v>161</v>
      </c>
      <c r="Y4629" t="s">
        <v>2272</v>
      </c>
      <c r="Z4629" t="s">
        <v>2272</v>
      </c>
      <c r="AA4629" t="s">
        <v>2272</v>
      </c>
      <c r="AB4629" t="s">
        <v>2272</v>
      </c>
      <c r="AC4629" t="s">
        <v>162</v>
      </c>
      <c r="AD4629" t="s">
        <v>2272</v>
      </c>
      <c r="AF4629" t="s">
        <v>49</v>
      </c>
      <c r="AI4629" t="s">
        <v>49</v>
      </c>
      <c r="AM4629" t="s">
        <v>262</v>
      </c>
      <c r="AN4629" t="s">
        <v>166</v>
      </c>
      <c r="AS4629" t="s">
        <v>2662</v>
      </c>
    </row>
    <row r="4630" spans="1:45" x14ac:dyDescent="0.2">
      <c r="A4630" t="s">
        <v>2596</v>
      </c>
      <c r="B4630" t="s">
        <v>2597</v>
      </c>
      <c r="C4630">
        <v>2015</v>
      </c>
      <c r="D4630" t="s">
        <v>44</v>
      </c>
      <c r="F4630" t="s">
        <v>2604</v>
      </c>
      <c r="G4630" t="s">
        <v>86</v>
      </c>
      <c r="H4630" t="s">
        <v>350</v>
      </c>
      <c r="K4630" t="s">
        <v>101</v>
      </c>
      <c r="L4630">
        <v>11</v>
      </c>
      <c r="M4630">
        <v>0</v>
      </c>
      <c r="N4630" t="s">
        <v>128</v>
      </c>
      <c r="O4630" s="1"/>
      <c r="P4630" t="s">
        <v>2602</v>
      </c>
      <c r="Q4630" s="1" t="s">
        <v>2276</v>
      </c>
      <c r="R4630" s="1" t="s">
        <v>751</v>
      </c>
      <c r="S4630" s="1" t="s">
        <v>2346</v>
      </c>
      <c r="T4630" s="1" t="s">
        <v>396</v>
      </c>
      <c r="U4630" s="1" t="s">
        <v>2611</v>
      </c>
      <c r="X4630" s="1" t="s">
        <v>161</v>
      </c>
      <c r="Y4630" t="s">
        <v>2272</v>
      </c>
      <c r="Z4630" t="s">
        <v>2272</v>
      </c>
      <c r="AA4630" t="s">
        <v>2272</v>
      </c>
      <c r="AB4630" t="s">
        <v>2272</v>
      </c>
      <c r="AC4630" t="s">
        <v>162</v>
      </c>
      <c r="AD4630" t="s">
        <v>2272</v>
      </c>
      <c r="AF4630" t="s">
        <v>49</v>
      </c>
      <c r="AI4630" t="s">
        <v>49</v>
      </c>
      <c r="AM4630" t="s">
        <v>262</v>
      </c>
      <c r="AN4630" t="s">
        <v>166</v>
      </c>
      <c r="AS4630" t="s">
        <v>2662</v>
      </c>
    </row>
    <row r="4631" spans="1:45" x14ac:dyDescent="0.2">
      <c r="A4631" t="s">
        <v>2596</v>
      </c>
      <c r="B4631" t="s">
        <v>2597</v>
      </c>
      <c r="C4631">
        <v>2015</v>
      </c>
      <c r="D4631" t="s">
        <v>44</v>
      </c>
      <c r="F4631" t="s">
        <v>2604</v>
      </c>
      <c r="G4631" t="s">
        <v>86</v>
      </c>
      <c r="H4631" t="s">
        <v>350</v>
      </c>
      <c r="K4631" t="s">
        <v>101</v>
      </c>
      <c r="L4631">
        <v>11</v>
      </c>
      <c r="M4631">
        <v>0</v>
      </c>
      <c r="N4631" t="s">
        <v>128</v>
      </c>
      <c r="O4631" s="1" t="s">
        <v>2348</v>
      </c>
      <c r="P4631" t="s">
        <v>2603</v>
      </c>
      <c r="Q4631" s="1" t="s">
        <v>2276</v>
      </c>
      <c r="R4631" s="1" t="s">
        <v>669</v>
      </c>
      <c r="S4631" s="1" t="s">
        <v>2348</v>
      </c>
      <c r="T4631" s="1" t="s">
        <v>396</v>
      </c>
      <c r="U4631" s="1" t="s">
        <v>2612</v>
      </c>
      <c r="X4631" s="1" t="s">
        <v>161</v>
      </c>
      <c r="Y4631" t="s">
        <v>2272</v>
      </c>
      <c r="Z4631" t="s">
        <v>2272</v>
      </c>
      <c r="AA4631" t="s">
        <v>2272</v>
      </c>
      <c r="AB4631" t="s">
        <v>2272</v>
      </c>
      <c r="AC4631" t="s">
        <v>162</v>
      </c>
      <c r="AD4631" t="s">
        <v>2272</v>
      </c>
      <c r="AF4631" t="s">
        <v>49</v>
      </c>
      <c r="AI4631" t="s">
        <v>49</v>
      </c>
      <c r="AM4631" t="s">
        <v>262</v>
      </c>
      <c r="AN4631" t="s">
        <v>166</v>
      </c>
      <c r="AS4631" t="s">
        <v>2662</v>
      </c>
    </row>
    <row r="4632" spans="1:45" x14ac:dyDescent="0.2">
      <c r="A4632" t="s">
        <v>2596</v>
      </c>
      <c r="B4632" t="s">
        <v>2597</v>
      </c>
      <c r="C4632">
        <v>2015</v>
      </c>
      <c r="D4632" t="s">
        <v>44</v>
      </c>
      <c r="F4632" t="s">
        <v>2604</v>
      </c>
      <c r="G4632" t="s">
        <v>86</v>
      </c>
      <c r="H4632" t="s">
        <v>350</v>
      </c>
      <c r="K4632" t="s">
        <v>101</v>
      </c>
      <c r="L4632">
        <v>11</v>
      </c>
      <c r="M4632">
        <v>0</v>
      </c>
      <c r="N4632" t="s">
        <v>128</v>
      </c>
      <c r="P4632" t="s">
        <v>2598</v>
      </c>
      <c r="Q4632" s="1" t="s">
        <v>2276</v>
      </c>
      <c r="R4632" s="1" t="s">
        <v>751</v>
      </c>
      <c r="S4632" s="1" t="s">
        <v>554</v>
      </c>
      <c r="T4632" s="1" t="s">
        <v>396</v>
      </c>
      <c r="U4632" s="1" t="s">
        <v>2608</v>
      </c>
      <c r="X4632" s="1" t="s">
        <v>161</v>
      </c>
      <c r="Y4632" t="s">
        <v>2272</v>
      </c>
      <c r="Z4632" t="s">
        <v>2272</v>
      </c>
      <c r="AA4632" t="s">
        <v>2272</v>
      </c>
      <c r="AB4632" t="s">
        <v>2272</v>
      </c>
      <c r="AC4632" t="s">
        <v>162</v>
      </c>
      <c r="AD4632" t="s">
        <v>2272</v>
      </c>
      <c r="AF4632" t="s">
        <v>49</v>
      </c>
      <c r="AK4632" t="s">
        <v>49</v>
      </c>
      <c r="AM4632" t="s">
        <v>664</v>
      </c>
      <c r="AN4632" t="s">
        <v>166</v>
      </c>
      <c r="AP4632" t="s">
        <v>49</v>
      </c>
      <c r="AS4632" t="s">
        <v>2662</v>
      </c>
    </row>
    <row r="4633" spans="1:45" x14ac:dyDescent="0.2">
      <c r="A4633" t="s">
        <v>2596</v>
      </c>
      <c r="B4633" t="s">
        <v>2597</v>
      </c>
      <c r="C4633">
        <v>2015</v>
      </c>
      <c r="D4633" t="s">
        <v>44</v>
      </c>
      <c r="F4633" t="s">
        <v>2604</v>
      </c>
      <c r="G4633" t="s">
        <v>86</v>
      </c>
      <c r="H4633" t="s">
        <v>350</v>
      </c>
      <c r="K4633" t="s">
        <v>101</v>
      </c>
      <c r="L4633">
        <v>11</v>
      </c>
      <c r="M4633">
        <v>0</v>
      </c>
      <c r="N4633" t="s">
        <v>128</v>
      </c>
      <c r="O4633" s="1" t="s">
        <v>2352</v>
      </c>
      <c r="P4633" t="s">
        <v>2599</v>
      </c>
      <c r="Q4633" s="1" t="s">
        <v>2276</v>
      </c>
      <c r="R4633" s="1" t="s">
        <v>755</v>
      </c>
      <c r="S4633" s="1" t="s">
        <v>2352</v>
      </c>
      <c r="T4633" s="1" t="s">
        <v>396</v>
      </c>
      <c r="U4633" s="1" t="s">
        <v>2609</v>
      </c>
      <c r="X4633" s="1" t="s">
        <v>161</v>
      </c>
      <c r="Y4633" t="s">
        <v>2272</v>
      </c>
      <c r="Z4633" t="s">
        <v>2272</v>
      </c>
      <c r="AA4633" t="s">
        <v>2272</v>
      </c>
      <c r="AB4633" t="s">
        <v>2272</v>
      </c>
      <c r="AC4633" t="s">
        <v>162</v>
      </c>
      <c r="AD4633" t="s">
        <v>2272</v>
      </c>
      <c r="AF4633" t="s">
        <v>49</v>
      </c>
      <c r="AK4633" t="s">
        <v>49</v>
      </c>
      <c r="AM4633" t="s">
        <v>664</v>
      </c>
      <c r="AN4633" t="s">
        <v>166</v>
      </c>
      <c r="AP4633" t="s">
        <v>49</v>
      </c>
      <c r="AS4633" t="s">
        <v>2662</v>
      </c>
    </row>
    <row r="4634" spans="1:45" x14ac:dyDescent="0.2">
      <c r="A4634" t="s">
        <v>2596</v>
      </c>
      <c r="B4634" t="s">
        <v>2597</v>
      </c>
      <c r="C4634">
        <v>2015</v>
      </c>
      <c r="D4634" t="s">
        <v>44</v>
      </c>
      <c r="F4634" t="s">
        <v>2604</v>
      </c>
      <c r="G4634" t="s">
        <v>86</v>
      </c>
      <c r="H4634" t="s">
        <v>350</v>
      </c>
      <c r="K4634" t="s">
        <v>101</v>
      </c>
      <c r="L4634">
        <v>11</v>
      </c>
      <c r="M4634">
        <v>0</v>
      </c>
      <c r="N4634" t="s">
        <v>128</v>
      </c>
      <c r="O4634" s="1" t="s">
        <v>2348</v>
      </c>
      <c r="P4634" t="s">
        <v>2600</v>
      </c>
      <c r="Q4634" s="1" t="s">
        <v>2276</v>
      </c>
      <c r="R4634" s="1" t="s">
        <v>669</v>
      </c>
      <c r="S4634" s="1" t="s">
        <v>2348</v>
      </c>
      <c r="T4634" s="1" t="s">
        <v>396</v>
      </c>
      <c r="U4634" s="1" t="s">
        <v>2610</v>
      </c>
      <c r="X4634" s="1" t="s">
        <v>161</v>
      </c>
      <c r="Y4634" t="s">
        <v>2272</v>
      </c>
      <c r="Z4634" t="s">
        <v>2272</v>
      </c>
      <c r="AA4634" t="s">
        <v>2272</v>
      </c>
      <c r="AB4634" t="s">
        <v>2272</v>
      </c>
      <c r="AC4634" t="s">
        <v>162</v>
      </c>
      <c r="AD4634" t="s">
        <v>2272</v>
      </c>
      <c r="AF4634" t="s">
        <v>49</v>
      </c>
      <c r="AK4634" t="s">
        <v>49</v>
      </c>
      <c r="AM4634" t="s">
        <v>664</v>
      </c>
      <c r="AN4634" t="s">
        <v>166</v>
      </c>
      <c r="AP4634" t="s">
        <v>49</v>
      </c>
      <c r="AS4634" t="s">
        <v>2662</v>
      </c>
    </row>
    <row r="4635" spans="1:45" x14ac:dyDescent="0.2">
      <c r="A4635" t="s">
        <v>2596</v>
      </c>
      <c r="B4635" t="s">
        <v>2597</v>
      </c>
      <c r="C4635">
        <v>2015</v>
      </c>
      <c r="D4635" t="s">
        <v>44</v>
      </c>
      <c r="F4635" t="s">
        <v>2604</v>
      </c>
      <c r="G4635" t="s">
        <v>86</v>
      </c>
      <c r="H4635" t="s">
        <v>350</v>
      </c>
      <c r="K4635" t="s">
        <v>101</v>
      </c>
      <c r="L4635">
        <v>11</v>
      </c>
      <c r="M4635">
        <v>0</v>
      </c>
      <c r="N4635" t="s">
        <v>128</v>
      </c>
      <c r="O4635" s="1"/>
      <c r="P4635" t="s">
        <v>2601</v>
      </c>
      <c r="Q4635" s="1" t="s">
        <v>2276</v>
      </c>
      <c r="R4635" s="1" t="s">
        <v>751</v>
      </c>
      <c r="S4635" s="1" t="s">
        <v>2346</v>
      </c>
      <c r="T4635" s="1" t="s">
        <v>396</v>
      </c>
      <c r="U4635" s="1" t="s">
        <v>2611</v>
      </c>
      <c r="X4635" s="1" t="s">
        <v>161</v>
      </c>
      <c r="Y4635" t="s">
        <v>2272</v>
      </c>
      <c r="Z4635" t="s">
        <v>2272</v>
      </c>
      <c r="AA4635" t="s">
        <v>2272</v>
      </c>
      <c r="AB4635" t="s">
        <v>2272</v>
      </c>
      <c r="AC4635" t="s">
        <v>162</v>
      </c>
      <c r="AD4635" t="s">
        <v>2272</v>
      </c>
      <c r="AF4635" t="s">
        <v>49</v>
      </c>
      <c r="AK4635" t="s">
        <v>49</v>
      </c>
      <c r="AM4635" t="s">
        <v>664</v>
      </c>
      <c r="AN4635" t="s">
        <v>166</v>
      </c>
      <c r="AP4635" t="s">
        <v>49</v>
      </c>
      <c r="AS4635" t="s">
        <v>2662</v>
      </c>
    </row>
    <row r="4636" spans="1:45" x14ac:dyDescent="0.2">
      <c r="A4636" t="s">
        <v>2596</v>
      </c>
      <c r="B4636" t="s">
        <v>2597</v>
      </c>
      <c r="C4636">
        <v>2015</v>
      </c>
      <c r="D4636" t="s">
        <v>44</v>
      </c>
      <c r="F4636" t="s">
        <v>2604</v>
      </c>
      <c r="G4636" t="s">
        <v>86</v>
      </c>
      <c r="H4636" t="s">
        <v>350</v>
      </c>
      <c r="K4636" t="s">
        <v>101</v>
      </c>
      <c r="L4636">
        <v>11</v>
      </c>
      <c r="M4636">
        <v>0</v>
      </c>
      <c r="N4636" t="s">
        <v>128</v>
      </c>
      <c r="O4636" s="1"/>
      <c r="P4636" t="s">
        <v>2602</v>
      </c>
      <c r="Q4636" s="1" t="s">
        <v>2276</v>
      </c>
      <c r="R4636" s="1" t="s">
        <v>751</v>
      </c>
      <c r="S4636" s="1" t="s">
        <v>2346</v>
      </c>
      <c r="T4636" s="1" t="s">
        <v>396</v>
      </c>
      <c r="U4636" s="1" t="s">
        <v>2611</v>
      </c>
      <c r="X4636" s="1" t="s">
        <v>161</v>
      </c>
      <c r="Y4636" t="s">
        <v>2272</v>
      </c>
      <c r="Z4636" t="s">
        <v>2272</v>
      </c>
      <c r="AA4636" t="s">
        <v>2272</v>
      </c>
      <c r="AB4636" t="s">
        <v>2272</v>
      </c>
      <c r="AC4636" t="s">
        <v>162</v>
      </c>
      <c r="AD4636" t="s">
        <v>2272</v>
      </c>
      <c r="AF4636" t="s">
        <v>49</v>
      </c>
      <c r="AK4636" t="s">
        <v>49</v>
      </c>
      <c r="AM4636" t="s">
        <v>664</v>
      </c>
      <c r="AN4636" t="s">
        <v>166</v>
      </c>
      <c r="AP4636" t="s">
        <v>49</v>
      </c>
      <c r="AS4636" t="s">
        <v>2662</v>
      </c>
    </row>
    <row r="4637" spans="1:45" x14ac:dyDescent="0.2">
      <c r="A4637" t="s">
        <v>2596</v>
      </c>
      <c r="B4637" t="s">
        <v>2597</v>
      </c>
      <c r="C4637">
        <v>2015</v>
      </c>
      <c r="D4637" t="s">
        <v>44</v>
      </c>
      <c r="F4637" t="s">
        <v>2604</v>
      </c>
      <c r="G4637" t="s">
        <v>86</v>
      </c>
      <c r="H4637" t="s">
        <v>350</v>
      </c>
      <c r="K4637" t="s">
        <v>101</v>
      </c>
      <c r="L4637">
        <v>11</v>
      </c>
      <c r="M4637">
        <v>0</v>
      </c>
      <c r="N4637" t="s">
        <v>128</v>
      </c>
      <c r="O4637" s="1" t="s">
        <v>2348</v>
      </c>
      <c r="P4637" t="s">
        <v>2603</v>
      </c>
      <c r="Q4637" s="1" t="s">
        <v>2276</v>
      </c>
      <c r="R4637" s="1" t="s">
        <v>669</v>
      </c>
      <c r="S4637" s="1" t="s">
        <v>2348</v>
      </c>
      <c r="T4637" s="1" t="s">
        <v>396</v>
      </c>
      <c r="U4637" s="1" t="s">
        <v>2612</v>
      </c>
      <c r="X4637" s="1" t="s">
        <v>161</v>
      </c>
      <c r="Y4637" t="s">
        <v>2272</v>
      </c>
      <c r="Z4637" t="s">
        <v>2272</v>
      </c>
      <c r="AA4637" t="s">
        <v>2272</v>
      </c>
      <c r="AB4637" t="s">
        <v>2272</v>
      </c>
      <c r="AC4637" t="s">
        <v>162</v>
      </c>
      <c r="AD4637" t="s">
        <v>2272</v>
      </c>
      <c r="AF4637" t="s">
        <v>49</v>
      </c>
      <c r="AK4637" t="s">
        <v>49</v>
      </c>
      <c r="AM4637" t="s">
        <v>664</v>
      </c>
      <c r="AN4637" t="s">
        <v>166</v>
      </c>
      <c r="AP4637" t="s">
        <v>49</v>
      </c>
      <c r="AS4637" t="s">
        <v>2662</v>
      </c>
    </row>
    <row r="4638" spans="1:45" x14ac:dyDescent="0.2">
      <c r="A4638" t="s">
        <v>2596</v>
      </c>
      <c r="B4638" t="s">
        <v>2597</v>
      </c>
      <c r="C4638">
        <v>2015</v>
      </c>
      <c r="D4638" t="s">
        <v>44</v>
      </c>
      <c r="F4638" t="s">
        <v>2604</v>
      </c>
      <c r="G4638" t="s">
        <v>86</v>
      </c>
      <c r="H4638" t="s">
        <v>350</v>
      </c>
      <c r="K4638" t="s">
        <v>101</v>
      </c>
      <c r="L4638">
        <v>11</v>
      </c>
      <c r="M4638">
        <v>0</v>
      </c>
      <c r="N4638" t="s">
        <v>128</v>
      </c>
      <c r="P4638" t="s">
        <v>2598</v>
      </c>
      <c r="Q4638" s="1" t="s">
        <v>2276</v>
      </c>
      <c r="R4638" s="1" t="s">
        <v>751</v>
      </c>
      <c r="S4638" s="1" t="s">
        <v>554</v>
      </c>
      <c r="T4638" s="1" t="s">
        <v>396</v>
      </c>
      <c r="U4638" s="1" t="s">
        <v>2608</v>
      </c>
      <c r="X4638" s="1" t="s">
        <v>161</v>
      </c>
      <c r="Y4638" t="s">
        <v>2272</v>
      </c>
      <c r="Z4638" t="s">
        <v>2272</v>
      </c>
      <c r="AA4638" t="s">
        <v>2272</v>
      </c>
      <c r="AB4638" t="s">
        <v>2272</v>
      </c>
      <c r="AC4638" t="s">
        <v>162</v>
      </c>
      <c r="AD4638" t="s">
        <v>2272</v>
      </c>
      <c r="AF4638" t="s">
        <v>49</v>
      </c>
      <c r="AK4638" t="s">
        <v>49</v>
      </c>
      <c r="AM4638" t="s">
        <v>1451</v>
      </c>
      <c r="AN4638" t="s">
        <v>166</v>
      </c>
      <c r="AS4638" t="s">
        <v>2662</v>
      </c>
    </row>
    <row r="4639" spans="1:45" x14ac:dyDescent="0.2">
      <c r="A4639" t="s">
        <v>2596</v>
      </c>
      <c r="B4639" t="s">
        <v>2597</v>
      </c>
      <c r="C4639">
        <v>2015</v>
      </c>
      <c r="D4639" t="s">
        <v>44</v>
      </c>
      <c r="F4639" t="s">
        <v>2604</v>
      </c>
      <c r="G4639" t="s">
        <v>86</v>
      </c>
      <c r="H4639" t="s">
        <v>350</v>
      </c>
      <c r="K4639" t="s">
        <v>101</v>
      </c>
      <c r="L4639">
        <v>11</v>
      </c>
      <c r="M4639">
        <v>0</v>
      </c>
      <c r="N4639" t="s">
        <v>128</v>
      </c>
      <c r="O4639" s="1" t="s">
        <v>2352</v>
      </c>
      <c r="P4639" t="s">
        <v>2599</v>
      </c>
      <c r="Q4639" s="1" t="s">
        <v>2276</v>
      </c>
      <c r="R4639" s="1" t="s">
        <v>755</v>
      </c>
      <c r="S4639" s="1" t="s">
        <v>2352</v>
      </c>
      <c r="T4639" s="1" t="s">
        <v>396</v>
      </c>
      <c r="U4639" s="1" t="s">
        <v>2609</v>
      </c>
      <c r="X4639" s="1" t="s">
        <v>161</v>
      </c>
      <c r="Y4639" t="s">
        <v>2272</v>
      </c>
      <c r="Z4639" t="s">
        <v>2272</v>
      </c>
      <c r="AA4639" t="s">
        <v>2272</v>
      </c>
      <c r="AB4639" t="s">
        <v>2272</v>
      </c>
      <c r="AC4639" t="s">
        <v>162</v>
      </c>
      <c r="AD4639" t="s">
        <v>2272</v>
      </c>
      <c r="AF4639" t="s">
        <v>49</v>
      </c>
      <c r="AK4639" t="s">
        <v>49</v>
      </c>
      <c r="AM4639" t="s">
        <v>1451</v>
      </c>
      <c r="AN4639" t="s">
        <v>166</v>
      </c>
      <c r="AS4639" t="s">
        <v>2662</v>
      </c>
    </row>
    <row r="4640" spans="1:45" x14ac:dyDescent="0.2">
      <c r="A4640" t="s">
        <v>2596</v>
      </c>
      <c r="B4640" t="s">
        <v>2597</v>
      </c>
      <c r="C4640">
        <v>2015</v>
      </c>
      <c r="D4640" t="s">
        <v>44</v>
      </c>
      <c r="F4640" t="s">
        <v>2604</v>
      </c>
      <c r="G4640" t="s">
        <v>86</v>
      </c>
      <c r="H4640" t="s">
        <v>350</v>
      </c>
      <c r="K4640" t="s">
        <v>101</v>
      </c>
      <c r="L4640">
        <v>11</v>
      </c>
      <c r="M4640">
        <v>0</v>
      </c>
      <c r="N4640" t="s">
        <v>128</v>
      </c>
      <c r="O4640" s="1" t="s">
        <v>2348</v>
      </c>
      <c r="P4640" t="s">
        <v>2600</v>
      </c>
      <c r="Q4640" s="1" t="s">
        <v>2276</v>
      </c>
      <c r="R4640" s="1" t="s">
        <v>669</v>
      </c>
      <c r="S4640" s="1" t="s">
        <v>2348</v>
      </c>
      <c r="T4640" s="1" t="s">
        <v>396</v>
      </c>
      <c r="U4640" s="1" t="s">
        <v>2610</v>
      </c>
      <c r="X4640" s="1" t="s">
        <v>161</v>
      </c>
      <c r="Y4640" t="s">
        <v>2272</v>
      </c>
      <c r="Z4640" t="s">
        <v>2272</v>
      </c>
      <c r="AA4640" t="s">
        <v>2272</v>
      </c>
      <c r="AB4640" t="s">
        <v>2272</v>
      </c>
      <c r="AC4640" t="s">
        <v>162</v>
      </c>
      <c r="AD4640" t="s">
        <v>2272</v>
      </c>
      <c r="AF4640" t="s">
        <v>49</v>
      </c>
      <c r="AK4640" t="s">
        <v>49</v>
      </c>
      <c r="AM4640" t="s">
        <v>1451</v>
      </c>
      <c r="AN4640" t="s">
        <v>166</v>
      </c>
      <c r="AS4640" t="s">
        <v>2662</v>
      </c>
    </row>
    <row r="4641" spans="1:45" x14ac:dyDescent="0.2">
      <c r="A4641" t="s">
        <v>2596</v>
      </c>
      <c r="B4641" t="s">
        <v>2597</v>
      </c>
      <c r="C4641">
        <v>2015</v>
      </c>
      <c r="D4641" t="s">
        <v>44</v>
      </c>
      <c r="F4641" t="s">
        <v>2604</v>
      </c>
      <c r="G4641" t="s">
        <v>86</v>
      </c>
      <c r="H4641" t="s">
        <v>350</v>
      </c>
      <c r="K4641" t="s">
        <v>101</v>
      </c>
      <c r="L4641">
        <v>11</v>
      </c>
      <c r="M4641">
        <v>0</v>
      </c>
      <c r="N4641" t="s">
        <v>128</v>
      </c>
      <c r="O4641" s="1"/>
      <c r="P4641" t="s">
        <v>2601</v>
      </c>
      <c r="Q4641" s="1" t="s">
        <v>2276</v>
      </c>
      <c r="R4641" s="1" t="s">
        <v>751</v>
      </c>
      <c r="S4641" s="1" t="s">
        <v>2346</v>
      </c>
      <c r="T4641" s="1" t="s">
        <v>396</v>
      </c>
      <c r="U4641" s="1" t="s">
        <v>2611</v>
      </c>
      <c r="X4641" s="1" t="s">
        <v>161</v>
      </c>
      <c r="Y4641" t="s">
        <v>2272</v>
      </c>
      <c r="Z4641" t="s">
        <v>2272</v>
      </c>
      <c r="AA4641" t="s">
        <v>2272</v>
      </c>
      <c r="AB4641" t="s">
        <v>2272</v>
      </c>
      <c r="AC4641" t="s">
        <v>162</v>
      </c>
      <c r="AD4641" t="s">
        <v>2272</v>
      </c>
      <c r="AF4641" t="s">
        <v>49</v>
      </c>
      <c r="AK4641" t="s">
        <v>49</v>
      </c>
      <c r="AM4641" t="s">
        <v>1451</v>
      </c>
      <c r="AN4641" t="s">
        <v>166</v>
      </c>
      <c r="AS4641" t="s">
        <v>2662</v>
      </c>
    </row>
    <row r="4642" spans="1:45" x14ac:dyDescent="0.2">
      <c r="A4642" t="s">
        <v>2596</v>
      </c>
      <c r="B4642" t="s">
        <v>2597</v>
      </c>
      <c r="C4642">
        <v>2015</v>
      </c>
      <c r="D4642" t="s">
        <v>44</v>
      </c>
      <c r="F4642" t="s">
        <v>2604</v>
      </c>
      <c r="G4642" t="s">
        <v>86</v>
      </c>
      <c r="H4642" t="s">
        <v>350</v>
      </c>
      <c r="K4642" t="s">
        <v>101</v>
      </c>
      <c r="L4642">
        <v>11</v>
      </c>
      <c r="M4642">
        <v>0</v>
      </c>
      <c r="N4642" t="s">
        <v>128</v>
      </c>
      <c r="O4642" s="1"/>
      <c r="P4642" t="s">
        <v>2602</v>
      </c>
      <c r="Q4642" s="1" t="s">
        <v>2276</v>
      </c>
      <c r="R4642" s="1" t="s">
        <v>751</v>
      </c>
      <c r="S4642" s="1" t="s">
        <v>2346</v>
      </c>
      <c r="T4642" s="1" t="s">
        <v>396</v>
      </c>
      <c r="U4642" s="1" t="s">
        <v>2611</v>
      </c>
      <c r="X4642" s="1" t="s">
        <v>161</v>
      </c>
      <c r="Y4642" t="s">
        <v>2272</v>
      </c>
      <c r="Z4642" t="s">
        <v>2272</v>
      </c>
      <c r="AA4642" t="s">
        <v>2272</v>
      </c>
      <c r="AB4642" t="s">
        <v>2272</v>
      </c>
      <c r="AC4642" t="s">
        <v>162</v>
      </c>
      <c r="AD4642" t="s">
        <v>2272</v>
      </c>
      <c r="AF4642" t="s">
        <v>49</v>
      </c>
      <c r="AK4642" t="s">
        <v>49</v>
      </c>
      <c r="AM4642" t="s">
        <v>1451</v>
      </c>
      <c r="AN4642" t="s">
        <v>166</v>
      </c>
      <c r="AS4642" t="s">
        <v>2662</v>
      </c>
    </row>
    <row r="4643" spans="1:45" x14ac:dyDescent="0.2">
      <c r="A4643" t="s">
        <v>2596</v>
      </c>
      <c r="B4643" t="s">
        <v>2597</v>
      </c>
      <c r="C4643">
        <v>2015</v>
      </c>
      <c r="D4643" t="s">
        <v>44</v>
      </c>
      <c r="F4643" t="s">
        <v>2604</v>
      </c>
      <c r="G4643" t="s">
        <v>86</v>
      </c>
      <c r="H4643" t="s">
        <v>350</v>
      </c>
      <c r="K4643" t="s">
        <v>101</v>
      </c>
      <c r="L4643">
        <v>11</v>
      </c>
      <c r="M4643">
        <v>0</v>
      </c>
      <c r="N4643" t="s">
        <v>128</v>
      </c>
      <c r="O4643" s="1" t="s">
        <v>2348</v>
      </c>
      <c r="P4643" t="s">
        <v>2603</v>
      </c>
      <c r="Q4643" s="1" t="s">
        <v>2276</v>
      </c>
      <c r="R4643" s="1" t="s">
        <v>669</v>
      </c>
      <c r="S4643" s="1" t="s">
        <v>2348</v>
      </c>
      <c r="T4643" s="1" t="s">
        <v>396</v>
      </c>
      <c r="U4643" s="1" t="s">
        <v>2612</v>
      </c>
      <c r="X4643" s="1" t="s">
        <v>161</v>
      </c>
      <c r="Y4643" t="s">
        <v>2272</v>
      </c>
      <c r="Z4643" t="s">
        <v>2272</v>
      </c>
      <c r="AA4643" t="s">
        <v>2272</v>
      </c>
      <c r="AB4643" t="s">
        <v>2272</v>
      </c>
      <c r="AC4643" t="s">
        <v>162</v>
      </c>
      <c r="AD4643" t="s">
        <v>2272</v>
      </c>
      <c r="AF4643" t="s">
        <v>49</v>
      </c>
      <c r="AK4643" t="s">
        <v>49</v>
      </c>
      <c r="AM4643" t="s">
        <v>1451</v>
      </c>
      <c r="AN4643" t="s">
        <v>166</v>
      </c>
      <c r="AS4643" t="s">
        <v>2662</v>
      </c>
    </row>
    <row r="4644" spans="1:45" x14ac:dyDescent="0.2">
      <c r="A4644" t="s">
        <v>2596</v>
      </c>
      <c r="B4644" t="s">
        <v>2597</v>
      </c>
      <c r="C4644">
        <v>2015</v>
      </c>
      <c r="D4644" t="s">
        <v>44</v>
      </c>
      <c r="F4644" t="s">
        <v>2604</v>
      </c>
      <c r="G4644" t="s">
        <v>86</v>
      </c>
      <c r="H4644" t="s">
        <v>350</v>
      </c>
      <c r="K4644" t="s">
        <v>101</v>
      </c>
      <c r="L4644">
        <v>11</v>
      </c>
      <c r="M4644">
        <v>0</v>
      </c>
      <c r="N4644" t="s">
        <v>128</v>
      </c>
      <c r="P4644" t="s">
        <v>2598</v>
      </c>
      <c r="Q4644" s="1" t="s">
        <v>2276</v>
      </c>
      <c r="R4644" s="1" t="s">
        <v>751</v>
      </c>
      <c r="S4644" s="1" t="s">
        <v>554</v>
      </c>
      <c r="T4644" s="1" t="s">
        <v>396</v>
      </c>
      <c r="U4644" s="1" t="s">
        <v>2608</v>
      </c>
      <c r="X4644" s="1" t="s">
        <v>161</v>
      </c>
      <c r="Y4644" t="s">
        <v>2272</v>
      </c>
      <c r="Z4644" t="s">
        <v>2272</v>
      </c>
      <c r="AA4644" t="s">
        <v>2272</v>
      </c>
      <c r="AB4644" t="s">
        <v>2272</v>
      </c>
      <c r="AC4644" t="s">
        <v>162</v>
      </c>
      <c r="AD4644" t="s">
        <v>2272</v>
      </c>
      <c r="AF4644" t="s">
        <v>49</v>
      </c>
      <c r="AK4644" t="s">
        <v>49</v>
      </c>
      <c r="AM4644" t="s">
        <v>609</v>
      </c>
      <c r="AN4644" t="s">
        <v>166</v>
      </c>
      <c r="AS4644" t="s">
        <v>2662</v>
      </c>
    </row>
    <row r="4645" spans="1:45" x14ac:dyDescent="0.2">
      <c r="A4645" t="s">
        <v>2596</v>
      </c>
      <c r="B4645" t="s">
        <v>2597</v>
      </c>
      <c r="C4645">
        <v>2015</v>
      </c>
      <c r="D4645" t="s">
        <v>44</v>
      </c>
      <c r="F4645" t="s">
        <v>2604</v>
      </c>
      <c r="G4645" t="s">
        <v>86</v>
      </c>
      <c r="H4645" t="s">
        <v>350</v>
      </c>
      <c r="K4645" t="s">
        <v>101</v>
      </c>
      <c r="L4645">
        <v>11</v>
      </c>
      <c r="M4645">
        <v>0</v>
      </c>
      <c r="N4645" t="s">
        <v>128</v>
      </c>
      <c r="O4645" s="1" t="s">
        <v>2352</v>
      </c>
      <c r="P4645" t="s">
        <v>2599</v>
      </c>
      <c r="Q4645" s="1" t="s">
        <v>2276</v>
      </c>
      <c r="R4645" s="1" t="s">
        <v>755</v>
      </c>
      <c r="S4645" s="1" t="s">
        <v>2352</v>
      </c>
      <c r="T4645" s="1" t="s">
        <v>396</v>
      </c>
      <c r="U4645" s="1" t="s">
        <v>2609</v>
      </c>
      <c r="X4645" s="1" t="s">
        <v>161</v>
      </c>
      <c r="Y4645" t="s">
        <v>2272</v>
      </c>
      <c r="Z4645" t="s">
        <v>2272</v>
      </c>
      <c r="AA4645" t="s">
        <v>2272</v>
      </c>
      <c r="AB4645" t="s">
        <v>2272</v>
      </c>
      <c r="AC4645" t="s">
        <v>162</v>
      </c>
      <c r="AD4645" t="s">
        <v>2272</v>
      </c>
      <c r="AF4645" t="s">
        <v>49</v>
      </c>
      <c r="AK4645" t="s">
        <v>49</v>
      </c>
      <c r="AM4645" t="s">
        <v>609</v>
      </c>
      <c r="AN4645" t="s">
        <v>166</v>
      </c>
      <c r="AS4645" t="s">
        <v>2662</v>
      </c>
    </row>
    <row r="4646" spans="1:45" x14ac:dyDescent="0.2">
      <c r="A4646" t="s">
        <v>2596</v>
      </c>
      <c r="B4646" t="s">
        <v>2597</v>
      </c>
      <c r="C4646">
        <v>2015</v>
      </c>
      <c r="D4646" t="s">
        <v>44</v>
      </c>
      <c r="F4646" t="s">
        <v>2604</v>
      </c>
      <c r="G4646" t="s">
        <v>86</v>
      </c>
      <c r="H4646" t="s">
        <v>350</v>
      </c>
      <c r="K4646" t="s">
        <v>101</v>
      </c>
      <c r="L4646">
        <v>11</v>
      </c>
      <c r="M4646">
        <v>0</v>
      </c>
      <c r="N4646" t="s">
        <v>128</v>
      </c>
      <c r="O4646" s="1" t="s">
        <v>2348</v>
      </c>
      <c r="P4646" t="s">
        <v>2600</v>
      </c>
      <c r="Q4646" s="1" t="s">
        <v>2276</v>
      </c>
      <c r="R4646" s="1" t="s">
        <v>669</v>
      </c>
      <c r="S4646" s="1" t="s">
        <v>2348</v>
      </c>
      <c r="T4646" s="1" t="s">
        <v>396</v>
      </c>
      <c r="U4646" s="1" t="s">
        <v>2610</v>
      </c>
      <c r="X4646" s="1" t="s">
        <v>161</v>
      </c>
      <c r="Y4646" t="s">
        <v>2272</v>
      </c>
      <c r="Z4646" t="s">
        <v>2272</v>
      </c>
      <c r="AA4646" t="s">
        <v>2272</v>
      </c>
      <c r="AB4646" t="s">
        <v>2272</v>
      </c>
      <c r="AC4646" t="s">
        <v>162</v>
      </c>
      <c r="AD4646" t="s">
        <v>2272</v>
      </c>
      <c r="AF4646" t="s">
        <v>49</v>
      </c>
      <c r="AK4646" t="s">
        <v>49</v>
      </c>
      <c r="AM4646" t="s">
        <v>609</v>
      </c>
      <c r="AN4646" t="s">
        <v>166</v>
      </c>
      <c r="AS4646" t="s">
        <v>2662</v>
      </c>
    </row>
    <row r="4647" spans="1:45" x14ac:dyDescent="0.2">
      <c r="A4647" t="s">
        <v>2596</v>
      </c>
      <c r="B4647" t="s">
        <v>2597</v>
      </c>
      <c r="C4647">
        <v>2015</v>
      </c>
      <c r="D4647" t="s">
        <v>44</v>
      </c>
      <c r="F4647" t="s">
        <v>2604</v>
      </c>
      <c r="G4647" t="s">
        <v>86</v>
      </c>
      <c r="H4647" t="s">
        <v>350</v>
      </c>
      <c r="K4647" t="s">
        <v>101</v>
      </c>
      <c r="L4647">
        <v>11</v>
      </c>
      <c r="M4647">
        <v>0</v>
      </c>
      <c r="N4647" t="s">
        <v>128</v>
      </c>
      <c r="O4647" s="1"/>
      <c r="P4647" t="s">
        <v>2601</v>
      </c>
      <c r="Q4647" s="1" t="s">
        <v>2276</v>
      </c>
      <c r="R4647" s="1" t="s">
        <v>751</v>
      </c>
      <c r="S4647" s="1" t="s">
        <v>2346</v>
      </c>
      <c r="T4647" s="1" t="s">
        <v>396</v>
      </c>
      <c r="U4647" s="1" t="s">
        <v>2611</v>
      </c>
      <c r="X4647" s="1" t="s">
        <v>161</v>
      </c>
      <c r="Y4647" t="s">
        <v>2272</v>
      </c>
      <c r="Z4647" t="s">
        <v>2272</v>
      </c>
      <c r="AA4647" t="s">
        <v>2272</v>
      </c>
      <c r="AB4647" t="s">
        <v>2272</v>
      </c>
      <c r="AC4647" t="s">
        <v>162</v>
      </c>
      <c r="AD4647" t="s">
        <v>2272</v>
      </c>
      <c r="AF4647" t="s">
        <v>49</v>
      </c>
      <c r="AK4647" t="s">
        <v>49</v>
      </c>
      <c r="AM4647" t="s">
        <v>609</v>
      </c>
      <c r="AN4647" t="s">
        <v>166</v>
      </c>
      <c r="AS4647" t="s">
        <v>2662</v>
      </c>
    </row>
    <row r="4648" spans="1:45" x14ac:dyDescent="0.2">
      <c r="A4648" t="s">
        <v>2596</v>
      </c>
      <c r="B4648" t="s">
        <v>2597</v>
      </c>
      <c r="C4648">
        <v>2015</v>
      </c>
      <c r="D4648" t="s">
        <v>44</v>
      </c>
      <c r="F4648" t="s">
        <v>2604</v>
      </c>
      <c r="G4648" t="s">
        <v>86</v>
      </c>
      <c r="H4648" t="s">
        <v>350</v>
      </c>
      <c r="K4648" t="s">
        <v>101</v>
      </c>
      <c r="L4648">
        <v>11</v>
      </c>
      <c r="M4648">
        <v>0</v>
      </c>
      <c r="N4648" t="s">
        <v>128</v>
      </c>
      <c r="O4648" s="1"/>
      <c r="P4648" t="s">
        <v>2602</v>
      </c>
      <c r="Q4648" s="1" t="s">
        <v>2276</v>
      </c>
      <c r="R4648" s="1" t="s">
        <v>751</v>
      </c>
      <c r="S4648" s="1" t="s">
        <v>2346</v>
      </c>
      <c r="T4648" s="1" t="s">
        <v>396</v>
      </c>
      <c r="U4648" s="1" t="s">
        <v>2611</v>
      </c>
      <c r="X4648" s="1" t="s">
        <v>161</v>
      </c>
      <c r="Y4648" t="s">
        <v>2272</v>
      </c>
      <c r="Z4648" t="s">
        <v>2272</v>
      </c>
      <c r="AA4648" t="s">
        <v>2272</v>
      </c>
      <c r="AB4648" t="s">
        <v>2272</v>
      </c>
      <c r="AC4648" t="s">
        <v>162</v>
      </c>
      <c r="AD4648" t="s">
        <v>2272</v>
      </c>
      <c r="AF4648" t="s">
        <v>49</v>
      </c>
      <c r="AK4648" t="s">
        <v>49</v>
      </c>
      <c r="AM4648" t="s">
        <v>609</v>
      </c>
      <c r="AN4648" t="s">
        <v>166</v>
      </c>
      <c r="AS4648" t="s">
        <v>2662</v>
      </c>
    </row>
    <row r="4649" spans="1:45" x14ac:dyDescent="0.2">
      <c r="A4649" t="s">
        <v>2596</v>
      </c>
      <c r="B4649" t="s">
        <v>2597</v>
      </c>
      <c r="C4649">
        <v>2015</v>
      </c>
      <c r="D4649" t="s">
        <v>44</v>
      </c>
      <c r="F4649" t="s">
        <v>2604</v>
      </c>
      <c r="G4649" t="s">
        <v>86</v>
      </c>
      <c r="H4649" t="s">
        <v>350</v>
      </c>
      <c r="K4649" t="s">
        <v>101</v>
      </c>
      <c r="L4649">
        <v>11</v>
      </c>
      <c r="M4649">
        <v>0</v>
      </c>
      <c r="N4649" t="s">
        <v>128</v>
      </c>
      <c r="O4649" s="1" t="s">
        <v>2348</v>
      </c>
      <c r="P4649" t="s">
        <v>2603</v>
      </c>
      <c r="Q4649" s="1" t="s">
        <v>2276</v>
      </c>
      <c r="R4649" s="1" t="s">
        <v>669</v>
      </c>
      <c r="S4649" s="1" t="s">
        <v>2348</v>
      </c>
      <c r="T4649" s="1" t="s">
        <v>396</v>
      </c>
      <c r="U4649" s="1" t="s">
        <v>2612</v>
      </c>
      <c r="X4649" s="1" t="s">
        <v>161</v>
      </c>
      <c r="Y4649" t="s">
        <v>2272</v>
      </c>
      <c r="Z4649" t="s">
        <v>2272</v>
      </c>
      <c r="AA4649" t="s">
        <v>2272</v>
      </c>
      <c r="AB4649" t="s">
        <v>2272</v>
      </c>
      <c r="AC4649" t="s">
        <v>162</v>
      </c>
      <c r="AD4649" t="s">
        <v>2272</v>
      </c>
      <c r="AF4649" t="s">
        <v>49</v>
      </c>
      <c r="AK4649" t="s">
        <v>49</v>
      </c>
      <c r="AM4649" t="s">
        <v>609</v>
      </c>
      <c r="AN4649" t="s">
        <v>166</v>
      </c>
      <c r="AS4649" t="s">
        <v>2662</v>
      </c>
    </row>
    <row r="4650" spans="1:45" x14ac:dyDescent="0.2">
      <c r="A4650" t="s">
        <v>2596</v>
      </c>
      <c r="B4650" t="s">
        <v>2597</v>
      </c>
      <c r="C4650">
        <v>2015</v>
      </c>
      <c r="D4650" t="s">
        <v>44</v>
      </c>
      <c r="F4650" t="s">
        <v>2604</v>
      </c>
      <c r="G4650" t="s">
        <v>86</v>
      </c>
      <c r="H4650" t="s">
        <v>350</v>
      </c>
      <c r="K4650" t="s">
        <v>101</v>
      </c>
      <c r="L4650">
        <v>11</v>
      </c>
      <c r="M4650">
        <v>0</v>
      </c>
      <c r="N4650" t="s">
        <v>128</v>
      </c>
      <c r="P4650" t="s">
        <v>2598</v>
      </c>
      <c r="Q4650" s="1" t="s">
        <v>2276</v>
      </c>
      <c r="R4650" s="1" t="s">
        <v>751</v>
      </c>
      <c r="S4650" s="1" t="s">
        <v>554</v>
      </c>
      <c r="T4650" s="1" t="s">
        <v>396</v>
      </c>
      <c r="U4650" s="1" t="s">
        <v>2608</v>
      </c>
      <c r="X4650" s="1" t="s">
        <v>161</v>
      </c>
      <c r="Y4650" t="s">
        <v>2272</v>
      </c>
      <c r="Z4650" t="s">
        <v>2272</v>
      </c>
      <c r="AA4650" t="s">
        <v>2272</v>
      </c>
      <c r="AB4650" t="s">
        <v>2272</v>
      </c>
      <c r="AC4650" t="s">
        <v>162</v>
      </c>
      <c r="AD4650" t="s">
        <v>2272</v>
      </c>
      <c r="AF4650" t="s">
        <v>49</v>
      </c>
      <c r="AI4650" t="s">
        <v>49</v>
      </c>
      <c r="AM4650" t="s">
        <v>262</v>
      </c>
      <c r="AN4650" t="s">
        <v>154</v>
      </c>
      <c r="AP4650" t="s">
        <v>49</v>
      </c>
      <c r="AS4650" t="s">
        <v>2662</v>
      </c>
    </row>
    <row r="4651" spans="1:45" x14ac:dyDescent="0.2">
      <c r="A4651" t="s">
        <v>2596</v>
      </c>
      <c r="B4651" t="s">
        <v>2597</v>
      </c>
      <c r="C4651">
        <v>2015</v>
      </c>
      <c r="D4651" t="s">
        <v>44</v>
      </c>
      <c r="F4651" t="s">
        <v>2604</v>
      </c>
      <c r="G4651" t="s">
        <v>86</v>
      </c>
      <c r="H4651" t="s">
        <v>350</v>
      </c>
      <c r="K4651" t="s">
        <v>101</v>
      </c>
      <c r="L4651">
        <v>11</v>
      </c>
      <c r="M4651">
        <v>0</v>
      </c>
      <c r="N4651" t="s">
        <v>128</v>
      </c>
      <c r="O4651" s="1" t="s">
        <v>2352</v>
      </c>
      <c r="P4651" t="s">
        <v>2599</v>
      </c>
      <c r="Q4651" s="1" t="s">
        <v>2276</v>
      </c>
      <c r="R4651" s="1" t="s">
        <v>755</v>
      </c>
      <c r="S4651" s="1" t="s">
        <v>2352</v>
      </c>
      <c r="T4651" s="1" t="s">
        <v>396</v>
      </c>
      <c r="U4651" s="1" t="s">
        <v>2609</v>
      </c>
      <c r="X4651" s="1" t="s">
        <v>161</v>
      </c>
      <c r="Y4651" t="s">
        <v>2272</v>
      </c>
      <c r="Z4651" t="s">
        <v>2272</v>
      </c>
      <c r="AA4651" t="s">
        <v>2272</v>
      </c>
      <c r="AB4651" t="s">
        <v>2272</v>
      </c>
      <c r="AC4651" t="s">
        <v>162</v>
      </c>
      <c r="AD4651" t="s">
        <v>2272</v>
      </c>
      <c r="AF4651" t="s">
        <v>49</v>
      </c>
      <c r="AI4651" t="s">
        <v>49</v>
      </c>
      <c r="AM4651" t="s">
        <v>262</v>
      </c>
      <c r="AN4651" t="s">
        <v>154</v>
      </c>
      <c r="AP4651" t="s">
        <v>49</v>
      </c>
      <c r="AS4651" t="s">
        <v>2662</v>
      </c>
    </row>
    <row r="4652" spans="1:45" x14ac:dyDescent="0.2">
      <c r="A4652" t="s">
        <v>2596</v>
      </c>
      <c r="B4652" t="s">
        <v>2597</v>
      </c>
      <c r="C4652">
        <v>2015</v>
      </c>
      <c r="D4652" t="s">
        <v>44</v>
      </c>
      <c r="F4652" t="s">
        <v>2604</v>
      </c>
      <c r="G4652" t="s">
        <v>86</v>
      </c>
      <c r="H4652" t="s">
        <v>350</v>
      </c>
      <c r="K4652" t="s">
        <v>101</v>
      </c>
      <c r="L4652">
        <v>11</v>
      </c>
      <c r="M4652">
        <v>0</v>
      </c>
      <c r="N4652" t="s">
        <v>128</v>
      </c>
      <c r="O4652" s="1" t="s">
        <v>2348</v>
      </c>
      <c r="P4652" t="s">
        <v>2600</v>
      </c>
      <c r="Q4652" s="1" t="s">
        <v>2276</v>
      </c>
      <c r="R4652" s="1" t="s">
        <v>669</v>
      </c>
      <c r="S4652" s="1" t="s">
        <v>2348</v>
      </c>
      <c r="T4652" s="1" t="s">
        <v>396</v>
      </c>
      <c r="U4652" s="1" t="s">
        <v>2610</v>
      </c>
      <c r="X4652" s="1" t="s">
        <v>161</v>
      </c>
      <c r="Y4652" t="s">
        <v>2272</v>
      </c>
      <c r="Z4652" t="s">
        <v>2272</v>
      </c>
      <c r="AA4652" t="s">
        <v>2272</v>
      </c>
      <c r="AB4652" t="s">
        <v>2272</v>
      </c>
      <c r="AC4652" t="s">
        <v>162</v>
      </c>
      <c r="AD4652" t="s">
        <v>2272</v>
      </c>
      <c r="AF4652" t="s">
        <v>49</v>
      </c>
      <c r="AI4652" t="s">
        <v>49</v>
      </c>
      <c r="AM4652" t="s">
        <v>262</v>
      </c>
      <c r="AN4652" t="s">
        <v>154</v>
      </c>
      <c r="AP4652" t="s">
        <v>49</v>
      </c>
      <c r="AS4652" t="s">
        <v>2662</v>
      </c>
    </row>
    <row r="4653" spans="1:45" x14ac:dyDescent="0.2">
      <c r="A4653" t="s">
        <v>2596</v>
      </c>
      <c r="B4653" t="s">
        <v>2597</v>
      </c>
      <c r="C4653">
        <v>2015</v>
      </c>
      <c r="D4653" t="s">
        <v>44</v>
      </c>
      <c r="F4653" t="s">
        <v>2604</v>
      </c>
      <c r="G4653" t="s">
        <v>86</v>
      </c>
      <c r="H4653" t="s">
        <v>350</v>
      </c>
      <c r="K4653" t="s">
        <v>101</v>
      </c>
      <c r="L4653">
        <v>11</v>
      </c>
      <c r="M4653">
        <v>0</v>
      </c>
      <c r="N4653" t="s">
        <v>128</v>
      </c>
      <c r="O4653" s="1"/>
      <c r="P4653" t="s">
        <v>2601</v>
      </c>
      <c r="Q4653" s="1" t="s">
        <v>2276</v>
      </c>
      <c r="R4653" s="1" t="s">
        <v>751</v>
      </c>
      <c r="S4653" s="1" t="s">
        <v>2346</v>
      </c>
      <c r="T4653" s="1" t="s">
        <v>396</v>
      </c>
      <c r="U4653" s="1" t="s">
        <v>2611</v>
      </c>
      <c r="X4653" s="1" t="s">
        <v>161</v>
      </c>
      <c r="Y4653" t="s">
        <v>2272</v>
      </c>
      <c r="Z4653" t="s">
        <v>2272</v>
      </c>
      <c r="AA4653" t="s">
        <v>2272</v>
      </c>
      <c r="AB4653" t="s">
        <v>2272</v>
      </c>
      <c r="AC4653" t="s">
        <v>162</v>
      </c>
      <c r="AD4653" t="s">
        <v>2272</v>
      </c>
      <c r="AF4653" t="s">
        <v>49</v>
      </c>
      <c r="AI4653" t="s">
        <v>49</v>
      </c>
      <c r="AM4653" t="s">
        <v>262</v>
      </c>
      <c r="AN4653" t="s">
        <v>154</v>
      </c>
      <c r="AP4653" t="s">
        <v>49</v>
      </c>
      <c r="AS4653" t="s">
        <v>2662</v>
      </c>
    </row>
    <row r="4654" spans="1:45" x14ac:dyDescent="0.2">
      <c r="A4654" t="s">
        <v>2596</v>
      </c>
      <c r="B4654" t="s">
        <v>2597</v>
      </c>
      <c r="C4654">
        <v>2015</v>
      </c>
      <c r="D4654" t="s">
        <v>44</v>
      </c>
      <c r="F4654" t="s">
        <v>2604</v>
      </c>
      <c r="G4654" t="s">
        <v>86</v>
      </c>
      <c r="H4654" t="s">
        <v>350</v>
      </c>
      <c r="K4654" t="s">
        <v>101</v>
      </c>
      <c r="L4654">
        <v>11</v>
      </c>
      <c r="M4654">
        <v>0</v>
      </c>
      <c r="N4654" t="s">
        <v>128</v>
      </c>
      <c r="O4654" s="1"/>
      <c r="P4654" t="s">
        <v>2602</v>
      </c>
      <c r="Q4654" s="1" t="s">
        <v>2276</v>
      </c>
      <c r="R4654" s="1" t="s">
        <v>751</v>
      </c>
      <c r="S4654" s="1" t="s">
        <v>2346</v>
      </c>
      <c r="T4654" s="1" t="s">
        <v>396</v>
      </c>
      <c r="U4654" s="1" t="s">
        <v>2611</v>
      </c>
      <c r="X4654" s="1" t="s">
        <v>161</v>
      </c>
      <c r="Y4654" t="s">
        <v>2272</v>
      </c>
      <c r="Z4654" t="s">
        <v>2272</v>
      </c>
      <c r="AA4654" t="s">
        <v>2272</v>
      </c>
      <c r="AB4654" t="s">
        <v>2272</v>
      </c>
      <c r="AC4654" t="s">
        <v>162</v>
      </c>
      <c r="AD4654" t="s">
        <v>2272</v>
      </c>
      <c r="AF4654" t="s">
        <v>49</v>
      </c>
      <c r="AI4654" t="s">
        <v>49</v>
      </c>
      <c r="AM4654" t="s">
        <v>262</v>
      </c>
      <c r="AN4654" t="s">
        <v>154</v>
      </c>
      <c r="AP4654" t="s">
        <v>49</v>
      </c>
      <c r="AS4654" t="s">
        <v>2662</v>
      </c>
    </row>
    <row r="4655" spans="1:45" x14ac:dyDescent="0.2">
      <c r="A4655" t="s">
        <v>2596</v>
      </c>
      <c r="B4655" t="s">
        <v>2597</v>
      </c>
      <c r="C4655">
        <v>2015</v>
      </c>
      <c r="D4655" t="s">
        <v>44</v>
      </c>
      <c r="F4655" t="s">
        <v>2604</v>
      </c>
      <c r="G4655" t="s">
        <v>86</v>
      </c>
      <c r="H4655" t="s">
        <v>350</v>
      </c>
      <c r="K4655" t="s">
        <v>101</v>
      </c>
      <c r="L4655">
        <v>11</v>
      </c>
      <c r="M4655">
        <v>0</v>
      </c>
      <c r="N4655" t="s">
        <v>128</v>
      </c>
      <c r="O4655" s="1" t="s">
        <v>2348</v>
      </c>
      <c r="P4655" t="s">
        <v>2603</v>
      </c>
      <c r="Q4655" s="1" t="s">
        <v>2276</v>
      </c>
      <c r="R4655" s="1" t="s">
        <v>669</v>
      </c>
      <c r="S4655" s="1" t="s">
        <v>2348</v>
      </c>
      <c r="T4655" s="1" t="s">
        <v>396</v>
      </c>
      <c r="U4655" s="1" t="s">
        <v>2612</v>
      </c>
      <c r="X4655" s="1" t="s">
        <v>161</v>
      </c>
      <c r="Y4655" t="s">
        <v>2272</v>
      </c>
      <c r="Z4655" t="s">
        <v>2272</v>
      </c>
      <c r="AA4655" t="s">
        <v>2272</v>
      </c>
      <c r="AB4655" t="s">
        <v>2272</v>
      </c>
      <c r="AC4655" t="s">
        <v>162</v>
      </c>
      <c r="AD4655" t="s">
        <v>2272</v>
      </c>
      <c r="AF4655" t="s">
        <v>49</v>
      </c>
      <c r="AI4655" t="s">
        <v>49</v>
      </c>
      <c r="AM4655" t="s">
        <v>262</v>
      </c>
      <c r="AN4655" t="s">
        <v>154</v>
      </c>
      <c r="AP4655" t="s">
        <v>49</v>
      </c>
      <c r="AS4655" t="s">
        <v>2662</v>
      </c>
    </row>
    <row r="4656" spans="1:45" x14ac:dyDescent="0.2">
      <c r="A4656" t="s">
        <v>2596</v>
      </c>
      <c r="B4656" t="s">
        <v>2597</v>
      </c>
      <c r="C4656">
        <v>2015</v>
      </c>
      <c r="D4656" t="s">
        <v>44</v>
      </c>
      <c r="F4656" t="s">
        <v>2604</v>
      </c>
      <c r="G4656" t="s">
        <v>86</v>
      </c>
      <c r="H4656" t="s">
        <v>350</v>
      </c>
      <c r="K4656" t="s">
        <v>101</v>
      </c>
      <c r="L4656">
        <v>11</v>
      </c>
      <c r="M4656">
        <v>0</v>
      </c>
      <c r="N4656" t="s">
        <v>128</v>
      </c>
      <c r="P4656" t="s">
        <v>2598</v>
      </c>
      <c r="Q4656" s="1" t="s">
        <v>2276</v>
      </c>
      <c r="R4656" s="1" t="s">
        <v>751</v>
      </c>
      <c r="S4656" s="1" t="s">
        <v>554</v>
      </c>
      <c r="T4656" s="1" t="s">
        <v>396</v>
      </c>
      <c r="U4656" s="1" t="s">
        <v>2608</v>
      </c>
      <c r="X4656" s="1" t="s">
        <v>161</v>
      </c>
      <c r="Y4656" t="s">
        <v>2272</v>
      </c>
      <c r="Z4656" t="s">
        <v>2272</v>
      </c>
      <c r="AA4656" t="s">
        <v>2272</v>
      </c>
      <c r="AB4656" t="s">
        <v>2272</v>
      </c>
      <c r="AC4656" t="s">
        <v>162</v>
      </c>
      <c r="AD4656" t="s">
        <v>2272</v>
      </c>
      <c r="AF4656" t="s">
        <v>49</v>
      </c>
      <c r="AK4656" t="s">
        <v>49</v>
      </c>
      <c r="AM4656" t="s">
        <v>664</v>
      </c>
      <c r="AN4656" t="s">
        <v>154</v>
      </c>
      <c r="AP4656" t="s">
        <v>49</v>
      </c>
      <c r="AS4656" t="s">
        <v>2662</v>
      </c>
    </row>
    <row r="4657" spans="1:45" x14ac:dyDescent="0.2">
      <c r="A4657" t="s">
        <v>2596</v>
      </c>
      <c r="B4657" t="s">
        <v>2597</v>
      </c>
      <c r="C4657">
        <v>2015</v>
      </c>
      <c r="D4657" t="s">
        <v>44</v>
      </c>
      <c r="F4657" t="s">
        <v>2604</v>
      </c>
      <c r="G4657" t="s">
        <v>86</v>
      </c>
      <c r="H4657" t="s">
        <v>350</v>
      </c>
      <c r="K4657" t="s">
        <v>101</v>
      </c>
      <c r="L4657">
        <v>11</v>
      </c>
      <c r="M4657">
        <v>0</v>
      </c>
      <c r="N4657" t="s">
        <v>128</v>
      </c>
      <c r="O4657" s="1" t="s">
        <v>2352</v>
      </c>
      <c r="P4657" t="s">
        <v>2599</v>
      </c>
      <c r="Q4657" s="1" t="s">
        <v>2276</v>
      </c>
      <c r="R4657" s="1" t="s">
        <v>755</v>
      </c>
      <c r="S4657" s="1" t="s">
        <v>2352</v>
      </c>
      <c r="T4657" s="1" t="s">
        <v>396</v>
      </c>
      <c r="U4657" s="1" t="s">
        <v>2609</v>
      </c>
      <c r="X4657" s="1" t="s">
        <v>161</v>
      </c>
      <c r="Y4657" t="s">
        <v>2272</v>
      </c>
      <c r="Z4657" t="s">
        <v>2272</v>
      </c>
      <c r="AA4657" t="s">
        <v>2272</v>
      </c>
      <c r="AB4657" t="s">
        <v>2272</v>
      </c>
      <c r="AC4657" t="s">
        <v>162</v>
      </c>
      <c r="AD4657" t="s">
        <v>2272</v>
      </c>
      <c r="AF4657" t="s">
        <v>49</v>
      </c>
      <c r="AK4657" t="s">
        <v>49</v>
      </c>
      <c r="AM4657" t="s">
        <v>664</v>
      </c>
      <c r="AN4657" t="s">
        <v>154</v>
      </c>
      <c r="AP4657" t="s">
        <v>49</v>
      </c>
      <c r="AS4657" t="s">
        <v>2662</v>
      </c>
    </row>
    <row r="4658" spans="1:45" x14ac:dyDescent="0.2">
      <c r="A4658" t="s">
        <v>2596</v>
      </c>
      <c r="B4658" t="s">
        <v>2597</v>
      </c>
      <c r="C4658">
        <v>2015</v>
      </c>
      <c r="D4658" t="s">
        <v>44</v>
      </c>
      <c r="F4658" t="s">
        <v>2604</v>
      </c>
      <c r="G4658" t="s">
        <v>86</v>
      </c>
      <c r="H4658" t="s">
        <v>350</v>
      </c>
      <c r="K4658" t="s">
        <v>101</v>
      </c>
      <c r="L4658">
        <v>11</v>
      </c>
      <c r="M4658">
        <v>0</v>
      </c>
      <c r="N4658" t="s">
        <v>128</v>
      </c>
      <c r="O4658" s="1" t="s">
        <v>2348</v>
      </c>
      <c r="P4658" t="s">
        <v>2600</v>
      </c>
      <c r="Q4658" s="1" t="s">
        <v>2276</v>
      </c>
      <c r="R4658" s="1" t="s">
        <v>669</v>
      </c>
      <c r="S4658" s="1" t="s">
        <v>2348</v>
      </c>
      <c r="T4658" s="1" t="s">
        <v>396</v>
      </c>
      <c r="U4658" s="1" t="s">
        <v>2610</v>
      </c>
      <c r="X4658" s="1" t="s">
        <v>161</v>
      </c>
      <c r="Y4658" t="s">
        <v>2272</v>
      </c>
      <c r="Z4658" t="s">
        <v>2272</v>
      </c>
      <c r="AA4658" t="s">
        <v>2272</v>
      </c>
      <c r="AB4658" t="s">
        <v>2272</v>
      </c>
      <c r="AC4658" t="s">
        <v>162</v>
      </c>
      <c r="AD4658" t="s">
        <v>2272</v>
      </c>
      <c r="AF4658" t="s">
        <v>49</v>
      </c>
      <c r="AK4658" t="s">
        <v>49</v>
      </c>
      <c r="AM4658" t="s">
        <v>664</v>
      </c>
      <c r="AN4658" t="s">
        <v>154</v>
      </c>
      <c r="AP4658" t="s">
        <v>49</v>
      </c>
      <c r="AS4658" t="s">
        <v>2662</v>
      </c>
    </row>
    <row r="4659" spans="1:45" x14ac:dyDescent="0.2">
      <c r="A4659" t="s">
        <v>2596</v>
      </c>
      <c r="B4659" t="s">
        <v>2597</v>
      </c>
      <c r="C4659">
        <v>2015</v>
      </c>
      <c r="D4659" t="s">
        <v>44</v>
      </c>
      <c r="F4659" t="s">
        <v>2604</v>
      </c>
      <c r="G4659" t="s">
        <v>86</v>
      </c>
      <c r="H4659" t="s">
        <v>350</v>
      </c>
      <c r="K4659" t="s">
        <v>101</v>
      </c>
      <c r="L4659">
        <v>11</v>
      </c>
      <c r="M4659">
        <v>0</v>
      </c>
      <c r="N4659" t="s">
        <v>128</v>
      </c>
      <c r="O4659" s="1"/>
      <c r="P4659" t="s">
        <v>2601</v>
      </c>
      <c r="Q4659" s="1" t="s">
        <v>2276</v>
      </c>
      <c r="R4659" s="1" t="s">
        <v>751</v>
      </c>
      <c r="S4659" s="1" t="s">
        <v>2346</v>
      </c>
      <c r="T4659" s="1" t="s">
        <v>396</v>
      </c>
      <c r="U4659" s="1" t="s">
        <v>2611</v>
      </c>
      <c r="X4659" s="1" t="s">
        <v>161</v>
      </c>
      <c r="Y4659" t="s">
        <v>2272</v>
      </c>
      <c r="Z4659" t="s">
        <v>2272</v>
      </c>
      <c r="AA4659" t="s">
        <v>2272</v>
      </c>
      <c r="AB4659" t="s">
        <v>2272</v>
      </c>
      <c r="AC4659" t="s">
        <v>162</v>
      </c>
      <c r="AD4659" t="s">
        <v>2272</v>
      </c>
      <c r="AF4659" t="s">
        <v>49</v>
      </c>
      <c r="AK4659" t="s">
        <v>49</v>
      </c>
      <c r="AM4659" t="s">
        <v>664</v>
      </c>
      <c r="AN4659" t="s">
        <v>154</v>
      </c>
      <c r="AP4659" t="s">
        <v>49</v>
      </c>
      <c r="AS4659" t="s">
        <v>2662</v>
      </c>
    </row>
    <row r="4660" spans="1:45" x14ac:dyDescent="0.2">
      <c r="A4660" t="s">
        <v>2596</v>
      </c>
      <c r="B4660" t="s">
        <v>2597</v>
      </c>
      <c r="C4660">
        <v>2015</v>
      </c>
      <c r="D4660" t="s">
        <v>44</v>
      </c>
      <c r="F4660" t="s">
        <v>2604</v>
      </c>
      <c r="G4660" t="s">
        <v>86</v>
      </c>
      <c r="H4660" t="s">
        <v>350</v>
      </c>
      <c r="K4660" t="s">
        <v>101</v>
      </c>
      <c r="L4660">
        <v>11</v>
      </c>
      <c r="M4660">
        <v>0</v>
      </c>
      <c r="N4660" t="s">
        <v>128</v>
      </c>
      <c r="O4660" s="1"/>
      <c r="P4660" t="s">
        <v>2602</v>
      </c>
      <c r="Q4660" s="1" t="s">
        <v>2276</v>
      </c>
      <c r="R4660" s="1" t="s">
        <v>751</v>
      </c>
      <c r="S4660" s="1" t="s">
        <v>2346</v>
      </c>
      <c r="T4660" s="1" t="s">
        <v>396</v>
      </c>
      <c r="U4660" s="1" t="s">
        <v>2611</v>
      </c>
      <c r="X4660" s="1" t="s">
        <v>161</v>
      </c>
      <c r="Y4660" t="s">
        <v>2272</v>
      </c>
      <c r="Z4660" t="s">
        <v>2272</v>
      </c>
      <c r="AA4660" t="s">
        <v>2272</v>
      </c>
      <c r="AB4660" t="s">
        <v>2272</v>
      </c>
      <c r="AC4660" t="s">
        <v>162</v>
      </c>
      <c r="AD4660" t="s">
        <v>2272</v>
      </c>
      <c r="AF4660" t="s">
        <v>49</v>
      </c>
      <c r="AK4660" t="s">
        <v>49</v>
      </c>
      <c r="AM4660" t="s">
        <v>664</v>
      </c>
      <c r="AN4660" t="s">
        <v>154</v>
      </c>
      <c r="AP4660" t="s">
        <v>49</v>
      </c>
      <c r="AS4660" t="s">
        <v>2662</v>
      </c>
    </row>
    <row r="4661" spans="1:45" x14ac:dyDescent="0.2">
      <c r="A4661" t="s">
        <v>2596</v>
      </c>
      <c r="B4661" t="s">
        <v>2597</v>
      </c>
      <c r="C4661">
        <v>2015</v>
      </c>
      <c r="D4661" t="s">
        <v>44</v>
      </c>
      <c r="F4661" t="s">
        <v>2604</v>
      </c>
      <c r="G4661" t="s">
        <v>86</v>
      </c>
      <c r="H4661" t="s">
        <v>350</v>
      </c>
      <c r="K4661" t="s">
        <v>101</v>
      </c>
      <c r="L4661">
        <v>11</v>
      </c>
      <c r="M4661">
        <v>0</v>
      </c>
      <c r="N4661" t="s">
        <v>128</v>
      </c>
      <c r="O4661" s="1" t="s">
        <v>2348</v>
      </c>
      <c r="P4661" t="s">
        <v>2603</v>
      </c>
      <c r="Q4661" s="1" t="s">
        <v>2276</v>
      </c>
      <c r="R4661" s="1" t="s">
        <v>669</v>
      </c>
      <c r="S4661" s="1" t="s">
        <v>2348</v>
      </c>
      <c r="T4661" s="1" t="s">
        <v>396</v>
      </c>
      <c r="U4661" s="1" t="s">
        <v>2612</v>
      </c>
      <c r="X4661" s="1" t="s">
        <v>161</v>
      </c>
      <c r="Y4661" t="s">
        <v>2272</v>
      </c>
      <c r="Z4661" t="s">
        <v>2272</v>
      </c>
      <c r="AA4661" t="s">
        <v>2272</v>
      </c>
      <c r="AB4661" t="s">
        <v>2272</v>
      </c>
      <c r="AC4661" t="s">
        <v>162</v>
      </c>
      <c r="AD4661" t="s">
        <v>2272</v>
      </c>
      <c r="AF4661" t="s">
        <v>49</v>
      </c>
      <c r="AK4661" t="s">
        <v>49</v>
      </c>
      <c r="AM4661" t="s">
        <v>664</v>
      </c>
      <c r="AN4661" t="s">
        <v>154</v>
      </c>
      <c r="AP4661" t="s">
        <v>49</v>
      </c>
      <c r="AS4661" t="s">
        <v>2662</v>
      </c>
    </row>
    <row r="4662" spans="1:45" x14ac:dyDescent="0.2">
      <c r="A4662" t="s">
        <v>2596</v>
      </c>
      <c r="B4662" t="s">
        <v>2597</v>
      </c>
      <c r="C4662">
        <v>2015</v>
      </c>
      <c r="D4662" t="s">
        <v>44</v>
      </c>
      <c r="F4662" t="s">
        <v>2604</v>
      </c>
      <c r="G4662" t="s">
        <v>86</v>
      </c>
      <c r="H4662" t="s">
        <v>350</v>
      </c>
      <c r="K4662" t="s">
        <v>101</v>
      </c>
      <c r="L4662">
        <v>11</v>
      </c>
      <c r="M4662">
        <v>0</v>
      </c>
      <c r="N4662" t="s">
        <v>128</v>
      </c>
      <c r="P4662" t="s">
        <v>2598</v>
      </c>
      <c r="Q4662" s="1" t="s">
        <v>2276</v>
      </c>
      <c r="R4662" s="1" t="s">
        <v>751</v>
      </c>
      <c r="S4662" s="1" t="s">
        <v>554</v>
      </c>
      <c r="T4662" s="1" t="s">
        <v>396</v>
      </c>
      <c r="U4662" s="1" t="s">
        <v>2608</v>
      </c>
      <c r="X4662" s="1" t="s">
        <v>161</v>
      </c>
      <c r="Y4662" t="s">
        <v>2272</v>
      </c>
      <c r="Z4662" t="s">
        <v>2272</v>
      </c>
      <c r="AA4662" t="s">
        <v>2272</v>
      </c>
      <c r="AB4662" t="s">
        <v>2272</v>
      </c>
      <c r="AC4662" t="s">
        <v>162</v>
      </c>
      <c r="AD4662" t="s">
        <v>2272</v>
      </c>
      <c r="AF4662" t="s">
        <v>49</v>
      </c>
      <c r="AK4662" t="s">
        <v>49</v>
      </c>
      <c r="AM4662" t="s">
        <v>1451</v>
      </c>
      <c r="AN4662" t="s">
        <v>154</v>
      </c>
      <c r="AP4662" t="s">
        <v>49</v>
      </c>
      <c r="AS4662" t="s">
        <v>2662</v>
      </c>
    </row>
    <row r="4663" spans="1:45" x14ac:dyDescent="0.2">
      <c r="A4663" t="s">
        <v>2596</v>
      </c>
      <c r="B4663" t="s">
        <v>2597</v>
      </c>
      <c r="C4663">
        <v>2015</v>
      </c>
      <c r="D4663" t="s">
        <v>44</v>
      </c>
      <c r="F4663" t="s">
        <v>2604</v>
      </c>
      <c r="G4663" t="s">
        <v>86</v>
      </c>
      <c r="H4663" t="s">
        <v>350</v>
      </c>
      <c r="K4663" t="s">
        <v>101</v>
      </c>
      <c r="L4663">
        <v>11</v>
      </c>
      <c r="M4663">
        <v>0</v>
      </c>
      <c r="N4663" t="s">
        <v>128</v>
      </c>
      <c r="O4663" s="1" t="s">
        <v>2352</v>
      </c>
      <c r="P4663" t="s">
        <v>2599</v>
      </c>
      <c r="Q4663" s="1" t="s">
        <v>2276</v>
      </c>
      <c r="R4663" s="1" t="s">
        <v>755</v>
      </c>
      <c r="S4663" s="1" t="s">
        <v>2352</v>
      </c>
      <c r="T4663" s="1" t="s">
        <v>396</v>
      </c>
      <c r="U4663" s="1" t="s">
        <v>2609</v>
      </c>
      <c r="X4663" s="1" t="s">
        <v>161</v>
      </c>
      <c r="Y4663" t="s">
        <v>2272</v>
      </c>
      <c r="Z4663" t="s">
        <v>2272</v>
      </c>
      <c r="AA4663" t="s">
        <v>2272</v>
      </c>
      <c r="AB4663" t="s">
        <v>2272</v>
      </c>
      <c r="AC4663" t="s">
        <v>162</v>
      </c>
      <c r="AD4663" t="s">
        <v>2272</v>
      </c>
      <c r="AF4663" t="s">
        <v>49</v>
      </c>
      <c r="AK4663" t="s">
        <v>49</v>
      </c>
      <c r="AM4663" t="s">
        <v>1451</v>
      </c>
      <c r="AN4663" t="s">
        <v>154</v>
      </c>
      <c r="AP4663" t="s">
        <v>49</v>
      </c>
      <c r="AS4663" t="s">
        <v>2662</v>
      </c>
    </row>
    <row r="4664" spans="1:45" x14ac:dyDescent="0.2">
      <c r="A4664" t="s">
        <v>2596</v>
      </c>
      <c r="B4664" t="s">
        <v>2597</v>
      </c>
      <c r="C4664">
        <v>2015</v>
      </c>
      <c r="D4664" t="s">
        <v>44</v>
      </c>
      <c r="F4664" t="s">
        <v>2604</v>
      </c>
      <c r="G4664" t="s">
        <v>86</v>
      </c>
      <c r="H4664" t="s">
        <v>350</v>
      </c>
      <c r="K4664" t="s">
        <v>101</v>
      </c>
      <c r="L4664">
        <v>11</v>
      </c>
      <c r="M4664">
        <v>0</v>
      </c>
      <c r="N4664" t="s">
        <v>128</v>
      </c>
      <c r="O4664" s="1" t="s">
        <v>2348</v>
      </c>
      <c r="P4664" t="s">
        <v>2600</v>
      </c>
      <c r="Q4664" s="1" t="s">
        <v>2276</v>
      </c>
      <c r="R4664" s="1" t="s">
        <v>669</v>
      </c>
      <c r="S4664" s="1" t="s">
        <v>2348</v>
      </c>
      <c r="T4664" s="1" t="s">
        <v>396</v>
      </c>
      <c r="U4664" s="1" t="s">
        <v>2610</v>
      </c>
      <c r="X4664" s="1" t="s">
        <v>161</v>
      </c>
      <c r="Y4664" t="s">
        <v>2272</v>
      </c>
      <c r="Z4664" t="s">
        <v>2272</v>
      </c>
      <c r="AA4664" t="s">
        <v>2272</v>
      </c>
      <c r="AB4664" t="s">
        <v>2272</v>
      </c>
      <c r="AC4664" t="s">
        <v>162</v>
      </c>
      <c r="AD4664" t="s">
        <v>2272</v>
      </c>
      <c r="AF4664" t="s">
        <v>49</v>
      </c>
      <c r="AK4664" t="s">
        <v>49</v>
      </c>
      <c r="AM4664" t="s">
        <v>1451</v>
      </c>
      <c r="AN4664" t="s">
        <v>154</v>
      </c>
      <c r="AP4664" t="s">
        <v>49</v>
      </c>
      <c r="AS4664" t="s">
        <v>2662</v>
      </c>
    </row>
    <row r="4665" spans="1:45" x14ac:dyDescent="0.2">
      <c r="A4665" t="s">
        <v>2596</v>
      </c>
      <c r="B4665" t="s">
        <v>2597</v>
      </c>
      <c r="C4665">
        <v>2015</v>
      </c>
      <c r="D4665" t="s">
        <v>44</v>
      </c>
      <c r="F4665" t="s">
        <v>2604</v>
      </c>
      <c r="G4665" t="s">
        <v>86</v>
      </c>
      <c r="H4665" t="s">
        <v>350</v>
      </c>
      <c r="K4665" t="s">
        <v>101</v>
      </c>
      <c r="L4665">
        <v>11</v>
      </c>
      <c r="M4665">
        <v>0</v>
      </c>
      <c r="N4665" t="s">
        <v>128</v>
      </c>
      <c r="O4665" s="1"/>
      <c r="P4665" t="s">
        <v>2601</v>
      </c>
      <c r="Q4665" s="1" t="s">
        <v>2276</v>
      </c>
      <c r="R4665" s="1" t="s">
        <v>751</v>
      </c>
      <c r="S4665" s="1" t="s">
        <v>2346</v>
      </c>
      <c r="T4665" s="1" t="s">
        <v>396</v>
      </c>
      <c r="U4665" s="1" t="s">
        <v>2611</v>
      </c>
      <c r="X4665" s="1" t="s">
        <v>161</v>
      </c>
      <c r="Y4665" t="s">
        <v>2272</v>
      </c>
      <c r="Z4665" t="s">
        <v>2272</v>
      </c>
      <c r="AA4665" t="s">
        <v>2272</v>
      </c>
      <c r="AB4665" t="s">
        <v>2272</v>
      </c>
      <c r="AC4665" t="s">
        <v>162</v>
      </c>
      <c r="AD4665" t="s">
        <v>2272</v>
      </c>
      <c r="AF4665" t="s">
        <v>49</v>
      </c>
      <c r="AK4665" t="s">
        <v>49</v>
      </c>
      <c r="AM4665" t="s">
        <v>1451</v>
      </c>
      <c r="AN4665" t="s">
        <v>154</v>
      </c>
      <c r="AP4665" t="s">
        <v>49</v>
      </c>
      <c r="AS4665" t="s">
        <v>2662</v>
      </c>
    </row>
    <row r="4666" spans="1:45" x14ac:dyDescent="0.2">
      <c r="A4666" t="s">
        <v>2596</v>
      </c>
      <c r="B4666" t="s">
        <v>2597</v>
      </c>
      <c r="C4666">
        <v>2015</v>
      </c>
      <c r="D4666" t="s">
        <v>44</v>
      </c>
      <c r="F4666" t="s">
        <v>2604</v>
      </c>
      <c r="G4666" t="s">
        <v>86</v>
      </c>
      <c r="H4666" t="s">
        <v>350</v>
      </c>
      <c r="K4666" t="s">
        <v>101</v>
      </c>
      <c r="L4666">
        <v>11</v>
      </c>
      <c r="M4666">
        <v>0</v>
      </c>
      <c r="N4666" t="s">
        <v>128</v>
      </c>
      <c r="O4666" s="1"/>
      <c r="P4666" t="s">
        <v>2602</v>
      </c>
      <c r="Q4666" s="1" t="s">
        <v>2276</v>
      </c>
      <c r="R4666" s="1" t="s">
        <v>751</v>
      </c>
      <c r="S4666" s="1" t="s">
        <v>2346</v>
      </c>
      <c r="T4666" s="1" t="s">
        <v>396</v>
      </c>
      <c r="U4666" s="1" t="s">
        <v>2611</v>
      </c>
      <c r="X4666" s="1" t="s">
        <v>161</v>
      </c>
      <c r="Y4666" t="s">
        <v>2272</v>
      </c>
      <c r="Z4666" t="s">
        <v>2272</v>
      </c>
      <c r="AA4666" t="s">
        <v>2272</v>
      </c>
      <c r="AB4666" t="s">
        <v>2272</v>
      </c>
      <c r="AC4666" t="s">
        <v>162</v>
      </c>
      <c r="AD4666" t="s">
        <v>2272</v>
      </c>
      <c r="AF4666" t="s">
        <v>49</v>
      </c>
      <c r="AK4666" t="s">
        <v>49</v>
      </c>
      <c r="AM4666" t="s">
        <v>1451</v>
      </c>
      <c r="AN4666" t="s">
        <v>154</v>
      </c>
      <c r="AP4666" t="s">
        <v>49</v>
      </c>
      <c r="AS4666" t="s">
        <v>2662</v>
      </c>
    </row>
    <row r="4667" spans="1:45" x14ac:dyDescent="0.2">
      <c r="A4667" t="s">
        <v>2596</v>
      </c>
      <c r="B4667" t="s">
        <v>2597</v>
      </c>
      <c r="C4667">
        <v>2015</v>
      </c>
      <c r="D4667" t="s">
        <v>44</v>
      </c>
      <c r="F4667" t="s">
        <v>2604</v>
      </c>
      <c r="G4667" t="s">
        <v>86</v>
      </c>
      <c r="H4667" t="s">
        <v>350</v>
      </c>
      <c r="K4667" t="s">
        <v>101</v>
      </c>
      <c r="L4667">
        <v>11</v>
      </c>
      <c r="M4667">
        <v>0</v>
      </c>
      <c r="N4667" t="s">
        <v>128</v>
      </c>
      <c r="O4667" s="1" t="s">
        <v>2348</v>
      </c>
      <c r="P4667" t="s">
        <v>2603</v>
      </c>
      <c r="Q4667" s="1" t="s">
        <v>2276</v>
      </c>
      <c r="R4667" s="1" t="s">
        <v>669</v>
      </c>
      <c r="S4667" s="1" t="s">
        <v>2348</v>
      </c>
      <c r="T4667" s="1" t="s">
        <v>396</v>
      </c>
      <c r="U4667" s="1" t="s">
        <v>2612</v>
      </c>
      <c r="X4667" s="1" t="s">
        <v>161</v>
      </c>
      <c r="Y4667" t="s">
        <v>2272</v>
      </c>
      <c r="Z4667" t="s">
        <v>2272</v>
      </c>
      <c r="AA4667" t="s">
        <v>2272</v>
      </c>
      <c r="AB4667" t="s">
        <v>2272</v>
      </c>
      <c r="AC4667" t="s">
        <v>162</v>
      </c>
      <c r="AD4667" t="s">
        <v>2272</v>
      </c>
      <c r="AF4667" t="s">
        <v>49</v>
      </c>
      <c r="AK4667" t="s">
        <v>49</v>
      </c>
      <c r="AM4667" t="s">
        <v>1451</v>
      </c>
      <c r="AN4667" t="s">
        <v>154</v>
      </c>
      <c r="AP4667" t="s">
        <v>49</v>
      </c>
      <c r="AS4667" t="s">
        <v>2662</v>
      </c>
    </row>
    <row r="4668" spans="1:45" x14ac:dyDescent="0.2">
      <c r="A4668" t="s">
        <v>2596</v>
      </c>
      <c r="B4668" t="s">
        <v>2597</v>
      </c>
      <c r="C4668">
        <v>2015</v>
      </c>
      <c r="D4668" t="s">
        <v>44</v>
      </c>
      <c r="F4668" t="s">
        <v>2604</v>
      </c>
      <c r="G4668" t="s">
        <v>86</v>
      </c>
      <c r="H4668" t="s">
        <v>350</v>
      </c>
      <c r="K4668" t="s">
        <v>101</v>
      </c>
      <c r="L4668">
        <v>11</v>
      </c>
      <c r="M4668">
        <v>0</v>
      </c>
      <c r="N4668" t="s">
        <v>128</v>
      </c>
      <c r="P4668" t="s">
        <v>2598</v>
      </c>
      <c r="Q4668" s="1" t="s">
        <v>2276</v>
      </c>
      <c r="R4668" s="1" t="s">
        <v>751</v>
      </c>
      <c r="S4668" s="1" t="s">
        <v>554</v>
      </c>
      <c r="T4668" s="1" t="s">
        <v>396</v>
      </c>
      <c r="U4668" s="1" t="s">
        <v>2608</v>
      </c>
      <c r="X4668" s="1" t="s">
        <v>161</v>
      </c>
      <c r="Y4668" t="s">
        <v>2272</v>
      </c>
      <c r="Z4668" t="s">
        <v>2272</v>
      </c>
      <c r="AA4668" t="s">
        <v>2272</v>
      </c>
      <c r="AB4668" t="s">
        <v>2272</v>
      </c>
      <c r="AC4668" t="s">
        <v>162</v>
      </c>
      <c r="AD4668" t="s">
        <v>2272</v>
      </c>
      <c r="AF4668" t="s">
        <v>49</v>
      </c>
      <c r="AK4668" t="s">
        <v>49</v>
      </c>
      <c r="AM4668" t="s">
        <v>609</v>
      </c>
      <c r="AN4668" t="s">
        <v>154</v>
      </c>
      <c r="AP4668" t="s">
        <v>49</v>
      </c>
      <c r="AS4668" t="s">
        <v>2662</v>
      </c>
    </row>
    <row r="4669" spans="1:45" x14ac:dyDescent="0.2">
      <c r="A4669" t="s">
        <v>2596</v>
      </c>
      <c r="B4669" t="s">
        <v>2597</v>
      </c>
      <c r="C4669">
        <v>2015</v>
      </c>
      <c r="D4669" t="s">
        <v>44</v>
      </c>
      <c r="F4669" t="s">
        <v>2604</v>
      </c>
      <c r="G4669" t="s">
        <v>86</v>
      </c>
      <c r="H4669" t="s">
        <v>350</v>
      </c>
      <c r="K4669" t="s">
        <v>101</v>
      </c>
      <c r="L4669">
        <v>11</v>
      </c>
      <c r="M4669">
        <v>0</v>
      </c>
      <c r="N4669" t="s">
        <v>128</v>
      </c>
      <c r="O4669" s="1" t="s">
        <v>2352</v>
      </c>
      <c r="P4669" t="s">
        <v>2599</v>
      </c>
      <c r="Q4669" s="1" t="s">
        <v>2276</v>
      </c>
      <c r="R4669" s="1" t="s">
        <v>755</v>
      </c>
      <c r="S4669" s="1" t="s">
        <v>2352</v>
      </c>
      <c r="T4669" s="1" t="s">
        <v>396</v>
      </c>
      <c r="U4669" s="1" t="s">
        <v>2609</v>
      </c>
      <c r="X4669" s="1" t="s">
        <v>161</v>
      </c>
      <c r="Y4669" t="s">
        <v>2272</v>
      </c>
      <c r="Z4669" t="s">
        <v>2272</v>
      </c>
      <c r="AA4669" t="s">
        <v>2272</v>
      </c>
      <c r="AB4669" t="s">
        <v>2272</v>
      </c>
      <c r="AC4669" t="s">
        <v>162</v>
      </c>
      <c r="AD4669" t="s">
        <v>2272</v>
      </c>
      <c r="AF4669" t="s">
        <v>49</v>
      </c>
      <c r="AK4669" t="s">
        <v>49</v>
      </c>
      <c r="AM4669" t="s">
        <v>609</v>
      </c>
      <c r="AN4669" t="s">
        <v>154</v>
      </c>
      <c r="AP4669" t="s">
        <v>49</v>
      </c>
      <c r="AS4669" t="s">
        <v>2662</v>
      </c>
    </row>
    <row r="4670" spans="1:45" x14ac:dyDescent="0.2">
      <c r="A4670" t="s">
        <v>2596</v>
      </c>
      <c r="B4670" t="s">
        <v>2597</v>
      </c>
      <c r="C4670">
        <v>2015</v>
      </c>
      <c r="D4670" t="s">
        <v>44</v>
      </c>
      <c r="F4670" t="s">
        <v>2604</v>
      </c>
      <c r="G4670" t="s">
        <v>86</v>
      </c>
      <c r="H4670" t="s">
        <v>350</v>
      </c>
      <c r="K4670" t="s">
        <v>101</v>
      </c>
      <c r="L4670">
        <v>11</v>
      </c>
      <c r="M4670">
        <v>0</v>
      </c>
      <c r="N4670" t="s">
        <v>128</v>
      </c>
      <c r="O4670" s="1" t="s">
        <v>2348</v>
      </c>
      <c r="P4670" t="s">
        <v>2600</v>
      </c>
      <c r="Q4670" s="1" t="s">
        <v>2276</v>
      </c>
      <c r="R4670" s="1" t="s">
        <v>669</v>
      </c>
      <c r="S4670" s="1" t="s">
        <v>2348</v>
      </c>
      <c r="T4670" s="1" t="s">
        <v>396</v>
      </c>
      <c r="U4670" s="1" t="s">
        <v>2610</v>
      </c>
      <c r="X4670" s="1" t="s">
        <v>161</v>
      </c>
      <c r="Y4670" t="s">
        <v>2272</v>
      </c>
      <c r="Z4670" t="s">
        <v>2272</v>
      </c>
      <c r="AA4670" t="s">
        <v>2272</v>
      </c>
      <c r="AB4670" t="s">
        <v>2272</v>
      </c>
      <c r="AC4670" t="s">
        <v>162</v>
      </c>
      <c r="AD4670" t="s">
        <v>2272</v>
      </c>
      <c r="AF4670" t="s">
        <v>49</v>
      </c>
      <c r="AK4670" t="s">
        <v>49</v>
      </c>
      <c r="AM4670" t="s">
        <v>609</v>
      </c>
      <c r="AN4670" t="s">
        <v>154</v>
      </c>
      <c r="AP4670" t="s">
        <v>49</v>
      </c>
      <c r="AS4670" t="s">
        <v>2662</v>
      </c>
    </row>
    <row r="4671" spans="1:45" x14ac:dyDescent="0.2">
      <c r="A4671" t="s">
        <v>2596</v>
      </c>
      <c r="B4671" t="s">
        <v>2597</v>
      </c>
      <c r="C4671">
        <v>2015</v>
      </c>
      <c r="D4671" t="s">
        <v>44</v>
      </c>
      <c r="F4671" t="s">
        <v>2604</v>
      </c>
      <c r="G4671" t="s">
        <v>86</v>
      </c>
      <c r="H4671" t="s">
        <v>350</v>
      </c>
      <c r="K4671" t="s">
        <v>101</v>
      </c>
      <c r="L4671">
        <v>11</v>
      </c>
      <c r="M4671">
        <v>0</v>
      </c>
      <c r="N4671" t="s">
        <v>128</v>
      </c>
      <c r="O4671" s="1"/>
      <c r="P4671" t="s">
        <v>2601</v>
      </c>
      <c r="Q4671" s="1" t="s">
        <v>2276</v>
      </c>
      <c r="R4671" s="1" t="s">
        <v>751</v>
      </c>
      <c r="S4671" s="1" t="s">
        <v>2346</v>
      </c>
      <c r="T4671" s="1" t="s">
        <v>396</v>
      </c>
      <c r="U4671" s="1" t="s">
        <v>2611</v>
      </c>
      <c r="X4671" s="1" t="s">
        <v>161</v>
      </c>
      <c r="Y4671" t="s">
        <v>2272</v>
      </c>
      <c r="Z4671" t="s">
        <v>2272</v>
      </c>
      <c r="AA4671" t="s">
        <v>2272</v>
      </c>
      <c r="AB4671" t="s">
        <v>2272</v>
      </c>
      <c r="AC4671" t="s">
        <v>162</v>
      </c>
      <c r="AD4671" t="s">
        <v>2272</v>
      </c>
      <c r="AF4671" t="s">
        <v>49</v>
      </c>
      <c r="AK4671" t="s">
        <v>49</v>
      </c>
      <c r="AM4671" t="s">
        <v>609</v>
      </c>
      <c r="AN4671" t="s">
        <v>154</v>
      </c>
      <c r="AP4671" t="s">
        <v>49</v>
      </c>
      <c r="AS4671" t="s">
        <v>2662</v>
      </c>
    </row>
    <row r="4672" spans="1:45" x14ac:dyDescent="0.2">
      <c r="A4672" t="s">
        <v>2596</v>
      </c>
      <c r="B4672" t="s">
        <v>2597</v>
      </c>
      <c r="C4672">
        <v>2015</v>
      </c>
      <c r="D4672" t="s">
        <v>44</v>
      </c>
      <c r="F4672" t="s">
        <v>2604</v>
      </c>
      <c r="G4672" t="s">
        <v>86</v>
      </c>
      <c r="H4672" t="s">
        <v>350</v>
      </c>
      <c r="K4672" t="s">
        <v>101</v>
      </c>
      <c r="L4672">
        <v>11</v>
      </c>
      <c r="M4672">
        <v>0</v>
      </c>
      <c r="N4672" t="s">
        <v>128</v>
      </c>
      <c r="O4672" s="1"/>
      <c r="P4672" t="s">
        <v>2602</v>
      </c>
      <c r="Q4672" s="1" t="s">
        <v>2276</v>
      </c>
      <c r="R4672" s="1" t="s">
        <v>751</v>
      </c>
      <c r="S4672" s="1" t="s">
        <v>2346</v>
      </c>
      <c r="T4672" s="1" t="s">
        <v>396</v>
      </c>
      <c r="U4672" s="1" t="s">
        <v>2611</v>
      </c>
      <c r="X4672" s="1" t="s">
        <v>161</v>
      </c>
      <c r="Y4672" t="s">
        <v>2272</v>
      </c>
      <c r="Z4672" t="s">
        <v>2272</v>
      </c>
      <c r="AA4672" t="s">
        <v>2272</v>
      </c>
      <c r="AB4672" t="s">
        <v>2272</v>
      </c>
      <c r="AC4672" t="s">
        <v>162</v>
      </c>
      <c r="AD4672" t="s">
        <v>2272</v>
      </c>
      <c r="AF4672" t="s">
        <v>49</v>
      </c>
      <c r="AK4672" t="s">
        <v>49</v>
      </c>
      <c r="AM4672" t="s">
        <v>609</v>
      </c>
      <c r="AN4672" t="s">
        <v>154</v>
      </c>
      <c r="AP4672" t="s">
        <v>49</v>
      </c>
      <c r="AS4672" t="s">
        <v>2662</v>
      </c>
    </row>
    <row r="4673" spans="1:45" x14ac:dyDescent="0.2">
      <c r="A4673" t="s">
        <v>2596</v>
      </c>
      <c r="B4673" t="s">
        <v>2597</v>
      </c>
      <c r="C4673">
        <v>2015</v>
      </c>
      <c r="D4673" t="s">
        <v>44</v>
      </c>
      <c r="F4673" t="s">
        <v>2604</v>
      </c>
      <c r="G4673" t="s">
        <v>86</v>
      </c>
      <c r="H4673" t="s">
        <v>350</v>
      </c>
      <c r="K4673" t="s">
        <v>101</v>
      </c>
      <c r="L4673">
        <v>11</v>
      </c>
      <c r="M4673">
        <v>0</v>
      </c>
      <c r="N4673" t="s">
        <v>128</v>
      </c>
      <c r="O4673" s="1" t="s">
        <v>2348</v>
      </c>
      <c r="P4673" t="s">
        <v>2603</v>
      </c>
      <c r="Q4673" s="1" t="s">
        <v>2276</v>
      </c>
      <c r="R4673" s="1" t="s">
        <v>669</v>
      </c>
      <c r="S4673" s="1" t="s">
        <v>2348</v>
      </c>
      <c r="T4673" s="1" t="s">
        <v>396</v>
      </c>
      <c r="U4673" s="1" t="s">
        <v>2612</v>
      </c>
      <c r="X4673" s="1" t="s">
        <v>161</v>
      </c>
      <c r="Y4673" t="s">
        <v>2272</v>
      </c>
      <c r="Z4673" t="s">
        <v>2272</v>
      </c>
      <c r="AA4673" t="s">
        <v>2272</v>
      </c>
      <c r="AB4673" t="s">
        <v>2272</v>
      </c>
      <c r="AC4673" t="s">
        <v>162</v>
      </c>
      <c r="AD4673" t="s">
        <v>2272</v>
      </c>
      <c r="AF4673" t="s">
        <v>49</v>
      </c>
      <c r="AK4673" t="s">
        <v>49</v>
      </c>
      <c r="AM4673" t="s">
        <v>609</v>
      </c>
      <c r="AN4673" t="s">
        <v>154</v>
      </c>
      <c r="AP4673" t="s">
        <v>49</v>
      </c>
      <c r="AS4673" t="s">
        <v>2662</v>
      </c>
    </row>
    <row r="4674" spans="1:45" x14ac:dyDescent="0.2">
      <c r="A4674" t="s">
        <v>2596</v>
      </c>
      <c r="B4674" t="s">
        <v>2597</v>
      </c>
      <c r="C4674">
        <v>2015</v>
      </c>
      <c r="D4674" t="s">
        <v>44</v>
      </c>
      <c r="F4674" t="s">
        <v>2604</v>
      </c>
      <c r="G4674" t="s">
        <v>86</v>
      </c>
      <c r="H4674" t="s">
        <v>350</v>
      </c>
      <c r="K4674" t="s">
        <v>101</v>
      </c>
      <c r="L4674">
        <v>11</v>
      </c>
      <c r="M4674">
        <v>0</v>
      </c>
      <c r="N4674" t="s">
        <v>128</v>
      </c>
      <c r="P4674" t="s">
        <v>2598</v>
      </c>
      <c r="Q4674" s="1" t="s">
        <v>2276</v>
      </c>
      <c r="R4674" s="1" t="s">
        <v>751</v>
      </c>
      <c r="S4674" s="1" t="s">
        <v>554</v>
      </c>
      <c r="T4674" s="1" t="s">
        <v>396</v>
      </c>
      <c r="U4674" s="1" t="s">
        <v>2608</v>
      </c>
      <c r="X4674" s="1" t="s">
        <v>161</v>
      </c>
      <c r="Y4674" t="s">
        <v>2272</v>
      </c>
      <c r="Z4674" t="s">
        <v>2272</v>
      </c>
      <c r="AA4674" t="s">
        <v>2272</v>
      </c>
      <c r="AB4674" t="s">
        <v>2272</v>
      </c>
      <c r="AC4674" t="s">
        <v>162</v>
      </c>
      <c r="AD4674" t="s">
        <v>2272</v>
      </c>
      <c r="AF4674" t="s">
        <v>49</v>
      </c>
      <c r="AI4674" t="s">
        <v>49</v>
      </c>
      <c r="AM4674" t="s">
        <v>262</v>
      </c>
      <c r="AN4674" t="s">
        <v>165</v>
      </c>
      <c r="AP4674" t="s">
        <v>49</v>
      </c>
      <c r="AS4674" t="s">
        <v>2662</v>
      </c>
    </row>
    <row r="4675" spans="1:45" x14ac:dyDescent="0.2">
      <c r="A4675" t="s">
        <v>2596</v>
      </c>
      <c r="B4675" t="s">
        <v>2597</v>
      </c>
      <c r="C4675">
        <v>2015</v>
      </c>
      <c r="D4675" t="s">
        <v>44</v>
      </c>
      <c r="F4675" t="s">
        <v>2604</v>
      </c>
      <c r="G4675" t="s">
        <v>86</v>
      </c>
      <c r="H4675" t="s">
        <v>350</v>
      </c>
      <c r="K4675" t="s">
        <v>101</v>
      </c>
      <c r="L4675">
        <v>11</v>
      </c>
      <c r="M4675">
        <v>0</v>
      </c>
      <c r="N4675" t="s">
        <v>128</v>
      </c>
      <c r="O4675" s="1" t="s">
        <v>2352</v>
      </c>
      <c r="P4675" t="s">
        <v>2599</v>
      </c>
      <c r="Q4675" s="1" t="s">
        <v>2276</v>
      </c>
      <c r="R4675" s="1" t="s">
        <v>755</v>
      </c>
      <c r="S4675" s="1" t="s">
        <v>2352</v>
      </c>
      <c r="T4675" s="1" t="s">
        <v>396</v>
      </c>
      <c r="U4675" s="1" t="s">
        <v>2609</v>
      </c>
      <c r="X4675" s="1" t="s">
        <v>161</v>
      </c>
      <c r="Y4675" t="s">
        <v>2272</v>
      </c>
      <c r="Z4675" t="s">
        <v>2272</v>
      </c>
      <c r="AA4675" t="s">
        <v>2272</v>
      </c>
      <c r="AB4675" t="s">
        <v>2272</v>
      </c>
      <c r="AC4675" t="s">
        <v>162</v>
      </c>
      <c r="AD4675" t="s">
        <v>2272</v>
      </c>
      <c r="AF4675" t="s">
        <v>49</v>
      </c>
      <c r="AI4675" t="s">
        <v>49</v>
      </c>
      <c r="AM4675" t="s">
        <v>262</v>
      </c>
      <c r="AN4675" t="s">
        <v>165</v>
      </c>
      <c r="AP4675" t="s">
        <v>49</v>
      </c>
      <c r="AS4675" t="s">
        <v>2662</v>
      </c>
    </row>
    <row r="4676" spans="1:45" x14ac:dyDescent="0.2">
      <c r="A4676" t="s">
        <v>2596</v>
      </c>
      <c r="B4676" t="s">
        <v>2597</v>
      </c>
      <c r="C4676">
        <v>2015</v>
      </c>
      <c r="D4676" t="s">
        <v>44</v>
      </c>
      <c r="F4676" t="s">
        <v>2604</v>
      </c>
      <c r="G4676" t="s">
        <v>86</v>
      </c>
      <c r="H4676" t="s">
        <v>350</v>
      </c>
      <c r="K4676" t="s">
        <v>101</v>
      </c>
      <c r="L4676">
        <v>11</v>
      </c>
      <c r="M4676">
        <v>0</v>
      </c>
      <c r="N4676" t="s">
        <v>128</v>
      </c>
      <c r="O4676" s="1" t="s">
        <v>2348</v>
      </c>
      <c r="P4676" t="s">
        <v>2600</v>
      </c>
      <c r="Q4676" s="1" t="s">
        <v>2276</v>
      </c>
      <c r="R4676" s="1" t="s">
        <v>669</v>
      </c>
      <c r="S4676" s="1" t="s">
        <v>2348</v>
      </c>
      <c r="T4676" s="1" t="s">
        <v>396</v>
      </c>
      <c r="U4676" s="1" t="s">
        <v>2610</v>
      </c>
      <c r="X4676" s="1" t="s">
        <v>161</v>
      </c>
      <c r="Y4676" t="s">
        <v>2272</v>
      </c>
      <c r="Z4676" t="s">
        <v>2272</v>
      </c>
      <c r="AA4676" t="s">
        <v>2272</v>
      </c>
      <c r="AB4676" t="s">
        <v>2272</v>
      </c>
      <c r="AC4676" t="s">
        <v>162</v>
      </c>
      <c r="AD4676" t="s">
        <v>2272</v>
      </c>
      <c r="AF4676" t="s">
        <v>49</v>
      </c>
      <c r="AI4676" t="s">
        <v>49</v>
      </c>
      <c r="AM4676" t="s">
        <v>262</v>
      </c>
      <c r="AN4676" t="s">
        <v>165</v>
      </c>
      <c r="AP4676" t="s">
        <v>49</v>
      </c>
      <c r="AS4676" t="s">
        <v>2662</v>
      </c>
    </row>
    <row r="4677" spans="1:45" x14ac:dyDescent="0.2">
      <c r="A4677" t="s">
        <v>2596</v>
      </c>
      <c r="B4677" t="s">
        <v>2597</v>
      </c>
      <c r="C4677">
        <v>2015</v>
      </c>
      <c r="D4677" t="s">
        <v>44</v>
      </c>
      <c r="F4677" t="s">
        <v>2604</v>
      </c>
      <c r="G4677" t="s">
        <v>86</v>
      </c>
      <c r="H4677" t="s">
        <v>350</v>
      </c>
      <c r="K4677" t="s">
        <v>101</v>
      </c>
      <c r="L4677">
        <v>11</v>
      </c>
      <c r="M4677">
        <v>0</v>
      </c>
      <c r="N4677" t="s">
        <v>128</v>
      </c>
      <c r="O4677" s="1"/>
      <c r="P4677" t="s">
        <v>2601</v>
      </c>
      <c r="Q4677" s="1" t="s">
        <v>2276</v>
      </c>
      <c r="R4677" s="1" t="s">
        <v>751</v>
      </c>
      <c r="S4677" s="1" t="s">
        <v>2346</v>
      </c>
      <c r="T4677" s="1" t="s">
        <v>396</v>
      </c>
      <c r="U4677" s="1" t="s">
        <v>2611</v>
      </c>
      <c r="X4677" s="1" t="s">
        <v>161</v>
      </c>
      <c r="Y4677" t="s">
        <v>2272</v>
      </c>
      <c r="Z4677" t="s">
        <v>2272</v>
      </c>
      <c r="AA4677" t="s">
        <v>2272</v>
      </c>
      <c r="AB4677" t="s">
        <v>2272</v>
      </c>
      <c r="AC4677" t="s">
        <v>162</v>
      </c>
      <c r="AD4677" t="s">
        <v>2272</v>
      </c>
      <c r="AF4677" t="s">
        <v>49</v>
      </c>
      <c r="AI4677" t="s">
        <v>49</v>
      </c>
      <c r="AM4677" t="s">
        <v>262</v>
      </c>
      <c r="AN4677" t="s">
        <v>165</v>
      </c>
      <c r="AP4677" t="s">
        <v>49</v>
      </c>
      <c r="AS4677" t="s">
        <v>2662</v>
      </c>
    </row>
    <row r="4678" spans="1:45" x14ac:dyDescent="0.2">
      <c r="A4678" t="s">
        <v>2596</v>
      </c>
      <c r="B4678" t="s">
        <v>2597</v>
      </c>
      <c r="C4678">
        <v>2015</v>
      </c>
      <c r="D4678" t="s">
        <v>44</v>
      </c>
      <c r="F4678" t="s">
        <v>2604</v>
      </c>
      <c r="G4678" t="s">
        <v>86</v>
      </c>
      <c r="H4678" t="s">
        <v>350</v>
      </c>
      <c r="K4678" t="s">
        <v>101</v>
      </c>
      <c r="L4678">
        <v>11</v>
      </c>
      <c r="M4678">
        <v>0</v>
      </c>
      <c r="N4678" t="s">
        <v>128</v>
      </c>
      <c r="O4678" s="1"/>
      <c r="P4678" t="s">
        <v>2602</v>
      </c>
      <c r="Q4678" s="1" t="s">
        <v>2276</v>
      </c>
      <c r="R4678" s="1" t="s">
        <v>751</v>
      </c>
      <c r="S4678" s="1" t="s">
        <v>2346</v>
      </c>
      <c r="T4678" s="1" t="s">
        <v>396</v>
      </c>
      <c r="U4678" s="1" t="s">
        <v>2611</v>
      </c>
      <c r="X4678" s="1" t="s">
        <v>161</v>
      </c>
      <c r="Y4678" t="s">
        <v>2272</v>
      </c>
      <c r="Z4678" t="s">
        <v>2272</v>
      </c>
      <c r="AA4678" t="s">
        <v>2272</v>
      </c>
      <c r="AB4678" t="s">
        <v>2272</v>
      </c>
      <c r="AC4678" t="s">
        <v>162</v>
      </c>
      <c r="AD4678" t="s">
        <v>2272</v>
      </c>
      <c r="AF4678" t="s">
        <v>49</v>
      </c>
      <c r="AI4678" t="s">
        <v>49</v>
      </c>
      <c r="AM4678" t="s">
        <v>262</v>
      </c>
      <c r="AN4678" t="s">
        <v>165</v>
      </c>
      <c r="AP4678" t="s">
        <v>49</v>
      </c>
      <c r="AS4678" t="s">
        <v>2662</v>
      </c>
    </row>
    <row r="4679" spans="1:45" x14ac:dyDescent="0.2">
      <c r="A4679" t="s">
        <v>2596</v>
      </c>
      <c r="B4679" t="s">
        <v>2597</v>
      </c>
      <c r="C4679">
        <v>2015</v>
      </c>
      <c r="D4679" t="s">
        <v>44</v>
      </c>
      <c r="F4679" t="s">
        <v>2604</v>
      </c>
      <c r="G4679" t="s">
        <v>86</v>
      </c>
      <c r="H4679" t="s">
        <v>350</v>
      </c>
      <c r="K4679" t="s">
        <v>101</v>
      </c>
      <c r="L4679">
        <v>11</v>
      </c>
      <c r="M4679">
        <v>0</v>
      </c>
      <c r="N4679" t="s">
        <v>128</v>
      </c>
      <c r="O4679" s="1" t="s">
        <v>2348</v>
      </c>
      <c r="P4679" t="s">
        <v>2603</v>
      </c>
      <c r="Q4679" s="1" t="s">
        <v>2276</v>
      </c>
      <c r="R4679" s="1" t="s">
        <v>669</v>
      </c>
      <c r="S4679" s="1" t="s">
        <v>2348</v>
      </c>
      <c r="T4679" s="1" t="s">
        <v>396</v>
      </c>
      <c r="U4679" s="1" t="s">
        <v>2612</v>
      </c>
      <c r="X4679" s="1" t="s">
        <v>161</v>
      </c>
      <c r="Y4679" t="s">
        <v>2272</v>
      </c>
      <c r="Z4679" t="s">
        <v>2272</v>
      </c>
      <c r="AA4679" t="s">
        <v>2272</v>
      </c>
      <c r="AB4679" t="s">
        <v>2272</v>
      </c>
      <c r="AC4679" t="s">
        <v>162</v>
      </c>
      <c r="AD4679" t="s">
        <v>2272</v>
      </c>
      <c r="AF4679" t="s">
        <v>49</v>
      </c>
      <c r="AI4679" t="s">
        <v>49</v>
      </c>
      <c r="AM4679" t="s">
        <v>262</v>
      </c>
      <c r="AN4679" t="s">
        <v>165</v>
      </c>
      <c r="AP4679" t="s">
        <v>49</v>
      </c>
      <c r="AS4679" t="s">
        <v>2662</v>
      </c>
    </row>
    <row r="4680" spans="1:45" x14ac:dyDescent="0.2">
      <c r="A4680" t="s">
        <v>2596</v>
      </c>
      <c r="B4680" t="s">
        <v>2597</v>
      </c>
      <c r="C4680">
        <v>2015</v>
      </c>
      <c r="D4680" t="s">
        <v>44</v>
      </c>
      <c r="F4680" t="s">
        <v>2604</v>
      </c>
      <c r="G4680" t="s">
        <v>86</v>
      </c>
      <c r="H4680" t="s">
        <v>350</v>
      </c>
      <c r="K4680" t="s">
        <v>101</v>
      </c>
      <c r="L4680">
        <v>11</v>
      </c>
      <c r="M4680">
        <v>0</v>
      </c>
      <c r="N4680" t="s">
        <v>128</v>
      </c>
      <c r="P4680" t="s">
        <v>2598</v>
      </c>
      <c r="Q4680" s="1" t="s">
        <v>2276</v>
      </c>
      <c r="R4680" s="1" t="s">
        <v>751</v>
      </c>
      <c r="S4680" s="1" t="s">
        <v>554</v>
      </c>
      <c r="T4680" s="1" t="s">
        <v>396</v>
      </c>
      <c r="U4680" s="1" t="s">
        <v>2608</v>
      </c>
      <c r="X4680" s="1" t="s">
        <v>161</v>
      </c>
      <c r="Y4680" t="s">
        <v>2272</v>
      </c>
      <c r="Z4680" t="s">
        <v>2272</v>
      </c>
      <c r="AA4680" t="s">
        <v>2272</v>
      </c>
      <c r="AB4680" t="s">
        <v>2272</v>
      </c>
      <c r="AC4680" t="s">
        <v>162</v>
      </c>
      <c r="AD4680" t="s">
        <v>2272</v>
      </c>
      <c r="AF4680" t="s">
        <v>49</v>
      </c>
      <c r="AK4680" t="s">
        <v>49</v>
      </c>
      <c r="AM4680" t="s">
        <v>664</v>
      </c>
      <c r="AN4680" t="s">
        <v>165</v>
      </c>
      <c r="AP4680" t="s">
        <v>49</v>
      </c>
      <c r="AS4680" t="s">
        <v>2662</v>
      </c>
    </row>
    <row r="4681" spans="1:45" x14ac:dyDescent="0.2">
      <c r="A4681" t="s">
        <v>2596</v>
      </c>
      <c r="B4681" t="s">
        <v>2597</v>
      </c>
      <c r="C4681">
        <v>2015</v>
      </c>
      <c r="D4681" t="s">
        <v>44</v>
      </c>
      <c r="F4681" t="s">
        <v>2604</v>
      </c>
      <c r="G4681" t="s">
        <v>86</v>
      </c>
      <c r="H4681" t="s">
        <v>350</v>
      </c>
      <c r="K4681" t="s">
        <v>101</v>
      </c>
      <c r="L4681">
        <v>11</v>
      </c>
      <c r="M4681">
        <v>0</v>
      </c>
      <c r="N4681" t="s">
        <v>128</v>
      </c>
      <c r="O4681" s="1" t="s">
        <v>2352</v>
      </c>
      <c r="P4681" t="s">
        <v>2599</v>
      </c>
      <c r="Q4681" s="1" t="s">
        <v>2276</v>
      </c>
      <c r="R4681" s="1" t="s">
        <v>755</v>
      </c>
      <c r="S4681" s="1" t="s">
        <v>2352</v>
      </c>
      <c r="T4681" s="1" t="s">
        <v>396</v>
      </c>
      <c r="U4681" s="1" t="s">
        <v>2609</v>
      </c>
      <c r="X4681" s="1" t="s">
        <v>161</v>
      </c>
      <c r="Y4681" t="s">
        <v>2272</v>
      </c>
      <c r="Z4681" t="s">
        <v>2272</v>
      </c>
      <c r="AA4681" t="s">
        <v>2272</v>
      </c>
      <c r="AB4681" t="s">
        <v>2272</v>
      </c>
      <c r="AC4681" t="s">
        <v>162</v>
      </c>
      <c r="AD4681" t="s">
        <v>2272</v>
      </c>
      <c r="AF4681" t="s">
        <v>49</v>
      </c>
      <c r="AK4681" t="s">
        <v>49</v>
      </c>
      <c r="AM4681" t="s">
        <v>664</v>
      </c>
      <c r="AN4681" t="s">
        <v>165</v>
      </c>
      <c r="AP4681" t="s">
        <v>49</v>
      </c>
      <c r="AS4681" t="s">
        <v>2662</v>
      </c>
    </row>
    <row r="4682" spans="1:45" x14ac:dyDescent="0.2">
      <c r="A4682" t="s">
        <v>2596</v>
      </c>
      <c r="B4682" t="s">
        <v>2597</v>
      </c>
      <c r="C4682">
        <v>2015</v>
      </c>
      <c r="D4682" t="s">
        <v>44</v>
      </c>
      <c r="F4682" t="s">
        <v>2604</v>
      </c>
      <c r="G4682" t="s">
        <v>86</v>
      </c>
      <c r="H4682" t="s">
        <v>350</v>
      </c>
      <c r="K4682" t="s">
        <v>101</v>
      </c>
      <c r="L4682">
        <v>11</v>
      </c>
      <c r="M4682">
        <v>0</v>
      </c>
      <c r="N4682" t="s">
        <v>128</v>
      </c>
      <c r="O4682" s="1" t="s">
        <v>2348</v>
      </c>
      <c r="P4682" t="s">
        <v>2600</v>
      </c>
      <c r="Q4682" s="1" t="s">
        <v>2276</v>
      </c>
      <c r="R4682" s="1" t="s">
        <v>669</v>
      </c>
      <c r="S4682" s="1" t="s">
        <v>2348</v>
      </c>
      <c r="T4682" s="1" t="s">
        <v>396</v>
      </c>
      <c r="U4682" s="1" t="s">
        <v>2610</v>
      </c>
      <c r="X4682" s="1" t="s">
        <v>161</v>
      </c>
      <c r="Y4682" t="s">
        <v>2272</v>
      </c>
      <c r="Z4682" t="s">
        <v>2272</v>
      </c>
      <c r="AA4682" t="s">
        <v>2272</v>
      </c>
      <c r="AB4682" t="s">
        <v>2272</v>
      </c>
      <c r="AC4682" t="s">
        <v>162</v>
      </c>
      <c r="AD4682" t="s">
        <v>2272</v>
      </c>
      <c r="AF4682" t="s">
        <v>49</v>
      </c>
      <c r="AK4682" t="s">
        <v>49</v>
      </c>
      <c r="AM4682" t="s">
        <v>664</v>
      </c>
      <c r="AN4682" t="s">
        <v>165</v>
      </c>
      <c r="AP4682" t="s">
        <v>49</v>
      </c>
      <c r="AS4682" t="s">
        <v>2662</v>
      </c>
    </row>
    <row r="4683" spans="1:45" x14ac:dyDescent="0.2">
      <c r="A4683" t="s">
        <v>2596</v>
      </c>
      <c r="B4683" t="s">
        <v>2597</v>
      </c>
      <c r="C4683">
        <v>2015</v>
      </c>
      <c r="D4683" t="s">
        <v>44</v>
      </c>
      <c r="F4683" t="s">
        <v>2604</v>
      </c>
      <c r="G4683" t="s">
        <v>86</v>
      </c>
      <c r="H4683" t="s">
        <v>350</v>
      </c>
      <c r="K4683" t="s">
        <v>101</v>
      </c>
      <c r="L4683">
        <v>11</v>
      </c>
      <c r="M4683">
        <v>0</v>
      </c>
      <c r="N4683" t="s">
        <v>128</v>
      </c>
      <c r="O4683" s="1"/>
      <c r="P4683" t="s">
        <v>2601</v>
      </c>
      <c r="Q4683" s="1" t="s">
        <v>2276</v>
      </c>
      <c r="R4683" s="1" t="s">
        <v>751</v>
      </c>
      <c r="S4683" s="1" t="s">
        <v>2346</v>
      </c>
      <c r="T4683" s="1" t="s">
        <v>396</v>
      </c>
      <c r="U4683" s="1" t="s">
        <v>2611</v>
      </c>
      <c r="X4683" s="1" t="s">
        <v>161</v>
      </c>
      <c r="Y4683" t="s">
        <v>2272</v>
      </c>
      <c r="Z4683" t="s">
        <v>2272</v>
      </c>
      <c r="AA4683" t="s">
        <v>2272</v>
      </c>
      <c r="AB4683" t="s">
        <v>2272</v>
      </c>
      <c r="AC4683" t="s">
        <v>162</v>
      </c>
      <c r="AD4683" t="s">
        <v>2272</v>
      </c>
      <c r="AF4683" t="s">
        <v>49</v>
      </c>
      <c r="AK4683" t="s">
        <v>49</v>
      </c>
      <c r="AM4683" t="s">
        <v>664</v>
      </c>
      <c r="AN4683" t="s">
        <v>165</v>
      </c>
      <c r="AP4683" t="s">
        <v>49</v>
      </c>
      <c r="AS4683" t="s">
        <v>2662</v>
      </c>
    </row>
    <row r="4684" spans="1:45" x14ac:dyDescent="0.2">
      <c r="A4684" t="s">
        <v>2596</v>
      </c>
      <c r="B4684" t="s">
        <v>2597</v>
      </c>
      <c r="C4684">
        <v>2015</v>
      </c>
      <c r="D4684" t="s">
        <v>44</v>
      </c>
      <c r="F4684" t="s">
        <v>2604</v>
      </c>
      <c r="G4684" t="s">
        <v>86</v>
      </c>
      <c r="H4684" t="s">
        <v>350</v>
      </c>
      <c r="K4684" t="s">
        <v>101</v>
      </c>
      <c r="L4684">
        <v>11</v>
      </c>
      <c r="M4684">
        <v>0</v>
      </c>
      <c r="N4684" t="s">
        <v>128</v>
      </c>
      <c r="O4684" s="1"/>
      <c r="P4684" t="s">
        <v>2602</v>
      </c>
      <c r="Q4684" s="1" t="s">
        <v>2276</v>
      </c>
      <c r="R4684" s="1" t="s">
        <v>751</v>
      </c>
      <c r="S4684" s="1" t="s">
        <v>2346</v>
      </c>
      <c r="T4684" s="1" t="s">
        <v>396</v>
      </c>
      <c r="U4684" s="1" t="s">
        <v>2611</v>
      </c>
      <c r="X4684" s="1" t="s">
        <v>161</v>
      </c>
      <c r="Y4684" t="s">
        <v>2272</v>
      </c>
      <c r="Z4684" t="s">
        <v>2272</v>
      </c>
      <c r="AA4684" t="s">
        <v>2272</v>
      </c>
      <c r="AB4684" t="s">
        <v>2272</v>
      </c>
      <c r="AC4684" t="s">
        <v>162</v>
      </c>
      <c r="AD4684" t="s">
        <v>2272</v>
      </c>
      <c r="AF4684" t="s">
        <v>49</v>
      </c>
      <c r="AK4684" t="s">
        <v>49</v>
      </c>
      <c r="AM4684" t="s">
        <v>664</v>
      </c>
      <c r="AN4684" t="s">
        <v>165</v>
      </c>
      <c r="AP4684" t="s">
        <v>49</v>
      </c>
      <c r="AS4684" t="s">
        <v>2662</v>
      </c>
    </row>
    <row r="4685" spans="1:45" x14ac:dyDescent="0.2">
      <c r="A4685" t="s">
        <v>2596</v>
      </c>
      <c r="B4685" t="s">
        <v>2597</v>
      </c>
      <c r="C4685">
        <v>2015</v>
      </c>
      <c r="D4685" t="s">
        <v>44</v>
      </c>
      <c r="F4685" t="s">
        <v>2604</v>
      </c>
      <c r="G4685" t="s">
        <v>86</v>
      </c>
      <c r="H4685" t="s">
        <v>350</v>
      </c>
      <c r="K4685" t="s">
        <v>101</v>
      </c>
      <c r="L4685">
        <v>11</v>
      </c>
      <c r="M4685">
        <v>0</v>
      </c>
      <c r="N4685" t="s">
        <v>128</v>
      </c>
      <c r="O4685" s="1" t="s">
        <v>2348</v>
      </c>
      <c r="P4685" t="s">
        <v>2603</v>
      </c>
      <c r="Q4685" s="1" t="s">
        <v>2276</v>
      </c>
      <c r="R4685" s="1" t="s">
        <v>669</v>
      </c>
      <c r="S4685" s="1" t="s">
        <v>2348</v>
      </c>
      <c r="T4685" s="1" t="s">
        <v>396</v>
      </c>
      <c r="U4685" s="1" t="s">
        <v>2612</v>
      </c>
      <c r="X4685" s="1" t="s">
        <v>161</v>
      </c>
      <c r="Y4685" t="s">
        <v>2272</v>
      </c>
      <c r="Z4685" t="s">
        <v>2272</v>
      </c>
      <c r="AA4685" t="s">
        <v>2272</v>
      </c>
      <c r="AB4685" t="s">
        <v>2272</v>
      </c>
      <c r="AC4685" t="s">
        <v>162</v>
      </c>
      <c r="AD4685" t="s">
        <v>2272</v>
      </c>
      <c r="AF4685" t="s">
        <v>49</v>
      </c>
      <c r="AK4685" t="s">
        <v>49</v>
      </c>
      <c r="AM4685" t="s">
        <v>664</v>
      </c>
      <c r="AN4685" t="s">
        <v>165</v>
      </c>
      <c r="AP4685" t="s">
        <v>49</v>
      </c>
      <c r="AS4685" t="s">
        <v>2662</v>
      </c>
    </row>
    <row r="4686" spans="1:45" x14ac:dyDescent="0.2">
      <c r="A4686" t="s">
        <v>2596</v>
      </c>
      <c r="B4686" t="s">
        <v>2597</v>
      </c>
      <c r="C4686">
        <v>2015</v>
      </c>
      <c r="D4686" t="s">
        <v>44</v>
      </c>
      <c r="F4686" t="s">
        <v>2604</v>
      </c>
      <c r="G4686" t="s">
        <v>86</v>
      </c>
      <c r="H4686" t="s">
        <v>350</v>
      </c>
      <c r="K4686" t="s">
        <v>101</v>
      </c>
      <c r="L4686">
        <v>11</v>
      </c>
      <c r="M4686">
        <v>0</v>
      </c>
      <c r="N4686" t="s">
        <v>128</v>
      </c>
      <c r="P4686" t="s">
        <v>2598</v>
      </c>
      <c r="Q4686" s="1" t="s">
        <v>2276</v>
      </c>
      <c r="R4686" s="1" t="s">
        <v>751</v>
      </c>
      <c r="S4686" s="1" t="s">
        <v>554</v>
      </c>
      <c r="T4686" s="1" t="s">
        <v>396</v>
      </c>
      <c r="U4686" s="1" t="s">
        <v>2608</v>
      </c>
      <c r="X4686" s="1" t="s">
        <v>161</v>
      </c>
      <c r="Y4686" t="s">
        <v>2272</v>
      </c>
      <c r="Z4686" t="s">
        <v>2272</v>
      </c>
      <c r="AA4686" t="s">
        <v>2272</v>
      </c>
      <c r="AB4686" t="s">
        <v>2272</v>
      </c>
      <c r="AC4686" t="s">
        <v>162</v>
      </c>
      <c r="AD4686" t="s">
        <v>2272</v>
      </c>
      <c r="AF4686" t="s">
        <v>49</v>
      </c>
      <c r="AK4686" t="s">
        <v>49</v>
      </c>
      <c r="AM4686" t="s">
        <v>1451</v>
      </c>
      <c r="AN4686" t="s">
        <v>165</v>
      </c>
      <c r="AP4686" t="s">
        <v>49</v>
      </c>
      <c r="AS4686" t="s">
        <v>2662</v>
      </c>
    </row>
    <row r="4687" spans="1:45" x14ac:dyDescent="0.2">
      <c r="A4687" t="s">
        <v>2596</v>
      </c>
      <c r="B4687" t="s">
        <v>2597</v>
      </c>
      <c r="C4687">
        <v>2015</v>
      </c>
      <c r="D4687" t="s">
        <v>44</v>
      </c>
      <c r="F4687" t="s">
        <v>2604</v>
      </c>
      <c r="G4687" t="s">
        <v>86</v>
      </c>
      <c r="H4687" t="s">
        <v>350</v>
      </c>
      <c r="K4687" t="s">
        <v>101</v>
      </c>
      <c r="L4687">
        <v>11</v>
      </c>
      <c r="M4687">
        <v>0</v>
      </c>
      <c r="N4687" t="s">
        <v>128</v>
      </c>
      <c r="O4687" s="1" t="s">
        <v>2352</v>
      </c>
      <c r="P4687" t="s">
        <v>2599</v>
      </c>
      <c r="Q4687" s="1" t="s">
        <v>2276</v>
      </c>
      <c r="R4687" s="1" t="s">
        <v>755</v>
      </c>
      <c r="S4687" s="1" t="s">
        <v>2352</v>
      </c>
      <c r="T4687" s="1" t="s">
        <v>396</v>
      </c>
      <c r="U4687" s="1" t="s">
        <v>2609</v>
      </c>
      <c r="X4687" s="1" t="s">
        <v>161</v>
      </c>
      <c r="Y4687" t="s">
        <v>2272</v>
      </c>
      <c r="Z4687" t="s">
        <v>2272</v>
      </c>
      <c r="AA4687" t="s">
        <v>2272</v>
      </c>
      <c r="AB4687" t="s">
        <v>2272</v>
      </c>
      <c r="AC4687" t="s">
        <v>162</v>
      </c>
      <c r="AD4687" t="s">
        <v>2272</v>
      </c>
      <c r="AF4687" t="s">
        <v>49</v>
      </c>
      <c r="AK4687" t="s">
        <v>49</v>
      </c>
      <c r="AM4687" t="s">
        <v>1451</v>
      </c>
      <c r="AN4687" t="s">
        <v>165</v>
      </c>
      <c r="AP4687" t="s">
        <v>49</v>
      </c>
      <c r="AS4687" t="s">
        <v>2662</v>
      </c>
    </row>
    <row r="4688" spans="1:45" x14ac:dyDescent="0.2">
      <c r="A4688" t="s">
        <v>2596</v>
      </c>
      <c r="B4688" t="s">
        <v>2597</v>
      </c>
      <c r="C4688">
        <v>2015</v>
      </c>
      <c r="D4688" t="s">
        <v>44</v>
      </c>
      <c r="F4688" t="s">
        <v>2604</v>
      </c>
      <c r="G4688" t="s">
        <v>86</v>
      </c>
      <c r="H4688" t="s">
        <v>350</v>
      </c>
      <c r="K4688" t="s">
        <v>101</v>
      </c>
      <c r="L4688">
        <v>11</v>
      </c>
      <c r="M4688">
        <v>0</v>
      </c>
      <c r="N4688" t="s">
        <v>128</v>
      </c>
      <c r="O4688" s="1" t="s">
        <v>2348</v>
      </c>
      <c r="P4688" t="s">
        <v>2600</v>
      </c>
      <c r="Q4688" s="1" t="s">
        <v>2276</v>
      </c>
      <c r="R4688" s="1" t="s">
        <v>669</v>
      </c>
      <c r="S4688" s="1" t="s">
        <v>2348</v>
      </c>
      <c r="T4688" s="1" t="s">
        <v>396</v>
      </c>
      <c r="U4688" s="1" t="s">
        <v>2610</v>
      </c>
      <c r="X4688" s="1" t="s">
        <v>161</v>
      </c>
      <c r="Y4688" t="s">
        <v>2272</v>
      </c>
      <c r="Z4688" t="s">
        <v>2272</v>
      </c>
      <c r="AA4688" t="s">
        <v>2272</v>
      </c>
      <c r="AB4688" t="s">
        <v>2272</v>
      </c>
      <c r="AC4688" t="s">
        <v>162</v>
      </c>
      <c r="AD4688" t="s">
        <v>2272</v>
      </c>
      <c r="AF4688" t="s">
        <v>49</v>
      </c>
      <c r="AK4688" t="s">
        <v>49</v>
      </c>
      <c r="AM4688" t="s">
        <v>1451</v>
      </c>
      <c r="AN4688" t="s">
        <v>165</v>
      </c>
      <c r="AP4688" t="s">
        <v>49</v>
      </c>
      <c r="AS4688" t="s">
        <v>2662</v>
      </c>
    </row>
    <row r="4689" spans="1:45" x14ac:dyDescent="0.2">
      <c r="A4689" t="s">
        <v>2596</v>
      </c>
      <c r="B4689" t="s">
        <v>2597</v>
      </c>
      <c r="C4689">
        <v>2015</v>
      </c>
      <c r="D4689" t="s">
        <v>44</v>
      </c>
      <c r="F4689" t="s">
        <v>2604</v>
      </c>
      <c r="G4689" t="s">
        <v>86</v>
      </c>
      <c r="H4689" t="s">
        <v>350</v>
      </c>
      <c r="K4689" t="s">
        <v>101</v>
      </c>
      <c r="L4689">
        <v>11</v>
      </c>
      <c r="M4689">
        <v>0</v>
      </c>
      <c r="N4689" t="s">
        <v>128</v>
      </c>
      <c r="O4689" s="1"/>
      <c r="P4689" t="s">
        <v>2601</v>
      </c>
      <c r="Q4689" s="1" t="s">
        <v>2276</v>
      </c>
      <c r="R4689" s="1" t="s">
        <v>751</v>
      </c>
      <c r="S4689" s="1" t="s">
        <v>2346</v>
      </c>
      <c r="T4689" s="1" t="s">
        <v>396</v>
      </c>
      <c r="U4689" s="1" t="s">
        <v>2611</v>
      </c>
      <c r="X4689" s="1" t="s">
        <v>161</v>
      </c>
      <c r="Y4689" t="s">
        <v>2272</v>
      </c>
      <c r="Z4689" t="s">
        <v>2272</v>
      </c>
      <c r="AA4689" t="s">
        <v>2272</v>
      </c>
      <c r="AB4689" t="s">
        <v>2272</v>
      </c>
      <c r="AC4689" t="s">
        <v>162</v>
      </c>
      <c r="AD4689" t="s">
        <v>2272</v>
      </c>
      <c r="AF4689" t="s">
        <v>49</v>
      </c>
      <c r="AK4689" t="s">
        <v>49</v>
      </c>
      <c r="AM4689" t="s">
        <v>1451</v>
      </c>
      <c r="AN4689" t="s">
        <v>165</v>
      </c>
      <c r="AP4689" t="s">
        <v>49</v>
      </c>
      <c r="AS4689" t="s">
        <v>2662</v>
      </c>
    </row>
    <row r="4690" spans="1:45" x14ac:dyDescent="0.2">
      <c r="A4690" t="s">
        <v>2596</v>
      </c>
      <c r="B4690" t="s">
        <v>2597</v>
      </c>
      <c r="C4690">
        <v>2015</v>
      </c>
      <c r="D4690" t="s">
        <v>44</v>
      </c>
      <c r="F4690" t="s">
        <v>2604</v>
      </c>
      <c r="G4690" t="s">
        <v>86</v>
      </c>
      <c r="H4690" t="s">
        <v>350</v>
      </c>
      <c r="K4690" t="s">
        <v>101</v>
      </c>
      <c r="L4690">
        <v>11</v>
      </c>
      <c r="M4690">
        <v>0</v>
      </c>
      <c r="N4690" t="s">
        <v>128</v>
      </c>
      <c r="O4690" s="1"/>
      <c r="P4690" t="s">
        <v>2602</v>
      </c>
      <c r="Q4690" s="1" t="s">
        <v>2276</v>
      </c>
      <c r="R4690" s="1" t="s">
        <v>751</v>
      </c>
      <c r="S4690" s="1" t="s">
        <v>2346</v>
      </c>
      <c r="T4690" s="1" t="s">
        <v>396</v>
      </c>
      <c r="U4690" s="1" t="s">
        <v>2611</v>
      </c>
      <c r="X4690" s="1" t="s">
        <v>161</v>
      </c>
      <c r="Y4690" t="s">
        <v>2272</v>
      </c>
      <c r="Z4690" t="s">
        <v>2272</v>
      </c>
      <c r="AA4690" t="s">
        <v>2272</v>
      </c>
      <c r="AB4690" t="s">
        <v>2272</v>
      </c>
      <c r="AC4690" t="s">
        <v>162</v>
      </c>
      <c r="AD4690" t="s">
        <v>2272</v>
      </c>
      <c r="AF4690" t="s">
        <v>49</v>
      </c>
      <c r="AK4690" t="s">
        <v>49</v>
      </c>
      <c r="AM4690" t="s">
        <v>1451</v>
      </c>
      <c r="AN4690" t="s">
        <v>165</v>
      </c>
      <c r="AP4690" t="s">
        <v>49</v>
      </c>
      <c r="AS4690" t="s">
        <v>2662</v>
      </c>
    </row>
    <row r="4691" spans="1:45" x14ac:dyDescent="0.2">
      <c r="A4691" t="s">
        <v>2596</v>
      </c>
      <c r="B4691" t="s">
        <v>2597</v>
      </c>
      <c r="C4691">
        <v>2015</v>
      </c>
      <c r="D4691" t="s">
        <v>44</v>
      </c>
      <c r="F4691" t="s">
        <v>2604</v>
      </c>
      <c r="G4691" t="s">
        <v>86</v>
      </c>
      <c r="H4691" t="s">
        <v>350</v>
      </c>
      <c r="K4691" t="s">
        <v>101</v>
      </c>
      <c r="L4691">
        <v>11</v>
      </c>
      <c r="M4691">
        <v>0</v>
      </c>
      <c r="N4691" t="s">
        <v>128</v>
      </c>
      <c r="O4691" s="1" t="s">
        <v>2348</v>
      </c>
      <c r="P4691" t="s">
        <v>2603</v>
      </c>
      <c r="Q4691" s="1" t="s">
        <v>2276</v>
      </c>
      <c r="R4691" s="1" t="s">
        <v>669</v>
      </c>
      <c r="S4691" s="1" t="s">
        <v>2348</v>
      </c>
      <c r="T4691" s="1" t="s">
        <v>396</v>
      </c>
      <c r="U4691" s="1" t="s">
        <v>2612</v>
      </c>
      <c r="X4691" s="1" t="s">
        <v>161</v>
      </c>
      <c r="Y4691" t="s">
        <v>2272</v>
      </c>
      <c r="Z4691" t="s">
        <v>2272</v>
      </c>
      <c r="AA4691" t="s">
        <v>2272</v>
      </c>
      <c r="AB4691" t="s">
        <v>2272</v>
      </c>
      <c r="AC4691" t="s">
        <v>162</v>
      </c>
      <c r="AD4691" t="s">
        <v>2272</v>
      </c>
      <c r="AF4691" t="s">
        <v>49</v>
      </c>
      <c r="AK4691" t="s">
        <v>49</v>
      </c>
      <c r="AM4691" t="s">
        <v>1451</v>
      </c>
      <c r="AN4691" t="s">
        <v>165</v>
      </c>
      <c r="AP4691" t="s">
        <v>49</v>
      </c>
      <c r="AS4691" t="s">
        <v>2662</v>
      </c>
    </row>
    <row r="4692" spans="1:45" x14ac:dyDescent="0.2">
      <c r="A4692" t="s">
        <v>2596</v>
      </c>
      <c r="B4692" t="s">
        <v>2597</v>
      </c>
      <c r="C4692">
        <v>2015</v>
      </c>
      <c r="D4692" t="s">
        <v>44</v>
      </c>
      <c r="F4692" t="s">
        <v>2604</v>
      </c>
      <c r="G4692" t="s">
        <v>86</v>
      </c>
      <c r="H4692" t="s">
        <v>350</v>
      </c>
      <c r="K4692" t="s">
        <v>101</v>
      </c>
      <c r="L4692">
        <v>11</v>
      </c>
      <c r="M4692">
        <v>0</v>
      </c>
      <c r="N4692" t="s">
        <v>128</v>
      </c>
      <c r="P4692" t="s">
        <v>2598</v>
      </c>
      <c r="Q4692" s="1" t="s">
        <v>2276</v>
      </c>
      <c r="R4692" s="1" t="s">
        <v>751</v>
      </c>
      <c r="S4692" s="1" t="s">
        <v>554</v>
      </c>
      <c r="T4692" s="1" t="s">
        <v>396</v>
      </c>
      <c r="U4692" s="1" t="s">
        <v>2608</v>
      </c>
      <c r="X4692" s="1" t="s">
        <v>161</v>
      </c>
      <c r="Y4692" t="s">
        <v>2272</v>
      </c>
      <c r="Z4692" t="s">
        <v>2272</v>
      </c>
      <c r="AA4692" t="s">
        <v>2272</v>
      </c>
      <c r="AB4692" t="s">
        <v>2272</v>
      </c>
      <c r="AC4692" t="s">
        <v>162</v>
      </c>
      <c r="AD4692" t="s">
        <v>2272</v>
      </c>
      <c r="AF4692" t="s">
        <v>49</v>
      </c>
      <c r="AK4692" t="s">
        <v>49</v>
      </c>
      <c r="AM4692" t="s">
        <v>609</v>
      </c>
      <c r="AN4692" t="s">
        <v>165</v>
      </c>
      <c r="AP4692" t="s">
        <v>49</v>
      </c>
      <c r="AS4692" t="s">
        <v>2662</v>
      </c>
    </row>
    <row r="4693" spans="1:45" x14ac:dyDescent="0.2">
      <c r="A4693" t="s">
        <v>2596</v>
      </c>
      <c r="B4693" t="s">
        <v>2597</v>
      </c>
      <c r="C4693">
        <v>2015</v>
      </c>
      <c r="D4693" t="s">
        <v>44</v>
      </c>
      <c r="F4693" t="s">
        <v>2604</v>
      </c>
      <c r="G4693" t="s">
        <v>86</v>
      </c>
      <c r="H4693" t="s">
        <v>350</v>
      </c>
      <c r="K4693" t="s">
        <v>101</v>
      </c>
      <c r="L4693">
        <v>11</v>
      </c>
      <c r="M4693">
        <v>0</v>
      </c>
      <c r="N4693" t="s">
        <v>128</v>
      </c>
      <c r="O4693" s="1" t="s">
        <v>2352</v>
      </c>
      <c r="P4693" t="s">
        <v>2599</v>
      </c>
      <c r="Q4693" s="1" t="s">
        <v>2276</v>
      </c>
      <c r="R4693" s="1" t="s">
        <v>755</v>
      </c>
      <c r="S4693" s="1" t="s">
        <v>2352</v>
      </c>
      <c r="T4693" s="1" t="s">
        <v>396</v>
      </c>
      <c r="U4693" s="1" t="s">
        <v>2609</v>
      </c>
      <c r="X4693" s="1" t="s">
        <v>161</v>
      </c>
      <c r="Y4693" t="s">
        <v>2272</v>
      </c>
      <c r="Z4693" t="s">
        <v>2272</v>
      </c>
      <c r="AA4693" t="s">
        <v>2272</v>
      </c>
      <c r="AB4693" t="s">
        <v>2272</v>
      </c>
      <c r="AC4693" t="s">
        <v>162</v>
      </c>
      <c r="AD4693" t="s">
        <v>2272</v>
      </c>
      <c r="AF4693" t="s">
        <v>49</v>
      </c>
      <c r="AK4693" t="s">
        <v>49</v>
      </c>
      <c r="AM4693" t="s">
        <v>609</v>
      </c>
      <c r="AN4693" t="s">
        <v>165</v>
      </c>
      <c r="AP4693" t="s">
        <v>49</v>
      </c>
      <c r="AS4693" t="s">
        <v>2662</v>
      </c>
    </row>
    <row r="4694" spans="1:45" x14ac:dyDescent="0.2">
      <c r="A4694" t="s">
        <v>2596</v>
      </c>
      <c r="B4694" t="s">
        <v>2597</v>
      </c>
      <c r="C4694">
        <v>2015</v>
      </c>
      <c r="D4694" t="s">
        <v>44</v>
      </c>
      <c r="F4694" t="s">
        <v>2604</v>
      </c>
      <c r="G4694" t="s">
        <v>86</v>
      </c>
      <c r="H4694" t="s">
        <v>350</v>
      </c>
      <c r="K4694" t="s">
        <v>101</v>
      </c>
      <c r="L4694">
        <v>11</v>
      </c>
      <c r="M4694">
        <v>0</v>
      </c>
      <c r="N4694" t="s">
        <v>128</v>
      </c>
      <c r="O4694" s="1" t="s">
        <v>2348</v>
      </c>
      <c r="P4694" t="s">
        <v>2600</v>
      </c>
      <c r="Q4694" s="1" t="s">
        <v>2276</v>
      </c>
      <c r="R4694" s="1" t="s">
        <v>669</v>
      </c>
      <c r="S4694" s="1" t="s">
        <v>2348</v>
      </c>
      <c r="T4694" s="1" t="s">
        <v>396</v>
      </c>
      <c r="U4694" s="1" t="s">
        <v>2610</v>
      </c>
      <c r="X4694" s="1" t="s">
        <v>161</v>
      </c>
      <c r="Y4694" t="s">
        <v>2272</v>
      </c>
      <c r="Z4694" t="s">
        <v>2272</v>
      </c>
      <c r="AA4694" t="s">
        <v>2272</v>
      </c>
      <c r="AB4694" t="s">
        <v>2272</v>
      </c>
      <c r="AC4694" t="s">
        <v>162</v>
      </c>
      <c r="AD4694" t="s">
        <v>2272</v>
      </c>
      <c r="AF4694" t="s">
        <v>49</v>
      </c>
      <c r="AK4694" t="s">
        <v>49</v>
      </c>
      <c r="AM4694" t="s">
        <v>609</v>
      </c>
      <c r="AN4694" t="s">
        <v>165</v>
      </c>
      <c r="AP4694" t="s">
        <v>49</v>
      </c>
      <c r="AS4694" t="s">
        <v>2662</v>
      </c>
    </row>
    <row r="4695" spans="1:45" x14ac:dyDescent="0.2">
      <c r="A4695" t="s">
        <v>2596</v>
      </c>
      <c r="B4695" t="s">
        <v>2597</v>
      </c>
      <c r="C4695">
        <v>2015</v>
      </c>
      <c r="D4695" t="s">
        <v>44</v>
      </c>
      <c r="F4695" t="s">
        <v>2604</v>
      </c>
      <c r="G4695" t="s">
        <v>86</v>
      </c>
      <c r="H4695" t="s">
        <v>350</v>
      </c>
      <c r="K4695" t="s">
        <v>101</v>
      </c>
      <c r="L4695">
        <v>11</v>
      </c>
      <c r="M4695">
        <v>0</v>
      </c>
      <c r="N4695" t="s">
        <v>128</v>
      </c>
      <c r="O4695" s="1"/>
      <c r="P4695" t="s">
        <v>2601</v>
      </c>
      <c r="Q4695" s="1" t="s">
        <v>2276</v>
      </c>
      <c r="R4695" s="1" t="s">
        <v>751</v>
      </c>
      <c r="S4695" s="1" t="s">
        <v>2346</v>
      </c>
      <c r="T4695" s="1" t="s">
        <v>396</v>
      </c>
      <c r="U4695" s="1" t="s">
        <v>2611</v>
      </c>
      <c r="X4695" s="1" t="s">
        <v>161</v>
      </c>
      <c r="Y4695" t="s">
        <v>2272</v>
      </c>
      <c r="Z4695" t="s">
        <v>2272</v>
      </c>
      <c r="AA4695" t="s">
        <v>2272</v>
      </c>
      <c r="AB4695" t="s">
        <v>2272</v>
      </c>
      <c r="AC4695" t="s">
        <v>162</v>
      </c>
      <c r="AD4695" t="s">
        <v>2272</v>
      </c>
      <c r="AF4695" t="s">
        <v>49</v>
      </c>
      <c r="AK4695" t="s">
        <v>49</v>
      </c>
      <c r="AM4695" t="s">
        <v>609</v>
      </c>
      <c r="AN4695" t="s">
        <v>165</v>
      </c>
      <c r="AP4695" t="s">
        <v>49</v>
      </c>
      <c r="AS4695" t="s">
        <v>2662</v>
      </c>
    </row>
    <row r="4696" spans="1:45" x14ac:dyDescent="0.2">
      <c r="A4696" t="s">
        <v>2596</v>
      </c>
      <c r="B4696" t="s">
        <v>2597</v>
      </c>
      <c r="C4696">
        <v>2015</v>
      </c>
      <c r="D4696" t="s">
        <v>44</v>
      </c>
      <c r="F4696" t="s">
        <v>2604</v>
      </c>
      <c r="G4696" t="s">
        <v>86</v>
      </c>
      <c r="H4696" t="s">
        <v>350</v>
      </c>
      <c r="K4696" t="s">
        <v>101</v>
      </c>
      <c r="L4696">
        <v>11</v>
      </c>
      <c r="M4696">
        <v>0</v>
      </c>
      <c r="N4696" t="s">
        <v>128</v>
      </c>
      <c r="O4696" s="1"/>
      <c r="P4696" t="s">
        <v>2602</v>
      </c>
      <c r="Q4696" s="1" t="s">
        <v>2276</v>
      </c>
      <c r="R4696" s="1" t="s">
        <v>751</v>
      </c>
      <c r="S4696" s="1" t="s">
        <v>2346</v>
      </c>
      <c r="T4696" s="1" t="s">
        <v>396</v>
      </c>
      <c r="U4696" s="1" t="s">
        <v>2611</v>
      </c>
      <c r="X4696" s="1" t="s">
        <v>161</v>
      </c>
      <c r="Y4696" t="s">
        <v>2272</v>
      </c>
      <c r="Z4696" t="s">
        <v>2272</v>
      </c>
      <c r="AA4696" t="s">
        <v>2272</v>
      </c>
      <c r="AB4696" t="s">
        <v>2272</v>
      </c>
      <c r="AC4696" t="s">
        <v>162</v>
      </c>
      <c r="AD4696" t="s">
        <v>2272</v>
      </c>
      <c r="AF4696" t="s">
        <v>49</v>
      </c>
      <c r="AK4696" t="s">
        <v>49</v>
      </c>
      <c r="AM4696" t="s">
        <v>609</v>
      </c>
      <c r="AN4696" t="s">
        <v>165</v>
      </c>
      <c r="AP4696" t="s">
        <v>49</v>
      </c>
      <c r="AS4696" t="s">
        <v>2662</v>
      </c>
    </row>
    <row r="4697" spans="1:45" x14ac:dyDescent="0.2">
      <c r="A4697" t="s">
        <v>2596</v>
      </c>
      <c r="B4697" t="s">
        <v>2597</v>
      </c>
      <c r="C4697">
        <v>2015</v>
      </c>
      <c r="D4697" t="s">
        <v>44</v>
      </c>
      <c r="F4697" t="s">
        <v>2604</v>
      </c>
      <c r="G4697" t="s">
        <v>86</v>
      </c>
      <c r="H4697" t="s">
        <v>350</v>
      </c>
      <c r="K4697" t="s">
        <v>101</v>
      </c>
      <c r="L4697">
        <v>11</v>
      </c>
      <c r="M4697">
        <v>0</v>
      </c>
      <c r="N4697" t="s">
        <v>128</v>
      </c>
      <c r="O4697" s="1" t="s">
        <v>2348</v>
      </c>
      <c r="P4697" t="s">
        <v>2603</v>
      </c>
      <c r="Q4697" s="1" t="s">
        <v>2276</v>
      </c>
      <c r="R4697" s="1" t="s">
        <v>669</v>
      </c>
      <c r="S4697" s="1" t="s">
        <v>2348</v>
      </c>
      <c r="T4697" s="1" t="s">
        <v>396</v>
      </c>
      <c r="U4697" s="1" t="s">
        <v>2612</v>
      </c>
      <c r="X4697" s="1" t="s">
        <v>161</v>
      </c>
      <c r="Y4697" t="s">
        <v>2272</v>
      </c>
      <c r="Z4697" t="s">
        <v>2272</v>
      </c>
      <c r="AA4697" t="s">
        <v>2272</v>
      </c>
      <c r="AB4697" t="s">
        <v>2272</v>
      </c>
      <c r="AC4697" t="s">
        <v>162</v>
      </c>
      <c r="AD4697" t="s">
        <v>2272</v>
      </c>
      <c r="AF4697" t="s">
        <v>49</v>
      </c>
      <c r="AK4697" t="s">
        <v>49</v>
      </c>
      <c r="AM4697" t="s">
        <v>609</v>
      </c>
      <c r="AN4697" t="s">
        <v>165</v>
      </c>
      <c r="AP4697" t="s">
        <v>49</v>
      </c>
      <c r="AS4697" t="s">
        <v>2662</v>
      </c>
    </row>
    <row r="4698" spans="1:45" x14ac:dyDescent="0.2">
      <c r="A4698" t="s">
        <v>2613</v>
      </c>
      <c r="B4698" t="s">
        <v>2614</v>
      </c>
      <c r="C4698">
        <v>2003</v>
      </c>
      <c r="D4698" t="s">
        <v>811</v>
      </c>
      <c r="F4698" t="s">
        <v>955</v>
      </c>
      <c r="G4698" t="s">
        <v>85</v>
      </c>
      <c r="H4698" t="s">
        <v>350</v>
      </c>
      <c r="I4698" t="s">
        <v>2128</v>
      </c>
      <c r="J4698">
        <f t="shared" ref="J4698:J4703" si="111">4/12</f>
        <v>0.33333333333333331</v>
      </c>
      <c r="K4698" t="s">
        <v>109</v>
      </c>
      <c r="M4698">
        <v>9</v>
      </c>
      <c r="N4698" t="s">
        <v>120</v>
      </c>
      <c r="P4698" t="s">
        <v>2615</v>
      </c>
      <c r="Q4698" s="1" t="s">
        <v>2276</v>
      </c>
      <c r="R4698" s="1" t="s">
        <v>669</v>
      </c>
      <c r="S4698" s="1" t="s">
        <v>168</v>
      </c>
      <c r="X4698" s="1" t="s">
        <v>189</v>
      </c>
      <c r="Y4698" t="s">
        <v>2279</v>
      </c>
      <c r="Z4698" t="s">
        <v>2280</v>
      </c>
      <c r="AA4698" t="s">
        <v>2358</v>
      </c>
      <c r="AB4698" t="s">
        <v>189</v>
      </c>
      <c r="AC4698" t="s">
        <v>152</v>
      </c>
      <c r="AD4698" t="s">
        <v>2278</v>
      </c>
      <c r="AH4698" s="4" t="s">
        <v>49</v>
      </c>
      <c r="AI4698" t="s">
        <v>49</v>
      </c>
      <c r="AM4698" t="s">
        <v>233</v>
      </c>
      <c r="AN4698" t="s">
        <v>154</v>
      </c>
      <c r="AP4698" t="s">
        <v>51</v>
      </c>
      <c r="AS4698" t="s">
        <v>2662</v>
      </c>
    </row>
    <row r="4699" spans="1:45" x14ac:dyDescent="0.2">
      <c r="A4699" t="s">
        <v>2613</v>
      </c>
      <c r="B4699" t="s">
        <v>2614</v>
      </c>
      <c r="C4699">
        <v>2003</v>
      </c>
      <c r="D4699" t="s">
        <v>811</v>
      </c>
      <c r="F4699" t="s">
        <v>955</v>
      </c>
      <c r="G4699" t="s">
        <v>85</v>
      </c>
      <c r="H4699" t="s">
        <v>350</v>
      </c>
      <c r="I4699" t="s">
        <v>2128</v>
      </c>
      <c r="J4699">
        <f t="shared" si="111"/>
        <v>0.33333333333333331</v>
      </c>
      <c r="K4699" t="s">
        <v>109</v>
      </c>
      <c r="M4699">
        <v>9</v>
      </c>
      <c r="N4699" t="s">
        <v>120</v>
      </c>
      <c r="P4699" t="s">
        <v>2615</v>
      </c>
      <c r="Q4699" s="1" t="s">
        <v>2276</v>
      </c>
      <c r="R4699" s="1" t="s">
        <v>669</v>
      </c>
      <c r="S4699" s="1" t="s">
        <v>168</v>
      </c>
      <c r="X4699" s="1" t="s">
        <v>1196</v>
      </c>
      <c r="Y4699" t="s">
        <v>2279</v>
      </c>
      <c r="Z4699" t="s">
        <v>2280</v>
      </c>
      <c r="AA4699" t="s">
        <v>2286</v>
      </c>
      <c r="AB4699" t="s">
        <v>2305</v>
      </c>
      <c r="AC4699" t="s">
        <v>152</v>
      </c>
      <c r="AD4699" t="s">
        <v>2278</v>
      </c>
      <c r="AH4699" s="4" t="s">
        <v>49</v>
      </c>
      <c r="AI4699" t="s">
        <v>49</v>
      </c>
      <c r="AM4699" t="s">
        <v>233</v>
      </c>
      <c r="AN4699" t="s">
        <v>154</v>
      </c>
      <c r="AP4699" t="s">
        <v>157</v>
      </c>
      <c r="AS4699" t="s">
        <v>2662</v>
      </c>
    </row>
    <row r="4700" spans="1:45" x14ac:dyDescent="0.2">
      <c r="A4700" t="s">
        <v>2613</v>
      </c>
      <c r="B4700" t="s">
        <v>2614</v>
      </c>
      <c r="C4700">
        <v>2003</v>
      </c>
      <c r="D4700" t="s">
        <v>811</v>
      </c>
      <c r="F4700" t="s">
        <v>955</v>
      </c>
      <c r="G4700" t="s">
        <v>85</v>
      </c>
      <c r="H4700" t="s">
        <v>350</v>
      </c>
      <c r="I4700" t="s">
        <v>2128</v>
      </c>
      <c r="J4700">
        <f t="shared" si="111"/>
        <v>0.33333333333333331</v>
      </c>
      <c r="K4700" t="s">
        <v>109</v>
      </c>
      <c r="M4700">
        <v>9</v>
      </c>
      <c r="N4700" t="s">
        <v>120</v>
      </c>
      <c r="P4700" t="s">
        <v>2615</v>
      </c>
      <c r="Q4700" s="1" t="s">
        <v>2276</v>
      </c>
      <c r="R4700" s="1" t="s">
        <v>669</v>
      </c>
      <c r="S4700" s="1" t="s">
        <v>168</v>
      </c>
      <c r="X4700" s="1" t="s">
        <v>189</v>
      </c>
      <c r="Y4700" t="s">
        <v>2279</v>
      </c>
      <c r="Z4700" t="s">
        <v>2280</v>
      </c>
      <c r="AA4700" t="s">
        <v>2358</v>
      </c>
      <c r="AB4700" t="s">
        <v>189</v>
      </c>
      <c r="AC4700" t="s">
        <v>152</v>
      </c>
      <c r="AD4700" t="s">
        <v>2278</v>
      </c>
      <c r="AH4700" s="4" t="s">
        <v>49</v>
      </c>
      <c r="AI4700" t="s">
        <v>49</v>
      </c>
      <c r="AM4700" t="s">
        <v>233</v>
      </c>
      <c r="AN4700" t="s">
        <v>166</v>
      </c>
      <c r="AP4700" t="s">
        <v>51</v>
      </c>
      <c r="AS4700" t="s">
        <v>2662</v>
      </c>
    </row>
    <row r="4701" spans="1:45" x14ac:dyDescent="0.2">
      <c r="A4701" t="s">
        <v>2613</v>
      </c>
      <c r="B4701" t="s">
        <v>2614</v>
      </c>
      <c r="C4701">
        <v>2003</v>
      </c>
      <c r="D4701" t="s">
        <v>811</v>
      </c>
      <c r="F4701" t="s">
        <v>955</v>
      </c>
      <c r="G4701" t="s">
        <v>85</v>
      </c>
      <c r="H4701" t="s">
        <v>350</v>
      </c>
      <c r="I4701" t="s">
        <v>2128</v>
      </c>
      <c r="J4701">
        <f t="shared" si="111"/>
        <v>0.33333333333333331</v>
      </c>
      <c r="K4701" t="s">
        <v>109</v>
      </c>
      <c r="M4701">
        <v>9</v>
      </c>
      <c r="N4701" t="s">
        <v>120</v>
      </c>
      <c r="P4701" t="s">
        <v>2615</v>
      </c>
      <c r="Q4701" s="1" t="s">
        <v>2276</v>
      </c>
      <c r="R4701" s="1" t="s">
        <v>669</v>
      </c>
      <c r="S4701" s="1" t="s">
        <v>168</v>
      </c>
      <c r="X4701" s="1" t="s">
        <v>1196</v>
      </c>
      <c r="Y4701" t="s">
        <v>2279</v>
      </c>
      <c r="Z4701" t="s">
        <v>2280</v>
      </c>
      <c r="AA4701" t="s">
        <v>2286</v>
      </c>
      <c r="AB4701" t="s">
        <v>2305</v>
      </c>
      <c r="AC4701" t="s">
        <v>152</v>
      </c>
      <c r="AD4701" t="s">
        <v>2278</v>
      </c>
      <c r="AH4701" s="4" t="s">
        <v>49</v>
      </c>
      <c r="AI4701" t="s">
        <v>49</v>
      </c>
      <c r="AM4701" t="s">
        <v>233</v>
      </c>
      <c r="AN4701" t="s">
        <v>166</v>
      </c>
      <c r="AP4701" t="s">
        <v>157</v>
      </c>
      <c r="AS4701" t="s">
        <v>2662</v>
      </c>
    </row>
    <row r="4702" spans="1:45" x14ac:dyDescent="0.2">
      <c r="A4702" t="s">
        <v>2613</v>
      </c>
      <c r="B4702" t="s">
        <v>2614</v>
      </c>
      <c r="C4702">
        <v>2003</v>
      </c>
      <c r="D4702" t="s">
        <v>811</v>
      </c>
      <c r="F4702" t="s">
        <v>955</v>
      </c>
      <c r="G4702" t="s">
        <v>85</v>
      </c>
      <c r="H4702" t="s">
        <v>350</v>
      </c>
      <c r="I4702" t="s">
        <v>2128</v>
      </c>
      <c r="J4702">
        <f t="shared" si="111"/>
        <v>0.33333333333333331</v>
      </c>
      <c r="K4702" t="s">
        <v>109</v>
      </c>
      <c r="M4702">
        <v>9</v>
      </c>
      <c r="N4702" t="s">
        <v>120</v>
      </c>
      <c r="P4702" t="s">
        <v>2615</v>
      </c>
      <c r="Q4702" s="1" t="s">
        <v>2276</v>
      </c>
      <c r="R4702" s="1" t="s">
        <v>669</v>
      </c>
      <c r="S4702" s="1" t="s">
        <v>168</v>
      </c>
      <c r="X4702" s="1" t="s">
        <v>189</v>
      </c>
      <c r="Y4702" t="s">
        <v>2279</v>
      </c>
      <c r="Z4702" t="s">
        <v>2280</v>
      </c>
      <c r="AA4702" t="s">
        <v>2358</v>
      </c>
      <c r="AB4702" t="s">
        <v>189</v>
      </c>
      <c r="AC4702" t="s">
        <v>152</v>
      </c>
      <c r="AD4702" t="s">
        <v>2278</v>
      </c>
      <c r="AH4702" s="4" t="s">
        <v>49</v>
      </c>
      <c r="AI4702" t="s">
        <v>49</v>
      </c>
      <c r="AM4702" t="s">
        <v>233</v>
      </c>
      <c r="AN4702" t="s">
        <v>165</v>
      </c>
      <c r="AP4702" t="s">
        <v>49</v>
      </c>
      <c r="AS4702" t="s">
        <v>2662</v>
      </c>
    </row>
    <row r="4703" spans="1:45" x14ac:dyDescent="0.2">
      <c r="A4703" t="s">
        <v>2613</v>
      </c>
      <c r="B4703" t="s">
        <v>2614</v>
      </c>
      <c r="C4703">
        <v>2003</v>
      </c>
      <c r="D4703" t="s">
        <v>811</v>
      </c>
      <c r="F4703" t="s">
        <v>955</v>
      </c>
      <c r="G4703" t="s">
        <v>85</v>
      </c>
      <c r="H4703" t="s">
        <v>350</v>
      </c>
      <c r="I4703" t="s">
        <v>2128</v>
      </c>
      <c r="J4703">
        <f t="shared" si="111"/>
        <v>0.33333333333333331</v>
      </c>
      <c r="K4703" t="s">
        <v>109</v>
      </c>
      <c r="M4703">
        <v>9</v>
      </c>
      <c r="N4703" t="s">
        <v>120</v>
      </c>
      <c r="P4703" t="s">
        <v>2615</v>
      </c>
      <c r="Q4703" s="1" t="s">
        <v>2276</v>
      </c>
      <c r="R4703" s="1" t="s">
        <v>669</v>
      </c>
      <c r="S4703" s="1" t="s">
        <v>168</v>
      </c>
      <c r="X4703" s="1" t="s">
        <v>1196</v>
      </c>
      <c r="Y4703" t="s">
        <v>2279</v>
      </c>
      <c r="Z4703" t="s">
        <v>2280</v>
      </c>
      <c r="AA4703" t="s">
        <v>2286</v>
      </c>
      <c r="AB4703" t="s">
        <v>2305</v>
      </c>
      <c r="AC4703" t="s">
        <v>152</v>
      </c>
      <c r="AD4703" t="s">
        <v>2278</v>
      </c>
      <c r="AH4703" s="4" t="s">
        <v>49</v>
      </c>
      <c r="AI4703" t="s">
        <v>49</v>
      </c>
      <c r="AM4703" t="s">
        <v>233</v>
      </c>
      <c r="AN4703" t="s">
        <v>165</v>
      </c>
      <c r="AP4703" t="s">
        <v>49</v>
      </c>
      <c r="AS4703" t="s">
        <v>2662</v>
      </c>
    </row>
    <row r="4704" spans="1:45" x14ac:dyDescent="0.2">
      <c r="A4704" t="s">
        <v>2616</v>
      </c>
      <c r="B4704" t="s">
        <v>2617</v>
      </c>
      <c r="C4704">
        <v>2000</v>
      </c>
      <c r="D4704" t="s">
        <v>44</v>
      </c>
      <c r="F4704" t="s">
        <v>710</v>
      </c>
      <c r="G4704" t="s">
        <v>86</v>
      </c>
      <c r="H4704" t="s">
        <v>350</v>
      </c>
      <c r="M4704">
        <v>0.25</v>
      </c>
      <c r="N4704" t="s">
        <v>121</v>
      </c>
      <c r="P4704" t="s">
        <v>286</v>
      </c>
      <c r="Q4704" s="1" t="s">
        <v>2292</v>
      </c>
      <c r="R4704" s="1" t="s">
        <v>264</v>
      </c>
      <c r="S4704" s="1" t="s">
        <v>264</v>
      </c>
      <c r="X4704" s="1" t="s">
        <v>189</v>
      </c>
      <c r="Y4704" t="s">
        <v>2279</v>
      </c>
      <c r="Z4704" t="s">
        <v>2280</v>
      </c>
      <c r="AA4704" t="s">
        <v>2358</v>
      </c>
      <c r="AB4704" t="s">
        <v>189</v>
      </c>
      <c r="AC4704" t="s">
        <v>152</v>
      </c>
      <c r="AD4704" t="s">
        <v>2278</v>
      </c>
      <c r="AF4704" t="s">
        <v>49</v>
      </c>
      <c r="AI4704" t="s">
        <v>49</v>
      </c>
      <c r="AM4704" t="s">
        <v>2453</v>
      </c>
      <c r="AN4704" t="s">
        <v>166</v>
      </c>
      <c r="AS4704" t="s">
        <v>2662</v>
      </c>
    </row>
    <row r="4705" spans="1:45" x14ac:dyDescent="0.2">
      <c r="A4705" t="s">
        <v>2616</v>
      </c>
      <c r="B4705" t="s">
        <v>2617</v>
      </c>
      <c r="C4705">
        <v>2000</v>
      </c>
      <c r="D4705" t="s">
        <v>44</v>
      </c>
      <c r="F4705" t="s">
        <v>710</v>
      </c>
      <c r="G4705" t="s">
        <v>86</v>
      </c>
      <c r="H4705" t="s">
        <v>350</v>
      </c>
      <c r="M4705">
        <v>0.25</v>
      </c>
      <c r="N4705" t="s">
        <v>121</v>
      </c>
      <c r="P4705" t="s">
        <v>286</v>
      </c>
      <c r="Q4705" s="1" t="s">
        <v>2292</v>
      </c>
      <c r="R4705" s="1" t="s">
        <v>264</v>
      </c>
      <c r="S4705" s="1" t="s">
        <v>264</v>
      </c>
      <c r="X4705" s="1" t="s">
        <v>393</v>
      </c>
      <c r="Y4705" t="s">
        <v>2273</v>
      </c>
      <c r="Z4705" t="s">
        <v>249</v>
      </c>
      <c r="AA4705" t="s">
        <v>2274</v>
      </c>
      <c r="AB4705" t="s">
        <v>2300</v>
      </c>
      <c r="AC4705" t="s">
        <v>152</v>
      </c>
      <c r="AD4705" t="s">
        <v>137</v>
      </c>
      <c r="AF4705" t="s">
        <v>49</v>
      </c>
      <c r="AI4705" t="s">
        <v>49</v>
      </c>
      <c r="AM4705" t="s">
        <v>2453</v>
      </c>
      <c r="AN4705" t="s">
        <v>166</v>
      </c>
      <c r="AS4705" t="s">
        <v>2662</v>
      </c>
    </row>
    <row r="4706" spans="1:45" x14ac:dyDescent="0.2">
      <c r="A4706" t="s">
        <v>2616</v>
      </c>
      <c r="B4706" t="s">
        <v>2617</v>
      </c>
      <c r="C4706">
        <v>2000</v>
      </c>
      <c r="D4706" t="s">
        <v>44</v>
      </c>
      <c r="F4706" t="s">
        <v>710</v>
      </c>
      <c r="G4706" t="s">
        <v>86</v>
      </c>
      <c r="H4706" t="s">
        <v>350</v>
      </c>
      <c r="M4706">
        <v>0.25</v>
      </c>
      <c r="N4706" t="s">
        <v>121</v>
      </c>
      <c r="P4706" t="s">
        <v>286</v>
      </c>
      <c r="Q4706" s="1" t="s">
        <v>2292</v>
      </c>
      <c r="R4706" s="1" t="s">
        <v>264</v>
      </c>
      <c r="S4706" s="1" t="s">
        <v>264</v>
      </c>
      <c r="X4706" s="1" t="s">
        <v>303</v>
      </c>
      <c r="Y4706" t="s">
        <v>2273</v>
      </c>
      <c r="Z4706" t="s">
        <v>249</v>
      </c>
      <c r="AA4706" t="s">
        <v>2359</v>
      </c>
      <c r="AB4706" t="s">
        <v>1419</v>
      </c>
      <c r="AC4706" t="s">
        <v>152</v>
      </c>
      <c r="AD4706" t="s">
        <v>2288</v>
      </c>
      <c r="AF4706" t="s">
        <v>49</v>
      </c>
      <c r="AI4706" t="s">
        <v>49</v>
      </c>
      <c r="AM4706" t="s">
        <v>2453</v>
      </c>
      <c r="AN4706" t="s">
        <v>166</v>
      </c>
      <c r="AS4706" t="s">
        <v>2662</v>
      </c>
    </row>
    <row r="4707" spans="1:45" x14ac:dyDescent="0.2">
      <c r="A4707" t="s">
        <v>2616</v>
      </c>
      <c r="B4707" t="s">
        <v>2617</v>
      </c>
      <c r="C4707">
        <v>2000</v>
      </c>
      <c r="D4707" t="s">
        <v>44</v>
      </c>
      <c r="F4707" t="s">
        <v>710</v>
      </c>
      <c r="G4707" t="s">
        <v>86</v>
      </c>
      <c r="H4707" t="s">
        <v>350</v>
      </c>
      <c r="M4707">
        <v>0.25</v>
      </c>
      <c r="N4707" t="s">
        <v>121</v>
      </c>
      <c r="P4707" t="s">
        <v>286</v>
      </c>
      <c r="Q4707" s="1" t="s">
        <v>2292</v>
      </c>
      <c r="R4707" s="1" t="s">
        <v>264</v>
      </c>
      <c r="S4707" s="1" t="s">
        <v>264</v>
      </c>
      <c r="X4707" s="1" t="s">
        <v>2618</v>
      </c>
      <c r="Y4707" t="s">
        <v>2273</v>
      </c>
      <c r="Z4707" t="s">
        <v>249</v>
      </c>
      <c r="AA4707" t="s">
        <v>2359</v>
      </c>
      <c r="AB4707" t="s">
        <v>1419</v>
      </c>
      <c r="AC4707" t="s">
        <v>152</v>
      </c>
      <c r="AD4707" t="s">
        <v>137</v>
      </c>
      <c r="AF4707" t="s">
        <v>49</v>
      </c>
      <c r="AI4707" t="s">
        <v>49</v>
      </c>
      <c r="AM4707" t="s">
        <v>2453</v>
      </c>
      <c r="AN4707" t="s">
        <v>166</v>
      </c>
      <c r="AS4707" t="s">
        <v>2662</v>
      </c>
    </row>
    <row r="4708" spans="1:45" x14ac:dyDescent="0.2">
      <c r="A4708" t="s">
        <v>2616</v>
      </c>
      <c r="B4708" t="s">
        <v>2617</v>
      </c>
      <c r="C4708">
        <v>2000</v>
      </c>
      <c r="D4708" t="s">
        <v>44</v>
      </c>
      <c r="F4708" t="s">
        <v>710</v>
      </c>
      <c r="G4708" t="s">
        <v>86</v>
      </c>
      <c r="H4708" t="s">
        <v>350</v>
      </c>
      <c r="M4708">
        <v>0.25</v>
      </c>
      <c r="N4708" t="s">
        <v>121</v>
      </c>
      <c r="P4708" t="s">
        <v>286</v>
      </c>
      <c r="Q4708" s="1" t="s">
        <v>2292</v>
      </c>
      <c r="R4708" s="1" t="s">
        <v>264</v>
      </c>
      <c r="S4708" s="1" t="s">
        <v>264</v>
      </c>
      <c r="X4708" s="1" t="s">
        <v>2619</v>
      </c>
      <c r="Y4708" t="s">
        <v>2279</v>
      </c>
      <c r="Z4708" t="s">
        <v>2280</v>
      </c>
      <c r="AA4708" t="s">
        <v>2286</v>
      </c>
      <c r="AB4708" t="s">
        <v>2287</v>
      </c>
      <c r="AC4708" t="s">
        <v>315</v>
      </c>
      <c r="AD4708" t="s">
        <v>2278</v>
      </c>
      <c r="AF4708" t="s">
        <v>49</v>
      </c>
      <c r="AI4708" t="s">
        <v>49</v>
      </c>
      <c r="AM4708" t="s">
        <v>2453</v>
      </c>
      <c r="AN4708" t="s">
        <v>166</v>
      </c>
      <c r="AP4708" t="s">
        <v>51</v>
      </c>
      <c r="AS4708" t="s">
        <v>2662</v>
      </c>
    </row>
    <row r="4709" spans="1:45" x14ac:dyDescent="0.2">
      <c r="A4709" t="s">
        <v>2616</v>
      </c>
      <c r="B4709" t="s">
        <v>2617</v>
      </c>
      <c r="C4709">
        <v>2000</v>
      </c>
      <c r="D4709" t="s">
        <v>44</v>
      </c>
      <c r="F4709" t="s">
        <v>710</v>
      </c>
      <c r="G4709" t="s">
        <v>86</v>
      </c>
      <c r="H4709" t="s">
        <v>350</v>
      </c>
      <c r="M4709">
        <v>0.25</v>
      </c>
      <c r="N4709" t="s">
        <v>121</v>
      </c>
      <c r="P4709" t="s">
        <v>286</v>
      </c>
      <c r="Q4709" s="1" t="s">
        <v>2292</v>
      </c>
      <c r="R4709" s="1" t="s">
        <v>264</v>
      </c>
      <c r="S4709" s="1" t="s">
        <v>264</v>
      </c>
      <c r="X4709" s="1" t="s">
        <v>171</v>
      </c>
      <c r="Y4709" t="s">
        <v>2273</v>
      </c>
      <c r="Z4709" t="s">
        <v>249</v>
      </c>
      <c r="AA4709" t="s">
        <v>2359</v>
      </c>
      <c r="AB4709" t="s">
        <v>1979</v>
      </c>
      <c r="AC4709" t="s">
        <v>152</v>
      </c>
      <c r="AD4709" t="s">
        <v>137</v>
      </c>
      <c r="AF4709" t="s">
        <v>49</v>
      </c>
      <c r="AI4709" t="s">
        <v>49</v>
      </c>
      <c r="AM4709" t="s">
        <v>2453</v>
      </c>
      <c r="AN4709" t="s">
        <v>166</v>
      </c>
      <c r="AS4709" t="s">
        <v>2662</v>
      </c>
    </row>
    <row r="4710" spans="1:45" x14ac:dyDescent="0.2">
      <c r="A4710" t="s">
        <v>2616</v>
      </c>
      <c r="B4710" t="s">
        <v>2617</v>
      </c>
      <c r="C4710">
        <v>2000</v>
      </c>
      <c r="D4710" t="s">
        <v>44</v>
      </c>
      <c r="F4710" t="s">
        <v>710</v>
      </c>
      <c r="G4710" t="s">
        <v>86</v>
      </c>
      <c r="H4710" t="s">
        <v>350</v>
      </c>
      <c r="M4710">
        <v>0.25</v>
      </c>
      <c r="N4710" t="s">
        <v>121</v>
      </c>
      <c r="P4710" t="s">
        <v>286</v>
      </c>
      <c r="Q4710" s="1" t="s">
        <v>2292</v>
      </c>
      <c r="R4710" s="1" t="s">
        <v>264</v>
      </c>
      <c r="S4710" s="1" t="s">
        <v>264</v>
      </c>
      <c r="X4710" s="1" t="s">
        <v>2620</v>
      </c>
      <c r="Y4710" t="s">
        <v>2273</v>
      </c>
      <c r="Z4710" t="s">
        <v>249</v>
      </c>
      <c r="AA4710" t="s">
        <v>2274</v>
      </c>
      <c r="AB4710" t="s">
        <v>2275</v>
      </c>
      <c r="AC4710" t="s">
        <v>152</v>
      </c>
      <c r="AD4710" t="s">
        <v>137</v>
      </c>
      <c r="AF4710" t="s">
        <v>49</v>
      </c>
      <c r="AI4710" t="s">
        <v>49</v>
      </c>
      <c r="AM4710" t="s">
        <v>2453</v>
      </c>
      <c r="AN4710" t="s">
        <v>166</v>
      </c>
      <c r="AS4710" t="s">
        <v>2662</v>
      </c>
    </row>
    <row r="4711" spans="1:45" x14ac:dyDescent="0.2">
      <c r="A4711" t="s">
        <v>2616</v>
      </c>
      <c r="B4711" t="s">
        <v>2617</v>
      </c>
      <c r="C4711">
        <v>2000</v>
      </c>
      <c r="D4711" t="s">
        <v>44</v>
      </c>
      <c r="F4711" t="s">
        <v>710</v>
      </c>
      <c r="G4711" t="s">
        <v>86</v>
      </c>
      <c r="H4711" t="s">
        <v>350</v>
      </c>
      <c r="M4711">
        <v>0.25</v>
      </c>
      <c r="N4711" t="s">
        <v>121</v>
      </c>
      <c r="P4711" t="s">
        <v>286</v>
      </c>
      <c r="Q4711" s="1" t="s">
        <v>2292</v>
      </c>
      <c r="R4711" s="1" t="s">
        <v>264</v>
      </c>
      <c r="S4711" s="1" t="s">
        <v>264</v>
      </c>
      <c r="X4711" s="1" t="s">
        <v>189</v>
      </c>
      <c r="Y4711" t="s">
        <v>2279</v>
      </c>
      <c r="Z4711" t="s">
        <v>2280</v>
      </c>
      <c r="AA4711" t="s">
        <v>2358</v>
      </c>
      <c r="AB4711" t="s">
        <v>189</v>
      </c>
      <c r="AC4711" t="s">
        <v>152</v>
      </c>
      <c r="AD4711" t="s">
        <v>2278</v>
      </c>
      <c r="AF4711" t="s">
        <v>49</v>
      </c>
      <c r="AI4711" t="s">
        <v>49</v>
      </c>
      <c r="AM4711" t="s">
        <v>2453</v>
      </c>
      <c r="AN4711" t="s">
        <v>154</v>
      </c>
      <c r="AS4711" t="s">
        <v>2662</v>
      </c>
    </row>
    <row r="4712" spans="1:45" x14ac:dyDescent="0.2">
      <c r="A4712" t="s">
        <v>2616</v>
      </c>
      <c r="B4712" t="s">
        <v>2617</v>
      </c>
      <c r="C4712">
        <v>2000</v>
      </c>
      <c r="D4712" t="s">
        <v>44</v>
      </c>
      <c r="F4712" t="s">
        <v>710</v>
      </c>
      <c r="G4712" t="s">
        <v>86</v>
      </c>
      <c r="H4712" t="s">
        <v>350</v>
      </c>
      <c r="M4712">
        <v>0.25</v>
      </c>
      <c r="N4712" t="s">
        <v>121</v>
      </c>
      <c r="P4712" t="s">
        <v>286</v>
      </c>
      <c r="Q4712" s="1" t="s">
        <v>2292</v>
      </c>
      <c r="R4712" s="1" t="s">
        <v>264</v>
      </c>
      <c r="S4712" s="1" t="s">
        <v>264</v>
      </c>
      <c r="X4712" s="1" t="s">
        <v>393</v>
      </c>
      <c r="Y4712" t="s">
        <v>2273</v>
      </c>
      <c r="Z4712" t="s">
        <v>249</v>
      </c>
      <c r="AA4712" t="s">
        <v>2274</v>
      </c>
      <c r="AB4712" t="s">
        <v>2300</v>
      </c>
      <c r="AC4712" t="s">
        <v>152</v>
      </c>
      <c r="AD4712" t="s">
        <v>137</v>
      </c>
      <c r="AF4712" t="s">
        <v>49</v>
      </c>
      <c r="AI4712" t="s">
        <v>49</v>
      </c>
      <c r="AM4712" t="s">
        <v>2453</v>
      </c>
      <c r="AN4712" t="s">
        <v>154</v>
      </c>
      <c r="AS4712" t="s">
        <v>2662</v>
      </c>
    </row>
    <row r="4713" spans="1:45" x14ac:dyDescent="0.2">
      <c r="A4713" t="s">
        <v>2616</v>
      </c>
      <c r="B4713" t="s">
        <v>2617</v>
      </c>
      <c r="C4713">
        <v>2000</v>
      </c>
      <c r="D4713" t="s">
        <v>44</v>
      </c>
      <c r="F4713" t="s">
        <v>710</v>
      </c>
      <c r="G4713" t="s">
        <v>86</v>
      </c>
      <c r="H4713" t="s">
        <v>350</v>
      </c>
      <c r="M4713">
        <v>0.25</v>
      </c>
      <c r="N4713" t="s">
        <v>121</v>
      </c>
      <c r="P4713" t="s">
        <v>286</v>
      </c>
      <c r="Q4713" s="1" t="s">
        <v>2292</v>
      </c>
      <c r="R4713" s="1" t="s">
        <v>264</v>
      </c>
      <c r="S4713" s="1" t="s">
        <v>264</v>
      </c>
      <c r="X4713" s="1" t="s">
        <v>303</v>
      </c>
      <c r="Y4713" t="s">
        <v>2273</v>
      </c>
      <c r="Z4713" t="s">
        <v>249</v>
      </c>
      <c r="AA4713" t="s">
        <v>2359</v>
      </c>
      <c r="AB4713" t="s">
        <v>1419</v>
      </c>
      <c r="AC4713" t="s">
        <v>152</v>
      </c>
      <c r="AD4713" t="s">
        <v>2288</v>
      </c>
      <c r="AF4713" t="s">
        <v>49</v>
      </c>
      <c r="AI4713" t="s">
        <v>49</v>
      </c>
      <c r="AM4713" t="s">
        <v>2453</v>
      </c>
      <c r="AN4713" t="s">
        <v>154</v>
      </c>
      <c r="AS4713" t="s">
        <v>2662</v>
      </c>
    </row>
    <row r="4714" spans="1:45" x14ac:dyDescent="0.2">
      <c r="A4714" t="s">
        <v>2616</v>
      </c>
      <c r="B4714" t="s">
        <v>2617</v>
      </c>
      <c r="C4714">
        <v>2000</v>
      </c>
      <c r="D4714" t="s">
        <v>44</v>
      </c>
      <c r="F4714" t="s">
        <v>710</v>
      </c>
      <c r="G4714" t="s">
        <v>86</v>
      </c>
      <c r="H4714" t="s">
        <v>350</v>
      </c>
      <c r="M4714">
        <v>0.25</v>
      </c>
      <c r="N4714" t="s">
        <v>121</v>
      </c>
      <c r="P4714" t="s">
        <v>286</v>
      </c>
      <c r="Q4714" s="1" t="s">
        <v>2292</v>
      </c>
      <c r="R4714" s="1" t="s">
        <v>264</v>
      </c>
      <c r="S4714" s="1" t="s">
        <v>264</v>
      </c>
      <c r="X4714" s="1" t="s">
        <v>2618</v>
      </c>
      <c r="Y4714" t="s">
        <v>2273</v>
      </c>
      <c r="Z4714" t="s">
        <v>249</v>
      </c>
      <c r="AA4714" t="s">
        <v>2359</v>
      </c>
      <c r="AB4714" t="s">
        <v>1419</v>
      </c>
      <c r="AC4714" t="s">
        <v>152</v>
      </c>
      <c r="AD4714" t="s">
        <v>137</v>
      </c>
      <c r="AF4714" t="s">
        <v>49</v>
      </c>
      <c r="AI4714" t="s">
        <v>49</v>
      </c>
      <c r="AM4714" t="s">
        <v>2453</v>
      </c>
      <c r="AN4714" t="s">
        <v>154</v>
      </c>
      <c r="AS4714" t="s">
        <v>2662</v>
      </c>
    </row>
    <row r="4715" spans="1:45" x14ac:dyDescent="0.2">
      <c r="A4715" t="s">
        <v>2616</v>
      </c>
      <c r="B4715" t="s">
        <v>2617</v>
      </c>
      <c r="C4715">
        <v>2000</v>
      </c>
      <c r="D4715" t="s">
        <v>44</v>
      </c>
      <c r="F4715" t="s">
        <v>710</v>
      </c>
      <c r="G4715" t="s">
        <v>86</v>
      </c>
      <c r="H4715" t="s">
        <v>350</v>
      </c>
      <c r="M4715">
        <v>0.25</v>
      </c>
      <c r="N4715" t="s">
        <v>121</v>
      </c>
      <c r="P4715" t="s">
        <v>286</v>
      </c>
      <c r="Q4715" s="1" t="s">
        <v>2292</v>
      </c>
      <c r="R4715" s="1" t="s">
        <v>264</v>
      </c>
      <c r="S4715" s="1" t="s">
        <v>264</v>
      </c>
      <c r="X4715" s="1" t="s">
        <v>2619</v>
      </c>
      <c r="Y4715" t="s">
        <v>2279</v>
      </c>
      <c r="Z4715" t="s">
        <v>2280</v>
      </c>
      <c r="AA4715" t="s">
        <v>2286</v>
      </c>
      <c r="AB4715" t="s">
        <v>2287</v>
      </c>
      <c r="AC4715" t="s">
        <v>315</v>
      </c>
      <c r="AD4715" t="s">
        <v>2278</v>
      </c>
      <c r="AF4715" t="s">
        <v>49</v>
      </c>
      <c r="AI4715" t="s">
        <v>49</v>
      </c>
      <c r="AM4715" t="s">
        <v>2453</v>
      </c>
      <c r="AN4715" t="s">
        <v>154</v>
      </c>
      <c r="AP4715" t="s">
        <v>51</v>
      </c>
      <c r="AS4715" t="s">
        <v>2662</v>
      </c>
    </row>
    <row r="4716" spans="1:45" x14ac:dyDescent="0.2">
      <c r="A4716" t="s">
        <v>2616</v>
      </c>
      <c r="B4716" t="s">
        <v>2617</v>
      </c>
      <c r="C4716">
        <v>2000</v>
      </c>
      <c r="D4716" t="s">
        <v>44</v>
      </c>
      <c r="F4716" t="s">
        <v>710</v>
      </c>
      <c r="G4716" t="s">
        <v>86</v>
      </c>
      <c r="H4716" t="s">
        <v>350</v>
      </c>
      <c r="M4716">
        <v>0.25</v>
      </c>
      <c r="N4716" t="s">
        <v>121</v>
      </c>
      <c r="P4716" t="s">
        <v>286</v>
      </c>
      <c r="Q4716" s="1" t="s">
        <v>2292</v>
      </c>
      <c r="R4716" s="1" t="s">
        <v>264</v>
      </c>
      <c r="S4716" s="1" t="s">
        <v>264</v>
      </c>
      <c r="X4716" s="1" t="s">
        <v>171</v>
      </c>
      <c r="Y4716" t="s">
        <v>2273</v>
      </c>
      <c r="Z4716" t="s">
        <v>249</v>
      </c>
      <c r="AA4716" t="s">
        <v>2359</v>
      </c>
      <c r="AB4716" t="s">
        <v>1979</v>
      </c>
      <c r="AC4716" t="s">
        <v>152</v>
      </c>
      <c r="AD4716" t="s">
        <v>137</v>
      </c>
      <c r="AF4716" t="s">
        <v>49</v>
      </c>
      <c r="AI4716" t="s">
        <v>49</v>
      </c>
      <c r="AM4716" t="s">
        <v>2453</v>
      </c>
      <c r="AN4716" t="s">
        <v>154</v>
      </c>
      <c r="AS4716" t="s">
        <v>2662</v>
      </c>
    </row>
    <row r="4717" spans="1:45" x14ac:dyDescent="0.2">
      <c r="A4717" t="s">
        <v>2616</v>
      </c>
      <c r="B4717" t="s">
        <v>2617</v>
      </c>
      <c r="C4717">
        <v>2000</v>
      </c>
      <c r="D4717" t="s">
        <v>44</v>
      </c>
      <c r="F4717" t="s">
        <v>710</v>
      </c>
      <c r="G4717" t="s">
        <v>86</v>
      </c>
      <c r="H4717" t="s">
        <v>350</v>
      </c>
      <c r="M4717">
        <v>0.25</v>
      </c>
      <c r="N4717" t="s">
        <v>121</v>
      </c>
      <c r="P4717" t="s">
        <v>286</v>
      </c>
      <c r="Q4717" s="1" t="s">
        <v>2292</v>
      </c>
      <c r="R4717" s="1" t="s">
        <v>264</v>
      </c>
      <c r="S4717" s="1" t="s">
        <v>264</v>
      </c>
      <c r="X4717" s="1" t="s">
        <v>2620</v>
      </c>
      <c r="Y4717" t="s">
        <v>2273</v>
      </c>
      <c r="Z4717" t="s">
        <v>249</v>
      </c>
      <c r="AA4717" t="s">
        <v>2274</v>
      </c>
      <c r="AB4717" t="s">
        <v>2275</v>
      </c>
      <c r="AC4717" t="s">
        <v>152</v>
      </c>
      <c r="AD4717" t="s">
        <v>137</v>
      </c>
      <c r="AF4717" t="s">
        <v>49</v>
      </c>
      <c r="AI4717" t="s">
        <v>49</v>
      </c>
      <c r="AM4717" t="s">
        <v>2453</v>
      </c>
      <c r="AN4717" t="s">
        <v>154</v>
      </c>
      <c r="AS4717" t="s">
        <v>2662</v>
      </c>
    </row>
    <row r="4718" spans="1:45" x14ac:dyDescent="0.2">
      <c r="A4718" t="s">
        <v>2616</v>
      </c>
      <c r="B4718" t="s">
        <v>2617</v>
      </c>
      <c r="C4718">
        <v>2000</v>
      </c>
      <c r="D4718" t="s">
        <v>44</v>
      </c>
      <c r="F4718" t="s">
        <v>710</v>
      </c>
      <c r="G4718" t="s">
        <v>86</v>
      </c>
      <c r="H4718" t="s">
        <v>350</v>
      </c>
      <c r="M4718">
        <v>0.25</v>
      </c>
      <c r="N4718" t="s">
        <v>121</v>
      </c>
      <c r="P4718" t="s">
        <v>286</v>
      </c>
      <c r="Q4718" s="1" t="s">
        <v>2292</v>
      </c>
      <c r="R4718" s="1" t="s">
        <v>264</v>
      </c>
      <c r="S4718" s="1" t="s">
        <v>264</v>
      </c>
      <c r="X4718" s="1" t="s">
        <v>189</v>
      </c>
      <c r="Y4718" t="s">
        <v>2279</v>
      </c>
      <c r="Z4718" t="s">
        <v>2280</v>
      </c>
      <c r="AA4718" t="s">
        <v>2358</v>
      </c>
      <c r="AB4718" t="s">
        <v>189</v>
      </c>
      <c r="AC4718" t="s">
        <v>152</v>
      </c>
      <c r="AD4718" t="s">
        <v>2278</v>
      </c>
      <c r="AF4718" t="s">
        <v>49</v>
      </c>
      <c r="AI4718" t="s">
        <v>49</v>
      </c>
      <c r="AM4718" t="s">
        <v>2453</v>
      </c>
      <c r="AN4718" t="s">
        <v>165</v>
      </c>
      <c r="AP4718" t="s">
        <v>49</v>
      </c>
      <c r="AS4718" t="s">
        <v>2662</v>
      </c>
    </row>
    <row r="4719" spans="1:45" x14ac:dyDescent="0.2">
      <c r="A4719" t="s">
        <v>2616</v>
      </c>
      <c r="B4719" t="s">
        <v>2617</v>
      </c>
      <c r="C4719">
        <v>2000</v>
      </c>
      <c r="D4719" t="s">
        <v>44</v>
      </c>
      <c r="F4719" t="s">
        <v>710</v>
      </c>
      <c r="G4719" t="s">
        <v>86</v>
      </c>
      <c r="H4719" t="s">
        <v>350</v>
      </c>
      <c r="M4719">
        <v>0.25</v>
      </c>
      <c r="N4719" t="s">
        <v>121</v>
      </c>
      <c r="P4719" t="s">
        <v>286</v>
      </c>
      <c r="Q4719" s="1" t="s">
        <v>2292</v>
      </c>
      <c r="R4719" s="1" t="s">
        <v>264</v>
      </c>
      <c r="S4719" s="1" t="s">
        <v>264</v>
      </c>
      <c r="X4719" s="1" t="s">
        <v>393</v>
      </c>
      <c r="Y4719" t="s">
        <v>2273</v>
      </c>
      <c r="Z4719" t="s">
        <v>249</v>
      </c>
      <c r="AA4719" t="s">
        <v>2274</v>
      </c>
      <c r="AB4719" t="s">
        <v>2300</v>
      </c>
      <c r="AC4719" t="s">
        <v>152</v>
      </c>
      <c r="AD4719" t="s">
        <v>137</v>
      </c>
      <c r="AF4719" t="s">
        <v>49</v>
      </c>
      <c r="AI4719" t="s">
        <v>49</v>
      </c>
      <c r="AM4719" t="s">
        <v>2453</v>
      </c>
      <c r="AN4719" t="s">
        <v>165</v>
      </c>
      <c r="AS4719" t="s">
        <v>2662</v>
      </c>
    </row>
    <row r="4720" spans="1:45" x14ac:dyDescent="0.2">
      <c r="A4720" t="s">
        <v>2616</v>
      </c>
      <c r="B4720" t="s">
        <v>2617</v>
      </c>
      <c r="C4720">
        <v>2000</v>
      </c>
      <c r="D4720" t="s">
        <v>44</v>
      </c>
      <c r="F4720" t="s">
        <v>710</v>
      </c>
      <c r="G4720" t="s">
        <v>86</v>
      </c>
      <c r="H4720" t="s">
        <v>350</v>
      </c>
      <c r="M4720">
        <v>0.25</v>
      </c>
      <c r="N4720" t="s">
        <v>121</v>
      </c>
      <c r="P4720" t="s">
        <v>286</v>
      </c>
      <c r="Q4720" s="1" t="s">
        <v>2292</v>
      </c>
      <c r="R4720" s="1" t="s">
        <v>264</v>
      </c>
      <c r="S4720" s="1" t="s">
        <v>264</v>
      </c>
      <c r="X4720" s="1" t="s">
        <v>303</v>
      </c>
      <c r="Y4720" t="s">
        <v>2273</v>
      </c>
      <c r="Z4720" t="s">
        <v>249</v>
      </c>
      <c r="AA4720" t="s">
        <v>2359</v>
      </c>
      <c r="AB4720" t="s">
        <v>1419</v>
      </c>
      <c r="AC4720" t="s">
        <v>152</v>
      </c>
      <c r="AD4720" t="s">
        <v>2288</v>
      </c>
      <c r="AF4720" t="s">
        <v>49</v>
      </c>
      <c r="AI4720" t="s">
        <v>49</v>
      </c>
      <c r="AM4720" t="s">
        <v>2453</v>
      </c>
      <c r="AN4720" t="s">
        <v>165</v>
      </c>
      <c r="AS4720" t="s">
        <v>2662</v>
      </c>
    </row>
    <row r="4721" spans="1:45" x14ac:dyDescent="0.2">
      <c r="A4721" t="s">
        <v>2616</v>
      </c>
      <c r="B4721" t="s">
        <v>2617</v>
      </c>
      <c r="C4721">
        <v>2000</v>
      </c>
      <c r="D4721" t="s">
        <v>44</v>
      </c>
      <c r="F4721" t="s">
        <v>710</v>
      </c>
      <c r="G4721" t="s">
        <v>86</v>
      </c>
      <c r="H4721" t="s">
        <v>350</v>
      </c>
      <c r="M4721">
        <v>0.25</v>
      </c>
      <c r="N4721" t="s">
        <v>121</v>
      </c>
      <c r="P4721" t="s">
        <v>286</v>
      </c>
      <c r="Q4721" s="1" t="s">
        <v>2292</v>
      </c>
      <c r="R4721" s="1" t="s">
        <v>264</v>
      </c>
      <c r="S4721" s="1" t="s">
        <v>264</v>
      </c>
      <c r="X4721" s="1" t="s">
        <v>2618</v>
      </c>
      <c r="Y4721" t="s">
        <v>2273</v>
      </c>
      <c r="Z4721" t="s">
        <v>249</v>
      </c>
      <c r="AA4721" t="s">
        <v>2359</v>
      </c>
      <c r="AB4721" t="s">
        <v>1419</v>
      </c>
      <c r="AC4721" t="s">
        <v>152</v>
      </c>
      <c r="AD4721" t="s">
        <v>137</v>
      </c>
      <c r="AF4721" t="s">
        <v>49</v>
      </c>
      <c r="AI4721" t="s">
        <v>49</v>
      </c>
      <c r="AM4721" t="s">
        <v>2453</v>
      </c>
      <c r="AN4721" t="s">
        <v>165</v>
      </c>
      <c r="AS4721" t="s">
        <v>2662</v>
      </c>
    </row>
    <row r="4722" spans="1:45" x14ac:dyDescent="0.2">
      <c r="A4722" t="s">
        <v>2616</v>
      </c>
      <c r="B4722" t="s">
        <v>2617</v>
      </c>
      <c r="C4722">
        <v>2000</v>
      </c>
      <c r="D4722" t="s">
        <v>44</v>
      </c>
      <c r="F4722" t="s">
        <v>710</v>
      </c>
      <c r="G4722" t="s">
        <v>86</v>
      </c>
      <c r="H4722" t="s">
        <v>350</v>
      </c>
      <c r="M4722">
        <v>0.25</v>
      </c>
      <c r="N4722" t="s">
        <v>121</v>
      </c>
      <c r="P4722" t="s">
        <v>286</v>
      </c>
      <c r="Q4722" s="1" t="s">
        <v>2292</v>
      </c>
      <c r="R4722" s="1" t="s">
        <v>264</v>
      </c>
      <c r="S4722" s="1" t="s">
        <v>264</v>
      </c>
      <c r="X4722" s="1" t="s">
        <v>2619</v>
      </c>
      <c r="Y4722" t="s">
        <v>2279</v>
      </c>
      <c r="Z4722" t="s">
        <v>2280</v>
      </c>
      <c r="AA4722" t="s">
        <v>2286</v>
      </c>
      <c r="AB4722" t="s">
        <v>2287</v>
      </c>
      <c r="AC4722" t="s">
        <v>315</v>
      </c>
      <c r="AD4722" t="s">
        <v>2278</v>
      </c>
      <c r="AF4722" t="s">
        <v>49</v>
      </c>
      <c r="AI4722" t="s">
        <v>49</v>
      </c>
      <c r="AM4722" t="s">
        <v>2453</v>
      </c>
      <c r="AN4722" t="s">
        <v>165</v>
      </c>
      <c r="AS4722" t="s">
        <v>2662</v>
      </c>
    </row>
    <row r="4723" spans="1:45" x14ac:dyDescent="0.2">
      <c r="A4723" t="s">
        <v>2616</v>
      </c>
      <c r="B4723" t="s">
        <v>2617</v>
      </c>
      <c r="C4723">
        <v>2000</v>
      </c>
      <c r="D4723" t="s">
        <v>44</v>
      </c>
      <c r="F4723" t="s">
        <v>710</v>
      </c>
      <c r="G4723" t="s">
        <v>86</v>
      </c>
      <c r="H4723" t="s">
        <v>350</v>
      </c>
      <c r="M4723">
        <v>0.25</v>
      </c>
      <c r="N4723" t="s">
        <v>121</v>
      </c>
      <c r="P4723" t="s">
        <v>286</v>
      </c>
      <c r="Q4723" s="1" t="s">
        <v>2292</v>
      </c>
      <c r="R4723" s="1" t="s">
        <v>264</v>
      </c>
      <c r="S4723" s="1" t="s">
        <v>264</v>
      </c>
      <c r="X4723" s="1" t="s">
        <v>171</v>
      </c>
      <c r="Y4723" t="s">
        <v>2273</v>
      </c>
      <c r="Z4723" t="s">
        <v>249</v>
      </c>
      <c r="AA4723" t="s">
        <v>2359</v>
      </c>
      <c r="AB4723" t="s">
        <v>1979</v>
      </c>
      <c r="AC4723" t="s">
        <v>152</v>
      </c>
      <c r="AD4723" t="s">
        <v>137</v>
      </c>
      <c r="AF4723" t="s">
        <v>49</v>
      </c>
      <c r="AI4723" t="s">
        <v>49</v>
      </c>
      <c r="AM4723" t="s">
        <v>2453</v>
      </c>
      <c r="AN4723" t="s">
        <v>165</v>
      </c>
      <c r="AS4723" t="s">
        <v>2662</v>
      </c>
    </row>
    <row r="4724" spans="1:45" x14ac:dyDescent="0.2">
      <c r="A4724" t="s">
        <v>2616</v>
      </c>
      <c r="B4724" t="s">
        <v>2617</v>
      </c>
      <c r="C4724">
        <v>2000</v>
      </c>
      <c r="D4724" t="s">
        <v>44</v>
      </c>
      <c r="F4724" t="s">
        <v>710</v>
      </c>
      <c r="G4724" t="s">
        <v>86</v>
      </c>
      <c r="H4724" t="s">
        <v>350</v>
      </c>
      <c r="M4724">
        <v>0.25</v>
      </c>
      <c r="N4724" t="s">
        <v>121</v>
      </c>
      <c r="P4724" t="s">
        <v>286</v>
      </c>
      <c r="Q4724" s="1" t="s">
        <v>2292</v>
      </c>
      <c r="R4724" s="1" t="s">
        <v>264</v>
      </c>
      <c r="S4724" s="1" t="s">
        <v>264</v>
      </c>
      <c r="X4724" s="1" t="s">
        <v>2620</v>
      </c>
      <c r="Y4724" t="s">
        <v>2273</v>
      </c>
      <c r="Z4724" t="s">
        <v>249</v>
      </c>
      <c r="AA4724" t="s">
        <v>2274</v>
      </c>
      <c r="AB4724" t="s">
        <v>2275</v>
      </c>
      <c r="AC4724" t="s">
        <v>152</v>
      </c>
      <c r="AD4724" t="s">
        <v>137</v>
      </c>
      <c r="AF4724" t="s">
        <v>49</v>
      </c>
      <c r="AI4724" t="s">
        <v>49</v>
      </c>
      <c r="AM4724" t="s">
        <v>2453</v>
      </c>
      <c r="AN4724" t="s">
        <v>165</v>
      </c>
      <c r="AS4724" t="s">
        <v>2662</v>
      </c>
    </row>
    <row r="4725" spans="1:45" x14ac:dyDescent="0.2">
      <c r="A4725" t="s">
        <v>2616</v>
      </c>
      <c r="B4725" t="s">
        <v>2621</v>
      </c>
      <c r="C4725">
        <v>1977</v>
      </c>
      <c r="D4725" t="s">
        <v>44</v>
      </c>
      <c r="F4725" t="s">
        <v>1200</v>
      </c>
      <c r="G4725" t="s">
        <v>88</v>
      </c>
      <c r="H4725" t="s">
        <v>350</v>
      </c>
      <c r="I4725">
        <v>1974</v>
      </c>
      <c r="J4725">
        <f>2/12</f>
        <v>0.16666666666666666</v>
      </c>
      <c r="M4725">
        <v>0.25</v>
      </c>
      <c r="N4725" t="s">
        <v>121</v>
      </c>
      <c r="P4725" t="s">
        <v>2623</v>
      </c>
      <c r="Q4725" s="1" t="s">
        <v>2292</v>
      </c>
      <c r="R4725" s="1" t="s">
        <v>264</v>
      </c>
      <c r="S4725" s="1" t="s">
        <v>264</v>
      </c>
      <c r="X4725" s="1" t="s">
        <v>437</v>
      </c>
      <c r="Y4725" t="s">
        <v>2273</v>
      </c>
      <c r="Z4725" t="s">
        <v>249</v>
      </c>
      <c r="AA4725" t="s">
        <v>2274</v>
      </c>
      <c r="AB4725" t="s">
        <v>1979</v>
      </c>
      <c r="AC4725" t="s">
        <v>152</v>
      </c>
      <c r="AD4725" t="s">
        <v>2288</v>
      </c>
      <c r="AF4725" t="s">
        <v>49</v>
      </c>
      <c r="AJ4725" t="s">
        <v>49</v>
      </c>
      <c r="AM4725" t="s">
        <v>2622</v>
      </c>
      <c r="AN4725" t="s">
        <v>166</v>
      </c>
      <c r="AP4725" t="s">
        <v>157</v>
      </c>
      <c r="AS4725" t="s">
        <v>2662</v>
      </c>
    </row>
    <row r="4726" spans="1:45" x14ac:dyDescent="0.2">
      <c r="A4726" t="s">
        <v>2616</v>
      </c>
      <c r="B4726" t="s">
        <v>2621</v>
      </c>
      <c r="C4726">
        <v>1977</v>
      </c>
      <c r="D4726" t="s">
        <v>44</v>
      </c>
      <c r="F4726" t="s">
        <v>1200</v>
      </c>
      <c r="G4726" t="s">
        <v>88</v>
      </c>
      <c r="H4726" t="s">
        <v>350</v>
      </c>
      <c r="I4726">
        <v>1974</v>
      </c>
      <c r="J4726">
        <f>2/12</f>
        <v>0.16666666666666666</v>
      </c>
      <c r="M4726">
        <v>0.25</v>
      </c>
      <c r="N4726" t="s">
        <v>121</v>
      </c>
      <c r="P4726" t="s">
        <v>2623</v>
      </c>
      <c r="Q4726" s="1" t="s">
        <v>2292</v>
      </c>
      <c r="R4726" s="1" t="s">
        <v>264</v>
      </c>
      <c r="S4726" s="1" t="s">
        <v>264</v>
      </c>
      <c r="X4726" s="1" t="s">
        <v>1929</v>
      </c>
      <c r="Y4726" t="s">
        <v>2279</v>
      </c>
      <c r="Z4726" t="s">
        <v>528</v>
      </c>
      <c r="AA4726" t="s">
        <v>2470</v>
      </c>
      <c r="AB4726" t="s">
        <v>2581</v>
      </c>
      <c r="AC4726" t="s">
        <v>152</v>
      </c>
      <c r="AD4726" t="s">
        <v>2288</v>
      </c>
      <c r="AF4726" t="s">
        <v>49</v>
      </c>
      <c r="AJ4726" t="s">
        <v>49</v>
      </c>
      <c r="AM4726" t="s">
        <v>2622</v>
      </c>
      <c r="AN4726" t="s">
        <v>166</v>
      </c>
      <c r="AP4726" t="s">
        <v>157</v>
      </c>
      <c r="AS4726" t="s">
        <v>2662</v>
      </c>
    </row>
    <row r="4727" spans="1:45" x14ac:dyDescent="0.2">
      <c r="A4727" t="s">
        <v>2616</v>
      </c>
      <c r="B4727" t="s">
        <v>2621</v>
      </c>
      <c r="C4727">
        <v>1977</v>
      </c>
      <c r="D4727" t="s">
        <v>44</v>
      </c>
      <c r="F4727" t="s">
        <v>1200</v>
      </c>
      <c r="G4727" t="s">
        <v>88</v>
      </c>
      <c r="H4727" t="s">
        <v>350</v>
      </c>
      <c r="I4727">
        <v>1974</v>
      </c>
      <c r="J4727">
        <f>2/12</f>
        <v>0.16666666666666666</v>
      </c>
      <c r="M4727">
        <v>0.25</v>
      </c>
      <c r="N4727" t="s">
        <v>121</v>
      </c>
      <c r="P4727" t="s">
        <v>2623</v>
      </c>
      <c r="Q4727" s="1" t="s">
        <v>2292</v>
      </c>
      <c r="R4727" s="1" t="s">
        <v>264</v>
      </c>
      <c r="S4727" s="1" t="s">
        <v>264</v>
      </c>
      <c r="X4727" s="1" t="s">
        <v>437</v>
      </c>
      <c r="Y4727" t="s">
        <v>2273</v>
      </c>
      <c r="Z4727" t="s">
        <v>249</v>
      </c>
      <c r="AA4727" t="s">
        <v>2274</v>
      </c>
      <c r="AB4727" t="s">
        <v>1979</v>
      </c>
      <c r="AC4727" t="s">
        <v>152</v>
      </c>
      <c r="AD4727" t="s">
        <v>2288</v>
      </c>
      <c r="AF4727" t="s">
        <v>49</v>
      </c>
      <c r="AJ4727" t="s">
        <v>49</v>
      </c>
      <c r="AM4727" t="s">
        <v>2622</v>
      </c>
      <c r="AN4727" t="s">
        <v>154</v>
      </c>
      <c r="AP4727" t="s">
        <v>157</v>
      </c>
      <c r="AS4727" t="s">
        <v>2662</v>
      </c>
    </row>
    <row r="4728" spans="1:45" x14ac:dyDescent="0.2">
      <c r="A4728" t="s">
        <v>2616</v>
      </c>
      <c r="B4728" t="s">
        <v>2621</v>
      </c>
      <c r="C4728">
        <v>1977</v>
      </c>
      <c r="D4728" t="s">
        <v>44</v>
      </c>
      <c r="F4728" t="s">
        <v>1200</v>
      </c>
      <c r="G4728" t="s">
        <v>88</v>
      </c>
      <c r="H4728" t="s">
        <v>350</v>
      </c>
      <c r="I4728">
        <v>1974</v>
      </c>
      <c r="J4728">
        <f>2/12</f>
        <v>0.16666666666666666</v>
      </c>
      <c r="M4728">
        <v>0.25</v>
      </c>
      <c r="N4728" t="s">
        <v>121</v>
      </c>
      <c r="P4728" t="s">
        <v>2623</v>
      </c>
      <c r="Q4728" s="1" t="s">
        <v>2292</v>
      </c>
      <c r="R4728" s="1" t="s">
        <v>264</v>
      </c>
      <c r="S4728" s="1" t="s">
        <v>264</v>
      </c>
      <c r="X4728" s="1" t="s">
        <v>1929</v>
      </c>
      <c r="Y4728" t="s">
        <v>2273</v>
      </c>
      <c r="Z4728" t="s">
        <v>249</v>
      </c>
      <c r="AA4728" t="s">
        <v>2274</v>
      </c>
      <c r="AB4728" t="s">
        <v>1979</v>
      </c>
      <c r="AC4728" t="s">
        <v>152</v>
      </c>
      <c r="AD4728" t="s">
        <v>2288</v>
      </c>
      <c r="AF4728" t="s">
        <v>49</v>
      </c>
      <c r="AJ4728" t="s">
        <v>49</v>
      </c>
      <c r="AM4728" t="s">
        <v>2622</v>
      </c>
      <c r="AN4728" t="s">
        <v>154</v>
      </c>
      <c r="AP4728" t="s">
        <v>157</v>
      </c>
      <c r="AQ4728"/>
      <c r="AS4728" t="s">
        <v>2662</v>
      </c>
    </row>
    <row r="4729" spans="1:45" x14ac:dyDescent="0.2">
      <c r="A4729" t="s">
        <v>2625</v>
      </c>
      <c r="B4729" t="s">
        <v>2206</v>
      </c>
      <c r="C4729">
        <v>1985</v>
      </c>
      <c r="D4729" t="s">
        <v>811</v>
      </c>
      <c r="F4729" t="s">
        <v>1402</v>
      </c>
      <c r="G4729" t="s">
        <v>88</v>
      </c>
      <c r="H4729" t="s">
        <v>350</v>
      </c>
      <c r="I4729">
        <v>1980</v>
      </c>
      <c r="M4729">
        <v>1</v>
      </c>
      <c r="N4729" t="s">
        <v>121</v>
      </c>
      <c r="P4729" t="s">
        <v>2627</v>
      </c>
      <c r="Q4729" s="1" t="s">
        <v>2624</v>
      </c>
      <c r="R4729" s="1" t="s">
        <v>2624</v>
      </c>
      <c r="S4729" s="1" t="s">
        <v>2624</v>
      </c>
      <c r="X4729" s="1" t="s">
        <v>171</v>
      </c>
      <c r="Y4729" t="s">
        <v>2279</v>
      </c>
      <c r="Z4729" t="s">
        <v>2280</v>
      </c>
      <c r="AA4729" t="s">
        <v>2358</v>
      </c>
      <c r="AB4729" t="s">
        <v>2580</v>
      </c>
      <c r="AC4729" t="s">
        <v>152</v>
      </c>
      <c r="AD4729" t="s">
        <v>2278</v>
      </c>
      <c r="AF4729" t="s">
        <v>49</v>
      </c>
      <c r="AI4729" t="s">
        <v>49</v>
      </c>
      <c r="AM4729" t="s">
        <v>262</v>
      </c>
      <c r="AN4729" t="s">
        <v>166</v>
      </c>
      <c r="AS4729" t="s">
        <v>2662</v>
      </c>
    </row>
    <row r="4730" spans="1:45" x14ac:dyDescent="0.2">
      <c r="A4730" t="s">
        <v>2625</v>
      </c>
      <c r="B4730" t="s">
        <v>2206</v>
      </c>
      <c r="C4730">
        <v>1985</v>
      </c>
      <c r="D4730" t="s">
        <v>811</v>
      </c>
      <c r="F4730" t="s">
        <v>1402</v>
      </c>
      <c r="G4730" t="s">
        <v>88</v>
      </c>
      <c r="H4730" t="s">
        <v>350</v>
      </c>
      <c r="I4730">
        <v>1980</v>
      </c>
      <c r="M4730">
        <v>1</v>
      </c>
      <c r="N4730" t="s">
        <v>121</v>
      </c>
      <c r="P4730" t="s">
        <v>1521</v>
      </c>
      <c r="Q4730" s="1" t="s">
        <v>2292</v>
      </c>
      <c r="R4730" s="1" t="s">
        <v>264</v>
      </c>
      <c r="S4730" s="1" t="s">
        <v>264</v>
      </c>
      <c r="X4730" s="1" t="s">
        <v>171</v>
      </c>
      <c r="Y4730" t="s">
        <v>2279</v>
      </c>
      <c r="Z4730" t="s">
        <v>2280</v>
      </c>
      <c r="AA4730" t="s">
        <v>2358</v>
      </c>
      <c r="AB4730" t="s">
        <v>2580</v>
      </c>
      <c r="AC4730" t="s">
        <v>152</v>
      </c>
      <c r="AD4730" t="s">
        <v>2278</v>
      </c>
      <c r="AF4730" t="s">
        <v>49</v>
      </c>
      <c r="AI4730" t="s">
        <v>49</v>
      </c>
      <c r="AM4730" t="s">
        <v>262</v>
      </c>
      <c r="AN4730" t="s">
        <v>166</v>
      </c>
      <c r="AS4730" t="s">
        <v>2662</v>
      </c>
    </row>
    <row r="4731" spans="1:45" x14ac:dyDescent="0.2">
      <c r="A4731" t="s">
        <v>2625</v>
      </c>
      <c r="B4731" t="s">
        <v>2206</v>
      </c>
      <c r="C4731">
        <v>1985</v>
      </c>
      <c r="D4731" t="s">
        <v>811</v>
      </c>
      <c r="F4731" t="s">
        <v>1402</v>
      </c>
      <c r="G4731" t="s">
        <v>88</v>
      </c>
      <c r="H4731" t="s">
        <v>350</v>
      </c>
      <c r="I4731">
        <v>1980</v>
      </c>
      <c r="M4731">
        <v>1</v>
      </c>
      <c r="N4731" t="s">
        <v>121</v>
      </c>
      <c r="P4731" t="s">
        <v>2626</v>
      </c>
      <c r="Q4731" s="1" t="s">
        <v>2276</v>
      </c>
      <c r="R4731" s="1" t="s">
        <v>755</v>
      </c>
      <c r="S4731" s="1" t="s">
        <v>2352</v>
      </c>
      <c r="X4731" s="1" t="s">
        <v>171</v>
      </c>
      <c r="Y4731" t="s">
        <v>2279</v>
      </c>
      <c r="Z4731" t="s">
        <v>2280</v>
      </c>
      <c r="AA4731" t="s">
        <v>2358</v>
      </c>
      <c r="AB4731" t="s">
        <v>2580</v>
      </c>
      <c r="AC4731" t="s">
        <v>152</v>
      </c>
      <c r="AD4731" t="s">
        <v>2278</v>
      </c>
      <c r="AF4731" t="s">
        <v>49</v>
      </c>
      <c r="AI4731" t="s">
        <v>49</v>
      </c>
      <c r="AM4731" t="s">
        <v>262</v>
      </c>
      <c r="AN4731" t="s">
        <v>166</v>
      </c>
      <c r="AS4731" t="s">
        <v>2662</v>
      </c>
    </row>
    <row r="4732" spans="1:45" x14ac:dyDescent="0.2">
      <c r="A4732" t="s">
        <v>2625</v>
      </c>
      <c r="B4732" t="s">
        <v>2206</v>
      </c>
      <c r="C4732">
        <v>1985</v>
      </c>
      <c r="D4732" t="s">
        <v>811</v>
      </c>
      <c r="F4732" t="s">
        <v>1402</v>
      </c>
      <c r="G4732" t="s">
        <v>88</v>
      </c>
      <c r="H4732" t="s">
        <v>350</v>
      </c>
      <c r="I4732">
        <v>1980</v>
      </c>
      <c r="M4732">
        <v>1</v>
      </c>
      <c r="N4732" t="s">
        <v>121</v>
      </c>
      <c r="P4732" t="s">
        <v>2627</v>
      </c>
      <c r="Q4732" s="1" t="s">
        <v>2624</v>
      </c>
      <c r="R4732" s="1" t="s">
        <v>2624</v>
      </c>
      <c r="S4732" s="1" t="s">
        <v>2624</v>
      </c>
      <c r="X4732" s="1" t="s">
        <v>502</v>
      </c>
      <c r="Y4732" t="s">
        <v>2279</v>
      </c>
      <c r="Z4732" t="s">
        <v>2280</v>
      </c>
      <c r="AA4732" t="s">
        <v>2358</v>
      </c>
      <c r="AB4732" t="s">
        <v>2459</v>
      </c>
      <c r="AC4732" t="s">
        <v>152</v>
      </c>
      <c r="AD4732" t="s">
        <v>2278</v>
      </c>
      <c r="AF4732" t="s">
        <v>49</v>
      </c>
      <c r="AI4732" t="s">
        <v>49</v>
      </c>
      <c r="AM4732" t="s">
        <v>262</v>
      </c>
      <c r="AN4732" t="s">
        <v>166</v>
      </c>
      <c r="AS4732" t="s">
        <v>2662</v>
      </c>
    </row>
    <row r="4733" spans="1:45" x14ac:dyDescent="0.2">
      <c r="A4733" t="s">
        <v>2625</v>
      </c>
      <c r="B4733" t="s">
        <v>2206</v>
      </c>
      <c r="C4733">
        <v>1985</v>
      </c>
      <c r="D4733" t="s">
        <v>811</v>
      </c>
      <c r="F4733" t="s">
        <v>1402</v>
      </c>
      <c r="G4733" t="s">
        <v>88</v>
      </c>
      <c r="H4733" t="s">
        <v>350</v>
      </c>
      <c r="I4733">
        <v>1980</v>
      </c>
      <c r="M4733">
        <v>1</v>
      </c>
      <c r="N4733" t="s">
        <v>121</v>
      </c>
      <c r="P4733" t="s">
        <v>1521</v>
      </c>
      <c r="Q4733" s="1" t="s">
        <v>2292</v>
      </c>
      <c r="R4733" s="1" t="s">
        <v>264</v>
      </c>
      <c r="S4733" s="1" t="s">
        <v>264</v>
      </c>
      <c r="X4733" s="1" t="s">
        <v>502</v>
      </c>
      <c r="Y4733" t="s">
        <v>2279</v>
      </c>
      <c r="Z4733" t="s">
        <v>2280</v>
      </c>
      <c r="AA4733" t="s">
        <v>2358</v>
      </c>
      <c r="AB4733" t="s">
        <v>2459</v>
      </c>
      <c r="AC4733" t="s">
        <v>152</v>
      </c>
      <c r="AD4733" t="s">
        <v>2278</v>
      </c>
      <c r="AF4733" t="s">
        <v>49</v>
      </c>
      <c r="AI4733" t="s">
        <v>49</v>
      </c>
      <c r="AM4733" t="s">
        <v>262</v>
      </c>
      <c r="AN4733" t="s">
        <v>166</v>
      </c>
      <c r="AS4733" t="s">
        <v>2662</v>
      </c>
    </row>
    <row r="4734" spans="1:45" x14ac:dyDescent="0.2">
      <c r="A4734" t="s">
        <v>2625</v>
      </c>
      <c r="B4734" t="s">
        <v>2206</v>
      </c>
      <c r="C4734">
        <v>1985</v>
      </c>
      <c r="D4734" t="s">
        <v>811</v>
      </c>
      <c r="F4734" t="s">
        <v>1402</v>
      </c>
      <c r="G4734" t="s">
        <v>88</v>
      </c>
      <c r="H4734" t="s">
        <v>350</v>
      </c>
      <c r="I4734">
        <v>1980</v>
      </c>
      <c r="M4734">
        <v>1</v>
      </c>
      <c r="N4734" t="s">
        <v>121</v>
      </c>
      <c r="P4734" t="s">
        <v>2626</v>
      </c>
      <c r="Q4734" s="1" t="s">
        <v>2276</v>
      </c>
      <c r="R4734" s="1" t="s">
        <v>755</v>
      </c>
      <c r="S4734" s="1" t="s">
        <v>2352</v>
      </c>
      <c r="X4734" s="1" t="s">
        <v>502</v>
      </c>
      <c r="Y4734" t="s">
        <v>2279</v>
      </c>
      <c r="Z4734" t="s">
        <v>2280</v>
      </c>
      <c r="AA4734" t="s">
        <v>2358</v>
      </c>
      <c r="AB4734" t="s">
        <v>2459</v>
      </c>
      <c r="AC4734" t="s">
        <v>152</v>
      </c>
      <c r="AD4734" t="s">
        <v>2278</v>
      </c>
      <c r="AF4734" t="s">
        <v>49</v>
      </c>
      <c r="AI4734" t="s">
        <v>49</v>
      </c>
      <c r="AM4734" t="s">
        <v>262</v>
      </c>
      <c r="AN4734" t="s">
        <v>166</v>
      </c>
      <c r="AS4734" t="s">
        <v>2662</v>
      </c>
    </row>
    <row r="4735" spans="1:45" x14ac:dyDescent="0.2">
      <c r="A4735" t="s">
        <v>2625</v>
      </c>
      <c r="B4735" t="s">
        <v>2206</v>
      </c>
      <c r="C4735">
        <v>1985</v>
      </c>
      <c r="D4735" t="s">
        <v>811</v>
      </c>
      <c r="F4735" t="s">
        <v>1402</v>
      </c>
      <c r="G4735" t="s">
        <v>88</v>
      </c>
      <c r="H4735" t="s">
        <v>350</v>
      </c>
      <c r="I4735">
        <v>1980</v>
      </c>
      <c r="M4735">
        <v>1</v>
      </c>
      <c r="N4735" t="s">
        <v>121</v>
      </c>
      <c r="P4735" t="s">
        <v>2627</v>
      </c>
      <c r="Q4735" s="1" t="s">
        <v>2624</v>
      </c>
      <c r="R4735" s="1" t="s">
        <v>2624</v>
      </c>
      <c r="S4735" s="1" t="s">
        <v>2624</v>
      </c>
      <c r="T4735" s="1" t="s">
        <v>396</v>
      </c>
      <c r="U4735" s="1" t="s">
        <v>2628</v>
      </c>
      <c r="X4735" s="1" t="s">
        <v>161</v>
      </c>
      <c r="Y4735" t="s">
        <v>2272</v>
      </c>
      <c r="Z4735" t="s">
        <v>2272</v>
      </c>
      <c r="AA4735" t="s">
        <v>2272</v>
      </c>
      <c r="AB4735" t="s">
        <v>2272</v>
      </c>
      <c r="AC4735" t="s">
        <v>152</v>
      </c>
      <c r="AD4735" t="s">
        <v>2278</v>
      </c>
      <c r="AF4735" t="s">
        <v>49</v>
      </c>
      <c r="AI4735" t="s">
        <v>49</v>
      </c>
      <c r="AM4735" t="s">
        <v>262</v>
      </c>
      <c r="AN4735" t="s">
        <v>166</v>
      </c>
      <c r="AS4735" t="s">
        <v>2662</v>
      </c>
    </row>
    <row r="4736" spans="1:45" x14ac:dyDescent="0.2">
      <c r="A4736" t="s">
        <v>2625</v>
      </c>
      <c r="B4736" t="s">
        <v>2206</v>
      </c>
      <c r="C4736">
        <v>1985</v>
      </c>
      <c r="D4736" t="s">
        <v>811</v>
      </c>
      <c r="F4736" t="s">
        <v>1402</v>
      </c>
      <c r="G4736" t="s">
        <v>88</v>
      </c>
      <c r="H4736" t="s">
        <v>350</v>
      </c>
      <c r="I4736">
        <v>1980</v>
      </c>
      <c r="M4736">
        <v>1</v>
      </c>
      <c r="N4736" t="s">
        <v>121</v>
      </c>
      <c r="P4736" t="s">
        <v>1521</v>
      </c>
      <c r="Q4736" s="1" t="s">
        <v>2292</v>
      </c>
      <c r="R4736" s="1" t="s">
        <v>264</v>
      </c>
      <c r="S4736" s="1" t="s">
        <v>264</v>
      </c>
      <c r="T4736" s="1" t="s">
        <v>396</v>
      </c>
      <c r="U4736" s="1" t="s">
        <v>2629</v>
      </c>
      <c r="X4736" s="1" t="s">
        <v>161</v>
      </c>
      <c r="Y4736" t="s">
        <v>2272</v>
      </c>
      <c r="Z4736" t="s">
        <v>2272</v>
      </c>
      <c r="AA4736" t="s">
        <v>2272</v>
      </c>
      <c r="AB4736" t="s">
        <v>2272</v>
      </c>
      <c r="AC4736" t="s">
        <v>152</v>
      </c>
      <c r="AD4736" t="s">
        <v>2278</v>
      </c>
      <c r="AF4736" t="s">
        <v>49</v>
      </c>
      <c r="AI4736" t="s">
        <v>49</v>
      </c>
      <c r="AM4736" t="s">
        <v>262</v>
      </c>
      <c r="AN4736" t="s">
        <v>166</v>
      </c>
      <c r="AS4736" t="s">
        <v>2662</v>
      </c>
    </row>
    <row r="4737" spans="1:45" x14ac:dyDescent="0.2">
      <c r="A4737" t="s">
        <v>2625</v>
      </c>
      <c r="B4737" t="s">
        <v>2206</v>
      </c>
      <c r="C4737">
        <v>1985</v>
      </c>
      <c r="D4737" t="s">
        <v>811</v>
      </c>
      <c r="F4737" t="s">
        <v>1402</v>
      </c>
      <c r="G4737" t="s">
        <v>88</v>
      </c>
      <c r="H4737" t="s">
        <v>350</v>
      </c>
      <c r="I4737">
        <v>1980</v>
      </c>
      <c r="M4737">
        <v>1</v>
      </c>
      <c r="N4737" t="s">
        <v>121</v>
      </c>
      <c r="P4737" t="s">
        <v>2626</v>
      </c>
      <c r="Q4737" s="1" t="s">
        <v>2276</v>
      </c>
      <c r="R4737" s="1" t="s">
        <v>755</v>
      </c>
      <c r="S4737" s="1" t="s">
        <v>2352</v>
      </c>
      <c r="T4737" s="1" t="s">
        <v>396</v>
      </c>
      <c r="U4737" s="1" t="s">
        <v>2630</v>
      </c>
      <c r="X4737" s="1" t="s">
        <v>161</v>
      </c>
      <c r="Y4737" t="s">
        <v>2272</v>
      </c>
      <c r="Z4737" t="s">
        <v>2272</v>
      </c>
      <c r="AA4737" t="s">
        <v>2272</v>
      </c>
      <c r="AB4737" t="s">
        <v>2272</v>
      </c>
      <c r="AC4737" t="s">
        <v>152</v>
      </c>
      <c r="AD4737" t="s">
        <v>2278</v>
      </c>
      <c r="AF4737" t="s">
        <v>49</v>
      </c>
      <c r="AI4737" t="s">
        <v>49</v>
      </c>
      <c r="AM4737" t="s">
        <v>262</v>
      </c>
      <c r="AN4737" t="s">
        <v>166</v>
      </c>
      <c r="AS4737" t="s">
        <v>2662</v>
      </c>
    </row>
    <row r="4738" spans="1:45" x14ac:dyDescent="0.2">
      <c r="A4738" t="s">
        <v>2625</v>
      </c>
      <c r="B4738" t="s">
        <v>2206</v>
      </c>
      <c r="C4738">
        <v>1985</v>
      </c>
      <c r="D4738" t="s">
        <v>811</v>
      </c>
      <c r="F4738" t="s">
        <v>1402</v>
      </c>
      <c r="G4738" t="s">
        <v>88</v>
      </c>
      <c r="H4738" t="s">
        <v>350</v>
      </c>
      <c r="I4738">
        <v>1980</v>
      </c>
      <c r="M4738">
        <v>1</v>
      </c>
      <c r="N4738" t="s">
        <v>121</v>
      </c>
      <c r="P4738" t="s">
        <v>2627</v>
      </c>
      <c r="Q4738" s="1" t="s">
        <v>2624</v>
      </c>
      <c r="R4738" s="1" t="s">
        <v>2624</v>
      </c>
      <c r="S4738" s="1" t="s">
        <v>2624</v>
      </c>
      <c r="X4738" s="1" t="s">
        <v>171</v>
      </c>
      <c r="Y4738" t="s">
        <v>2279</v>
      </c>
      <c r="Z4738" t="s">
        <v>2280</v>
      </c>
      <c r="AA4738" t="s">
        <v>2358</v>
      </c>
      <c r="AB4738" t="s">
        <v>2580</v>
      </c>
      <c r="AC4738" t="s">
        <v>152</v>
      </c>
      <c r="AD4738" t="s">
        <v>2278</v>
      </c>
      <c r="AF4738" t="s">
        <v>49</v>
      </c>
      <c r="AI4738" t="s">
        <v>49</v>
      </c>
      <c r="AM4738" t="s">
        <v>262</v>
      </c>
      <c r="AN4738" t="s">
        <v>154</v>
      </c>
      <c r="AS4738" t="s">
        <v>2662</v>
      </c>
    </row>
    <row r="4739" spans="1:45" x14ac:dyDescent="0.2">
      <c r="A4739" t="s">
        <v>2625</v>
      </c>
      <c r="B4739" t="s">
        <v>2206</v>
      </c>
      <c r="C4739">
        <v>1985</v>
      </c>
      <c r="D4739" t="s">
        <v>811</v>
      </c>
      <c r="F4739" t="s">
        <v>1402</v>
      </c>
      <c r="G4739" t="s">
        <v>88</v>
      </c>
      <c r="H4739" t="s">
        <v>350</v>
      </c>
      <c r="I4739">
        <v>1980</v>
      </c>
      <c r="M4739">
        <v>1</v>
      </c>
      <c r="N4739" t="s">
        <v>121</v>
      </c>
      <c r="P4739" t="s">
        <v>1521</v>
      </c>
      <c r="Q4739" s="1" t="s">
        <v>2292</v>
      </c>
      <c r="R4739" s="1" t="s">
        <v>264</v>
      </c>
      <c r="S4739" s="1" t="s">
        <v>264</v>
      </c>
      <c r="X4739" s="1" t="s">
        <v>171</v>
      </c>
      <c r="Y4739" t="s">
        <v>2279</v>
      </c>
      <c r="Z4739" t="s">
        <v>2280</v>
      </c>
      <c r="AA4739" t="s">
        <v>2358</v>
      </c>
      <c r="AB4739" t="s">
        <v>2580</v>
      </c>
      <c r="AC4739" t="s">
        <v>152</v>
      </c>
      <c r="AD4739" t="s">
        <v>2278</v>
      </c>
      <c r="AF4739" t="s">
        <v>49</v>
      </c>
      <c r="AI4739" t="s">
        <v>49</v>
      </c>
      <c r="AM4739" t="s">
        <v>262</v>
      </c>
      <c r="AN4739" t="s">
        <v>154</v>
      </c>
      <c r="AS4739" t="s">
        <v>2662</v>
      </c>
    </row>
    <row r="4740" spans="1:45" x14ac:dyDescent="0.2">
      <c r="A4740" t="s">
        <v>2625</v>
      </c>
      <c r="B4740" t="s">
        <v>2206</v>
      </c>
      <c r="C4740">
        <v>1985</v>
      </c>
      <c r="D4740" t="s">
        <v>811</v>
      </c>
      <c r="F4740" t="s">
        <v>1402</v>
      </c>
      <c r="G4740" t="s">
        <v>88</v>
      </c>
      <c r="H4740" t="s">
        <v>350</v>
      </c>
      <c r="I4740">
        <v>1980</v>
      </c>
      <c r="M4740">
        <v>1</v>
      </c>
      <c r="N4740" t="s">
        <v>121</v>
      </c>
      <c r="P4740" t="s">
        <v>2626</v>
      </c>
      <c r="Q4740" s="1" t="s">
        <v>2276</v>
      </c>
      <c r="R4740" s="1" t="s">
        <v>755</v>
      </c>
      <c r="S4740" s="1" t="s">
        <v>2352</v>
      </c>
      <c r="X4740" s="1" t="s">
        <v>171</v>
      </c>
      <c r="Y4740" t="s">
        <v>2279</v>
      </c>
      <c r="Z4740" t="s">
        <v>2280</v>
      </c>
      <c r="AA4740" t="s">
        <v>2358</v>
      </c>
      <c r="AB4740" t="s">
        <v>2580</v>
      </c>
      <c r="AC4740" t="s">
        <v>152</v>
      </c>
      <c r="AD4740" t="s">
        <v>2278</v>
      </c>
      <c r="AF4740" t="s">
        <v>49</v>
      </c>
      <c r="AI4740" t="s">
        <v>49</v>
      </c>
      <c r="AM4740" t="s">
        <v>262</v>
      </c>
      <c r="AN4740" t="s">
        <v>154</v>
      </c>
      <c r="AS4740" t="s">
        <v>2662</v>
      </c>
    </row>
    <row r="4741" spans="1:45" x14ac:dyDescent="0.2">
      <c r="A4741" t="s">
        <v>2625</v>
      </c>
      <c r="B4741" t="s">
        <v>2206</v>
      </c>
      <c r="C4741">
        <v>1985</v>
      </c>
      <c r="D4741" t="s">
        <v>811</v>
      </c>
      <c r="F4741" t="s">
        <v>1402</v>
      </c>
      <c r="G4741" t="s">
        <v>88</v>
      </c>
      <c r="H4741" t="s">
        <v>350</v>
      </c>
      <c r="I4741">
        <v>1980</v>
      </c>
      <c r="M4741">
        <v>1</v>
      </c>
      <c r="N4741" t="s">
        <v>121</v>
      </c>
      <c r="P4741" t="s">
        <v>2627</v>
      </c>
      <c r="Q4741" s="1" t="s">
        <v>2624</v>
      </c>
      <c r="R4741" s="1" t="s">
        <v>2624</v>
      </c>
      <c r="S4741" s="1" t="s">
        <v>2624</v>
      </c>
      <c r="X4741" s="1" t="s">
        <v>502</v>
      </c>
      <c r="Y4741" t="s">
        <v>2279</v>
      </c>
      <c r="Z4741" t="s">
        <v>2280</v>
      </c>
      <c r="AA4741" t="s">
        <v>2358</v>
      </c>
      <c r="AB4741" t="s">
        <v>2459</v>
      </c>
      <c r="AC4741" t="s">
        <v>152</v>
      </c>
      <c r="AD4741" t="s">
        <v>2278</v>
      </c>
      <c r="AF4741" t="s">
        <v>49</v>
      </c>
      <c r="AI4741" t="s">
        <v>49</v>
      </c>
      <c r="AM4741" t="s">
        <v>262</v>
      </c>
      <c r="AN4741" t="s">
        <v>154</v>
      </c>
      <c r="AS4741" t="s">
        <v>2662</v>
      </c>
    </row>
    <row r="4742" spans="1:45" x14ac:dyDescent="0.2">
      <c r="A4742" t="s">
        <v>2625</v>
      </c>
      <c r="B4742" t="s">
        <v>2206</v>
      </c>
      <c r="C4742">
        <v>1985</v>
      </c>
      <c r="D4742" t="s">
        <v>811</v>
      </c>
      <c r="F4742" t="s">
        <v>1402</v>
      </c>
      <c r="G4742" t="s">
        <v>88</v>
      </c>
      <c r="H4742" t="s">
        <v>350</v>
      </c>
      <c r="I4742">
        <v>1980</v>
      </c>
      <c r="M4742">
        <v>1</v>
      </c>
      <c r="N4742" t="s">
        <v>121</v>
      </c>
      <c r="P4742" t="s">
        <v>1521</v>
      </c>
      <c r="Q4742" s="1" t="s">
        <v>2292</v>
      </c>
      <c r="R4742" s="1" t="s">
        <v>264</v>
      </c>
      <c r="S4742" s="1" t="s">
        <v>264</v>
      </c>
      <c r="X4742" s="1" t="s">
        <v>502</v>
      </c>
      <c r="Y4742" t="s">
        <v>2279</v>
      </c>
      <c r="Z4742" t="s">
        <v>2280</v>
      </c>
      <c r="AA4742" t="s">
        <v>2358</v>
      </c>
      <c r="AB4742" t="s">
        <v>2459</v>
      </c>
      <c r="AC4742" t="s">
        <v>152</v>
      </c>
      <c r="AD4742" t="s">
        <v>2278</v>
      </c>
      <c r="AF4742" t="s">
        <v>49</v>
      </c>
      <c r="AI4742" t="s">
        <v>49</v>
      </c>
      <c r="AM4742" t="s">
        <v>262</v>
      </c>
      <c r="AN4742" t="s">
        <v>154</v>
      </c>
      <c r="AS4742" t="s">
        <v>2662</v>
      </c>
    </row>
    <row r="4743" spans="1:45" x14ac:dyDescent="0.2">
      <c r="A4743" t="s">
        <v>2625</v>
      </c>
      <c r="B4743" t="s">
        <v>2206</v>
      </c>
      <c r="C4743">
        <v>1985</v>
      </c>
      <c r="D4743" t="s">
        <v>811</v>
      </c>
      <c r="F4743" t="s">
        <v>1402</v>
      </c>
      <c r="G4743" t="s">
        <v>88</v>
      </c>
      <c r="H4743" t="s">
        <v>350</v>
      </c>
      <c r="I4743">
        <v>1980</v>
      </c>
      <c r="M4743">
        <v>1</v>
      </c>
      <c r="N4743" t="s">
        <v>121</v>
      </c>
      <c r="P4743" t="s">
        <v>2626</v>
      </c>
      <c r="Q4743" s="1" t="s">
        <v>2276</v>
      </c>
      <c r="R4743" s="1" t="s">
        <v>755</v>
      </c>
      <c r="S4743" s="1" t="s">
        <v>2352</v>
      </c>
      <c r="X4743" s="1" t="s">
        <v>502</v>
      </c>
      <c r="Y4743" t="s">
        <v>2279</v>
      </c>
      <c r="Z4743" t="s">
        <v>2280</v>
      </c>
      <c r="AA4743" t="s">
        <v>2358</v>
      </c>
      <c r="AB4743" t="s">
        <v>2459</v>
      </c>
      <c r="AC4743" t="s">
        <v>152</v>
      </c>
      <c r="AD4743" t="s">
        <v>2278</v>
      </c>
      <c r="AF4743" t="s">
        <v>49</v>
      </c>
      <c r="AI4743" t="s">
        <v>49</v>
      </c>
      <c r="AM4743" t="s">
        <v>262</v>
      </c>
      <c r="AN4743" t="s">
        <v>154</v>
      </c>
      <c r="AS4743" t="s">
        <v>2662</v>
      </c>
    </row>
    <row r="4744" spans="1:45" x14ac:dyDescent="0.2">
      <c r="A4744" t="s">
        <v>2625</v>
      </c>
      <c r="B4744" t="s">
        <v>2206</v>
      </c>
      <c r="C4744">
        <v>1985</v>
      </c>
      <c r="D4744" t="s">
        <v>811</v>
      </c>
      <c r="F4744" t="s">
        <v>1402</v>
      </c>
      <c r="G4744" t="s">
        <v>88</v>
      </c>
      <c r="H4744" t="s">
        <v>350</v>
      </c>
      <c r="I4744">
        <v>1980</v>
      </c>
      <c r="M4744">
        <v>1</v>
      </c>
      <c r="N4744" t="s">
        <v>121</v>
      </c>
      <c r="P4744" t="s">
        <v>2627</v>
      </c>
      <c r="Q4744" s="1" t="s">
        <v>2624</v>
      </c>
      <c r="R4744" s="1" t="s">
        <v>2624</v>
      </c>
      <c r="S4744" s="1" t="s">
        <v>2624</v>
      </c>
      <c r="T4744" s="1" t="s">
        <v>396</v>
      </c>
      <c r="U4744" s="1" t="s">
        <v>2628</v>
      </c>
      <c r="X4744" s="1" t="s">
        <v>161</v>
      </c>
      <c r="Y4744" t="s">
        <v>2272</v>
      </c>
      <c r="Z4744" t="s">
        <v>2272</v>
      </c>
      <c r="AA4744" t="s">
        <v>2272</v>
      </c>
      <c r="AB4744" t="s">
        <v>2272</v>
      </c>
      <c r="AC4744" t="s">
        <v>152</v>
      </c>
      <c r="AD4744" t="s">
        <v>2278</v>
      </c>
      <c r="AF4744" t="s">
        <v>49</v>
      </c>
      <c r="AI4744" t="s">
        <v>49</v>
      </c>
      <c r="AM4744" t="s">
        <v>262</v>
      </c>
      <c r="AN4744" t="s">
        <v>154</v>
      </c>
      <c r="AS4744" t="s">
        <v>2662</v>
      </c>
    </row>
    <row r="4745" spans="1:45" x14ac:dyDescent="0.2">
      <c r="A4745" t="s">
        <v>2625</v>
      </c>
      <c r="B4745" t="s">
        <v>2206</v>
      </c>
      <c r="C4745">
        <v>1985</v>
      </c>
      <c r="D4745" t="s">
        <v>811</v>
      </c>
      <c r="F4745" t="s">
        <v>1402</v>
      </c>
      <c r="G4745" t="s">
        <v>88</v>
      </c>
      <c r="H4745" t="s">
        <v>350</v>
      </c>
      <c r="I4745">
        <v>1980</v>
      </c>
      <c r="M4745">
        <v>1</v>
      </c>
      <c r="N4745" t="s">
        <v>121</v>
      </c>
      <c r="P4745" t="s">
        <v>1521</v>
      </c>
      <c r="Q4745" s="1" t="s">
        <v>2292</v>
      </c>
      <c r="R4745" s="1" t="s">
        <v>264</v>
      </c>
      <c r="S4745" s="1" t="s">
        <v>264</v>
      </c>
      <c r="T4745" s="1" t="s">
        <v>396</v>
      </c>
      <c r="U4745" s="1" t="s">
        <v>2629</v>
      </c>
      <c r="X4745" s="1" t="s">
        <v>161</v>
      </c>
      <c r="Y4745" t="s">
        <v>2272</v>
      </c>
      <c r="Z4745" t="s">
        <v>2272</v>
      </c>
      <c r="AA4745" t="s">
        <v>2272</v>
      </c>
      <c r="AB4745" t="s">
        <v>2272</v>
      </c>
      <c r="AC4745" t="s">
        <v>152</v>
      </c>
      <c r="AD4745" t="s">
        <v>2278</v>
      </c>
      <c r="AF4745" t="s">
        <v>49</v>
      </c>
      <c r="AI4745" t="s">
        <v>49</v>
      </c>
      <c r="AM4745" t="s">
        <v>262</v>
      </c>
      <c r="AN4745" t="s">
        <v>154</v>
      </c>
      <c r="AS4745" t="s">
        <v>2662</v>
      </c>
    </row>
    <row r="4746" spans="1:45" x14ac:dyDescent="0.2">
      <c r="A4746" t="s">
        <v>2625</v>
      </c>
      <c r="B4746" t="s">
        <v>2206</v>
      </c>
      <c r="C4746">
        <v>1985</v>
      </c>
      <c r="D4746" t="s">
        <v>811</v>
      </c>
      <c r="F4746" t="s">
        <v>1402</v>
      </c>
      <c r="G4746" t="s">
        <v>88</v>
      </c>
      <c r="H4746" t="s">
        <v>350</v>
      </c>
      <c r="I4746">
        <v>1980</v>
      </c>
      <c r="M4746">
        <v>1</v>
      </c>
      <c r="N4746" t="s">
        <v>121</v>
      </c>
      <c r="P4746" t="s">
        <v>2626</v>
      </c>
      <c r="Q4746" s="1" t="s">
        <v>2276</v>
      </c>
      <c r="R4746" s="1" t="s">
        <v>755</v>
      </c>
      <c r="S4746" s="1" t="s">
        <v>2352</v>
      </c>
      <c r="T4746" s="1" t="s">
        <v>396</v>
      </c>
      <c r="U4746" s="1" t="s">
        <v>2630</v>
      </c>
      <c r="X4746" s="1" t="s">
        <v>161</v>
      </c>
      <c r="Y4746" t="s">
        <v>2272</v>
      </c>
      <c r="Z4746" t="s">
        <v>2272</v>
      </c>
      <c r="AA4746" t="s">
        <v>2272</v>
      </c>
      <c r="AB4746" t="s">
        <v>2272</v>
      </c>
      <c r="AC4746" t="s">
        <v>152</v>
      </c>
      <c r="AD4746" t="s">
        <v>2278</v>
      </c>
      <c r="AF4746" t="s">
        <v>49</v>
      </c>
      <c r="AI4746" t="s">
        <v>49</v>
      </c>
      <c r="AM4746" t="s">
        <v>262</v>
      </c>
      <c r="AN4746" t="s">
        <v>154</v>
      </c>
      <c r="AS4746" t="s">
        <v>2662</v>
      </c>
    </row>
    <row r="4747" spans="1:45" x14ac:dyDescent="0.2">
      <c r="A4747" t="s">
        <v>2625</v>
      </c>
      <c r="B4747" t="s">
        <v>2206</v>
      </c>
      <c r="C4747">
        <v>1985</v>
      </c>
      <c r="D4747" t="s">
        <v>811</v>
      </c>
      <c r="F4747" t="s">
        <v>1402</v>
      </c>
      <c r="G4747" t="s">
        <v>88</v>
      </c>
      <c r="H4747" t="s">
        <v>350</v>
      </c>
      <c r="I4747">
        <v>1980</v>
      </c>
      <c r="M4747">
        <v>1</v>
      </c>
      <c r="N4747" t="s">
        <v>121</v>
      </c>
      <c r="P4747" t="s">
        <v>2627</v>
      </c>
      <c r="Q4747" s="1" t="s">
        <v>2624</v>
      </c>
      <c r="R4747" s="1" t="s">
        <v>2624</v>
      </c>
      <c r="S4747" s="1" t="s">
        <v>2624</v>
      </c>
      <c r="X4747" s="1" t="s">
        <v>171</v>
      </c>
      <c r="Y4747" t="s">
        <v>2279</v>
      </c>
      <c r="Z4747" t="s">
        <v>2280</v>
      </c>
      <c r="AA4747" t="s">
        <v>2358</v>
      </c>
      <c r="AB4747" t="s">
        <v>2580</v>
      </c>
      <c r="AC4747" t="s">
        <v>152</v>
      </c>
      <c r="AD4747" t="s">
        <v>2278</v>
      </c>
      <c r="AF4747" t="s">
        <v>49</v>
      </c>
      <c r="AI4747" t="s">
        <v>49</v>
      </c>
      <c r="AM4747" t="s">
        <v>262</v>
      </c>
      <c r="AN4747" t="s">
        <v>165</v>
      </c>
      <c r="AS4747" t="s">
        <v>2662</v>
      </c>
    </row>
    <row r="4748" spans="1:45" x14ac:dyDescent="0.2">
      <c r="A4748" t="s">
        <v>2625</v>
      </c>
      <c r="B4748" t="s">
        <v>2206</v>
      </c>
      <c r="C4748">
        <v>1985</v>
      </c>
      <c r="D4748" t="s">
        <v>811</v>
      </c>
      <c r="F4748" t="s">
        <v>1402</v>
      </c>
      <c r="G4748" t="s">
        <v>88</v>
      </c>
      <c r="H4748" t="s">
        <v>350</v>
      </c>
      <c r="I4748">
        <v>1980</v>
      </c>
      <c r="M4748">
        <v>1</v>
      </c>
      <c r="N4748" t="s">
        <v>121</v>
      </c>
      <c r="P4748" t="s">
        <v>1521</v>
      </c>
      <c r="Q4748" s="1" t="s">
        <v>2292</v>
      </c>
      <c r="R4748" s="1" t="s">
        <v>264</v>
      </c>
      <c r="S4748" s="1" t="s">
        <v>264</v>
      </c>
      <c r="X4748" s="1" t="s">
        <v>171</v>
      </c>
      <c r="Y4748" t="s">
        <v>2279</v>
      </c>
      <c r="Z4748" t="s">
        <v>2280</v>
      </c>
      <c r="AA4748" t="s">
        <v>2358</v>
      </c>
      <c r="AB4748" t="s">
        <v>2580</v>
      </c>
      <c r="AC4748" t="s">
        <v>152</v>
      </c>
      <c r="AD4748" t="s">
        <v>2278</v>
      </c>
      <c r="AF4748" t="s">
        <v>49</v>
      </c>
      <c r="AI4748" t="s">
        <v>49</v>
      </c>
      <c r="AM4748" t="s">
        <v>262</v>
      </c>
      <c r="AN4748" t="s">
        <v>165</v>
      </c>
      <c r="AS4748" t="s">
        <v>2662</v>
      </c>
    </row>
    <row r="4749" spans="1:45" x14ac:dyDescent="0.2">
      <c r="A4749" t="s">
        <v>2625</v>
      </c>
      <c r="B4749" t="s">
        <v>2206</v>
      </c>
      <c r="C4749">
        <v>1985</v>
      </c>
      <c r="D4749" t="s">
        <v>811</v>
      </c>
      <c r="F4749" t="s">
        <v>1402</v>
      </c>
      <c r="G4749" t="s">
        <v>88</v>
      </c>
      <c r="H4749" t="s">
        <v>350</v>
      </c>
      <c r="I4749">
        <v>1980</v>
      </c>
      <c r="M4749">
        <v>1</v>
      </c>
      <c r="N4749" t="s">
        <v>121</v>
      </c>
      <c r="P4749" t="s">
        <v>2626</v>
      </c>
      <c r="Q4749" s="1" t="s">
        <v>2276</v>
      </c>
      <c r="R4749" s="1" t="s">
        <v>755</v>
      </c>
      <c r="S4749" s="1" t="s">
        <v>2352</v>
      </c>
      <c r="X4749" s="1" t="s">
        <v>171</v>
      </c>
      <c r="Y4749" t="s">
        <v>2279</v>
      </c>
      <c r="Z4749" t="s">
        <v>2280</v>
      </c>
      <c r="AA4749" t="s">
        <v>2358</v>
      </c>
      <c r="AB4749" t="s">
        <v>2580</v>
      </c>
      <c r="AC4749" t="s">
        <v>152</v>
      </c>
      <c r="AD4749" t="s">
        <v>2278</v>
      </c>
      <c r="AF4749" t="s">
        <v>49</v>
      </c>
      <c r="AI4749" t="s">
        <v>49</v>
      </c>
      <c r="AM4749" t="s">
        <v>262</v>
      </c>
      <c r="AN4749" t="s">
        <v>165</v>
      </c>
      <c r="AS4749" t="s">
        <v>2662</v>
      </c>
    </row>
    <row r="4750" spans="1:45" x14ac:dyDescent="0.2">
      <c r="A4750" t="s">
        <v>2625</v>
      </c>
      <c r="B4750" t="s">
        <v>2206</v>
      </c>
      <c r="C4750">
        <v>1985</v>
      </c>
      <c r="D4750" t="s">
        <v>811</v>
      </c>
      <c r="F4750" t="s">
        <v>1402</v>
      </c>
      <c r="G4750" t="s">
        <v>88</v>
      </c>
      <c r="H4750" t="s">
        <v>350</v>
      </c>
      <c r="I4750">
        <v>1980</v>
      </c>
      <c r="M4750">
        <v>1</v>
      </c>
      <c r="N4750" t="s">
        <v>121</v>
      </c>
      <c r="P4750" t="s">
        <v>2627</v>
      </c>
      <c r="Q4750" s="1" t="s">
        <v>2624</v>
      </c>
      <c r="R4750" s="1" t="s">
        <v>2624</v>
      </c>
      <c r="S4750" s="1" t="s">
        <v>2624</v>
      </c>
      <c r="X4750" s="1" t="s">
        <v>502</v>
      </c>
      <c r="Y4750" t="s">
        <v>2279</v>
      </c>
      <c r="Z4750" t="s">
        <v>2280</v>
      </c>
      <c r="AA4750" t="s">
        <v>2358</v>
      </c>
      <c r="AB4750" t="s">
        <v>2459</v>
      </c>
      <c r="AC4750" t="s">
        <v>152</v>
      </c>
      <c r="AD4750" t="s">
        <v>2278</v>
      </c>
      <c r="AF4750" t="s">
        <v>49</v>
      </c>
      <c r="AI4750" t="s">
        <v>49</v>
      </c>
      <c r="AM4750" t="s">
        <v>262</v>
      </c>
      <c r="AN4750" t="s">
        <v>165</v>
      </c>
      <c r="AS4750" t="s">
        <v>2662</v>
      </c>
    </row>
    <row r="4751" spans="1:45" x14ac:dyDescent="0.2">
      <c r="A4751" t="s">
        <v>2625</v>
      </c>
      <c r="B4751" t="s">
        <v>2206</v>
      </c>
      <c r="C4751">
        <v>1985</v>
      </c>
      <c r="D4751" t="s">
        <v>811</v>
      </c>
      <c r="F4751" t="s">
        <v>1402</v>
      </c>
      <c r="G4751" t="s">
        <v>88</v>
      </c>
      <c r="H4751" t="s">
        <v>350</v>
      </c>
      <c r="I4751">
        <v>1980</v>
      </c>
      <c r="M4751">
        <v>1</v>
      </c>
      <c r="N4751" t="s">
        <v>121</v>
      </c>
      <c r="P4751" t="s">
        <v>1521</v>
      </c>
      <c r="Q4751" s="1" t="s">
        <v>2292</v>
      </c>
      <c r="R4751" s="1" t="s">
        <v>264</v>
      </c>
      <c r="S4751" s="1" t="s">
        <v>264</v>
      </c>
      <c r="X4751" s="1" t="s">
        <v>502</v>
      </c>
      <c r="Y4751" t="s">
        <v>2279</v>
      </c>
      <c r="Z4751" t="s">
        <v>2280</v>
      </c>
      <c r="AA4751" t="s">
        <v>2358</v>
      </c>
      <c r="AB4751" t="s">
        <v>2459</v>
      </c>
      <c r="AC4751" t="s">
        <v>152</v>
      </c>
      <c r="AD4751" t="s">
        <v>2278</v>
      </c>
      <c r="AF4751" t="s">
        <v>49</v>
      </c>
      <c r="AI4751" t="s">
        <v>49</v>
      </c>
      <c r="AM4751" t="s">
        <v>262</v>
      </c>
      <c r="AN4751" t="s">
        <v>165</v>
      </c>
      <c r="AS4751" t="s">
        <v>2662</v>
      </c>
    </row>
    <row r="4752" spans="1:45" x14ac:dyDescent="0.2">
      <c r="A4752" t="s">
        <v>2625</v>
      </c>
      <c r="B4752" t="s">
        <v>2206</v>
      </c>
      <c r="C4752">
        <v>1985</v>
      </c>
      <c r="D4752" t="s">
        <v>811</v>
      </c>
      <c r="F4752" t="s">
        <v>1402</v>
      </c>
      <c r="G4752" t="s">
        <v>88</v>
      </c>
      <c r="H4752" t="s">
        <v>350</v>
      </c>
      <c r="I4752">
        <v>1980</v>
      </c>
      <c r="M4752">
        <v>1</v>
      </c>
      <c r="N4752" t="s">
        <v>121</v>
      </c>
      <c r="P4752" t="s">
        <v>2626</v>
      </c>
      <c r="Q4752" s="1" t="s">
        <v>2276</v>
      </c>
      <c r="R4752" s="1" t="s">
        <v>755</v>
      </c>
      <c r="S4752" s="1" t="s">
        <v>2352</v>
      </c>
      <c r="X4752" s="1" t="s">
        <v>502</v>
      </c>
      <c r="Y4752" t="s">
        <v>2279</v>
      </c>
      <c r="Z4752" t="s">
        <v>2280</v>
      </c>
      <c r="AA4752" t="s">
        <v>2358</v>
      </c>
      <c r="AB4752" t="s">
        <v>2459</v>
      </c>
      <c r="AC4752" t="s">
        <v>152</v>
      </c>
      <c r="AD4752" t="s">
        <v>2278</v>
      </c>
      <c r="AF4752" t="s">
        <v>49</v>
      </c>
      <c r="AI4752" t="s">
        <v>49</v>
      </c>
      <c r="AM4752" t="s">
        <v>262</v>
      </c>
      <c r="AN4752" t="s">
        <v>165</v>
      </c>
      <c r="AS4752" t="s">
        <v>2662</v>
      </c>
    </row>
    <row r="4753" spans="1:45" x14ac:dyDescent="0.2">
      <c r="A4753" t="s">
        <v>2625</v>
      </c>
      <c r="B4753" t="s">
        <v>2206</v>
      </c>
      <c r="C4753">
        <v>1985</v>
      </c>
      <c r="D4753" t="s">
        <v>811</v>
      </c>
      <c r="F4753" t="s">
        <v>1402</v>
      </c>
      <c r="G4753" t="s">
        <v>88</v>
      </c>
      <c r="H4753" t="s">
        <v>350</v>
      </c>
      <c r="I4753">
        <v>1980</v>
      </c>
      <c r="M4753">
        <v>1</v>
      </c>
      <c r="N4753" t="s">
        <v>121</v>
      </c>
      <c r="P4753" t="s">
        <v>2627</v>
      </c>
      <c r="Q4753" s="1" t="s">
        <v>2624</v>
      </c>
      <c r="R4753" s="1" t="s">
        <v>2624</v>
      </c>
      <c r="S4753" s="1" t="s">
        <v>2624</v>
      </c>
      <c r="T4753" s="1" t="s">
        <v>396</v>
      </c>
      <c r="U4753" s="1" t="s">
        <v>2628</v>
      </c>
      <c r="X4753" s="1" t="s">
        <v>161</v>
      </c>
      <c r="Y4753" t="s">
        <v>2272</v>
      </c>
      <c r="Z4753" t="s">
        <v>2272</v>
      </c>
      <c r="AA4753" t="s">
        <v>2272</v>
      </c>
      <c r="AB4753" t="s">
        <v>2272</v>
      </c>
      <c r="AC4753" t="s">
        <v>152</v>
      </c>
      <c r="AD4753" t="s">
        <v>2278</v>
      </c>
      <c r="AF4753" t="s">
        <v>49</v>
      </c>
      <c r="AI4753" t="s">
        <v>49</v>
      </c>
      <c r="AM4753" t="s">
        <v>262</v>
      </c>
      <c r="AN4753" t="s">
        <v>165</v>
      </c>
      <c r="AS4753" t="s">
        <v>2662</v>
      </c>
    </row>
    <row r="4754" spans="1:45" x14ac:dyDescent="0.2">
      <c r="A4754" t="s">
        <v>2625</v>
      </c>
      <c r="B4754" t="s">
        <v>2206</v>
      </c>
      <c r="C4754">
        <v>1985</v>
      </c>
      <c r="D4754" t="s">
        <v>811</v>
      </c>
      <c r="F4754" t="s">
        <v>1402</v>
      </c>
      <c r="G4754" t="s">
        <v>88</v>
      </c>
      <c r="H4754" t="s">
        <v>350</v>
      </c>
      <c r="I4754">
        <v>1980</v>
      </c>
      <c r="M4754">
        <v>1</v>
      </c>
      <c r="N4754" t="s">
        <v>121</v>
      </c>
      <c r="P4754" t="s">
        <v>1521</v>
      </c>
      <c r="Q4754" s="1" t="s">
        <v>2292</v>
      </c>
      <c r="R4754" s="1" t="s">
        <v>264</v>
      </c>
      <c r="S4754" s="1" t="s">
        <v>264</v>
      </c>
      <c r="T4754" s="1" t="s">
        <v>396</v>
      </c>
      <c r="U4754" s="1" t="s">
        <v>2629</v>
      </c>
      <c r="X4754" s="1" t="s">
        <v>161</v>
      </c>
      <c r="Y4754" t="s">
        <v>2272</v>
      </c>
      <c r="Z4754" t="s">
        <v>2272</v>
      </c>
      <c r="AA4754" t="s">
        <v>2272</v>
      </c>
      <c r="AB4754" t="s">
        <v>2272</v>
      </c>
      <c r="AC4754" t="s">
        <v>152</v>
      </c>
      <c r="AD4754" t="s">
        <v>2278</v>
      </c>
      <c r="AF4754" t="s">
        <v>49</v>
      </c>
      <c r="AI4754" t="s">
        <v>49</v>
      </c>
      <c r="AM4754" t="s">
        <v>262</v>
      </c>
      <c r="AN4754" t="s">
        <v>165</v>
      </c>
      <c r="AS4754" t="s">
        <v>2662</v>
      </c>
    </row>
    <row r="4755" spans="1:45" x14ac:dyDescent="0.2">
      <c r="A4755" t="s">
        <v>2625</v>
      </c>
      <c r="B4755" t="s">
        <v>2206</v>
      </c>
      <c r="C4755">
        <v>1985</v>
      </c>
      <c r="D4755" t="s">
        <v>811</v>
      </c>
      <c r="F4755" t="s">
        <v>1402</v>
      </c>
      <c r="G4755" t="s">
        <v>88</v>
      </c>
      <c r="H4755" t="s">
        <v>350</v>
      </c>
      <c r="I4755">
        <v>1980</v>
      </c>
      <c r="M4755">
        <v>1</v>
      </c>
      <c r="N4755" t="s">
        <v>121</v>
      </c>
      <c r="P4755" t="s">
        <v>2626</v>
      </c>
      <c r="Q4755" s="1" t="s">
        <v>2276</v>
      </c>
      <c r="R4755" s="1" t="s">
        <v>755</v>
      </c>
      <c r="S4755" s="1" t="s">
        <v>2352</v>
      </c>
      <c r="T4755" s="1" t="s">
        <v>396</v>
      </c>
      <c r="U4755" s="1" t="s">
        <v>2630</v>
      </c>
      <c r="X4755" s="1" t="s">
        <v>161</v>
      </c>
      <c r="Y4755" t="s">
        <v>2272</v>
      </c>
      <c r="Z4755" t="s">
        <v>2272</v>
      </c>
      <c r="AA4755" t="s">
        <v>2272</v>
      </c>
      <c r="AB4755" t="s">
        <v>2272</v>
      </c>
      <c r="AC4755" t="s">
        <v>152</v>
      </c>
      <c r="AD4755" t="s">
        <v>2278</v>
      </c>
      <c r="AF4755" t="s">
        <v>49</v>
      </c>
      <c r="AI4755" t="s">
        <v>49</v>
      </c>
      <c r="AM4755" t="s">
        <v>262</v>
      </c>
      <c r="AN4755" t="s">
        <v>165</v>
      </c>
      <c r="AS4755" t="s">
        <v>2662</v>
      </c>
    </row>
    <row r="4756" spans="1:45" x14ac:dyDescent="0.2">
      <c r="A4756" t="s">
        <v>2631</v>
      </c>
      <c r="B4756" t="s">
        <v>2632</v>
      </c>
      <c r="C4756">
        <v>1992</v>
      </c>
      <c r="D4756" t="s">
        <v>44</v>
      </c>
      <c r="F4756" t="s">
        <v>2021</v>
      </c>
      <c r="G4756" t="s">
        <v>86</v>
      </c>
      <c r="H4756" t="s">
        <v>350</v>
      </c>
      <c r="I4756">
        <v>1985</v>
      </c>
      <c r="K4756" t="s">
        <v>101</v>
      </c>
      <c r="M4756">
        <v>0</v>
      </c>
      <c r="N4756" t="s">
        <v>131</v>
      </c>
      <c r="P4756" t="s">
        <v>2634</v>
      </c>
      <c r="Q4756" s="1" t="s">
        <v>2281</v>
      </c>
      <c r="R4756" s="1" t="s">
        <v>2295</v>
      </c>
      <c r="S4756" s="1" t="s">
        <v>2295</v>
      </c>
      <c r="X4756" s="1" t="s">
        <v>615</v>
      </c>
      <c r="Y4756" t="s">
        <v>2273</v>
      </c>
      <c r="Z4756" t="s">
        <v>249</v>
      </c>
      <c r="AA4756" t="s">
        <v>2633</v>
      </c>
      <c r="AB4756" t="s">
        <v>2285</v>
      </c>
      <c r="AC4756" t="s">
        <v>152</v>
      </c>
      <c r="AD4756" t="s">
        <v>137</v>
      </c>
      <c r="AF4756" t="s">
        <v>49</v>
      </c>
      <c r="AJ4756" t="s">
        <v>49</v>
      </c>
      <c r="AM4756" t="s">
        <v>2635</v>
      </c>
      <c r="AN4756" t="s">
        <v>166</v>
      </c>
      <c r="AP4756" t="s">
        <v>157</v>
      </c>
      <c r="AS4756" t="s">
        <v>2662</v>
      </c>
    </row>
    <row r="4757" spans="1:45" x14ac:dyDescent="0.2">
      <c r="A4757" t="s">
        <v>2631</v>
      </c>
      <c r="B4757" t="s">
        <v>2632</v>
      </c>
      <c r="C4757">
        <v>1992</v>
      </c>
      <c r="D4757" t="s">
        <v>44</v>
      </c>
      <c r="F4757" t="s">
        <v>2021</v>
      </c>
      <c r="G4757" t="s">
        <v>86</v>
      </c>
      <c r="H4757" t="s">
        <v>350</v>
      </c>
      <c r="I4757">
        <v>1985</v>
      </c>
      <c r="K4757" t="s">
        <v>101</v>
      </c>
      <c r="M4757">
        <v>0</v>
      </c>
      <c r="N4757" t="s">
        <v>131</v>
      </c>
      <c r="P4757" t="s">
        <v>2634</v>
      </c>
      <c r="Q4757" s="1" t="s">
        <v>2281</v>
      </c>
      <c r="R4757" s="1" t="s">
        <v>2295</v>
      </c>
      <c r="S4757" s="1" t="s">
        <v>2295</v>
      </c>
      <c r="X4757" s="1" t="s">
        <v>339</v>
      </c>
      <c r="Y4757" t="s">
        <v>2273</v>
      </c>
      <c r="Z4757" t="s">
        <v>249</v>
      </c>
      <c r="AA4757" t="s">
        <v>2633</v>
      </c>
      <c r="AB4757" t="s">
        <v>2289</v>
      </c>
      <c r="AC4757" t="s">
        <v>152</v>
      </c>
      <c r="AD4757" t="s">
        <v>137</v>
      </c>
      <c r="AF4757" t="s">
        <v>49</v>
      </c>
      <c r="AJ4757" t="s">
        <v>49</v>
      </c>
      <c r="AM4757" t="s">
        <v>2635</v>
      </c>
      <c r="AS4757" t="s">
        <v>2662</v>
      </c>
    </row>
    <row r="4758" spans="1:45" x14ac:dyDescent="0.2">
      <c r="A4758" t="s">
        <v>2631</v>
      </c>
      <c r="B4758" t="s">
        <v>2632</v>
      </c>
      <c r="C4758">
        <v>1992</v>
      </c>
      <c r="D4758" t="s">
        <v>44</v>
      </c>
      <c r="F4758" t="s">
        <v>2021</v>
      </c>
      <c r="G4758" t="s">
        <v>86</v>
      </c>
      <c r="H4758" t="s">
        <v>350</v>
      </c>
      <c r="I4758">
        <v>1985</v>
      </c>
      <c r="K4758" t="s">
        <v>101</v>
      </c>
      <c r="M4758">
        <v>0</v>
      </c>
      <c r="N4758" t="s">
        <v>131</v>
      </c>
      <c r="P4758" t="s">
        <v>2634</v>
      </c>
      <c r="Q4758" s="1" t="s">
        <v>2281</v>
      </c>
      <c r="R4758" s="1" t="s">
        <v>2295</v>
      </c>
      <c r="S4758" s="1" t="s">
        <v>2295</v>
      </c>
      <c r="X4758" s="1" t="s">
        <v>642</v>
      </c>
      <c r="Y4758" t="s">
        <v>2273</v>
      </c>
      <c r="Z4758" t="s">
        <v>249</v>
      </c>
      <c r="AA4758" t="s">
        <v>2633</v>
      </c>
      <c r="AB4758" t="s">
        <v>1979</v>
      </c>
      <c r="AC4758" t="s">
        <v>152</v>
      </c>
      <c r="AD4758" t="s">
        <v>137</v>
      </c>
      <c r="AF4758" t="s">
        <v>49</v>
      </c>
      <c r="AJ4758" t="s">
        <v>49</v>
      </c>
      <c r="AM4758" t="s">
        <v>2635</v>
      </c>
      <c r="AS4758" t="s">
        <v>2662</v>
      </c>
    </row>
    <row r="4759" spans="1:45" x14ac:dyDescent="0.2">
      <c r="A4759" t="s">
        <v>2631</v>
      </c>
      <c r="B4759" t="s">
        <v>2632</v>
      </c>
      <c r="C4759">
        <v>1992</v>
      </c>
      <c r="D4759" t="s">
        <v>44</v>
      </c>
      <c r="F4759" t="s">
        <v>2021</v>
      </c>
      <c r="G4759" t="s">
        <v>86</v>
      </c>
      <c r="H4759" t="s">
        <v>350</v>
      </c>
      <c r="I4759">
        <v>1985</v>
      </c>
      <c r="K4759" t="s">
        <v>101</v>
      </c>
      <c r="M4759">
        <v>0</v>
      </c>
      <c r="N4759" t="s">
        <v>131</v>
      </c>
      <c r="P4759" t="s">
        <v>2634</v>
      </c>
      <c r="Q4759" s="1" t="s">
        <v>2281</v>
      </c>
      <c r="R4759" s="1" t="s">
        <v>2295</v>
      </c>
      <c r="S4759" s="1" t="s">
        <v>2295</v>
      </c>
      <c r="X4759" s="1" t="s">
        <v>1010</v>
      </c>
      <c r="Y4759" t="s">
        <v>2273</v>
      </c>
      <c r="Z4759" t="s">
        <v>249</v>
      </c>
      <c r="AA4759" t="s">
        <v>2274</v>
      </c>
      <c r="AB4759" t="s">
        <v>2283</v>
      </c>
      <c r="AC4759" t="s">
        <v>315</v>
      </c>
      <c r="AD4759" t="s">
        <v>137</v>
      </c>
      <c r="AF4759" t="s">
        <v>49</v>
      </c>
      <c r="AJ4759" t="s">
        <v>49</v>
      </c>
      <c r="AM4759" t="s">
        <v>2635</v>
      </c>
      <c r="AS4759" t="s">
        <v>2662</v>
      </c>
    </row>
    <row r="4760" spans="1:45" x14ac:dyDescent="0.2">
      <c r="A4760" t="s">
        <v>2631</v>
      </c>
      <c r="B4760" t="s">
        <v>2632</v>
      </c>
      <c r="C4760">
        <v>1992</v>
      </c>
      <c r="D4760" t="s">
        <v>44</v>
      </c>
      <c r="F4760" t="s">
        <v>2021</v>
      </c>
      <c r="G4760" t="s">
        <v>86</v>
      </c>
      <c r="H4760" t="s">
        <v>350</v>
      </c>
      <c r="I4760">
        <v>1985</v>
      </c>
      <c r="K4760" t="s">
        <v>101</v>
      </c>
      <c r="M4760">
        <v>0</v>
      </c>
      <c r="N4760" t="s">
        <v>131</v>
      </c>
      <c r="P4760" t="s">
        <v>2634</v>
      </c>
      <c r="Q4760" s="1" t="s">
        <v>2281</v>
      </c>
      <c r="R4760" s="1" t="s">
        <v>2295</v>
      </c>
      <c r="S4760" s="1" t="s">
        <v>2295</v>
      </c>
      <c r="X4760" s="1" t="s">
        <v>615</v>
      </c>
      <c r="Y4760" t="s">
        <v>2273</v>
      </c>
      <c r="Z4760" t="s">
        <v>249</v>
      </c>
      <c r="AA4760" t="s">
        <v>2633</v>
      </c>
      <c r="AB4760" t="s">
        <v>2285</v>
      </c>
      <c r="AC4760" t="s">
        <v>152</v>
      </c>
      <c r="AD4760" t="s">
        <v>137</v>
      </c>
      <c r="AF4760" t="s">
        <v>49</v>
      </c>
      <c r="AJ4760" t="s">
        <v>49</v>
      </c>
      <c r="AM4760" t="s">
        <v>2635</v>
      </c>
      <c r="AN4760" t="s">
        <v>171</v>
      </c>
      <c r="AS4760" t="s">
        <v>2662</v>
      </c>
    </row>
    <row r="4761" spans="1:45" x14ac:dyDescent="0.2">
      <c r="A4761" t="s">
        <v>2631</v>
      </c>
      <c r="B4761" t="s">
        <v>2632</v>
      </c>
      <c r="C4761">
        <v>1992</v>
      </c>
      <c r="D4761" t="s">
        <v>44</v>
      </c>
      <c r="F4761" t="s">
        <v>2021</v>
      </c>
      <c r="G4761" t="s">
        <v>86</v>
      </c>
      <c r="H4761" t="s">
        <v>350</v>
      </c>
      <c r="I4761">
        <v>1985</v>
      </c>
      <c r="K4761" t="s">
        <v>101</v>
      </c>
      <c r="M4761">
        <v>0</v>
      </c>
      <c r="N4761" t="s">
        <v>131</v>
      </c>
      <c r="P4761" t="s">
        <v>2634</v>
      </c>
      <c r="Q4761" s="1" t="s">
        <v>2281</v>
      </c>
      <c r="R4761" s="1" t="s">
        <v>2295</v>
      </c>
      <c r="S4761" s="1" t="s">
        <v>2295</v>
      </c>
      <c r="X4761" s="1" t="s">
        <v>615</v>
      </c>
      <c r="Y4761" t="s">
        <v>2273</v>
      </c>
      <c r="Z4761" t="s">
        <v>249</v>
      </c>
      <c r="AA4761" t="s">
        <v>2633</v>
      </c>
      <c r="AB4761" t="s">
        <v>2285</v>
      </c>
      <c r="AC4761" t="s">
        <v>152</v>
      </c>
      <c r="AD4761" t="s">
        <v>137</v>
      </c>
      <c r="AF4761" t="s">
        <v>49</v>
      </c>
      <c r="AJ4761" t="s">
        <v>49</v>
      </c>
      <c r="AM4761" t="s">
        <v>2635</v>
      </c>
      <c r="AN4761" t="s">
        <v>154</v>
      </c>
      <c r="AS4761" t="s">
        <v>2662</v>
      </c>
    </row>
    <row r="4762" spans="1:45" x14ac:dyDescent="0.2">
      <c r="A4762" t="s">
        <v>2636</v>
      </c>
      <c r="B4762" t="s">
        <v>2637</v>
      </c>
      <c r="C4762">
        <v>2006</v>
      </c>
      <c r="D4762" t="s">
        <v>44</v>
      </c>
      <c r="F4762" t="s">
        <v>447</v>
      </c>
      <c r="G4762" t="s">
        <v>91</v>
      </c>
      <c r="H4762" t="s">
        <v>96</v>
      </c>
      <c r="K4762" t="s">
        <v>101</v>
      </c>
      <c r="N4762" t="s">
        <v>126</v>
      </c>
      <c r="P4762" t="s">
        <v>2638</v>
      </c>
      <c r="Q4762" s="1" t="s">
        <v>2281</v>
      </c>
      <c r="R4762" s="1" t="s">
        <v>2282</v>
      </c>
      <c r="S4762" s="1" t="s">
        <v>126</v>
      </c>
      <c r="X4762" s="1" t="s">
        <v>1826</v>
      </c>
      <c r="Y4762" t="s">
        <v>2273</v>
      </c>
      <c r="Z4762" t="s">
        <v>249</v>
      </c>
      <c r="AA4762" t="s">
        <v>2633</v>
      </c>
      <c r="AB4762" t="s">
        <v>1419</v>
      </c>
      <c r="AC4762" t="s">
        <v>152</v>
      </c>
      <c r="AD4762" t="s">
        <v>137</v>
      </c>
      <c r="AS4762" t="s">
        <v>2662</v>
      </c>
    </row>
    <row r="4763" spans="1:45" x14ac:dyDescent="0.2">
      <c r="A4763" t="s">
        <v>2636</v>
      </c>
      <c r="B4763" t="s">
        <v>2637</v>
      </c>
      <c r="C4763">
        <v>2006</v>
      </c>
      <c r="D4763" t="s">
        <v>44</v>
      </c>
      <c r="F4763" t="s">
        <v>447</v>
      </c>
      <c r="G4763" t="s">
        <v>91</v>
      </c>
      <c r="H4763" t="s">
        <v>96</v>
      </c>
      <c r="K4763" t="s">
        <v>101</v>
      </c>
      <c r="N4763" t="s">
        <v>126</v>
      </c>
      <c r="P4763" t="s">
        <v>2638</v>
      </c>
      <c r="Q4763" s="1" t="s">
        <v>2281</v>
      </c>
      <c r="R4763" s="1" t="s">
        <v>2282</v>
      </c>
      <c r="S4763" s="1" t="s">
        <v>126</v>
      </c>
      <c r="X4763" s="1" t="s">
        <v>189</v>
      </c>
      <c r="Y4763" t="s">
        <v>2279</v>
      </c>
      <c r="Z4763" t="s">
        <v>2280</v>
      </c>
      <c r="AA4763" t="s">
        <v>2358</v>
      </c>
      <c r="AB4763" t="s">
        <v>189</v>
      </c>
      <c r="AC4763" t="s">
        <v>152</v>
      </c>
      <c r="AD4763" t="s">
        <v>2278</v>
      </c>
      <c r="AS4763" t="s">
        <v>2662</v>
      </c>
    </row>
    <row r="4764" spans="1:45" x14ac:dyDescent="0.2">
      <c r="A4764" t="s">
        <v>2636</v>
      </c>
      <c r="B4764" t="s">
        <v>2637</v>
      </c>
      <c r="C4764">
        <v>2006</v>
      </c>
      <c r="D4764" t="s">
        <v>811</v>
      </c>
      <c r="F4764" t="s">
        <v>447</v>
      </c>
      <c r="G4764" t="s">
        <v>91</v>
      </c>
      <c r="H4764" t="s">
        <v>96</v>
      </c>
      <c r="I4764">
        <v>2003</v>
      </c>
      <c r="J4764">
        <f>4/12</f>
        <v>0.33333333333333331</v>
      </c>
      <c r="K4764" t="s">
        <v>101</v>
      </c>
      <c r="M4764">
        <v>0.15</v>
      </c>
      <c r="N4764" t="s">
        <v>126</v>
      </c>
      <c r="P4764" t="s">
        <v>2638</v>
      </c>
      <c r="Q4764" s="1" t="s">
        <v>2281</v>
      </c>
      <c r="R4764" s="1" t="s">
        <v>2282</v>
      </c>
      <c r="S4764" s="1" t="s">
        <v>126</v>
      </c>
      <c r="X4764" s="1" t="s">
        <v>211</v>
      </c>
      <c r="Y4764" t="s">
        <v>2279</v>
      </c>
      <c r="Z4764" t="s">
        <v>2280</v>
      </c>
      <c r="AA4764" t="s">
        <v>2358</v>
      </c>
      <c r="AB4764" t="s">
        <v>2290</v>
      </c>
      <c r="AC4764" s="1" t="s">
        <v>152</v>
      </c>
      <c r="AD4764" t="s">
        <v>2278</v>
      </c>
      <c r="AF4764" t="s">
        <v>49</v>
      </c>
      <c r="AJ4764" t="s">
        <v>49</v>
      </c>
      <c r="AM4764" t="s">
        <v>2639</v>
      </c>
      <c r="AN4764" t="s">
        <v>154</v>
      </c>
      <c r="AP4764" t="s">
        <v>49</v>
      </c>
      <c r="AS4764" t="s">
        <v>2662</v>
      </c>
    </row>
    <row r="4765" spans="1:45" x14ac:dyDescent="0.2">
      <c r="A4765" t="s">
        <v>2636</v>
      </c>
      <c r="B4765" t="s">
        <v>2637</v>
      </c>
      <c r="C4765">
        <v>2006</v>
      </c>
      <c r="D4765" t="s">
        <v>811</v>
      </c>
      <c r="F4765" t="s">
        <v>447</v>
      </c>
      <c r="G4765" t="s">
        <v>91</v>
      </c>
      <c r="H4765" t="s">
        <v>96</v>
      </c>
      <c r="I4765">
        <v>2003</v>
      </c>
      <c r="J4765">
        <f>4/12</f>
        <v>0.33333333333333331</v>
      </c>
      <c r="K4765" t="s">
        <v>101</v>
      </c>
      <c r="M4765">
        <v>0.15</v>
      </c>
      <c r="N4765" t="s">
        <v>126</v>
      </c>
      <c r="P4765" t="s">
        <v>2638</v>
      </c>
      <c r="Q4765" s="1" t="s">
        <v>2281</v>
      </c>
      <c r="R4765" s="1" t="s">
        <v>2282</v>
      </c>
      <c r="S4765" s="1" t="s">
        <v>126</v>
      </c>
      <c r="X4765" s="1" t="s">
        <v>211</v>
      </c>
      <c r="Y4765" t="s">
        <v>2279</v>
      </c>
      <c r="Z4765" t="s">
        <v>2280</v>
      </c>
      <c r="AA4765" t="s">
        <v>2358</v>
      </c>
      <c r="AB4765" t="s">
        <v>2290</v>
      </c>
      <c r="AC4765" s="1" t="s">
        <v>152</v>
      </c>
      <c r="AD4765" t="s">
        <v>2278</v>
      </c>
      <c r="AF4765" t="s">
        <v>49</v>
      </c>
      <c r="AJ4765" t="s">
        <v>49</v>
      </c>
      <c r="AM4765" t="s">
        <v>2640</v>
      </c>
      <c r="AN4765" t="s">
        <v>154</v>
      </c>
      <c r="AP4765" t="s">
        <v>49</v>
      </c>
      <c r="AS4765" t="s">
        <v>2662</v>
      </c>
    </row>
    <row r="4766" spans="1:45" x14ac:dyDescent="0.2">
      <c r="A4766" t="s">
        <v>2636</v>
      </c>
      <c r="B4766" t="s">
        <v>2637</v>
      </c>
      <c r="C4766">
        <v>2006</v>
      </c>
      <c r="D4766" t="s">
        <v>811</v>
      </c>
      <c r="F4766" t="s">
        <v>447</v>
      </c>
      <c r="G4766" t="s">
        <v>91</v>
      </c>
      <c r="H4766" t="s">
        <v>96</v>
      </c>
      <c r="I4766">
        <v>2003</v>
      </c>
      <c r="J4766">
        <f>4/12</f>
        <v>0.33333333333333331</v>
      </c>
      <c r="K4766" t="s">
        <v>101</v>
      </c>
      <c r="M4766">
        <v>0.15</v>
      </c>
      <c r="N4766" t="s">
        <v>126</v>
      </c>
      <c r="P4766" t="s">
        <v>2638</v>
      </c>
      <c r="Q4766" s="1" t="s">
        <v>2281</v>
      </c>
      <c r="R4766" s="1" t="s">
        <v>2282</v>
      </c>
      <c r="S4766" s="1" t="s">
        <v>126</v>
      </c>
      <c r="X4766" s="1" t="s">
        <v>211</v>
      </c>
      <c r="Y4766" t="s">
        <v>2279</v>
      </c>
      <c r="Z4766" t="s">
        <v>2280</v>
      </c>
      <c r="AA4766" t="s">
        <v>2358</v>
      </c>
      <c r="AB4766" t="s">
        <v>2290</v>
      </c>
      <c r="AC4766" s="1" t="s">
        <v>152</v>
      </c>
      <c r="AD4766" t="s">
        <v>2278</v>
      </c>
      <c r="AF4766" t="s">
        <v>49</v>
      </c>
      <c r="AJ4766" t="s">
        <v>49</v>
      </c>
      <c r="AM4766" t="s">
        <v>2639</v>
      </c>
      <c r="AN4766" t="s">
        <v>165</v>
      </c>
      <c r="AP4766" t="s">
        <v>49</v>
      </c>
      <c r="AS4766" t="s">
        <v>2662</v>
      </c>
    </row>
    <row r="4767" spans="1:45" x14ac:dyDescent="0.2">
      <c r="A4767" t="s">
        <v>2636</v>
      </c>
      <c r="B4767" t="s">
        <v>2637</v>
      </c>
      <c r="C4767">
        <v>2006</v>
      </c>
      <c r="D4767" t="s">
        <v>811</v>
      </c>
      <c r="F4767" t="s">
        <v>447</v>
      </c>
      <c r="G4767" t="s">
        <v>91</v>
      </c>
      <c r="H4767" t="s">
        <v>96</v>
      </c>
      <c r="I4767">
        <v>2003</v>
      </c>
      <c r="J4767">
        <f>4/12</f>
        <v>0.33333333333333331</v>
      </c>
      <c r="K4767" t="s">
        <v>101</v>
      </c>
      <c r="M4767">
        <v>0.15</v>
      </c>
      <c r="N4767" t="s">
        <v>126</v>
      </c>
      <c r="P4767" t="s">
        <v>2638</v>
      </c>
      <c r="Q4767" s="1" t="s">
        <v>2281</v>
      </c>
      <c r="R4767" s="1" t="s">
        <v>2282</v>
      </c>
      <c r="S4767" s="1" t="s">
        <v>126</v>
      </c>
      <c r="X4767" s="1" t="s">
        <v>211</v>
      </c>
      <c r="Y4767" t="s">
        <v>2279</v>
      </c>
      <c r="Z4767" t="s">
        <v>2280</v>
      </c>
      <c r="AA4767" t="s">
        <v>2358</v>
      </c>
      <c r="AB4767" t="s">
        <v>2290</v>
      </c>
      <c r="AC4767" s="1" t="s">
        <v>152</v>
      </c>
      <c r="AD4767" t="s">
        <v>2278</v>
      </c>
      <c r="AF4767" t="s">
        <v>49</v>
      </c>
      <c r="AJ4767" t="s">
        <v>49</v>
      </c>
      <c r="AM4767" t="s">
        <v>2640</v>
      </c>
      <c r="AN4767" t="s">
        <v>165</v>
      </c>
      <c r="AP4767" t="s">
        <v>49</v>
      </c>
      <c r="AS4767" t="s">
        <v>2662</v>
      </c>
    </row>
    <row r="4768" spans="1:45" x14ac:dyDescent="0.2">
      <c r="A4768" t="s">
        <v>2636</v>
      </c>
      <c r="B4768" t="s">
        <v>2637</v>
      </c>
      <c r="C4768">
        <v>2006</v>
      </c>
      <c r="D4768" t="s">
        <v>811</v>
      </c>
      <c r="F4768" t="s">
        <v>447</v>
      </c>
      <c r="G4768" t="s">
        <v>91</v>
      </c>
      <c r="H4768" t="s">
        <v>96</v>
      </c>
      <c r="I4768">
        <v>2003</v>
      </c>
      <c r="J4768">
        <f>4/12</f>
        <v>0.33333333333333331</v>
      </c>
      <c r="K4768" t="s">
        <v>101</v>
      </c>
      <c r="M4768">
        <v>0.15</v>
      </c>
      <c r="N4768" t="s">
        <v>126</v>
      </c>
      <c r="P4768" t="s">
        <v>2638</v>
      </c>
      <c r="Q4768" s="1" t="s">
        <v>2281</v>
      </c>
      <c r="R4768" s="1" t="s">
        <v>2282</v>
      </c>
      <c r="S4768" s="1" t="s">
        <v>126</v>
      </c>
      <c r="X4768" s="1" t="s">
        <v>1010</v>
      </c>
      <c r="Y4768" t="s">
        <v>2279</v>
      </c>
      <c r="Z4768" t="s">
        <v>2280</v>
      </c>
      <c r="AA4768" t="s">
        <v>2286</v>
      </c>
      <c r="AB4768" t="s">
        <v>2305</v>
      </c>
      <c r="AC4768" t="s">
        <v>152</v>
      </c>
      <c r="AD4768" t="s">
        <v>2278</v>
      </c>
      <c r="AS4768" t="s">
        <v>2662</v>
      </c>
    </row>
    <row r="4769" spans="1:45" x14ac:dyDescent="0.2">
      <c r="A4769" t="s">
        <v>2641</v>
      </c>
      <c r="B4769" t="s">
        <v>2642</v>
      </c>
      <c r="C4769">
        <v>2008</v>
      </c>
      <c r="D4769" t="s">
        <v>44</v>
      </c>
      <c r="F4769" t="s">
        <v>53</v>
      </c>
      <c r="G4769" t="s">
        <v>86</v>
      </c>
      <c r="H4769" t="s">
        <v>350</v>
      </c>
      <c r="I4769">
        <v>2005</v>
      </c>
      <c r="J4769">
        <f>21/365</f>
        <v>5.7534246575342465E-2</v>
      </c>
      <c r="K4769" t="s">
        <v>101</v>
      </c>
      <c r="N4769" t="s">
        <v>127</v>
      </c>
      <c r="O4769" t="s">
        <v>1082</v>
      </c>
      <c r="Q4769" s="1" t="s">
        <v>2281</v>
      </c>
      <c r="R4769" s="1" t="s">
        <v>2282</v>
      </c>
      <c r="S4769" s="1" t="s">
        <v>2304</v>
      </c>
      <c r="X4769" s="1" t="s">
        <v>1010</v>
      </c>
      <c r="Y4769" t="s">
        <v>2279</v>
      </c>
      <c r="Z4769" t="s">
        <v>2280</v>
      </c>
      <c r="AA4769" t="s">
        <v>2286</v>
      </c>
      <c r="AB4769" t="s">
        <v>2305</v>
      </c>
      <c r="AC4769" t="s">
        <v>152</v>
      </c>
      <c r="AD4769" t="s">
        <v>2278</v>
      </c>
      <c r="AH4769" t="s">
        <v>49</v>
      </c>
      <c r="AI4769" t="s">
        <v>49</v>
      </c>
      <c r="AM4769" t="s">
        <v>233</v>
      </c>
      <c r="AS4769" t="s">
        <v>2662</v>
      </c>
    </row>
    <row r="4770" spans="1:45" x14ac:dyDescent="0.2">
      <c r="A4770" t="s">
        <v>2643</v>
      </c>
      <c r="AR4770" t="s">
        <v>144</v>
      </c>
      <c r="AS4770" t="s">
        <v>2644</v>
      </c>
    </row>
    <row r="4771" spans="1:45" x14ac:dyDescent="0.2">
      <c r="A4771" t="s">
        <v>2646</v>
      </c>
      <c r="AR4771" t="s">
        <v>144</v>
      </c>
      <c r="AS4771" t="s">
        <v>2645</v>
      </c>
    </row>
    <row r="4772" spans="1:45" x14ac:dyDescent="0.2">
      <c r="A4772" t="s">
        <v>2647</v>
      </c>
      <c r="B4772" t="s">
        <v>2648</v>
      </c>
      <c r="C4772">
        <v>2013</v>
      </c>
      <c r="D4772" t="s">
        <v>44</v>
      </c>
      <c r="F4772" t="s">
        <v>2649</v>
      </c>
      <c r="G4772" t="s">
        <v>87</v>
      </c>
      <c r="H4772" t="s">
        <v>350</v>
      </c>
      <c r="K4772" t="s">
        <v>101</v>
      </c>
      <c r="N4772" t="s">
        <v>122</v>
      </c>
      <c r="Q4772" s="1" t="s">
        <v>2281</v>
      </c>
      <c r="R4772" t="s">
        <v>122</v>
      </c>
      <c r="S4772" t="s">
        <v>2294</v>
      </c>
      <c r="X4772" t="s">
        <v>2650</v>
      </c>
      <c r="Y4772" t="s">
        <v>2279</v>
      </c>
      <c r="Z4772" t="s">
        <v>2280</v>
      </c>
      <c r="AA4772" t="s">
        <v>2286</v>
      </c>
      <c r="AB4772" t="s">
        <v>2305</v>
      </c>
      <c r="AC4772" t="s">
        <v>152</v>
      </c>
      <c r="AD4772" t="s">
        <v>2278</v>
      </c>
      <c r="AH4772" t="s">
        <v>49</v>
      </c>
      <c r="AI4772" t="s">
        <v>49</v>
      </c>
      <c r="AM4772" t="s">
        <v>233</v>
      </c>
      <c r="AN4772" t="s">
        <v>166</v>
      </c>
      <c r="AP4772" t="s">
        <v>51</v>
      </c>
      <c r="AS4772" t="s">
        <v>2662</v>
      </c>
    </row>
    <row r="4773" spans="1:45" x14ac:dyDescent="0.2">
      <c r="A4773" t="s">
        <v>2647</v>
      </c>
      <c r="B4773" t="s">
        <v>2648</v>
      </c>
      <c r="C4773">
        <v>2013</v>
      </c>
      <c r="D4773" t="s">
        <v>44</v>
      </c>
      <c r="F4773" t="s">
        <v>2649</v>
      </c>
      <c r="G4773" t="s">
        <v>87</v>
      </c>
      <c r="H4773" t="s">
        <v>350</v>
      </c>
      <c r="K4773" t="s">
        <v>101</v>
      </c>
      <c r="N4773" t="s">
        <v>122</v>
      </c>
      <c r="Q4773" s="1" t="s">
        <v>2281</v>
      </c>
      <c r="R4773" t="s">
        <v>122</v>
      </c>
      <c r="S4773" t="s">
        <v>2294</v>
      </c>
      <c r="X4773" t="s">
        <v>2650</v>
      </c>
      <c r="Y4773" t="s">
        <v>2279</v>
      </c>
      <c r="Z4773" t="s">
        <v>2280</v>
      </c>
      <c r="AA4773" t="s">
        <v>2286</v>
      </c>
      <c r="AB4773" t="s">
        <v>2305</v>
      </c>
      <c r="AC4773" t="s">
        <v>152</v>
      </c>
      <c r="AD4773" t="s">
        <v>2278</v>
      </c>
      <c r="AH4773" t="s">
        <v>49</v>
      </c>
      <c r="AI4773" t="s">
        <v>49</v>
      </c>
      <c r="AM4773" t="s">
        <v>233</v>
      </c>
      <c r="AN4773" t="s">
        <v>171</v>
      </c>
      <c r="AP4773" t="s">
        <v>51</v>
      </c>
      <c r="AS4773" t="s">
        <v>2662</v>
      </c>
    </row>
    <row r="4774" spans="1:45" x14ac:dyDescent="0.2">
      <c r="A4774" t="s">
        <v>2647</v>
      </c>
      <c r="B4774" t="s">
        <v>2648</v>
      </c>
      <c r="C4774">
        <v>2013</v>
      </c>
      <c r="D4774" t="s">
        <v>44</v>
      </c>
      <c r="F4774" t="s">
        <v>2649</v>
      </c>
      <c r="G4774" t="s">
        <v>87</v>
      </c>
      <c r="H4774" t="s">
        <v>350</v>
      </c>
      <c r="K4774" t="s">
        <v>101</v>
      </c>
      <c r="N4774" t="s">
        <v>122</v>
      </c>
      <c r="Q4774" s="1" t="s">
        <v>2281</v>
      </c>
      <c r="R4774" t="s">
        <v>122</v>
      </c>
      <c r="S4774" t="s">
        <v>2294</v>
      </c>
      <c r="X4774" t="s">
        <v>2650</v>
      </c>
      <c r="Y4774" t="s">
        <v>2279</v>
      </c>
      <c r="Z4774" t="s">
        <v>2280</v>
      </c>
      <c r="AA4774" t="s">
        <v>2286</v>
      </c>
      <c r="AB4774" t="s">
        <v>2305</v>
      </c>
      <c r="AC4774" t="s">
        <v>152</v>
      </c>
      <c r="AD4774" t="s">
        <v>2278</v>
      </c>
      <c r="AH4774" t="s">
        <v>49</v>
      </c>
      <c r="AI4774" t="s">
        <v>49</v>
      </c>
      <c r="AM4774" t="s">
        <v>233</v>
      </c>
      <c r="AN4774" t="s">
        <v>154</v>
      </c>
      <c r="AP4774" t="s">
        <v>157</v>
      </c>
      <c r="AS4774" t="s">
        <v>2662</v>
      </c>
    </row>
    <row r="4775" spans="1:45" x14ac:dyDescent="0.2">
      <c r="A4775" t="s">
        <v>2651</v>
      </c>
      <c r="B4775" t="s">
        <v>2652</v>
      </c>
      <c r="C4775">
        <v>2014</v>
      </c>
      <c r="D4775" t="s">
        <v>44</v>
      </c>
      <c r="F4775" t="s">
        <v>2653</v>
      </c>
      <c r="G4775" t="s">
        <v>87</v>
      </c>
      <c r="H4775" t="s">
        <v>350</v>
      </c>
      <c r="I4775" t="s">
        <v>1093</v>
      </c>
      <c r="J4775">
        <v>1</v>
      </c>
      <c r="K4775" t="s">
        <v>101</v>
      </c>
      <c r="M4775">
        <v>20</v>
      </c>
      <c r="N4775" t="s">
        <v>122</v>
      </c>
      <c r="Q4775" s="1" t="s">
        <v>2281</v>
      </c>
      <c r="R4775" t="s">
        <v>122</v>
      </c>
      <c r="S4775" t="s">
        <v>2294</v>
      </c>
      <c r="X4775" s="1" t="s">
        <v>1010</v>
      </c>
      <c r="Y4775" t="s">
        <v>2279</v>
      </c>
      <c r="Z4775" t="s">
        <v>2280</v>
      </c>
      <c r="AA4775" t="s">
        <v>2286</v>
      </c>
      <c r="AB4775" t="s">
        <v>2287</v>
      </c>
      <c r="AC4775" t="s">
        <v>152</v>
      </c>
      <c r="AD4775" t="s">
        <v>2278</v>
      </c>
      <c r="AF4775" t="s">
        <v>49</v>
      </c>
      <c r="AI4775" t="s">
        <v>49</v>
      </c>
      <c r="AM4775" t="s">
        <v>202</v>
      </c>
      <c r="AS4775" t="s">
        <v>2662</v>
      </c>
    </row>
    <row r="4776" spans="1:45" x14ac:dyDescent="0.2">
      <c r="A4776" t="s">
        <v>2654</v>
      </c>
      <c r="B4776" t="s">
        <v>2170</v>
      </c>
      <c r="C4776">
        <v>2006</v>
      </c>
      <c r="D4776" t="s">
        <v>44</v>
      </c>
      <c r="F4776" t="s">
        <v>2655</v>
      </c>
      <c r="G4776" t="s">
        <v>271</v>
      </c>
      <c r="H4776" t="s">
        <v>350</v>
      </c>
      <c r="I4776" t="s">
        <v>2656</v>
      </c>
      <c r="K4776" t="s">
        <v>101</v>
      </c>
      <c r="N4776" t="s">
        <v>122</v>
      </c>
      <c r="Q4776" s="1" t="s">
        <v>2281</v>
      </c>
      <c r="R4776" t="s">
        <v>122</v>
      </c>
      <c r="S4776" t="s">
        <v>2294</v>
      </c>
      <c r="X4776" t="s">
        <v>2657</v>
      </c>
      <c r="Y4776" t="s">
        <v>2279</v>
      </c>
      <c r="Z4776" t="s">
        <v>2361</v>
      </c>
      <c r="AA4776" t="s">
        <v>2296</v>
      </c>
      <c r="AB4776" t="s">
        <v>2296</v>
      </c>
      <c r="AC4776" t="s">
        <v>152</v>
      </c>
      <c r="AD4776" t="s">
        <v>2278</v>
      </c>
      <c r="AS4776" t="s">
        <v>2662</v>
      </c>
    </row>
    <row r="4777" spans="1:45" x14ac:dyDescent="0.2">
      <c r="A4777" t="s">
        <v>2654</v>
      </c>
      <c r="B4777" t="s">
        <v>2170</v>
      </c>
      <c r="C4777">
        <v>2006</v>
      </c>
      <c r="D4777" t="s">
        <v>44</v>
      </c>
      <c r="F4777" t="s">
        <v>2655</v>
      </c>
      <c r="G4777" t="s">
        <v>271</v>
      </c>
      <c r="H4777" t="s">
        <v>350</v>
      </c>
      <c r="I4777" t="s">
        <v>2656</v>
      </c>
      <c r="K4777" t="s">
        <v>101</v>
      </c>
      <c r="N4777" t="s">
        <v>122</v>
      </c>
      <c r="Q4777" s="1" t="s">
        <v>2281</v>
      </c>
      <c r="R4777" t="s">
        <v>122</v>
      </c>
      <c r="S4777" t="s">
        <v>2294</v>
      </c>
      <c r="X4777" t="s">
        <v>2658</v>
      </c>
      <c r="Y4777" t="s">
        <v>2279</v>
      </c>
      <c r="Z4777" t="s">
        <v>2280</v>
      </c>
      <c r="AA4777" t="s">
        <v>2358</v>
      </c>
      <c r="AB4777" t="s">
        <v>2290</v>
      </c>
      <c r="AC4777" t="s">
        <v>152</v>
      </c>
      <c r="AD4777" t="s">
        <v>2278</v>
      </c>
      <c r="AS4777" t="s">
        <v>2662</v>
      </c>
    </row>
    <row r="4778" spans="1:45" x14ac:dyDescent="0.2">
      <c r="A4778" t="s">
        <v>2654</v>
      </c>
      <c r="B4778" t="s">
        <v>2170</v>
      </c>
      <c r="C4778">
        <v>2006</v>
      </c>
      <c r="D4778" t="s">
        <v>44</v>
      </c>
      <c r="F4778" t="s">
        <v>2655</v>
      </c>
      <c r="G4778" t="s">
        <v>271</v>
      </c>
      <c r="H4778" t="s">
        <v>350</v>
      </c>
      <c r="I4778" t="s">
        <v>2656</v>
      </c>
      <c r="J4778">
        <v>10</v>
      </c>
      <c r="K4778" t="s">
        <v>109</v>
      </c>
      <c r="N4778" t="s">
        <v>122</v>
      </c>
      <c r="Q4778" s="1" t="s">
        <v>2281</v>
      </c>
      <c r="R4778" t="s">
        <v>122</v>
      </c>
      <c r="S4778" t="s">
        <v>2294</v>
      </c>
      <c r="X4778" t="s">
        <v>2659</v>
      </c>
      <c r="Y4778" t="s">
        <v>2279</v>
      </c>
      <c r="Z4778" t="s">
        <v>2280</v>
      </c>
      <c r="AA4778" t="s">
        <v>2286</v>
      </c>
      <c r="AB4778" t="s">
        <v>2305</v>
      </c>
      <c r="AC4778" t="s">
        <v>152</v>
      </c>
      <c r="AD4778" t="s">
        <v>2278</v>
      </c>
      <c r="AS4778" t="s">
        <v>2662</v>
      </c>
    </row>
    <row r="4779" spans="1:45" x14ac:dyDescent="0.2">
      <c r="A4779" t="s">
        <v>2654</v>
      </c>
      <c r="B4779" t="s">
        <v>2170</v>
      </c>
      <c r="C4779">
        <v>2006</v>
      </c>
      <c r="D4779" t="s">
        <v>44</v>
      </c>
      <c r="F4779" t="s">
        <v>2655</v>
      </c>
      <c r="G4779" t="s">
        <v>271</v>
      </c>
      <c r="H4779" t="s">
        <v>350</v>
      </c>
      <c r="I4779" t="s">
        <v>2656</v>
      </c>
      <c r="J4779">
        <v>10</v>
      </c>
      <c r="K4779" t="s">
        <v>109</v>
      </c>
      <c r="N4779" t="s">
        <v>122</v>
      </c>
      <c r="Q4779" s="1" t="s">
        <v>2281</v>
      </c>
      <c r="R4779" t="s">
        <v>122</v>
      </c>
      <c r="S4779" t="s">
        <v>2294</v>
      </c>
      <c r="X4779" t="s">
        <v>2660</v>
      </c>
      <c r="Y4779" t="s">
        <v>2279</v>
      </c>
      <c r="Z4779" t="s">
        <v>2361</v>
      </c>
      <c r="AA4779" t="s">
        <v>2296</v>
      </c>
      <c r="AB4779" t="s">
        <v>2490</v>
      </c>
      <c r="AC4779" t="s">
        <v>315</v>
      </c>
      <c r="AD4779" t="s">
        <v>2278</v>
      </c>
      <c r="AH4779" t="s">
        <v>49</v>
      </c>
      <c r="AI4779" t="s">
        <v>49</v>
      </c>
      <c r="AM4779" t="s">
        <v>233</v>
      </c>
      <c r="AN4779" t="s">
        <v>154</v>
      </c>
      <c r="AP4779" t="s">
        <v>157</v>
      </c>
      <c r="AS4779" t="s">
        <v>2662</v>
      </c>
    </row>
    <row r="4780" spans="1:45" x14ac:dyDescent="0.2">
      <c r="A4780" t="s">
        <v>2663</v>
      </c>
      <c r="B4780" t="s">
        <v>523</v>
      </c>
      <c r="C4780">
        <v>2004</v>
      </c>
      <c r="D4780" t="s">
        <v>44</v>
      </c>
      <c r="F4780" t="s">
        <v>2653</v>
      </c>
      <c r="G4780" t="s">
        <v>87</v>
      </c>
      <c r="H4780" t="s">
        <v>350</v>
      </c>
      <c r="I4780" t="s">
        <v>2664</v>
      </c>
      <c r="J4780">
        <v>7</v>
      </c>
      <c r="K4780" t="s">
        <v>42</v>
      </c>
      <c r="N4780" t="s">
        <v>122</v>
      </c>
      <c r="Q4780" s="1" t="s">
        <v>2281</v>
      </c>
      <c r="R4780" t="s">
        <v>122</v>
      </c>
      <c r="S4780" t="s">
        <v>2294</v>
      </c>
      <c r="X4780" s="1" t="s">
        <v>211</v>
      </c>
      <c r="Y4780" t="s">
        <v>2279</v>
      </c>
      <c r="Z4780" t="s">
        <v>2280</v>
      </c>
      <c r="AA4780" t="s">
        <v>2358</v>
      </c>
      <c r="AB4780" t="s">
        <v>2290</v>
      </c>
      <c r="AC4780" s="1" t="s">
        <v>152</v>
      </c>
      <c r="AD4780" t="s">
        <v>2278</v>
      </c>
      <c r="AH4780" t="s">
        <v>49</v>
      </c>
      <c r="AI4780" t="s">
        <v>49</v>
      </c>
      <c r="AM4780" t="s">
        <v>233</v>
      </c>
      <c r="AN4780" t="s">
        <v>154</v>
      </c>
    </row>
  </sheetData>
  <autoFilter ref="A1:AS4780" xr:uid="{8D309E03-7AF3-A147-BBF0-D1250A89FBD9}"/>
  <dataValidations count="30">
    <dataValidation type="list" allowBlank="1" showInputMessage="1" showErrorMessage="1" prompt="is the database used available?" sqref="E1 E3:E12 E62:E73 E94:E195 E27:E52 O332 E78:E89 E204:E341" xr:uid="{9DE50B79-EB5E-BC4B-BEB0-137E116D9C37}">
      <formula1>"presence,request,absence,NA"</formula1>
    </dataValidation>
    <dataValidation type="list" allowBlank="1" showInputMessage="1" showErrorMessage="1" sqref="E2 E6:E11 E90:E93 E53:E61 E74:E77 E13:E26 E183:E184 E196:E203 E244:E269 E332 E342:E889 E900:E4088 E4102:E1048576" xr:uid="{AEAD1F61-3FFE-F44C-B0DB-E8A8991C08C8}">
      <formula1>"presence,request,absence,NA"</formula1>
    </dataValidation>
    <dataValidation type="list" allowBlank="1" showInputMessage="1" showErrorMessage="1" sqref="K1 K3:K11 K13:K52 K62:K4088 K4102:K1048576" xr:uid="{4BD9482A-008F-034F-A27F-CF88A3B6C4C6}">
      <formula1>"snapshot,minute,hour,day,week,month,season,year,other"</formula1>
    </dataValidation>
    <dataValidation allowBlank="1" showInputMessage="1" showErrorMessage="1" promptTitle="format: Specie 1;Specie 2" prompt="studied engineer specie(s) in the article " sqref="P3:P12 P39:P43 P53:P62 P112:P117 P75:P77 P1 P239:P243 P72:P73 P65:P67 P182:P184 R86 P79:P89" xr:uid="{155CAA6C-EB52-E44C-A8B1-0ECC429CB33C}"/>
    <dataValidation allowBlank="1" showInputMessage="1" showErrorMessage="1" prompt="copy and paste the name of the habitat (harmonisation a posteriori)" sqref="O1 O27:O38 O53:O63 O239:O243 O65:O67 O79:O89 O196:O203 O72:O77 O147:O181" xr:uid="{301689DE-E9FF-6441-AE74-9278ADF7B4C9}"/>
    <dataValidation type="list" allowBlank="1" showInputMessage="1" showErrorMessage="1" prompt="temporal resolution of the monitoring" sqref="K2 K12 K53:K61" xr:uid="{4183EE82-6327-214A-A2C7-E46CF23946E8}">
      <formula1>"snapshot,minute,hour,day,week,month,season,year,other"</formula1>
    </dataValidation>
    <dataValidation allowBlank="1" showInputMessage="1" showErrorMessage="1" promptTitle="numeric ; unit =year" prompt="temporal extent of the study" sqref="J2 J12 J53:J61" xr:uid="{364D7028-0E96-964D-8891-949E2337B4B2}"/>
    <dataValidation allowBlank="1" showInputMessage="1" showErrorMessage="1" promptTitle="numeric; unit = km" prompt="0 if individual scale" sqref="L2 L53:L61" xr:uid="{729EE21E-339A-7C44-95B8-3AB4DD4DAAF2}"/>
    <dataValidation type="list" allowBlank="1" showInputMessage="1" showErrorMessage="1" prompt="subtidal or intertidal or mixt" sqref="M2 M53:M61" xr:uid="{6487EC1C-8FAF-0E40-939F-BCCAE80960DD}">
      <formula1>"subtidal , intertidal , mixt"</formula1>
    </dataValidation>
    <dataValidation allowBlank="1" showInputMessage="1" showErrorMessage="1" promptTitle="numeric in square meter" prompt="spatial resolution of the monitoring_x000a_unit = m2_x000a_0 if individual scale" sqref="M2 M53:M61" xr:uid="{C3B32E8C-9300-F84A-B304-3A8020C9C535}"/>
    <dataValidation type="list" allowBlank="1" showInputMessage="1" showErrorMessage="1" sqref="G6:G11 G90:G93 G74 G13:G26 G183:G184 G196:G203 G244:G269 G332 G342:G538 G776:G785 G2038:G2640 G3621:G3745 G2696:G2700 G2713:G3618 G541:G649 G2654:G2675 G834:G1821 G1823:G2031 G3841:G1048576" xr:uid="{640CC368-FD4A-FF42-AED3-56F459E6E32B}">
      <formula1>"Central Indo-Pacific,Temperate Northern Atlantic,Tropical Atlantic,Western Indo-Pacific,Southern Ocean,Arctic,Temperate Australasia,Temperate Northern Pacific,Temperate South America,Eastern Indo-Pacific,Tropical Eastern Pacific,Temperate Southern Africa"</formula1>
    </dataValidation>
    <dataValidation type="list" allowBlank="1" showInputMessage="1" showErrorMessage="1" prompt="subtidal or intertidal or mixt" sqref="H6:H11 H90:H93 H13:H26 H183:H184 H244:H269 H332 H342:H1048576" xr:uid="{B4B9DFD8-F782-C548-8FE0-016EA11B823B}">
      <formula1>"subtidal,intertidal,mixed"</formula1>
    </dataValidation>
    <dataValidation type="list" allowBlank="1" showInputMessage="1" showErrorMessage="1" prompt="study area (realm MEOW)" sqref="G1:G12 G94:G195 G27:G73 G75:G89 G204:G341" xr:uid="{BF07EB5B-522B-5540-86AC-6EEDDBE16AA0}">
      <formula1>"Central Indo-Pacific,Temperate Northern Atlantic,Tropical Atlantic,Western Indo-Pacific,Southern Ocean,Arctic,Temperate Australasia,Temperate Northern Pacific,Temperate South America,Eastern Indo-Pacific,Tropical Eastern Pacific,Temperate Southern Africa"</formula1>
    </dataValidation>
    <dataValidation type="list" allowBlank="1" showInputMessage="1" showErrorMessage="1" prompt="subtidal or intertidal or mixt" sqref="H1:H12 H27:H89 V332 H94:H341" xr:uid="{79981D6D-4CFE-B140-904C-54FC19026CAA}">
      <formula1>"subtidal,intertidal,mixt"</formula1>
    </dataValidation>
    <dataValidation allowBlank="1" showInputMessage="1" showErrorMessage="1" prompt="study area (country name or larger scale)" sqref="F2:F12 P332 F27:F73 F94:F195 F75:F89 F204:F341" xr:uid="{60C2E906-072E-E542-A403-C8AE26D05F13}"/>
    <dataValidation allowBlank="1" showInputMessage="1" showErrorMessage="1" prompt="studied individual trait (e.g. height, feeding_mode, etc.)" sqref="X75:X77 X239:X242 X27:X38" xr:uid="{B059AE7F-2C7A-9B40-A079-65C1B594F45C}"/>
    <dataValidation type="list" allowBlank="1" showInputMessage="1" showErrorMessage="1" prompt="if bioturbator select &quot;soft sediment&quot;" sqref="N42 N53:N62 N239:N243 N65:N67 N79:N89 N196:N203 N74:N77 N147:N181" xr:uid="{9A3B9EF5-482D-BC46-B60C-3E02CF0C3F46}">
      <formula1>"canopy forming algae,coral reef,seagrass bed,mussel bed,oyster reef,salt marsh,encrusting coralline algae,rhodolith bed,sponge,honeycomb worm reef,mangrove,fucoid,turf,mollusk beds,other macroalgae beds,soft sediment,other habitat"</formula1>
    </dataValidation>
    <dataValidation allowBlank="1" showInputMessage="1" showErrorMessage="1" prompt="associated community(ies) (format: bivalve;mollusc no space)" sqref="AM43" xr:uid="{ECEDCC1F-06AE-BD4E-9D16-7FF7B995A419}"/>
    <dataValidation type="list" allowBlank="1" showInputMessage="1" showErrorMessage="1" sqref="N63:N64 N78 N204:N238 N68:N73 N182:N195 N1:N52 N90:N146 P1566:P1604 O2158:O2164 N1484:N1488 N244:N292 N311:N1482 N1490:N4088 N4102:N1048576" xr:uid="{71627079-4E7C-E048-AC30-3A53589E9C61}">
      <formula1>"canopy forming algae,coral reef,seagrass bed,mussel bed,oyster reef,salt marsh,encrusting coralline algae,rhodolith bed,sponge,reef builder worm,mangrove,fucoid,turf,mollusk beds,other macroalgae beds,soft sediment,other habitat"</formula1>
    </dataValidation>
    <dataValidation allowBlank="1" showInputMessage="1" showErrorMessage="1" prompt="year of publication" sqref="C74:C77 C185:C195 C210 C147:C181" xr:uid="{4A0C1AEF-E1D3-FD4E-B075-2AA65AFA6B06}"/>
    <dataValidation allowBlank="1" showInputMessage="1" showErrorMessage="1" prompt="last name of the first author (e.g. Dupont)" sqref="B74:B77 B185:B195" xr:uid="{30B813AC-668C-CD47-9A76-961FF743B328}"/>
    <dataValidation type="list" allowBlank="1" showInputMessage="1" showErrorMessage="1" sqref="AP1:AP44 AP598:AP599 AP601:AP610 AP648:AP1099 AP1419 AP1339:AP1417 AP1597:AP1629 AP3442:AP3443 AP4093:AP4094 AP3447:AP4088 AP612:AP645 AP1461:AP1592 AP4096:AP4339 AP46:AP596 AP1101:AP1337 AP4776:AP4777 AP4779:AP1048576 AP1631:AP3438 AP4341:AP4774" xr:uid="{E2882154-52FC-A849-8FD0-31EC1BC8FFB4}">
      <formula1>"positive,negative,mixed,presence,absence,NA"</formula1>
    </dataValidation>
    <dataValidation type="list" allowBlank="1" showInputMessage="1" showErrorMessage="1" sqref="AR246:AR251 AR253:AR257 AR260 AR262:AR264 AR266 AR268:AR1099 AR1419 AR1427:AR1438 AR1423:AR1424 AR1486 AR1443:AR1484 AR1339:AR1417 AR1597:AR1628 AR4093:AR4094 AR2:AR244 AR1488:AR1592 AR1101:AR1104 AR1106:AR1337 AR1633:AR4088 AR4096:AR1048576" xr:uid="{B228F025-6CF6-5B4D-94EE-D241D30A9B70}">
      <formula1>"1,del,NA"</formula1>
    </dataValidation>
    <dataValidation type="list" allowBlank="1" showInputMessage="1" showErrorMessage="1" sqref="U4466:U4467 U182 U1473:U1475 U2503:U2506 U3206:U3210 U53:U61 U211:U220 U247 U252 U257 U262 U268 U330:U331 U342:U351 U373:U384 U397:U402 U409:U414 U424:U429 U436:U441 U540 U608:U621 U776:U777 U780:U783 U834:U835 U839:U840 U843:U844 U847:U848 U851:U860 U921:U932 U1021:U1024 U1081 U1084:U1086 U1162:U1163 U1166:U1167 U1173:U1174 U1177:U1178 U1182 U1180 U1185:U1188 U1191 U1242:U1246 U1293:U1301 U1351:U1353 U1357:U1361 U1385:U1387 U1395:U1396 U1401:U1405 U1414:U1416 T1:T566 U1498 U1643:U1644 U1647:U1648 U1651:U1652 U1655:U1656 U1662:U1667 U1718:U1723 U1742:U1752 U1754:U1757 U1788:U1790 U1794:U1796 U1800:U1802 U1806:U1808 U1812:U1817 U1855:U1856 U1859:U1860 U1863:U1864 U1868:U1870 U2042:U2045 U2050:U2053 U2058:U2061 U2066:U2069 U2074:U2077 U2082:U2085 U2090:U2093 U2098:U2101 U2106:U2109 U2114:U2117 U2122:U2125 U2130:U2133 U2138:U2141 U2146:U2149 U2154:U2157 U2165:U2169 U2174:U2175 U2181:U2182 U2203:U2205 U2228:U2234 U2309 U2316:U2328 U196:U199 U2511:U2512 U2515:U2516 U2519:U2520 U2523:U2524 U2527:U2528 U2531:U2532 U2535:U2536 U2539:U2540 U2543:U2544 U2547:U2548 U2559:U2561 U2621:U2632 U2634:U2636 U2642:U2653 U2679:U2681 U2686:U2689 U2715:U2718 U2724:U2726 U2833:U2835 U2842:U2843 U2867:U2868 U2873:U2876 U2890 U2905 U2907:U2909 U2935:U2936 U2939:U2940 U2943:U2944 U3016:U3021 U3025:U3029 U3032:U3033 U3038:U3039 U3065 U3067 U3069 U3071 U3089:U3096 U3113:U3115 U3447:U3449 U3256:U3260 U3311:U3313 U3315:U3317 U3327:U3330 U3343:U3351 U3364:U3373 U3406:U3427 U3436:U3438 U3971 U3453:U3454 U3457:U3459 U3463:U3465 U3479 U3481:U3482 U3485 U3487 U3489 U3493:U3496 U3501:U3502 U3505:U3506 U3509:U3510 U3513:U3514 U3517:U3518 U3521:U3522 U3525:U3526 U3537:U3538 U3541:U3542 U3545:U3546 U3549:U3550 U3561:U3562 U3565:U3566 U3569:U3570 U3573:U3574 U3621:U3636 U3646:U3647 U3651:U3652 U3656:U3657 U3661:U3662 U3666:U3667 U3671:U3672 U3676:U3677 U3681:U3682 U3686:U3687 U3691:U3692 U3714:U3715 U3718:U3719 U3722:U3723 U3726:U3727 U3730:U3731 U3734:U3735 U3738 U3750:U3755 U3757:U3759 U3763:U3765 U3769:U3771 U3775:U3777 U3781:U3783 U3787:U3789 U3793:U3795 U3799:U3801 U3805:U3807 U3811:U3813 U3817:U3819 U3823:U3825 U3829:U3831 U3835:U3837 U3874:U3877 U3884:U3908 U3917:U3924 U3934:U3969 U4065:U4066 U3978:U3979 U3982:U3983 U3986:U3987 U3990:U4030 U4055:U4062 U2696:U2700 U4069:U4070 U4085:U4088 U4241:U4244 U4246:U4248 U4253:U4256 U4261:U4264 U4273:U4276 U4281:U4284 U4293:U4296 U4301:U4304 U4309:U4312 U4317:U4320 U4325:U4328 U4333:U4336 U4341:U4344 U4349:U4352 U4357:U4360 U4365:U4368 U4373:U4376 U4381:U4384 U4389:U4392 U4397:U4400 U4405:U4408 U4413:U4416 U4455:U4456 U4459:U4460 U4463:U4464 U2823 U4470:U4472 U4475:U4484 U4488:U4490 U4494:U4496 U4500:U4502 U4509:U4511 U4515:U4532 T2873:T4088 U2485:U2498 U3292:U3296 U4536:U4549 T570:T1592 U1303:U1305 U2003:U2020 U2568:U2573 U2670:U2676 U2807:U2810 U2783:U2786 U2789:U2792 U2795:U2798 U2801:U2804 U2777:U2780 U2819 U2821 U3596:U3598 U3588:U3590 T4098:U4101 U4102:U4153 T4102:T4774 T4776:T1048576 T1597:T2871" xr:uid="{8889FC23-2701-E842-B633-428C3D6B3D5E}">
      <formula1>"biogenic habitat,bare habitat,absence"</formula1>
    </dataValidation>
    <dataValidation type="list" allowBlank="1" showInputMessage="1" showErrorMessage="1" sqref="P2171:P2183" xr:uid="{0E9C7384-B5CB-E44E-902D-C65E40F654E9}">
      <formula1>"habitat of interest,reference habitat"</formula1>
    </dataValidation>
    <dataValidation type="list" allowBlank="1" showInputMessage="1" showErrorMessage="1" sqref="AN1:AN645 AN648:AN1099 AN4093:AN4094 AN1930:AN4088 AN1339:AN1592 AN1597:AN1740 AN1101:AN1337 AN4096:AN4607 AN4626:AN4774 AN4776:AN4777 AN4779:AN1048576 AN1742:AN1928" xr:uid="{6585C077-D9B4-064E-AE52-E24391A0A1F4}">
      <formula1>"biomass,abundance,taxo alpha div,taxo beta div,fun biomass,fun abundance,fun alpha div,fun beta div,other"</formula1>
    </dataValidation>
    <dataValidation type="list" allowBlank="1" showInputMessage="1" showErrorMessage="1" sqref="AC3064 AC3066 AC3068 AC3070 AC4094 AC1850:AC3054 AC3072:AC4088 AC4097:AC4553 AC1:AC1829 AC4557:AC1048576" xr:uid="{2914F1D3-4086-2F47-8030-2AB470F01239}">
      <formula1>"quantify,qualify,deduce,NA"</formula1>
    </dataValidation>
    <dataValidation type="list" allowBlank="1" showInputMessage="1" showErrorMessage="1" sqref="V2:V1592 V4776:V1048576 V1597:V3112 V3116:V4774" xr:uid="{E9ED0648-4A67-3A4F-9D43-1A0B76302660}">
      <formula1>"alien,NA"</formula1>
    </dataValidation>
    <dataValidation type="list" allowBlank="1" showInputMessage="1" showErrorMessage="1" sqref="D1851:D4088 D1:D1822 D4102:D1048576" xr:uid="{ABD1F850-A787-BA47-8E32-CAA91C15EF23}">
      <formula1>"modelling,laboratory experiment,field experiment,observation,systematic review,meta analysis,dataset"</formula1>
    </dataValidation>
    <dataValidation type="list" allowBlank="1" showInputMessage="1" showErrorMessage="1" sqref="AK397:AL420 AL859:AL860 AJ836:AL852 AI853:AJ853 AL853 AJ854:AL855 AI856:AJ856 AL856 AJ857:AL858 AI859:AJ860 AJ928:AJ931 AL928:AL931 AJ861:AL927 AJ1025:AJ1038 AL1025:AL1038 AL1121:AL1126 AJ1121:AJ1140 AL1129:AL1136 AK1127:AK1128 AL1139:AL1140 AK1137:AK1138 AL1545 AJ1545 AK1725:AL1728 AF1722 AJ1546:AL1724 AK1733:AL1738 AJ1729:AL1732 AF2200:AF2417 AK2552:AL2558 AK2597:AK2620 AI2731:AJ2738 AF2885:AF2904 AI2954:AI2963 AJ2979:AJ3002 AL2991:AL3002 AK2985:AK2990 AF2910:AF2996 AJ3078:AL3079 AJ3083:AL3083 AI3080:AL3082 AI3221:AI3228 AF3267:AF3270 AF3218:AF3255 AG3221:AG3255 AI2322:AI2644 AF3261 AI3261 AI3267:AI3269 AL3225:AL3294 AI3273:AI3307 AI3310:AI3391 AI3847:AI3936 AI3938 AJ4228:AJ4247 AI2228:AI2318 AF784:AH1721 AF3195:AF3216 AF590:AF779 AK147:AL174 AG590:AH783 AF1:AH589 AJ421:AL785 AI778:AI860 AJ786:AK835 AJ932:AL1024 AJ1039:AL1120 AJ1141:AL1302 AJ1306:AL1544 AI2:AI775 AJ1303:AK1305 AL1831:AL2061 AI2021:AI2206 AL4121:AL4536 AJ1830:AK2551 AF2451:AF2569 AJ2559:AK2568 AJ2569 AI1844:AI2016 AI2594:AJ2596 AJ2570:AK2593 AL2158:AL2728 AJ2621:AK2730 AI2651:AI2950 AL2731:AL2984 AG2503:AG2884 AJ2739:AK2978 AF2574:AF2883 AG2886:AG3006 AI3003:AL3077 AI3084:AK3129 AL3084:AL3127 AJ3130:AK3130 AI3131:AK3132 AI3134:AK3135 AJ3133:AK3133 AI3128:AI3138 AJ3136:AK3138 AK3145 AL3137:AL3144 AL3146:AL3149 AI3195:AI3216 AI3151:AI3172 AG3013:AG3168 AG3173:AG3216 AJ3139:AJ3475 AK3150:AK3224 AL3151:AL3220 AH2519:AH3230 AF3003:AF3190 AK3596:AK3973 AJ3477:AJ3586 AK3229:AK3586 AH3252:AH3586 AG3261:AG3586 AJ3587:AL3587 AI3599:AI3844 AI3394:AI3582 AF3272:AF3741 AJ3588:AK3594 AJ3596:AJ3964 AJ3595:AL3595 AF3743:AF4097 AI4154:AI4509 AJ4154:AJ4209 AJ3966:AJ4103 AI3231:AI3255 AK3992:AK4120 AG3587:AH4101 AF4102:AH4123 AL3297:AL4118 AI3940:AI4101 AJ1:AL146 AJ175:AL396 AG1722:AH1821 AF4124:AF4465 AG4124:AK4153 AG1823:AH2502 AF4764:AL4774 AI4775 AF4775 AH4779:AL4779 AF4776:AL4777 AF4778:AG4779 AF4780:AL1048576 AF1724:AF2198 AI879:AI1841 AJ1739:AL1829 AG4154:AH4763 AK4154:AK4763 AL4542:AL4763 AF4468:AF4763 AJ4249:AJ4763 AI4512:AI4763" xr:uid="{C434456A-721E-C04A-B551-FEFED2C2A3EF}">
      <formula1>"presence,absence"</formula1>
    </dataValidation>
  </dataValidations>
  <pageMargins left="0.7" right="0.7" top="0.75" bottom="0.75" header="0.3" footer="0.3"/>
  <pageSetup paperSize="9" orientation="portrait" horizontalDpi="0" verticalDpi="0"/>
  <ignoredErrors>
    <ignoredError sqref="M315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Thomas Benoit</cp:lastModifiedBy>
  <dcterms:created xsi:type="dcterms:W3CDTF">2023-07-17T07:39:39Z</dcterms:created>
  <dcterms:modified xsi:type="dcterms:W3CDTF">2025-04-17T06:56:36Z</dcterms:modified>
</cp:coreProperties>
</file>