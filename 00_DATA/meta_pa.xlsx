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benoit/Documents/DOCTORAT/04-REVIEW/REVIEW_GITHUB/00_DATA/"/>
    </mc:Choice>
  </mc:AlternateContent>
  <xr:revisionPtr revIDLastSave="0" documentId="13_ncr:1_{B64B3023-8028-2544-8601-C0CFC3881C20}" xr6:coauthVersionLast="47" xr6:coauthVersionMax="47" xr10:uidLastSave="{00000000-0000-0000-0000-000000000000}"/>
  <bookViews>
    <workbookView xWindow="34560" yWindow="-5960" windowWidth="38400" windowHeight="21100" xr2:uid="{D124278D-08E7-5A45-8989-0D33F9D56A08}"/>
  </bookViews>
  <sheets>
    <sheet name="Feuil1" sheetId="1" r:id="rId1"/>
  </sheets>
  <definedNames>
    <definedName name="meta_pa" localSheetId="0">Feuil1!$A$1:$O$265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7" i="1" l="1"/>
  <c r="R94" i="1"/>
  <c r="N94" i="1"/>
  <c r="R98" i="1"/>
  <c r="N98" i="1"/>
  <c r="R95" i="1"/>
  <c r="N95" i="1"/>
  <c r="R96" i="1"/>
  <c r="N96" i="1"/>
  <c r="R93" i="1"/>
  <c r="N93" i="1"/>
  <c r="N91" i="1"/>
  <c r="R88" i="1"/>
  <c r="N88" i="1"/>
  <c r="R92" i="1"/>
  <c r="N92" i="1"/>
  <c r="R89" i="1"/>
  <c r="N89" i="1"/>
  <c r="R90" i="1"/>
  <c r="N90" i="1"/>
  <c r="R87" i="1"/>
  <c r="N87" i="1"/>
  <c r="R85" i="1"/>
  <c r="R82" i="1"/>
  <c r="R86" i="1"/>
  <c r="R83" i="1"/>
  <c r="R84" i="1"/>
  <c r="R81" i="1"/>
  <c r="N85" i="1"/>
  <c r="N82" i="1"/>
  <c r="N86" i="1"/>
  <c r="N83" i="1"/>
  <c r="N81" i="1"/>
  <c r="N84" i="1"/>
  <c r="M253" i="1"/>
  <c r="Q253" i="1"/>
  <c r="P253" i="1"/>
  <c r="L253" i="1"/>
  <c r="Q251" i="1"/>
  <c r="M251" i="1"/>
  <c r="R107" i="1"/>
  <c r="N107" i="1"/>
  <c r="R106" i="1"/>
  <c r="N106" i="1"/>
  <c r="R105" i="1"/>
  <c r="N105" i="1"/>
  <c r="R104" i="1"/>
  <c r="N104" i="1"/>
  <c r="R100" i="1"/>
  <c r="N100" i="1"/>
  <c r="R266" i="1"/>
  <c r="R265" i="1"/>
  <c r="N266" i="1"/>
  <c r="N265" i="1"/>
  <c r="P259" i="1"/>
  <c r="P258" i="1"/>
  <c r="L259" i="1"/>
  <c r="L258" i="1"/>
  <c r="L195" i="1"/>
  <c r="P153" i="1"/>
  <c r="L153" i="1"/>
  <c r="R145" i="1"/>
  <c r="N145" i="1"/>
  <c r="R144" i="1"/>
  <c r="N144" i="1"/>
  <c r="R76" i="1"/>
  <c r="N76" i="1"/>
  <c r="R68" i="1"/>
  <c r="N68" i="1"/>
  <c r="R65" i="1"/>
  <c r="N65" i="1"/>
  <c r="R64" i="1"/>
  <c r="N60" i="1"/>
  <c r="R60" i="1"/>
  <c r="P27" i="1"/>
  <c r="P24" i="1"/>
  <c r="L27" i="1"/>
  <c r="L24" i="1"/>
  <c r="P26" i="1"/>
  <c r="P23" i="1"/>
  <c r="L26" i="1"/>
  <c r="L23" i="1"/>
  <c r="P25" i="1"/>
  <c r="P22" i="1"/>
  <c r="L25" i="1"/>
  <c r="L22" i="1"/>
  <c r="R257" i="1"/>
  <c r="R256" i="1"/>
  <c r="R255" i="1"/>
  <c r="R254" i="1"/>
  <c r="N257" i="1"/>
  <c r="N256" i="1"/>
  <c r="N255" i="1"/>
  <c r="N254" i="1"/>
  <c r="R245" i="1"/>
  <c r="N245" i="1"/>
  <c r="L238" i="1"/>
  <c r="P238" i="1"/>
  <c r="L237" i="1"/>
  <c r="P237" i="1"/>
  <c r="L236" i="1"/>
  <c r="P236" i="1"/>
  <c r="L235" i="1"/>
  <c r="P235" i="1"/>
  <c r="P230" i="1"/>
  <c r="L230" i="1"/>
  <c r="P228" i="1"/>
  <c r="L228" i="1"/>
  <c r="P229" i="1"/>
  <c r="L229" i="1"/>
  <c r="P227" i="1"/>
  <c r="L227" i="1"/>
  <c r="R226" i="1"/>
  <c r="R224" i="1"/>
  <c r="N226" i="1"/>
  <c r="N224" i="1"/>
  <c r="R225" i="1"/>
  <c r="N225" i="1"/>
  <c r="R223" i="1"/>
  <c r="N223" i="1"/>
  <c r="N221" i="1"/>
  <c r="N220" i="1"/>
  <c r="N219" i="1"/>
  <c r="P218" i="1"/>
  <c r="L218" i="1"/>
  <c r="P217" i="1"/>
  <c r="L217" i="1"/>
  <c r="R216" i="1"/>
  <c r="R215" i="1"/>
  <c r="R214" i="1"/>
  <c r="N216" i="1"/>
  <c r="N215" i="1"/>
  <c r="N214" i="1"/>
  <c r="R213" i="1"/>
  <c r="R212" i="1"/>
  <c r="R211" i="1"/>
  <c r="N213" i="1"/>
  <c r="N212" i="1"/>
  <c r="N211" i="1"/>
  <c r="P209" i="1"/>
  <c r="L209" i="1"/>
  <c r="P208" i="1"/>
  <c r="L208" i="1"/>
  <c r="R206" i="1"/>
  <c r="N206" i="1"/>
  <c r="R205" i="1"/>
  <c r="N205" i="1"/>
  <c r="R204" i="1"/>
  <c r="N204" i="1"/>
  <c r="R203" i="1"/>
  <c r="N203" i="1"/>
  <c r="R202" i="1"/>
  <c r="N202" i="1"/>
  <c r="R201" i="1"/>
  <c r="N201" i="1"/>
  <c r="R200" i="1"/>
  <c r="N200" i="1"/>
  <c r="R199" i="1"/>
  <c r="N199" i="1"/>
  <c r="P194" i="1"/>
  <c r="L194" i="1"/>
  <c r="R191" i="1"/>
  <c r="N191" i="1"/>
  <c r="R190" i="1"/>
  <c r="N190" i="1"/>
  <c r="R189" i="1"/>
  <c r="N189" i="1"/>
  <c r="R184" i="1"/>
  <c r="N184" i="1"/>
  <c r="R183" i="1"/>
  <c r="N183" i="1"/>
  <c r="R182" i="1"/>
  <c r="N182" i="1"/>
  <c r="R181" i="1"/>
  <c r="N181" i="1"/>
  <c r="R180" i="1"/>
  <c r="R179" i="1"/>
  <c r="R178" i="1"/>
  <c r="R177" i="1"/>
  <c r="N180" i="1"/>
  <c r="N179" i="1"/>
  <c r="N178" i="1"/>
  <c r="N177" i="1"/>
  <c r="R175" i="1"/>
  <c r="N175" i="1"/>
  <c r="R174" i="1"/>
  <c r="N174" i="1"/>
  <c r="R158" i="1"/>
  <c r="N158" i="1"/>
  <c r="R156" i="1"/>
  <c r="N156" i="1"/>
  <c r="N155" i="1"/>
  <c r="P154" i="1"/>
  <c r="L154" i="1"/>
  <c r="R143" i="1"/>
  <c r="N143" i="1"/>
  <c r="R142" i="1"/>
  <c r="N142" i="1"/>
  <c r="R141" i="1"/>
  <c r="N141" i="1"/>
  <c r="R140" i="1"/>
  <c r="N140" i="1"/>
  <c r="Q139" i="1"/>
  <c r="M139" i="1"/>
  <c r="P139" i="1"/>
  <c r="L139" i="1"/>
  <c r="R137" i="1"/>
  <c r="N137" i="1"/>
  <c r="R136" i="1"/>
  <c r="R133" i="1"/>
  <c r="N133" i="1"/>
  <c r="N136" i="1"/>
  <c r="R135" i="1"/>
  <c r="R134" i="1"/>
  <c r="N134" i="1"/>
  <c r="N135" i="1"/>
  <c r="R130" i="1"/>
  <c r="N130" i="1"/>
  <c r="R99" i="1"/>
  <c r="N99" i="1"/>
  <c r="R71" i="1"/>
  <c r="N71" i="1"/>
  <c r="R69" i="1"/>
  <c r="N69" i="1"/>
  <c r="R66" i="1"/>
  <c r="N66" i="1"/>
  <c r="R63" i="1"/>
  <c r="N63" i="1"/>
  <c r="R62" i="1"/>
  <c r="N62" i="1"/>
  <c r="R61" i="1"/>
  <c r="N61" i="1"/>
  <c r="R59" i="1"/>
  <c r="N59" i="1"/>
  <c r="R58" i="1"/>
  <c r="N58" i="1"/>
  <c r="R57" i="1"/>
  <c r="N57" i="1"/>
  <c r="R56" i="1"/>
  <c r="N56" i="1"/>
  <c r="R55" i="1"/>
  <c r="N55" i="1"/>
  <c r="R54" i="1"/>
  <c r="N54" i="1"/>
  <c r="R52" i="1"/>
  <c r="N52" i="1"/>
  <c r="R51" i="1"/>
  <c r="N51" i="1"/>
  <c r="N50" i="1"/>
  <c r="N49" i="1"/>
  <c r="R50" i="1"/>
  <c r="R4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EC41F0-EE13-2544-8C76-CD5C3CFF1B54}" name="meta_pa" type="6" refreshedVersion="8" background="1" saveData="1">
    <textPr codePage="65001" sourceFile="/Users/tbenoit/Documents/DOCTORAT/04-REVIEW/REVIEW_GITHUB/00_DATA/meta_pa.csv" decimal="," thousands=" " semicolon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<sst xmlns="http://schemas.openxmlformats.org/spreadsheetml/2006/main" count="2615" uniqueCount="277">
  <si>
    <t>id_article</t>
  </si>
  <si>
    <t>habitat_sp</t>
  </si>
  <si>
    <t>habitat_small_typo</t>
  </si>
  <si>
    <t>compar_info</t>
  </si>
  <si>
    <t>fish_pa</t>
  </si>
  <si>
    <t>all_pa</t>
  </si>
  <si>
    <t>functional_group_pa</t>
  </si>
  <si>
    <t>taxo_group_pa</t>
  </si>
  <si>
    <t>id_sup</t>
  </si>
  <si>
    <t>comment</t>
  </si>
  <si>
    <t>Enhancing multiple scales of seafloor biodiversity with mussel restoration_Sea_2022</t>
  </si>
  <si>
    <t>Perna canaliculus</t>
  </si>
  <si>
    <t>mussel</t>
  </si>
  <si>
    <t>bare habitat</t>
  </si>
  <si>
    <t>NA</t>
  </si>
  <si>
    <t>presence</t>
  </si>
  <si>
    <t>Eelgrass meadows harbor more macrofaunal species but bare sediments can be as functionally diverse_Kindeberg_2022</t>
  </si>
  <si>
    <t>Zostera marina</t>
  </si>
  <si>
    <t>seagrass</t>
  </si>
  <si>
    <t>Seascape context matters more than habitat condition for fish assemblages in coastal ecosystems_Goodridge Gaines_2022</t>
  </si>
  <si>
    <t>mangrove</t>
  </si>
  <si>
    <t>Long‑term change in a high‑intertidal rockweed (Pelvetiopsis californica) and community‑level consequences_Fales_2022</t>
  </si>
  <si>
    <t>Pelvetiopsis californica</t>
  </si>
  <si>
    <t>canopy-forming algae</t>
  </si>
  <si>
    <t>Warming Effects on Two Autogenic Engineers (Zostera capensis and Gracilaria gracilis): Consequences for Macrofaunal Assemblages and Benthic Heterogeneity in Intertidal Sandflat Ecosystems_Beltrand_2022</t>
  </si>
  <si>
    <t>Gracilaria gracilis</t>
  </si>
  <si>
    <t>turfing red algae</t>
  </si>
  <si>
    <t>Zostera capensis</t>
  </si>
  <si>
    <t>Macrofaunal assemblages structure three decades after the first report of the invasive Crassostrea gigas reefs in a soft-intertidal of Argentina_Bazterrica_2022</t>
  </si>
  <si>
    <t>Magallana gigas</t>
  </si>
  <si>
    <t>oyster</t>
  </si>
  <si>
    <t>Spartina Schreb</t>
  </si>
  <si>
    <t>salt marsh</t>
  </si>
  <si>
    <t>Habitat formed by the invasive macroalga Caulerpa filiformis (Suhr) Hering (Caulerpales, Chlorophyta) alters benthic macroinvertebrate assemblages in Peru_Aguilar_2022</t>
  </si>
  <si>
    <t>Caulerpa filiformis</t>
  </si>
  <si>
    <t>complex green algae</t>
  </si>
  <si>
    <t>Rhodymenia spp.</t>
  </si>
  <si>
    <t>A survey of benthic invertebrate communities in native and non-native seagrass beds in St. John, USVI_Valdez_2021</t>
  </si>
  <si>
    <t>Halophila stipulacea</t>
  </si>
  <si>
    <t>native seagrass</t>
  </si>
  <si>
    <t>A Hotspot in the Romanian Black Sea: Eelgrass Beds Drive Local Biodiversity in Surrounding Bare Sediments_Surugiu_2021</t>
  </si>
  <si>
    <t>Zostera noltei</t>
  </si>
  <si>
    <t>Modelling the biodiversity enhancement value of seagrass beds_McHenry_2021</t>
  </si>
  <si>
    <t>Balance between biological and physical components in the impact of Mytilus edulis on associated organisms_Khalaman_2021</t>
  </si>
  <si>
    <t>Mytilus edulis</t>
  </si>
  <si>
    <t>On the diversity and distribution of a data deficient habitat in a poorly mapped region: The case of Sabellaria alveolata L. in Ireland_Firth_2021</t>
  </si>
  <si>
    <t>sabellaria alveolata</t>
  </si>
  <si>
    <t>reef-building worm</t>
  </si>
  <si>
    <t>An integrative perspective to understand the impact of co-occurring ecosystem engineers on macroinvertebrates_Yan_2020</t>
  </si>
  <si>
    <t>Spartina alterniflora</t>
  </si>
  <si>
    <t>Influence of complexity and habitat heterogeneity on macrofaunal assemblages provided by an invasive ecosystem engineer in Mar Chiquita coastal lagoon_Martinez_2020</t>
  </si>
  <si>
    <t>Ficopomatus enigmaticus</t>
  </si>
  <si>
    <t>Community disruption in small biogenic habitats: Acoastal invader overcomes habitat complexity to alter community structure_Malyshev_2020</t>
  </si>
  <si>
    <t>Habitat modification by Ascophyllum canopy negatively impacts macrofaunal communities on soft-sediment shores_Gilson_2020</t>
  </si>
  <si>
    <t>Ascophyllum nodosum</t>
  </si>
  <si>
    <t>Macrobenthic fauna associated with Diopatra cuprea (Onuphidae: Polychaeta) tubes on a macrotidal sandy beach of the Brazilian Amazon Coast_Santos_2019</t>
  </si>
  <si>
    <t>Diopatra cuprea</t>
  </si>
  <si>
    <t>tube-building worm</t>
  </si>
  <si>
    <t>Context-dependent community facilitation in seagrass meadows along a hydrodynamic stress gradient_Meysick_2019</t>
  </si>
  <si>
    <t>A Double-Edged Sword: Infaunal Responses to Agarophyton vermiculophyllum in the Mid-Atlantic United States_Keller_2019</t>
  </si>
  <si>
    <t>Agarophyton vermiculophyllum</t>
  </si>
  <si>
    <t>A nonnative habitat-former mitigates native habitat loss for endemic reef fishes_Barett_2019</t>
  </si>
  <si>
    <t>Ecklonia radiata</t>
  </si>
  <si>
    <t>Undaria pinnatifida</t>
  </si>
  <si>
    <t>Sabellaria wilsoni (Polychaeta: Sabellariidae): an ecosystem engineer and promoter of zoobenthos diversity in the Brazilian Amazon coast_Aviz_2019</t>
  </si>
  <si>
    <t>Sabellaria wilsoni</t>
  </si>
  <si>
    <t>Influence of two non-indigenous plants on intertidal macrobenthic communities in Ximen Island Special Marine Protected Area, China_Liao_2018</t>
  </si>
  <si>
    <t>Kandelia candel</t>
  </si>
  <si>
    <t>Interplay between abiotic factors and species assemblages mediated by the ecosystem engineer Sabellaria alveolata (Annelida: Polychaeta)_Jones_2018</t>
  </si>
  <si>
    <t>Sabellaria alveolata</t>
  </si>
  <si>
    <t>Rhodolith structural loss decreases abundance, diversity, and stability of benthic communities at Santa Catalina Island, CA_Gabara_2018</t>
  </si>
  <si>
    <t>Lithothamnion australe</t>
  </si>
  <si>
    <t>coralline algae</t>
  </si>
  <si>
    <t>What happens after mussels die? Biogenic legacy effects on community structure and ecosystem processes_Commito_2018</t>
  </si>
  <si>
    <t>Impact of multiple disturbances and stress on the temporal trajectories and resilience of benthic intertidal communities_Cimon_2018</t>
  </si>
  <si>
    <t>The role of habitat selection on the diversity of macrobenthic communities in three gulfs of the Cuban Archipelago_Armenteros_2018</t>
  </si>
  <si>
    <t>Rhizophora mangle</t>
  </si>
  <si>
    <t>Thalassia testudinum;Halophila;Halodule wrightii</t>
  </si>
  <si>
    <t>other invertebrate</t>
  </si>
  <si>
    <t>Disturbance-mediated facilitation by an intertidal ecosystem engineer_Wright_2017</t>
  </si>
  <si>
    <t>Galeolaria caespitosa</t>
  </si>
  <si>
    <t>Biogeographic Variability in the Value of Mussel Beds as Ecosystem Engineers on South African Rocky Shores_Lathlean_2017</t>
  </si>
  <si>
    <t>Perna perna;Mytilus galloprovincialis</t>
  </si>
  <si>
    <t>Biodiversity and food web indicators of community recovery in intertidal shellfish reefs_Christianen_2017</t>
  </si>
  <si>
    <t>Functional roles of an engineer species for coastal benthic invertebrates and demersal fish_Chaalali_2017</t>
  </si>
  <si>
    <t>Haploops nirae</t>
  </si>
  <si>
    <t>Nursery function of coastal temperate benthic habitats: New insight from the bivalve recruitment perspective_Barbier_2017</t>
  </si>
  <si>
    <t>Crepidula fornicata</t>
  </si>
  <si>
    <t>other mollusc</t>
  </si>
  <si>
    <t>Lanice conchilega</t>
  </si>
  <si>
    <t>Corallinophycidae;Rhodophyta</t>
  </si>
  <si>
    <t>Native ecosystem engineer facilitates recruitment of invasive crab and native invertebrates_Wright_2016</t>
  </si>
  <si>
    <t>Living carbonate habitats in temperate California (USA) waters: distribution, growth, and disturbance of Santa Catalina Island rhodoliths_Tompkins_2016</t>
  </si>
  <si>
    <t>Paramuricea clavata</t>
  </si>
  <si>
    <t>soft coral</t>
  </si>
  <si>
    <t>Macrofauna associated with temporary Sabellaria alveolata reefs on the west coast of Cotentin (France)_Schlund_2016</t>
  </si>
  <si>
    <t>The resilience of reef invertebrate biodiversity to coral mortality_Nelson_2016</t>
  </si>
  <si>
    <t>Agaricia coral</t>
  </si>
  <si>
    <t>hard coral</t>
  </si>
  <si>
    <t>Mussels of a marginal population affect the patterns of ambient macrofauna: A case study from the Baltic Sea_Lauringson_2016</t>
  </si>
  <si>
    <t>Mytilus trossulus</t>
  </si>
  <si>
    <t>Facilitation in the low intertidal: effects of an invasive species on the structure of an estuarine macrozoobenthic assemblage_Novais_2015</t>
  </si>
  <si>
    <t>Corbicula fluminea</t>
  </si>
  <si>
    <t>Effects of live and post-mortem shell structures of invasive Pacific oysters and native blue mussels on macrofauna and fish_Norling_2015</t>
  </si>
  <si>
    <t>Ecological impacts of the austral-most population of Crassostreagigas in South America: a matter of time?_Mendez_2015</t>
  </si>
  <si>
    <t>Context-dependent effects of the loss of Spartina alterniflora on salt marsh invertebrate communities_McFarlin_2015</t>
  </si>
  <si>
    <t>Effect of the invader Boccardia proboscidea (Polychaeta: Spionidae) on richness, diversity and structure of SW Atlantic epilithic intertidal community_Elías_2015</t>
  </si>
  <si>
    <t>Boccardia proboscidea</t>
  </si>
  <si>
    <t>Effects of antagonistic ecosystem engineers on macrofauna communities in a patchy, intertidal mudflat landscape_Eklöf_2015</t>
  </si>
  <si>
    <t>Biogenic reefs affect multiple components of intertidal soft-bottom benthic assemblages: the Lanice conchilega case study_De Smet_2015</t>
  </si>
  <si>
    <t>Reefs, sand and reef-like sand: A comparison of the benthic biodiversity of habitats in the Dutch Borkum Reef Grounds_Coolen_2015</t>
  </si>
  <si>
    <t>Evidence of Season-Dependency in Vegetation Effects on Macrofauna in Temperate Seagrass Meadows (Baltic Sea)_Włodarska-Kowalczuk_2014</t>
  </si>
  <si>
    <t>Hollow rhodoliths increase Svalbard’s shelf biodiversity_Teichert_2014</t>
  </si>
  <si>
    <t>Lithothamnion glaciale</t>
  </si>
  <si>
    <t>Benthic control freaks: Effects of the tubiculous amphipod Haploops nirae on the specific diversity and functional structure of benthic communities_Rigolet_2014</t>
  </si>
  <si>
    <t>Effects of Habitat-Forming Species Richness, Evenness, Identity, and Abundance on Benthic Intertidal Community Establishment and Productivity_Lemieux_2014</t>
  </si>
  <si>
    <t>mixed species</t>
  </si>
  <si>
    <t>Fucus distichus</t>
  </si>
  <si>
    <t>Fucus vesiculosus</t>
  </si>
  <si>
    <t>Mytilus spp.</t>
  </si>
  <si>
    <t>Context- and density-dependent effects of introduced oysters on biodiversity_Green_2014</t>
  </si>
  <si>
    <t>Biodiversity differentials between the numerically-dominant macrobenthos of seagrass and adjacent unvegetated sediment in the absence of sandflat bioturbation_Barnes_2014</t>
  </si>
  <si>
    <t>Bioengineer effects on understory species richness, diversity, and composition change along an environmental stress gradient: Experimental and mensurative evidence_Watt_2013</t>
  </si>
  <si>
    <t>Ascophyllum nodosum;Fucus vesiculosus</t>
  </si>
  <si>
    <t>Are native Saccostrea glomerata and invasive Crassostrea gigas oysters' habitat equivalents for epibenthic communities in south-eastern Australia?_Wilkie_2012</t>
  </si>
  <si>
    <t>Saccostrea glomerata</t>
  </si>
  <si>
    <t>The role of the physical structure of Spartina densiflora Brong. in structuring macroinvertebrate assemblages_Sueiro_2012</t>
  </si>
  <si>
    <t>Spartina densiflora</t>
  </si>
  <si>
    <t>Macrobenthic assemblages of newly introduced Caulerpa taxifolia from the Eastern Mediterranean coast of Turkey_Cevik_2012</t>
  </si>
  <si>
    <t>Caulerpa taxifolia</t>
  </si>
  <si>
    <t>Whole-Community Facilitation Regulates Biodiversity on Patagonian Rocky Shores_Silliman_2011</t>
  </si>
  <si>
    <t>Perumytilus purpuratus</t>
  </si>
  <si>
    <t>Effects of Caulerpa racemosa invasion on soft-bottom assemblages in the Western Mediterranean Sea_Pacciardi_2011</t>
  </si>
  <si>
    <t>Caulerpa racemosa</t>
  </si>
  <si>
    <t>Differential response of benthic macrofauna to the formation of novel oyster reefs (Crassostrea gigas, Thunberg) on soft and rocky substrate in the intertidal of the Bay of Brest, France_Lejart_2011</t>
  </si>
  <si>
    <t>Effects of the alien algae Undaria pinnatifida (Phaeophyceae, Laminariales) on the diversity and abundance of benthic macrofauna in Golfo Nuevo (Patagonia, Argentina): potential implications for local food webs_Irigoyen_2011</t>
  </si>
  <si>
    <t>Effects of a nonnative habitat-forming species on mobile and sessile epifaunal communities_Sellheim_2010</t>
  </si>
  <si>
    <t>Ascidia ceratodes</t>
  </si>
  <si>
    <t>Mytilus galloprovincialis</t>
  </si>
  <si>
    <t>Watersipora subtorquata</t>
  </si>
  <si>
    <t>Effects of the physical structure of mangrove vegetation on a benthic faunal community_Kon_2010</t>
  </si>
  <si>
    <t>Rhizophora apiculata</t>
  </si>
  <si>
    <t>Habitat structure and complexity as determinants of biodiversity in blue mussel beds on sublittoral rocky shores_Koivisto_2010</t>
  </si>
  <si>
    <t>Mytilus edulis;Fucus vesiculosus</t>
  </si>
  <si>
    <t>Alteration of the configuration of bioengineers affects associated taxa_Cole_2010</t>
  </si>
  <si>
    <t>Trichomya hirsuta</t>
  </si>
  <si>
    <t>Differences in soft-sediment macrobenthic assemblages invaded by Caulerpa taxifolia compared to uninvaded habitats_McKinnon_2009</t>
  </si>
  <si>
    <t>Halophila ovalis</t>
  </si>
  <si>
    <t>Mytilid mussels: global habitat engineers in coastal sediments_Buschbaum_2009</t>
  </si>
  <si>
    <t>Mytilus chilensis;Perumytilus purpuratus</t>
  </si>
  <si>
    <t>Musculista senhousia</t>
  </si>
  <si>
    <t>Xenostrobus inconstans</t>
  </si>
  <si>
    <t>Comparing biodiversity effects among ecosystem engineers of contrasting strength: macrofauna diversity in Zostera noltii and Spartina anglica vegetations_Bouma_2009</t>
  </si>
  <si>
    <t>Spartina anglica</t>
  </si>
  <si>
    <t>Ecological implications of the presence of the tube-building polychaete Lanice conchilega on soft-bottom benthic ecosystems_Van Hoey_2008</t>
  </si>
  <si>
    <t>Patches of the mussel Mytilus sp. are islands of high biodiversity in subtidal sediment habitats in the Baltic Sea_Norling_2008</t>
  </si>
  <si>
    <t>Mytilus sp.</t>
  </si>
  <si>
    <t>Shift from native mussels to alien oysters: Differential effects of ecosystem engineers_Kochmann_2008</t>
  </si>
  <si>
    <t>Mytilus edulis;Magallana gigas</t>
  </si>
  <si>
    <t>mixed mollusc</t>
  </si>
  <si>
    <t>Structure and diversity of invertebrate communities in the presence and absence of canopy-forming Fucus vesiculosus in the Baltic Sea_Wikstrom_2007</t>
  </si>
  <si>
    <t>Patterns in biogeochemical properties of sediments and benthic animals among different habitats in mangrove forests_Tolhurst_2007</t>
  </si>
  <si>
    <t>Avicennia marina</t>
  </si>
  <si>
    <t>Effects of native and invasive macroalgal canopies on composition and abundance of mobile benthic macrofauna and turf-forming algae_Schmidt_2007</t>
  </si>
  <si>
    <t>Codium fragile</t>
  </si>
  <si>
    <t>Laminaria longicruris;Laminaria digitata</t>
  </si>
  <si>
    <t>Influence of invasive Spartina growth stages on associated macrofaunal communities_Neira_2007</t>
  </si>
  <si>
    <t>Mussels as ecosystem engineers: Their contribution to species richness in a rocky littoral community_Borthagaray_2007</t>
  </si>
  <si>
    <t>Brachidontes rodriguezii;Mytilus edulis;Perna perna</t>
  </si>
  <si>
    <t>Shift in fish assemblage structure due to loss of seagrass Zostera marina habitats in Sweden_Phil_2006</t>
  </si>
  <si>
    <t>Patches of barnacles and ascidians in soft bottoms: Associated motile fauna in relation to the surrounding assemblage_Yakovis_2005</t>
  </si>
  <si>
    <t>Styela rustica;Styela coriacea;Dendrodoa grossularia;Bolthenia echinata;Mogula spp.;Balanus crenatus</t>
  </si>
  <si>
    <t>Effects of Local Deforestation on the Diversity and Structure of Southern California Giant Kelp Forest Food Webs_Graham_2004</t>
  </si>
  <si>
    <t>Macrocystis pyrifera</t>
  </si>
  <si>
    <t>Marine ecosystem engineering by the alien ascidian Pyura praeputialis on a mid-intertidal rocky shore_Castilla_2004</t>
  </si>
  <si>
    <t>Pyura praeputialis</t>
  </si>
  <si>
    <t>Macroalgal canopies: distribution and diversity of associated invertebrates and effects on the recruitment and growth of mussels_Bégin_2004</t>
  </si>
  <si>
    <t>Alaria esculenta</t>
  </si>
  <si>
    <t>Agarum cribrosum</t>
  </si>
  <si>
    <t>Desmarestia viridis</t>
  </si>
  <si>
    <t>Ptilota serrata</t>
  </si>
  <si>
    <t>Polychaete tubes create ephemeral community patterns: Lanice conchilega (Pallas, 1766) associations studied over six years_Zühlke_2001</t>
  </si>
  <si>
    <t>Soft corals exert no direct effects on coral reef fish assemblages_Syms_2001</t>
  </si>
  <si>
    <t>Effects of the Tube-Building Polychaete Lanice conchilega (PALLAS) on Benthic Macrofauna and Nematodes in an Intertidal Sandflat_Zühlke_1998</t>
  </si>
  <si>
    <t>Habitat alteration and community-level effects of an exotic Musculista senhousia_Crooks_1998</t>
  </si>
  <si>
    <t>epifau_pa</t>
  </si>
  <si>
    <t>infau_pa</t>
  </si>
  <si>
    <t>t_sd</t>
  </si>
  <si>
    <t>t_n</t>
  </si>
  <si>
    <t>t_se</t>
  </si>
  <si>
    <t>c_mean</t>
  </si>
  <si>
    <t>c_sd</t>
  </si>
  <si>
    <t>c_n</t>
  </si>
  <si>
    <t>c_se</t>
  </si>
  <si>
    <t>t_mean</t>
  </si>
  <si>
    <t>site1</t>
  </si>
  <si>
    <t>table3</t>
  </si>
  <si>
    <t>10min, site = independant</t>
  </si>
  <si>
    <t>site2</t>
  </si>
  <si>
    <t>site3</t>
  </si>
  <si>
    <t>site4</t>
  </si>
  <si>
    <t>site5</t>
  </si>
  <si>
    <t>text</t>
  </si>
  <si>
    <t>10 min, pas accès aux valeur pour chaque site, je pool</t>
  </si>
  <si>
    <t>5min, no data available + pas scorable</t>
  </si>
  <si>
    <t>5min j'ai pas trové le n</t>
  </si>
  <si>
    <t>2min</t>
  </si>
  <si>
    <t>fig4A</t>
  </si>
  <si>
    <t>fig4</t>
  </si>
  <si>
    <t>20min, chaque site indépendant, dernière saison</t>
  </si>
  <si>
    <t>fig2</t>
  </si>
  <si>
    <t>10min</t>
  </si>
  <si>
    <t>5min, no data available</t>
  </si>
  <si>
    <t>1min, no data available</t>
  </si>
  <si>
    <t>5min, vagile fauna</t>
  </si>
  <si>
    <t>5min, sessile fauna</t>
  </si>
  <si>
    <t>fig5</t>
  </si>
  <si>
    <t>20min,chaque site indépendant, groupe taxo</t>
  </si>
  <si>
    <t>fig6</t>
  </si>
  <si>
    <t>fig7</t>
  </si>
  <si>
    <t>fig10</t>
  </si>
  <si>
    <t>fig3</t>
  </si>
  <si>
    <t>5min, shannon index</t>
  </si>
  <si>
    <t>5min j'ai juste prix la dernière valeur de la série temporelle</t>
  </si>
  <si>
    <t>tab1</t>
  </si>
  <si>
    <t>2min, à mon avis problème avec SR table1</t>
  </si>
  <si>
    <t>fig3B</t>
  </si>
  <si>
    <t>2min, j'ai pris la denrière saison, l'effet s'inverse avec la saison</t>
  </si>
  <si>
    <t>2min, pour epifaune pas de contrôle</t>
  </si>
  <si>
    <t>no data available</t>
  </si>
  <si>
    <t>5min, missing data</t>
  </si>
  <si>
    <t>tables3</t>
  </si>
  <si>
    <t>tables7</t>
  </si>
  <si>
    <t>tab2</t>
  </si>
  <si>
    <t>doute si c'est se ou sd</t>
  </si>
  <si>
    <t>pas trouvé le n</t>
  </si>
  <si>
    <t>j'ai choisi combined, et SU, et low</t>
  </si>
  <si>
    <t>na data available</t>
  </si>
  <si>
    <t>tabS3</t>
  </si>
  <si>
    <t>fig1</t>
  </si>
  <si>
    <t>not comparing with bare substarte but disturbed bed</t>
  </si>
  <si>
    <t>j'ai pris figure 7a car pas d'écart type sur les 7b et c</t>
  </si>
  <si>
    <t>no sd or se</t>
  </si>
  <si>
    <t>shannon</t>
  </si>
  <si>
    <t>tab3</t>
  </si>
  <si>
    <t>un peu technique, 0% + mud = control, 0% + mussel = mussel, 100% + mud = oyster</t>
  </si>
  <si>
    <t>missing data</t>
  </si>
  <si>
    <t>petit doute sur le n</t>
  </si>
  <si>
    <t>doute sur le n</t>
  </si>
  <si>
    <t>dernière date+shannon</t>
  </si>
  <si>
    <t>no data available (sauf mean)</t>
  </si>
  <si>
    <t>only day</t>
  </si>
  <si>
    <t>doute sur le n + sd ou se ?</t>
  </si>
  <si>
    <t>Margalef index</t>
  </si>
  <si>
    <t>com2</t>
  </si>
  <si>
    <t>season</t>
  </si>
  <si>
    <t>habitat status</t>
  </si>
  <si>
    <t>j'ai choisit protected reef</t>
  </si>
  <si>
    <t>pas évident de savoir laquelle est le min ou max</t>
  </si>
  <si>
    <t>difficile à cerner entre min et mew</t>
  </si>
  <si>
    <t>pas de control bare, remove ?</t>
  </si>
  <si>
    <t>j'ai pris la moyenne des saison par site</t>
  </si>
  <si>
    <t>missing n + shannon</t>
  </si>
  <si>
    <t>fig2f</t>
  </si>
  <si>
    <t>supp data available</t>
  </si>
  <si>
    <t>tab3, Sternespis as control (author's pers. com.)</t>
  </si>
  <si>
    <t>tabS1 (mean per site across season)</t>
  </si>
  <si>
    <t>source</t>
  </si>
  <si>
    <t>min_max</t>
  </si>
  <si>
    <t>max</t>
  </si>
  <si>
    <t>min</t>
  </si>
  <si>
    <t>site6</t>
  </si>
  <si>
    <t>site7</t>
  </si>
  <si>
    <t>site8</t>
  </si>
  <si>
    <t>site9</t>
  </si>
  <si>
    <t>site10</t>
  </si>
  <si>
    <t>site11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</si>
</sst>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ta_pa" connectionId="1" xr16:uid="{F112A3CD-7909-FF4B-ACBF-BCC3522AF7B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0159-8F78-B14E-A87D-42CDB30D5297}">
  <dimension ref="A1:W266"/>
  <sheetViews>
    <sheetView tabSelected="1" workbookViewId="0">
      <pane ySplit="1" topLeftCell="A2" activePane="bottomLeft" state="frozen"/>
      <selection pane="bottomLeft" activeCell="R31" sqref="R31"/>
    </sheetView>
  </sheetViews>
  <sheetFormatPr baseColWidth="10" defaultRowHeight="16" x14ac:dyDescent="0.2"/>
  <cols>
    <col min="1" max="1" width="24.5" customWidth="1"/>
    <col min="2" max="2" width="16.5" customWidth="1"/>
    <col min="3" max="3" width="14.1640625" customWidth="1"/>
    <col min="4" max="4" width="11.1640625" bestFit="1" customWidth="1"/>
    <col min="5" max="5" width="11" bestFit="1" customWidth="1"/>
    <col min="6" max="6" width="10" bestFit="1" customWidth="1"/>
    <col min="7" max="8" width="8.6640625" bestFit="1" customWidth="1"/>
    <col min="9" max="9" width="17.6640625" bestFit="1" customWidth="1"/>
    <col min="10" max="10" width="12.83203125" bestFit="1" customWidth="1"/>
    <col min="11" max="11" width="7.1640625" bestFit="1" customWidth="1"/>
    <col min="12" max="12" width="5.1640625" bestFit="1" customWidth="1"/>
    <col min="13" max="13" width="4.1640625" bestFit="1" customWidth="1"/>
    <col min="14" max="14" width="7.1640625" bestFit="1" customWidth="1"/>
    <col min="15" max="15" width="7.5" bestFit="1" customWidth="1"/>
    <col min="16" max="16" width="5.1640625" bestFit="1" customWidth="1"/>
    <col min="17" max="17" width="4" bestFit="1" customWidth="1"/>
    <col min="18" max="18" width="12.16406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185</v>
      </c>
      <c r="F1" t="s">
        <v>186</v>
      </c>
      <c r="G1" t="s">
        <v>4</v>
      </c>
      <c r="H1" t="s">
        <v>5</v>
      </c>
      <c r="I1" t="s">
        <v>6</v>
      </c>
      <c r="J1" t="s">
        <v>7</v>
      </c>
      <c r="K1" t="s">
        <v>194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  <c r="R1" t="s">
        <v>193</v>
      </c>
      <c r="S1" t="s">
        <v>8</v>
      </c>
      <c r="T1" t="s">
        <v>268</v>
      </c>
      <c r="U1" t="s">
        <v>267</v>
      </c>
      <c r="V1" t="s">
        <v>9</v>
      </c>
      <c r="W1" t="s">
        <v>254</v>
      </c>
    </row>
    <row r="2" spans="1:23" x14ac:dyDescent="0.2">
      <c r="A2" t="s">
        <v>10</v>
      </c>
      <c r="B2" t="s">
        <v>11</v>
      </c>
      <c r="C2" t="s">
        <v>12</v>
      </c>
      <c r="D2" t="s">
        <v>13</v>
      </c>
      <c r="G2" t="s">
        <v>15</v>
      </c>
      <c r="H2" t="s">
        <v>15</v>
      </c>
      <c r="K2">
        <v>7</v>
      </c>
      <c r="M2" t="s">
        <v>14</v>
      </c>
      <c r="N2" t="s">
        <v>14</v>
      </c>
      <c r="O2">
        <v>5</v>
      </c>
      <c r="Q2" t="s">
        <v>14</v>
      </c>
      <c r="R2" t="s">
        <v>14</v>
      </c>
      <c r="S2" t="s">
        <v>195</v>
      </c>
      <c r="U2" t="s">
        <v>196</v>
      </c>
      <c r="W2" t="s">
        <v>197</v>
      </c>
    </row>
    <row r="3" spans="1:23" x14ac:dyDescent="0.2">
      <c r="A3" t="s">
        <v>10</v>
      </c>
      <c r="B3" t="s">
        <v>11</v>
      </c>
      <c r="C3" t="s">
        <v>12</v>
      </c>
      <c r="D3" t="s">
        <v>13</v>
      </c>
      <c r="E3" t="s">
        <v>15</v>
      </c>
      <c r="H3" t="s">
        <v>15</v>
      </c>
      <c r="K3">
        <v>5.5</v>
      </c>
      <c r="M3">
        <v>2</v>
      </c>
      <c r="N3">
        <v>0.5</v>
      </c>
      <c r="O3">
        <v>1.5</v>
      </c>
      <c r="Q3">
        <v>2</v>
      </c>
      <c r="R3">
        <v>0.5</v>
      </c>
      <c r="S3" t="s">
        <v>195</v>
      </c>
      <c r="U3" t="s">
        <v>196</v>
      </c>
    </row>
    <row r="4" spans="1:23" x14ac:dyDescent="0.2">
      <c r="A4" t="s">
        <v>10</v>
      </c>
      <c r="B4" t="s">
        <v>11</v>
      </c>
      <c r="C4" t="s">
        <v>12</v>
      </c>
      <c r="D4" t="s">
        <v>13</v>
      </c>
      <c r="F4" t="s">
        <v>15</v>
      </c>
      <c r="H4" t="s">
        <v>15</v>
      </c>
      <c r="K4">
        <v>8.8800000000000008</v>
      </c>
      <c r="M4">
        <v>8</v>
      </c>
      <c r="N4">
        <v>1.29</v>
      </c>
      <c r="O4">
        <v>8.8800000000000008</v>
      </c>
      <c r="Q4">
        <v>8</v>
      </c>
      <c r="R4">
        <v>0.91</v>
      </c>
      <c r="S4" t="s">
        <v>195</v>
      </c>
      <c r="U4" t="s">
        <v>196</v>
      </c>
    </row>
    <row r="5" spans="1:23" x14ac:dyDescent="0.2">
      <c r="A5" t="s">
        <v>10</v>
      </c>
      <c r="B5" t="s">
        <v>11</v>
      </c>
      <c r="C5" t="s">
        <v>12</v>
      </c>
      <c r="D5" t="s">
        <v>13</v>
      </c>
      <c r="G5" t="s">
        <v>15</v>
      </c>
      <c r="H5" t="s">
        <v>15</v>
      </c>
      <c r="K5">
        <v>6</v>
      </c>
      <c r="M5" t="s">
        <v>14</v>
      </c>
      <c r="N5" t="s">
        <v>14</v>
      </c>
      <c r="O5">
        <v>5.5</v>
      </c>
      <c r="Q5" t="s">
        <v>14</v>
      </c>
      <c r="R5" t="s">
        <v>14</v>
      </c>
      <c r="S5" t="s">
        <v>198</v>
      </c>
      <c r="U5" t="s">
        <v>196</v>
      </c>
    </row>
    <row r="6" spans="1:23" x14ac:dyDescent="0.2">
      <c r="A6" t="s">
        <v>10</v>
      </c>
      <c r="B6" t="s">
        <v>11</v>
      </c>
      <c r="C6" t="s">
        <v>12</v>
      </c>
      <c r="D6" t="s">
        <v>13</v>
      </c>
      <c r="E6" t="s">
        <v>15</v>
      </c>
      <c r="H6" t="s">
        <v>15</v>
      </c>
      <c r="K6">
        <v>10</v>
      </c>
      <c r="M6">
        <v>2</v>
      </c>
      <c r="N6">
        <v>0</v>
      </c>
      <c r="O6">
        <v>2.5</v>
      </c>
      <c r="Q6">
        <v>2</v>
      </c>
      <c r="R6">
        <v>1.5</v>
      </c>
      <c r="S6" t="s">
        <v>198</v>
      </c>
      <c r="U6" t="s">
        <v>196</v>
      </c>
    </row>
    <row r="7" spans="1:23" x14ac:dyDescent="0.2">
      <c r="A7" t="s">
        <v>10</v>
      </c>
      <c r="B7" t="s">
        <v>11</v>
      </c>
      <c r="C7" t="s">
        <v>12</v>
      </c>
      <c r="D7" t="s">
        <v>13</v>
      </c>
      <c r="F7" t="s">
        <v>15</v>
      </c>
      <c r="H7" t="s">
        <v>15</v>
      </c>
      <c r="K7">
        <v>12.37</v>
      </c>
      <c r="M7">
        <v>8</v>
      </c>
      <c r="N7">
        <v>0.96</v>
      </c>
      <c r="O7">
        <v>11.88</v>
      </c>
      <c r="Q7">
        <v>8</v>
      </c>
      <c r="R7">
        <v>1.17</v>
      </c>
      <c r="S7" t="s">
        <v>198</v>
      </c>
      <c r="U7" t="s">
        <v>196</v>
      </c>
    </row>
    <row r="8" spans="1:23" x14ac:dyDescent="0.2">
      <c r="A8" t="s">
        <v>10</v>
      </c>
      <c r="B8" t="s">
        <v>11</v>
      </c>
      <c r="C8" t="s">
        <v>12</v>
      </c>
      <c r="D8" t="s">
        <v>13</v>
      </c>
      <c r="G8" t="s">
        <v>15</v>
      </c>
      <c r="H8" t="s">
        <v>15</v>
      </c>
      <c r="K8">
        <v>9</v>
      </c>
      <c r="M8" t="s">
        <v>14</v>
      </c>
      <c r="N8" t="s">
        <v>14</v>
      </c>
      <c r="O8">
        <v>6</v>
      </c>
      <c r="Q8" t="s">
        <v>14</v>
      </c>
      <c r="R8" t="s">
        <v>14</v>
      </c>
      <c r="S8" t="s">
        <v>199</v>
      </c>
      <c r="U8" t="s">
        <v>196</v>
      </c>
    </row>
    <row r="9" spans="1:23" x14ac:dyDescent="0.2">
      <c r="A9" t="s">
        <v>10</v>
      </c>
      <c r="B9" t="s">
        <v>11</v>
      </c>
      <c r="C9" t="s">
        <v>12</v>
      </c>
      <c r="D9" t="s">
        <v>13</v>
      </c>
      <c r="E9" t="s">
        <v>15</v>
      </c>
      <c r="H9" t="s">
        <v>15</v>
      </c>
      <c r="K9">
        <v>5.5</v>
      </c>
      <c r="M9">
        <v>2</v>
      </c>
      <c r="N9">
        <v>0.5</v>
      </c>
      <c r="O9">
        <v>1</v>
      </c>
      <c r="Q9">
        <v>2</v>
      </c>
      <c r="R9">
        <v>1</v>
      </c>
      <c r="S9" t="s">
        <v>199</v>
      </c>
      <c r="U9" t="s">
        <v>196</v>
      </c>
    </row>
    <row r="10" spans="1:23" x14ac:dyDescent="0.2">
      <c r="A10" t="s">
        <v>10</v>
      </c>
      <c r="B10" t="s">
        <v>11</v>
      </c>
      <c r="C10" t="s">
        <v>12</v>
      </c>
      <c r="D10" t="s">
        <v>13</v>
      </c>
      <c r="F10" t="s">
        <v>15</v>
      </c>
      <c r="H10" t="s">
        <v>15</v>
      </c>
      <c r="K10">
        <v>10</v>
      </c>
      <c r="M10">
        <v>8</v>
      </c>
      <c r="N10">
        <v>1.34</v>
      </c>
      <c r="O10">
        <v>15.25</v>
      </c>
      <c r="Q10">
        <v>8</v>
      </c>
      <c r="R10">
        <v>0.96</v>
      </c>
      <c r="S10" t="s">
        <v>199</v>
      </c>
      <c r="U10" t="s">
        <v>196</v>
      </c>
    </row>
    <row r="11" spans="1:23" x14ac:dyDescent="0.2">
      <c r="A11" t="s">
        <v>10</v>
      </c>
      <c r="B11" t="s">
        <v>11</v>
      </c>
      <c r="C11" t="s">
        <v>12</v>
      </c>
      <c r="D11" t="s">
        <v>13</v>
      </c>
      <c r="G11" t="s">
        <v>15</v>
      </c>
      <c r="H11" t="s">
        <v>15</v>
      </c>
      <c r="K11">
        <v>9</v>
      </c>
      <c r="M11" t="s">
        <v>14</v>
      </c>
      <c r="N11" t="s">
        <v>14</v>
      </c>
      <c r="O11">
        <v>3</v>
      </c>
      <c r="Q11" t="s">
        <v>14</v>
      </c>
      <c r="R11" t="s">
        <v>14</v>
      </c>
      <c r="S11" t="s">
        <v>200</v>
      </c>
      <c r="U11" t="s">
        <v>196</v>
      </c>
    </row>
    <row r="12" spans="1:23" x14ac:dyDescent="0.2">
      <c r="A12" t="s">
        <v>10</v>
      </c>
      <c r="B12" t="s">
        <v>11</v>
      </c>
      <c r="C12" t="s">
        <v>12</v>
      </c>
      <c r="D12" t="s">
        <v>13</v>
      </c>
      <c r="E12" t="s">
        <v>15</v>
      </c>
      <c r="H12" t="s">
        <v>15</v>
      </c>
      <c r="K12">
        <v>11.5</v>
      </c>
      <c r="M12">
        <v>2</v>
      </c>
      <c r="N12">
        <v>0.5</v>
      </c>
      <c r="O12">
        <v>5</v>
      </c>
      <c r="Q12">
        <v>2</v>
      </c>
      <c r="R12">
        <v>0</v>
      </c>
      <c r="S12" t="s">
        <v>200</v>
      </c>
      <c r="U12" t="s">
        <v>196</v>
      </c>
    </row>
    <row r="13" spans="1:23" x14ac:dyDescent="0.2">
      <c r="A13" t="s">
        <v>10</v>
      </c>
      <c r="B13" t="s">
        <v>11</v>
      </c>
      <c r="C13" t="s">
        <v>12</v>
      </c>
      <c r="D13" t="s">
        <v>13</v>
      </c>
      <c r="F13" t="s">
        <v>15</v>
      </c>
      <c r="H13" t="s">
        <v>15</v>
      </c>
      <c r="K13">
        <v>25.5</v>
      </c>
      <c r="M13">
        <v>8</v>
      </c>
      <c r="N13">
        <v>2.46</v>
      </c>
      <c r="O13">
        <v>26.13</v>
      </c>
      <c r="Q13">
        <v>8</v>
      </c>
      <c r="R13">
        <v>1.8</v>
      </c>
      <c r="S13" t="s">
        <v>200</v>
      </c>
      <c r="U13" t="s">
        <v>196</v>
      </c>
    </row>
    <row r="14" spans="1:23" x14ac:dyDescent="0.2">
      <c r="A14" t="s">
        <v>10</v>
      </c>
      <c r="B14" t="s">
        <v>11</v>
      </c>
      <c r="C14" t="s">
        <v>12</v>
      </c>
      <c r="D14" t="s">
        <v>13</v>
      </c>
      <c r="G14" t="s">
        <v>15</v>
      </c>
      <c r="H14" t="s">
        <v>15</v>
      </c>
      <c r="K14">
        <v>6</v>
      </c>
      <c r="M14" t="s">
        <v>14</v>
      </c>
      <c r="N14" t="s">
        <v>14</v>
      </c>
      <c r="O14">
        <v>5</v>
      </c>
      <c r="Q14" t="s">
        <v>14</v>
      </c>
      <c r="R14" t="s">
        <v>14</v>
      </c>
      <c r="S14" t="s">
        <v>201</v>
      </c>
      <c r="U14" t="s">
        <v>196</v>
      </c>
    </row>
    <row r="15" spans="1:23" x14ac:dyDescent="0.2">
      <c r="A15" t="s">
        <v>10</v>
      </c>
      <c r="B15" t="s">
        <v>11</v>
      </c>
      <c r="C15" t="s">
        <v>12</v>
      </c>
      <c r="D15" t="s">
        <v>13</v>
      </c>
      <c r="E15" t="s">
        <v>15</v>
      </c>
      <c r="H15" t="s">
        <v>15</v>
      </c>
      <c r="K15" t="s">
        <v>14</v>
      </c>
      <c r="M15" t="s">
        <v>14</v>
      </c>
      <c r="N15" t="s">
        <v>14</v>
      </c>
      <c r="O15" t="s">
        <v>14</v>
      </c>
      <c r="Q15" t="s">
        <v>14</v>
      </c>
      <c r="R15" t="s">
        <v>14</v>
      </c>
      <c r="S15" t="s">
        <v>201</v>
      </c>
      <c r="U15" t="s">
        <v>196</v>
      </c>
    </row>
    <row r="16" spans="1:23" x14ac:dyDescent="0.2">
      <c r="A16" t="s">
        <v>10</v>
      </c>
      <c r="B16" t="s">
        <v>11</v>
      </c>
      <c r="C16" t="s">
        <v>12</v>
      </c>
      <c r="D16" t="s">
        <v>13</v>
      </c>
      <c r="F16" t="s">
        <v>15</v>
      </c>
      <c r="H16" t="s">
        <v>15</v>
      </c>
      <c r="K16" t="s">
        <v>14</v>
      </c>
      <c r="M16" t="s">
        <v>14</v>
      </c>
      <c r="N16" t="s">
        <v>14</v>
      </c>
      <c r="O16" t="s">
        <v>14</v>
      </c>
      <c r="Q16" t="s">
        <v>14</v>
      </c>
      <c r="R16" t="s">
        <v>14</v>
      </c>
      <c r="S16" t="s">
        <v>201</v>
      </c>
      <c r="U16" t="s">
        <v>196</v>
      </c>
    </row>
    <row r="17" spans="1:23" x14ac:dyDescent="0.2">
      <c r="A17" t="s">
        <v>16</v>
      </c>
      <c r="B17" t="s">
        <v>17</v>
      </c>
      <c r="C17" t="s">
        <v>18</v>
      </c>
      <c r="D17" t="s">
        <v>13</v>
      </c>
      <c r="E17" t="s">
        <v>15</v>
      </c>
      <c r="F17" t="s">
        <v>15</v>
      </c>
      <c r="H17" t="s">
        <v>15</v>
      </c>
      <c r="K17">
        <v>10.9</v>
      </c>
      <c r="L17">
        <v>1.7</v>
      </c>
      <c r="M17">
        <v>45</v>
      </c>
      <c r="O17">
        <v>6.2</v>
      </c>
      <c r="P17">
        <v>2.1</v>
      </c>
      <c r="Q17">
        <v>39</v>
      </c>
      <c r="U17" t="s">
        <v>202</v>
      </c>
      <c r="W17" t="s">
        <v>203</v>
      </c>
    </row>
    <row r="18" spans="1:23" x14ac:dyDescent="0.2">
      <c r="A18" t="s">
        <v>19</v>
      </c>
      <c r="B18" t="s">
        <v>14</v>
      </c>
      <c r="C18" t="s">
        <v>20</v>
      </c>
      <c r="D18" t="s">
        <v>13</v>
      </c>
      <c r="G18" t="s">
        <v>15</v>
      </c>
      <c r="H18" t="s">
        <v>15</v>
      </c>
      <c r="K18" t="s">
        <v>14</v>
      </c>
      <c r="L18" t="s">
        <v>14</v>
      </c>
      <c r="M18" t="s">
        <v>14</v>
      </c>
      <c r="O18" t="s">
        <v>14</v>
      </c>
      <c r="P18" t="s">
        <v>14</v>
      </c>
      <c r="Q18" t="s">
        <v>14</v>
      </c>
      <c r="W18" t="s">
        <v>204</v>
      </c>
    </row>
    <row r="19" spans="1:23" x14ac:dyDescent="0.2">
      <c r="A19" t="s">
        <v>21</v>
      </c>
      <c r="B19" t="s">
        <v>22</v>
      </c>
      <c r="C19" t="s">
        <v>23</v>
      </c>
      <c r="D19" t="s">
        <v>13</v>
      </c>
      <c r="E19" t="s">
        <v>15</v>
      </c>
      <c r="H19" t="s">
        <v>15</v>
      </c>
      <c r="K19" s="1">
        <v>12.1</v>
      </c>
      <c r="L19" s="1"/>
      <c r="M19" s="1">
        <v>8</v>
      </c>
      <c r="N19" s="1">
        <v>0.6</v>
      </c>
      <c r="O19" s="1">
        <v>8.3000000000000007</v>
      </c>
      <c r="P19" s="1"/>
      <c r="Q19" s="1">
        <v>8</v>
      </c>
      <c r="R19" s="1">
        <v>0.7</v>
      </c>
      <c r="S19" s="1"/>
      <c r="T19" s="1"/>
      <c r="U19" s="1" t="s">
        <v>238</v>
      </c>
      <c r="W19" s="1" t="s">
        <v>205</v>
      </c>
    </row>
    <row r="20" spans="1:23" x14ac:dyDescent="0.2">
      <c r="A20" t="s">
        <v>24</v>
      </c>
      <c r="B20" t="s">
        <v>25</v>
      </c>
      <c r="C20" t="s">
        <v>26</v>
      </c>
      <c r="D20" t="s">
        <v>13</v>
      </c>
      <c r="F20" t="s">
        <v>15</v>
      </c>
      <c r="H20" t="s">
        <v>15</v>
      </c>
      <c r="K20">
        <v>4.7300000000000004</v>
      </c>
      <c r="M20">
        <v>15</v>
      </c>
      <c r="N20">
        <v>0.42</v>
      </c>
      <c r="O20">
        <v>0.2</v>
      </c>
      <c r="Q20">
        <v>15</v>
      </c>
      <c r="R20">
        <v>0.56999999999999995</v>
      </c>
      <c r="U20" t="s">
        <v>233</v>
      </c>
      <c r="W20" t="s">
        <v>206</v>
      </c>
    </row>
    <row r="21" spans="1:23" x14ac:dyDescent="0.2">
      <c r="A21" t="s">
        <v>24</v>
      </c>
      <c r="B21" t="s">
        <v>27</v>
      </c>
      <c r="C21" t="s">
        <v>18</v>
      </c>
      <c r="D21" t="s">
        <v>13</v>
      </c>
      <c r="F21" t="s">
        <v>15</v>
      </c>
      <c r="H21" t="s">
        <v>15</v>
      </c>
      <c r="K21">
        <v>5.23</v>
      </c>
      <c r="M21">
        <v>15</v>
      </c>
      <c r="N21">
        <v>0.46</v>
      </c>
      <c r="O21">
        <v>0.2</v>
      </c>
      <c r="Q21">
        <v>15</v>
      </c>
      <c r="R21">
        <v>0.56999999999999995</v>
      </c>
      <c r="U21" t="s">
        <v>233</v>
      </c>
    </row>
    <row r="22" spans="1:23" x14ac:dyDescent="0.2">
      <c r="A22" t="s">
        <v>28</v>
      </c>
      <c r="B22" t="s">
        <v>29</v>
      </c>
      <c r="C22" t="s">
        <v>30</v>
      </c>
      <c r="D22" t="s">
        <v>13</v>
      </c>
      <c r="F22" t="s">
        <v>15</v>
      </c>
      <c r="H22" t="s">
        <v>15</v>
      </c>
      <c r="K22">
        <v>8.44</v>
      </c>
      <c r="L22">
        <f>12.63-8.44</f>
        <v>4.1900000000000013</v>
      </c>
      <c r="M22">
        <v>6</v>
      </c>
      <c r="O22">
        <v>4.63</v>
      </c>
      <c r="P22">
        <f>6.85-4.63</f>
        <v>2.2199999999999998</v>
      </c>
      <c r="Q22">
        <v>6</v>
      </c>
      <c r="S22" t="s">
        <v>195</v>
      </c>
      <c r="T22" t="s">
        <v>269</v>
      </c>
      <c r="U22" t="s">
        <v>207</v>
      </c>
      <c r="V22" t="s">
        <v>255</v>
      </c>
    </row>
    <row r="23" spans="1:23" x14ac:dyDescent="0.2">
      <c r="A23" t="s">
        <v>28</v>
      </c>
      <c r="B23" t="s">
        <v>31</v>
      </c>
      <c r="C23" t="s">
        <v>32</v>
      </c>
      <c r="D23" t="s">
        <v>13</v>
      </c>
      <c r="F23" t="s">
        <v>15</v>
      </c>
      <c r="H23" t="s">
        <v>15</v>
      </c>
      <c r="K23">
        <v>6.18</v>
      </c>
      <c r="L23">
        <f>8.28-6.18</f>
        <v>2.0999999999999996</v>
      </c>
      <c r="M23">
        <v>6</v>
      </c>
      <c r="O23">
        <v>4.67</v>
      </c>
      <c r="P23">
        <f>6.85-4.67</f>
        <v>2.1799999999999997</v>
      </c>
      <c r="Q23">
        <v>6</v>
      </c>
      <c r="T23" t="s">
        <v>269</v>
      </c>
      <c r="U23" t="s">
        <v>207</v>
      </c>
      <c r="V23" t="s">
        <v>255</v>
      </c>
    </row>
    <row r="24" spans="1:23" x14ac:dyDescent="0.2">
      <c r="A24" t="s">
        <v>28</v>
      </c>
      <c r="B24" t="s">
        <v>29</v>
      </c>
      <c r="C24" t="s">
        <v>30</v>
      </c>
      <c r="D24" t="s">
        <v>13</v>
      </c>
      <c r="F24" t="s">
        <v>15</v>
      </c>
      <c r="H24" t="s">
        <v>15</v>
      </c>
      <c r="K24">
        <v>10.73</v>
      </c>
      <c r="L24">
        <f>15.29-10.73</f>
        <v>4.5599999999999987</v>
      </c>
      <c r="M24">
        <v>6</v>
      </c>
      <c r="O24">
        <v>4</v>
      </c>
      <c r="P24">
        <f>6.678-4</f>
        <v>2.6779999999999999</v>
      </c>
      <c r="Q24">
        <v>6</v>
      </c>
      <c r="S24" t="s">
        <v>198</v>
      </c>
      <c r="T24" t="s">
        <v>269</v>
      </c>
      <c r="U24" t="s">
        <v>207</v>
      </c>
      <c r="V24" t="s">
        <v>255</v>
      </c>
    </row>
    <row r="25" spans="1:23" x14ac:dyDescent="0.2">
      <c r="A25" t="s">
        <v>28</v>
      </c>
      <c r="B25" t="s">
        <v>29</v>
      </c>
      <c r="C25" t="s">
        <v>30</v>
      </c>
      <c r="D25" t="s">
        <v>13</v>
      </c>
      <c r="F25" t="s">
        <v>15</v>
      </c>
      <c r="H25" t="s">
        <v>15</v>
      </c>
      <c r="K25">
        <v>4.32</v>
      </c>
      <c r="L25">
        <f>5.15-4.32</f>
        <v>0.83000000000000007</v>
      </c>
      <c r="M25">
        <v>6</v>
      </c>
      <c r="O25">
        <v>5.5</v>
      </c>
      <c r="P25">
        <f>6.34-5.5</f>
        <v>0.83999999999999986</v>
      </c>
      <c r="Q25">
        <v>6</v>
      </c>
      <c r="S25" t="s">
        <v>195</v>
      </c>
      <c r="T25" t="s">
        <v>270</v>
      </c>
      <c r="U25" t="s">
        <v>207</v>
      </c>
      <c r="V25" t="s">
        <v>255</v>
      </c>
    </row>
    <row r="26" spans="1:23" x14ac:dyDescent="0.2">
      <c r="A26" t="s">
        <v>28</v>
      </c>
      <c r="B26" t="s">
        <v>31</v>
      </c>
      <c r="C26" t="s">
        <v>32</v>
      </c>
      <c r="D26" t="s">
        <v>13</v>
      </c>
      <c r="F26" t="s">
        <v>15</v>
      </c>
      <c r="H26" t="s">
        <v>15</v>
      </c>
      <c r="K26">
        <v>1.82</v>
      </c>
      <c r="L26">
        <f>2.97-1.82</f>
        <v>1.1500000000000001</v>
      </c>
      <c r="M26">
        <v>6</v>
      </c>
      <c r="O26">
        <v>2.14</v>
      </c>
      <c r="P26">
        <f>2.93-2.14</f>
        <v>0.79</v>
      </c>
      <c r="Q26">
        <v>6</v>
      </c>
      <c r="T26" t="s">
        <v>270</v>
      </c>
      <c r="U26" t="s">
        <v>207</v>
      </c>
      <c r="V26" t="s">
        <v>255</v>
      </c>
    </row>
    <row r="27" spans="1:23" x14ac:dyDescent="0.2">
      <c r="A27" t="s">
        <v>28</v>
      </c>
      <c r="B27" t="s">
        <v>29</v>
      </c>
      <c r="C27" t="s">
        <v>30</v>
      </c>
      <c r="D27" t="s">
        <v>13</v>
      </c>
      <c r="F27" t="s">
        <v>15</v>
      </c>
      <c r="H27" t="s">
        <v>15</v>
      </c>
      <c r="K27">
        <v>5.47</v>
      </c>
      <c r="L27">
        <f>7.96-5.47</f>
        <v>2.4900000000000002</v>
      </c>
      <c r="M27">
        <v>6</v>
      </c>
      <c r="O27">
        <v>6.34</v>
      </c>
      <c r="P27">
        <f>8.32-6.34</f>
        <v>1.9800000000000004</v>
      </c>
      <c r="Q27">
        <v>6</v>
      </c>
      <c r="S27" t="s">
        <v>198</v>
      </c>
      <c r="T27" t="s">
        <v>270</v>
      </c>
      <c r="U27" t="s">
        <v>207</v>
      </c>
      <c r="V27" t="s">
        <v>255</v>
      </c>
    </row>
    <row r="28" spans="1:23" x14ac:dyDescent="0.2">
      <c r="A28" t="s">
        <v>33</v>
      </c>
      <c r="B28" t="s">
        <v>34</v>
      </c>
      <c r="C28" t="s">
        <v>35</v>
      </c>
      <c r="D28" t="s">
        <v>13</v>
      </c>
      <c r="E28" t="s">
        <v>15</v>
      </c>
      <c r="H28" t="s">
        <v>15</v>
      </c>
      <c r="K28">
        <v>14.66</v>
      </c>
      <c r="L28">
        <v>3.7600000000000016</v>
      </c>
      <c r="M28">
        <v>3</v>
      </c>
      <c r="O28">
        <v>12.4</v>
      </c>
      <c r="P28">
        <v>9.0299999999999994</v>
      </c>
      <c r="Q28">
        <v>3</v>
      </c>
      <c r="S28" t="s">
        <v>195</v>
      </c>
      <c r="U28" t="s">
        <v>208</v>
      </c>
      <c r="W28" t="s">
        <v>209</v>
      </c>
    </row>
    <row r="29" spans="1:23" x14ac:dyDescent="0.2">
      <c r="A29" t="s">
        <v>33</v>
      </c>
      <c r="B29" t="s">
        <v>36</v>
      </c>
      <c r="C29" t="s">
        <v>26</v>
      </c>
      <c r="D29" t="s">
        <v>13</v>
      </c>
      <c r="E29" t="s">
        <v>15</v>
      </c>
      <c r="H29" t="s">
        <v>15</v>
      </c>
      <c r="K29">
        <v>15.41</v>
      </c>
      <c r="L29">
        <v>5.6400000000000006</v>
      </c>
      <c r="M29">
        <v>3</v>
      </c>
      <c r="O29">
        <v>12.4</v>
      </c>
      <c r="P29">
        <v>9.0299999999999994</v>
      </c>
      <c r="Q29">
        <v>3</v>
      </c>
      <c r="S29" t="s">
        <v>195</v>
      </c>
      <c r="U29" t="s">
        <v>208</v>
      </c>
    </row>
    <row r="30" spans="1:23" x14ac:dyDescent="0.2">
      <c r="A30" t="s">
        <v>33</v>
      </c>
      <c r="B30" t="s">
        <v>34</v>
      </c>
      <c r="C30" t="s">
        <v>35</v>
      </c>
      <c r="D30" t="s">
        <v>13</v>
      </c>
      <c r="F30" t="s">
        <v>15</v>
      </c>
      <c r="H30" t="s">
        <v>15</v>
      </c>
      <c r="K30">
        <v>5.51</v>
      </c>
      <c r="L30">
        <v>1.5300000000000002</v>
      </c>
      <c r="M30">
        <v>3</v>
      </c>
      <c r="O30">
        <v>4.63</v>
      </c>
      <c r="P30">
        <v>3.5100000000000007</v>
      </c>
      <c r="Q30">
        <v>3</v>
      </c>
      <c r="S30" t="s">
        <v>195</v>
      </c>
      <c r="U30" t="s">
        <v>208</v>
      </c>
    </row>
    <row r="31" spans="1:23" x14ac:dyDescent="0.2">
      <c r="A31" t="s">
        <v>33</v>
      </c>
      <c r="B31" t="s">
        <v>36</v>
      </c>
      <c r="C31" t="s">
        <v>26</v>
      </c>
      <c r="D31" t="s">
        <v>13</v>
      </c>
      <c r="F31" t="s">
        <v>15</v>
      </c>
      <c r="H31" t="s">
        <v>15</v>
      </c>
      <c r="K31">
        <v>6.6</v>
      </c>
      <c r="L31">
        <v>0.66000000000000014</v>
      </c>
      <c r="M31">
        <v>3</v>
      </c>
      <c r="O31">
        <v>4.63</v>
      </c>
      <c r="P31">
        <v>3.5100000000000007</v>
      </c>
      <c r="Q31">
        <v>3</v>
      </c>
      <c r="S31" t="s">
        <v>195</v>
      </c>
      <c r="U31" t="s">
        <v>208</v>
      </c>
    </row>
    <row r="32" spans="1:23" x14ac:dyDescent="0.2">
      <c r="A32" t="s">
        <v>33</v>
      </c>
      <c r="B32" t="s">
        <v>34</v>
      </c>
      <c r="C32" t="s">
        <v>35</v>
      </c>
      <c r="D32" t="s">
        <v>13</v>
      </c>
      <c r="E32" t="s">
        <v>15</v>
      </c>
      <c r="H32" t="s">
        <v>15</v>
      </c>
      <c r="K32">
        <v>9.23</v>
      </c>
      <c r="L32">
        <v>3.8599999999999994</v>
      </c>
      <c r="M32">
        <v>3</v>
      </c>
      <c r="O32">
        <v>6.01</v>
      </c>
      <c r="P32">
        <v>3.4299999999999997</v>
      </c>
      <c r="Q32">
        <v>3</v>
      </c>
      <c r="S32" t="s">
        <v>198</v>
      </c>
      <c r="U32" t="s">
        <v>208</v>
      </c>
    </row>
    <row r="33" spans="1:23" x14ac:dyDescent="0.2">
      <c r="A33" t="s">
        <v>33</v>
      </c>
      <c r="B33" t="s">
        <v>36</v>
      </c>
      <c r="C33" t="s">
        <v>26</v>
      </c>
      <c r="D33" t="s">
        <v>13</v>
      </c>
      <c r="E33" t="s">
        <v>15</v>
      </c>
      <c r="H33" t="s">
        <v>15</v>
      </c>
      <c r="K33">
        <v>10.52</v>
      </c>
      <c r="L33">
        <v>2.3600000000000012</v>
      </c>
      <c r="M33">
        <v>3</v>
      </c>
      <c r="O33">
        <v>6.01</v>
      </c>
      <c r="P33">
        <v>3.4299999999999997</v>
      </c>
      <c r="Q33">
        <v>3</v>
      </c>
      <c r="S33" t="s">
        <v>198</v>
      </c>
      <c r="U33" t="s">
        <v>208</v>
      </c>
    </row>
    <row r="34" spans="1:23" x14ac:dyDescent="0.2">
      <c r="A34" t="s">
        <v>33</v>
      </c>
      <c r="B34" t="s">
        <v>34</v>
      </c>
      <c r="C34" t="s">
        <v>35</v>
      </c>
      <c r="D34" t="s">
        <v>13</v>
      </c>
      <c r="F34" t="s">
        <v>15</v>
      </c>
      <c r="H34" t="s">
        <v>15</v>
      </c>
      <c r="K34">
        <v>10.3</v>
      </c>
      <c r="L34">
        <v>4.7199999999999989</v>
      </c>
      <c r="M34">
        <v>3</v>
      </c>
      <c r="O34">
        <v>5.58</v>
      </c>
      <c r="P34">
        <v>0.86000000000000032</v>
      </c>
      <c r="Q34">
        <v>3</v>
      </c>
      <c r="S34" t="s">
        <v>198</v>
      </c>
      <c r="U34" t="s">
        <v>208</v>
      </c>
    </row>
    <row r="35" spans="1:23" x14ac:dyDescent="0.2">
      <c r="A35" t="s">
        <v>33</v>
      </c>
      <c r="B35" t="s">
        <v>36</v>
      </c>
      <c r="C35" t="s">
        <v>26</v>
      </c>
      <c r="D35" t="s">
        <v>13</v>
      </c>
      <c r="F35" t="s">
        <v>15</v>
      </c>
      <c r="H35" t="s">
        <v>15</v>
      </c>
      <c r="K35">
        <v>15.24</v>
      </c>
      <c r="L35">
        <v>1.9300000000000015</v>
      </c>
      <c r="M35">
        <v>3</v>
      </c>
      <c r="O35">
        <v>5.58</v>
      </c>
      <c r="P35">
        <v>0.86000000000000032</v>
      </c>
      <c r="Q35">
        <v>3</v>
      </c>
      <c r="S35" t="s">
        <v>198</v>
      </c>
      <c r="U35" t="s">
        <v>208</v>
      </c>
    </row>
    <row r="36" spans="1:23" x14ac:dyDescent="0.2">
      <c r="A36" t="s">
        <v>33</v>
      </c>
      <c r="B36" t="s">
        <v>34</v>
      </c>
      <c r="C36" t="s">
        <v>35</v>
      </c>
      <c r="D36" t="s">
        <v>13</v>
      </c>
      <c r="E36" t="s">
        <v>15</v>
      </c>
      <c r="H36" t="s">
        <v>15</v>
      </c>
      <c r="K36">
        <v>23.66</v>
      </c>
      <c r="L36">
        <v>23.96</v>
      </c>
      <c r="M36">
        <v>3</v>
      </c>
      <c r="O36">
        <v>8.48</v>
      </c>
      <c r="P36">
        <v>8.93</v>
      </c>
      <c r="Q36">
        <v>3</v>
      </c>
      <c r="S36" t="s">
        <v>199</v>
      </c>
      <c r="U36" t="s">
        <v>208</v>
      </c>
    </row>
    <row r="37" spans="1:23" x14ac:dyDescent="0.2">
      <c r="A37" t="s">
        <v>33</v>
      </c>
      <c r="B37" t="s">
        <v>36</v>
      </c>
      <c r="C37" t="s">
        <v>26</v>
      </c>
      <c r="D37" t="s">
        <v>13</v>
      </c>
      <c r="E37" t="s">
        <v>15</v>
      </c>
      <c r="H37" t="s">
        <v>15</v>
      </c>
      <c r="K37">
        <v>19.2</v>
      </c>
      <c r="L37">
        <v>19.419999999999998</v>
      </c>
      <c r="M37">
        <v>3</v>
      </c>
      <c r="O37">
        <v>8.48</v>
      </c>
      <c r="P37">
        <v>8.93</v>
      </c>
      <c r="Q37">
        <v>3</v>
      </c>
      <c r="S37" t="s">
        <v>199</v>
      </c>
      <c r="U37" t="s">
        <v>208</v>
      </c>
    </row>
    <row r="38" spans="1:23" x14ac:dyDescent="0.2">
      <c r="A38" t="s">
        <v>33</v>
      </c>
      <c r="B38" t="s">
        <v>34</v>
      </c>
      <c r="C38" t="s">
        <v>35</v>
      </c>
      <c r="D38" t="s">
        <v>13</v>
      </c>
      <c r="F38" t="s">
        <v>15</v>
      </c>
      <c r="H38" t="s">
        <v>15</v>
      </c>
      <c r="K38">
        <v>16.96</v>
      </c>
      <c r="L38">
        <v>7.3699999999999974</v>
      </c>
      <c r="M38">
        <v>3</v>
      </c>
      <c r="O38">
        <v>7.67</v>
      </c>
      <c r="P38">
        <v>2.3699999999999992</v>
      </c>
      <c r="Q38">
        <v>3</v>
      </c>
      <c r="S38" t="s">
        <v>199</v>
      </c>
      <c r="U38" t="s">
        <v>208</v>
      </c>
    </row>
    <row r="39" spans="1:23" x14ac:dyDescent="0.2">
      <c r="A39" t="s">
        <v>33</v>
      </c>
      <c r="B39" t="s">
        <v>36</v>
      </c>
      <c r="C39" t="s">
        <v>26</v>
      </c>
      <c r="D39" t="s">
        <v>13</v>
      </c>
      <c r="F39" t="s">
        <v>15</v>
      </c>
      <c r="H39" t="s">
        <v>15</v>
      </c>
      <c r="K39">
        <v>12.72</v>
      </c>
      <c r="L39">
        <v>3.3499999999999996</v>
      </c>
      <c r="M39">
        <v>3</v>
      </c>
      <c r="O39">
        <v>7.67</v>
      </c>
      <c r="P39">
        <v>2.3699999999999992</v>
      </c>
      <c r="Q39">
        <v>3</v>
      </c>
      <c r="S39" t="s">
        <v>199</v>
      </c>
      <c r="U39" t="s">
        <v>208</v>
      </c>
    </row>
    <row r="40" spans="1:23" x14ac:dyDescent="0.2">
      <c r="A40" t="s">
        <v>33</v>
      </c>
      <c r="B40" t="s">
        <v>34</v>
      </c>
      <c r="C40" t="s">
        <v>35</v>
      </c>
      <c r="D40" t="s">
        <v>13</v>
      </c>
      <c r="E40" t="s">
        <v>15</v>
      </c>
      <c r="H40" t="s">
        <v>15</v>
      </c>
      <c r="K40">
        <v>4.08</v>
      </c>
      <c r="L40">
        <v>2.5700000000000003</v>
      </c>
      <c r="M40">
        <v>3</v>
      </c>
      <c r="O40">
        <v>18.45</v>
      </c>
      <c r="P40">
        <v>5.8000000000000007</v>
      </c>
      <c r="Q40">
        <v>3</v>
      </c>
      <c r="S40" t="s">
        <v>200</v>
      </c>
      <c r="U40" t="s">
        <v>208</v>
      </c>
    </row>
    <row r="41" spans="1:23" x14ac:dyDescent="0.2">
      <c r="A41" t="s">
        <v>33</v>
      </c>
      <c r="B41" t="s">
        <v>36</v>
      </c>
      <c r="C41" t="s">
        <v>26</v>
      </c>
      <c r="D41" t="s">
        <v>13</v>
      </c>
      <c r="E41" t="s">
        <v>15</v>
      </c>
      <c r="H41" t="s">
        <v>15</v>
      </c>
      <c r="K41" t="s">
        <v>14</v>
      </c>
      <c r="L41" t="s">
        <v>14</v>
      </c>
      <c r="O41" t="s">
        <v>14</v>
      </c>
      <c r="P41" t="s">
        <v>14</v>
      </c>
      <c r="S41" t="s">
        <v>200</v>
      </c>
      <c r="U41" t="s">
        <v>208</v>
      </c>
    </row>
    <row r="42" spans="1:23" x14ac:dyDescent="0.2">
      <c r="A42" t="s">
        <v>33</v>
      </c>
      <c r="B42" t="s">
        <v>34</v>
      </c>
      <c r="C42" t="s">
        <v>35</v>
      </c>
      <c r="D42" t="s">
        <v>13</v>
      </c>
      <c r="F42" t="s">
        <v>15</v>
      </c>
      <c r="H42" t="s">
        <v>15</v>
      </c>
      <c r="K42">
        <v>4.08</v>
      </c>
      <c r="L42">
        <v>2.1399999999999997</v>
      </c>
      <c r="M42">
        <v>3</v>
      </c>
      <c r="O42">
        <v>8.58</v>
      </c>
      <c r="P42">
        <v>1.08</v>
      </c>
      <c r="Q42">
        <v>3</v>
      </c>
      <c r="S42" t="s">
        <v>200</v>
      </c>
      <c r="U42" t="s">
        <v>208</v>
      </c>
    </row>
    <row r="43" spans="1:23" x14ac:dyDescent="0.2">
      <c r="A43" t="s">
        <v>33</v>
      </c>
      <c r="B43" t="s">
        <v>36</v>
      </c>
      <c r="C43" t="s">
        <v>26</v>
      </c>
      <c r="D43" t="s">
        <v>13</v>
      </c>
      <c r="F43" t="s">
        <v>15</v>
      </c>
      <c r="H43" t="s">
        <v>15</v>
      </c>
      <c r="K43" t="s">
        <v>14</v>
      </c>
      <c r="L43" t="s">
        <v>14</v>
      </c>
      <c r="O43" t="s">
        <v>14</v>
      </c>
      <c r="P43" t="s">
        <v>14</v>
      </c>
      <c r="S43" t="s">
        <v>200</v>
      </c>
      <c r="U43" t="s">
        <v>208</v>
      </c>
    </row>
    <row r="44" spans="1:23" x14ac:dyDescent="0.2">
      <c r="A44" t="s">
        <v>37</v>
      </c>
      <c r="B44" t="s">
        <v>38</v>
      </c>
      <c r="C44" t="s">
        <v>18</v>
      </c>
      <c r="D44" t="s">
        <v>13</v>
      </c>
      <c r="E44" t="s">
        <v>15</v>
      </c>
      <c r="F44" t="s">
        <v>15</v>
      </c>
      <c r="H44" t="s">
        <v>15</v>
      </c>
      <c r="K44">
        <v>6.5</v>
      </c>
      <c r="L44">
        <v>3.91</v>
      </c>
      <c r="M44">
        <v>20</v>
      </c>
      <c r="O44">
        <v>2.5</v>
      </c>
      <c r="P44">
        <v>1.66</v>
      </c>
      <c r="Q44">
        <v>20</v>
      </c>
      <c r="U44" t="s">
        <v>202</v>
      </c>
      <c r="W44" t="s">
        <v>211</v>
      </c>
    </row>
    <row r="45" spans="1:23" x14ac:dyDescent="0.2">
      <c r="A45" t="s">
        <v>37</v>
      </c>
      <c r="B45" t="s">
        <v>39</v>
      </c>
      <c r="C45" t="s">
        <v>18</v>
      </c>
      <c r="D45" t="s">
        <v>13</v>
      </c>
      <c r="E45" t="s">
        <v>15</v>
      </c>
      <c r="F45" t="s">
        <v>15</v>
      </c>
      <c r="H45" t="s">
        <v>15</v>
      </c>
      <c r="K45">
        <v>3.5</v>
      </c>
      <c r="L45">
        <v>1.66</v>
      </c>
      <c r="M45">
        <v>20</v>
      </c>
      <c r="O45">
        <v>2.5</v>
      </c>
      <c r="P45">
        <v>1.66</v>
      </c>
      <c r="Q45">
        <v>20</v>
      </c>
      <c r="U45" t="s">
        <v>202</v>
      </c>
      <c r="W45" t="s">
        <v>211</v>
      </c>
    </row>
    <row r="46" spans="1:23" x14ac:dyDescent="0.2">
      <c r="A46" t="s">
        <v>40</v>
      </c>
      <c r="B46" t="s">
        <v>41</v>
      </c>
      <c r="C46" t="s">
        <v>18</v>
      </c>
      <c r="D46" t="s">
        <v>13</v>
      </c>
      <c r="E46" t="s">
        <v>15</v>
      </c>
      <c r="F46" t="s">
        <v>15</v>
      </c>
      <c r="H46" t="s">
        <v>15</v>
      </c>
      <c r="K46">
        <v>15.77</v>
      </c>
      <c r="L46" t="s">
        <v>14</v>
      </c>
      <c r="M46">
        <v>7</v>
      </c>
      <c r="O46">
        <v>3.08</v>
      </c>
      <c r="P46" t="s">
        <v>14</v>
      </c>
      <c r="Q46">
        <v>7</v>
      </c>
      <c r="U46" t="s">
        <v>210</v>
      </c>
      <c r="W46" t="s">
        <v>212</v>
      </c>
    </row>
    <row r="47" spans="1:23" x14ac:dyDescent="0.2">
      <c r="A47" t="s">
        <v>40</v>
      </c>
      <c r="B47" t="s">
        <v>41</v>
      </c>
      <c r="C47" t="s">
        <v>18</v>
      </c>
      <c r="D47" t="s">
        <v>13</v>
      </c>
      <c r="F47" t="s">
        <v>15</v>
      </c>
      <c r="H47" t="s">
        <v>15</v>
      </c>
      <c r="K47">
        <v>6.21</v>
      </c>
      <c r="L47" t="s">
        <v>14</v>
      </c>
      <c r="M47">
        <v>7</v>
      </c>
      <c r="O47">
        <v>2.12</v>
      </c>
      <c r="P47" t="s">
        <v>14</v>
      </c>
      <c r="Q47">
        <v>7</v>
      </c>
      <c r="U47" t="s">
        <v>210</v>
      </c>
      <c r="W47" t="s">
        <v>212</v>
      </c>
    </row>
    <row r="48" spans="1:23" x14ac:dyDescent="0.2">
      <c r="A48" t="s">
        <v>42</v>
      </c>
      <c r="B48" t="s">
        <v>14</v>
      </c>
      <c r="C48" t="s">
        <v>18</v>
      </c>
      <c r="D48" t="s">
        <v>13</v>
      </c>
      <c r="E48" t="s">
        <v>15</v>
      </c>
      <c r="G48" t="s">
        <v>15</v>
      </c>
      <c r="H48" t="s">
        <v>15</v>
      </c>
      <c r="K48" t="s">
        <v>14</v>
      </c>
      <c r="L48" t="s">
        <v>14</v>
      </c>
      <c r="M48" t="s">
        <v>14</v>
      </c>
      <c r="O48" t="s">
        <v>14</v>
      </c>
      <c r="P48" t="s">
        <v>14</v>
      </c>
      <c r="Q48" t="s">
        <v>14</v>
      </c>
      <c r="W48" t="s">
        <v>213</v>
      </c>
    </row>
    <row r="49" spans="1:23" x14ac:dyDescent="0.2">
      <c r="A49" t="s">
        <v>43</v>
      </c>
      <c r="B49" t="s">
        <v>44</v>
      </c>
      <c r="C49" t="s">
        <v>12</v>
      </c>
      <c r="D49" t="s">
        <v>13</v>
      </c>
      <c r="E49" t="s">
        <v>15</v>
      </c>
      <c r="I49" t="s">
        <v>15</v>
      </c>
      <c r="K49">
        <v>13.45</v>
      </c>
      <c r="M49">
        <v>10</v>
      </c>
      <c r="N49">
        <f>13.95-13.45</f>
        <v>0.5</v>
      </c>
      <c r="O49">
        <v>12.58</v>
      </c>
      <c r="Q49">
        <v>10</v>
      </c>
      <c r="R49">
        <f>13.27-12.58</f>
        <v>0.6899999999999995</v>
      </c>
      <c r="U49" t="s">
        <v>208</v>
      </c>
      <c r="W49" t="s">
        <v>214</v>
      </c>
    </row>
    <row r="50" spans="1:23" x14ac:dyDescent="0.2">
      <c r="A50" t="s">
        <v>43</v>
      </c>
      <c r="B50" t="s">
        <v>44</v>
      </c>
      <c r="C50" t="s">
        <v>12</v>
      </c>
      <c r="D50" t="s">
        <v>13</v>
      </c>
      <c r="E50" t="s">
        <v>15</v>
      </c>
      <c r="I50" t="s">
        <v>15</v>
      </c>
      <c r="K50">
        <v>6.42</v>
      </c>
      <c r="M50">
        <v>10</v>
      </c>
      <c r="N50">
        <f>6.91-6.42</f>
        <v>0.49000000000000021</v>
      </c>
      <c r="O50">
        <v>2.93</v>
      </c>
      <c r="Q50">
        <v>10</v>
      </c>
      <c r="R50">
        <f>3.24-2.93</f>
        <v>0.31000000000000005</v>
      </c>
      <c r="U50" t="s">
        <v>208</v>
      </c>
      <c r="W50" t="s">
        <v>215</v>
      </c>
    </row>
    <row r="51" spans="1:23" x14ac:dyDescent="0.2">
      <c r="A51" t="s">
        <v>45</v>
      </c>
      <c r="B51" t="s">
        <v>46</v>
      </c>
      <c r="C51" t="s">
        <v>47</v>
      </c>
      <c r="D51" t="s">
        <v>13</v>
      </c>
      <c r="E51" t="s">
        <v>15</v>
      </c>
      <c r="J51" t="s">
        <v>15</v>
      </c>
      <c r="K51">
        <v>0.97</v>
      </c>
      <c r="M51">
        <v>20</v>
      </c>
      <c r="N51">
        <f>1.15-0.97</f>
        <v>0.17999999999999994</v>
      </c>
      <c r="O51">
        <v>1.56</v>
      </c>
      <c r="Q51">
        <v>20</v>
      </c>
      <c r="R51">
        <f>1.7-1.56</f>
        <v>0.1399999999999999</v>
      </c>
      <c r="U51" t="s">
        <v>216</v>
      </c>
      <c r="W51" t="s">
        <v>217</v>
      </c>
    </row>
    <row r="52" spans="1:23" x14ac:dyDescent="0.2">
      <c r="A52" t="s">
        <v>45</v>
      </c>
      <c r="B52" t="s">
        <v>46</v>
      </c>
      <c r="C52" t="s">
        <v>47</v>
      </c>
      <c r="D52" t="s">
        <v>13</v>
      </c>
      <c r="E52" t="s">
        <v>15</v>
      </c>
      <c r="J52" t="s">
        <v>15</v>
      </c>
      <c r="K52">
        <v>0.51</v>
      </c>
      <c r="M52">
        <v>20</v>
      </c>
      <c r="N52">
        <f>0.74-0.51</f>
        <v>0.22999999999999998</v>
      </c>
      <c r="O52">
        <v>1.29</v>
      </c>
      <c r="Q52">
        <v>20</v>
      </c>
      <c r="R52">
        <f>1.52-1.29</f>
        <v>0.22999999999999998</v>
      </c>
      <c r="U52" t="s">
        <v>216</v>
      </c>
    </row>
    <row r="53" spans="1:23" x14ac:dyDescent="0.2">
      <c r="A53" t="s">
        <v>45</v>
      </c>
      <c r="B53" t="s">
        <v>46</v>
      </c>
      <c r="C53" t="s">
        <v>47</v>
      </c>
      <c r="D53" t="s">
        <v>13</v>
      </c>
      <c r="E53" t="s">
        <v>15</v>
      </c>
      <c r="J53" t="s">
        <v>15</v>
      </c>
      <c r="K53">
        <v>0</v>
      </c>
      <c r="M53">
        <v>20</v>
      </c>
      <c r="N53">
        <v>0</v>
      </c>
      <c r="O53">
        <v>1</v>
      </c>
      <c r="Q53">
        <v>20</v>
      </c>
      <c r="R53">
        <v>0</v>
      </c>
      <c r="U53" t="s">
        <v>216</v>
      </c>
    </row>
    <row r="54" spans="1:23" x14ac:dyDescent="0.2">
      <c r="A54" t="s">
        <v>45</v>
      </c>
      <c r="B54" t="s">
        <v>46</v>
      </c>
      <c r="C54" t="s">
        <v>47</v>
      </c>
      <c r="D54" t="s">
        <v>13</v>
      </c>
      <c r="E54" t="s">
        <v>15</v>
      </c>
      <c r="J54" t="s">
        <v>15</v>
      </c>
      <c r="K54">
        <v>9.6000000000000002E-2</v>
      </c>
      <c r="M54">
        <v>20</v>
      </c>
      <c r="N54">
        <f>0.162679426-K54</f>
        <v>6.6679425999999986E-2</v>
      </c>
      <c r="O54">
        <v>1.19</v>
      </c>
      <c r="Q54">
        <v>20</v>
      </c>
      <c r="R54">
        <f>1.339712919-O54</f>
        <v>0.14971291899999994</v>
      </c>
      <c r="U54" t="s">
        <v>216</v>
      </c>
    </row>
    <row r="55" spans="1:23" x14ac:dyDescent="0.2">
      <c r="A55" t="s">
        <v>45</v>
      </c>
      <c r="B55" t="s">
        <v>46</v>
      </c>
      <c r="C55" t="s">
        <v>47</v>
      </c>
      <c r="D55" t="s">
        <v>13</v>
      </c>
      <c r="E55" t="s">
        <v>15</v>
      </c>
      <c r="J55" t="s">
        <v>15</v>
      </c>
      <c r="K55">
        <v>0.3</v>
      </c>
      <c r="M55">
        <v>20</v>
      </c>
      <c r="N55">
        <f>0.459330144-K55</f>
        <v>0.15933014400000001</v>
      </c>
      <c r="O55">
        <v>1.1100000000000001</v>
      </c>
      <c r="Q55">
        <v>20</v>
      </c>
      <c r="R55">
        <f>1.2-1.11</f>
        <v>8.9999999999999858E-2</v>
      </c>
      <c r="U55" t="s">
        <v>216</v>
      </c>
    </row>
    <row r="56" spans="1:23" x14ac:dyDescent="0.2">
      <c r="A56" t="s">
        <v>45</v>
      </c>
      <c r="B56" t="s">
        <v>46</v>
      </c>
      <c r="C56" t="s">
        <v>47</v>
      </c>
      <c r="D56" t="s">
        <v>13</v>
      </c>
      <c r="E56" t="s">
        <v>15</v>
      </c>
      <c r="J56" t="s">
        <v>15</v>
      </c>
      <c r="K56">
        <v>0.14000000000000001</v>
      </c>
      <c r="M56">
        <v>20</v>
      </c>
      <c r="N56">
        <f>0.24-0.14</f>
        <v>9.9999999999999978E-2</v>
      </c>
      <c r="O56">
        <v>1.39</v>
      </c>
      <c r="Q56">
        <v>20</v>
      </c>
      <c r="R56">
        <f>1.52-1.39</f>
        <v>0.13000000000000012</v>
      </c>
      <c r="U56" t="s">
        <v>216</v>
      </c>
    </row>
    <row r="57" spans="1:23" x14ac:dyDescent="0.2">
      <c r="A57" t="s">
        <v>45</v>
      </c>
      <c r="B57" t="s">
        <v>46</v>
      </c>
      <c r="C57" t="s">
        <v>47</v>
      </c>
      <c r="D57" t="s">
        <v>13</v>
      </c>
      <c r="E57" t="s">
        <v>15</v>
      </c>
      <c r="J57" t="s">
        <v>15</v>
      </c>
      <c r="K57">
        <v>0.2</v>
      </c>
      <c r="M57">
        <v>20</v>
      </c>
      <c r="N57">
        <f>0.33-0.2</f>
        <v>0.13</v>
      </c>
      <c r="O57">
        <v>0.57999999999999996</v>
      </c>
      <c r="Q57">
        <v>20</v>
      </c>
      <c r="R57">
        <f>0.77-0.58</f>
        <v>0.19000000000000006</v>
      </c>
      <c r="U57" t="s">
        <v>216</v>
      </c>
    </row>
    <row r="58" spans="1:23" x14ac:dyDescent="0.2">
      <c r="A58" t="s">
        <v>45</v>
      </c>
      <c r="B58" t="s">
        <v>46</v>
      </c>
      <c r="C58" t="s">
        <v>47</v>
      </c>
      <c r="D58" t="s">
        <v>13</v>
      </c>
      <c r="E58" t="s">
        <v>15</v>
      </c>
      <c r="J58" t="s">
        <v>15</v>
      </c>
      <c r="K58">
        <v>0.25</v>
      </c>
      <c r="M58">
        <v>20</v>
      </c>
      <c r="N58">
        <f>0.34-0.25</f>
        <v>9.0000000000000024E-2</v>
      </c>
      <c r="O58">
        <v>1.29</v>
      </c>
      <c r="Q58">
        <v>20</v>
      </c>
      <c r="R58">
        <f>1.51-1.29</f>
        <v>0.21999999999999997</v>
      </c>
      <c r="U58" t="s">
        <v>216</v>
      </c>
    </row>
    <row r="59" spans="1:23" x14ac:dyDescent="0.2">
      <c r="A59" t="s">
        <v>45</v>
      </c>
      <c r="B59" t="s">
        <v>46</v>
      </c>
      <c r="C59" t="s">
        <v>47</v>
      </c>
      <c r="D59" t="s">
        <v>13</v>
      </c>
      <c r="F59" t="s">
        <v>15</v>
      </c>
      <c r="H59" t="s">
        <v>15</v>
      </c>
      <c r="K59">
        <v>15.58</v>
      </c>
      <c r="M59">
        <v>3</v>
      </c>
      <c r="N59">
        <f>18.85-15.58</f>
        <v>3.2700000000000014</v>
      </c>
      <c r="O59">
        <v>4.42</v>
      </c>
      <c r="Q59">
        <v>3</v>
      </c>
      <c r="R59">
        <f>5.58-4.42</f>
        <v>1.1600000000000001</v>
      </c>
      <c r="U59" t="s">
        <v>218</v>
      </c>
      <c r="V59" t="s">
        <v>256</v>
      </c>
    </row>
    <row r="60" spans="1:23" x14ac:dyDescent="0.2">
      <c r="A60" t="s">
        <v>45</v>
      </c>
      <c r="B60" t="s">
        <v>46</v>
      </c>
      <c r="C60" t="s">
        <v>47</v>
      </c>
      <c r="D60" t="s">
        <v>13</v>
      </c>
      <c r="F60" t="s">
        <v>15</v>
      </c>
      <c r="H60" t="s">
        <v>15</v>
      </c>
      <c r="K60">
        <v>29.09</v>
      </c>
      <c r="M60">
        <v>3</v>
      </c>
      <c r="N60">
        <f>34.64-29.09</f>
        <v>5.5500000000000007</v>
      </c>
      <c r="O60">
        <v>4.42</v>
      </c>
      <c r="Q60">
        <v>3</v>
      </c>
      <c r="R60">
        <f>5.58-4.42</f>
        <v>1.1600000000000001</v>
      </c>
      <c r="U60" t="s">
        <v>218</v>
      </c>
      <c r="V60" t="s">
        <v>256</v>
      </c>
    </row>
    <row r="61" spans="1:23" x14ac:dyDescent="0.2">
      <c r="A61" t="s">
        <v>48</v>
      </c>
      <c r="B61" t="s">
        <v>49</v>
      </c>
      <c r="C61" t="s">
        <v>32</v>
      </c>
      <c r="D61" t="s">
        <v>13</v>
      </c>
      <c r="F61" t="s">
        <v>15</v>
      </c>
      <c r="J61" t="s">
        <v>15</v>
      </c>
      <c r="K61" t="s">
        <v>14</v>
      </c>
      <c r="M61">
        <v>10</v>
      </c>
      <c r="N61">
        <f>0.44-0.39</f>
        <v>4.9999999999999989E-2</v>
      </c>
      <c r="O61" t="s">
        <v>14</v>
      </c>
      <c r="Q61">
        <v>8</v>
      </c>
      <c r="R61">
        <f>0.022-0.012</f>
        <v>9.9999999999999985E-3</v>
      </c>
      <c r="U61" t="s">
        <v>210</v>
      </c>
      <c r="W61" t="s">
        <v>222</v>
      </c>
    </row>
    <row r="62" spans="1:23" x14ac:dyDescent="0.2">
      <c r="A62" t="s">
        <v>48</v>
      </c>
      <c r="B62" t="s">
        <v>49</v>
      </c>
      <c r="C62" t="s">
        <v>32</v>
      </c>
      <c r="D62" t="s">
        <v>13</v>
      </c>
      <c r="F62" t="s">
        <v>15</v>
      </c>
      <c r="J62" t="s">
        <v>15</v>
      </c>
      <c r="K62" t="s">
        <v>14</v>
      </c>
      <c r="M62">
        <v>10</v>
      </c>
      <c r="N62">
        <f>0.84-0.76</f>
        <v>7.999999999999996E-2</v>
      </c>
      <c r="O62" t="s">
        <v>14</v>
      </c>
      <c r="Q62">
        <v>8</v>
      </c>
      <c r="R62">
        <f>0.32-0.27</f>
        <v>4.9999999999999989E-2</v>
      </c>
      <c r="U62" t="s">
        <v>221</v>
      </c>
      <c r="W62" t="s">
        <v>222</v>
      </c>
    </row>
    <row r="63" spans="1:23" x14ac:dyDescent="0.2">
      <c r="A63" t="s">
        <v>48</v>
      </c>
      <c r="B63" t="s">
        <v>49</v>
      </c>
      <c r="C63" t="s">
        <v>32</v>
      </c>
      <c r="D63" t="s">
        <v>13</v>
      </c>
      <c r="F63" t="s">
        <v>15</v>
      </c>
      <c r="H63" t="s">
        <v>15</v>
      </c>
      <c r="K63" t="s">
        <v>14</v>
      </c>
      <c r="M63">
        <v>10</v>
      </c>
      <c r="N63">
        <f>1.22-1.16</f>
        <v>6.0000000000000053E-2</v>
      </c>
      <c r="O63" t="s">
        <v>14</v>
      </c>
      <c r="Q63">
        <v>8</v>
      </c>
      <c r="R63">
        <f>0.33-0.28</f>
        <v>4.9999999999999989E-2</v>
      </c>
      <c r="U63" t="s">
        <v>208</v>
      </c>
      <c r="W63" t="s">
        <v>222</v>
      </c>
    </row>
    <row r="64" spans="1:23" x14ac:dyDescent="0.2">
      <c r="A64" t="s">
        <v>50</v>
      </c>
      <c r="B64" t="s">
        <v>51</v>
      </c>
      <c r="C64" t="s">
        <v>47</v>
      </c>
      <c r="D64" t="s">
        <v>13</v>
      </c>
      <c r="F64" t="s">
        <v>15</v>
      </c>
      <c r="H64" t="s">
        <v>15</v>
      </c>
      <c r="K64">
        <v>6.01</v>
      </c>
      <c r="M64">
        <v>6</v>
      </c>
      <c r="N64">
        <v>0</v>
      </c>
      <c r="O64">
        <v>4.97</v>
      </c>
      <c r="Q64">
        <v>6</v>
      </c>
      <c r="R64">
        <f>6.09-4.97</f>
        <v>1.1200000000000001</v>
      </c>
      <c r="T64" t="s">
        <v>269</v>
      </c>
      <c r="U64" t="s">
        <v>221</v>
      </c>
      <c r="V64" t="s">
        <v>255</v>
      </c>
      <c r="W64" t="s">
        <v>223</v>
      </c>
    </row>
    <row r="65" spans="1:23" x14ac:dyDescent="0.2">
      <c r="A65" t="s">
        <v>50</v>
      </c>
      <c r="B65" t="s">
        <v>51</v>
      </c>
      <c r="C65" t="s">
        <v>47</v>
      </c>
      <c r="D65" t="s">
        <v>13</v>
      </c>
      <c r="F65" t="s">
        <v>15</v>
      </c>
      <c r="H65" t="s">
        <v>15</v>
      </c>
      <c r="K65">
        <v>3.73</v>
      </c>
      <c r="M65">
        <v>6</v>
      </c>
      <c r="N65">
        <f>4.68-3.73</f>
        <v>0.94999999999999973</v>
      </c>
      <c r="O65">
        <v>5.22</v>
      </c>
      <c r="Q65">
        <v>6</v>
      </c>
      <c r="R65">
        <f>6.3-5.22</f>
        <v>1.08</v>
      </c>
      <c r="T65" t="s">
        <v>270</v>
      </c>
      <c r="U65" t="s">
        <v>221</v>
      </c>
      <c r="V65" t="s">
        <v>255</v>
      </c>
      <c r="W65" t="s">
        <v>223</v>
      </c>
    </row>
    <row r="66" spans="1:23" x14ac:dyDescent="0.2">
      <c r="A66" t="s">
        <v>52</v>
      </c>
      <c r="B66" t="s">
        <v>44</v>
      </c>
      <c r="C66" t="s">
        <v>12</v>
      </c>
      <c r="D66" t="s">
        <v>13</v>
      </c>
      <c r="F66" t="s">
        <v>15</v>
      </c>
      <c r="H66" t="s">
        <v>15</v>
      </c>
      <c r="K66">
        <v>7.72</v>
      </c>
      <c r="M66">
        <v>8</v>
      </c>
      <c r="N66">
        <f>8.58-7.72</f>
        <v>0.86000000000000032</v>
      </c>
      <c r="O66">
        <v>2.5099999999999998</v>
      </c>
      <c r="Q66">
        <v>8</v>
      </c>
      <c r="R66">
        <f>2.72-2.51</f>
        <v>0.21000000000000041</v>
      </c>
      <c r="U66" t="s">
        <v>210</v>
      </c>
      <c r="W66" t="s">
        <v>248</v>
      </c>
    </row>
    <row r="67" spans="1:23" x14ac:dyDescent="0.2">
      <c r="A67" t="s">
        <v>53</v>
      </c>
      <c r="B67" t="s">
        <v>54</v>
      </c>
      <c r="C67" t="s">
        <v>23</v>
      </c>
      <c r="D67" t="s">
        <v>13</v>
      </c>
      <c r="F67" t="s">
        <v>15</v>
      </c>
      <c r="H67" t="s">
        <v>15</v>
      </c>
      <c r="M67">
        <v>3</v>
      </c>
      <c r="N67">
        <v>0.05</v>
      </c>
      <c r="Q67">
        <v>3</v>
      </c>
      <c r="R67">
        <v>0.03</v>
      </c>
      <c r="U67" t="s">
        <v>224</v>
      </c>
      <c r="W67" t="s">
        <v>225</v>
      </c>
    </row>
    <row r="68" spans="1:23" x14ac:dyDescent="0.2">
      <c r="A68" t="s">
        <v>55</v>
      </c>
      <c r="B68" t="s">
        <v>56</v>
      </c>
      <c r="C68" t="s">
        <v>57</v>
      </c>
      <c r="D68" t="s">
        <v>13</v>
      </c>
      <c r="F68" t="s">
        <v>15</v>
      </c>
      <c r="H68" t="s">
        <v>15</v>
      </c>
      <c r="K68">
        <v>6.38</v>
      </c>
      <c r="M68">
        <v>20</v>
      </c>
      <c r="N68">
        <f>7-6.38</f>
        <v>0.62000000000000011</v>
      </c>
      <c r="O68">
        <v>1.7</v>
      </c>
      <c r="Q68">
        <v>20</v>
      </c>
      <c r="R68">
        <f>2.06-1.7</f>
        <v>0.3600000000000001</v>
      </c>
      <c r="T68" t="s">
        <v>269</v>
      </c>
      <c r="U68" t="s">
        <v>226</v>
      </c>
      <c r="V68" t="s">
        <v>255</v>
      </c>
      <c r="W68" t="s">
        <v>227</v>
      </c>
    </row>
    <row r="69" spans="1:23" x14ac:dyDescent="0.2">
      <c r="A69" t="s">
        <v>55</v>
      </c>
      <c r="B69" t="s">
        <v>56</v>
      </c>
      <c r="C69" t="s">
        <v>57</v>
      </c>
      <c r="D69" t="s">
        <v>13</v>
      </c>
      <c r="F69" t="s">
        <v>15</v>
      </c>
      <c r="H69" t="s">
        <v>15</v>
      </c>
      <c r="K69">
        <v>1.97</v>
      </c>
      <c r="M69">
        <v>20</v>
      </c>
      <c r="N69">
        <f>2.34-1.97</f>
        <v>0.36999999999999988</v>
      </c>
      <c r="O69">
        <v>4.0199999999999996</v>
      </c>
      <c r="Q69">
        <v>20</v>
      </c>
      <c r="R69">
        <f>4.39-4.02</f>
        <v>0.37000000000000011</v>
      </c>
      <c r="T69" t="s">
        <v>270</v>
      </c>
      <c r="U69" t="s">
        <v>226</v>
      </c>
      <c r="V69" t="s">
        <v>255</v>
      </c>
      <c r="W69" t="s">
        <v>227</v>
      </c>
    </row>
    <row r="70" spans="1:23" x14ac:dyDescent="0.2">
      <c r="A70" t="s">
        <v>58</v>
      </c>
      <c r="B70" t="s">
        <v>17</v>
      </c>
      <c r="C70" t="s">
        <v>18</v>
      </c>
      <c r="D70" t="s">
        <v>13</v>
      </c>
      <c r="E70" t="s">
        <v>15</v>
      </c>
      <c r="F70" t="s">
        <v>15</v>
      </c>
      <c r="H70" t="s">
        <v>15</v>
      </c>
      <c r="K70" t="s">
        <v>14</v>
      </c>
      <c r="L70" t="s">
        <v>14</v>
      </c>
      <c r="M70" t="s">
        <v>14</v>
      </c>
      <c r="N70" t="s">
        <v>14</v>
      </c>
      <c r="O70" t="s">
        <v>14</v>
      </c>
      <c r="P70" t="s">
        <v>14</v>
      </c>
      <c r="Q70" t="s">
        <v>14</v>
      </c>
      <c r="R70" t="s">
        <v>14</v>
      </c>
      <c r="U70" t="s">
        <v>208</v>
      </c>
      <c r="W70" t="s">
        <v>228</v>
      </c>
    </row>
    <row r="71" spans="1:23" x14ac:dyDescent="0.2">
      <c r="A71" t="s">
        <v>58</v>
      </c>
      <c r="B71" t="s">
        <v>17</v>
      </c>
      <c r="C71" t="s">
        <v>18</v>
      </c>
      <c r="D71" t="s">
        <v>13</v>
      </c>
      <c r="F71" t="s">
        <v>15</v>
      </c>
      <c r="H71" t="s">
        <v>15</v>
      </c>
      <c r="K71">
        <v>9.11</v>
      </c>
      <c r="M71">
        <v>30</v>
      </c>
      <c r="N71">
        <f>9.55-9.11</f>
        <v>0.44000000000000128</v>
      </c>
      <c r="O71">
        <v>6.52</v>
      </c>
      <c r="Q71">
        <v>29</v>
      </c>
      <c r="R71">
        <f>6.79-6.52</f>
        <v>0.27000000000000046</v>
      </c>
      <c r="U71" t="s">
        <v>208</v>
      </c>
      <c r="W71" t="s">
        <v>206</v>
      </c>
    </row>
    <row r="72" spans="1:23" x14ac:dyDescent="0.2">
      <c r="A72" t="s">
        <v>59</v>
      </c>
      <c r="B72" t="s">
        <v>60</v>
      </c>
      <c r="C72" t="s">
        <v>26</v>
      </c>
      <c r="D72" t="s">
        <v>13</v>
      </c>
      <c r="F72" t="s">
        <v>15</v>
      </c>
      <c r="H72" t="s">
        <v>15</v>
      </c>
      <c r="K72" t="s">
        <v>14</v>
      </c>
      <c r="L72" t="s">
        <v>14</v>
      </c>
      <c r="M72" t="s">
        <v>14</v>
      </c>
      <c r="O72" t="s">
        <v>14</v>
      </c>
      <c r="P72" t="s">
        <v>14</v>
      </c>
      <c r="Q72" t="s">
        <v>14</v>
      </c>
      <c r="W72" t="s">
        <v>229</v>
      </c>
    </row>
    <row r="73" spans="1:23" x14ac:dyDescent="0.2">
      <c r="A73" t="s">
        <v>61</v>
      </c>
      <c r="B73" t="s">
        <v>62</v>
      </c>
      <c r="C73" t="s">
        <v>23</v>
      </c>
      <c r="D73" t="s">
        <v>13</v>
      </c>
      <c r="G73" t="s">
        <v>15</v>
      </c>
      <c r="H73" t="s">
        <v>15</v>
      </c>
      <c r="K73">
        <v>11</v>
      </c>
      <c r="L73" t="s">
        <v>14</v>
      </c>
      <c r="M73">
        <v>2</v>
      </c>
      <c r="O73">
        <v>18</v>
      </c>
      <c r="P73" t="s">
        <v>14</v>
      </c>
      <c r="Q73">
        <v>15</v>
      </c>
      <c r="U73" t="s">
        <v>231</v>
      </c>
      <c r="W73" t="s">
        <v>230</v>
      </c>
    </row>
    <row r="74" spans="1:23" x14ac:dyDescent="0.2">
      <c r="A74" t="s">
        <v>61</v>
      </c>
      <c r="B74" t="s">
        <v>63</v>
      </c>
      <c r="C74" t="s">
        <v>23</v>
      </c>
      <c r="D74" t="s">
        <v>13</v>
      </c>
      <c r="G74" t="s">
        <v>15</v>
      </c>
      <c r="H74" t="s">
        <v>15</v>
      </c>
      <c r="K74">
        <v>19</v>
      </c>
      <c r="L74" t="s">
        <v>14</v>
      </c>
      <c r="M74">
        <v>14</v>
      </c>
      <c r="O74">
        <v>18</v>
      </c>
      <c r="P74" t="s">
        <v>14</v>
      </c>
      <c r="Q74">
        <v>15</v>
      </c>
      <c r="U74" t="s">
        <v>231</v>
      </c>
    </row>
    <row r="75" spans="1:23" x14ac:dyDescent="0.2">
      <c r="A75" t="s">
        <v>61</v>
      </c>
      <c r="B75" t="s">
        <v>63</v>
      </c>
      <c r="C75" t="s">
        <v>23</v>
      </c>
      <c r="D75" t="s">
        <v>13</v>
      </c>
      <c r="G75" t="s">
        <v>15</v>
      </c>
      <c r="I75" t="s">
        <v>15</v>
      </c>
      <c r="K75">
        <v>2.8</v>
      </c>
      <c r="M75">
        <v>9</v>
      </c>
      <c r="N75">
        <v>0.6</v>
      </c>
      <c r="O75">
        <v>2</v>
      </c>
      <c r="Q75">
        <v>9</v>
      </c>
      <c r="R75">
        <v>0.4</v>
      </c>
      <c r="U75" t="s">
        <v>232</v>
      </c>
    </row>
    <row r="76" spans="1:23" x14ac:dyDescent="0.2">
      <c r="A76" t="s">
        <v>64</v>
      </c>
      <c r="B76" t="s">
        <v>65</v>
      </c>
      <c r="C76" t="s">
        <v>47</v>
      </c>
      <c r="D76" t="s">
        <v>13</v>
      </c>
      <c r="F76" t="s">
        <v>15</v>
      </c>
      <c r="H76" t="s">
        <v>15</v>
      </c>
      <c r="K76">
        <v>20.059999999999999</v>
      </c>
      <c r="M76">
        <v>8</v>
      </c>
      <c r="N76">
        <f>24.94-20.06</f>
        <v>4.8800000000000026</v>
      </c>
      <c r="O76">
        <v>2.44</v>
      </c>
      <c r="Q76">
        <v>8</v>
      </c>
      <c r="R76">
        <f>7.31-2.44</f>
        <v>4.8699999999999992</v>
      </c>
      <c r="U76" t="s">
        <v>221</v>
      </c>
      <c r="W76" t="s">
        <v>257</v>
      </c>
    </row>
    <row r="77" spans="1:23" x14ac:dyDescent="0.2">
      <c r="A77" t="s">
        <v>66</v>
      </c>
      <c r="B77" t="s">
        <v>49</v>
      </c>
      <c r="C77" t="s">
        <v>32</v>
      </c>
      <c r="D77" t="s">
        <v>13</v>
      </c>
      <c r="F77" t="s">
        <v>15</v>
      </c>
      <c r="H77" t="s">
        <v>15</v>
      </c>
      <c r="K77" t="s">
        <v>14</v>
      </c>
      <c r="L77" t="s">
        <v>14</v>
      </c>
      <c r="M77">
        <v>4</v>
      </c>
      <c r="O77" t="s">
        <v>14</v>
      </c>
      <c r="P77" t="s">
        <v>14</v>
      </c>
      <c r="Q77">
        <v>4</v>
      </c>
      <c r="U77" t="s">
        <v>216</v>
      </c>
      <c r="W77" t="s">
        <v>243</v>
      </c>
    </row>
    <row r="78" spans="1:23" x14ac:dyDescent="0.2">
      <c r="A78" t="s">
        <v>66</v>
      </c>
      <c r="B78" t="s">
        <v>67</v>
      </c>
      <c r="C78" t="s">
        <v>20</v>
      </c>
      <c r="D78" t="s">
        <v>13</v>
      </c>
      <c r="F78" t="s">
        <v>15</v>
      </c>
      <c r="H78" t="s">
        <v>15</v>
      </c>
      <c r="K78" t="s">
        <v>14</v>
      </c>
      <c r="L78" t="s">
        <v>14</v>
      </c>
      <c r="M78">
        <v>4</v>
      </c>
      <c r="O78" t="s">
        <v>14</v>
      </c>
      <c r="P78" t="s">
        <v>14</v>
      </c>
      <c r="Q78">
        <v>4</v>
      </c>
      <c r="U78" t="s">
        <v>216</v>
      </c>
      <c r="W78" t="s">
        <v>243</v>
      </c>
    </row>
    <row r="79" spans="1:23" x14ac:dyDescent="0.2">
      <c r="A79" t="s">
        <v>68</v>
      </c>
      <c r="B79" t="s">
        <v>69</v>
      </c>
      <c r="C79" t="s">
        <v>47</v>
      </c>
      <c r="D79" t="s">
        <v>13</v>
      </c>
      <c r="F79" t="s">
        <v>15</v>
      </c>
      <c r="H79" t="s">
        <v>15</v>
      </c>
      <c r="K79">
        <v>25</v>
      </c>
      <c r="M79">
        <v>10</v>
      </c>
      <c r="N79">
        <v>1</v>
      </c>
      <c r="O79">
        <v>10</v>
      </c>
      <c r="Q79">
        <v>10</v>
      </c>
      <c r="R79">
        <v>1</v>
      </c>
      <c r="T79" t="s">
        <v>269</v>
      </c>
      <c r="U79" t="s">
        <v>233</v>
      </c>
      <c r="V79" t="s">
        <v>255</v>
      </c>
    </row>
    <row r="80" spans="1:23" x14ac:dyDescent="0.2">
      <c r="A80" t="s">
        <v>68</v>
      </c>
      <c r="B80" t="s">
        <v>69</v>
      </c>
      <c r="C80" t="s">
        <v>47</v>
      </c>
      <c r="D80" t="s">
        <v>13</v>
      </c>
      <c r="F80" t="s">
        <v>15</v>
      </c>
      <c r="H80" t="s">
        <v>15</v>
      </c>
      <c r="K80">
        <v>16</v>
      </c>
      <c r="M80">
        <v>10</v>
      </c>
      <c r="N80">
        <v>1</v>
      </c>
      <c r="O80">
        <v>8</v>
      </c>
      <c r="Q80">
        <v>10</v>
      </c>
      <c r="R80">
        <v>1</v>
      </c>
      <c r="T80" t="s">
        <v>270</v>
      </c>
      <c r="U80" t="s">
        <v>233</v>
      </c>
      <c r="V80" t="s">
        <v>255</v>
      </c>
    </row>
    <row r="81" spans="1:23" x14ac:dyDescent="0.2">
      <c r="A81" t="s">
        <v>70</v>
      </c>
      <c r="B81" t="s">
        <v>71</v>
      </c>
      <c r="C81" t="s">
        <v>72</v>
      </c>
      <c r="D81" t="s">
        <v>13</v>
      </c>
      <c r="F81" t="s">
        <v>15</v>
      </c>
      <c r="H81" t="s">
        <v>15</v>
      </c>
      <c r="K81">
        <v>11.07</v>
      </c>
      <c r="M81">
        <v>4</v>
      </c>
      <c r="N81">
        <f>11.48-11.07</f>
        <v>0.41000000000000014</v>
      </c>
      <c r="O81">
        <v>5.66</v>
      </c>
      <c r="Q81">
        <v>4</v>
      </c>
      <c r="R81">
        <f>6.39-5.66</f>
        <v>0.72999999999999954</v>
      </c>
      <c r="S81" t="s">
        <v>195</v>
      </c>
      <c r="T81" t="s">
        <v>269</v>
      </c>
      <c r="U81" t="s">
        <v>208</v>
      </c>
      <c r="V81" t="s">
        <v>255</v>
      </c>
      <c r="W81" t="s">
        <v>258</v>
      </c>
    </row>
    <row r="82" spans="1:23" x14ac:dyDescent="0.2">
      <c r="A82" t="s">
        <v>70</v>
      </c>
      <c r="B82" t="s">
        <v>71</v>
      </c>
      <c r="C82" t="s">
        <v>72</v>
      </c>
      <c r="D82" t="s">
        <v>13</v>
      </c>
      <c r="G82" t="s">
        <v>15</v>
      </c>
      <c r="H82" t="s">
        <v>15</v>
      </c>
      <c r="K82">
        <v>2.21</v>
      </c>
      <c r="M82">
        <v>4</v>
      </c>
      <c r="N82">
        <f>2.46-2.21</f>
        <v>0.25</v>
      </c>
      <c r="O82">
        <v>1.72</v>
      </c>
      <c r="Q82">
        <v>4</v>
      </c>
      <c r="R82">
        <f>1.97-1.72</f>
        <v>0.25</v>
      </c>
      <c r="S82" t="s">
        <v>195</v>
      </c>
      <c r="T82" t="s">
        <v>269</v>
      </c>
      <c r="U82" t="s">
        <v>208</v>
      </c>
      <c r="V82" t="s">
        <v>255</v>
      </c>
      <c r="W82" t="s">
        <v>258</v>
      </c>
    </row>
    <row r="83" spans="1:23" x14ac:dyDescent="0.2">
      <c r="A83" t="s">
        <v>70</v>
      </c>
      <c r="B83" t="s">
        <v>71</v>
      </c>
      <c r="C83" t="s">
        <v>72</v>
      </c>
      <c r="D83" t="s">
        <v>13</v>
      </c>
      <c r="E83" t="s">
        <v>15</v>
      </c>
      <c r="H83" t="s">
        <v>15</v>
      </c>
      <c r="K83">
        <v>7.62</v>
      </c>
      <c r="M83">
        <v>4</v>
      </c>
      <c r="N83">
        <f>8.85-7.62</f>
        <v>1.2299999999999995</v>
      </c>
      <c r="O83">
        <v>4.18</v>
      </c>
      <c r="Q83">
        <v>4</v>
      </c>
      <c r="R83">
        <f>4.67-4.18</f>
        <v>0.49000000000000021</v>
      </c>
      <c r="S83" t="s">
        <v>195</v>
      </c>
      <c r="T83" t="s">
        <v>269</v>
      </c>
      <c r="U83" t="s">
        <v>208</v>
      </c>
      <c r="V83" t="s">
        <v>255</v>
      </c>
      <c r="W83" t="s">
        <v>258</v>
      </c>
    </row>
    <row r="84" spans="1:23" x14ac:dyDescent="0.2">
      <c r="A84" t="s">
        <v>70</v>
      </c>
      <c r="B84" t="s">
        <v>71</v>
      </c>
      <c r="C84" t="s">
        <v>72</v>
      </c>
      <c r="D84" t="s">
        <v>13</v>
      </c>
      <c r="F84" t="s">
        <v>15</v>
      </c>
      <c r="H84" t="s">
        <v>15</v>
      </c>
      <c r="K84">
        <v>10.57</v>
      </c>
      <c r="M84">
        <v>4</v>
      </c>
      <c r="N84">
        <f>11.31-10.57</f>
        <v>0.74000000000000021</v>
      </c>
      <c r="O84">
        <v>5.9</v>
      </c>
      <c r="Q84">
        <v>4</v>
      </c>
      <c r="R84">
        <f>6.39-5.9</f>
        <v>0.48999999999999932</v>
      </c>
      <c r="S84" t="s">
        <v>195</v>
      </c>
      <c r="T84" t="s">
        <v>270</v>
      </c>
      <c r="U84" t="s">
        <v>208</v>
      </c>
      <c r="V84" t="s">
        <v>255</v>
      </c>
      <c r="W84" t="s">
        <v>258</v>
      </c>
    </row>
    <row r="85" spans="1:23" x14ac:dyDescent="0.2">
      <c r="A85" t="s">
        <v>70</v>
      </c>
      <c r="B85" t="s">
        <v>71</v>
      </c>
      <c r="C85" t="s">
        <v>72</v>
      </c>
      <c r="D85" t="s">
        <v>13</v>
      </c>
      <c r="G85" t="s">
        <v>15</v>
      </c>
      <c r="H85" t="s">
        <v>15</v>
      </c>
      <c r="K85">
        <v>2.7</v>
      </c>
      <c r="M85">
        <v>4</v>
      </c>
      <c r="N85">
        <f>3.44-2.7</f>
        <v>0.73999999999999977</v>
      </c>
      <c r="O85">
        <v>0.98</v>
      </c>
      <c r="Q85">
        <v>4</v>
      </c>
      <c r="R85">
        <f>1.56-0.98</f>
        <v>0.58000000000000007</v>
      </c>
      <c r="S85" t="s">
        <v>195</v>
      </c>
      <c r="T85" t="s">
        <v>270</v>
      </c>
      <c r="U85" t="s">
        <v>208</v>
      </c>
      <c r="V85" t="s">
        <v>255</v>
      </c>
      <c r="W85" t="s">
        <v>258</v>
      </c>
    </row>
    <row r="86" spans="1:23" x14ac:dyDescent="0.2">
      <c r="A86" t="s">
        <v>70</v>
      </c>
      <c r="B86" t="s">
        <v>71</v>
      </c>
      <c r="C86" t="s">
        <v>72</v>
      </c>
      <c r="D86" t="s">
        <v>13</v>
      </c>
      <c r="E86" t="s">
        <v>15</v>
      </c>
      <c r="H86" t="s">
        <v>15</v>
      </c>
      <c r="K86">
        <v>2.87</v>
      </c>
      <c r="M86">
        <v>4</v>
      </c>
      <c r="N86">
        <f>3.44-2.87</f>
        <v>0.56999999999999984</v>
      </c>
      <c r="O86">
        <v>2.13</v>
      </c>
      <c r="Q86">
        <v>4</v>
      </c>
      <c r="R86">
        <f>2.7-2.13</f>
        <v>0.57000000000000028</v>
      </c>
      <c r="S86" t="s">
        <v>195</v>
      </c>
      <c r="T86" t="s">
        <v>270</v>
      </c>
      <c r="U86" t="s">
        <v>208</v>
      </c>
      <c r="V86" t="s">
        <v>255</v>
      </c>
      <c r="W86" t="s">
        <v>258</v>
      </c>
    </row>
    <row r="87" spans="1:23" x14ac:dyDescent="0.2">
      <c r="A87" t="s">
        <v>70</v>
      </c>
      <c r="B87" t="s">
        <v>71</v>
      </c>
      <c r="C87" t="s">
        <v>72</v>
      </c>
      <c r="D87" t="s">
        <v>13</v>
      </c>
      <c r="F87" t="s">
        <v>15</v>
      </c>
      <c r="H87" t="s">
        <v>15</v>
      </c>
      <c r="K87">
        <v>9.4</v>
      </c>
      <c r="M87">
        <v>4</v>
      </c>
      <c r="N87">
        <f>10.96-9.4</f>
        <v>1.5600000000000005</v>
      </c>
      <c r="O87">
        <v>5.1100000000000003</v>
      </c>
      <c r="Q87">
        <v>4</v>
      </c>
      <c r="R87">
        <f>5.52-5.11</f>
        <v>0.40999999999999925</v>
      </c>
      <c r="S87" t="s">
        <v>198</v>
      </c>
      <c r="T87" t="s">
        <v>270</v>
      </c>
      <c r="U87" t="s">
        <v>208</v>
      </c>
      <c r="V87" t="s">
        <v>255</v>
      </c>
      <c r="W87" t="s">
        <v>258</v>
      </c>
    </row>
    <row r="88" spans="1:23" x14ac:dyDescent="0.2">
      <c r="A88" t="s">
        <v>70</v>
      </c>
      <c r="B88" t="s">
        <v>71</v>
      </c>
      <c r="C88" t="s">
        <v>72</v>
      </c>
      <c r="D88" t="s">
        <v>13</v>
      </c>
      <c r="G88" t="s">
        <v>15</v>
      </c>
      <c r="H88" t="s">
        <v>15</v>
      </c>
      <c r="K88">
        <v>1.98</v>
      </c>
      <c r="M88">
        <v>4</v>
      </c>
      <c r="N88">
        <f>2.39-1.98</f>
        <v>0.41000000000000014</v>
      </c>
      <c r="O88">
        <v>2.39</v>
      </c>
      <c r="Q88">
        <v>4</v>
      </c>
      <c r="R88">
        <f>3.46-2.39</f>
        <v>1.0699999999999998</v>
      </c>
      <c r="S88" t="s">
        <v>198</v>
      </c>
      <c r="T88" t="s">
        <v>269</v>
      </c>
      <c r="U88" t="s">
        <v>208</v>
      </c>
      <c r="V88" t="s">
        <v>255</v>
      </c>
      <c r="W88" t="s">
        <v>258</v>
      </c>
    </row>
    <row r="89" spans="1:23" x14ac:dyDescent="0.2">
      <c r="A89" t="s">
        <v>70</v>
      </c>
      <c r="B89" t="s">
        <v>71</v>
      </c>
      <c r="C89" t="s">
        <v>72</v>
      </c>
      <c r="D89" t="s">
        <v>13</v>
      </c>
      <c r="E89" t="s">
        <v>15</v>
      </c>
      <c r="H89" t="s">
        <v>15</v>
      </c>
      <c r="K89">
        <v>5.93</v>
      </c>
      <c r="M89">
        <v>4</v>
      </c>
      <c r="N89">
        <f>6.76+5.93</f>
        <v>12.69</v>
      </c>
      <c r="O89">
        <v>4.2</v>
      </c>
      <c r="Q89">
        <v>4</v>
      </c>
      <c r="R89">
        <f>4.95-4.2</f>
        <v>0.75</v>
      </c>
      <c r="S89" t="s">
        <v>198</v>
      </c>
      <c r="T89" t="s">
        <v>269</v>
      </c>
      <c r="U89" t="s">
        <v>208</v>
      </c>
      <c r="V89" t="s">
        <v>255</v>
      </c>
      <c r="W89" t="s">
        <v>258</v>
      </c>
    </row>
    <row r="90" spans="1:23" x14ac:dyDescent="0.2">
      <c r="A90" t="s">
        <v>70</v>
      </c>
      <c r="B90" t="s">
        <v>71</v>
      </c>
      <c r="C90" t="s">
        <v>72</v>
      </c>
      <c r="D90" t="s">
        <v>13</v>
      </c>
      <c r="F90" t="s">
        <v>15</v>
      </c>
      <c r="H90" t="s">
        <v>15</v>
      </c>
      <c r="K90">
        <v>9.89</v>
      </c>
      <c r="M90">
        <v>4</v>
      </c>
      <c r="N90">
        <f>11.04-9.89</f>
        <v>1.1499999999999986</v>
      </c>
      <c r="O90">
        <v>5.36</v>
      </c>
      <c r="Q90">
        <v>4</v>
      </c>
      <c r="R90">
        <f>5.77-5.36</f>
        <v>0.40999999999999925</v>
      </c>
      <c r="S90" t="s">
        <v>198</v>
      </c>
      <c r="T90" t="s">
        <v>269</v>
      </c>
      <c r="U90" t="s">
        <v>208</v>
      </c>
      <c r="V90" t="s">
        <v>255</v>
      </c>
      <c r="W90" t="s">
        <v>258</v>
      </c>
    </row>
    <row r="91" spans="1:23" x14ac:dyDescent="0.2">
      <c r="A91" t="s">
        <v>70</v>
      </c>
      <c r="B91" t="s">
        <v>71</v>
      </c>
      <c r="C91" t="s">
        <v>72</v>
      </c>
      <c r="D91" t="s">
        <v>13</v>
      </c>
      <c r="G91" t="s">
        <v>15</v>
      </c>
      <c r="H91" t="s">
        <v>15</v>
      </c>
      <c r="K91">
        <v>0.33</v>
      </c>
      <c r="M91">
        <v>4</v>
      </c>
      <c r="N91">
        <f>0.74-0.33</f>
        <v>0.41</v>
      </c>
      <c r="O91">
        <v>0</v>
      </c>
      <c r="Q91">
        <v>4</v>
      </c>
      <c r="R91">
        <v>0</v>
      </c>
      <c r="S91" t="s">
        <v>198</v>
      </c>
      <c r="T91" t="s">
        <v>270</v>
      </c>
      <c r="U91" t="s">
        <v>208</v>
      </c>
      <c r="V91" t="s">
        <v>255</v>
      </c>
      <c r="W91" t="s">
        <v>258</v>
      </c>
    </row>
    <row r="92" spans="1:23" x14ac:dyDescent="0.2">
      <c r="A92" t="s">
        <v>70</v>
      </c>
      <c r="B92" t="s">
        <v>71</v>
      </c>
      <c r="C92" t="s">
        <v>72</v>
      </c>
      <c r="D92" t="s">
        <v>13</v>
      </c>
      <c r="E92" t="s">
        <v>15</v>
      </c>
      <c r="H92" t="s">
        <v>15</v>
      </c>
      <c r="K92">
        <v>4.04</v>
      </c>
      <c r="M92">
        <v>4</v>
      </c>
      <c r="N92">
        <f>4.37-4.04</f>
        <v>0.33000000000000007</v>
      </c>
      <c r="O92">
        <v>0.33</v>
      </c>
      <c r="Q92">
        <v>4</v>
      </c>
      <c r="R92">
        <f>0.74-0.33</f>
        <v>0.41</v>
      </c>
      <c r="S92" t="s">
        <v>198</v>
      </c>
      <c r="T92" t="s">
        <v>270</v>
      </c>
      <c r="U92" t="s">
        <v>208</v>
      </c>
      <c r="V92" t="s">
        <v>255</v>
      </c>
      <c r="W92" t="s">
        <v>258</v>
      </c>
    </row>
    <row r="93" spans="1:23" x14ac:dyDescent="0.2">
      <c r="A93" t="s">
        <v>70</v>
      </c>
      <c r="B93" t="s">
        <v>71</v>
      </c>
      <c r="C93" t="s">
        <v>72</v>
      </c>
      <c r="D93" t="s">
        <v>13</v>
      </c>
      <c r="F93" t="s">
        <v>15</v>
      </c>
      <c r="H93" t="s">
        <v>15</v>
      </c>
      <c r="K93">
        <v>10.66</v>
      </c>
      <c r="M93">
        <v>4</v>
      </c>
      <c r="N93">
        <f>11.8-10.66</f>
        <v>1.1400000000000006</v>
      </c>
      <c r="O93">
        <v>7.46</v>
      </c>
      <c r="Q93">
        <v>4</v>
      </c>
      <c r="R93">
        <f>8.69-7.46</f>
        <v>1.2299999999999995</v>
      </c>
      <c r="S93" t="s">
        <v>199</v>
      </c>
      <c r="T93" t="s">
        <v>270</v>
      </c>
      <c r="U93" t="s">
        <v>208</v>
      </c>
      <c r="V93" t="s">
        <v>255</v>
      </c>
      <c r="W93" t="s">
        <v>258</v>
      </c>
    </row>
    <row r="94" spans="1:23" x14ac:dyDescent="0.2">
      <c r="A94" t="s">
        <v>70</v>
      </c>
      <c r="B94" t="s">
        <v>71</v>
      </c>
      <c r="C94" t="s">
        <v>72</v>
      </c>
      <c r="D94" t="s">
        <v>13</v>
      </c>
      <c r="G94" t="s">
        <v>15</v>
      </c>
      <c r="H94" t="s">
        <v>15</v>
      </c>
      <c r="K94">
        <v>2.7</v>
      </c>
      <c r="M94">
        <v>4</v>
      </c>
      <c r="N94">
        <f>3.52-2.7</f>
        <v>0.81999999999999984</v>
      </c>
      <c r="O94">
        <v>2.46</v>
      </c>
      <c r="Q94">
        <v>4</v>
      </c>
      <c r="R94">
        <f>2.79-2.46</f>
        <v>0.33000000000000007</v>
      </c>
      <c r="S94" t="s">
        <v>199</v>
      </c>
      <c r="T94" t="s">
        <v>270</v>
      </c>
      <c r="U94" t="s">
        <v>208</v>
      </c>
      <c r="V94" t="s">
        <v>255</v>
      </c>
      <c r="W94" t="s">
        <v>258</v>
      </c>
    </row>
    <row r="95" spans="1:23" x14ac:dyDescent="0.2">
      <c r="A95" t="s">
        <v>70</v>
      </c>
      <c r="B95" t="s">
        <v>71</v>
      </c>
      <c r="C95" t="s">
        <v>72</v>
      </c>
      <c r="D95" t="s">
        <v>13</v>
      </c>
      <c r="E95" t="s">
        <v>15</v>
      </c>
      <c r="H95" t="s">
        <v>15</v>
      </c>
      <c r="K95">
        <v>6.64</v>
      </c>
      <c r="M95">
        <v>4</v>
      </c>
      <c r="N95">
        <f>7.7-6.64</f>
        <v>1.0600000000000005</v>
      </c>
      <c r="O95">
        <v>3.69</v>
      </c>
      <c r="Q95">
        <v>4</v>
      </c>
      <c r="R95">
        <f>4.34-3.69</f>
        <v>0.64999999999999991</v>
      </c>
      <c r="S95" t="s">
        <v>199</v>
      </c>
      <c r="T95" t="s">
        <v>269</v>
      </c>
      <c r="U95" t="s">
        <v>208</v>
      </c>
      <c r="V95" t="s">
        <v>255</v>
      </c>
      <c r="W95" t="s">
        <v>258</v>
      </c>
    </row>
    <row r="96" spans="1:23" x14ac:dyDescent="0.2">
      <c r="A96" t="s">
        <v>70</v>
      </c>
      <c r="B96" t="s">
        <v>71</v>
      </c>
      <c r="C96" t="s">
        <v>72</v>
      </c>
      <c r="D96" t="s">
        <v>13</v>
      </c>
      <c r="F96" t="s">
        <v>15</v>
      </c>
      <c r="H96" t="s">
        <v>15</v>
      </c>
      <c r="K96">
        <v>11.39</v>
      </c>
      <c r="M96">
        <v>4</v>
      </c>
      <c r="N96">
        <f>12.05-11.39</f>
        <v>0.66000000000000014</v>
      </c>
      <c r="O96">
        <v>5.41</v>
      </c>
      <c r="Q96">
        <v>4</v>
      </c>
      <c r="R96">
        <f>6.56-5.41</f>
        <v>1.1499999999999995</v>
      </c>
      <c r="S96" t="s">
        <v>199</v>
      </c>
      <c r="T96" t="s">
        <v>269</v>
      </c>
      <c r="U96" t="s">
        <v>208</v>
      </c>
      <c r="V96" t="s">
        <v>255</v>
      </c>
      <c r="W96" t="s">
        <v>258</v>
      </c>
    </row>
    <row r="97" spans="1:23" x14ac:dyDescent="0.2">
      <c r="A97" t="s">
        <v>70</v>
      </c>
      <c r="B97" t="s">
        <v>71</v>
      </c>
      <c r="C97" t="s">
        <v>72</v>
      </c>
      <c r="D97" t="s">
        <v>13</v>
      </c>
      <c r="G97" t="s">
        <v>15</v>
      </c>
      <c r="H97" t="s">
        <v>15</v>
      </c>
      <c r="K97">
        <v>3.93</v>
      </c>
      <c r="M97">
        <v>4</v>
      </c>
      <c r="N97">
        <f>4.34-3.93</f>
        <v>0.4099999999999997</v>
      </c>
      <c r="O97">
        <v>1.97</v>
      </c>
      <c r="Q97">
        <v>4</v>
      </c>
      <c r="R97">
        <v>0</v>
      </c>
      <c r="S97" t="s">
        <v>199</v>
      </c>
      <c r="T97" t="s">
        <v>269</v>
      </c>
      <c r="U97" t="s">
        <v>208</v>
      </c>
      <c r="V97" t="s">
        <v>255</v>
      </c>
      <c r="W97" t="s">
        <v>258</v>
      </c>
    </row>
    <row r="98" spans="1:23" x14ac:dyDescent="0.2">
      <c r="A98" t="s">
        <v>70</v>
      </c>
      <c r="B98" t="s">
        <v>71</v>
      </c>
      <c r="C98" t="s">
        <v>72</v>
      </c>
      <c r="D98" t="s">
        <v>13</v>
      </c>
      <c r="E98" t="s">
        <v>15</v>
      </c>
      <c r="H98" t="s">
        <v>15</v>
      </c>
      <c r="K98">
        <v>2.38</v>
      </c>
      <c r="M98">
        <v>4</v>
      </c>
      <c r="N98">
        <f>2.87-2.38</f>
        <v>0.49000000000000021</v>
      </c>
      <c r="P98">
        <v>2.46</v>
      </c>
      <c r="Q98">
        <v>4</v>
      </c>
      <c r="R98">
        <f>2.79-2.46</f>
        <v>0.33000000000000007</v>
      </c>
      <c r="S98" t="s">
        <v>199</v>
      </c>
      <c r="T98" t="s">
        <v>270</v>
      </c>
      <c r="U98" t="s">
        <v>208</v>
      </c>
      <c r="V98" t="s">
        <v>255</v>
      </c>
      <c r="W98" t="s">
        <v>258</v>
      </c>
    </row>
    <row r="99" spans="1:23" x14ac:dyDescent="0.2">
      <c r="A99" t="s">
        <v>73</v>
      </c>
      <c r="B99" t="s">
        <v>44</v>
      </c>
      <c r="C99" t="s">
        <v>12</v>
      </c>
      <c r="D99" t="s">
        <v>13</v>
      </c>
      <c r="F99" t="s">
        <v>15</v>
      </c>
      <c r="H99" t="s">
        <v>15</v>
      </c>
      <c r="K99">
        <v>2.6</v>
      </c>
      <c r="M99">
        <v>10</v>
      </c>
      <c r="N99">
        <f>3-2.6</f>
        <v>0.39999999999999991</v>
      </c>
      <c r="O99">
        <v>1.6</v>
      </c>
      <c r="Q99">
        <v>10</v>
      </c>
      <c r="R99">
        <f>1.9-1.6</f>
        <v>0.29999999999999982</v>
      </c>
      <c r="U99" t="s">
        <v>218</v>
      </c>
      <c r="W99" t="s">
        <v>234</v>
      </c>
    </row>
    <row r="100" spans="1:23" x14ac:dyDescent="0.2">
      <c r="A100" t="s">
        <v>74</v>
      </c>
      <c r="B100" t="s">
        <v>14</v>
      </c>
      <c r="C100" t="s">
        <v>23</v>
      </c>
      <c r="D100" t="s">
        <v>13</v>
      </c>
      <c r="E100" t="s">
        <v>15</v>
      </c>
      <c r="H100" t="s">
        <v>15</v>
      </c>
      <c r="K100">
        <v>7.48</v>
      </c>
      <c r="M100">
        <v>4</v>
      </c>
      <c r="N100">
        <f>9.12-7.48</f>
        <v>1.6399999999999988</v>
      </c>
      <c r="O100">
        <v>5.2</v>
      </c>
      <c r="Q100">
        <v>4</v>
      </c>
      <c r="R100">
        <f>6.06-5.2</f>
        <v>0.85999999999999943</v>
      </c>
      <c r="U100" t="s">
        <v>263</v>
      </c>
      <c r="W100" t="s">
        <v>235</v>
      </c>
    </row>
    <row r="101" spans="1:23" x14ac:dyDescent="0.2">
      <c r="A101" t="s">
        <v>75</v>
      </c>
      <c r="B101" t="s">
        <v>76</v>
      </c>
      <c r="C101" t="s">
        <v>20</v>
      </c>
      <c r="D101" t="s">
        <v>13</v>
      </c>
      <c r="E101" t="s">
        <v>15</v>
      </c>
      <c r="J101" t="s">
        <v>15</v>
      </c>
      <c r="K101" t="s">
        <v>14</v>
      </c>
      <c r="L101" t="s">
        <v>14</v>
      </c>
      <c r="M101" t="s">
        <v>14</v>
      </c>
      <c r="N101" t="s">
        <v>14</v>
      </c>
      <c r="O101" t="s">
        <v>14</v>
      </c>
      <c r="P101" t="s">
        <v>14</v>
      </c>
      <c r="Q101" t="s">
        <v>14</v>
      </c>
      <c r="R101" t="s">
        <v>14</v>
      </c>
      <c r="W101" t="s">
        <v>264</v>
      </c>
    </row>
    <row r="102" spans="1:23" x14ac:dyDescent="0.2">
      <c r="A102" t="s">
        <v>75</v>
      </c>
      <c r="B102" t="s">
        <v>77</v>
      </c>
      <c r="C102" t="s">
        <v>18</v>
      </c>
      <c r="D102" t="s">
        <v>13</v>
      </c>
      <c r="E102" t="s">
        <v>15</v>
      </c>
      <c r="J102" t="s">
        <v>15</v>
      </c>
      <c r="K102" t="s">
        <v>14</v>
      </c>
      <c r="L102" t="s">
        <v>14</v>
      </c>
      <c r="M102" t="s">
        <v>14</v>
      </c>
      <c r="N102" t="s">
        <v>14</v>
      </c>
      <c r="O102" t="s">
        <v>14</v>
      </c>
      <c r="P102" t="s">
        <v>14</v>
      </c>
      <c r="Q102" t="s">
        <v>14</v>
      </c>
      <c r="R102" t="s">
        <v>14</v>
      </c>
      <c r="W102" t="s">
        <v>264</v>
      </c>
    </row>
    <row r="103" spans="1:23" x14ac:dyDescent="0.2">
      <c r="A103" t="s">
        <v>75</v>
      </c>
      <c r="B103" t="s">
        <v>14</v>
      </c>
      <c r="C103" t="s">
        <v>78</v>
      </c>
      <c r="D103" t="s">
        <v>13</v>
      </c>
      <c r="E103" t="s">
        <v>15</v>
      </c>
      <c r="J103" t="s">
        <v>15</v>
      </c>
      <c r="K103" t="s">
        <v>14</v>
      </c>
      <c r="L103" t="s">
        <v>14</v>
      </c>
      <c r="M103" t="s">
        <v>14</v>
      </c>
      <c r="N103" t="s">
        <v>14</v>
      </c>
      <c r="O103" t="s">
        <v>14</v>
      </c>
      <c r="P103" t="s">
        <v>14</v>
      </c>
      <c r="Q103" t="s">
        <v>14</v>
      </c>
      <c r="R103" t="s">
        <v>14</v>
      </c>
      <c r="W103" t="s">
        <v>264</v>
      </c>
    </row>
    <row r="104" spans="1:23" x14ac:dyDescent="0.2">
      <c r="A104" t="s">
        <v>79</v>
      </c>
      <c r="B104" t="s">
        <v>80</v>
      </c>
      <c r="C104" t="s">
        <v>57</v>
      </c>
      <c r="D104" t="s">
        <v>13</v>
      </c>
      <c r="E104" t="s">
        <v>15</v>
      </c>
      <c r="H104" t="s">
        <v>15</v>
      </c>
      <c r="K104">
        <v>4.3E-3</v>
      </c>
      <c r="M104">
        <v>8</v>
      </c>
      <c r="N104">
        <f>0.00464-0.0043</f>
        <v>3.4000000000000002E-4</v>
      </c>
      <c r="O104">
        <v>3.3E-3</v>
      </c>
      <c r="Q104">
        <v>8</v>
      </c>
      <c r="R104">
        <f>0.0039-0.0033</f>
        <v>5.9999999999999984E-4</v>
      </c>
      <c r="U104" t="s">
        <v>221</v>
      </c>
      <c r="W104" t="s">
        <v>236</v>
      </c>
    </row>
    <row r="105" spans="1:23" x14ac:dyDescent="0.2">
      <c r="A105" t="s">
        <v>79</v>
      </c>
      <c r="B105" t="s">
        <v>80</v>
      </c>
      <c r="C105" t="s">
        <v>57</v>
      </c>
      <c r="D105" t="s">
        <v>13</v>
      </c>
      <c r="E105" t="s">
        <v>15</v>
      </c>
      <c r="H105" t="s">
        <v>15</v>
      </c>
      <c r="K105">
        <v>3.0000000000000001E-3</v>
      </c>
      <c r="M105">
        <v>8</v>
      </c>
      <c r="N105">
        <f>0.0036-0.003</f>
        <v>5.9999999999999984E-4</v>
      </c>
      <c r="O105">
        <v>1.6000000000000001E-3</v>
      </c>
      <c r="Q105">
        <v>8</v>
      </c>
      <c r="R105">
        <f>0.002-0.0016</f>
        <v>3.9999999999999996E-4</v>
      </c>
      <c r="U105" t="s">
        <v>221</v>
      </c>
      <c r="W105" t="s">
        <v>236</v>
      </c>
    </row>
    <row r="106" spans="1:23" x14ac:dyDescent="0.2">
      <c r="A106" t="s">
        <v>79</v>
      </c>
      <c r="B106" t="s">
        <v>80</v>
      </c>
      <c r="C106" t="s">
        <v>57</v>
      </c>
      <c r="D106" t="s">
        <v>13</v>
      </c>
      <c r="E106" t="s">
        <v>15</v>
      </c>
      <c r="H106" t="s">
        <v>15</v>
      </c>
      <c r="K106">
        <v>6.0000000000000001E-3</v>
      </c>
      <c r="M106">
        <v>8</v>
      </c>
      <c r="N106">
        <f>0.0065-0.006</f>
        <v>4.9999999999999958E-4</v>
      </c>
      <c r="O106">
        <v>6.7999999999999996E-3</v>
      </c>
      <c r="Q106">
        <v>8</v>
      </c>
      <c r="R106">
        <f>0.0081-0.0068</f>
        <v>1.2999999999999999E-3</v>
      </c>
      <c r="U106" t="s">
        <v>221</v>
      </c>
      <c r="W106" t="s">
        <v>236</v>
      </c>
    </row>
    <row r="107" spans="1:23" x14ac:dyDescent="0.2">
      <c r="A107" t="s">
        <v>79</v>
      </c>
      <c r="B107" t="s">
        <v>80</v>
      </c>
      <c r="C107" t="s">
        <v>57</v>
      </c>
      <c r="D107" t="s">
        <v>13</v>
      </c>
      <c r="E107" t="s">
        <v>15</v>
      </c>
      <c r="H107" t="s">
        <v>15</v>
      </c>
      <c r="K107">
        <v>6.4999999999999997E-3</v>
      </c>
      <c r="M107">
        <v>8</v>
      </c>
      <c r="N107">
        <f>0.0069-0.0065</f>
        <v>4.0000000000000018E-4</v>
      </c>
      <c r="O107">
        <v>9.4999999999999998E-3</v>
      </c>
      <c r="Q107">
        <v>8</v>
      </c>
      <c r="R107">
        <f>0.011-0.0095</f>
        <v>1.4999999999999996E-3</v>
      </c>
      <c r="U107" t="s">
        <v>221</v>
      </c>
      <c r="W107" t="s">
        <v>236</v>
      </c>
    </row>
    <row r="108" spans="1:23" x14ac:dyDescent="0.2">
      <c r="A108" t="s">
        <v>81</v>
      </c>
      <c r="B108" t="s">
        <v>82</v>
      </c>
      <c r="C108" t="s">
        <v>12</v>
      </c>
      <c r="D108" t="s">
        <v>13</v>
      </c>
      <c r="E108" t="s">
        <v>15</v>
      </c>
      <c r="J108" t="s">
        <v>15</v>
      </c>
      <c r="K108">
        <v>5.3658536585365804</v>
      </c>
      <c r="M108">
        <v>5</v>
      </c>
      <c r="N108">
        <v>1.3775971093044292</v>
      </c>
      <c r="O108">
        <v>1.3008130081300799</v>
      </c>
      <c r="Q108">
        <v>5</v>
      </c>
      <c r="R108">
        <v>0.30487804878048008</v>
      </c>
      <c r="S108" t="s">
        <v>195</v>
      </c>
      <c r="T108" t="s">
        <v>269</v>
      </c>
      <c r="U108" t="s">
        <v>208</v>
      </c>
      <c r="V108" t="s">
        <v>255</v>
      </c>
      <c r="W108" t="s">
        <v>258</v>
      </c>
    </row>
    <row r="109" spans="1:23" x14ac:dyDescent="0.2">
      <c r="A109" t="s">
        <v>81</v>
      </c>
      <c r="B109" t="s">
        <v>82</v>
      </c>
      <c r="C109" t="s">
        <v>12</v>
      </c>
      <c r="D109" t="s">
        <v>13</v>
      </c>
      <c r="E109" t="s">
        <v>15</v>
      </c>
      <c r="J109" t="s">
        <v>15</v>
      </c>
      <c r="K109">
        <v>5.1219512195121899</v>
      </c>
      <c r="M109">
        <v>5</v>
      </c>
      <c r="N109">
        <v>0.7181571815718204</v>
      </c>
      <c r="O109">
        <v>1.7073170731707299</v>
      </c>
      <c r="Q109">
        <v>5</v>
      </c>
      <c r="R109">
        <v>0.23712737127371009</v>
      </c>
      <c r="S109" t="s">
        <v>198</v>
      </c>
      <c r="T109" t="s">
        <v>269</v>
      </c>
      <c r="U109" t="s">
        <v>208</v>
      </c>
      <c r="V109" t="s">
        <v>255</v>
      </c>
      <c r="W109" t="s">
        <v>258</v>
      </c>
    </row>
    <row r="110" spans="1:23" x14ac:dyDescent="0.2">
      <c r="A110" t="s">
        <v>81</v>
      </c>
      <c r="B110" t="s">
        <v>82</v>
      </c>
      <c r="C110" t="s">
        <v>12</v>
      </c>
      <c r="D110" t="s">
        <v>13</v>
      </c>
      <c r="E110" t="s">
        <v>15</v>
      </c>
      <c r="J110" t="s">
        <v>15</v>
      </c>
      <c r="K110">
        <v>3.5772357723577199</v>
      </c>
      <c r="M110">
        <v>5</v>
      </c>
      <c r="N110">
        <v>0.73848238482385042</v>
      </c>
      <c r="O110">
        <v>1.7073170731707299</v>
      </c>
      <c r="Q110">
        <v>5</v>
      </c>
      <c r="R110">
        <v>0.57588075880758027</v>
      </c>
      <c r="S110" t="s">
        <v>199</v>
      </c>
      <c r="T110" t="s">
        <v>269</v>
      </c>
      <c r="U110" t="s">
        <v>208</v>
      </c>
      <c r="V110" t="s">
        <v>255</v>
      </c>
      <c r="W110" t="s">
        <v>258</v>
      </c>
    </row>
    <row r="111" spans="1:23" x14ac:dyDescent="0.2">
      <c r="A111" t="s">
        <v>81</v>
      </c>
      <c r="B111" t="s">
        <v>82</v>
      </c>
      <c r="C111" t="s">
        <v>12</v>
      </c>
      <c r="D111" t="s">
        <v>13</v>
      </c>
      <c r="E111" t="s">
        <v>15</v>
      </c>
      <c r="J111" t="s">
        <v>15</v>
      </c>
      <c r="K111">
        <v>3.7398373983739801</v>
      </c>
      <c r="M111">
        <v>5</v>
      </c>
      <c r="N111">
        <v>0.40650406504064973</v>
      </c>
      <c r="O111">
        <v>2.76422764227642</v>
      </c>
      <c r="Q111">
        <v>5</v>
      </c>
      <c r="R111">
        <v>0.81752484191508001</v>
      </c>
      <c r="S111" t="s">
        <v>200</v>
      </c>
      <c r="T111" t="s">
        <v>269</v>
      </c>
      <c r="U111" t="s">
        <v>208</v>
      </c>
      <c r="V111" t="s">
        <v>255</v>
      </c>
      <c r="W111" t="s">
        <v>258</v>
      </c>
    </row>
    <row r="112" spans="1:23" x14ac:dyDescent="0.2">
      <c r="A112" t="s">
        <v>81</v>
      </c>
      <c r="B112" t="s">
        <v>82</v>
      </c>
      <c r="C112" t="s">
        <v>12</v>
      </c>
      <c r="D112" t="s">
        <v>13</v>
      </c>
      <c r="E112" t="s">
        <v>15</v>
      </c>
      <c r="J112" t="s">
        <v>15</v>
      </c>
      <c r="K112">
        <v>4.9593495934959302</v>
      </c>
      <c r="M112">
        <v>5</v>
      </c>
      <c r="N112">
        <v>0.71138211382113958</v>
      </c>
      <c r="O112">
        <v>2.76422764227642</v>
      </c>
      <c r="Q112">
        <v>5</v>
      </c>
      <c r="R112">
        <v>0.59168925022582997</v>
      </c>
      <c r="S112" t="s">
        <v>201</v>
      </c>
      <c r="T112" t="s">
        <v>269</v>
      </c>
      <c r="U112" t="s">
        <v>208</v>
      </c>
      <c r="V112" t="s">
        <v>255</v>
      </c>
      <c r="W112" t="s">
        <v>258</v>
      </c>
    </row>
    <row r="113" spans="1:23" x14ac:dyDescent="0.2">
      <c r="A113" t="s">
        <v>81</v>
      </c>
      <c r="B113" t="s">
        <v>82</v>
      </c>
      <c r="C113" t="s">
        <v>12</v>
      </c>
      <c r="D113" t="s">
        <v>13</v>
      </c>
      <c r="E113" t="s">
        <v>15</v>
      </c>
      <c r="J113" t="s">
        <v>15</v>
      </c>
      <c r="K113">
        <v>3.7398373983739801</v>
      </c>
      <c r="M113">
        <v>5</v>
      </c>
      <c r="N113">
        <v>0.63233965672990022</v>
      </c>
      <c r="O113">
        <v>3.4146341463414598</v>
      </c>
      <c r="Q113">
        <v>5</v>
      </c>
      <c r="R113">
        <v>0.44941282746161004</v>
      </c>
      <c r="S113" t="s">
        <v>271</v>
      </c>
      <c r="T113" t="s">
        <v>269</v>
      </c>
      <c r="U113" t="s">
        <v>208</v>
      </c>
      <c r="V113" t="s">
        <v>255</v>
      </c>
      <c r="W113" t="s">
        <v>258</v>
      </c>
    </row>
    <row r="114" spans="1:23" x14ac:dyDescent="0.2">
      <c r="A114" t="s">
        <v>81</v>
      </c>
      <c r="B114" t="s">
        <v>82</v>
      </c>
      <c r="C114" t="s">
        <v>12</v>
      </c>
      <c r="D114" t="s">
        <v>13</v>
      </c>
      <c r="E114" t="s">
        <v>15</v>
      </c>
      <c r="J114" t="s">
        <v>15</v>
      </c>
      <c r="K114">
        <v>3.9837398373983701</v>
      </c>
      <c r="M114">
        <v>5</v>
      </c>
      <c r="N114">
        <v>0.61427280939475981</v>
      </c>
      <c r="O114">
        <v>3.82113821138211</v>
      </c>
      <c r="Q114">
        <v>5</v>
      </c>
      <c r="R114">
        <v>0.72041553748871001</v>
      </c>
      <c r="S114" t="s">
        <v>272</v>
      </c>
      <c r="T114" t="s">
        <v>270</v>
      </c>
      <c r="U114" t="s">
        <v>208</v>
      </c>
      <c r="V114" t="s">
        <v>255</v>
      </c>
      <c r="W114" t="s">
        <v>258</v>
      </c>
    </row>
    <row r="115" spans="1:23" x14ac:dyDescent="0.2">
      <c r="A115" t="s">
        <v>81</v>
      </c>
      <c r="B115" t="s">
        <v>82</v>
      </c>
      <c r="C115" t="s">
        <v>12</v>
      </c>
      <c r="D115" t="s">
        <v>13</v>
      </c>
      <c r="E115" t="s">
        <v>15</v>
      </c>
      <c r="J115" t="s">
        <v>15</v>
      </c>
      <c r="K115">
        <v>3.1707317073170702</v>
      </c>
      <c r="M115">
        <v>5</v>
      </c>
      <c r="N115">
        <v>0.18518518518517979</v>
      </c>
      <c r="O115">
        <v>2.3577235772357699</v>
      </c>
      <c r="Q115">
        <v>5</v>
      </c>
      <c r="R115">
        <v>0.60298102981030022</v>
      </c>
      <c r="S115" t="s">
        <v>273</v>
      </c>
      <c r="T115" t="s">
        <v>270</v>
      </c>
      <c r="U115" t="s">
        <v>208</v>
      </c>
      <c r="V115" t="s">
        <v>255</v>
      </c>
      <c r="W115" t="s">
        <v>258</v>
      </c>
    </row>
    <row r="116" spans="1:23" x14ac:dyDescent="0.2">
      <c r="A116" t="s">
        <v>81</v>
      </c>
      <c r="B116" t="s">
        <v>82</v>
      </c>
      <c r="C116" t="s">
        <v>12</v>
      </c>
      <c r="D116" t="s">
        <v>13</v>
      </c>
      <c r="E116" t="s">
        <v>15</v>
      </c>
      <c r="J116" t="s">
        <v>15</v>
      </c>
      <c r="K116">
        <v>5.04065040650406</v>
      </c>
      <c r="M116">
        <v>5</v>
      </c>
      <c r="N116">
        <v>0.40424570912376012</v>
      </c>
      <c r="O116">
        <v>3.5772357723577199</v>
      </c>
      <c r="Q116">
        <v>5</v>
      </c>
      <c r="R116">
        <v>0.23035230352303016</v>
      </c>
      <c r="S116" t="s">
        <v>274</v>
      </c>
      <c r="T116" t="s">
        <v>270</v>
      </c>
      <c r="U116" t="s">
        <v>208</v>
      </c>
      <c r="V116" t="s">
        <v>255</v>
      </c>
      <c r="W116" t="s">
        <v>258</v>
      </c>
    </row>
    <row r="117" spans="1:23" x14ac:dyDescent="0.2">
      <c r="A117" t="s">
        <v>81</v>
      </c>
      <c r="B117" t="s">
        <v>82</v>
      </c>
      <c r="C117" t="s">
        <v>12</v>
      </c>
      <c r="D117" t="s">
        <v>13</v>
      </c>
      <c r="E117" t="s">
        <v>15</v>
      </c>
      <c r="J117" t="s">
        <v>15</v>
      </c>
      <c r="K117">
        <v>5.1219512195121899</v>
      </c>
      <c r="M117">
        <v>5</v>
      </c>
      <c r="N117">
        <v>0.43586269196025018</v>
      </c>
      <c r="O117">
        <v>3.82113821138211</v>
      </c>
      <c r="Q117">
        <v>5</v>
      </c>
      <c r="R117">
        <v>0.60749774164408032</v>
      </c>
      <c r="S117" t="s">
        <v>275</v>
      </c>
      <c r="T117" t="s">
        <v>270</v>
      </c>
      <c r="U117" t="s">
        <v>208</v>
      </c>
      <c r="V117" t="s">
        <v>255</v>
      </c>
      <c r="W117" t="s">
        <v>258</v>
      </c>
    </row>
    <row r="118" spans="1:23" x14ac:dyDescent="0.2">
      <c r="A118" t="s">
        <v>81</v>
      </c>
      <c r="B118" t="s">
        <v>82</v>
      </c>
      <c r="C118" t="s">
        <v>12</v>
      </c>
      <c r="D118" t="s">
        <v>13</v>
      </c>
      <c r="E118" t="s">
        <v>15</v>
      </c>
      <c r="J118" t="s">
        <v>15</v>
      </c>
      <c r="K118">
        <v>3.82113821138211</v>
      </c>
      <c r="M118">
        <v>5</v>
      </c>
      <c r="N118">
        <v>0.55103884372177037</v>
      </c>
      <c r="O118">
        <v>4.1463414634146298</v>
      </c>
      <c r="Q118">
        <v>5</v>
      </c>
      <c r="R118">
        <v>0.4516711833785001</v>
      </c>
      <c r="S118" t="s">
        <v>276</v>
      </c>
      <c r="T118" t="s">
        <v>270</v>
      </c>
      <c r="U118" t="s">
        <v>208</v>
      </c>
      <c r="V118" t="s">
        <v>255</v>
      </c>
      <c r="W118" t="s">
        <v>258</v>
      </c>
    </row>
    <row r="119" spans="1:23" x14ac:dyDescent="0.2">
      <c r="A119" t="s">
        <v>81</v>
      </c>
      <c r="B119" t="s">
        <v>82</v>
      </c>
      <c r="C119" t="s">
        <v>12</v>
      </c>
      <c r="D119" t="s">
        <v>13</v>
      </c>
      <c r="E119" t="s">
        <v>15</v>
      </c>
      <c r="J119" t="s">
        <v>15</v>
      </c>
      <c r="K119">
        <v>3.82113821138211</v>
      </c>
      <c r="M119">
        <v>5</v>
      </c>
      <c r="N119">
        <v>0.38166214995482983</v>
      </c>
      <c r="O119">
        <v>1.13821138211382</v>
      </c>
      <c r="Q119">
        <v>5</v>
      </c>
      <c r="R119">
        <v>0.24164408310748997</v>
      </c>
      <c r="S119" t="s">
        <v>195</v>
      </c>
      <c r="T119" t="s">
        <v>270</v>
      </c>
      <c r="U119" t="s">
        <v>208</v>
      </c>
      <c r="V119" t="s">
        <v>255</v>
      </c>
      <c r="W119" t="s">
        <v>258</v>
      </c>
    </row>
    <row r="120" spans="1:23" x14ac:dyDescent="0.2">
      <c r="A120" t="s">
        <v>81</v>
      </c>
      <c r="B120" t="s">
        <v>82</v>
      </c>
      <c r="C120" t="s">
        <v>12</v>
      </c>
      <c r="D120" t="s">
        <v>13</v>
      </c>
      <c r="E120" t="s">
        <v>15</v>
      </c>
      <c r="J120" t="s">
        <v>15</v>
      </c>
      <c r="K120">
        <v>5.04065040650406</v>
      </c>
      <c r="M120">
        <v>5</v>
      </c>
      <c r="N120">
        <v>0.46070460704607008</v>
      </c>
      <c r="O120">
        <v>1.38211382113821</v>
      </c>
      <c r="Q120">
        <v>5</v>
      </c>
      <c r="R120">
        <v>0.22357723577235</v>
      </c>
      <c r="S120" t="s">
        <v>198</v>
      </c>
      <c r="T120" t="s">
        <v>270</v>
      </c>
      <c r="U120" t="s">
        <v>208</v>
      </c>
      <c r="V120" t="s">
        <v>255</v>
      </c>
      <c r="W120" t="s">
        <v>258</v>
      </c>
    </row>
    <row r="121" spans="1:23" x14ac:dyDescent="0.2">
      <c r="A121" t="s">
        <v>81</v>
      </c>
      <c r="B121" t="s">
        <v>82</v>
      </c>
      <c r="C121" t="s">
        <v>12</v>
      </c>
      <c r="D121" t="s">
        <v>13</v>
      </c>
      <c r="E121" t="s">
        <v>15</v>
      </c>
      <c r="J121" t="s">
        <v>15</v>
      </c>
      <c r="K121">
        <v>3.0081300813008101</v>
      </c>
      <c r="M121">
        <v>5</v>
      </c>
      <c r="N121">
        <v>0.57362240289069</v>
      </c>
      <c r="O121">
        <v>1.54471544715447</v>
      </c>
      <c r="Q121">
        <v>5</v>
      </c>
      <c r="R121">
        <v>0.34327009936766006</v>
      </c>
      <c r="S121" t="s">
        <v>199</v>
      </c>
      <c r="T121" t="s">
        <v>270</v>
      </c>
      <c r="U121" t="s">
        <v>208</v>
      </c>
      <c r="V121" t="s">
        <v>255</v>
      </c>
      <c r="W121" t="s">
        <v>258</v>
      </c>
    </row>
    <row r="122" spans="1:23" x14ac:dyDescent="0.2">
      <c r="A122" t="s">
        <v>81</v>
      </c>
      <c r="B122" t="s">
        <v>82</v>
      </c>
      <c r="C122" t="s">
        <v>12</v>
      </c>
      <c r="D122" t="s">
        <v>13</v>
      </c>
      <c r="E122" t="s">
        <v>15</v>
      </c>
      <c r="J122" t="s">
        <v>15</v>
      </c>
      <c r="K122">
        <v>3.4146341463414598</v>
      </c>
      <c r="M122">
        <v>5</v>
      </c>
      <c r="N122">
        <v>0.61878952122855013</v>
      </c>
      <c r="O122">
        <v>1.38211382113821</v>
      </c>
      <c r="Q122">
        <v>5</v>
      </c>
      <c r="R122">
        <v>0.28003613369466995</v>
      </c>
      <c r="S122" t="s">
        <v>200</v>
      </c>
      <c r="T122" t="s">
        <v>270</v>
      </c>
      <c r="U122" t="s">
        <v>208</v>
      </c>
      <c r="V122" t="s">
        <v>255</v>
      </c>
      <c r="W122" t="s">
        <v>258</v>
      </c>
    </row>
    <row r="123" spans="1:23" x14ac:dyDescent="0.2">
      <c r="A123" t="s">
        <v>81</v>
      </c>
      <c r="B123" t="s">
        <v>82</v>
      </c>
      <c r="C123" t="s">
        <v>12</v>
      </c>
      <c r="D123" t="s">
        <v>13</v>
      </c>
      <c r="E123" t="s">
        <v>15</v>
      </c>
      <c r="J123" t="s">
        <v>15</v>
      </c>
      <c r="K123">
        <v>3.5772357723577199</v>
      </c>
      <c r="M123">
        <v>5</v>
      </c>
      <c r="N123">
        <v>0.68202348690152981</v>
      </c>
      <c r="O123">
        <v>1.54471544715447</v>
      </c>
      <c r="Q123">
        <v>5</v>
      </c>
      <c r="R123">
        <v>0.4561878952122802</v>
      </c>
      <c r="S123" t="s">
        <v>201</v>
      </c>
      <c r="T123" t="s">
        <v>270</v>
      </c>
      <c r="U123" t="s">
        <v>208</v>
      </c>
      <c r="V123" t="s">
        <v>255</v>
      </c>
      <c r="W123" t="s">
        <v>258</v>
      </c>
    </row>
    <row r="124" spans="1:23" x14ac:dyDescent="0.2">
      <c r="A124" t="s">
        <v>81</v>
      </c>
      <c r="B124" t="s">
        <v>82</v>
      </c>
      <c r="C124" t="s">
        <v>12</v>
      </c>
      <c r="D124" t="s">
        <v>13</v>
      </c>
      <c r="E124" t="s">
        <v>15</v>
      </c>
      <c r="J124" t="s">
        <v>15</v>
      </c>
      <c r="K124">
        <v>3.6585365853658498</v>
      </c>
      <c r="M124">
        <v>5</v>
      </c>
      <c r="N124">
        <v>0.43134598012647007</v>
      </c>
      <c r="O124">
        <v>2.8455284552845499</v>
      </c>
      <c r="Q124">
        <v>5</v>
      </c>
      <c r="R124">
        <v>0.17163504968383014</v>
      </c>
      <c r="S124" t="s">
        <v>271</v>
      </c>
      <c r="T124" t="s">
        <v>270</v>
      </c>
      <c r="U124" t="s">
        <v>208</v>
      </c>
      <c r="V124" t="s">
        <v>255</v>
      </c>
      <c r="W124" t="s">
        <v>258</v>
      </c>
    </row>
    <row r="125" spans="1:23" x14ac:dyDescent="0.2">
      <c r="A125" t="s">
        <v>81</v>
      </c>
      <c r="B125" t="s">
        <v>82</v>
      </c>
      <c r="C125" t="s">
        <v>12</v>
      </c>
      <c r="D125" t="s">
        <v>13</v>
      </c>
      <c r="E125" t="s">
        <v>15</v>
      </c>
      <c r="J125" t="s">
        <v>15</v>
      </c>
      <c r="K125">
        <v>3.9837398373983701</v>
      </c>
      <c r="M125">
        <v>5</v>
      </c>
      <c r="N125">
        <v>1.2353206865401996</v>
      </c>
      <c r="O125">
        <v>2.03252032520325</v>
      </c>
      <c r="Q125">
        <v>5</v>
      </c>
      <c r="R125">
        <v>0.30713640469737991</v>
      </c>
      <c r="S125" t="s">
        <v>272</v>
      </c>
      <c r="T125" t="s">
        <v>269</v>
      </c>
      <c r="U125" t="s">
        <v>208</v>
      </c>
      <c r="V125" t="s">
        <v>255</v>
      </c>
      <c r="W125" t="s">
        <v>258</v>
      </c>
    </row>
    <row r="126" spans="1:23" x14ac:dyDescent="0.2">
      <c r="A126" t="s">
        <v>81</v>
      </c>
      <c r="B126" t="s">
        <v>82</v>
      </c>
      <c r="C126" t="s">
        <v>12</v>
      </c>
      <c r="D126" t="s">
        <v>13</v>
      </c>
      <c r="E126" t="s">
        <v>15</v>
      </c>
      <c r="J126" t="s">
        <v>15</v>
      </c>
      <c r="K126">
        <v>4.0650406504065</v>
      </c>
      <c r="M126">
        <v>5</v>
      </c>
      <c r="N126">
        <v>0.53297199638662995</v>
      </c>
      <c r="O126">
        <v>2.03252032520325</v>
      </c>
      <c r="Q126">
        <v>5</v>
      </c>
      <c r="R126">
        <v>0.36359530261968986</v>
      </c>
      <c r="S126" t="s">
        <v>273</v>
      </c>
      <c r="T126" t="s">
        <v>269</v>
      </c>
      <c r="U126" t="s">
        <v>208</v>
      </c>
      <c r="V126" t="s">
        <v>255</v>
      </c>
      <c r="W126" t="s">
        <v>258</v>
      </c>
    </row>
    <row r="127" spans="1:23" x14ac:dyDescent="0.2">
      <c r="A127" t="s">
        <v>81</v>
      </c>
      <c r="B127" t="s">
        <v>82</v>
      </c>
      <c r="C127" t="s">
        <v>12</v>
      </c>
      <c r="D127" t="s">
        <v>13</v>
      </c>
      <c r="E127" t="s">
        <v>15</v>
      </c>
      <c r="J127" t="s">
        <v>15</v>
      </c>
      <c r="K127">
        <v>6.58536585365853</v>
      </c>
      <c r="M127">
        <v>5</v>
      </c>
      <c r="N127">
        <v>0.27100271002710041</v>
      </c>
      <c r="O127">
        <v>3.9837398373983701</v>
      </c>
      <c r="Q127">
        <v>5</v>
      </c>
      <c r="R127">
        <v>0.44489611562782017</v>
      </c>
      <c r="S127" t="s">
        <v>274</v>
      </c>
      <c r="T127" t="s">
        <v>269</v>
      </c>
      <c r="U127" t="s">
        <v>208</v>
      </c>
      <c r="V127" t="s">
        <v>255</v>
      </c>
      <c r="W127" t="s">
        <v>258</v>
      </c>
    </row>
    <row r="128" spans="1:23" x14ac:dyDescent="0.2">
      <c r="A128" t="s">
        <v>81</v>
      </c>
      <c r="B128" t="s">
        <v>82</v>
      </c>
      <c r="C128" t="s">
        <v>12</v>
      </c>
      <c r="D128" t="s">
        <v>13</v>
      </c>
      <c r="E128" t="s">
        <v>15</v>
      </c>
      <c r="J128" t="s">
        <v>15</v>
      </c>
      <c r="K128">
        <v>7.3983739837398304</v>
      </c>
      <c r="M128">
        <v>5</v>
      </c>
      <c r="N128">
        <v>0.30487804878048941</v>
      </c>
      <c r="O128">
        <v>4.2276422764227597</v>
      </c>
      <c r="Q128">
        <v>5</v>
      </c>
      <c r="R128">
        <v>0.37037037037037024</v>
      </c>
      <c r="S128" t="s">
        <v>275</v>
      </c>
      <c r="T128" t="s">
        <v>269</v>
      </c>
      <c r="U128" t="s">
        <v>208</v>
      </c>
      <c r="V128" t="s">
        <v>255</v>
      </c>
      <c r="W128" t="s">
        <v>258</v>
      </c>
    </row>
    <row r="129" spans="1:23" x14ac:dyDescent="0.2">
      <c r="A129" t="s">
        <v>81</v>
      </c>
      <c r="B129" t="s">
        <v>82</v>
      </c>
      <c r="C129" t="s">
        <v>12</v>
      </c>
      <c r="D129" t="s">
        <v>13</v>
      </c>
      <c r="E129" t="s">
        <v>15</v>
      </c>
      <c r="J129" t="s">
        <v>15</v>
      </c>
      <c r="K129">
        <v>4.7967479674796696</v>
      </c>
      <c r="M129">
        <v>5</v>
      </c>
      <c r="N129">
        <v>0.53523035230352001</v>
      </c>
      <c r="O129">
        <v>2.6829268292682902</v>
      </c>
      <c r="Q129">
        <v>5</v>
      </c>
      <c r="R129">
        <v>0.33423667570008986</v>
      </c>
      <c r="S129" t="s">
        <v>276</v>
      </c>
      <c r="T129" t="s">
        <v>269</v>
      </c>
      <c r="U129" t="s">
        <v>208</v>
      </c>
      <c r="V129" t="s">
        <v>255</v>
      </c>
      <c r="W129" t="s">
        <v>258</v>
      </c>
    </row>
    <row r="130" spans="1:23" x14ac:dyDescent="0.2">
      <c r="A130" t="s">
        <v>83</v>
      </c>
      <c r="B130" t="s">
        <v>44</v>
      </c>
      <c r="C130" t="s">
        <v>12</v>
      </c>
      <c r="D130" t="s">
        <v>13</v>
      </c>
      <c r="F130" t="s">
        <v>15</v>
      </c>
      <c r="G130" t="s">
        <v>15</v>
      </c>
      <c r="H130" t="s">
        <v>15</v>
      </c>
      <c r="K130">
        <v>33.51</v>
      </c>
      <c r="M130">
        <v>6</v>
      </c>
      <c r="N130">
        <f>34.45-33.51</f>
        <v>0.94000000000000483</v>
      </c>
      <c r="O130">
        <v>23.91</v>
      </c>
      <c r="Q130">
        <v>6</v>
      </c>
      <c r="R130">
        <f>24.85-23.91</f>
        <v>0.94000000000000128</v>
      </c>
      <c r="U130" t="s">
        <v>216</v>
      </c>
    </row>
    <row r="131" spans="1:23" x14ac:dyDescent="0.2">
      <c r="A131" t="s">
        <v>84</v>
      </c>
      <c r="B131" t="s">
        <v>85</v>
      </c>
      <c r="C131" t="s">
        <v>78</v>
      </c>
      <c r="D131" t="s">
        <v>13</v>
      </c>
      <c r="E131" t="s">
        <v>15</v>
      </c>
      <c r="G131" t="s">
        <v>15</v>
      </c>
      <c r="H131" t="s">
        <v>15</v>
      </c>
      <c r="K131" t="s">
        <v>14</v>
      </c>
      <c r="L131" t="s">
        <v>14</v>
      </c>
      <c r="M131" t="s">
        <v>14</v>
      </c>
      <c r="N131" t="s">
        <v>14</v>
      </c>
      <c r="O131" t="s">
        <v>14</v>
      </c>
      <c r="P131" t="s">
        <v>14</v>
      </c>
      <c r="Q131" t="s">
        <v>14</v>
      </c>
      <c r="R131" t="s">
        <v>14</v>
      </c>
      <c r="W131" t="s">
        <v>237</v>
      </c>
    </row>
    <row r="132" spans="1:23" x14ac:dyDescent="0.2">
      <c r="A132" t="s">
        <v>84</v>
      </c>
      <c r="B132" t="s">
        <v>85</v>
      </c>
      <c r="C132" t="s">
        <v>78</v>
      </c>
      <c r="D132" t="s">
        <v>13</v>
      </c>
      <c r="G132" t="s">
        <v>15</v>
      </c>
      <c r="I132" t="s">
        <v>15</v>
      </c>
      <c r="K132" t="s">
        <v>14</v>
      </c>
      <c r="L132" t="s">
        <v>14</v>
      </c>
      <c r="M132" t="s">
        <v>14</v>
      </c>
      <c r="N132" t="s">
        <v>14</v>
      </c>
      <c r="O132" t="s">
        <v>14</v>
      </c>
      <c r="P132" t="s">
        <v>14</v>
      </c>
      <c r="Q132" t="s">
        <v>14</v>
      </c>
      <c r="R132" t="s">
        <v>14</v>
      </c>
      <c r="W132" t="s">
        <v>237</v>
      </c>
    </row>
    <row r="133" spans="1:23" x14ac:dyDescent="0.2">
      <c r="A133" t="s">
        <v>86</v>
      </c>
      <c r="B133" t="s">
        <v>87</v>
      </c>
      <c r="C133" t="s">
        <v>88</v>
      </c>
      <c r="D133" t="s">
        <v>13</v>
      </c>
      <c r="E133" t="s">
        <v>15</v>
      </c>
      <c r="J133" t="s">
        <v>15</v>
      </c>
      <c r="K133">
        <v>4.34</v>
      </c>
      <c r="M133">
        <v>6</v>
      </c>
      <c r="N133">
        <f>4.83-4.34</f>
        <v>0.49000000000000021</v>
      </c>
      <c r="O133">
        <v>4.16</v>
      </c>
      <c r="Q133">
        <v>6</v>
      </c>
      <c r="R133">
        <f>4.71-4.16</f>
        <v>0.54999999999999982</v>
      </c>
      <c r="U133" t="s">
        <v>208</v>
      </c>
    </row>
    <row r="134" spans="1:23" x14ac:dyDescent="0.2">
      <c r="A134" t="s">
        <v>86</v>
      </c>
      <c r="B134" t="s">
        <v>17</v>
      </c>
      <c r="C134" t="s">
        <v>18</v>
      </c>
      <c r="D134" t="s">
        <v>13</v>
      </c>
      <c r="E134" t="s">
        <v>15</v>
      </c>
      <c r="J134" t="s">
        <v>15</v>
      </c>
      <c r="K134">
        <v>2.82</v>
      </c>
      <c r="M134">
        <v>6</v>
      </c>
      <c r="N134">
        <f>3.14-2.82</f>
        <v>0.32000000000000028</v>
      </c>
      <c r="O134">
        <v>1.65</v>
      </c>
      <c r="Q134">
        <v>6</v>
      </c>
      <c r="R134">
        <f>2.15-1.65</f>
        <v>0.5</v>
      </c>
      <c r="U134" t="s">
        <v>208</v>
      </c>
    </row>
    <row r="135" spans="1:23" x14ac:dyDescent="0.2">
      <c r="A135" t="s">
        <v>86</v>
      </c>
      <c r="B135" t="s">
        <v>89</v>
      </c>
      <c r="C135" t="s">
        <v>57</v>
      </c>
      <c r="D135" t="s">
        <v>13</v>
      </c>
      <c r="E135" t="s">
        <v>15</v>
      </c>
      <c r="J135" t="s">
        <v>15</v>
      </c>
      <c r="K135">
        <v>1.83</v>
      </c>
      <c r="M135">
        <v>6</v>
      </c>
      <c r="N135">
        <f>2.43-1.83</f>
        <v>0.60000000000000009</v>
      </c>
      <c r="O135">
        <v>1.65</v>
      </c>
      <c r="Q135">
        <v>6</v>
      </c>
      <c r="R135">
        <f>2.15-1.65</f>
        <v>0.5</v>
      </c>
      <c r="U135" t="s">
        <v>208</v>
      </c>
    </row>
    <row r="136" spans="1:23" x14ac:dyDescent="0.2">
      <c r="A136" t="s">
        <v>86</v>
      </c>
      <c r="B136" t="s">
        <v>90</v>
      </c>
      <c r="C136" t="s">
        <v>72</v>
      </c>
      <c r="D136" t="s">
        <v>13</v>
      </c>
      <c r="E136" t="s">
        <v>15</v>
      </c>
      <c r="J136" t="s">
        <v>15</v>
      </c>
      <c r="K136">
        <v>2.83</v>
      </c>
      <c r="M136">
        <v>6</v>
      </c>
      <c r="N136">
        <f>3.14-2.83</f>
        <v>0.31000000000000005</v>
      </c>
      <c r="O136">
        <v>4.16</v>
      </c>
      <c r="Q136">
        <v>6</v>
      </c>
      <c r="R136">
        <f>4.71-4.16</f>
        <v>0.54999999999999982</v>
      </c>
      <c r="U136" t="s">
        <v>208</v>
      </c>
    </row>
    <row r="137" spans="1:23" x14ac:dyDescent="0.2">
      <c r="A137" t="s">
        <v>91</v>
      </c>
      <c r="B137" t="s">
        <v>80</v>
      </c>
      <c r="C137" t="s">
        <v>57</v>
      </c>
      <c r="D137" t="s">
        <v>13</v>
      </c>
      <c r="E137" t="s">
        <v>15</v>
      </c>
      <c r="H137" t="s">
        <v>15</v>
      </c>
      <c r="K137">
        <v>5.51</v>
      </c>
      <c r="M137">
        <v>6</v>
      </c>
      <c r="N137">
        <f>6.35-5.51</f>
        <v>0.83999999999999986</v>
      </c>
      <c r="O137">
        <v>3.82</v>
      </c>
      <c r="Q137">
        <v>6</v>
      </c>
      <c r="R137">
        <f>4.3-3.82</f>
        <v>0.48</v>
      </c>
      <c r="U137" t="s">
        <v>239</v>
      </c>
    </row>
    <row r="138" spans="1:23" x14ac:dyDescent="0.2">
      <c r="A138" t="s">
        <v>92</v>
      </c>
      <c r="B138" t="s">
        <v>93</v>
      </c>
      <c r="C138" t="s">
        <v>94</v>
      </c>
      <c r="D138" t="s">
        <v>13</v>
      </c>
      <c r="E138" t="s">
        <v>15</v>
      </c>
      <c r="H138" t="s">
        <v>15</v>
      </c>
      <c r="K138" t="s">
        <v>14</v>
      </c>
      <c r="L138" t="s">
        <v>14</v>
      </c>
      <c r="M138" t="s">
        <v>14</v>
      </c>
      <c r="N138" t="s">
        <v>14</v>
      </c>
      <c r="O138" t="s">
        <v>14</v>
      </c>
      <c r="P138" t="s">
        <v>14</v>
      </c>
      <c r="Q138" t="s">
        <v>14</v>
      </c>
      <c r="R138" t="s">
        <v>14</v>
      </c>
      <c r="W138" t="s">
        <v>240</v>
      </c>
    </row>
    <row r="139" spans="1:23" x14ac:dyDescent="0.2">
      <c r="A139" t="s">
        <v>95</v>
      </c>
      <c r="B139" t="s">
        <v>69</v>
      </c>
      <c r="C139" t="s">
        <v>47</v>
      </c>
      <c r="D139" t="s">
        <v>13</v>
      </c>
      <c r="E139" t="s">
        <v>15</v>
      </c>
      <c r="F139" t="s">
        <v>15</v>
      </c>
      <c r="H139" t="s">
        <v>15</v>
      </c>
      <c r="K139">
        <v>11.32</v>
      </c>
      <c r="L139">
        <f>15.81-11.32</f>
        <v>4.49</v>
      </c>
      <c r="M139">
        <f>8*3</f>
        <v>24</v>
      </c>
      <c r="O139">
        <v>17.97</v>
      </c>
      <c r="P139">
        <f>20.89-17.97</f>
        <v>2.9200000000000017</v>
      </c>
      <c r="Q139">
        <f>8*3</f>
        <v>24</v>
      </c>
      <c r="U139" t="s">
        <v>219</v>
      </c>
      <c r="W139" t="s">
        <v>241</v>
      </c>
    </row>
    <row r="140" spans="1:23" x14ac:dyDescent="0.2">
      <c r="A140" t="s">
        <v>96</v>
      </c>
      <c r="B140" t="s">
        <v>97</v>
      </c>
      <c r="C140" t="s">
        <v>98</v>
      </c>
      <c r="D140" t="s">
        <v>13</v>
      </c>
      <c r="E140" t="s">
        <v>15</v>
      </c>
      <c r="I140" t="s">
        <v>15</v>
      </c>
      <c r="K140">
        <v>3.79</v>
      </c>
      <c r="M140">
        <v>20</v>
      </c>
      <c r="N140">
        <f>3.89-3.79</f>
        <v>0.10000000000000009</v>
      </c>
      <c r="O140">
        <v>1.1399999999999999</v>
      </c>
      <c r="Q140">
        <v>20</v>
      </c>
      <c r="R140">
        <f>1.2-1.14</f>
        <v>6.0000000000000053E-2</v>
      </c>
      <c r="U140" t="s">
        <v>239</v>
      </c>
    </row>
    <row r="141" spans="1:23" x14ac:dyDescent="0.2">
      <c r="A141" t="s">
        <v>96</v>
      </c>
      <c r="B141" t="s">
        <v>97</v>
      </c>
      <c r="C141" t="s">
        <v>98</v>
      </c>
      <c r="D141" t="s">
        <v>13</v>
      </c>
      <c r="E141" t="s">
        <v>15</v>
      </c>
      <c r="I141" t="s">
        <v>15</v>
      </c>
      <c r="K141">
        <v>3.49</v>
      </c>
      <c r="M141">
        <v>20</v>
      </c>
      <c r="N141">
        <f>3.56-3.49</f>
        <v>6.999999999999984E-2</v>
      </c>
      <c r="O141">
        <v>2.23</v>
      </c>
      <c r="Q141">
        <v>20</v>
      </c>
      <c r="R141">
        <f>2.33-2.23</f>
        <v>0.10000000000000009</v>
      </c>
      <c r="U141" t="s">
        <v>239</v>
      </c>
    </row>
    <row r="142" spans="1:23" x14ac:dyDescent="0.2">
      <c r="A142" t="s">
        <v>96</v>
      </c>
      <c r="B142" t="s">
        <v>97</v>
      </c>
      <c r="C142" t="s">
        <v>98</v>
      </c>
      <c r="D142" t="s">
        <v>13</v>
      </c>
      <c r="E142" t="s">
        <v>15</v>
      </c>
      <c r="I142" t="s">
        <v>15</v>
      </c>
      <c r="K142">
        <v>3.79</v>
      </c>
      <c r="M142">
        <v>20</v>
      </c>
      <c r="N142">
        <f>3.88-3.79</f>
        <v>8.9999999999999858E-2</v>
      </c>
      <c r="O142">
        <v>1.05</v>
      </c>
      <c r="Q142">
        <v>20</v>
      </c>
      <c r="R142">
        <f>1.08-1.05</f>
        <v>3.0000000000000027E-2</v>
      </c>
      <c r="U142" t="s">
        <v>239</v>
      </c>
    </row>
    <row r="143" spans="1:23" x14ac:dyDescent="0.2">
      <c r="A143" t="s">
        <v>96</v>
      </c>
      <c r="B143" t="s">
        <v>97</v>
      </c>
      <c r="C143" t="s">
        <v>98</v>
      </c>
      <c r="D143" t="s">
        <v>13</v>
      </c>
      <c r="E143" t="s">
        <v>15</v>
      </c>
      <c r="I143" t="s">
        <v>15</v>
      </c>
      <c r="K143">
        <v>4</v>
      </c>
      <c r="M143">
        <v>10</v>
      </c>
      <c r="N143">
        <f>4.77-4</f>
        <v>0.76999999999999957</v>
      </c>
      <c r="O143">
        <v>1.59</v>
      </c>
      <c r="Q143">
        <v>10</v>
      </c>
      <c r="R143">
        <f>1.86-1.59</f>
        <v>0.27</v>
      </c>
      <c r="U143" t="s">
        <v>221</v>
      </c>
    </row>
    <row r="144" spans="1:23" x14ac:dyDescent="0.2">
      <c r="A144" t="s">
        <v>96</v>
      </c>
      <c r="B144" t="s">
        <v>97</v>
      </c>
      <c r="C144" t="s">
        <v>98</v>
      </c>
      <c r="D144" t="s">
        <v>13</v>
      </c>
      <c r="E144" t="s">
        <v>15</v>
      </c>
      <c r="I144" t="s">
        <v>15</v>
      </c>
      <c r="K144">
        <v>5.97</v>
      </c>
      <c r="M144">
        <v>10</v>
      </c>
      <c r="N144">
        <f>6.41-5.97</f>
        <v>0.44000000000000039</v>
      </c>
      <c r="O144">
        <v>2.2999999999999998</v>
      </c>
      <c r="Q144">
        <v>10</v>
      </c>
      <c r="R144">
        <f>2.64-2.3</f>
        <v>0.3400000000000003</v>
      </c>
      <c r="U144" t="s">
        <v>221</v>
      </c>
    </row>
    <row r="145" spans="1:23" x14ac:dyDescent="0.2">
      <c r="A145" t="s">
        <v>99</v>
      </c>
      <c r="B145" t="s">
        <v>100</v>
      </c>
      <c r="C145" t="s">
        <v>12</v>
      </c>
      <c r="D145" t="s">
        <v>13</v>
      </c>
      <c r="E145" t="s">
        <v>15</v>
      </c>
      <c r="H145" t="s">
        <v>15</v>
      </c>
      <c r="K145">
        <v>6.86</v>
      </c>
      <c r="M145">
        <v>6</v>
      </c>
      <c r="N145">
        <f>7.4-6.86</f>
        <v>0.54</v>
      </c>
      <c r="O145">
        <v>5.35</v>
      </c>
      <c r="Q145">
        <v>6</v>
      </c>
      <c r="R145">
        <f>6.32-5.35</f>
        <v>0.97000000000000064</v>
      </c>
      <c r="U145" t="s">
        <v>221</v>
      </c>
    </row>
    <row r="146" spans="1:23" x14ac:dyDescent="0.2">
      <c r="A146" t="s">
        <v>101</v>
      </c>
      <c r="B146" t="s">
        <v>102</v>
      </c>
      <c r="C146" t="s">
        <v>88</v>
      </c>
      <c r="D146" t="s">
        <v>13</v>
      </c>
      <c r="F146" t="s">
        <v>15</v>
      </c>
      <c r="H146" t="s">
        <v>15</v>
      </c>
      <c r="K146">
        <v>4.5</v>
      </c>
      <c r="M146">
        <v>6</v>
      </c>
      <c r="O146">
        <v>2.97</v>
      </c>
      <c r="Q146">
        <v>6</v>
      </c>
      <c r="U146" t="s">
        <v>221</v>
      </c>
      <c r="W146" t="s">
        <v>242</v>
      </c>
    </row>
    <row r="147" spans="1:23" x14ac:dyDescent="0.2">
      <c r="A147" t="s">
        <v>103</v>
      </c>
      <c r="B147" t="s">
        <v>44</v>
      </c>
      <c r="C147" t="s">
        <v>12</v>
      </c>
      <c r="D147" t="s">
        <v>13</v>
      </c>
      <c r="F147" t="s">
        <v>15</v>
      </c>
      <c r="H147" t="s">
        <v>15</v>
      </c>
      <c r="K147" t="s">
        <v>14</v>
      </c>
      <c r="L147" t="s">
        <v>14</v>
      </c>
      <c r="M147" t="s">
        <v>14</v>
      </c>
      <c r="N147" t="s">
        <v>14</v>
      </c>
      <c r="O147" t="s">
        <v>14</v>
      </c>
      <c r="P147" t="s">
        <v>14</v>
      </c>
      <c r="Q147" t="s">
        <v>14</v>
      </c>
      <c r="R147" t="s">
        <v>14</v>
      </c>
      <c r="W147" t="s">
        <v>229</v>
      </c>
    </row>
    <row r="148" spans="1:23" x14ac:dyDescent="0.2">
      <c r="A148" t="s">
        <v>103</v>
      </c>
      <c r="B148" t="s">
        <v>29</v>
      </c>
      <c r="C148" t="s">
        <v>30</v>
      </c>
      <c r="D148" t="s">
        <v>13</v>
      </c>
      <c r="F148" t="s">
        <v>15</v>
      </c>
      <c r="H148" t="s">
        <v>15</v>
      </c>
      <c r="K148" t="s">
        <v>14</v>
      </c>
      <c r="L148" t="s">
        <v>14</v>
      </c>
      <c r="M148" t="s">
        <v>14</v>
      </c>
      <c r="N148" t="s">
        <v>14</v>
      </c>
      <c r="O148" t="s">
        <v>14</v>
      </c>
      <c r="P148" t="s">
        <v>14</v>
      </c>
      <c r="Q148" t="s">
        <v>14</v>
      </c>
      <c r="R148" t="s">
        <v>14</v>
      </c>
      <c r="W148" t="s">
        <v>229</v>
      </c>
    </row>
    <row r="149" spans="1:23" x14ac:dyDescent="0.2">
      <c r="A149" t="s">
        <v>103</v>
      </c>
      <c r="B149" t="s">
        <v>44</v>
      </c>
      <c r="C149" t="s">
        <v>12</v>
      </c>
      <c r="D149" t="s">
        <v>13</v>
      </c>
      <c r="E149" t="s">
        <v>15</v>
      </c>
      <c r="H149" t="s">
        <v>15</v>
      </c>
      <c r="K149" t="s">
        <v>14</v>
      </c>
      <c r="L149" t="s">
        <v>14</v>
      </c>
      <c r="M149" t="s">
        <v>14</v>
      </c>
      <c r="N149" t="s">
        <v>14</v>
      </c>
      <c r="O149" t="s">
        <v>14</v>
      </c>
      <c r="P149" t="s">
        <v>14</v>
      </c>
      <c r="Q149" t="s">
        <v>14</v>
      </c>
      <c r="R149" t="s">
        <v>14</v>
      </c>
      <c r="W149" t="s">
        <v>229</v>
      </c>
    </row>
    <row r="150" spans="1:23" x14ac:dyDescent="0.2">
      <c r="A150" t="s">
        <v>103</v>
      </c>
      <c r="B150" t="s">
        <v>29</v>
      </c>
      <c r="C150" t="s">
        <v>30</v>
      </c>
      <c r="D150" t="s">
        <v>13</v>
      </c>
      <c r="E150" t="s">
        <v>15</v>
      </c>
      <c r="H150" t="s">
        <v>15</v>
      </c>
      <c r="K150" t="s">
        <v>14</v>
      </c>
      <c r="L150" t="s">
        <v>14</v>
      </c>
      <c r="M150" t="s">
        <v>14</v>
      </c>
      <c r="N150" t="s">
        <v>14</v>
      </c>
      <c r="O150" t="s">
        <v>14</v>
      </c>
      <c r="P150" t="s">
        <v>14</v>
      </c>
      <c r="Q150" t="s">
        <v>14</v>
      </c>
      <c r="R150" t="s">
        <v>14</v>
      </c>
      <c r="W150" t="s">
        <v>229</v>
      </c>
    </row>
    <row r="151" spans="1:23" x14ac:dyDescent="0.2">
      <c r="A151" t="s">
        <v>103</v>
      </c>
      <c r="B151" t="s">
        <v>44</v>
      </c>
      <c r="C151" t="s">
        <v>12</v>
      </c>
      <c r="D151" t="s">
        <v>13</v>
      </c>
      <c r="G151" t="s">
        <v>15</v>
      </c>
      <c r="H151" t="s">
        <v>15</v>
      </c>
      <c r="K151" t="s">
        <v>14</v>
      </c>
      <c r="L151" t="s">
        <v>14</v>
      </c>
      <c r="M151" t="s">
        <v>14</v>
      </c>
      <c r="N151" t="s">
        <v>14</v>
      </c>
      <c r="O151" t="s">
        <v>14</v>
      </c>
      <c r="P151" t="s">
        <v>14</v>
      </c>
      <c r="Q151" t="s">
        <v>14</v>
      </c>
      <c r="R151" t="s">
        <v>14</v>
      </c>
      <c r="W151" t="s">
        <v>229</v>
      </c>
    </row>
    <row r="152" spans="1:23" x14ac:dyDescent="0.2">
      <c r="A152" t="s">
        <v>103</v>
      </c>
      <c r="B152" t="s">
        <v>29</v>
      </c>
      <c r="C152" t="s">
        <v>30</v>
      </c>
      <c r="D152" t="s">
        <v>13</v>
      </c>
      <c r="G152" t="s">
        <v>15</v>
      </c>
      <c r="H152" t="s">
        <v>15</v>
      </c>
      <c r="K152" t="s">
        <v>14</v>
      </c>
      <c r="L152" t="s">
        <v>14</v>
      </c>
      <c r="M152" t="s">
        <v>14</v>
      </c>
      <c r="N152" t="s">
        <v>14</v>
      </c>
      <c r="O152" t="s">
        <v>14</v>
      </c>
      <c r="P152" t="s">
        <v>14</v>
      </c>
      <c r="Q152" t="s">
        <v>14</v>
      </c>
      <c r="R152" t="s">
        <v>14</v>
      </c>
      <c r="W152" t="s">
        <v>229</v>
      </c>
    </row>
    <row r="153" spans="1:23" x14ac:dyDescent="0.2">
      <c r="A153" t="s">
        <v>104</v>
      </c>
      <c r="B153" t="s">
        <v>29</v>
      </c>
      <c r="C153" t="s">
        <v>30</v>
      </c>
      <c r="D153" t="s">
        <v>13</v>
      </c>
      <c r="E153" t="s">
        <v>15</v>
      </c>
      <c r="H153" t="s">
        <v>15</v>
      </c>
      <c r="K153">
        <v>4.72</v>
      </c>
      <c r="L153">
        <f>7.42-4.72</f>
        <v>2.7</v>
      </c>
      <c r="M153">
        <v>14</v>
      </c>
      <c r="O153">
        <v>2.75</v>
      </c>
      <c r="P153">
        <f>4.11-2.75</f>
        <v>1.3600000000000003</v>
      </c>
      <c r="Q153">
        <v>14</v>
      </c>
      <c r="T153" t="s">
        <v>269</v>
      </c>
      <c r="U153" t="s">
        <v>221</v>
      </c>
      <c r="V153" t="s">
        <v>255</v>
      </c>
    </row>
    <row r="154" spans="1:23" x14ac:dyDescent="0.2">
      <c r="A154" t="s">
        <v>104</v>
      </c>
      <c r="B154" t="s">
        <v>29</v>
      </c>
      <c r="C154" t="s">
        <v>30</v>
      </c>
      <c r="D154" t="s">
        <v>13</v>
      </c>
      <c r="E154" t="s">
        <v>15</v>
      </c>
      <c r="H154" t="s">
        <v>15</v>
      </c>
      <c r="K154">
        <v>4.17</v>
      </c>
      <c r="L154">
        <f>5.48-4.17</f>
        <v>1.3100000000000005</v>
      </c>
      <c r="M154">
        <v>14</v>
      </c>
      <c r="O154">
        <v>3.72</v>
      </c>
      <c r="P154">
        <f>4.89-3.72</f>
        <v>1.1699999999999995</v>
      </c>
      <c r="Q154">
        <v>14</v>
      </c>
      <c r="T154" t="s">
        <v>270</v>
      </c>
      <c r="U154" t="s">
        <v>221</v>
      </c>
      <c r="V154" t="s">
        <v>255</v>
      </c>
    </row>
    <row r="155" spans="1:23" x14ac:dyDescent="0.2">
      <c r="A155" t="s">
        <v>105</v>
      </c>
      <c r="B155" t="s">
        <v>49</v>
      </c>
      <c r="C155" t="s">
        <v>32</v>
      </c>
      <c r="D155" t="s">
        <v>13</v>
      </c>
      <c r="F155" t="s">
        <v>15</v>
      </c>
      <c r="H155" t="s">
        <v>15</v>
      </c>
      <c r="M155">
        <v>9</v>
      </c>
      <c r="N155">
        <f>1.54-1.21</f>
        <v>0.33000000000000007</v>
      </c>
      <c r="Q155">
        <v>9</v>
      </c>
      <c r="R155">
        <v>0</v>
      </c>
      <c r="U155" t="s">
        <v>210</v>
      </c>
      <c r="W155" t="s">
        <v>243</v>
      </c>
    </row>
    <row r="156" spans="1:23" x14ac:dyDescent="0.2">
      <c r="A156" t="s">
        <v>105</v>
      </c>
      <c r="B156" t="s">
        <v>49</v>
      </c>
      <c r="C156" t="s">
        <v>32</v>
      </c>
      <c r="D156" t="s">
        <v>13</v>
      </c>
      <c r="F156" t="s">
        <v>15</v>
      </c>
      <c r="H156" t="s">
        <v>15</v>
      </c>
      <c r="M156">
        <v>9</v>
      </c>
      <c r="N156">
        <f>0.73-0.48</f>
        <v>0.25</v>
      </c>
      <c r="Q156">
        <v>9</v>
      </c>
      <c r="R156">
        <f>0.25-0.15</f>
        <v>0.1</v>
      </c>
      <c r="U156" t="s">
        <v>210</v>
      </c>
      <c r="W156" t="s">
        <v>243</v>
      </c>
    </row>
    <row r="157" spans="1:23" x14ac:dyDescent="0.2">
      <c r="A157" t="s">
        <v>106</v>
      </c>
      <c r="B157" t="s">
        <v>107</v>
      </c>
      <c r="C157" t="s">
        <v>47</v>
      </c>
      <c r="D157" t="s">
        <v>13</v>
      </c>
      <c r="E157" t="s">
        <v>15</v>
      </c>
      <c r="H157" t="s">
        <v>15</v>
      </c>
      <c r="K157" t="s">
        <v>14</v>
      </c>
      <c r="L157" t="s">
        <v>14</v>
      </c>
      <c r="M157" t="s">
        <v>14</v>
      </c>
      <c r="N157" t="s">
        <v>14</v>
      </c>
      <c r="O157" t="s">
        <v>14</v>
      </c>
      <c r="P157" t="s">
        <v>14</v>
      </c>
      <c r="Q157" t="s">
        <v>14</v>
      </c>
      <c r="R157" t="s">
        <v>14</v>
      </c>
      <c r="W157" t="s">
        <v>229</v>
      </c>
    </row>
    <row r="158" spans="1:23" x14ac:dyDescent="0.2">
      <c r="A158" t="s">
        <v>108</v>
      </c>
      <c r="B158" t="s">
        <v>41</v>
      </c>
      <c r="C158" t="s">
        <v>18</v>
      </c>
      <c r="D158" t="s">
        <v>13</v>
      </c>
      <c r="E158" t="s">
        <v>15</v>
      </c>
      <c r="F158" t="s">
        <v>15</v>
      </c>
      <c r="H158" t="s">
        <v>15</v>
      </c>
      <c r="K158">
        <v>11.5</v>
      </c>
      <c r="M158">
        <v>6</v>
      </c>
      <c r="N158">
        <f>11.77-11.5</f>
        <v>0.26999999999999957</v>
      </c>
      <c r="O158">
        <v>6.35</v>
      </c>
      <c r="Q158">
        <v>6</v>
      </c>
      <c r="R158">
        <f>6.88-6.35</f>
        <v>0.53000000000000025</v>
      </c>
      <c r="U158" t="s">
        <v>210</v>
      </c>
    </row>
    <row r="159" spans="1:23" x14ac:dyDescent="0.2">
      <c r="A159" t="s">
        <v>109</v>
      </c>
      <c r="B159" t="s">
        <v>89</v>
      </c>
      <c r="C159" t="s">
        <v>57</v>
      </c>
      <c r="D159" t="s">
        <v>13</v>
      </c>
      <c r="F159" t="s">
        <v>15</v>
      </c>
      <c r="H159" t="s">
        <v>15</v>
      </c>
      <c r="K159">
        <v>10.1</v>
      </c>
      <c r="M159">
        <v>10</v>
      </c>
      <c r="N159">
        <v>1</v>
      </c>
      <c r="O159">
        <v>6.2</v>
      </c>
      <c r="Q159">
        <v>10</v>
      </c>
      <c r="R159">
        <v>1.1000000000000001</v>
      </c>
      <c r="S159" t="s">
        <v>195</v>
      </c>
      <c r="T159" t="s">
        <v>270</v>
      </c>
      <c r="U159" t="s">
        <v>233</v>
      </c>
      <c r="V159" t="s">
        <v>255</v>
      </c>
      <c r="W159" t="s">
        <v>259</v>
      </c>
    </row>
    <row r="160" spans="1:23" x14ac:dyDescent="0.2">
      <c r="A160" t="s">
        <v>109</v>
      </c>
      <c r="B160" t="s">
        <v>89</v>
      </c>
      <c r="C160" t="s">
        <v>57</v>
      </c>
      <c r="D160" t="s">
        <v>13</v>
      </c>
      <c r="F160" t="s">
        <v>15</v>
      </c>
      <c r="H160" t="s">
        <v>15</v>
      </c>
      <c r="K160">
        <v>14.9</v>
      </c>
      <c r="M160">
        <v>10</v>
      </c>
      <c r="N160">
        <v>1</v>
      </c>
      <c r="O160">
        <v>2</v>
      </c>
      <c r="Q160">
        <v>10</v>
      </c>
      <c r="R160">
        <v>0.3</v>
      </c>
      <c r="S160" t="s">
        <v>198</v>
      </c>
      <c r="T160" t="s">
        <v>270</v>
      </c>
      <c r="U160" t="s">
        <v>233</v>
      </c>
      <c r="V160" t="s">
        <v>255</v>
      </c>
      <c r="W160" t="s">
        <v>259</v>
      </c>
    </row>
    <row r="161" spans="1:23" x14ac:dyDescent="0.2">
      <c r="A161" t="s">
        <v>109</v>
      </c>
      <c r="B161" t="s">
        <v>89</v>
      </c>
      <c r="C161" t="s">
        <v>57</v>
      </c>
      <c r="D161" t="s">
        <v>13</v>
      </c>
      <c r="E161" t="s">
        <v>15</v>
      </c>
      <c r="G161" t="s">
        <v>15</v>
      </c>
      <c r="I161" t="s">
        <v>15</v>
      </c>
      <c r="K161">
        <v>38.299999999999997</v>
      </c>
      <c r="M161">
        <v>3</v>
      </c>
      <c r="N161">
        <v>2.9</v>
      </c>
      <c r="O161">
        <v>38.700000000000003</v>
      </c>
      <c r="Q161">
        <v>3</v>
      </c>
      <c r="R161">
        <v>3.5</v>
      </c>
      <c r="S161" t="s">
        <v>195</v>
      </c>
      <c r="T161" t="s">
        <v>269</v>
      </c>
      <c r="U161" t="s">
        <v>233</v>
      </c>
      <c r="V161" t="s">
        <v>255</v>
      </c>
      <c r="W161" t="s">
        <v>259</v>
      </c>
    </row>
    <row r="162" spans="1:23" x14ac:dyDescent="0.2">
      <c r="A162" t="s">
        <v>109</v>
      </c>
      <c r="B162" t="s">
        <v>89</v>
      </c>
      <c r="C162" t="s">
        <v>57</v>
      </c>
      <c r="D162" t="s">
        <v>13</v>
      </c>
      <c r="E162" t="s">
        <v>15</v>
      </c>
      <c r="G162" t="s">
        <v>15</v>
      </c>
      <c r="I162" t="s">
        <v>15</v>
      </c>
      <c r="K162">
        <v>19</v>
      </c>
      <c r="M162">
        <v>3</v>
      </c>
      <c r="N162">
        <v>4.5</v>
      </c>
      <c r="O162">
        <v>11.7</v>
      </c>
      <c r="Q162">
        <v>3</v>
      </c>
      <c r="R162">
        <v>5.6</v>
      </c>
      <c r="S162" t="s">
        <v>198</v>
      </c>
      <c r="T162" t="s">
        <v>269</v>
      </c>
      <c r="U162" t="s">
        <v>233</v>
      </c>
      <c r="V162" t="s">
        <v>255</v>
      </c>
      <c r="W162" t="s">
        <v>259</v>
      </c>
    </row>
    <row r="163" spans="1:23" x14ac:dyDescent="0.2">
      <c r="A163" t="s">
        <v>109</v>
      </c>
      <c r="B163" t="s">
        <v>89</v>
      </c>
      <c r="C163" t="s">
        <v>57</v>
      </c>
      <c r="D163" t="s">
        <v>13</v>
      </c>
      <c r="E163" t="s">
        <v>15</v>
      </c>
      <c r="I163" t="s">
        <v>15</v>
      </c>
      <c r="K163">
        <v>8.3000000000000007</v>
      </c>
      <c r="M163">
        <v>3</v>
      </c>
      <c r="N163">
        <v>1.5</v>
      </c>
      <c r="O163">
        <v>10.7</v>
      </c>
      <c r="Q163">
        <v>3</v>
      </c>
      <c r="R163">
        <v>3.4</v>
      </c>
      <c r="S163" t="s">
        <v>195</v>
      </c>
      <c r="T163" t="s">
        <v>270</v>
      </c>
      <c r="U163" t="s">
        <v>233</v>
      </c>
      <c r="V163" t="s">
        <v>255</v>
      </c>
      <c r="W163" t="s">
        <v>259</v>
      </c>
    </row>
    <row r="164" spans="1:23" x14ac:dyDescent="0.2">
      <c r="A164" t="s">
        <v>109</v>
      </c>
      <c r="B164" t="s">
        <v>89</v>
      </c>
      <c r="C164" t="s">
        <v>57</v>
      </c>
      <c r="D164" t="s">
        <v>13</v>
      </c>
      <c r="E164" t="s">
        <v>15</v>
      </c>
      <c r="I164" t="s">
        <v>15</v>
      </c>
      <c r="K164">
        <v>9</v>
      </c>
      <c r="M164">
        <v>4</v>
      </c>
      <c r="N164">
        <v>0</v>
      </c>
      <c r="O164">
        <v>9</v>
      </c>
      <c r="Q164">
        <v>4</v>
      </c>
      <c r="R164">
        <v>1.2</v>
      </c>
      <c r="S164" t="s">
        <v>198</v>
      </c>
      <c r="T164" t="s">
        <v>269</v>
      </c>
      <c r="U164" t="s">
        <v>233</v>
      </c>
      <c r="V164" t="s">
        <v>255</v>
      </c>
      <c r="W164" t="s">
        <v>259</v>
      </c>
    </row>
    <row r="165" spans="1:23" x14ac:dyDescent="0.2">
      <c r="A165" t="s">
        <v>109</v>
      </c>
      <c r="B165" t="s">
        <v>89</v>
      </c>
      <c r="C165" t="s">
        <v>57</v>
      </c>
      <c r="D165" t="s">
        <v>13</v>
      </c>
      <c r="F165" t="s">
        <v>15</v>
      </c>
      <c r="H165" t="s">
        <v>15</v>
      </c>
      <c r="K165">
        <v>11</v>
      </c>
      <c r="M165">
        <v>10</v>
      </c>
      <c r="N165">
        <v>1</v>
      </c>
      <c r="O165">
        <v>4.9000000000000004</v>
      </c>
      <c r="Q165">
        <v>10</v>
      </c>
      <c r="R165">
        <v>0.8</v>
      </c>
      <c r="S165" t="s">
        <v>195</v>
      </c>
      <c r="T165" t="s">
        <v>269</v>
      </c>
      <c r="U165" t="s">
        <v>233</v>
      </c>
      <c r="V165" t="s">
        <v>255</v>
      </c>
      <c r="W165" t="s">
        <v>259</v>
      </c>
    </row>
    <row r="166" spans="1:23" x14ac:dyDescent="0.2">
      <c r="A166" t="s">
        <v>109</v>
      </c>
      <c r="B166" t="s">
        <v>89</v>
      </c>
      <c r="C166" t="s">
        <v>57</v>
      </c>
      <c r="D166" t="s">
        <v>13</v>
      </c>
      <c r="F166" t="s">
        <v>15</v>
      </c>
      <c r="H166" t="s">
        <v>15</v>
      </c>
      <c r="K166">
        <v>16</v>
      </c>
      <c r="M166">
        <v>10</v>
      </c>
      <c r="N166">
        <v>0.9</v>
      </c>
      <c r="O166">
        <v>2</v>
      </c>
      <c r="Q166">
        <v>10</v>
      </c>
      <c r="R166">
        <v>0.4</v>
      </c>
      <c r="S166" t="s">
        <v>198</v>
      </c>
      <c r="T166" t="s">
        <v>269</v>
      </c>
      <c r="U166" t="s">
        <v>233</v>
      </c>
      <c r="V166" t="s">
        <v>255</v>
      </c>
      <c r="W166" t="s">
        <v>259</v>
      </c>
    </row>
    <row r="167" spans="1:23" x14ac:dyDescent="0.2">
      <c r="A167" t="s">
        <v>109</v>
      </c>
      <c r="B167" t="s">
        <v>89</v>
      </c>
      <c r="C167" t="s">
        <v>57</v>
      </c>
      <c r="D167" t="s">
        <v>13</v>
      </c>
      <c r="E167" t="s">
        <v>15</v>
      </c>
      <c r="G167" t="s">
        <v>15</v>
      </c>
      <c r="I167" t="s">
        <v>15</v>
      </c>
      <c r="K167">
        <v>20.3</v>
      </c>
      <c r="M167">
        <v>3</v>
      </c>
      <c r="N167">
        <v>3.5</v>
      </c>
      <c r="O167">
        <v>21</v>
      </c>
      <c r="Q167">
        <v>3</v>
      </c>
      <c r="R167">
        <v>3</v>
      </c>
      <c r="S167" t="s">
        <v>195</v>
      </c>
      <c r="T167" t="s">
        <v>270</v>
      </c>
      <c r="U167" t="s">
        <v>233</v>
      </c>
      <c r="V167" t="s">
        <v>255</v>
      </c>
      <c r="W167" t="s">
        <v>259</v>
      </c>
    </row>
    <row r="168" spans="1:23" x14ac:dyDescent="0.2">
      <c r="A168" t="s">
        <v>109</v>
      </c>
      <c r="B168" t="s">
        <v>89</v>
      </c>
      <c r="C168" t="s">
        <v>57</v>
      </c>
      <c r="D168" t="s">
        <v>13</v>
      </c>
      <c r="E168" t="s">
        <v>15</v>
      </c>
      <c r="G168" t="s">
        <v>15</v>
      </c>
      <c r="I168" t="s">
        <v>15</v>
      </c>
      <c r="K168">
        <v>1</v>
      </c>
      <c r="M168">
        <v>3</v>
      </c>
      <c r="N168">
        <v>4</v>
      </c>
      <c r="O168">
        <v>14.7</v>
      </c>
      <c r="Q168">
        <v>4</v>
      </c>
      <c r="R168">
        <v>1.4</v>
      </c>
      <c r="S168" t="s">
        <v>198</v>
      </c>
      <c r="T168" t="s">
        <v>270</v>
      </c>
      <c r="U168" t="s">
        <v>233</v>
      </c>
      <c r="V168" t="s">
        <v>255</v>
      </c>
      <c r="W168" t="s">
        <v>259</v>
      </c>
    </row>
    <row r="169" spans="1:23" x14ac:dyDescent="0.2">
      <c r="A169" t="s">
        <v>109</v>
      </c>
      <c r="B169" t="s">
        <v>89</v>
      </c>
      <c r="C169" t="s">
        <v>57</v>
      </c>
      <c r="D169" t="s">
        <v>13</v>
      </c>
      <c r="E169" t="s">
        <v>15</v>
      </c>
      <c r="I169" t="s">
        <v>15</v>
      </c>
      <c r="K169">
        <v>9.3000000000000007</v>
      </c>
      <c r="M169">
        <v>3</v>
      </c>
      <c r="N169">
        <v>0.7</v>
      </c>
      <c r="O169">
        <v>5.8</v>
      </c>
      <c r="Q169">
        <v>4</v>
      </c>
      <c r="R169">
        <v>0.9</v>
      </c>
      <c r="S169" t="s">
        <v>195</v>
      </c>
      <c r="T169" t="s">
        <v>269</v>
      </c>
      <c r="U169" t="s">
        <v>233</v>
      </c>
      <c r="V169" t="s">
        <v>255</v>
      </c>
      <c r="W169" t="s">
        <v>259</v>
      </c>
    </row>
    <row r="170" spans="1:23" x14ac:dyDescent="0.2">
      <c r="A170" t="s">
        <v>109</v>
      </c>
      <c r="B170" t="s">
        <v>89</v>
      </c>
      <c r="C170" t="s">
        <v>57</v>
      </c>
      <c r="D170" t="s">
        <v>13</v>
      </c>
      <c r="E170" t="s">
        <v>15</v>
      </c>
      <c r="I170" t="s">
        <v>15</v>
      </c>
      <c r="K170">
        <v>5.7</v>
      </c>
      <c r="M170">
        <v>3</v>
      </c>
      <c r="N170">
        <v>0.7</v>
      </c>
      <c r="O170">
        <v>3</v>
      </c>
      <c r="Q170">
        <v>3</v>
      </c>
      <c r="R170">
        <v>0.6</v>
      </c>
      <c r="S170" t="s">
        <v>198</v>
      </c>
      <c r="T170" t="s">
        <v>270</v>
      </c>
      <c r="U170" t="s">
        <v>233</v>
      </c>
      <c r="V170" t="s">
        <v>255</v>
      </c>
      <c r="W170" t="s">
        <v>259</v>
      </c>
    </row>
    <row r="171" spans="1:23" x14ac:dyDescent="0.2">
      <c r="A171" t="s">
        <v>110</v>
      </c>
      <c r="B171" t="s">
        <v>89</v>
      </c>
      <c r="C171" t="s">
        <v>57</v>
      </c>
      <c r="D171" t="s">
        <v>13</v>
      </c>
      <c r="E171" t="s">
        <v>15</v>
      </c>
      <c r="G171" t="s">
        <v>15</v>
      </c>
      <c r="H171" t="s">
        <v>15</v>
      </c>
      <c r="K171" t="s">
        <v>14</v>
      </c>
      <c r="L171" t="s">
        <v>14</v>
      </c>
      <c r="M171" t="s">
        <v>14</v>
      </c>
      <c r="N171" t="s">
        <v>14</v>
      </c>
      <c r="O171" t="s">
        <v>14</v>
      </c>
      <c r="P171" t="s">
        <v>14</v>
      </c>
      <c r="Q171" t="s">
        <v>14</v>
      </c>
      <c r="R171" t="s">
        <v>14</v>
      </c>
      <c r="W171" t="s">
        <v>229</v>
      </c>
    </row>
    <row r="172" spans="1:23" x14ac:dyDescent="0.2">
      <c r="A172" t="s">
        <v>111</v>
      </c>
      <c r="B172" t="s">
        <v>17</v>
      </c>
      <c r="C172" t="s">
        <v>18</v>
      </c>
      <c r="D172" t="s">
        <v>13</v>
      </c>
      <c r="F172" t="s">
        <v>15</v>
      </c>
      <c r="H172" t="s">
        <v>15</v>
      </c>
      <c r="K172">
        <v>20.73</v>
      </c>
      <c r="L172" t="s">
        <v>14</v>
      </c>
      <c r="M172">
        <v>5</v>
      </c>
      <c r="N172" t="s">
        <v>14</v>
      </c>
      <c r="O172">
        <v>8.23</v>
      </c>
      <c r="P172" t="s">
        <v>14</v>
      </c>
      <c r="Q172">
        <v>5</v>
      </c>
      <c r="R172" t="s">
        <v>14</v>
      </c>
      <c r="U172" t="s">
        <v>221</v>
      </c>
      <c r="W172" t="s">
        <v>229</v>
      </c>
    </row>
    <row r="173" spans="1:23" x14ac:dyDescent="0.2">
      <c r="A173" t="s">
        <v>111</v>
      </c>
      <c r="B173" t="s">
        <v>17</v>
      </c>
      <c r="C173" t="s">
        <v>18</v>
      </c>
      <c r="D173" t="s">
        <v>13</v>
      </c>
      <c r="F173" t="s">
        <v>15</v>
      </c>
      <c r="H173" t="s">
        <v>15</v>
      </c>
      <c r="K173">
        <v>15.46</v>
      </c>
      <c r="L173" t="s">
        <v>14</v>
      </c>
      <c r="M173">
        <v>5</v>
      </c>
      <c r="N173" t="s">
        <v>14</v>
      </c>
      <c r="O173">
        <v>5.2</v>
      </c>
      <c r="P173" t="s">
        <v>14</v>
      </c>
      <c r="Q173">
        <v>5</v>
      </c>
      <c r="R173" t="s">
        <v>14</v>
      </c>
      <c r="U173" t="s">
        <v>221</v>
      </c>
      <c r="W173" t="s">
        <v>229</v>
      </c>
    </row>
    <row r="174" spans="1:23" x14ac:dyDescent="0.2">
      <c r="A174" t="s">
        <v>112</v>
      </c>
      <c r="B174" t="s">
        <v>113</v>
      </c>
      <c r="C174" t="s">
        <v>72</v>
      </c>
      <c r="D174" t="s">
        <v>13</v>
      </c>
      <c r="E174" t="s">
        <v>15</v>
      </c>
      <c r="H174" t="s">
        <v>15</v>
      </c>
      <c r="K174" t="s">
        <v>14</v>
      </c>
      <c r="L174" t="s">
        <v>14</v>
      </c>
      <c r="M174">
        <v>3</v>
      </c>
      <c r="N174">
        <f>1.98-1.96</f>
        <v>2.0000000000000018E-2</v>
      </c>
      <c r="O174" t="s">
        <v>14</v>
      </c>
      <c r="P174" t="s">
        <v>14</v>
      </c>
      <c r="Q174">
        <v>8</v>
      </c>
      <c r="R174">
        <f>1.85-1.65</f>
        <v>0.20000000000000018</v>
      </c>
      <c r="U174" t="s">
        <v>210</v>
      </c>
      <c r="W174" t="s">
        <v>243</v>
      </c>
    </row>
    <row r="175" spans="1:23" x14ac:dyDescent="0.2">
      <c r="A175" t="s">
        <v>112</v>
      </c>
      <c r="B175" t="s">
        <v>113</v>
      </c>
      <c r="C175" t="s">
        <v>72</v>
      </c>
      <c r="D175" t="s">
        <v>13</v>
      </c>
      <c r="E175" t="s">
        <v>15</v>
      </c>
      <c r="H175" t="s">
        <v>15</v>
      </c>
      <c r="K175" t="s">
        <v>14</v>
      </c>
      <c r="L175" t="s">
        <v>14</v>
      </c>
      <c r="M175">
        <v>5</v>
      </c>
      <c r="N175">
        <f>2.26-2.19</f>
        <v>6.999999999999984E-2</v>
      </c>
      <c r="O175" t="s">
        <v>14</v>
      </c>
      <c r="P175" t="s">
        <v>14</v>
      </c>
      <c r="Q175">
        <v>8</v>
      </c>
      <c r="R175">
        <f>1.85-1.65</f>
        <v>0.20000000000000018</v>
      </c>
      <c r="U175" t="s">
        <v>210</v>
      </c>
      <c r="W175" t="s">
        <v>243</v>
      </c>
    </row>
    <row r="176" spans="1:23" x14ac:dyDescent="0.2">
      <c r="A176" t="s">
        <v>114</v>
      </c>
      <c r="B176" t="s">
        <v>85</v>
      </c>
      <c r="C176" t="s">
        <v>78</v>
      </c>
      <c r="D176" t="s">
        <v>13</v>
      </c>
      <c r="F176" t="s">
        <v>15</v>
      </c>
      <c r="H176" t="s">
        <v>15</v>
      </c>
      <c r="K176">
        <v>127</v>
      </c>
      <c r="M176">
        <v>9</v>
      </c>
      <c r="N176">
        <v>11</v>
      </c>
      <c r="O176">
        <v>77</v>
      </c>
      <c r="Q176">
        <v>2</v>
      </c>
      <c r="R176">
        <v>12</v>
      </c>
      <c r="U176" t="s">
        <v>265</v>
      </c>
      <c r="W176" t="s">
        <v>260</v>
      </c>
    </row>
    <row r="177" spans="1:23" x14ac:dyDescent="0.2">
      <c r="A177" t="s">
        <v>115</v>
      </c>
      <c r="B177" t="s">
        <v>14</v>
      </c>
      <c r="C177" t="s">
        <v>116</v>
      </c>
      <c r="D177" t="s">
        <v>13</v>
      </c>
      <c r="E177" t="s">
        <v>15</v>
      </c>
      <c r="H177" t="s">
        <v>15</v>
      </c>
      <c r="K177">
        <v>18.059999999999999</v>
      </c>
      <c r="M177">
        <v>6</v>
      </c>
      <c r="N177">
        <f>20.41-18.06</f>
        <v>2.3500000000000014</v>
      </c>
      <c r="O177">
        <v>13.79</v>
      </c>
      <c r="Q177">
        <v>4</v>
      </c>
      <c r="R177">
        <f>15.09-13.79</f>
        <v>1.3000000000000007</v>
      </c>
      <c r="U177" t="s">
        <v>239</v>
      </c>
    </row>
    <row r="178" spans="1:23" x14ac:dyDescent="0.2">
      <c r="A178" t="s">
        <v>115</v>
      </c>
      <c r="B178" t="s">
        <v>117</v>
      </c>
      <c r="C178" t="s">
        <v>23</v>
      </c>
      <c r="D178" t="s">
        <v>13</v>
      </c>
      <c r="E178" t="s">
        <v>15</v>
      </c>
      <c r="H178" t="s">
        <v>15</v>
      </c>
      <c r="K178">
        <v>13.79</v>
      </c>
      <c r="M178">
        <v>4</v>
      </c>
      <c r="N178">
        <f>14.62-13.79</f>
        <v>0.83000000000000007</v>
      </c>
      <c r="O178">
        <v>13.79</v>
      </c>
      <c r="Q178">
        <v>4</v>
      </c>
      <c r="R178">
        <f>15.09-13.79</f>
        <v>1.3000000000000007</v>
      </c>
      <c r="U178" t="s">
        <v>239</v>
      </c>
    </row>
    <row r="179" spans="1:23" x14ac:dyDescent="0.2">
      <c r="A179" t="s">
        <v>115</v>
      </c>
      <c r="B179" t="s">
        <v>118</v>
      </c>
      <c r="C179" t="s">
        <v>23</v>
      </c>
      <c r="D179" t="s">
        <v>13</v>
      </c>
      <c r="E179" t="s">
        <v>15</v>
      </c>
      <c r="H179" t="s">
        <v>15</v>
      </c>
      <c r="K179">
        <v>13.29</v>
      </c>
      <c r="M179">
        <v>4</v>
      </c>
      <c r="N179">
        <f>14.97-13.29</f>
        <v>1.6800000000000015</v>
      </c>
      <c r="O179">
        <v>13.79</v>
      </c>
      <c r="Q179">
        <v>4</v>
      </c>
      <c r="R179">
        <f>15.09-13.79</f>
        <v>1.3000000000000007</v>
      </c>
      <c r="U179" t="s">
        <v>239</v>
      </c>
    </row>
    <row r="180" spans="1:23" x14ac:dyDescent="0.2">
      <c r="A180" t="s">
        <v>115</v>
      </c>
      <c r="B180" t="s">
        <v>119</v>
      </c>
      <c r="C180" t="s">
        <v>12</v>
      </c>
      <c r="D180" t="s">
        <v>13</v>
      </c>
      <c r="E180" t="s">
        <v>15</v>
      </c>
      <c r="H180" t="s">
        <v>15</v>
      </c>
      <c r="K180">
        <v>17.03</v>
      </c>
      <c r="M180">
        <v>4</v>
      </c>
      <c r="N180">
        <f>18.82-17.03</f>
        <v>1.7899999999999991</v>
      </c>
      <c r="O180">
        <v>13.79</v>
      </c>
      <c r="Q180">
        <v>4</v>
      </c>
      <c r="R180">
        <f>15.09-13.79</f>
        <v>1.3000000000000007</v>
      </c>
      <c r="U180" t="s">
        <v>239</v>
      </c>
    </row>
    <row r="181" spans="1:23" x14ac:dyDescent="0.2">
      <c r="A181" t="s">
        <v>120</v>
      </c>
      <c r="B181" t="s">
        <v>29</v>
      </c>
      <c r="C181" t="s">
        <v>30</v>
      </c>
      <c r="D181" t="s">
        <v>13</v>
      </c>
      <c r="E181" t="s">
        <v>15</v>
      </c>
      <c r="H181" t="s">
        <v>15</v>
      </c>
      <c r="K181">
        <v>13.27</v>
      </c>
      <c r="M181">
        <v>4</v>
      </c>
      <c r="N181">
        <f>14.71-13.27</f>
        <v>1.4400000000000013</v>
      </c>
      <c r="O181">
        <v>6.99</v>
      </c>
      <c r="Q181">
        <v>4</v>
      </c>
      <c r="R181">
        <f>7.6-6.99</f>
        <v>0.60999999999999943</v>
      </c>
      <c r="U181" t="s">
        <v>239</v>
      </c>
      <c r="W181" t="s">
        <v>245</v>
      </c>
    </row>
    <row r="182" spans="1:23" x14ac:dyDescent="0.2">
      <c r="A182" t="s">
        <v>120</v>
      </c>
      <c r="B182" t="s">
        <v>44</v>
      </c>
      <c r="C182" t="s">
        <v>30</v>
      </c>
      <c r="D182" t="s">
        <v>13</v>
      </c>
      <c r="E182" t="s">
        <v>15</v>
      </c>
      <c r="H182" t="s">
        <v>15</v>
      </c>
      <c r="K182">
        <v>11.7</v>
      </c>
      <c r="M182">
        <v>4</v>
      </c>
      <c r="N182">
        <f>12.54-11.7</f>
        <v>0.83999999999999986</v>
      </c>
      <c r="O182">
        <v>6.99</v>
      </c>
      <c r="Q182">
        <v>4</v>
      </c>
      <c r="R182">
        <f>7.6-6.99</f>
        <v>0.60999999999999943</v>
      </c>
      <c r="U182" t="s">
        <v>239</v>
      </c>
    </row>
    <row r="183" spans="1:23" x14ac:dyDescent="0.2">
      <c r="A183" t="s">
        <v>120</v>
      </c>
      <c r="B183" t="s">
        <v>29</v>
      </c>
      <c r="C183" t="s">
        <v>30</v>
      </c>
      <c r="D183" t="s">
        <v>13</v>
      </c>
      <c r="E183" t="s">
        <v>15</v>
      </c>
      <c r="H183" t="s">
        <v>15</v>
      </c>
      <c r="K183">
        <v>21.95</v>
      </c>
      <c r="M183">
        <v>4</v>
      </c>
      <c r="N183">
        <f>23.28-21.95</f>
        <v>1.3300000000000018</v>
      </c>
      <c r="O183">
        <v>8.56</v>
      </c>
      <c r="Q183">
        <v>4</v>
      </c>
      <c r="R183">
        <f>9.53-8.56</f>
        <v>0.96999999999999886</v>
      </c>
      <c r="U183" t="s">
        <v>239</v>
      </c>
    </row>
    <row r="184" spans="1:23" x14ac:dyDescent="0.2">
      <c r="A184" t="s">
        <v>120</v>
      </c>
      <c r="B184" t="s">
        <v>44</v>
      </c>
      <c r="C184" t="s">
        <v>30</v>
      </c>
      <c r="D184" t="s">
        <v>13</v>
      </c>
      <c r="E184" t="s">
        <v>15</v>
      </c>
      <c r="H184" t="s">
        <v>15</v>
      </c>
      <c r="K184">
        <v>19.3</v>
      </c>
      <c r="M184">
        <v>4</v>
      </c>
      <c r="N184">
        <f>20.5-19.3</f>
        <v>1.1999999999999993</v>
      </c>
      <c r="O184">
        <v>8.56</v>
      </c>
      <c r="Q184">
        <v>4</v>
      </c>
      <c r="R184">
        <f>9.53-8.56</f>
        <v>0.96999999999999886</v>
      </c>
      <c r="U184" t="s">
        <v>239</v>
      </c>
    </row>
    <row r="185" spans="1:23" x14ac:dyDescent="0.2">
      <c r="A185" t="s">
        <v>121</v>
      </c>
      <c r="B185" t="s">
        <v>27</v>
      </c>
      <c r="C185" t="s">
        <v>18</v>
      </c>
      <c r="D185" t="s">
        <v>13</v>
      </c>
      <c r="E185" t="s">
        <v>15</v>
      </c>
      <c r="F185" t="s">
        <v>15</v>
      </c>
      <c r="H185" t="s">
        <v>15</v>
      </c>
      <c r="K185">
        <v>17.45</v>
      </c>
      <c r="M185">
        <v>11</v>
      </c>
      <c r="N185" t="s">
        <v>14</v>
      </c>
      <c r="O185">
        <v>14.28</v>
      </c>
      <c r="Q185">
        <v>11</v>
      </c>
      <c r="R185" t="s">
        <v>14</v>
      </c>
      <c r="U185" t="s">
        <v>218</v>
      </c>
      <c r="W185" t="s">
        <v>246</v>
      </c>
    </row>
    <row r="186" spans="1:23" x14ac:dyDescent="0.2">
      <c r="A186" t="s">
        <v>121</v>
      </c>
      <c r="B186" t="s">
        <v>27</v>
      </c>
      <c r="C186" t="s">
        <v>18</v>
      </c>
      <c r="D186" t="s">
        <v>13</v>
      </c>
      <c r="E186" t="s">
        <v>15</v>
      </c>
      <c r="F186" t="s">
        <v>15</v>
      </c>
      <c r="H186" t="s">
        <v>15</v>
      </c>
      <c r="K186">
        <v>23.69</v>
      </c>
      <c r="M186">
        <v>11</v>
      </c>
      <c r="N186" t="s">
        <v>14</v>
      </c>
      <c r="O186">
        <v>11.11</v>
      </c>
      <c r="Q186">
        <v>11</v>
      </c>
      <c r="R186" t="s">
        <v>14</v>
      </c>
      <c r="U186" t="s">
        <v>218</v>
      </c>
      <c r="W186" t="s">
        <v>246</v>
      </c>
    </row>
    <row r="187" spans="1:23" x14ac:dyDescent="0.2">
      <c r="A187" t="s">
        <v>121</v>
      </c>
      <c r="B187" t="s">
        <v>27</v>
      </c>
      <c r="C187" t="s">
        <v>18</v>
      </c>
      <c r="D187" t="s">
        <v>13</v>
      </c>
      <c r="E187" t="s">
        <v>15</v>
      </c>
      <c r="F187" t="s">
        <v>15</v>
      </c>
      <c r="H187" t="s">
        <v>15</v>
      </c>
      <c r="K187">
        <v>3.88</v>
      </c>
      <c r="M187">
        <v>11</v>
      </c>
      <c r="N187" t="s">
        <v>14</v>
      </c>
      <c r="O187">
        <v>2.68</v>
      </c>
      <c r="Q187">
        <v>11</v>
      </c>
      <c r="R187" t="s">
        <v>14</v>
      </c>
      <c r="U187" t="s">
        <v>218</v>
      </c>
      <c r="W187" t="s">
        <v>246</v>
      </c>
    </row>
    <row r="188" spans="1:23" x14ac:dyDescent="0.2">
      <c r="A188" t="s">
        <v>121</v>
      </c>
      <c r="B188" t="s">
        <v>27</v>
      </c>
      <c r="C188" t="s">
        <v>18</v>
      </c>
      <c r="D188" t="s">
        <v>13</v>
      </c>
      <c r="E188" t="s">
        <v>15</v>
      </c>
      <c r="F188" t="s">
        <v>15</v>
      </c>
      <c r="H188" t="s">
        <v>15</v>
      </c>
      <c r="K188">
        <v>2.95</v>
      </c>
      <c r="M188">
        <v>11</v>
      </c>
      <c r="N188" t="s">
        <v>14</v>
      </c>
      <c r="O188">
        <v>2.41</v>
      </c>
      <c r="Q188">
        <v>11</v>
      </c>
      <c r="R188" t="s">
        <v>14</v>
      </c>
      <c r="U188" t="s">
        <v>218</v>
      </c>
      <c r="W188" t="s">
        <v>246</v>
      </c>
    </row>
    <row r="189" spans="1:23" x14ac:dyDescent="0.2">
      <c r="A189" t="s">
        <v>122</v>
      </c>
      <c r="B189" t="s">
        <v>123</v>
      </c>
      <c r="C189" t="s">
        <v>23</v>
      </c>
      <c r="D189" t="s">
        <v>13</v>
      </c>
      <c r="E189" t="s">
        <v>15</v>
      </c>
      <c r="H189" t="s">
        <v>15</v>
      </c>
      <c r="K189">
        <v>7.77</v>
      </c>
      <c r="M189">
        <v>20</v>
      </c>
      <c r="N189">
        <f>8.68-7.77</f>
        <v>0.91000000000000014</v>
      </c>
      <c r="O189">
        <v>6.27</v>
      </c>
      <c r="Q189">
        <v>20</v>
      </c>
      <c r="R189">
        <f>7.2-6.27</f>
        <v>0.9300000000000006</v>
      </c>
      <c r="U189" t="s">
        <v>239</v>
      </c>
    </row>
    <row r="190" spans="1:23" x14ac:dyDescent="0.2">
      <c r="A190" t="s">
        <v>122</v>
      </c>
      <c r="B190" t="s">
        <v>123</v>
      </c>
      <c r="C190" t="s">
        <v>23</v>
      </c>
      <c r="D190" t="s">
        <v>13</v>
      </c>
      <c r="E190" t="s">
        <v>15</v>
      </c>
      <c r="H190" t="s">
        <v>15</v>
      </c>
      <c r="K190">
        <v>5.73</v>
      </c>
      <c r="M190">
        <v>20</v>
      </c>
      <c r="N190">
        <f>6.11-5.73</f>
        <v>0.37999999999999989</v>
      </c>
      <c r="O190">
        <v>2.81</v>
      </c>
      <c r="Q190">
        <v>20</v>
      </c>
      <c r="R190">
        <f>3.05-2.81</f>
        <v>0.23999999999999977</v>
      </c>
      <c r="U190" t="s">
        <v>239</v>
      </c>
    </row>
    <row r="191" spans="1:23" x14ac:dyDescent="0.2">
      <c r="A191" t="s">
        <v>122</v>
      </c>
      <c r="B191" t="s">
        <v>123</v>
      </c>
      <c r="C191" t="s">
        <v>23</v>
      </c>
      <c r="D191" t="s">
        <v>13</v>
      </c>
      <c r="E191" t="s">
        <v>15</v>
      </c>
      <c r="H191" t="s">
        <v>15</v>
      </c>
      <c r="K191">
        <v>4.9000000000000004</v>
      </c>
      <c r="M191">
        <v>20</v>
      </c>
      <c r="N191">
        <f>5.28-4.9</f>
        <v>0.37999999999999989</v>
      </c>
      <c r="O191">
        <v>2.2999999999999998</v>
      </c>
      <c r="Q191">
        <v>20</v>
      </c>
      <c r="R191">
        <f>2.54-2.3</f>
        <v>0.24000000000000021</v>
      </c>
      <c r="U191" t="s">
        <v>239</v>
      </c>
    </row>
    <row r="192" spans="1:23" x14ac:dyDescent="0.2">
      <c r="A192" t="s">
        <v>124</v>
      </c>
      <c r="B192" t="s">
        <v>125</v>
      </c>
      <c r="C192" t="s">
        <v>30</v>
      </c>
      <c r="D192" t="s">
        <v>13</v>
      </c>
      <c r="E192" t="s">
        <v>15</v>
      </c>
      <c r="H192" t="s">
        <v>15</v>
      </c>
      <c r="K192" t="s">
        <v>14</v>
      </c>
      <c r="L192" t="s">
        <v>14</v>
      </c>
      <c r="M192" t="s">
        <v>14</v>
      </c>
      <c r="N192" t="s">
        <v>14</v>
      </c>
      <c r="O192" t="s">
        <v>14</v>
      </c>
      <c r="P192" t="s">
        <v>14</v>
      </c>
      <c r="Q192" t="s">
        <v>14</v>
      </c>
      <c r="R192" t="s">
        <v>14</v>
      </c>
      <c r="W192" t="s">
        <v>229</v>
      </c>
    </row>
    <row r="193" spans="1:23" x14ac:dyDescent="0.2">
      <c r="A193" t="s">
        <v>124</v>
      </c>
      <c r="B193" t="s">
        <v>29</v>
      </c>
      <c r="C193" t="s">
        <v>30</v>
      </c>
      <c r="D193" t="s">
        <v>13</v>
      </c>
      <c r="E193" t="s">
        <v>15</v>
      </c>
      <c r="H193" t="s">
        <v>15</v>
      </c>
      <c r="K193" t="s">
        <v>14</v>
      </c>
      <c r="L193" t="s">
        <v>14</v>
      </c>
      <c r="M193" t="s">
        <v>14</v>
      </c>
      <c r="N193" t="s">
        <v>14</v>
      </c>
      <c r="O193" t="s">
        <v>14</v>
      </c>
      <c r="P193" t="s">
        <v>14</v>
      </c>
      <c r="Q193" t="s">
        <v>14</v>
      </c>
      <c r="R193" t="s">
        <v>14</v>
      </c>
      <c r="W193" t="s">
        <v>229</v>
      </c>
    </row>
    <row r="194" spans="1:23" x14ac:dyDescent="0.2">
      <c r="A194" t="s">
        <v>126</v>
      </c>
      <c r="B194" t="s">
        <v>127</v>
      </c>
      <c r="C194" t="s">
        <v>32</v>
      </c>
      <c r="D194" t="s">
        <v>13</v>
      </c>
      <c r="E194" t="s">
        <v>15</v>
      </c>
      <c r="I194" t="s">
        <v>15</v>
      </c>
      <c r="K194">
        <v>7.43</v>
      </c>
      <c r="L194">
        <f>8.62-7.43</f>
        <v>1.1899999999999995</v>
      </c>
      <c r="M194">
        <v>10</v>
      </c>
      <c r="O194">
        <v>6.35</v>
      </c>
      <c r="P194">
        <f>7.97-6.35</f>
        <v>1.62</v>
      </c>
      <c r="Q194">
        <v>10</v>
      </c>
      <c r="U194" t="s">
        <v>221</v>
      </c>
    </row>
    <row r="195" spans="1:23" x14ac:dyDescent="0.2">
      <c r="A195" t="s">
        <v>126</v>
      </c>
      <c r="B195" t="s">
        <v>127</v>
      </c>
      <c r="C195" t="s">
        <v>32</v>
      </c>
      <c r="D195" t="s">
        <v>13</v>
      </c>
      <c r="E195" t="s">
        <v>15</v>
      </c>
      <c r="I195" t="s">
        <v>15</v>
      </c>
      <c r="K195">
        <v>4.3099999999999996</v>
      </c>
      <c r="L195">
        <f>4.85-4.31</f>
        <v>0.54</v>
      </c>
      <c r="M195">
        <v>10</v>
      </c>
      <c r="O195">
        <v>3.98</v>
      </c>
      <c r="P195">
        <v>0</v>
      </c>
      <c r="Q195">
        <v>10</v>
      </c>
      <c r="U195" t="s">
        <v>221</v>
      </c>
    </row>
    <row r="196" spans="1:23" x14ac:dyDescent="0.2">
      <c r="A196" t="s">
        <v>128</v>
      </c>
      <c r="B196" t="s">
        <v>129</v>
      </c>
      <c r="C196" t="s">
        <v>35</v>
      </c>
      <c r="D196" t="s">
        <v>13</v>
      </c>
      <c r="F196" t="s">
        <v>15</v>
      </c>
      <c r="H196" t="s">
        <v>15</v>
      </c>
      <c r="K196">
        <v>60.25</v>
      </c>
      <c r="L196">
        <v>18.63</v>
      </c>
      <c r="M196">
        <v>4</v>
      </c>
      <c r="O196">
        <v>32.75</v>
      </c>
      <c r="P196">
        <v>11.5</v>
      </c>
      <c r="Q196">
        <v>4</v>
      </c>
      <c r="U196" t="s">
        <v>266</v>
      </c>
      <c r="W196" t="s">
        <v>261</v>
      </c>
    </row>
    <row r="197" spans="1:23" x14ac:dyDescent="0.2">
      <c r="A197" t="s">
        <v>128</v>
      </c>
      <c r="B197" t="s">
        <v>129</v>
      </c>
      <c r="C197" t="s">
        <v>35</v>
      </c>
      <c r="D197" t="s">
        <v>13</v>
      </c>
      <c r="F197" t="s">
        <v>15</v>
      </c>
      <c r="H197" t="s">
        <v>15</v>
      </c>
      <c r="K197">
        <v>46.25</v>
      </c>
      <c r="L197">
        <v>14.77</v>
      </c>
      <c r="M197">
        <v>4</v>
      </c>
      <c r="O197">
        <v>30</v>
      </c>
      <c r="P197">
        <v>9.06</v>
      </c>
      <c r="Q197">
        <v>4</v>
      </c>
      <c r="U197" t="s">
        <v>266</v>
      </c>
    </row>
    <row r="198" spans="1:23" x14ac:dyDescent="0.2">
      <c r="A198" t="s">
        <v>128</v>
      </c>
      <c r="B198" t="s">
        <v>129</v>
      </c>
      <c r="C198" t="s">
        <v>35</v>
      </c>
      <c r="D198" t="s">
        <v>13</v>
      </c>
      <c r="F198" t="s">
        <v>15</v>
      </c>
      <c r="H198" t="s">
        <v>15</v>
      </c>
      <c r="K198">
        <v>51.75</v>
      </c>
      <c r="L198">
        <v>10.25</v>
      </c>
      <c r="M198">
        <v>4</v>
      </c>
      <c r="O198">
        <v>33.25</v>
      </c>
      <c r="P198">
        <v>6.6</v>
      </c>
      <c r="Q198">
        <v>4</v>
      </c>
      <c r="U198" t="s">
        <v>266</v>
      </c>
    </row>
    <row r="199" spans="1:23" x14ac:dyDescent="0.2">
      <c r="A199" t="s">
        <v>130</v>
      </c>
      <c r="B199" t="s">
        <v>131</v>
      </c>
      <c r="C199" t="s">
        <v>12</v>
      </c>
      <c r="D199" t="s">
        <v>13</v>
      </c>
      <c r="E199" t="s">
        <v>15</v>
      </c>
      <c r="H199" t="s">
        <v>15</v>
      </c>
      <c r="K199">
        <v>16.59</v>
      </c>
      <c r="M199">
        <v>10</v>
      </c>
      <c r="N199">
        <f>17.53-16.59</f>
        <v>0.94000000000000128</v>
      </c>
      <c r="O199">
        <v>3.41</v>
      </c>
      <c r="Q199">
        <v>10</v>
      </c>
      <c r="R199">
        <f>3.65-3.41</f>
        <v>0.23999999999999977</v>
      </c>
      <c r="U199" t="s">
        <v>210</v>
      </c>
    </row>
    <row r="200" spans="1:23" x14ac:dyDescent="0.2">
      <c r="A200" t="s">
        <v>130</v>
      </c>
      <c r="B200" t="s">
        <v>131</v>
      </c>
      <c r="C200" t="s">
        <v>12</v>
      </c>
      <c r="D200" t="s">
        <v>13</v>
      </c>
      <c r="E200" t="s">
        <v>15</v>
      </c>
      <c r="H200" t="s">
        <v>15</v>
      </c>
      <c r="K200">
        <v>11.41</v>
      </c>
      <c r="M200">
        <v>10</v>
      </c>
      <c r="N200">
        <f>12.47-11.41</f>
        <v>1.0600000000000005</v>
      </c>
      <c r="O200">
        <v>2.36</v>
      </c>
      <c r="Q200">
        <v>10</v>
      </c>
      <c r="R200">
        <f>2.59-2.36</f>
        <v>0.22999999999999998</v>
      </c>
      <c r="U200" t="s">
        <v>210</v>
      </c>
    </row>
    <row r="201" spans="1:23" x14ac:dyDescent="0.2">
      <c r="A201" t="s">
        <v>130</v>
      </c>
      <c r="B201" t="s">
        <v>131</v>
      </c>
      <c r="C201" t="s">
        <v>12</v>
      </c>
      <c r="D201" t="s">
        <v>13</v>
      </c>
      <c r="E201" t="s">
        <v>15</v>
      </c>
      <c r="H201" t="s">
        <v>15</v>
      </c>
      <c r="K201">
        <v>15.76</v>
      </c>
      <c r="M201">
        <v>10</v>
      </c>
      <c r="N201">
        <f>16.71-15.76</f>
        <v>0.95000000000000107</v>
      </c>
      <c r="O201">
        <v>4.12</v>
      </c>
      <c r="Q201">
        <v>10</v>
      </c>
      <c r="R201">
        <f>4.59-4.12</f>
        <v>0.46999999999999975</v>
      </c>
      <c r="U201" t="s">
        <v>210</v>
      </c>
    </row>
    <row r="202" spans="1:23" x14ac:dyDescent="0.2">
      <c r="A202" t="s">
        <v>130</v>
      </c>
      <c r="B202" t="s">
        <v>131</v>
      </c>
      <c r="C202" t="s">
        <v>12</v>
      </c>
      <c r="D202" t="s">
        <v>13</v>
      </c>
      <c r="E202" t="s">
        <v>15</v>
      </c>
      <c r="H202" t="s">
        <v>15</v>
      </c>
      <c r="K202">
        <v>12.11</v>
      </c>
      <c r="M202">
        <v>10</v>
      </c>
      <c r="N202">
        <f>13.18-12.11</f>
        <v>1.0700000000000003</v>
      </c>
      <c r="O202">
        <v>2.71</v>
      </c>
      <c r="Q202">
        <v>10</v>
      </c>
      <c r="R202">
        <f>3.06-2.71</f>
        <v>0.35000000000000009</v>
      </c>
      <c r="U202" t="s">
        <v>210</v>
      </c>
    </row>
    <row r="203" spans="1:23" x14ac:dyDescent="0.2">
      <c r="A203" t="s">
        <v>130</v>
      </c>
      <c r="B203" t="s">
        <v>131</v>
      </c>
      <c r="C203" t="s">
        <v>12</v>
      </c>
      <c r="D203" t="s">
        <v>13</v>
      </c>
      <c r="E203" t="s">
        <v>15</v>
      </c>
      <c r="H203" t="s">
        <v>15</v>
      </c>
      <c r="K203">
        <v>10.94</v>
      </c>
      <c r="M203">
        <v>10</v>
      </c>
      <c r="N203">
        <f>12.1-10.94</f>
        <v>1.1600000000000001</v>
      </c>
      <c r="O203">
        <v>2.4700000000000002</v>
      </c>
      <c r="Q203">
        <v>10</v>
      </c>
      <c r="R203">
        <f>2.82-2.47</f>
        <v>0.34999999999999964</v>
      </c>
      <c r="U203" t="s">
        <v>210</v>
      </c>
    </row>
    <row r="204" spans="1:23" x14ac:dyDescent="0.2">
      <c r="A204" t="s">
        <v>130</v>
      </c>
      <c r="B204" t="s">
        <v>131</v>
      </c>
      <c r="C204" t="s">
        <v>12</v>
      </c>
      <c r="D204" t="s">
        <v>13</v>
      </c>
      <c r="E204" t="s">
        <v>15</v>
      </c>
      <c r="H204" t="s">
        <v>15</v>
      </c>
      <c r="K204">
        <v>14</v>
      </c>
      <c r="M204">
        <v>10</v>
      </c>
      <c r="N204">
        <f>15.18-14</f>
        <v>1.1799999999999997</v>
      </c>
      <c r="O204">
        <v>1.88</v>
      </c>
      <c r="Q204">
        <v>10</v>
      </c>
      <c r="R204">
        <f>2.35-1.88</f>
        <v>0.4700000000000002</v>
      </c>
      <c r="U204" t="s">
        <v>210</v>
      </c>
    </row>
    <row r="205" spans="1:23" x14ac:dyDescent="0.2">
      <c r="A205" t="s">
        <v>130</v>
      </c>
      <c r="B205" t="s">
        <v>131</v>
      </c>
      <c r="C205" t="s">
        <v>12</v>
      </c>
      <c r="D205" t="s">
        <v>13</v>
      </c>
      <c r="E205" t="s">
        <v>15</v>
      </c>
      <c r="H205" t="s">
        <v>15</v>
      </c>
      <c r="K205">
        <v>11.88</v>
      </c>
      <c r="M205">
        <v>10</v>
      </c>
      <c r="N205">
        <f>13.06-11.88</f>
        <v>1.1799999999999997</v>
      </c>
      <c r="O205">
        <v>1.76</v>
      </c>
      <c r="Q205">
        <v>10</v>
      </c>
      <c r="R205">
        <f>2.24-1.76</f>
        <v>0.4800000000000002</v>
      </c>
      <c r="U205" t="s">
        <v>210</v>
      </c>
    </row>
    <row r="206" spans="1:23" x14ac:dyDescent="0.2">
      <c r="A206" t="s">
        <v>130</v>
      </c>
      <c r="B206" t="s">
        <v>131</v>
      </c>
      <c r="C206" t="s">
        <v>12</v>
      </c>
      <c r="D206" t="s">
        <v>13</v>
      </c>
      <c r="E206" t="s">
        <v>15</v>
      </c>
      <c r="H206" t="s">
        <v>15</v>
      </c>
      <c r="K206">
        <v>11.41</v>
      </c>
      <c r="M206">
        <v>10</v>
      </c>
      <c r="N206">
        <f>12.82-11.41</f>
        <v>1.4100000000000001</v>
      </c>
      <c r="O206">
        <v>1.88</v>
      </c>
      <c r="Q206">
        <v>10</v>
      </c>
      <c r="R206">
        <f>2-1.88</f>
        <v>0.12000000000000011</v>
      </c>
      <c r="U206" t="s">
        <v>210</v>
      </c>
    </row>
    <row r="207" spans="1:23" x14ac:dyDescent="0.2">
      <c r="A207" t="s">
        <v>132</v>
      </c>
      <c r="B207" t="s">
        <v>133</v>
      </c>
      <c r="C207" t="s">
        <v>35</v>
      </c>
      <c r="D207" t="s">
        <v>13</v>
      </c>
      <c r="E207" t="s">
        <v>15</v>
      </c>
      <c r="F207" t="s">
        <v>15</v>
      </c>
      <c r="H207" t="s">
        <v>15</v>
      </c>
      <c r="M207">
        <v>40</v>
      </c>
      <c r="N207">
        <v>0.15</v>
      </c>
      <c r="Q207">
        <v>40</v>
      </c>
      <c r="R207">
        <v>0.17</v>
      </c>
      <c r="U207" t="s">
        <v>202</v>
      </c>
      <c r="W207" t="s">
        <v>253</v>
      </c>
    </row>
    <row r="208" spans="1:23" x14ac:dyDescent="0.2">
      <c r="A208" t="s">
        <v>134</v>
      </c>
      <c r="B208" t="s">
        <v>29</v>
      </c>
      <c r="C208" t="s">
        <v>30</v>
      </c>
      <c r="D208" t="s">
        <v>13</v>
      </c>
      <c r="E208" t="s">
        <v>15</v>
      </c>
      <c r="F208" t="s">
        <v>15</v>
      </c>
      <c r="H208" t="s">
        <v>15</v>
      </c>
      <c r="K208">
        <v>39.9</v>
      </c>
      <c r="L208">
        <f>44.08-39.9</f>
        <v>4.18</v>
      </c>
      <c r="M208">
        <v>5</v>
      </c>
      <c r="O208">
        <v>7.67</v>
      </c>
      <c r="P208">
        <f>10.8-7.67</f>
        <v>3.1300000000000008</v>
      </c>
      <c r="Q208">
        <v>15</v>
      </c>
      <c r="U208" t="s">
        <v>218</v>
      </c>
    </row>
    <row r="209" spans="1:23" x14ac:dyDescent="0.2">
      <c r="A209" t="s">
        <v>134</v>
      </c>
      <c r="B209" t="s">
        <v>29</v>
      </c>
      <c r="C209" t="s">
        <v>30</v>
      </c>
      <c r="D209" t="s">
        <v>13</v>
      </c>
      <c r="E209" t="s">
        <v>15</v>
      </c>
      <c r="F209" t="s">
        <v>15</v>
      </c>
      <c r="H209" t="s">
        <v>15</v>
      </c>
      <c r="K209">
        <v>33.1</v>
      </c>
      <c r="L209">
        <f>35.54-33.1</f>
        <v>2.4399999999999977</v>
      </c>
      <c r="M209">
        <v>5</v>
      </c>
      <c r="O209">
        <v>5.57</v>
      </c>
      <c r="P209">
        <f>7.32</f>
        <v>7.32</v>
      </c>
      <c r="Q209">
        <v>5</v>
      </c>
      <c r="U209" t="s">
        <v>218</v>
      </c>
      <c r="W209" t="s">
        <v>247</v>
      </c>
    </row>
    <row r="210" spans="1:23" x14ac:dyDescent="0.2">
      <c r="A210" t="s">
        <v>135</v>
      </c>
      <c r="B210" t="s">
        <v>63</v>
      </c>
      <c r="C210" t="s">
        <v>23</v>
      </c>
      <c r="D210" t="s">
        <v>13</v>
      </c>
      <c r="E210" t="s">
        <v>15</v>
      </c>
      <c r="H210" t="s">
        <v>15</v>
      </c>
      <c r="K210" t="s">
        <v>14</v>
      </c>
      <c r="L210" t="s">
        <v>14</v>
      </c>
      <c r="M210" t="s">
        <v>14</v>
      </c>
      <c r="N210" t="s">
        <v>14</v>
      </c>
      <c r="O210" t="s">
        <v>14</v>
      </c>
      <c r="P210" t="s">
        <v>14</v>
      </c>
      <c r="Q210" t="s">
        <v>14</v>
      </c>
      <c r="W210" t="s">
        <v>229</v>
      </c>
    </row>
    <row r="211" spans="1:23" x14ac:dyDescent="0.2">
      <c r="A211" t="s">
        <v>136</v>
      </c>
      <c r="B211" t="s">
        <v>137</v>
      </c>
      <c r="C211" t="s">
        <v>78</v>
      </c>
      <c r="D211" t="s">
        <v>13</v>
      </c>
      <c r="E211" t="s">
        <v>15</v>
      </c>
      <c r="I211" t="s">
        <v>15</v>
      </c>
      <c r="K211">
        <v>16.82</v>
      </c>
      <c r="M211">
        <v>10</v>
      </c>
      <c r="N211">
        <f>19.94-16.82</f>
        <v>3.120000000000001</v>
      </c>
      <c r="O211">
        <v>10.69</v>
      </c>
      <c r="Q211">
        <v>10</v>
      </c>
      <c r="R211">
        <f>11.89-10.69</f>
        <v>1.2000000000000011</v>
      </c>
      <c r="U211" t="s">
        <v>239</v>
      </c>
    </row>
    <row r="212" spans="1:23" x14ac:dyDescent="0.2">
      <c r="A212" t="s">
        <v>136</v>
      </c>
      <c r="B212" t="s">
        <v>138</v>
      </c>
      <c r="C212" t="s">
        <v>12</v>
      </c>
      <c r="D212" t="s">
        <v>13</v>
      </c>
      <c r="E212" t="s">
        <v>15</v>
      </c>
      <c r="I212" t="s">
        <v>15</v>
      </c>
      <c r="K212">
        <v>24.26</v>
      </c>
      <c r="M212">
        <v>10</v>
      </c>
      <c r="N212">
        <f>25.59-24.26</f>
        <v>1.3299999999999983</v>
      </c>
      <c r="O212">
        <v>10.69</v>
      </c>
      <c r="Q212">
        <v>10</v>
      </c>
      <c r="R212">
        <f>11.89-10.69</f>
        <v>1.2000000000000011</v>
      </c>
      <c r="U212" t="s">
        <v>239</v>
      </c>
    </row>
    <row r="213" spans="1:23" x14ac:dyDescent="0.2">
      <c r="A213" t="s">
        <v>136</v>
      </c>
      <c r="B213" t="s">
        <v>139</v>
      </c>
      <c r="C213" t="s">
        <v>78</v>
      </c>
      <c r="D213" t="s">
        <v>13</v>
      </c>
      <c r="E213" t="s">
        <v>15</v>
      </c>
      <c r="I213" t="s">
        <v>15</v>
      </c>
      <c r="K213">
        <v>34.590000000000003</v>
      </c>
      <c r="M213">
        <v>10</v>
      </c>
      <c r="N213">
        <f>36.52-34.59</f>
        <v>1.9299999999999997</v>
      </c>
      <c r="O213">
        <v>10.69</v>
      </c>
      <c r="Q213">
        <v>10</v>
      </c>
      <c r="R213">
        <f>11.89-10.69</f>
        <v>1.2000000000000011</v>
      </c>
      <c r="U213" t="s">
        <v>239</v>
      </c>
    </row>
    <row r="214" spans="1:23" x14ac:dyDescent="0.2">
      <c r="A214" t="s">
        <v>136</v>
      </c>
      <c r="B214" t="s">
        <v>137</v>
      </c>
      <c r="C214" t="s">
        <v>78</v>
      </c>
      <c r="D214" t="s">
        <v>13</v>
      </c>
      <c r="E214" t="s">
        <v>15</v>
      </c>
      <c r="I214" t="s">
        <v>15</v>
      </c>
      <c r="K214">
        <v>11.53</v>
      </c>
      <c r="M214">
        <v>10</v>
      </c>
      <c r="N214">
        <f>11.95-11.53</f>
        <v>0.41999999999999993</v>
      </c>
      <c r="O214">
        <v>8.6999999999999993</v>
      </c>
      <c r="Q214">
        <v>2</v>
      </c>
      <c r="R214">
        <f>9.3-8.7</f>
        <v>0.60000000000000142</v>
      </c>
      <c r="U214" t="s">
        <v>221</v>
      </c>
      <c r="W214" t="s">
        <v>248</v>
      </c>
    </row>
    <row r="215" spans="1:23" x14ac:dyDescent="0.2">
      <c r="A215" t="s">
        <v>136</v>
      </c>
      <c r="B215" t="s">
        <v>138</v>
      </c>
      <c r="C215" t="s">
        <v>12</v>
      </c>
      <c r="D215" t="s">
        <v>13</v>
      </c>
      <c r="E215" t="s">
        <v>15</v>
      </c>
      <c r="I215" t="s">
        <v>15</v>
      </c>
      <c r="K215">
        <v>10.19</v>
      </c>
      <c r="M215">
        <v>10</v>
      </c>
      <c r="N215">
        <f>10.7-10.19</f>
        <v>0.50999999999999979</v>
      </c>
      <c r="O215">
        <v>8.6999999999999993</v>
      </c>
      <c r="Q215">
        <v>2</v>
      </c>
      <c r="R215">
        <f>9.3-8.7</f>
        <v>0.60000000000000142</v>
      </c>
      <c r="U215" t="s">
        <v>221</v>
      </c>
      <c r="W215" t="s">
        <v>248</v>
      </c>
    </row>
    <row r="216" spans="1:23" x14ac:dyDescent="0.2">
      <c r="A216" t="s">
        <v>136</v>
      </c>
      <c r="B216" t="s">
        <v>139</v>
      </c>
      <c r="C216" t="s">
        <v>78</v>
      </c>
      <c r="D216" t="s">
        <v>13</v>
      </c>
      <c r="E216" t="s">
        <v>15</v>
      </c>
      <c r="I216" t="s">
        <v>15</v>
      </c>
      <c r="K216">
        <v>10.74</v>
      </c>
      <c r="M216">
        <v>10</v>
      </c>
      <c r="N216">
        <f>11.12-10.74</f>
        <v>0.37999999999999901</v>
      </c>
      <c r="O216">
        <v>8.6999999999999993</v>
      </c>
      <c r="Q216">
        <v>2</v>
      </c>
      <c r="R216">
        <f>9.3-8.7</f>
        <v>0.60000000000000142</v>
      </c>
      <c r="U216" t="s">
        <v>221</v>
      </c>
      <c r="W216" t="s">
        <v>248</v>
      </c>
    </row>
    <row r="217" spans="1:23" x14ac:dyDescent="0.2">
      <c r="A217" t="s">
        <v>140</v>
      </c>
      <c r="B217" t="s">
        <v>141</v>
      </c>
      <c r="C217" t="s">
        <v>20</v>
      </c>
      <c r="D217" t="s">
        <v>13</v>
      </c>
      <c r="E217" t="s">
        <v>15</v>
      </c>
      <c r="H217" t="s">
        <v>15</v>
      </c>
      <c r="K217">
        <v>5.0599999999999996</v>
      </c>
      <c r="L217">
        <f>5.84-5.06</f>
        <v>0.78000000000000025</v>
      </c>
      <c r="M217">
        <v>3</v>
      </c>
      <c r="O217">
        <v>2.73</v>
      </c>
      <c r="P217">
        <f>3.71-2.73</f>
        <v>0.98</v>
      </c>
      <c r="Q217">
        <v>3</v>
      </c>
      <c r="U217" t="s">
        <v>221</v>
      </c>
    </row>
    <row r="218" spans="1:23" x14ac:dyDescent="0.2">
      <c r="A218" t="s">
        <v>140</v>
      </c>
      <c r="B218" t="s">
        <v>141</v>
      </c>
      <c r="C218" t="s">
        <v>20</v>
      </c>
      <c r="D218" t="s">
        <v>13</v>
      </c>
      <c r="F218" t="s">
        <v>15</v>
      </c>
      <c r="H218" t="s">
        <v>15</v>
      </c>
      <c r="K218">
        <v>3.73</v>
      </c>
      <c r="L218">
        <f>4.7-3.73</f>
        <v>0.9700000000000002</v>
      </c>
      <c r="M218">
        <v>3</v>
      </c>
      <c r="O218">
        <v>1.22</v>
      </c>
      <c r="P218">
        <f>1.72-1.22</f>
        <v>0.5</v>
      </c>
      <c r="Q218">
        <v>3</v>
      </c>
      <c r="U218" t="s">
        <v>218</v>
      </c>
    </row>
    <row r="219" spans="1:23" x14ac:dyDescent="0.2">
      <c r="A219" t="s">
        <v>142</v>
      </c>
      <c r="B219" t="s">
        <v>44</v>
      </c>
      <c r="C219" t="s">
        <v>12</v>
      </c>
      <c r="D219" t="s">
        <v>13</v>
      </c>
      <c r="E219" t="s">
        <v>15</v>
      </c>
      <c r="H219" t="s">
        <v>15</v>
      </c>
      <c r="K219">
        <v>15.6</v>
      </c>
      <c r="M219">
        <v>10</v>
      </c>
      <c r="N219">
        <f>17.59-15.6</f>
        <v>1.9900000000000002</v>
      </c>
      <c r="O219">
        <v>13.4</v>
      </c>
      <c r="Q219">
        <v>10</v>
      </c>
      <c r="R219">
        <v>15.19</v>
      </c>
      <c r="U219" t="s">
        <v>239</v>
      </c>
    </row>
    <row r="220" spans="1:23" x14ac:dyDescent="0.2">
      <c r="A220" t="s">
        <v>142</v>
      </c>
      <c r="B220" t="s">
        <v>118</v>
      </c>
      <c r="C220" t="s">
        <v>23</v>
      </c>
      <c r="D220" t="s">
        <v>13</v>
      </c>
      <c r="E220" t="s">
        <v>15</v>
      </c>
      <c r="H220" t="s">
        <v>15</v>
      </c>
      <c r="K220">
        <v>14.63</v>
      </c>
      <c r="M220">
        <v>10</v>
      </c>
      <c r="N220">
        <f>16.98-14.63</f>
        <v>2.3499999999999996</v>
      </c>
      <c r="O220">
        <v>13.4</v>
      </c>
      <c r="Q220">
        <v>10</v>
      </c>
      <c r="R220">
        <v>15.19</v>
      </c>
      <c r="U220" t="s">
        <v>239</v>
      </c>
    </row>
    <row r="221" spans="1:23" x14ac:dyDescent="0.2">
      <c r="A221" t="s">
        <v>142</v>
      </c>
      <c r="B221" t="s">
        <v>143</v>
      </c>
      <c r="C221" t="s">
        <v>116</v>
      </c>
      <c r="D221" t="s">
        <v>13</v>
      </c>
      <c r="E221" t="s">
        <v>15</v>
      </c>
      <c r="H221" t="s">
        <v>15</v>
      </c>
      <c r="K221">
        <v>15.7</v>
      </c>
      <c r="M221">
        <v>10</v>
      </c>
      <c r="N221">
        <f>17.39</f>
        <v>17.39</v>
      </c>
      <c r="O221">
        <v>13.4</v>
      </c>
      <c r="Q221">
        <v>10</v>
      </c>
      <c r="R221">
        <v>15.19</v>
      </c>
      <c r="U221" t="s">
        <v>239</v>
      </c>
    </row>
    <row r="222" spans="1:23" x14ac:dyDescent="0.2">
      <c r="A222" t="s">
        <v>144</v>
      </c>
      <c r="B222" t="s">
        <v>145</v>
      </c>
      <c r="C222" t="s">
        <v>12</v>
      </c>
      <c r="D222" t="s">
        <v>13</v>
      </c>
      <c r="E222" t="s">
        <v>15</v>
      </c>
      <c r="F222" t="s">
        <v>15</v>
      </c>
      <c r="H222" t="s">
        <v>15</v>
      </c>
      <c r="K222" t="s">
        <v>14</v>
      </c>
      <c r="L222" t="s">
        <v>14</v>
      </c>
      <c r="M222" t="s">
        <v>14</v>
      </c>
      <c r="N222" t="s">
        <v>14</v>
      </c>
      <c r="O222" t="s">
        <v>14</v>
      </c>
      <c r="P222" t="s">
        <v>14</v>
      </c>
      <c r="Q222" t="s">
        <v>14</v>
      </c>
      <c r="R222" t="s">
        <v>14</v>
      </c>
      <c r="W222" t="s">
        <v>229</v>
      </c>
    </row>
    <row r="223" spans="1:23" x14ac:dyDescent="0.2">
      <c r="A223" t="s">
        <v>146</v>
      </c>
      <c r="B223" t="s">
        <v>129</v>
      </c>
      <c r="C223" t="s">
        <v>35</v>
      </c>
      <c r="D223" t="s">
        <v>13</v>
      </c>
      <c r="E223" t="s">
        <v>15</v>
      </c>
      <c r="F223" t="s">
        <v>15</v>
      </c>
      <c r="H223" t="s">
        <v>15</v>
      </c>
      <c r="K223">
        <v>4.09</v>
      </c>
      <c r="M223">
        <v>10</v>
      </c>
      <c r="N223">
        <f>4.39-4.09</f>
        <v>0.29999999999999982</v>
      </c>
      <c r="O223">
        <v>3.55</v>
      </c>
      <c r="Q223">
        <v>10</v>
      </c>
      <c r="R223">
        <f>4.29-3.55</f>
        <v>0.74000000000000021</v>
      </c>
      <c r="U223" t="s">
        <v>239</v>
      </c>
    </row>
    <row r="224" spans="1:23" x14ac:dyDescent="0.2">
      <c r="A224" t="s">
        <v>146</v>
      </c>
      <c r="B224" t="s">
        <v>147</v>
      </c>
      <c r="C224" t="s">
        <v>18</v>
      </c>
      <c r="D224" t="s">
        <v>13</v>
      </c>
      <c r="E224" t="s">
        <v>15</v>
      </c>
      <c r="F224" t="s">
        <v>15</v>
      </c>
      <c r="H224" t="s">
        <v>15</v>
      </c>
      <c r="K224">
        <v>6.67</v>
      </c>
      <c r="M224">
        <v>10</v>
      </c>
      <c r="N224">
        <f>7.21-6.67</f>
        <v>0.54</v>
      </c>
      <c r="O224">
        <v>3.55</v>
      </c>
      <c r="Q224">
        <v>10</v>
      </c>
      <c r="R224">
        <f>4.29-3.55</f>
        <v>0.74000000000000021</v>
      </c>
      <c r="U224" t="s">
        <v>239</v>
      </c>
    </row>
    <row r="225" spans="1:23" x14ac:dyDescent="0.2">
      <c r="A225" t="s">
        <v>146</v>
      </c>
      <c r="B225" t="s">
        <v>129</v>
      </c>
      <c r="C225" t="s">
        <v>35</v>
      </c>
      <c r="D225" t="s">
        <v>13</v>
      </c>
      <c r="E225" t="s">
        <v>15</v>
      </c>
      <c r="F225" t="s">
        <v>15</v>
      </c>
      <c r="H225" t="s">
        <v>15</v>
      </c>
      <c r="K225">
        <v>5.99</v>
      </c>
      <c r="M225">
        <v>10</v>
      </c>
      <c r="N225">
        <f>6.37-5.99</f>
        <v>0.37999999999999989</v>
      </c>
      <c r="O225">
        <v>4.5599999999999996</v>
      </c>
      <c r="Q225">
        <v>10</v>
      </c>
      <c r="R225">
        <f>4.9-4.56</f>
        <v>0.34000000000000075</v>
      </c>
      <c r="U225" t="s">
        <v>239</v>
      </c>
    </row>
    <row r="226" spans="1:23" x14ac:dyDescent="0.2">
      <c r="A226" t="s">
        <v>146</v>
      </c>
      <c r="B226" t="s">
        <v>147</v>
      </c>
      <c r="C226" t="s">
        <v>18</v>
      </c>
      <c r="D226" t="s">
        <v>13</v>
      </c>
      <c r="E226" t="s">
        <v>15</v>
      </c>
      <c r="F226" t="s">
        <v>15</v>
      </c>
      <c r="H226" t="s">
        <v>15</v>
      </c>
      <c r="K226">
        <v>7.17</v>
      </c>
      <c r="M226">
        <v>10</v>
      </c>
      <c r="N226">
        <f>7.75-7.17</f>
        <v>0.58000000000000007</v>
      </c>
      <c r="O226">
        <v>4.5599999999999996</v>
      </c>
      <c r="Q226">
        <v>10</v>
      </c>
      <c r="R226">
        <f>4.9-4.56</f>
        <v>0.34000000000000075</v>
      </c>
      <c r="U226" t="s">
        <v>239</v>
      </c>
    </row>
    <row r="227" spans="1:23" x14ac:dyDescent="0.2">
      <c r="A227" t="s">
        <v>148</v>
      </c>
      <c r="B227" t="s">
        <v>44</v>
      </c>
      <c r="C227" t="s">
        <v>12</v>
      </c>
      <c r="D227" t="s">
        <v>13</v>
      </c>
      <c r="E227" t="s">
        <v>15</v>
      </c>
      <c r="F227" t="s">
        <v>15</v>
      </c>
      <c r="H227" t="s">
        <v>15</v>
      </c>
      <c r="K227">
        <v>16.59</v>
      </c>
      <c r="L227">
        <f>18.57-16.59</f>
        <v>1.9800000000000004</v>
      </c>
      <c r="M227">
        <v>12</v>
      </c>
      <c r="O227">
        <v>5.16</v>
      </c>
      <c r="P227">
        <f>6.37-5.16</f>
        <v>1.21</v>
      </c>
      <c r="Q227">
        <v>12</v>
      </c>
      <c r="U227" t="s">
        <v>218</v>
      </c>
    </row>
    <row r="228" spans="1:23" x14ac:dyDescent="0.2">
      <c r="A228" t="s">
        <v>148</v>
      </c>
      <c r="B228" t="s">
        <v>149</v>
      </c>
      <c r="C228" t="s">
        <v>12</v>
      </c>
      <c r="D228" t="s">
        <v>13</v>
      </c>
      <c r="E228" t="s">
        <v>15</v>
      </c>
      <c r="F228" t="s">
        <v>15</v>
      </c>
      <c r="H228" t="s">
        <v>15</v>
      </c>
      <c r="K228">
        <v>11.05</v>
      </c>
      <c r="L228">
        <f>12.38-11.05</f>
        <v>1.33</v>
      </c>
      <c r="M228">
        <v>12</v>
      </c>
      <c r="O228">
        <v>7.85</v>
      </c>
      <c r="P228">
        <f>9.17-7.85</f>
        <v>1.3200000000000003</v>
      </c>
      <c r="Q228">
        <v>12</v>
      </c>
      <c r="U228" t="s">
        <v>218</v>
      </c>
    </row>
    <row r="229" spans="1:23" x14ac:dyDescent="0.2">
      <c r="A229" t="s">
        <v>148</v>
      </c>
      <c r="B229" t="s">
        <v>150</v>
      </c>
      <c r="C229" t="s">
        <v>12</v>
      </c>
      <c r="D229" t="s">
        <v>13</v>
      </c>
      <c r="E229" t="s">
        <v>15</v>
      </c>
      <c r="F229" t="s">
        <v>15</v>
      </c>
      <c r="H229" t="s">
        <v>15</v>
      </c>
      <c r="K229">
        <v>2.64</v>
      </c>
      <c r="L229">
        <f>3.96-2.64</f>
        <v>1.3199999999999998</v>
      </c>
      <c r="M229">
        <v>12</v>
      </c>
      <c r="O229">
        <v>4.07</v>
      </c>
      <c r="P229">
        <f>5.82-4.07</f>
        <v>1.75</v>
      </c>
      <c r="Q229">
        <v>12</v>
      </c>
      <c r="U229" t="s">
        <v>218</v>
      </c>
    </row>
    <row r="230" spans="1:23" x14ac:dyDescent="0.2">
      <c r="A230" t="s">
        <v>148</v>
      </c>
      <c r="B230" t="s">
        <v>151</v>
      </c>
      <c r="C230" t="s">
        <v>12</v>
      </c>
      <c r="D230" t="s">
        <v>13</v>
      </c>
      <c r="E230" t="s">
        <v>15</v>
      </c>
      <c r="F230" t="s">
        <v>15</v>
      </c>
      <c r="H230" t="s">
        <v>15</v>
      </c>
      <c r="K230">
        <v>13.48</v>
      </c>
      <c r="L230">
        <f>14.92-13.48</f>
        <v>1.4399999999999995</v>
      </c>
      <c r="M230">
        <v>12</v>
      </c>
      <c r="O230">
        <v>9.5</v>
      </c>
      <c r="P230">
        <f>11.6-9.5</f>
        <v>2.0999999999999996</v>
      </c>
      <c r="Q230">
        <v>12</v>
      </c>
      <c r="U230" t="s">
        <v>218</v>
      </c>
    </row>
    <row r="231" spans="1:23" x14ac:dyDescent="0.2">
      <c r="A231" t="s">
        <v>152</v>
      </c>
      <c r="B231" t="s">
        <v>41</v>
      </c>
      <c r="C231" t="s">
        <v>18</v>
      </c>
      <c r="D231" t="s">
        <v>13</v>
      </c>
      <c r="F231" t="s">
        <v>15</v>
      </c>
      <c r="H231" t="s">
        <v>15</v>
      </c>
      <c r="K231">
        <v>7.67</v>
      </c>
      <c r="M231">
        <v>15</v>
      </c>
      <c r="N231">
        <v>0.56000000000000005</v>
      </c>
      <c r="O231">
        <v>8.67</v>
      </c>
      <c r="Q231">
        <v>15</v>
      </c>
      <c r="R231">
        <v>0.39</v>
      </c>
      <c r="U231" t="s">
        <v>244</v>
      </c>
    </row>
    <row r="232" spans="1:23" x14ac:dyDescent="0.2">
      <c r="A232" t="s">
        <v>152</v>
      </c>
      <c r="B232" t="s">
        <v>153</v>
      </c>
      <c r="C232" t="s">
        <v>32</v>
      </c>
      <c r="D232" t="s">
        <v>13</v>
      </c>
      <c r="F232" t="s">
        <v>15</v>
      </c>
      <c r="H232" t="s">
        <v>15</v>
      </c>
      <c r="K232">
        <v>6.8</v>
      </c>
      <c r="M232">
        <v>15</v>
      </c>
      <c r="N232">
        <v>0.48</v>
      </c>
      <c r="O232">
        <v>8.67</v>
      </c>
      <c r="Q232">
        <v>15</v>
      </c>
      <c r="R232">
        <v>0.39</v>
      </c>
      <c r="U232" t="s">
        <v>244</v>
      </c>
    </row>
    <row r="233" spans="1:23" x14ac:dyDescent="0.2">
      <c r="A233" t="s">
        <v>152</v>
      </c>
      <c r="B233" t="s">
        <v>41</v>
      </c>
      <c r="C233" t="s">
        <v>18</v>
      </c>
      <c r="D233" t="s">
        <v>13</v>
      </c>
      <c r="E233" t="s">
        <v>15</v>
      </c>
      <c r="H233" t="s">
        <v>15</v>
      </c>
      <c r="K233">
        <v>1.4</v>
      </c>
      <c r="M233">
        <v>15</v>
      </c>
      <c r="N233">
        <v>0.13</v>
      </c>
      <c r="O233">
        <v>1.4</v>
      </c>
      <c r="Q233">
        <v>15</v>
      </c>
      <c r="R233">
        <v>0.13</v>
      </c>
      <c r="U233" t="s">
        <v>244</v>
      </c>
    </row>
    <row r="234" spans="1:23" x14ac:dyDescent="0.2">
      <c r="A234" t="s">
        <v>152</v>
      </c>
      <c r="B234" t="s">
        <v>153</v>
      </c>
      <c r="C234" t="s">
        <v>32</v>
      </c>
      <c r="D234" t="s">
        <v>13</v>
      </c>
      <c r="E234" t="s">
        <v>15</v>
      </c>
      <c r="H234" t="s">
        <v>15</v>
      </c>
      <c r="K234">
        <v>2.93</v>
      </c>
      <c r="M234">
        <v>15</v>
      </c>
      <c r="N234">
        <v>0.32</v>
      </c>
      <c r="O234">
        <v>1.4</v>
      </c>
      <c r="Q234">
        <v>15</v>
      </c>
      <c r="R234">
        <v>0.13</v>
      </c>
      <c r="U234" t="s">
        <v>244</v>
      </c>
    </row>
    <row r="235" spans="1:23" x14ac:dyDescent="0.2">
      <c r="A235" t="s">
        <v>154</v>
      </c>
      <c r="B235" t="s">
        <v>89</v>
      </c>
      <c r="C235" t="s">
        <v>57</v>
      </c>
      <c r="D235" t="s">
        <v>13</v>
      </c>
      <c r="F235" t="s">
        <v>15</v>
      </c>
      <c r="H235" t="s">
        <v>15</v>
      </c>
      <c r="K235">
        <v>49.38</v>
      </c>
      <c r="L235">
        <f>54.85-49.38</f>
        <v>5.4699999999999989</v>
      </c>
      <c r="M235" t="s">
        <v>14</v>
      </c>
      <c r="O235">
        <v>36.51</v>
      </c>
      <c r="P235">
        <f>50.99-36.51</f>
        <v>14.480000000000004</v>
      </c>
      <c r="Q235" t="s">
        <v>14</v>
      </c>
      <c r="U235" t="s">
        <v>221</v>
      </c>
      <c r="W235" t="s">
        <v>246</v>
      </c>
    </row>
    <row r="236" spans="1:23" x14ac:dyDescent="0.2">
      <c r="A236" t="s">
        <v>154</v>
      </c>
      <c r="B236" t="s">
        <v>89</v>
      </c>
      <c r="C236" t="s">
        <v>57</v>
      </c>
      <c r="D236" t="s">
        <v>13</v>
      </c>
      <c r="F236" t="s">
        <v>15</v>
      </c>
      <c r="H236" t="s">
        <v>15</v>
      </c>
      <c r="K236">
        <v>19.3</v>
      </c>
      <c r="L236">
        <f>25.74-19.3</f>
        <v>6.4399999999999977</v>
      </c>
      <c r="M236" t="s">
        <v>14</v>
      </c>
      <c r="O236">
        <v>20.27</v>
      </c>
      <c r="P236">
        <f>27.67-20.27</f>
        <v>7.4000000000000021</v>
      </c>
      <c r="Q236" t="s">
        <v>14</v>
      </c>
      <c r="U236" t="s">
        <v>221</v>
      </c>
      <c r="W236" t="s">
        <v>246</v>
      </c>
    </row>
    <row r="237" spans="1:23" x14ac:dyDescent="0.2">
      <c r="A237" t="s">
        <v>154</v>
      </c>
      <c r="B237" t="s">
        <v>89</v>
      </c>
      <c r="C237" t="s">
        <v>57</v>
      </c>
      <c r="D237" t="s">
        <v>13</v>
      </c>
      <c r="F237" t="s">
        <v>15</v>
      </c>
      <c r="H237" t="s">
        <v>15</v>
      </c>
      <c r="K237">
        <v>30.72</v>
      </c>
      <c r="L237">
        <f>37.48-30.72</f>
        <v>6.759999999999998</v>
      </c>
      <c r="M237" t="s">
        <v>14</v>
      </c>
      <c r="O237">
        <v>13.03</v>
      </c>
      <c r="P237">
        <f>21.07-13.03</f>
        <v>8.0400000000000009</v>
      </c>
      <c r="Q237" t="s">
        <v>14</v>
      </c>
      <c r="U237" t="s">
        <v>221</v>
      </c>
      <c r="W237" t="s">
        <v>246</v>
      </c>
    </row>
    <row r="238" spans="1:23" x14ac:dyDescent="0.2">
      <c r="A238" t="s">
        <v>154</v>
      </c>
      <c r="B238" t="s">
        <v>89</v>
      </c>
      <c r="C238" t="s">
        <v>57</v>
      </c>
      <c r="D238" t="s">
        <v>13</v>
      </c>
      <c r="F238" t="s">
        <v>15</v>
      </c>
      <c r="H238" t="s">
        <v>15</v>
      </c>
      <c r="K238">
        <v>21.07</v>
      </c>
      <c r="L238">
        <f>26.54-21.07</f>
        <v>5.4699999999999989</v>
      </c>
      <c r="M238" t="s">
        <v>14</v>
      </c>
      <c r="O238">
        <v>10.130000000000001</v>
      </c>
      <c r="P238">
        <f>15.28-10.13</f>
        <v>5.1499999999999986</v>
      </c>
      <c r="Q238" t="s">
        <v>14</v>
      </c>
      <c r="U238" t="s">
        <v>221</v>
      </c>
      <c r="W238" t="s">
        <v>246</v>
      </c>
    </row>
    <row r="239" spans="1:23" x14ac:dyDescent="0.2">
      <c r="A239" t="s">
        <v>155</v>
      </c>
      <c r="B239" t="s">
        <v>156</v>
      </c>
      <c r="C239" t="s">
        <v>12</v>
      </c>
      <c r="D239" t="s">
        <v>13</v>
      </c>
      <c r="E239" t="s">
        <v>15</v>
      </c>
      <c r="F239" t="s">
        <v>15</v>
      </c>
      <c r="H239" t="s">
        <v>15</v>
      </c>
      <c r="K239">
        <v>18.2</v>
      </c>
      <c r="M239">
        <v>5</v>
      </c>
      <c r="N239">
        <v>0.2</v>
      </c>
      <c r="O239">
        <v>5</v>
      </c>
      <c r="Q239">
        <v>5</v>
      </c>
      <c r="R239">
        <v>1</v>
      </c>
      <c r="U239" t="s">
        <v>224</v>
      </c>
    </row>
    <row r="240" spans="1:23" x14ac:dyDescent="0.2">
      <c r="A240" t="s">
        <v>157</v>
      </c>
      <c r="B240" t="s">
        <v>44</v>
      </c>
      <c r="C240" t="s">
        <v>12</v>
      </c>
      <c r="D240" t="s">
        <v>13</v>
      </c>
      <c r="F240" t="s">
        <v>15</v>
      </c>
      <c r="H240" t="s">
        <v>15</v>
      </c>
      <c r="K240">
        <v>8</v>
      </c>
      <c r="L240" t="s">
        <v>14</v>
      </c>
      <c r="M240" t="s">
        <v>14</v>
      </c>
      <c r="O240">
        <v>8</v>
      </c>
      <c r="P240" t="s">
        <v>14</v>
      </c>
      <c r="Q240" t="s">
        <v>14</v>
      </c>
      <c r="U240" t="s">
        <v>224</v>
      </c>
      <c r="W240" t="s">
        <v>246</v>
      </c>
    </row>
    <row r="241" spans="1:23" x14ac:dyDescent="0.2">
      <c r="A241" t="s">
        <v>157</v>
      </c>
      <c r="B241" t="s">
        <v>29</v>
      </c>
      <c r="C241" t="s">
        <v>30</v>
      </c>
      <c r="D241" t="s">
        <v>13</v>
      </c>
      <c r="F241" t="s">
        <v>15</v>
      </c>
      <c r="H241" t="s">
        <v>15</v>
      </c>
      <c r="K241">
        <v>8</v>
      </c>
      <c r="L241" t="s">
        <v>14</v>
      </c>
      <c r="M241" t="s">
        <v>14</v>
      </c>
      <c r="O241">
        <v>8</v>
      </c>
      <c r="P241" t="s">
        <v>14</v>
      </c>
      <c r="Q241" t="s">
        <v>14</v>
      </c>
      <c r="U241" t="s">
        <v>224</v>
      </c>
      <c r="W241" t="s">
        <v>246</v>
      </c>
    </row>
    <row r="242" spans="1:23" x14ac:dyDescent="0.2">
      <c r="A242" t="s">
        <v>157</v>
      </c>
      <c r="B242" t="s">
        <v>158</v>
      </c>
      <c r="C242" t="s">
        <v>159</v>
      </c>
      <c r="D242" t="s">
        <v>13</v>
      </c>
      <c r="F242" t="s">
        <v>15</v>
      </c>
      <c r="H242" t="s">
        <v>15</v>
      </c>
      <c r="K242">
        <v>6</v>
      </c>
      <c r="L242" t="s">
        <v>14</v>
      </c>
      <c r="M242" t="s">
        <v>14</v>
      </c>
      <c r="O242">
        <v>8</v>
      </c>
      <c r="P242" t="s">
        <v>14</v>
      </c>
      <c r="Q242" t="s">
        <v>14</v>
      </c>
      <c r="U242" t="s">
        <v>224</v>
      </c>
      <c r="W242" t="s">
        <v>246</v>
      </c>
    </row>
    <row r="243" spans="1:23" x14ac:dyDescent="0.2">
      <c r="A243" t="s">
        <v>160</v>
      </c>
      <c r="B243" t="s">
        <v>118</v>
      </c>
      <c r="C243" t="s">
        <v>23</v>
      </c>
      <c r="D243" t="s">
        <v>13</v>
      </c>
      <c r="E243" t="s">
        <v>15</v>
      </c>
      <c r="H243" t="s">
        <v>15</v>
      </c>
      <c r="K243" t="s">
        <v>14</v>
      </c>
      <c r="L243" t="s">
        <v>14</v>
      </c>
      <c r="M243" t="s">
        <v>14</v>
      </c>
      <c r="N243" t="s">
        <v>14</v>
      </c>
      <c r="O243" t="s">
        <v>14</v>
      </c>
      <c r="P243" t="s">
        <v>14</v>
      </c>
      <c r="Q243" t="s">
        <v>14</v>
      </c>
      <c r="W243" t="s">
        <v>229</v>
      </c>
    </row>
    <row r="244" spans="1:23" x14ac:dyDescent="0.2">
      <c r="A244" t="s">
        <v>161</v>
      </c>
      <c r="B244" t="s">
        <v>162</v>
      </c>
      <c r="C244" t="s">
        <v>20</v>
      </c>
      <c r="D244" t="s">
        <v>13</v>
      </c>
      <c r="F244" t="s">
        <v>15</v>
      </c>
      <c r="H244" t="s">
        <v>15</v>
      </c>
      <c r="K244">
        <v>8.9</v>
      </c>
      <c r="M244">
        <v>5</v>
      </c>
      <c r="N244">
        <v>0.4</v>
      </c>
      <c r="O244">
        <v>8.8000000000000007</v>
      </c>
      <c r="Q244">
        <v>5</v>
      </c>
      <c r="R244">
        <v>0.5</v>
      </c>
      <c r="U244" t="s">
        <v>202</v>
      </c>
    </row>
    <row r="245" spans="1:23" x14ac:dyDescent="0.2">
      <c r="A245" t="s">
        <v>163</v>
      </c>
      <c r="B245" t="s">
        <v>164</v>
      </c>
      <c r="C245" t="s">
        <v>35</v>
      </c>
      <c r="D245" t="s">
        <v>13</v>
      </c>
      <c r="E245" t="s">
        <v>15</v>
      </c>
      <c r="I245" t="s">
        <v>15</v>
      </c>
      <c r="M245">
        <v>8</v>
      </c>
      <c r="N245">
        <f>0.79-0.67</f>
        <v>0.12</v>
      </c>
      <c r="Q245">
        <v>8</v>
      </c>
      <c r="R245">
        <f>0.29-0.19</f>
        <v>9.9999999999999978E-2</v>
      </c>
      <c r="U245" t="s">
        <v>220</v>
      </c>
      <c r="W245" t="s">
        <v>249</v>
      </c>
    </row>
    <row r="246" spans="1:23" x14ac:dyDescent="0.2">
      <c r="A246" t="s">
        <v>163</v>
      </c>
      <c r="B246" t="s">
        <v>165</v>
      </c>
      <c r="C246" t="s">
        <v>23</v>
      </c>
      <c r="D246" t="s">
        <v>13</v>
      </c>
      <c r="E246" t="s">
        <v>15</v>
      </c>
      <c r="I246" t="s">
        <v>15</v>
      </c>
      <c r="M246">
        <v>8</v>
      </c>
      <c r="N246">
        <v>0.6</v>
      </c>
      <c r="Q246">
        <v>8</v>
      </c>
      <c r="R246">
        <v>0.85</v>
      </c>
      <c r="U246" t="s">
        <v>220</v>
      </c>
      <c r="W246" t="s">
        <v>249</v>
      </c>
    </row>
    <row r="247" spans="1:23" x14ac:dyDescent="0.2">
      <c r="A247" t="s">
        <v>166</v>
      </c>
      <c r="B247" t="s">
        <v>49</v>
      </c>
      <c r="C247" t="s">
        <v>32</v>
      </c>
      <c r="D247" t="s">
        <v>13</v>
      </c>
      <c r="F247" t="s">
        <v>15</v>
      </c>
      <c r="H247" t="s">
        <v>15</v>
      </c>
      <c r="K247">
        <v>7.6</v>
      </c>
      <c r="M247">
        <v>10</v>
      </c>
      <c r="N247">
        <v>1.54</v>
      </c>
      <c r="O247">
        <v>6.7</v>
      </c>
      <c r="Q247">
        <v>10</v>
      </c>
      <c r="R247">
        <v>0.75</v>
      </c>
      <c r="U247" t="s">
        <v>224</v>
      </c>
    </row>
    <row r="248" spans="1:23" x14ac:dyDescent="0.2">
      <c r="A248" t="s">
        <v>167</v>
      </c>
      <c r="B248" t="s">
        <v>168</v>
      </c>
      <c r="C248" t="s">
        <v>12</v>
      </c>
      <c r="D248" t="s">
        <v>13</v>
      </c>
      <c r="E248" t="s">
        <v>15</v>
      </c>
      <c r="H248" t="s">
        <v>15</v>
      </c>
      <c r="K248" t="s">
        <v>14</v>
      </c>
      <c r="L248" t="s">
        <v>14</v>
      </c>
      <c r="M248" t="s">
        <v>14</v>
      </c>
      <c r="N248" t="s">
        <v>14</v>
      </c>
      <c r="O248" t="s">
        <v>14</v>
      </c>
      <c r="P248" t="s">
        <v>14</v>
      </c>
      <c r="Q248" t="s">
        <v>14</v>
      </c>
      <c r="R248" t="s">
        <v>14</v>
      </c>
      <c r="W248" t="s">
        <v>250</v>
      </c>
    </row>
    <row r="249" spans="1:23" x14ac:dyDescent="0.2">
      <c r="A249" t="s">
        <v>167</v>
      </c>
      <c r="B249" t="s">
        <v>168</v>
      </c>
      <c r="C249" t="s">
        <v>12</v>
      </c>
      <c r="D249" t="s">
        <v>13</v>
      </c>
      <c r="E249" t="s">
        <v>15</v>
      </c>
      <c r="I249" t="s">
        <v>15</v>
      </c>
      <c r="K249" t="s">
        <v>14</v>
      </c>
      <c r="L249" t="s">
        <v>14</v>
      </c>
      <c r="M249" t="s">
        <v>14</v>
      </c>
      <c r="N249" t="s">
        <v>14</v>
      </c>
      <c r="O249" t="s">
        <v>14</v>
      </c>
      <c r="P249" t="s">
        <v>14</v>
      </c>
      <c r="Q249" t="s">
        <v>14</v>
      </c>
      <c r="R249" t="s">
        <v>14</v>
      </c>
      <c r="W249" t="s">
        <v>250</v>
      </c>
    </row>
    <row r="250" spans="1:23" x14ac:dyDescent="0.2">
      <c r="A250" t="s">
        <v>169</v>
      </c>
      <c r="B250" t="s">
        <v>17</v>
      </c>
      <c r="C250" t="s">
        <v>18</v>
      </c>
      <c r="D250" t="s">
        <v>13</v>
      </c>
      <c r="G250" t="s">
        <v>15</v>
      </c>
      <c r="H250" t="s">
        <v>15</v>
      </c>
      <c r="K250">
        <v>17.72</v>
      </c>
      <c r="L250">
        <v>2.82</v>
      </c>
      <c r="M250">
        <v>4</v>
      </c>
      <c r="O250">
        <v>11.2</v>
      </c>
      <c r="P250">
        <v>2.99</v>
      </c>
      <c r="Q250">
        <v>4</v>
      </c>
      <c r="U250" t="s">
        <v>210</v>
      </c>
      <c r="W250" t="s">
        <v>251</v>
      </c>
    </row>
    <row r="251" spans="1:23" x14ac:dyDescent="0.2">
      <c r="A251" t="s">
        <v>170</v>
      </c>
      <c r="B251" t="s">
        <v>171</v>
      </c>
      <c r="C251" t="s">
        <v>116</v>
      </c>
      <c r="D251" t="s">
        <v>13</v>
      </c>
      <c r="E251" t="s">
        <v>15</v>
      </c>
      <c r="F251" t="s">
        <v>15</v>
      </c>
      <c r="I251" t="s">
        <v>15</v>
      </c>
      <c r="K251">
        <v>12.1</v>
      </c>
      <c r="M251">
        <f>295+47</f>
        <v>342</v>
      </c>
      <c r="N251">
        <v>0.4</v>
      </c>
      <c r="O251">
        <v>18.600000000000001</v>
      </c>
      <c r="Q251">
        <f>60+38</f>
        <v>98</v>
      </c>
      <c r="R251">
        <v>0.5</v>
      </c>
      <c r="U251" t="s">
        <v>202</v>
      </c>
      <c r="W251" t="s">
        <v>252</v>
      </c>
    </row>
    <row r="252" spans="1:23" x14ac:dyDescent="0.2">
      <c r="A252" t="s">
        <v>172</v>
      </c>
      <c r="B252" t="s">
        <v>173</v>
      </c>
      <c r="C252" t="s">
        <v>23</v>
      </c>
      <c r="D252" t="s">
        <v>13</v>
      </c>
      <c r="E252" t="s">
        <v>15</v>
      </c>
      <c r="G252" t="s">
        <v>15</v>
      </c>
      <c r="H252" t="s">
        <v>15</v>
      </c>
      <c r="K252" t="s">
        <v>14</v>
      </c>
      <c r="L252" t="s">
        <v>14</v>
      </c>
      <c r="M252" t="s">
        <v>14</v>
      </c>
      <c r="N252" t="s">
        <v>14</v>
      </c>
      <c r="O252" t="s">
        <v>14</v>
      </c>
      <c r="P252" t="s">
        <v>14</v>
      </c>
      <c r="Q252" t="s">
        <v>14</v>
      </c>
      <c r="R252" t="s">
        <v>14</v>
      </c>
      <c r="W252" t="s">
        <v>229</v>
      </c>
    </row>
    <row r="253" spans="1:23" x14ac:dyDescent="0.2">
      <c r="A253" t="s">
        <v>174</v>
      </c>
      <c r="B253" t="s">
        <v>175</v>
      </c>
      <c r="C253" t="s">
        <v>78</v>
      </c>
      <c r="D253" t="s">
        <v>13</v>
      </c>
      <c r="E253" t="s">
        <v>15</v>
      </c>
      <c r="I253" t="s">
        <v>15</v>
      </c>
      <c r="K253">
        <v>116.58</v>
      </c>
      <c r="L253">
        <f>117.65-116.58</f>
        <v>1.0700000000000074</v>
      </c>
      <c r="M253">
        <f>4*3</f>
        <v>12</v>
      </c>
      <c r="N253" t="s">
        <v>14</v>
      </c>
      <c r="O253">
        <v>54.85</v>
      </c>
      <c r="P253">
        <f>57.26-54.85</f>
        <v>2.4099999999999966</v>
      </c>
      <c r="Q253">
        <f>3*6</f>
        <v>18</v>
      </c>
      <c r="R253" t="s">
        <v>14</v>
      </c>
      <c r="W253" t="s">
        <v>221</v>
      </c>
    </row>
    <row r="254" spans="1:23" x14ac:dyDescent="0.2">
      <c r="A254" t="s">
        <v>176</v>
      </c>
      <c r="B254" t="s">
        <v>177</v>
      </c>
      <c r="C254" t="s">
        <v>23</v>
      </c>
      <c r="D254" t="s">
        <v>13</v>
      </c>
      <c r="E254" t="s">
        <v>15</v>
      </c>
      <c r="I254" t="s">
        <v>15</v>
      </c>
      <c r="K254" t="s">
        <v>14</v>
      </c>
      <c r="M254" t="s">
        <v>14</v>
      </c>
      <c r="N254">
        <f>0.5-0.44</f>
        <v>0.06</v>
      </c>
      <c r="O254" t="s">
        <v>14</v>
      </c>
      <c r="Q254" t="s">
        <v>14</v>
      </c>
      <c r="R254">
        <f>1.6-1.49</f>
        <v>0.1100000000000001</v>
      </c>
      <c r="U254" t="s">
        <v>239</v>
      </c>
      <c r="W254" t="s">
        <v>262</v>
      </c>
    </row>
    <row r="255" spans="1:23" x14ac:dyDescent="0.2">
      <c r="A255" t="s">
        <v>176</v>
      </c>
      <c r="B255" t="s">
        <v>178</v>
      </c>
      <c r="C255" t="s">
        <v>23</v>
      </c>
      <c r="D255" t="s">
        <v>13</v>
      </c>
      <c r="E255" t="s">
        <v>15</v>
      </c>
      <c r="I255" t="s">
        <v>15</v>
      </c>
      <c r="K255" t="s">
        <v>14</v>
      </c>
      <c r="M255" t="s">
        <v>14</v>
      </c>
      <c r="N255">
        <f>1.7-1.6</f>
        <v>9.9999999999999867E-2</v>
      </c>
      <c r="O255" t="s">
        <v>14</v>
      </c>
      <c r="Q255" t="s">
        <v>14</v>
      </c>
      <c r="R255">
        <f>1.6-1.49</f>
        <v>0.1100000000000001</v>
      </c>
      <c r="U255" t="s">
        <v>239</v>
      </c>
      <c r="W255" t="s">
        <v>262</v>
      </c>
    </row>
    <row r="256" spans="1:23" x14ac:dyDescent="0.2">
      <c r="A256" t="s">
        <v>176</v>
      </c>
      <c r="B256" t="s">
        <v>179</v>
      </c>
      <c r="C256" t="s">
        <v>23</v>
      </c>
      <c r="D256" t="s">
        <v>13</v>
      </c>
      <c r="E256" t="s">
        <v>15</v>
      </c>
      <c r="I256" t="s">
        <v>15</v>
      </c>
      <c r="K256" t="s">
        <v>14</v>
      </c>
      <c r="M256" t="s">
        <v>14</v>
      </c>
      <c r="N256">
        <f>1.7-1.67</f>
        <v>3.0000000000000027E-2</v>
      </c>
      <c r="O256" t="s">
        <v>14</v>
      </c>
      <c r="Q256" t="s">
        <v>14</v>
      </c>
      <c r="R256">
        <f>1.6-1.49</f>
        <v>0.1100000000000001</v>
      </c>
      <c r="U256" t="s">
        <v>239</v>
      </c>
      <c r="W256" t="s">
        <v>262</v>
      </c>
    </row>
    <row r="257" spans="1:23" x14ac:dyDescent="0.2">
      <c r="A257" t="s">
        <v>176</v>
      </c>
      <c r="B257" t="s">
        <v>180</v>
      </c>
      <c r="C257" t="s">
        <v>26</v>
      </c>
      <c r="D257" t="s">
        <v>13</v>
      </c>
      <c r="E257" t="s">
        <v>15</v>
      </c>
      <c r="I257" t="s">
        <v>15</v>
      </c>
      <c r="K257" t="s">
        <v>14</v>
      </c>
      <c r="M257" t="s">
        <v>14</v>
      </c>
      <c r="N257">
        <f>1.85-1.71</f>
        <v>0.14000000000000012</v>
      </c>
      <c r="O257" t="s">
        <v>14</v>
      </c>
      <c r="Q257" t="s">
        <v>14</v>
      </c>
      <c r="R257">
        <f>1.6-1.49</f>
        <v>0.1100000000000001</v>
      </c>
      <c r="U257" t="s">
        <v>239</v>
      </c>
      <c r="W257" t="s">
        <v>262</v>
      </c>
    </row>
    <row r="258" spans="1:23" x14ac:dyDescent="0.2">
      <c r="A258" t="s">
        <v>181</v>
      </c>
      <c r="B258" t="s">
        <v>89</v>
      </c>
      <c r="C258" t="s">
        <v>57</v>
      </c>
      <c r="D258" t="s">
        <v>13</v>
      </c>
      <c r="E258" t="s">
        <v>15</v>
      </c>
      <c r="F258" t="s">
        <v>15</v>
      </c>
      <c r="H258" t="s">
        <v>15</v>
      </c>
      <c r="K258">
        <v>10.62</v>
      </c>
      <c r="L258">
        <f>11.28-10.62</f>
        <v>0.66000000000000014</v>
      </c>
      <c r="M258">
        <v>6</v>
      </c>
      <c r="O258">
        <v>8.76</v>
      </c>
      <c r="P258">
        <f>9.54-8.76</f>
        <v>0.77999999999999936</v>
      </c>
      <c r="Q258">
        <v>6</v>
      </c>
      <c r="T258" t="s">
        <v>269</v>
      </c>
      <c r="U258" t="s">
        <v>208</v>
      </c>
      <c r="V258" t="s">
        <v>255</v>
      </c>
    </row>
    <row r="259" spans="1:23" x14ac:dyDescent="0.2">
      <c r="A259" t="s">
        <v>181</v>
      </c>
      <c r="B259" t="s">
        <v>89</v>
      </c>
      <c r="C259" t="s">
        <v>57</v>
      </c>
      <c r="D259" t="s">
        <v>13</v>
      </c>
      <c r="E259" t="s">
        <v>15</v>
      </c>
      <c r="F259" t="s">
        <v>15</v>
      </c>
      <c r="H259" t="s">
        <v>15</v>
      </c>
      <c r="K259">
        <v>5.13</v>
      </c>
      <c r="L259">
        <f>5.52-5.13</f>
        <v>0.38999999999999968</v>
      </c>
      <c r="M259">
        <v>6</v>
      </c>
      <c r="O259">
        <v>3.24</v>
      </c>
      <c r="P259">
        <f>3.54-3.24</f>
        <v>0.29999999999999982</v>
      </c>
      <c r="Q259">
        <v>6</v>
      </c>
      <c r="T259" t="s">
        <v>270</v>
      </c>
      <c r="U259" t="s">
        <v>208</v>
      </c>
      <c r="V259" t="s">
        <v>255</v>
      </c>
    </row>
    <row r="260" spans="1:23" x14ac:dyDescent="0.2">
      <c r="A260" t="s">
        <v>182</v>
      </c>
      <c r="B260" t="s">
        <v>14</v>
      </c>
      <c r="C260" t="s">
        <v>94</v>
      </c>
      <c r="D260" t="s">
        <v>13</v>
      </c>
      <c r="G260" t="s">
        <v>15</v>
      </c>
      <c r="H260" t="s">
        <v>15</v>
      </c>
      <c r="K260" t="s">
        <v>14</v>
      </c>
      <c r="L260" t="s">
        <v>14</v>
      </c>
      <c r="M260" t="s">
        <v>14</v>
      </c>
      <c r="N260" t="s">
        <v>14</v>
      </c>
      <c r="O260" t="s">
        <v>14</v>
      </c>
      <c r="P260" t="s">
        <v>14</v>
      </c>
      <c r="Q260" t="s">
        <v>14</v>
      </c>
      <c r="R260" t="s">
        <v>14</v>
      </c>
      <c r="W260" t="s">
        <v>229</v>
      </c>
    </row>
    <row r="261" spans="1:23" x14ac:dyDescent="0.2">
      <c r="A261" t="s">
        <v>182</v>
      </c>
      <c r="B261" t="s">
        <v>14</v>
      </c>
      <c r="C261" t="s">
        <v>98</v>
      </c>
      <c r="D261" t="s">
        <v>13</v>
      </c>
      <c r="G261" t="s">
        <v>15</v>
      </c>
      <c r="H261" t="s">
        <v>15</v>
      </c>
      <c r="K261" t="s">
        <v>14</v>
      </c>
      <c r="L261" t="s">
        <v>14</v>
      </c>
      <c r="M261" t="s">
        <v>14</v>
      </c>
      <c r="N261" t="s">
        <v>14</v>
      </c>
      <c r="O261" t="s">
        <v>14</v>
      </c>
      <c r="P261" t="s">
        <v>14</v>
      </c>
      <c r="Q261" t="s">
        <v>14</v>
      </c>
      <c r="R261" t="s">
        <v>14</v>
      </c>
      <c r="W261" t="s">
        <v>229</v>
      </c>
    </row>
    <row r="262" spans="1:23" x14ac:dyDescent="0.2">
      <c r="A262" t="s">
        <v>182</v>
      </c>
      <c r="B262" t="s">
        <v>14</v>
      </c>
      <c r="C262" t="s">
        <v>94</v>
      </c>
      <c r="D262" t="s">
        <v>13</v>
      </c>
      <c r="G262" t="s">
        <v>15</v>
      </c>
      <c r="I262" t="s">
        <v>15</v>
      </c>
      <c r="K262" t="s">
        <v>14</v>
      </c>
      <c r="L262" t="s">
        <v>14</v>
      </c>
      <c r="M262" t="s">
        <v>14</v>
      </c>
      <c r="N262" t="s">
        <v>14</v>
      </c>
      <c r="O262" t="s">
        <v>14</v>
      </c>
      <c r="P262" t="s">
        <v>14</v>
      </c>
      <c r="Q262" t="s">
        <v>14</v>
      </c>
      <c r="R262" t="s">
        <v>14</v>
      </c>
      <c r="W262" t="s">
        <v>229</v>
      </c>
    </row>
    <row r="263" spans="1:23" x14ac:dyDescent="0.2">
      <c r="A263" t="s">
        <v>183</v>
      </c>
      <c r="B263" t="s">
        <v>89</v>
      </c>
      <c r="C263" t="s">
        <v>57</v>
      </c>
      <c r="D263" t="s">
        <v>13</v>
      </c>
      <c r="F263" t="s">
        <v>15</v>
      </c>
      <c r="H263" t="s">
        <v>15</v>
      </c>
      <c r="K263">
        <v>11</v>
      </c>
      <c r="L263">
        <v>2.9</v>
      </c>
      <c r="M263">
        <v>6</v>
      </c>
      <c r="O263">
        <v>5</v>
      </c>
      <c r="P263">
        <v>1.2</v>
      </c>
      <c r="Q263">
        <v>6</v>
      </c>
      <c r="T263" t="s">
        <v>269</v>
      </c>
      <c r="U263" t="s">
        <v>224</v>
      </c>
      <c r="V263" t="s">
        <v>255</v>
      </c>
    </row>
    <row r="264" spans="1:23" x14ac:dyDescent="0.2">
      <c r="A264" t="s">
        <v>183</v>
      </c>
      <c r="B264" t="s">
        <v>89</v>
      </c>
      <c r="C264" t="s">
        <v>57</v>
      </c>
      <c r="D264" t="s">
        <v>13</v>
      </c>
      <c r="F264" t="s">
        <v>15</v>
      </c>
      <c r="H264" t="s">
        <v>15</v>
      </c>
      <c r="K264">
        <v>10.5</v>
      </c>
      <c r="L264">
        <v>2.6</v>
      </c>
      <c r="M264">
        <v>6</v>
      </c>
      <c r="O264">
        <v>5.8</v>
      </c>
      <c r="P264">
        <v>1</v>
      </c>
      <c r="Q264">
        <v>6</v>
      </c>
      <c r="T264" t="s">
        <v>270</v>
      </c>
      <c r="U264" t="s">
        <v>224</v>
      </c>
      <c r="V264" t="s">
        <v>255</v>
      </c>
    </row>
    <row r="265" spans="1:23" x14ac:dyDescent="0.2">
      <c r="A265" t="s">
        <v>184</v>
      </c>
      <c r="B265" t="s">
        <v>150</v>
      </c>
      <c r="C265" t="s">
        <v>12</v>
      </c>
      <c r="D265" t="s">
        <v>13</v>
      </c>
      <c r="F265" t="s">
        <v>15</v>
      </c>
      <c r="H265" t="s">
        <v>15</v>
      </c>
      <c r="K265">
        <v>19.420000000000002</v>
      </c>
      <c r="M265">
        <v>6</v>
      </c>
      <c r="N265">
        <f>21.47-19.42</f>
        <v>2.0499999999999972</v>
      </c>
      <c r="O265">
        <v>13.01</v>
      </c>
      <c r="Q265">
        <v>6</v>
      </c>
      <c r="R265">
        <f>13.85-13.01</f>
        <v>0.83999999999999986</v>
      </c>
      <c r="T265" t="s">
        <v>269</v>
      </c>
      <c r="U265" t="s">
        <v>221</v>
      </c>
      <c r="V265" t="s">
        <v>255</v>
      </c>
    </row>
    <row r="266" spans="1:23" x14ac:dyDescent="0.2">
      <c r="A266" t="s">
        <v>184</v>
      </c>
      <c r="B266" t="s">
        <v>150</v>
      </c>
      <c r="C266" t="s">
        <v>12</v>
      </c>
      <c r="D266" t="s">
        <v>13</v>
      </c>
      <c r="F266" t="s">
        <v>15</v>
      </c>
      <c r="H266" t="s">
        <v>15</v>
      </c>
      <c r="K266">
        <v>12.83</v>
      </c>
      <c r="M266">
        <v>6</v>
      </c>
      <c r="N266">
        <f>14.31-12.83</f>
        <v>1.4800000000000004</v>
      </c>
      <c r="O266">
        <v>10.59</v>
      </c>
      <c r="Q266">
        <v>6</v>
      </c>
      <c r="R266">
        <f>10.59-7.8</f>
        <v>2.79</v>
      </c>
      <c r="T266" t="s">
        <v>270</v>
      </c>
      <c r="U266" t="s">
        <v>221</v>
      </c>
      <c r="V266" t="s">
        <v>255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Feuil1!meta_pa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Benoit</dc:creator>
  <cp:lastModifiedBy>Thomas Benoit</cp:lastModifiedBy>
  <dcterms:created xsi:type="dcterms:W3CDTF">2025-03-11T17:00:22Z</dcterms:created>
  <dcterms:modified xsi:type="dcterms:W3CDTF">2025-03-28T08:08:03Z</dcterms:modified>
</cp:coreProperties>
</file>